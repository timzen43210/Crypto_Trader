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'資金明細'!$A$1:$Z$140</definedName>
    <definedName name="_xlnm._FilterDatabase" localSheetId="5" hidden="1">'交易明細'!$A$1:$AM$70</definedName>
    <definedName name="_xlnm._FilterDatabase" localSheetId="6" hidden="1">'幣種統計'!$A$1:$L$50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09:41（Dry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COUNTIFS(交易明細!$B$2:$B$70,"&lt;&gt;")</f>
        <v/>
      </c>
      <c r="C5" s="2">
        <f>D5+E5+F5</f>
        <v/>
      </c>
      <c r="D5" s="2">
        <f>COUNTIFS(交易明細!$J$2:$J$70,"止盈")</f>
        <v/>
      </c>
      <c r="E5" s="2">
        <f>COUNTIFS(交易明細!$J$2:$J$70,"止損")</f>
        <v/>
      </c>
      <c r="F5" s="2">
        <f>COUNTIFS(交易明細!$J$2:$J$70,"時間出場")</f>
        <v/>
      </c>
      <c r="G5" s="2">
        <f>COUNTIFS(交易明細!$J$2:$J$70,"未平倉")</f>
        <v/>
      </c>
      <c r="H5" s="4">
        <f>IFERROR(D5/C5,0)</f>
        <v/>
      </c>
      <c r="I5" s="4">
        <f>IFERROR(AVERAGEIFS(交易明細!$AC$2:$AC$70,交易明細!$J$2:$J$70,"&lt;&gt;未平倉"),參數!$B$16)</f>
        <v/>
      </c>
      <c r="J5" s="4">
        <f>IFERROR(AVERAGEIFS(交易明細!$L$2:$L$70,交易明細!$J$2:$J$70,"&lt;&gt;未平倉"),0)</f>
        <v/>
      </c>
      <c r="K5" s="4">
        <f>SUMIFS(交易明細!$L$2:$L$70,交易明細!$J$2:$J$70,"&lt;&gt;未平倉")</f>
        <v/>
      </c>
      <c r="L5" s="5">
        <f>IFERROR(AVERAGEIFS(交易明細!$K$2:$K$70,交易明細!$J$2:$J$70,"&lt;&gt;未平倉"),0)</f>
        <v/>
      </c>
      <c r="M5" s="5">
        <f>IFERROR(AVERAGEIFS(交易明細!$K$2:$K$70,交易明細!$J$2:$J$70,"止盈"),0)</f>
        <v/>
      </c>
      <c r="N5" s="5">
        <f>IFERROR(AVERAGEIFS(交易明細!$K$2:$K$70,交易明細!$J$2:$J$70,"止損"),0)</f>
        <v/>
      </c>
      <c r="O5" s="4">
        <f>IFERROR(AVERAGEIFS(交易明細!$L$2:$L$70,交易明細!$J$2:$J$70,"時間出場"),0)</f>
        <v/>
      </c>
      <c r="P5" s="4">
        <f>IFERROR(COUNTIFS(交易明細!$J$2:$J$70,"&lt;&gt;未平倉",交易明細!$L$2:$L$70,"&gt;0")/C5,0)</f>
        <v/>
      </c>
    </row>
    <row r="6">
      <c r="A6" s="2" t="inlineStr">
        <is>
          <t>做多</t>
        </is>
      </c>
      <c r="B6" s="2">
        <f>COUNTIFS(交易明細!$C$2:$C$70,"做多",交易明細!$B$2:$B$70,"&lt;&gt;")</f>
        <v/>
      </c>
      <c r="C6" s="2">
        <f>D6+E6+F6</f>
        <v/>
      </c>
      <c r="D6" s="2">
        <f>COUNTIFS(交易明細!$C$2:$C$70,"做多",交易明細!$J$2:$J$70,"止盈")</f>
        <v/>
      </c>
      <c r="E6" s="2">
        <f>COUNTIFS(交易明細!$C$2:$C$70,"做多",交易明細!$J$2:$J$70,"止損")</f>
        <v/>
      </c>
      <c r="F6" s="2">
        <f>COUNTIFS(交易明細!$C$2:$C$70,"做多",交易明細!$J$2:$J$70,"時間出場")</f>
        <v/>
      </c>
      <c r="G6" s="2">
        <f>COUNTIFS(交易明細!$C$2:$C$70,"做多",交易明細!$J$2:$J$70,"未平倉")</f>
        <v/>
      </c>
      <c r="H6" s="4">
        <f>IFERROR(D6/C6,0)</f>
        <v/>
      </c>
      <c r="I6" s="4">
        <f>IFERROR(AVERAGEIFS(交易明細!$AC$2:$AC$70,交易明細!$C$2:$C$70,"做多",交易明細!$J$2:$J$70,"&lt;&gt;未平倉"),參數!$B$16)</f>
        <v/>
      </c>
      <c r="J6" s="4">
        <f>IFERROR(AVERAGEIFS(交易明細!$L$2:$L$70,交易明細!$C$2:$C$70,"做多",交易明細!$J$2:$J$70,"&lt;&gt;未平倉"),0)</f>
        <v/>
      </c>
      <c r="K6" s="4">
        <f>SUMIFS(交易明細!$L$2:$L$70,交易明細!$C$2:$C$70,"做多",交易明細!$J$2:$J$70,"&lt;&gt;未平倉")</f>
        <v/>
      </c>
      <c r="L6" s="5">
        <f>IFERROR(AVERAGEIFS(交易明細!$K$2:$K$70,交易明細!$C$2:$C$70,"做多",交易明細!$J$2:$J$70,"&lt;&gt;未平倉"),0)</f>
        <v/>
      </c>
      <c r="M6" s="5">
        <f>IFERROR(AVERAGEIFS(交易明細!$K$2:$K$70,交易明細!$C$2:$C$70,"做多",交易明細!$J$2:$J$70,"止盈"),0)</f>
        <v/>
      </c>
      <c r="N6" s="5">
        <f>IFERROR(AVERAGEIFS(交易明細!$K$2:$K$70,交易明細!$C$2:$C$70,"做多",交易明細!$J$2:$J$70,"止損"),0)</f>
        <v/>
      </c>
      <c r="O6" s="4">
        <f>IFERROR(AVERAGEIFS(交易明細!$L$2:$L$70,交易明細!$C$2:$C$70,"做多",交易明細!$J$2:$J$70,"時間出場"),0)</f>
        <v/>
      </c>
      <c r="P6" s="4">
        <f>IFERROR(COUNTIFS(交易明細!$C$2:$C$70,"做多",交易明細!$J$2:$J$70,"&lt;&gt;未平倉",交易明細!$L$2:$L$70,"&gt;0")/C6,0)</f>
        <v/>
      </c>
    </row>
    <row r="7">
      <c r="A7" s="2" t="inlineStr">
        <is>
          <t>做空</t>
        </is>
      </c>
      <c r="B7" s="2">
        <f>COUNTIFS(交易明細!$C$2:$C$70,"做空",交易明細!$B$2:$B$70,"&lt;&gt;")</f>
        <v/>
      </c>
      <c r="C7" s="2">
        <f>D7+E7+F7</f>
        <v/>
      </c>
      <c r="D7" s="2">
        <f>COUNTIFS(交易明細!$C$2:$C$70,"做空",交易明細!$J$2:$J$70,"止盈")</f>
        <v/>
      </c>
      <c r="E7" s="2">
        <f>COUNTIFS(交易明細!$C$2:$C$70,"做空",交易明細!$J$2:$J$70,"止損")</f>
        <v/>
      </c>
      <c r="F7" s="2">
        <f>COUNTIFS(交易明細!$C$2:$C$70,"做空",交易明細!$J$2:$J$70,"時間出場")</f>
        <v/>
      </c>
      <c r="G7" s="2">
        <f>COUNTIFS(交易明細!$C$2:$C$70,"做空",交易明細!$J$2:$J$70,"未平倉")</f>
        <v/>
      </c>
      <c r="H7" s="4">
        <f>IFERROR(D7/C7,0)</f>
        <v/>
      </c>
      <c r="I7" s="4">
        <f>IFERROR(AVERAGEIFS(交易明細!$AC$2:$AC$70,交易明細!$C$2:$C$70,"做空",交易明細!$J$2:$J$70,"&lt;&gt;未平倉"),參數!$B$16)</f>
        <v/>
      </c>
      <c r="J7" s="4">
        <f>IFERROR(AVERAGEIFS(交易明細!$L$2:$L$70,交易明細!$C$2:$C$70,"做空",交易明細!$J$2:$J$70,"&lt;&gt;未平倉"),0)</f>
        <v/>
      </c>
      <c r="K7" s="4">
        <f>SUMIFS(交易明細!$L$2:$L$70,交易明細!$C$2:$C$70,"做空",交易明細!$J$2:$J$70,"&lt;&gt;未平倉")</f>
        <v/>
      </c>
      <c r="L7" s="5">
        <f>IFERROR(AVERAGEIFS(交易明細!$K$2:$K$70,交易明細!$C$2:$C$70,"做空",交易明細!$J$2:$J$70,"&lt;&gt;未平倉"),0)</f>
        <v/>
      </c>
      <c r="M7" s="5">
        <f>IFERROR(AVERAGEIFS(交易明細!$K$2:$K$70,交易明細!$C$2:$C$70,"做空",交易明細!$J$2:$J$70,"止盈"),0)</f>
        <v/>
      </c>
      <c r="N7" s="5">
        <f>IFERROR(AVERAGEIFS(交易明細!$K$2:$K$70,交易明細!$C$2:$C$70,"做空",交易明細!$J$2:$J$70,"止損"),0)</f>
        <v/>
      </c>
      <c r="O7" s="4">
        <f>IFERROR(AVERAGEIFS(交易明細!$L$2:$L$70,交易明細!$C$2:$C$70,"做空",交易明細!$J$2:$J$70,"時間出場"),0)</f>
        <v/>
      </c>
      <c r="P7" s="4">
        <f>IFERROR(COUNTIFS(交易明細!$C$2:$C$70,"做空",交易明細!$J$2:$J$70,"&lt;&gt;未平倉",交易明細!$L$2:$L$70,"&gt;0")/C7,0)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46282.40350203704</v>
      </c>
      <c r="B2" s="7" t="n">
        <v>46282.39930555555</v>
      </c>
      <c r="C2" s="2" t="n">
        <v>440</v>
      </c>
      <c r="D2" s="2" t="n">
        <v>69</v>
      </c>
      <c r="E2" s="2" t="n">
        <v>69</v>
      </c>
      <c r="F2" s="2" t="n">
        <v>0</v>
      </c>
      <c r="G2" s="2" t="n">
        <v>323.7</v>
      </c>
    </row>
    <row r="3">
      <c r="A3" s="7" t="n">
        <v>46282.39577758102</v>
      </c>
      <c r="B3" s="7" t="n">
        <v>46282.33333333334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50.5</v>
      </c>
    </row>
    <row r="4">
      <c r="A4" s="7" t="n">
        <v>46282.29222982639</v>
      </c>
      <c r="B4" s="7" t="n">
        <v>46282.25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66.2</v>
      </c>
    </row>
    <row r="5">
      <c r="A5" s="7" t="n">
        <v>46282.17576607639</v>
      </c>
      <c r="B5" s="7" t="n">
        <v>46282.125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67</v>
      </c>
    </row>
    <row r="6">
      <c r="A6" s="7" t="n">
        <v>46282.04552453704</v>
      </c>
      <c r="B6" s="7" t="n">
        <v>46282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52.9</v>
      </c>
    </row>
    <row r="7">
      <c r="A7" s="7" t="n">
        <v>46281.82298537037</v>
      </c>
      <c r="B7" s="7" t="n">
        <v>46281.75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65.7</v>
      </c>
    </row>
    <row r="8">
      <c r="A8" s="7" t="n">
        <v>46281.58829054398</v>
      </c>
      <c r="B8" s="7" t="n">
        <v>46281.54166666666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54.5</v>
      </c>
    </row>
    <row r="9">
      <c r="A9" s="7" t="n">
        <v>46281.35205523148</v>
      </c>
      <c r="B9" s="7" t="n">
        <v>46281.29166666666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66.90000000000001</v>
      </c>
    </row>
    <row r="10">
      <c r="A10" s="7" t="n">
        <v>46281.22963460648</v>
      </c>
      <c r="B10" s="7" t="n">
        <v>46281.16666666666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61.9</v>
      </c>
    </row>
    <row r="11">
      <c r="A11" s="7" t="n">
        <v>46281.094529375</v>
      </c>
      <c r="B11" s="7" t="n">
        <v>46281.04166666666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46.5</v>
      </c>
    </row>
    <row r="12">
      <c r="A12" s="7" t="n">
        <v>46280.9017994676</v>
      </c>
      <c r="B12" s="7" t="n">
        <v>46280.83333333334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56.7</v>
      </c>
    </row>
    <row r="13">
      <c r="A13" s="7" t="n">
        <v>46280.66002480324</v>
      </c>
      <c r="B13" s="7" t="n">
        <v>46280.58333333334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67.40000000000001</v>
      </c>
    </row>
    <row r="14">
      <c r="A14" s="7" t="n">
        <v>46280.4778358449</v>
      </c>
      <c r="B14" s="7" t="n">
        <v>46280.41666666666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61.2</v>
      </c>
    </row>
    <row r="15">
      <c r="A15" s="7" t="n">
        <v>46280.39795681713</v>
      </c>
      <c r="B15" s="7" t="n">
        <v>46280.33333333334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66.90000000000001</v>
      </c>
    </row>
    <row r="16">
      <c r="A16" s="7" t="n">
        <v>46280.29983445602</v>
      </c>
      <c r="B16" s="7" t="n">
        <v>46280.25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51.6</v>
      </c>
    </row>
    <row r="17">
      <c r="A17" s="7" t="n">
        <v>46280.14350143519</v>
      </c>
      <c r="B17" s="7" t="n">
        <v>46280.08333333334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57.3</v>
      </c>
    </row>
    <row r="18">
      <c r="A18" s="7" t="n">
        <v>46279.92418226852</v>
      </c>
      <c r="B18" s="7" t="n">
        <v>46279.875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48.1</v>
      </c>
    </row>
    <row r="19">
      <c r="A19" s="7" t="n">
        <v>46279.59996445602</v>
      </c>
      <c r="B19" s="7" t="n">
        <v>46279.54166666666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61</v>
      </c>
    </row>
    <row r="20">
      <c r="A20" s="7" t="n">
        <v>46279.38316741898</v>
      </c>
      <c r="B20" s="7" t="n">
        <v>46279.33333333334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59.9</v>
      </c>
    </row>
    <row r="21">
      <c r="A21" s="7" t="n">
        <v>46279.26932584491</v>
      </c>
      <c r="B21" s="7" t="n">
        <v>46279.20833333334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61.1</v>
      </c>
    </row>
    <row r="22">
      <c r="A22" s="7" t="n">
        <v>46279.14665413195</v>
      </c>
      <c r="B22" s="7" t="n">
        <v>46279.08333333334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55.1</v>
      </c>
    </row>
    <row r="23">
      <c r="A23" s="7" t="n">
        <v>46279.01733591435</v>
      </c>
      <c r="B23" s="7" t="n">
        <v>46278.95833333334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59.7</v>
      </c>
    </row>
    <row r="24">
      <c r="A24" s="7" t="n">
        <v>46278.83725055555</v>
      </c>
      <c r="B24" s="7" t="n">
        <v>46278.79166666666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65.40000000000001</v>
      </c>
    </row>
    <row r="25">
      <c r="A25" s="7" t="n">
        <v>46278.71111972223</v>
      </c>
      <c r="B25" s="7" t="n">
        <v>46278.66666666666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63.6</v>
      </c>
    </row>
    <row r="26">
      <c r="A26" s="7" t="n">
        <v>46278.68053923611</v>
      </c>
      <c r="B26" s="7" t="n">
        <v>46278.625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63.6</v>
      </c>
    </row>
    <row r="27">
      <c r="A27" s="7" t="n">
        <v>46278.07354997685</v>
      </c>
      <c r="B27" s="7" t="n">
        <v>46278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50.2</v>
      </c>
    </row>
    <row r="28">
      <c r="A28" s="7" t="n">
        <v>46277.94390239583</v>
      </c>
      <c r="B28" s="7" t="n">
        <v>46277.875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COUNTIFS(資金明細!$C$2:$C$140,"進場",資金明細!$N$2:$N$140,"已下單")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COUNTIFS(資金明細!$C$2:$C$140,"進場",資金明細!$N$2:$N$140,"資金不足略過")</f>
        <v/>
      </c>
    </row>
    <row r="11">
      <c r="D11" s="2" t="inlineStr">
        <is>
          <t>止盈筆數</t>
        </is>
      </c>
      <c r="E11" s="15">
        <f>COUNTIFS(資金明細!$C$2:$C$140,"出場",資金明細!$N$2:$N$140,"已下單",資金明細!$K$2:$K$140,"止盈")</f>
        <v/>
      </c>
    </row>
    <row r="12">
      <c r="A12" s="2" t="inlineStr">
        <is>
          <t>每筆止損約虧本金</t>
        </is>
      </c>
      <c r="B12" s="4">
        <f>B5*B7*IFERROR(AVERAGE(交易明細!$AB$2:$AB$70),參數!B6)</f>
        <v/>
      </c>
      <c r="D12" s="2" t="inlineStr">
        <is>
          <t>止損筆數</t>
        </is>
      </c>
      <c r="E12" s="15">
        <f>COUNTIFS(資金明細!$C$2:$C$140,"出場",資金明細!$N$2:$N$140,"已下單",資金明細!$K$2:$K$140,"止損")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IFERROR(E11/COUNTIFS(資金明細!$C$2:$C$140,"出場",資金明細!$N$2:$N$140,"已下單"),0)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MAX(資金明細!$S$2:$S$140)</f>
        <v/>
      </c>
    </row>
    <row r="16">
      <c r="D16" s="2" t="inlineStr">
        <is>
          <t>期末下單金額</t>
        </is>
      </c>
      <c r="E16" s="16">
        <f>B5*資金明細!V140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IFERROR(INDEX(資金明細!$B$2:$B$140,MATCH(1,資金明細!$Z$2:$Z$140,0)),"未觸發")</f>
        <v/>
      </c>
    </row>
    <row r="21">
      <c r="D21" s="2" t="inlineStr">
        <is>
          <t>停止後略過筆數</t>
        </is>
      </c>
      <c r="E21" s="15">
        <f>COUNTIFS(資金明細!$C$2:$C$140,"進場",資金明細!$N$2:$N$140,"已停止")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46266.51388888889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0.018968</v>
      </c>
      <c r="H3" s="17" t="n">
        <v>0.01839896</v>
      </c>
      <c r="I3" s="17" t="n">
        <v>0.0199164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46266.51736111111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0.018968</v>
      </c>
      <c r="H4" s="17" t="n">
        <v>0.01839896</v>
      </c>
      <c r="I4" s="17" t="n">
        <v>0.0199164</v>
      </c>
      <c r="J4" s="17" t="n">
        <v>0.01839896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46266.84027777778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17" t="n">
        <v>0.18983</v>
      </c>
      <c r="H5" s="17" t="n">
        <v>0.1841351</v>
      </c>
      <c r="I5" s="17" t="n">
        <v>0.1993215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46266.85763888889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17" t="n">
        <v>0.18983</v>
      </c>
      <c r="H6" s="17" t="n">
        <v>0.1841351</v>
      </c>
      <c r="I6" s="17" t="n">
        <v>0.1993215</v>
      </c>
      <c r="J6" s="17" t="n">
        <v>0.1841351</v>
      </c>
      <c r="K6" s="2" t="inlineStr">
        <is>
          <t>止盈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46266.91319444445</v>
      </c>
      <c r="C7" s="2" t="inlineStr">
        <is>
          <t>進場</t>
        </is>
      </c>
      <c r="D7" s="2" t="n">
        <v>3</v>
      </c>
      <c r="E7" s="2" t="inlineStr">
        <is>
          <t>FF_USDT_PERP</t>
        </is>
      </c>
      <c r="F7" s="2" t="inlineStr">
        <is>
          <t>做空</t>
        </is>
      </c>
      <c r="G7" s="17" t="n">
        <v>0.09786</v>
      </c>
      <c r="H7" s="17" t="n">
        <v>0.0949242</v>
      </c>
      <c r="I7" s="17" t="n">
        <v>0.102753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46266.93402777778</v>
      </c>
      <c r="C8" s="2" t="inlineStr">
        <is>
          <t>出場</t>
        </is>
      </c>
      <c r="D8" s="2" t="n">
        <v>3</v>
      </c>
      <c r="E8" s="2" t="inlineStr">
        <is>
          <t>FF_USDT_PERP</t>
        </is>
      </c>
      <c r="F8" s="2" t="inlineStr">
        <is>
          <t>做空</t>
        </is>
      </c>
      <c r="G8" s="17" t="n">
        <v>0.09786</v>
      </c>
      <c r="H8" s="17" t="n">
        <v>0.0949242</v>
      </c>
      <c r="I8" s="17" t="n">
        <v>0.102753</v>
      </c>
      <c r="J8" s="17" t="n">
        <v>0.102753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46267.98611111111</v>
      </c>
      <c r="C9" s="2" t="inlineStr">
        <is>
          <t>進場</t>
        </is>
      </c>
      <c r="D9" s="2" t="n">
        <v>4</v>
      </c>
      <c r="E9" s="2" t="inlineStr">
        <is>
          <t>MUBARAK_USDT_PERP</t>
        </is>
      </c>
      <c r="F9" s="2" t="inlineStr">
        <is>
          <t>做空</t>
        </is>
      </c>
      <c r="G9" s="17" t="n">
        <v>0.02662</v>
      </c>
      <c r="H9" s="17" t="n">
        <v>0.0258214</v>
      </c>
      <c r="I9" s="17" t="n">
        <v>0.027951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46267.99305555555</v>
      </c>
      <c r="C10" s="2" t="inlineStr">
        <is>
          <t>出場</t>
        </is>
      </c>
      <c r="D10" s="2" t="n">
        <v>4</v>
      </c>
      <c r="E10" s="2" t="inlineStr">
        <is>
          <t>MUBARAK_USDT_PERP</t>
        </is>
      </c>
      <c r="F10" s="2" t="inlineStr">
        <is>
          <t>做空</t>
        </is>
      </c>
      <c r="G10" s="17" t="n">
        <v>0.02662</v>
      </c>
      <c r="H10" s="17" t="n">
        <v>0.0258214</v>
      </c>
      <c r="I10" s="17" t="n">
        <v>0.027951</v>
      </c>
      <c r="J10" s="17" t="n">
        <v>0.027951</v>
      </c>
      <c r="K10" s="2" t="inlineStr">
        <is>
          <t>止損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46268.71875</v>
      </c>
      <c r="C11" s="2" t="inlineStr">
        <is>
          <t>進場</t>
        </is>
      </c>
      <c r="D11" s="2" t="n">
        <v>5</v>
      </c>
      <c r="E11" s="2" t="inlineStr">
        <is>
          <t>ZEST_USDT_PERP</t>
        </is>
      </c>
      <c r="F11" s="2" t="inlineStr">
        <is>
          <t>做空</t>
        </is>
      </c>
      <c r="G11" s="17" t="n">
        <v>0.15617</v>
      </c>
      <c r="H11" s="17" t="n">
        <v>0.1514849</v>
      </c>
      <c r="I11" s="17" t="n">
        <v>0.1639785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46268.72222222222</v>
      </c>
      <c r="C12" s="2" t="inlineStr">
        <is>
          <t>出場</t>
        </is>
      </c>
      <c r="D12" s="2" t="n">
        <v>5</v>
      </c>
      <c r="E12" s="2" t="inlineStr">
        <is>
          <t>ZEST_USDT_PERP</t>
        </is>
      </c>
      <c r="F12" s="2" t="inlineStr">
        <is>
          <t>做空</t>
        </is>
      </c>
      <c r="G12" s="17" t="n">
        <v>0.15617</v>
      </c>
      <c r="H12" s="17" t="n">
        <v>0.1514849</v>
      </c>
      <c r="I12" s="17" t="n">
        <v>0.1639785</v>
      </c>
      <c r="J12" s="17" t="n">
        <v>0.1639785</v>
      </c>
      <c r="K12" s="2" t="inlineStr">
        <is>
          <t>止損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46268.95138888889</v>
      </c>
      <c r="C13" s="2" t="inlineStr">
        <is>
          <t>進場</t>
        </is>
      </c>
      <c r="D13" s="2" t="n">
        <v>6</v>
      </c>
      <c r="E13" s="2" t="inlineStr">
        <is>
          <t>CATI_USDT_PERP</t>
        </is>
      </c>
      <c r="F13" s="2" t="inlineStr">
        <is>
          <t>做空</t>
        </is>
      </c>
      <c r="G13" s="17" t="n">
        <v>0.06712</v>
      </c>
      <c r="H13" s="17" t="n">
        <v>0.06510639999999999</v>
      </c>
      <c r="I13" s="17" t="n">
        <v>0.070476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46268.97222222222</v>
      </c>
      <c r="C14" s="2" t="inlineStr">
        <is>
          <t>出場</t>
        </is>
      </c>
      <c r="D14" s="2" t="n">
        <v>6</v>
      </c>
      <c r="E14" s="2" t="inlineStr">
        <is>
          <t>CATI_USDT_PERP</t>
        </is>
      </c>
      <c r="F14" s="2" t="inlineStr">
        <is>
          <t>做空</t>
        </is>
      </c>
      <c r="G14" s="17" t="n">
        <v>0.06712</v>
      </c>
      <c r="H14" s="17" t="n">
        <v>0.06510639999999999</v>
      </c>
      <c r="I14" s="17" t="n">
        <v>0.070476</v>
      </c>
      <c r="J14" s="17" t="n">
        <v>0.06510639999999999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46269.03472222222</v>
      </c>
      <c r="C15" s="2" t="inlineStr">
        <is>
          <t>進場</t>
        </is>
      </c>
      <c r="D15" s="2" t="n">
        <v>7</v>
      </c>
      <c r="E15" s="2" t="inlineStr">
        <is>
          <t>APR_USDT_PERP</t>
        </is>
      </c>
      <c r="F15" s="2" t="inlineStr">
        <is>
          <t>做空</t>
        </is>
      </c>
      <c r="G15" s="17" t="n">
        <v>0.269</v>
      </c>
      <c r="H15" s="17" t="n">
        <v>0.26093</v>
      </c>
      <c r="I15" s="17" t="n">
        <v>0.28245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46269.03819444445</v>
      </c>
      <c r="C16" s="2" t="inlineStr">
        <is>
          <t>出場</t>
        </is>
      </c>
      <c r="D16" s="2" t="n">
        <v>7</v>
      </c>
      <c r="E16" s="2" t="inlineStr">
        <is>
          <t>APR_USDT_PERP</t>
        </is>
      </c>
      <c r="F16" s="2" t="inlineStr">
        <is>
          <t>做空</t>
        </is>
      </c>
      <c r="G16" s="17" t="n">
        <v>0.269</v>
      </c>
      <c r="H16" s="17" t="n">
        <v>0.26093</v>
      </c>
      <c r="I16" s="17" t="n">
        <v>0.28245</v>
      </c>
      <c r="J16" s="17" t="n">
        <v>0.26093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46269.13888888889</v>
      </c>
      <c r="C17" s="2" t="inlineStr">
        <is>
          <t>進場</t>
        </is>
      </c>
      <c r="D17" s="2" t="n">
        <v>8</v>
      </c>
      <c r="E17" s="2" t="inlineStr">
        <is>
          <t>APR_USDT_PERP</t>
        </is>
      </c>
      <c r="F17" s="2" t="inlineStr">
        <is>
          <t>做空</t>
        </is>
      </c>
      <c r="G17" s="17" t="n">
        <v>0.2691</v>
      </c>
      <c r="H17" s="17" t="n">
        <v>0.261027</v>
      </c>
      <c r="I17" s="17" t="n">
        <v>0.282555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46269.14930555555</v>
      </c>
      <c r="C18" s="2" t="inlineStr">
        <is>
          <t>出場</t>
        </is>
      </c>
      <c r="D18" s="2" t="n">
        <v>8</v>
      </c>
      <c r="E18" s="2" t="inlineStr">
        <is>
          <t>APR_USDT_PERP</t>
        </is>
      </c>
      <c r="F18" s="2" t="inlineStr">
        <is>
          <t>做空</t>
        </is>
      </c>
      <c r="G18" s="17" t="n">
        <v>0.2691</v>
      </c>
      <c r="H18" s="17" t="n">
        <v>0.261027</v>
      </c>
      <c r="I18" s="17" t="n">
        <v>0.282555</v>
      </c>
      <c r="J18" s="17" t="n">
        <v>0.282555</v>
      </c>
      <c r="K18" s="2" t="inlineStr">
        <is>
          <t>止損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46269.19791666666</v>
      </c>
      <c r="C19" s="2" t="inlineStr">
        <is>
          <t>進場</t>
        </is>
      </c>
      <c r="D19" s="2" t="n">
        <v>9</v>
      </c>
      <c r="E19" s="2" t="inlineStr">
        <is>
          <t>APR_USDT_PERP</t>
        </is>
      </c>
      <c r="F19" s="2" t="inlineStr">
        <is>
          <t>做空</t>
        </is>
      </c>
      <c r="G19" s="17" t="n">
        <v>0.27595</v>
      </c>
      <c r="H19" s="17" t="n">
        <v>0.2676715</v>
      </c>
      <c r="I19" s="17" t="n">
        <v>0.2897475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46269.27777777778</v>
      </c>
      <c r="C20" s="2" t="inlineStr">
        <is>
          <t>出場</t>
        </is>
      </c>
      <c r="D20" s="2" t="n">
        <v>9</v>
      </c>
      <c r="E20" s="2" t="inlineStr">
        <is>
          <t>APR_USDT_PERP</t>
        </is>
      </c>
      <c r="F20" s="2" t="inlineStr">
        <is>
          <t>做空</t>
        </is>
      </c>
      <c r="G20" s="17" t="n">
        <v>0.27595</v>
      </c>
      <c r="H20" s="17" t="n">
        <v>0.2676715</v>
      </c>
      <c r="I20" s="17" t="n">
        <v>0.2897475</v>
      </c>
      <c r="J20" s="17" t="n">
        <v>0.2676715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46269.46875</v>
      </c>
      <c r="C21" s="2" t="inlineStr">
        <is>
          <t>進場</t>
        </is>
      </c>
      <c r="D21" s="2" t="n">
        <v>10</v>
      </c>
      <c r="E21" s="2" t="inlineStr">
        <is>
          <t>CAP_USDT_PERP</t>
        </is>
      </c>
      <c r="F21" s="2" t="inlineStr">
        <is>
          <t>做空</t>
        </is>
      </c>
      <c r="G21" s="17" t="n">
        <v>0.05225</v>
      </c>
      <c r="H21" s="17" t="n">
        <v>0.0506825</v>
      </c>
      <c r="I21" s="17" t="n">
        <v>0.0548625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46269.47222222222</v>
      </c>
      <c r="C22" s="2" t="inlineStr">
        <is>
          <t>出場</t>
        </is>
      </c>
      <c r="D22" s="2" t="n">
        <v>10</v>
      </c>
      <c r="E22" s="2" t="inlineStr">
        <is>
          <t>CAP_USDT_PERP</t>
        </is>
      </c>
      <c r="F22" s="2" t="inlineStr">
        <is>
          <t>做空</t>
        </is>
      </c>
      <c r="G22" s="17" t="n">
        <v>0.05225</v>
      </c>
      <c r="H22" s="17" t="n">
        <v>0.0506825</v>
      </c>
      <c r="I22" s="17" t="n">
        <v>0.0548625</v>
      </c>
      <c r="J22" s="17" t="n">
        <v>0.0548625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46269.50694444445</v>
      </c>
      <c r="C23" s="2" t="inlineStr">
        <is>
          <t>進場</t>
        </is>
      </c>
      <c r="D23" s="2" t="n">
        <v>11</v>
      </c>
      <c r="E23" s="2" t="inlineStr">
        <is>
          <t>TRIA_USDT_PERP</t>
        </is>
      </c>
      <c r="F23" s="2" t="inlineStr">
        <is>
          <t>做空</t>
        </is>
      </c>
      <c r="G23" s="17" t="n">
        <v>0.00483</v>
      </c>
      <c r="H23" s="17" t="n">
        <v>0.0046851</v>
      </c>
      <c r="I23" s="17" t="n">
        <v>0.0050715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46269.51388888889</v>
      </c>
      <c r="C24" s="2" t="inlineStr">
        <is>
          <t>出場</t>
        </is>
      </c>
      <c r="D24" s="2" t="n">
        <v>11</v>
      </c>
      <c r="E24" s="2" t="inlineStr">
        <is>
          <t>TRIA_USDT_PERP</t>
        </is>
      </c>
      <c r="F24" s="2" t="inlineStr">
        <is>
          <t>做空</t>
        </is>
      </c>
      <c r="G24" s="17" t="n">
        <v>0.00483</v>
      </c>
      <c r="H24" s="17" t="n">
        <v>0.0046851</v>
      </c>
      <c r="I24" s="17" t="n">
        <v>0.0050715</v>
      </c>
      <c r="J24" s="17" t="n">
        <v>0.0046851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46269.52083333334</v>
      </c>
      <c r="C25" s="2" t="inlineStr">
        <is>
          <t>進場</t>
        </is>
      </c>
      <c r="D25" s="2" t="n">
        <v>12</v>
      </c>
      <c r="E25" s="2" t="inlineStr">
        <is>
          <t>Q_USDT_PERP</t>
        </is>
      </c>
      <c r="F25" s="2" t="inlineStr">
        <is>
          <t>做空</t>
        </is>
      </c>
      <c r="G25" s="17" t="n">
        <v>0.026302</v>
      </c>
      <c r="H25" s="17" t="n">
        <v>0.02551294</v>
      </c>
      <c r="I25" s="17" t="n">
        <v>0.0276171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46269.52430555555</v>
      </c>
      <c r="C26" s="2" t="inlineStr">
        <is>
          <t>出場</t>
        </is>
      </c>
      <c r="D26" s="2" t="n">
        <v>12</v>
      </c>
      <c r="E26" s="2" t="inlineStr">
        <is>
          <t>Q_USDT_PERP</t>
        </is>
      </c>
      <c r="F26" s="2" t="inlineStr">
        <is>
          <t>做空</t>
        </is>
      </c>
      <c r="G26" s="17" t="n">
        <v>0.026302</v>
      </c>
      <c r="H26" s="17" t="n">
        <v>0.02551294</v>
      </c>
      <c r="I26" s="17" t="n">
        <v>0.0276171</v>
      </c>
      <c r="J26" s="17" t="n">
        <v>0.02551294</v>
      </c>
      <c r="K26" s="2" t="inlineStr">
        <is>
          <t>止盈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46269.56597222222</v>
      </c>
      <c r="C27" s="2" t="inlineStr">
        <is>
          <t>進場</t>
        </is>
      </c>
      <c r="D27" s="2" t="n">
        <v>13</v>
      </c>
      <c r="E27" s="2" t="inlineStr">
        <is>
          <t>Q_USDT_PERP</t>
        </is>
      </c>
      <c r="F27" s="2" t="inlineStr">
        <is>
          <t>做空</t>
        </is>
      </c>
      <c r="G27" s="17" t="n">
        <v>0.026004</v>
      </c>
      <c r="H27" s="17" t="n">
        <v>0.02522388</v>
      </c>
      <c r="I27" s="17" t="n">
        <v>0.0273042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46269.56944444445</v>
      </c>
      <c r="C28" s="2" t="inlineStr">
        <is>
          <t>出場</t>
        </is>
      </c>
      <c r="D28" s="2" t="n">
        <v>13</v>
      </c>
      <c r="E28" s="2" t="inlineStr">
        <is>
          <t>Q_USDT_PERP</t>
        </is>
      </c>
      <c r="F28" s="2" t="inlineStr">
        <is>
          <t>做空</t>
        </is>
      </c>
      <c r="G28" s="17" t="n">
        <v>0.026004</v>
      </c>
      <c r="H28" s="17" t="n">
        <v>0.02522388</v>
      </c>
      <c r="I28" s="17" t="n">
        <v>0.0273042</v>
      </c>
      <c r="J28" s="17" t="n">
        <v>0.02522388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46269.60763888889</v>
      </c>
      <c r="C29" s="2" t="inlineStr">
        <is>
          <t>進場</t>
        </is>
      </c>
      <c r="D29" s="2" t="n">
        <v>14</v>
      </c>
      <c r="E29" s="2" t="inlineStr">
        <is>
          <t>TRIA_USDT_PERP</t>
        </is>
      </c>
      <c r="F29" s="2" t="inlineStr">
        <is>
          <t>做空</t>
        </is>
      </c>
      <c r="G29" s="17" t="n">
        <v>0.00525</v>
      </c>
      <c r="H29" s="17" t="n">
        <v>0.0050925</v>
      </c>
      <c r="I29" s="17" t="n">
        <v>0.005512500000000001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46269.61805555555</v>
      </c>
      <c r="C30" s="2" t="inlineStr">
        <is>
          <t>出場</t>
        </is>
      </c>
      <c r="D30" s="2" t="n">
        <v>14</v>
      </c>
      <c r="E30" s="2" t="inlineStr">
        <is>
          <t>TRIA_USDT_PERP</t>
        </is>
      </c>
      <c r="F30" s="2" t="inlineStr">
        <is>
          <t>做空</t>
        </is>
      </c>
      <c r="G30" s="17" t="n">
        <v>0.00525</v>
      </c>
      <c r="H30" s="17" t="n">
        <v>0.0050925</v>
      </c>
      <c r="I30" s="17" t="n">
        <v>0.005512500000000001</v>
      </c>
      <c r="J30" s="17" t="n">
        <v>0.0050925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46270.02430555555</v>
      </c>
      <c r="C31" s="2" t="inlineStr">
        <is>
          <t>進場</t>
        </is>
      </c>
      <c r="D31" s="2" t="n">
        <v>15</v>
      </c>
      <c r="E31" s="2" t="inlineStr">
        <is>
          <t>4_USDT_PERP</t>
        </is>
      </c>
      <c r="F31" s="2" t="inlineStr">
        <is>
          <t>做空</t>
        </is>
      </c>
      <c r="G31" s="17" t="n">
        <v>0.01808</v>
      </c>
      <c r="H31" s="17" t="n">
        <v>0.0175376</v>
      </c>
      <c r="I31" s="17" t="n">
        <v>0.018984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46270.02777777778</v>
      </c>
      <c r="C32" s="2" t="inlineStr">
        <is>
          <t>出場</t>
        </is>
      </c>
      <c r="D32" s="2" t="n">
        <v>15</v>
      </c>
      <c r="E32" s="2" t="inlineStr">
        <is>
          <t>4_USDT_PERP</t>
        </is>
      </c>
      <c r="F32" s="2" t="inlineStr">
        <is>
          <t>做空</t>
        </is>
      </c>
      <c r="G32" s="17" t="n">
        <v>0.01808</v>
      </c>
      <c r="H32" s="17" t="n">
        <v>0.0175376</v>
      </c>
      <c r="I32" s="17" t="n">
        <v>0.018984</v>
      </c>
      <c r="J32" s="17" t="n">
        <v>0.0175376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46270.06944444445</v>
      </c>
      <c r="C33" s="2" t="inlineStr">
        <is>
          <t>進場</t>
        </is>
      </c>
      <c r="D33" s="2" t="n">
        <v>16</v>
      </c>
      <c r="E33" s="2" t="inlineStr">
        <is>
          <t>4_USDT_PERP</t>
        </is>
      </c>
      <c r="F33" s="2" t="inlineStr">
        <is>
          <t>做空</t>
        </is>
      </c>
      <c r="G33" s="17" t="n">
        <v>0.02023</v>
      </c>
      <c r="H33" s="17" t="n">
        <v>0.0196231</v>
      </c>
      <c r="I33" s="17" t="n">
        <v>0.0212415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46270.08680555555</v>
      </c>
      <c r="C34" s="2" t="inlineStr">
        <is>
          <t>出場</t>
        </is>
      </c>
      <c r="D34" s="2" t="n">
        <v>16</v>
      </c>
      <c r="E34" s="2" t="inlineStr">
        <is>
          <t>4_USDT_PERP</t>
        </is>
      </c>
      <c r="F34" s="2" t="inlineStr">
        <is>
          <t>做空</t>
        </is>
      </c>
      <c r="G34" s="17" t="n">
        <v>0.02023</v>
      </c>
      <c r="H34" s="17" t="n">
        <v>0.0196231</v>
      </c>
      <c r="I34" s="17" t="n">
        <v>0.0212415</v>
      </c>
      <c r="J34" s="17" t="n">
        <v>0.0212415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46270.12847222222</v>
      </c>
      <c r="C35" s="2" t="inlineStr">
        <is>
          <t>進場</t>
        </is>
      </c>
      <c r="D35" s="2" t="n">
        <v>17</v>
      </c>
      <c r="E35" s="2" t="inlineStr">
        <is>
          <t>4_USDT_PERP</t>
        </is>
      </c>
      <c r="F35" s="2" t="inlineStr">
        <is>
          <t>做空</t>
        </is>
      </c>
      <c r="G35" s="17" t="n">
        <v>0.02225</v>
      </c>
      <c r="H35" s="17" t="n">
        <v>0.0215825</v>
      </c>
      <c r="I35" s="17" t="n">
        <v>0.0233625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46270.14583333334</v>
      </c>
      <c r="C36" s="2" t="inlineStr">
        <is>
          <t>出場</t>
        </is>
      </c>
      <c r="D36" s="2" t="n">
        <v>17</v>
      </c>
      <c r="E36" s="2" t="inlineStr">
        <is>
          <t>4_USDT_PERP</t>
        </is>
      </c>
      <c r="F36" s="2" t="inlineStr">
        <is>
          <t>做空</t>
        </is>
      </c>
      <c r="G36" s="17" t="n">
        <v>0.02225</v>
      </c>
      <c r="H36" s="17" t="n">
        <v>0.0215825</v>
      </c>
      <c r="I36" s="17" t="n">
        <v>0.0233625</v>
      </c>
      <c r="J36" s="17" t="n">
        <v>0.0215825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46270.45138888889</v>
      </c>
      <c r="C37" s="2" t="inlineStr">
        <is>
          <t>進場</t>
        </is>
      </c>
      <c r="D37" s="2" t="n">
        <v>18</v>
      </c>
      <c r="E37" s="2" t="inlineStr">
        <is>
          <t>NOM_USDT_PERP</t>
        </is>
      </c>
      <c r="F37" s="2" t="inlineStr">
        <is>
          <t>做空</t>
        </is>
      </c>
      <c r="G37" s="17" t="n">
        <v>0.001833</v>
      </c>
      <c r="H37" s="17" t="n">
        <v>0.00177801</v>
      </c>
      <c r="I37" s="17" t="n">
        <v>0.00192465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46270.46527777778</v>
      </c>
      <c r="C38" s="2" t="inlineStr">
        <is>
          <t>出場</t>
        </is>
      </c>
      <c r="D38" s="2" t="n">
        <v>18</v>
      </c>
      <c r="E38" s="2" t="inlineStr">
        <is>
          <t>NOM_USDT_PERP</t>
        </is>
      </c>
      <c r="F38" s="2" t="inlineStr">
        <is>
          <t>做空</t>
        </is>
      </c>
      <c r="G38" s="17" t="n">
        <v>0.001833</v>
      </c>
      <c r="H38" s="17" t="n">
        <v>0.00177801</v>
      </c>
      <c r="I38" s="17" t="n">
        <v>0.00192465</v>
      </c>
      <c r="J38" s="17" t="n">
        <v>0.00192465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46270.56944444445</v>
      </c>
      <c r="C39" s="2" t="inlineStr">
        <is>
          <t>進場</t>
        </is>
      </c>
      <c r="D39" s="2" t="n">
        <v>19</v>
      </c>
      <c r="E39" s="2" t="inlineStr">
        <is>
          <t>NOM_USDT_PERP</t>
        </is>
      </c>
      <c r="F39" s="2" t="inlineStr">
        <is>
          <t>做空</t>
        </is>
      </c>
      <c r="G39" s="17" t="n">
        <v>0.002085</v>
      </c>
      <c r="H39" s="17" t="n">
        <v>0.00202245</v>
      </c>
      <c r="I39" s="17" t="n">
        <v>0.00218925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46270.58333333334</v>
      </c>
      <c r="C40" s="2" t="inlineStr">
        <is>
          <t>出場</t>
        </is>
      </c>
      <c r="D40" s="2" t="n">
        <v>19</v>
      </c>
      <c r="E40" s="2" t="inlineStr">
        <is>
          <t>NOM_USDT_PERP</t>
        </is>
      </c>
      <c r="F40" s="2" t="inlineStr">
        <is>
          <t>做空</t>
        </is>
      </c>
      <c r="G40" s="17" t="n">
        <v>0.002085</v>
      </c>
      <c r="H40" s="17" t="n">
        <v>0.00202245</v>
      </c>
      <c r="I40" s="17" t="n">
        <v>0.00218925</v>
      </c>
      <c r="J40" s="17" t="n">
        <v>0.00202245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46270.60069444445</v>
      </c>
      <c r="C41" s="2" t="inlineStr">
        <is>
          <t>進場</t>
        </is>
      </c>
      <c r="D41" s="2" t="n">
        <v>20</v>
      </c>
      <c r="E41" s="2" t="inlineStr">
        <is>
          <t>B_USDT_PERP</t>
        </is>
      </c>
      <c r="F41" s="2" t="inlineStr">
        <is>
          <t>做空</t>
        </is>
      </c>
      <c r="G41" s="17" t="n">
        <v>0.2168</v>
      </c>
      <c r="H41" s="17" t="n">
        <v>0.210296</v>
      </c>
      <c r="I41" s="17" t="n">
        <v>0.22764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46270.60416666666</v>
      </c>
      <c r="C42" s="2" t="inlineStr">
        <is>
          <t>出場</t>
        </is>
      </c>
      <c r="D42" s="2" t="n">
        <v>20</v>
      </c>
      <c r="E42" s="2" t="inlineStr">
        <is>
          <t>B_USDT_PERP</t>
        </is>
      </c>
      <c r="F42" s="2" t="inlineStr">
        <is>
          <t>做空</t>
        </is>
      </c>
      <c r="G42" s="17" t="n">
        <v>0.2168</v>
      </c>
      <c r="H42" s="17" t="n">
        <v>0.210296</v>
      </c>
      <c r="I42" s="17" t="n">
        <v>0.22764</v>
      </c>
      <c r="J42" s="17" t="n">
        <v>0.210296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46270.61805555555</v>
      </c>
      <c r="C43" s="2" t="inlineStr">
        <is>
          <t>進場</t>
        </is>
      </c>
      <c r="D43" s="2" t="n">
        <v>21</v>
      </c>
      <c r="E43" s="2" t="inlineStr">
        <is>
          <t>NAORIS_USDT_PERP</t>
        </is>
      </c>
      <c r="F43" s="2" t="inlineStr">
        <is>
          <t>做空</t>
        </is>
      </c>
      <c r="G43" s="17" t="n">
        <v>0.03141</v>
      </c>
      <c r="H43" s="17" t="n">
        <v>0.0304677</v>
      </c>
      <c r="I43" s="17" t="n">
        <v>0.0329805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46270.62847222222</v>
      </c>
      <c r="C44" s="2" t="inlineStr">
        <is>
          <t>出場</t>
        </is>
      </c>
      <c r="D44" s="2" t="n">
        <v>21</v>
      </c>
      <c r="E44" s="2" t="inlineStr">
        <is>
          <t>NAORIS_USDT_PERP</t>
        </is>
      </c>
      <c r="F44" s="2" t="inlineStr">
        <is>
          <t>做空</t>
        </is>
      </c>
      <c r="G44" s="17" t="n">
        <v>0.03141</v>
      </c>
      <c r="H44" s="17" t="n">
        <v>0.0304677</v>
      </c>
      <c r="I44" s="17" t="n">
        <v>0.0329805</v>
      </c>
      <c r="J44" s="17" t="n">
        <v>0.0304677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46270.63194444445</v>
      </c>
      <c r="C45" s="2" t="inlineStr">
        <is>
          <t>進場</t>
        </is>
      </c>
      <c r="D45" s="2" t="n">
        <v>22</v>
      </c>
      <c r="E45" s="2" t="inlineStr">
        <is>
          <t>TRADOOR_USDT_PERP</t>
        </is>
      </c>
      <c r="F45" s="2" t="inlineStr">
        <is>
          <t>做空</t>
        </is>
      </c>
      <c r="G45" s="17" t="n">
        <v>0.7411</v>
      </c>
      <c r="H45" s="17" t="n">
        <v>0.7188669999999999</v>
      </c>
      <c r="I45" s="17" t="n">
        <v>0.778155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46270.63541666666</v>
      </c>
      <c r="C46" s="2" t="inlineStr">
        <is>
          <t>出場</t>
        </is>
      </c>
      <c r="D46" s="2" t="n">
        <v>22</v>
      </c>
      <c r="E46" s="2" t="inlineStr">
        <is>
          <t>TRADOOR_USDT_PERP</t>
        </is>
      </c>
      <c r="F46" s="2" t="inlineStr">
        <is>
          <t>做空</t>
        </is>
      </c>
      <c r="G46" s="17" t="n">
        <v>0.7411</v>
      </c>
      <c r="H46" s="17" t="n">
        <v>0.7188669999999999</v>
      </c>
      <c r="I46" s="17" t="n">
        <v>0.778155</v>
      </c>
      <c r="J46" s="17" t="n">
        <v>0.778155</v>
      </c>
      <c r="K46" s="2" t="inlineStr">
        <is>
          <t>止損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46270.64583333334</v>
      </c>
      <c r="C47" s="2" t="inlineStr">
        <is>
          <t>進場</t>
        </is>
      </c>
      <c r="D47" s="2" t="n">
        <v>23</v>
      </c>
      <c r="E47" s="2" t="inlineStr">
        <is>
          <t>B_USDT_PERP</t>
        </is>
      </c>
      <c r="F47" s="2" t="inlineStr">
        <is>
          <t>做空</t>
        </is>
      </c>
      <c r="G47" s="17" t="n">
        <v>0.1992</v>
      </c>
      <c r="H47" s="17" t="n">
        <v>0.193224</v>
      </c>
      <c r="I47" s="17" t="n">
        <v>0.20916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46270.65972222222</v>
      </c>
      <c r="C48" s="2" t="inlineStr">
        <is>
          <t>出場</t>
        </is>
      </c>
      <c r="D48" s="2" t="n">
        <v>23</v>
      </c>
      <c r="E48" s="2" t="inlineStr">
        <is>
          <t>B_USDT_PERP</t>
        </is>
      </c>
      <c r="F48" s="2" t="inlineStr">
        <is>
          <t>做空</t>
        </is>
      </c>
      <c r="G48" s="17" t="n">
        <v>0.1992</v>
      </c>
      <c r="H48" s="17" t="n">
        <v>0.193224</v>
      </c>
      <c r="I48" s="17" t="n">
        <v>0.20916</v>
      </c>
      <c r="J48" s="17" t="n">
        <v>0.193224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46270.78472222222</v>
      </c>
      <c r="C49" s="2" t="inlineStr">
        <is>
          <t>進場</t>
        </is>
      </c>
      <c r="D49" s="2" t="n">
        <v>24</v>
      </c>
      <c r="E49" s="2" t="inlineStr">
        <is>
          <t>COLLECT_USDT_PERP</t>
        </is>
      </c>
      <c r="F49" s="2" t="inlineStr">
        <is>
          <t>做空</t>
        </is>
      </c>
      <c r="G49" s="17" t="n">
        <v>0.09945</v>
      </c>
      <c r="H49" s="17" t="n">
        <v>0.0964665</v>
      </c>
      <c r="I49" s="17" t="n">
        <v>0.1044225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46270.79166666666</v>
      </c>
      <c r="C50" s="2" t="inlineStr">
        <is>
          <t>出場</t>
        </is>
      </c>
      <c r="D50" s="2" t="n">
        <v>24</v>
      </c>
      <c r="E50" s="2" t="inlineStr">
        <is>
          <t>COLLECT_USDT_PERP</t>
        </is>
      </c>
      <c r="F50" s="2" t="inlineStr">
        <is>
          <t>做空</t>
        </is>
      </c>
      <c r="G50" s="17" t="n">
        <v>0.09945</v>
      </c>
      <c r="H50" s="17" t="n">
        <v>0.0964665</v>
      </c>
      <c r="I50" s="17" t="n">
        <v>0.1044225</v>
      </c>
      <c r="J50" s="17" t="n">
        <v>0.0964665</v>
      </c>
      <c r="K50" s="2" t="inlineStr">
        <is>
          <t>止盈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46271.07986111111</v>
      </c>
      <c r="C51" s="2" t="inlineStr">
        <is>
          <t>進場</t>
        </is>
      </c>
      <c r="D51" s="2" t="n">
        <v>25</v>
      </c>
      <c r="E51" s="2" t="inlineStr">
        <is>
          <t>SUSHI_USDT_PERP</t>
        </is>
      </c>
      <c r="F51" s="2" t="inlineStr">
        <is>
          <t>做空</t>
        </is>
      </c>
      <c r="G51" s="17" t="n">
        <v>0.2468</v>
      </c>
      <c r="H51" s="17" t="n">
        <v>0.239396</v>
      </c>
      <c r="I51" s="17" t="n">
        <v>0.25914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46271.12152777778</v>
      </c>
      <c r="C52" s="2" t="inlineStr">
        <is>
          <t>出場</t>
        </is>
      </c>
      <c r="D52" s="2" t="n">
        <v>25</v>
      </c>
      <c r="E52" s="2" t="inlineStr">
        <is>
          <t>SUSHI_USDT_PERP</t>
        </is>
      </c>
      <c r="F52" s="2" t="inlineStr">
        <is>
          <t>做空</t>
        </is>
      </c>
      <c r="G52" s="17" t="n">
        <v>0.2468</v>
      </c>
      <c r="H52" s="17" t="n">
        <v>0.239396</v>
      </c>
      <c r="I52" s="17" t="n">
        <v>0.25914</v>
      </c>
      <c r="J52" s="17" t="n">
        <v>0.25914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46271.47569444445</v>
      </c>
      <c r="C53" s="2" t="inlineStr">
        <is>
          <t>進場</t>
        </is>
      </c>
      <c r="D53" s="2" t="n">
        <v>26</v>
      </c>
      <c r="E53" s="2" t="inlineStr">
        <is>
          <t>RAY_USDT_PERP</t>
        </is>
      </c>
      <c r="F53" s="2" t="inlineStr">
        <is>
          <t>做空</t>
        </is>
      </c>
      <c r="G53" s="17" t="n">
        <v>1.106</v>
      </c>
      <c r="H53" s="17" t="n">
        <v>1.07282</v>
      </c>
      <c r="I53" s="17" t="n">
        <v>1.1613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46271.49305555555</v>
      </c>
      <c r="C54" s="2" t="inlineStr">
        <is>
          <t>出場</t>
        </is>
      </c>
      <c r="D54" s="2" t="n">
        <v>26</v>
      </c>
      <c r="E54" s="2" t="inlineStr">
        <is>
          <t>RAY_USDT_PERP</t>
        </is>
      </c>
      <c r="F54" s="2" t="inlineStr">
        <is>
          <t>做空</t>
        </is>
      </c>
      <c r="G54" s="17" t="n">
        <v>1.106</v>
      </c>
      <c r="H54" s="17" t="n">
        <v>1.07282</v>
      </c>
      <c r="I54" s="17" t="n">
        <v>1.1613</v>
      </c>
      <c r="J54" s="17" t="n">
        <v>1.1613</v>
      </c>
      <c r="K54" s="2" t="inlineStr">
        <is>
          <t>止損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46271.53819444445</v>
      </c>
      <c r="C55" s="2" t="inlineStr">
        <is>
          <t>進場</t>
        </is>
      </c>
      <c r="D55" s="2" t="n">
        <v>27</v>
      </c>
      <c r="E55" s="2" t="inlineStr">
        <is>
          <t>RAY_USDT_PERP</t>
        </is>
      </c>
      <c r="F55" s="2" t="inlineStr">
        <is>
          <t>做空</t>
        </is>
      </c>
      <c r="G55" s="17" t="n">
        <v>1.154</v>
      </c>
      <c r="H55" s="17" t="n">
        <v>1.11938</v>
      </c>
      <c r="I55" s="17" t="n">
        <v>1.2117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46271.59375</v>
      </c>
      <c r="C56" s="2" t="inlineStr">
        <is>
          <t>出場</t>
        </is>
      </c>
      <c r="D56" s="2" t="n">
        <v>27</v>
      </c>
      <c r="E56" s="2" t="inlineStr">
        <is>
          <t>RAY_USDT_PERP</t>
        </is>
      </c>
      <c r="F56" s="2" t="inlineStr">
        <is>
          <t>做空</t>
        </is>
      </c>
      <c r="G56" s="17" t="n">
        <v>1.154</v>
      </c>
      <c r="H56" s="17" t="n">
        <v>1.11938</v>
      </c>
      <c r="I56" s="17" t="n">
        <v>1.2117</v>
      </c>
      <c r="J56" s="17" t="n">
        <v>1.11938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46271.71527777778</v>
      </c>
      <c r="C57" s="2" t="inlineStr">
        <is>
          <t>進場</t>
        </is>
      </c>
      <c r="D57" s="2" t="n">
        <v>28</v>
      </c>
      <c r="E57" s="2" t="inlineStr">
        <is>
          <t>SOLV_USDT_PERP</t>
        </is>
      </c>
      <c r="F57" s="2" t="inlineStr">
        <is>
          <t>做空</t>
        </is>
      </c>
      <c r="G57" s="17" t="n">
        <v>0.00391</v>
      </c>
      <c r="H57" s="17" t="n">
        <v>0.0037927</v>
      </c>
      <c r="I57" s="17" t="n">
        <v>0.004105500000000001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46271.73611111111</v>
      </c>
      <c r="C58" s="2" t="inlineStr">
        <is>
          <t>出場</t>
        </is>
      </c>
      <c r="D58" s="2" t="n">
        <v>28</v>
      </c>
      <c r="E58" s="2" t="inlineStr">
        <is>
          <t>SOLV_USDT_PERP</t>
        </is>
      </c>
      <c r="F58" s="2" t="inlineStr">
        <is>
          <t>做空</t>
        </is>
      </c>
      <c r="G58" s="17" t="n">
        <v>0.00391</v>
      </c>
      <c r="H58" s="17" t="n">
        <v>0.0037927</v>
      </c>
      <c r="I58" s="17" t="n">
        <v>0.004105500000000001</v>
      </c>
      <c r="J58" s="17" t="n">
        <v>0.0037927</v>
      </c>
      <c r="K58" s="2" t="inlineStr">
        <is>
          <t>止盈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46271.79513888889</v>
      </c>
      <c r="C59" s="2" t="inlineStr">
        <is>
          <t>進場</t>
        </is>
      </c>
      <c r="D59" s="2" t="n">
        <v>29</v>
      </c>
      <c r="E59" s="2" t="inlineStr">
        <is>
          <t>COTI_USDT_PERP</t>
        </is>
      </c>
      <c r="F59" s="2" t="inlineStr">
        <is>
          <t>做空</t>
        </is>
      </c>
      <c r="G59" s="17" t="n">
        <v>0.01904</v>
      </c>
      <c r="H59" s="17" t="n">
        <v>0.0184688</v>
      </c>
      <c r="I59" s="17" t="n">
        <v>0.019992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46271.80555555555</v>
      </c>
      <c r="C60" s="2" t="inlineStr">
        <is>
          <t>出場</t>
        </is>
      </c>
      <c r="D60" s="2" t="n">
        <v>29</v>
      </c>
      <c r="E60" s="2" t="inlineStr">
        <is>
          <t>COTI_USDT_PERP</t>
        </is>
      </c>
      <c r="F60" s="2" t="inlineStr">
        <is>
          <t>做空</t>
        </is>
      </c>
      <c r="G60" s="17" t="n">
        <v>0.01904</v>
      </c>
      <c r="H60" s="17" t="n">
        <v>0.0184688</v>
      </c>
      <c r="I60" s="17" t="n">
        <v>0.019992</v>
      </c>
      <c r="J60" s="17" t="n">
        <v>0.0184688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46272</v>
      </c>
      <c r="C61" s="2" t="inlineStr">
        <is>
          <t>進場</t>
        </is>
      </c>
      <c r="D61" s="2" t="n">
        <v>30</v>
      </c>
      <c r="E61" s="2" t="inlineStr">
        <is>
          <t>LAYER_USDT_PERP</t>
        </is>
      </c>
      <c r="F61" s="2" t="inlineStr">
        <is>
          <t>做空</t>
        </is>
      </c>
      <c r="G61" s="17" t="n">
        <v>0.0881</v>
      </c>
      <c r="H61" s="17" t="n">
        <v>0.08545699999999999</v>
      </c>
      <c r="I61" s="17" t="n">
        <v>0.092505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46272.00347222222</v>
      </c>
      <c r="C62" s="2" t="inlineStr">
        <is>
          <t>出場</t>
        </is>
      </c>
      <c r="D62" s="2" t="n">
        <v>30</v>
      </c>
      <c r="E62" s="2" t="inlineStr">
        <is>
          <t>LAYER_USDT_PERP</t>
        </is>
      </c>
      <c r="F62" s="2" t="inlineStr">
        <is>
          <t>做空</t>
        </is>
      </c>
      <c r="G62" s="17" t="n">
        <v>0.0881</v>
      </c>
      <c r="H62" s="17" t="n">
        <v>0.08545699999999999</v>
      </c>
      <c r="I62" s="17" t="n">
        <v>0.092505</v>
      </c>
      <c r="J62" s="17" t="n">
        <v>0.08545699999999999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46272.40972222222</v>
      </c>
      <c r="C63" s="2" t="inlineStr">
        <is>
          <t>進場</t>
        </is>
      </c>
      <c r="D63" s="2" t="n">
        <v>31</v>
      </c>
      <c r="E63" s="2" t="inlineStr">
        <is>
          <t>ORCA_USDT_PERP</t>
        </is>
      </c>
      <c r="F63" s="2" t="inlineStr">
        <is>
          <t>做空</t>
        </is>
      </c>
      <c r="G63" s="17" t="n">
        <v>1.642</v>
      </c>
      <c r="H63" s="17" t="n">
        <v>1.59274</v>
      </c>
      <c r="I63" s="17" t="n">
        <v>1.7241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46272.46180555555</v>
      </c>
      <c r="C64" s="2" t="inlineStr">
        <is>
          <t>出場</t>
        </is>
      </c>
      <c r="D64" s="2" t="n">
        <v>31</v>
      </c>
      <c r="E64" s="2" t="inlineStr">
        <is>
          <t>ORCA_USDT_PERP</t>
        </is>
      </c>
      <c r="F64" s="2" t="inlineStr">
        <is>
          <t>做空</t>
        </is>
      </c>
      <c r="G64" s="17" t="n">
        <v>1.642</v>
      </c>
      <c r="H64" s="17" t="n">
        <v>1.59274</v>
      </c>
      <c r="I64" s="17" t="n">
        <v>1.7241</v>
      </c>
      <c r="J64" s="17" t="n">
        <v>1.59274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46272.47916666666</v>
      </c>
      <c r="C65" s="2" t="inlineStr">
        <is>
          <t>進場</t>
        </is>
      </c>
      <c r="D65" s="2" t="n">
        <v>32</v>
      </c>
      <c r="E65" s="2" t="inlineStr">
        <is>
          <t>CFG_USDT_PERP</t>
        </is>
      </c>
      <c r="F65" s="2" t="inlineStr">
        <is>
          <t>做空</t>
        </is>
      </c>
      <c r="G65" s="17" t="n">
        <v>0.1336</v>
      </c>
      <c r="H65" s="17" t="n">
        <v>0.129592</v>
      </c>
      <c r="I65" s="17" t="n">
        <v>0.14028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46272.49305555555</v>
      </c>
      <c r="C66" s="2" t="inlineStr">
        <is>
          <t>出場</t>
        </is>
      </c>
      <c r="D66" s="2" t="n">
        <v>32</v>
      </c>
      <c r="E66" s="2" t="inlineStr">
        <is>
          <t>CFG_USDT_PERP</t>
        </is>
      </c>
      <c r="F66" s="2" t="inlineStr">
        <is>
          <t>做空</t>
        </is>
      </c>
      <c r="G66" s="17" t="n">
        <v>0.1336</v>
      </c>
      <c r="H66" s="17" t="n">
        <v>0.129592</v>
      </c>
      <c r="I66" s="17" t="n">
        <v>0.14028</v>
      </c>
      <c r="J66" s="17" t="n">
        <v>0.129592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46272.62847222222</v>
      </c>
      <c r="C67" s="2" t="inlineStr">
        <is>
          <t>進場</t>
        </is>
      </c>
      <c r="D67" s="2" t="n">
        <v>33</v>
      </c>
      <c r="E67" s="2" t="inlineStr">
        <is>
          <t>IOST_USDT_PERP</t>
        </is>
      </c>
      <c r="F67" s="2" t="inlineStr">
        <is>
          <t>做空</t>
        </is>
      </c>
      <c r="G67" s="17" t="n">
        <v>0.000878</v>
      </c>
      <c r="H67" s="17" t="n">
        <v>0.00085166</v>
      </c>
      <c r="I67" s="17" t="n">
        <v>0.0009219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46272.65277777778</v>
      </c>
      <c r="C68" s="2" t="inlineStr">
        <is>
          <t>出場</t>
        </is>
      </c>
      <c r="D68" s="2" t="n">
        <v>33</v>
      </c>
      <c r="E68" s="2" t="inlineStr">
        <is>
          <t>IOST_USDT_PERP</t>
        </is>
      </c>
      <c r="F68" s="2" t="inlineStr">
        <is>
          <t>做空</t>
        </is>
      </c>
      <c r="G68" s="17" t="n">
        <v>0.000878</v>
      </c>
      <c r="H68" s="17" t="n">
        <v>0.00085166</v>
      </c>
      <c r="I68" s="17" t="n">
        <v>0.0009219</v>
      </c>
      <c r="J68" s="17" t="n">
        <v>0.00085166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46272.83680555555</v>
      </c>
      <c r="C69" s="2" t="inlineStr">
        <is>
          <t>進場</t>
        </is>
      </c>
      <c r="D69" s="2" t="n">
        <v>34</v>
      </c>
      <c r="E69" s="2" t="inlineStr">
        <is>
          <t>LUNA2_USDT_PERP</t>
        </is>
      </c>
      <c r="F69" s="2" t="inlineStr">
        <is>
          <t>做空</t>
        </is>
      </c>
      <c r="G69" s="17" t="n">
        <v>0.05437</v>
      </c>
      <c r="H69" s="17" t="n">
        <v>0.0527389</v>
      </c>
      <c r="I69" s="17" t="n">
        <v>0.05708850000000001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46272.84722222222</v>
      </c>
      <c r="C70" s="2" t="inlineStr">
        <is>
          <t>出場</t>
        </is>
      </c>
      <c r="D70" s="2" t="n">
        <v>34</v>
      </c>
      <c r="E70" s="2" t="inlineStr">
        <is>
          <t>LUNA2_USDT_PERP</t>
        </is>
      </c>
      <c r="F70" s="2" t="inlineStr">
        <is>
          <t>做空</t>
        </is>
      </c>
      <c r="G70" s="17" t="n">
        <v>0.05437</v>
      </c>
      <c r="H70" s="17" t="n">
        <v>0.0527389</v>
      </c>
      <c r="I70" s="17" t="n">
        <v>0.05708850000000001</v>
      </c>
      <c r="J70" s="17" t="n">
        <v>0.0527389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46273.69791666666</v>
      </c>
      <c r="C71" s="2" t="inlineStr">
        <is>
          <t>進場</t>
        </is>
      </c>
      <c r="D71" s="2" t="n">
        <v>35</v>
      </c>
      <c r="E71" s="2" t="inlineStr">
        <is>
          <t>HAEDAL_USDT_PERP</t>
        </is>
      </c>
      <c r="F71" s="2" t="inlineStr">
        <is>
          <t>做空</t>
        </is>
      </c>
      <c r="G71" s="17" t="n">
        <v>0.02306</v>
      </c>
      <c r="H71" s="17" t="n">
        <v>0.0223682</v>
      </c>
      <c r="I71" s="17" t="n">
        <v>0.024213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46273.70833333334</v>
      </c>
      <c r="C72" s="2" t="inlineStr">
        <is>
          <t>出場</t>
        </is>
      </c>
      <c r="D72" s="2" t="n">
        <v>35</v>
      </c>
      <c r="E72" s="2" t="inlineStr">
        <is>
          <t>HAEDAL_USDT_PERP</t>
        </is>
      </c>
      <c r="F72" s="2" t="inlineStr">
        <is>
          <t>做空</t>
        </is>
      </c>
      <c r="G72" s="17" t="n">
        <v>0.02306</v>
      </c>
      <c r="H72" s="17" t="n">
        <v>0.0223682</v>
      </c>
      <c r="I72" s="17" t="n">
        <v>0.024213</v>
      </c>
      <c r="J72" s="17" t="n">
        <v>0.0223682</v>
      </c>
      <c r="K72" s="2" t="inlineStr">
        <is>
          <t>止盈</t>
        </is>
      </c>
      <c r="L72" s="5">
        <f>交易明細!K36</f>
        <v/>
      </c>
      <c r="M72" s="16">
        <f>M71</f>
        <v/>
      </c>
      <c r="N72" s="2">
        <f>N71</f>
        <v/>
      </c>
      <c r="O72" s="16">
        <f>O71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46274.48611111111</v>
      </c>
      <c r="C73" s="2" t="inlineStr">
        <is>
          <t>進場</t>
        </is>
      </c>
      <c r="D73" s="2" t="n">
        <v>36</v>
      </c>
      <c r="E73" s="2" t="inlineStr">
        <is>
          <t>KAT_USDT_PERP</t>
        </is>
      </c>
      <c r="F73" s="2" t="inlineStr">
        <is>
          <t>做空</t>
        </is>
      </c>
      <c r="G73" s="17" t="n">
        <v>0.006139</v>
      </c>
      <c r="H73" s="17" t="n">
        <v>0.00595483</v>
      </c>
      <c r="I73" s="17" t="n">
        <v>0.006445950000000001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46274.50347222222</v>
      </c>
      <c r="C74" s="2" t="inlineStr">
        <is>
          <t>出場</t>
        </is>
      </c>
      <c r="D74" s="2" t="n">
        <v>36</v>
      </c>
      <c r="E74" s="2" t="inlineStr">
        <is>
          <t>KAT_USDT_PERP</t>
        </is>
      </c>
      <c r="F74" s="2" t="inlineStr">
        <is>
          <t>做空</t>
        </is>
      </c>
      <c r="G74" s="17" t="n">
        <v>0.006139</v>
      </c>
      <c r="H74" s="17" t="n">
        <v>0.00595483</v>
      </c>
      <c r="I74" s="17" t="n">
        <v>0.006445950000000001</v>
      </c>
      <c r="J74" s="17" t="n">
        <v>0.00595483</v>
      </c>
      <c r="K74" s="2" t="inlineStr">
        <is>
          <t>止盈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46274.51388888889</v>
      </c>
      <c r="C75" s="2" t="inlineStr">
        <is>
          <t>進場</t>
        </is>
      </c>
      <c r="D75" s="2" t="n">
        <v>37</v>
      </c>
      <c r="E75" s="2" t="inlineStr">
        <is>
          <t>PROS_USDT_PERP</t>
        </is>
      </c>
      <c r="F75" s="2" t="inlineStr">
        <is>
          <t>做空</t>
        </is>
      </c>
      <c r="G75" s="17" t="n">
        <v>0.5004999999999999</v>
      </c>
      <c r="H75" s="17" t="n">
        <v>0.4854849999999999</v>
      </c>
      <c r="I75" s="17" t="n">
        <v>0.525525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46274.53125</v>
      </c>
      <c r="C76" s="2" t="inlineStr">
        <is>
          <t>出場</t>
        </is>
      </c>
      <c r="D76" s="2" t="n">
        <v>37</v>
      </c>
      <c r="E76" s="2" t="inlineStr">
        <is>
          <t>PROS_USDT_PERP</t>
        </is>
      </c>
      <c r="F76" s="2" t="inlineStr">
        <is>
          <t>做空</t>
        </is>
      </c>
      <c r="G76" s="17" t="n">
        <v>0.5004999999999999</v>
      </c>
      <c r="H76" s="17" t="n">
        <v>0.4854849999999999</v>
      </c>
      <c r="I76" s="17" t="n">
        <v>0.525525</v>
      </c>
      <c r="J76" s="17" t="n">
        <v>0.525525</v>
      </c>
      <c r="K76" s="2" t="inlineStr">
        <is>
          <t>止損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46274.98958333334</v>
      </c>
      <c r="C77" s="2" t="inlineStr">
        <is>
          <t>進場</t>
        </is>
      </c>
      <c r="D77" s="2" t="n">
        <v>38</v>
      </c>
      <c r="E77" s="2" t="inlineStr">
        <is>
          <t>LRC_USDT_PERP</t>
        </is>
      </c>
      <c r="F77" s="2" t="inlineStr">
        <is>
          <t>做空</t>
        </is>
      </c>
      <c r="G77" s="17" t="n">
        <v>0.01198</v>
      </c>
      <c r="H77" s="17" t="n">
        <v>0.0116206</v>
      </c>
      <c r="I77" s="17" t="n">
        <v>0.012579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46274.99305555555</v>
      </c>
      <c r="C78" s="2" t="inlineStr">
        <is>
          <t>出場</t>
        </is>
      </c>
      <c r="D78" s="2" t="n">
        <v>38</v>
      </c>
      <c r="E78" s="2" t="inlineStr">
        <is>
          <t>LRC_USDT_PERP</t>
        </is>
      </c>
      <c r="F78" s="2" t="inlineStr">
        <is>
          <t>做空</t>
        </is>
      </c>
      <c r="G78" s="17" t="n">
        <v>0.01198</v>
      </c>
      <c r="H78" s="17" t="n">
        <v>0.0116206</v>
      </c>
      <c r="I78" s="17" t="n">
        <v>0.012579</v>
      </c>
      <c r="J78" s="17" t="n">
        <v>0.0116206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46275.04166666666</v>
      </c>
      <c r="C79" s="2" t="inlineStr">
        <is>
          <t>進場</t>
        </is>
      </c>
      <c r="D79" s="2" t="n">
        <v>39</v>
      </c>
      <c r="E79" s="2" t="inlineStr">
        <is>
          <t>PHA_USDT_PERP</t>
        </is>
      </c>
      <c r="F79" s="2" t="inlineStr">
        <is>
          <t>做空</t>
        </is>
      </c>
      <c r="G79" s="17" t="n">
        <v>0.03416</v>
      </c>
      <c r="H79" s="17" t="n">
        <v>0.0331352</v>
      </c>
      <c r="I79" s="17" t="n">
        <v>0.035868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46275.04513888889</v>
      </c>
      <c r="C80" s="2" t="inlineStr">
        <is>
          <t>出場</t>
        </is>
      </c>
      <c r="D80" s="2" t="n">
        <v>39</v>
      </c>
      <c r="E80" s="2" t="inlineStr">
        <is>
          <t>PHA_USDT_PERP</t>
        </is>
      </c>
      <c r="F80" s="2" t="inlineStr">
        <is>
          <t>做空</t>
        </is>
      </c>
      <c r="G80" s="17" t="n">
        <v>0.03416</v>
      </c>
      <c r="H80" s="17" t="n">
        <v>0.0331352</v>
      </c>
      <c r="I80" s="17" t="n">
        <v>0.035868</v>
      </c>
      <c r="J80" s="17" t="n">
        <v>0.0331352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46275.55902777778</v>
      </c>
      <c r="C81" s="2" t="inlineStr">
        <is>
          <t>進場</t>
        </is>
      </c>
      <c r="D81" s="2" t="n">
        <v>40</v>
      </c>
      <c r="E81" s="2" t="inlineStr">
        <is>
          <t>REZ_USDT_PERP</t>
        </is>
      </c>
      <c r="F81" s="2" t="inlineStr">
        <is>
          <t>做空</t>
        </is>
      </c>
      <c r="G81" s="17" t="n">
        <v>0.003841</v>
      </c>
      <c r="H81" s="17" t="n">
        <v>0.00372577</v>
      </c>
      <c r="I81" s="17" t="n">
        <v>0.00403305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46275.5625</v>
      </c>
      <c r="C82" s="2" t="inlineStr">
        <is>
          <t>出場</t>
        </is>
      </c>
      <c r="D82" s="2" t="n">
        <v>40</v>
      </c>
      <c r="E82" s="2" t="inlineStr">
        <is>
          <t>REZ_USDT_PERP</t>
        </is>
      </c>
      <c r="F82" s="2" t="inlineStr">
        <is>
          <t>做空</t>
        </is>
      </c>
      <c r="G82" s="17" t="n">
        <v>0.003841</v>
      </c>
      <c r="H82" s="17" t="n">
        <v>0.00372577</v>
      </c>
      <c r="I82" s="17" t="n">
        <v>0.00403305</v>
      </c>
      <c r="J82" s="17" t="n">
        <v>0.00372577</v>
      </c>
      <c r="K82" s="2" t="inlineStr">
        <is>
          <t>止盈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46275.63541666666</v>
      </c>
      <c r="C83" s="2" t="inlineStr">
        <is>
          <t>進場</t>
        </is>
      </c>
      <c r="D83" s="2" t="n">
        <v>41</v>
      </c>
      <c r="E83" s="2" t="inlineStr">
        <is>
          <t>ANIME_USDT_PERP</t>
        </is>
      </c>
      <c r="F83" s="2" t="inlineStr">
        <is>
          <t>做空</t>
        </is>
      </c>
      <c r="G83" s="17" t="n">
        <v>0.003552</v>
      </c>
      <c r="H83" s="17" t="n">
        <v>0.00344544</v>
      </c>
      <c r="I83" s="17" t="n">
        <v>0.0037296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46275.64583333334</v>
      </c>
      <c r="C84" s="2" t="inlineStr">
        <is>
          <t>出場</t>
        </is>
      </c>
      <c r="D84" s="2" t="n">
        <v>41</v>
      </c>
      <c r="E84" s="2" t="inlineStr">
        <is>
          <t>ANIME_USDT_PERP</t>
        </is>
      </c>
      <c r="F84" s="2" t="inlineStr">
        <is>
          <t>做空</t>
        </is>
      </c>
      <c r="G84" s="17" t="n">
        <v>0.003552</v>
      </c>
      <c r="H84" s="17" t="n">
        <v>0.00344544</v>
      </c>
      <c r="I84" s="17" t="n">
        <v>0.0037296</v>
      </c>
      <c r="J84" s="17" t="n">
        <v>0.00344544</v>
      </c>
      <c r="K84" s="2" t="inlineStr">
        <is>
          <t>止盈</t>
        </is>
      </c>
      <c r="L84" s="5">
        <f>交易明細!K42</f>
        <v/>
      </c>
      <c r="M84" s="16">
        <f>M83</f>
        <v/>
      </c>
      <c r="N84" s="2">
        <f>N83</f>
        <v/>
      </c>
      <c r="O84" s="16">
        <f>O83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46276.02430555555</v>
      </c>
      <c r="C85" s="2" t="inlineStr">
        <is>
          <t>進場</t>
        </is>
      </c>
      <c r="D85" s="2" t="n">
        <v>42</v>
      </c>
      <c r="E85" s="2" t="inlineStr">
        <is>
          <t>SAGA_USDT_PERP</t>
        </is>
      </c>
      <c r="F85" s="2" t="inlineStr">
        <is>
          <t>做空</t>
        </is>
      </c>
      <c r="G85" s="17" t="n">
        <v>0.01776</v>
      </c>
      <c r="H85" s="17" t="n">
        <v>0.0172272</v>
      </c>
      <c r="I85" s="17" t="n">
        <v>0.018648</v>
      </c>
      <c r="J85" s="17" t="n"/>
      <c r="K85" s="2" t="n"/>
      <c r="L85" s="5" t="n"/>
      <c r="M85" s="16">
        <f>資金模擬!$B$5*V84</f>
        <v/>
      </c>
      <c r="N85" s="2">
        <f>IF(Z84=1,"已停止",IF(T84&gt;=M85,"已下單","資金不足略過"))</f>
        <v/>
      </c>
      <c r="O85" s="16">
        <f>IF(N85="已下單",M85*資金模擬!$B$7,0)</f>
        <v/>
      </c>
      <c r="P85" s="4" t="n"/>
      <c r="Q85" s="10" t="n">
        <v>0</v>
      </c>
      <c r="R85" s="10">
        <f>R84+Q85</f>
        <v/>
      </c>
      <c r="S85" s="16">
        <f>S84+IF(N85="已下單",M85,0)</f>
        <v/>
      </c>
      <c r="T85" s="16">
        <f>R85-S85</f>
        <v/>
      </c>
      <c r="U85" s="2">
        <f>U84+IF(N85="已下單",1,0)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46276.03472222222</v>
      </c>
      <c r="C86" s="2" t="inlineStr">
        <is>
          <t>出場</t>
        </is>
      </c>
      <c r="D86" s="2" t="n">
        <v>42</v>
      </c>
      <c r="E86" s="2" t="inlineStr">
        <is>
          <t>SAGA_USDT_PERP</t>
        </is>
      </c>
      <c r="F86" s="2" t="inlineStr">
        <is>
          <t>做空</t>
        </is>
      </c>
      <c r="G86" s="17" t="n">
        <v>0.01776</v>
      </c>
      <c r="H86" s="17" t="n">
        <v>0.0172272</v>
      </c>
      <c r="I86" s="17" t="n">
        <v>0.018648</v>
      </c>
      <c r="J86" s="17" t="n">
        <v>0.0172272</v>
      </c>
      <c r="K86" s="2" t="inlineStr">
        <is>
          <t>止盈</t>
        </is>
      </c>
      <c r="L86" s="5">
        <f>交易明細!K43</f>
        <v/>
      </c>
      <c r="M86" s="16">
        <f>M85</f>
        <v/>
      </c>
      <c r="N86" s="2">
        <f>N85</f>
        <v/>
      </c>
      <c r="O86" s="16">
        <f>O85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46276.14236111111</v>
      </c>
      <c r="C87" s="2" t="inlineStr">
        <is>
          <t>進場</t>
        </is>
      </c>
      <c r="D87" s="2" t="n">
        <v>43</v>
      </c>
      <c r="E87" s="2" t="inlineStr">
        <is>
          <t>哈基米_USDT_PERP</t>
        </is>
      </c>
      <c r="F87" s="2" t="inlineStr">
        <is>
          <t>做空</t>
        </is>
      </c>
      <c r="G87" s="17" t="n">
        <v>0.03622</v>
      </c>
      <c r="H87" s="17" t="n">
        <v>0.0351334</v>
      </c>
      <c r="I87" s="17" t="n">
        <v>0.038031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46276.15625</v>
      </c>
      <c r="C88" s="2" t="inlineStr">
        <is>
          <t>出場</t>
        </is>
      </c>
      <c r="D88" s="2" t="n">
        <v>43</v>
      </c>
      <c r="E88" s="2" t="inlineStr">
        <is>
          <t>哈基米_USDT_PERP</t>
        </is>
      </c>
      <c r="F88" s="2" t="inlineStr">
        <is>
          <t>做空</t>
        </is>
      </c>
      <c r="G88" s="17" t="n">
        <v>0.03622</v>
      </c>
      <c r="H88" s="17" t="n">
        <v>0.0351334</v>
      </c>
      <c r="I88" s="17" t="n">
        <v>0.038031</v>
      </c>
      <c r="J88" s="17" t="n">
        <v>0.038031</v>
      </c>
      <c r="K88" s="2" t="inlineStr">
        <is>
          <t>止損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46276.31944444445</v>
      </c>
      <c r="C89" s="2" t="inlineStr">
        <is>
          <t>進場</t>
        </is>
      </c>
      <c r="D89" s="2" t="n">
        <v>44</v>
      </c>
      <c r="E89" s="2" t="inlineStr">
        <is>
          <t>我踏马来了_USDT_PERP</t>
        </is>
      </c>
      <c r="F89" s="2" t="inlineStr">
        <is>
          <t>做空</t>
        </is>
      </c>
      <c r="G89" s="17" t="n">
        <v>0.012087</v>
      </c>
      <c r="H89" s="17" t="n">
        <v>0.01172439</v>
      </c>
      <c r="I89" s="17" t="n">
        <v>0.01269135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46276.34722222222</v>
      </c>
      <c r="C90" s="2" t="inlineStr">
        <is>
          <t>出場</t>
        </is>
      </c>
      <c r="D90" s="2" t="n">
        <v>44</v>
      </c>
      <c r="E90" s="2" t="inlineStr">
        <is>
          <t>我踏马来了_USDT_PERP</t>
        </is>
      </c>
      <c r="F90" s="2" t="inlineStr">
        <is>
          <t>做空</t>
        </is>
      </c>
      <c r="G90" s="17" t="n">
        <v>0.012087</v>
      </c>
      <c r="H90" s="17" t="n">
        <v>0.01172439</v>
      </c>
      <c r="I90" s="17" t="n">
        <v>0.01269135</v>
      </c>
      <c r="J90" s="17" t="n">
        <v>0.01172439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46276.48958333334</v>
      </c>
      <c r="C91" s="2" t="inlineStr">
        <is>
          <t>進場</t>
        </is>
      </c>
      <c r="D91" s="2" t="n">
        <v>45</v>
      </c>
      <c r="E91" s="2" t="inlineStr">
        <is>
          <t>哈基米_USDT_PERP</t>
        </is>
      </c>
      <c r="F91" s="2" t="inlineStr">
        <is>
          <t>做空</t>
        </is>
      </c>
      <c r="G91" s="17" t="n">
        <v>0.0411</v>
      </c>
      <c r="H91" s="17" t="n">
        <v>0.039867</v>
      </c>
      <c r="I91" s="17" t="n">
        <v>0.043155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46276.49305555555</v>
      </c>
      <c r="C92" s="2" t="inlineStr">
        <is>
          <t>出場</t>
        </is>
      </c>
      <c r="D92" s="2" t="n">
        <v>45</v>
      </c>
      <c r="E92" s="2" t="inlineStr">
        <is>
          <t>哈基米_USDT_PERP</t>
        </is>
      </c>
      <c r="F92" s="2" t="inlineStr">
        <is>
          <t>做空</t>
        </is>
      </c>
      <c r="G92" s="17" t="n">
        <v>0.0411</v>
      </c>
      <c r="H92" s="17" t="n">
        <v>0.039867</v>
      </c>
      <c r="I92" s="17" t="n">
        <v>0.043155</v>
      </c>
      <c r="J92" s="17" t="n">
        <v>0.039867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46276.54166666666</v>
      </c>
      <c r="C93" s="2" t="inlineStr">
        <is>
          <t>進場</t>
        </is>
      </c>
      <c r="D93" s="2" t="n">
        <v>46</v>
      </c>
      <c r="E93" s="2" t="inlineStr">
        <is>
          <t>哈基米_USDT_PERP</t>
        </is>
      </c>
      <c r="F93" s="2" t="inlineStr">
        <is>
          <t>做空</t>
        </is>
      </c>
      <c r="G93" s="17" t="n">
        <v>0.04156</v>
      </c>
      <c r="H93" s="17" t="n">
        <v>0.0403132</v>
      </c>
      <c r="I93" s="17" t="n">
        <v>0.043638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46276.55208333334</v>
      </c>
      <c r="C94" s="2" t="inlineStr">
        <is>
          <t>出場</t>
        </is>
      </c>
      <c r="D94" s="2" t="n">
        <v>46</v>
      </c>
      <c r="E94" s="2" t="inlineStr">
        <is>
          <t>哈基米_USDT_PERP</t>
        </is>
      </c>
      <c r="F94" s="2" t="inlineStr">
        <is>
          <t>做空</t>
        </is>
      </c>
      <c r="G94" s="17" t="n">
        <v>0.04156</v>
      </c>
      <c r="H94" s="17" t="n">
        <v>0.0403132</v>
      </c>
      <c r="I94" s="17" t="n">
        <v>0.043638</v>
      </c>
      <c r="J94" s="17" t="n">
        <v>0.0403132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46276.76388888889</v>
      </c>
      <c r="C95" s="2" t="inlineStr">
        <is>
          <t>進場</t>
        </is>
      </c>
      <c r="D95" s="2" t="n">
        <v>47</v>
      </c>
      <c r="E95" s="2" t="inlineStr">
        <is>
          <t>LAB_USDT_PERP</t>
        </is>
      </c>
      <c r="F95" s="2" t="inlineStr">
        <is>
          <t>做空</t>
        </is>
      </c>
      <c r="G95" s="17" t="n">
        <v>0.05873</v>
      </c>
      <c r="H95" s="17" t="n">
        <v>0.05696809999999999</v>
      </c>
      <c r="I95" s="17" t="n">
        <v>0.0616665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46276.78125</v>
      </c>
      <c r="C96" s="2" t="inlineStr">
        <is>
          <t>出場</t>
        </is>
      </c>
      <c r="D96" s="2" t="n">
        <v>47</v>
      </c>
      <c r="E96" s="2" t="inlineStr">
        <is>
          <t>LAB_USDT_PERP</t>
        </is>
      </c>
      <c r="F96" s="2" t="inlineStr">
        <is>
          <t>做空</t>
        </is>
      </c>
      <c r="G96" s="17" t="n">
        <v>0.05873</v>
      </c>
      <c r="H96" s="17" t="n">
        <v>0.05696809999999999</v>
      </c>
      <c r="I96" s="17" t="n">
        <v>0.0616665</v>
      </c>
      <c r="J96" s="17" t="n">
        <v>0.0616665</v>
      </c>
      <c r="K96" s="2" t="inlineStr">
        <is>
          <t>止損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46276.92013888889</v>
      </c>
      <c r="C97" s="2" t="inlineStr">
        <is>
          <t>進場</t>
        </is>
      </c>
      <c r="D97" s="2" t="n">
        <v>48</v>
      </c>
      <c r="E97" s="2" t="inlineStr">
        <is>
          <t>CASHCAT_USDT_PERP</t>
        </is>
      </c>
      <c r="F97" s="2" t="inlineStr">
        <is>
          <t>做空</t>
        </is>
      </c>
      <c r="G97" s="17" t="n">
        <v>0.1886</v>
      </c>
      <c r="H97" s="17" t="n">
        <v>0.182942</v>
      </c>
      <c r="I97" s="17" t="n">
        <v>0.19803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46276.92708333334</v>
      </c>
      <c r="C98" s="2" t="inlineStr">
        <is>
          <t>出場</t>
        </is>
      </c>
      <c r="D98" s="2" t="n">
        <v>48</v>
      </c>
      <c r="E98" s="2" t="inlineStr">
        <is>
          <t>CASHCAT_USDT_PERP</t>
        </is>
      </c>
      <c r="F98" s="2" t="inlineStr">
        <is>
          <t>做空</t>
        </is>
      </c>
      <c r="G98" s="17" t="n">
        <v>0.1886</v>
      </c>
      <c r="H98" s="17" t="n">
        <v>0.182942</v>
      </c>
      <c r="I98" s="17" t="n">
        <v>0.19803</v>
      </c>
      <c r="J98" s="17" t="n">
        <v>0.182942</v>
      </c>
      <c r="K98" s="2" t="inlineStr">
        <is>
          <t>止盈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46276.97222222222</v>
      </c>
      <c r="C99" s="2" t="inlineStr">
        <is>
          <t>進場</t>
        </is>
      </c>
      <c r="D99" s="2" t="n">
        <v>49</v>
      </c>
      <c r="E99" s="2" t="inlineStr">
        <is>
          <t>BLUR_USDT_PERP</t>
        </is>
      </c>
      <c r="F99" s="2" t="inlineStr">
        <is>
          <t>做空</t>
        </is>
      </c>
      <c r="G99" s="17" t="n">
        <v>0.02085</v>
      </c>
      <c r="H99" s="17" t="n">
        <v>0.0202245</v>
      </c>
      <c r="I99" s="17" t="n">
        <v>0.0218925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46276.97916666666</v>
      </c>
      <c r="C100" s="2" t="inlineStr">
        <is>
          <t>出場</t>
        </is>
      </c>
      <c r="D100" s="2" t="n">
        <v>49</v>
      </c>
      <c r="E100" s="2" t="inlineStr">
        <is>
          <t>BLUR_USDT_PERP</t>
        </is>
      </c>
      <c r="F100" s="2" t="inlineStr">
        <is>
          <t>做空</t>
        </is>
      </c>
      <c r="G100" s="17" t="n">
        <v>0.02085</v>
      </c>
      <c r="H100" s="17" t="n">
        <v>0.0202245</v>
      </c>
      <c r="I100" s="17" t="n">
        <v>0.0218925</v>
      </c>
      <c r="J100" s="17" t="n">
        <v>0.0202245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46277.28472222222</v>
      </c>
      <c r="C101" s="2" t="inlineStr">
        <is>
          <t>進場</t>
        </is>
      </c>
      <c r="D101" s="2" t="n">
        <v>50</v>
      </c>
      <c r="E101" s="2" t="inlineStr">
        <is>
          <t>CYS_USDT_PERP</t>
        </is>
      </c>
      <c r="F101" s="2" t="inlineStr">
        <is>
          <t>做空</t>
        </is>
      </c>
      <c r="G101" s="17" t="n">
        <v>0.1562</v>
      </c>
      <c r="H101" s="17" t="n">
        <v>0.151514</v>
      </c>
      <c r="I101" s="17" t="n">
        <v>0.16401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46277.29166666666</v>
      </c>
      <c r="C102" s="2" t="inlineStr">
        <is>
          <t>出場</t>
        </is>
      </c>
      <c r="D102" s="2" t="n">
        <v>50</v>
      </c>
      <c r="E102" s="2" t="inlineStr">
        <is>
          <t>CYS_USDT_PERP</t>
        </is>
      </c>
      <c r="F102" s="2" t="inlineStr">
        <is>
          <t>做空</t>
        </is>
      </c>
      <c r="G102" s="17" t="n">
        <v>0.1562</v>
      </c>
      <c r="H102" s="17" t="n">
        <v>0.151514</v>
      </c>
      <c r="I102" s="17" t="n">
        <v>0.16401</v>
      </c>
      <c r="J102" s="17" t="n">
        <v>0.16401</v>
      </c>
      <c r="K102" s="2" t="inlineStr">
        <is>
          <t>止損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46277.55208333334</v>
      </c>
      <c r="C103" s="2" t="inlineStr">
        <is>
          <t>進場</t>
        </is>
      </c>
      <c r="D103" s="2" t="n">
        <v>51</v>
      </c>
      <c r="E103" s="2" t="inlineStr">
        <is>
          <t>我踏马来了_USDT_PERP</t>
        </is>
      </c>
      <c r="F103" s="2" t="inlineStr">
        <is>
          <t>做空</t>
        </is>
      </c>
      <c r="G103" s="17" t="n">
        <v>0.015</v>
      </c>
      <c r="H103" s="17" t="n">
        <v>0.01455</v>
      </c>
      <c r="I103" s="17" t="n">
        <v>0.01575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46277.55555555555</v>
      </c>
      <c r="C104" s="2" t="inlineStr">
        <is>
          <t>出場</t>
        </is>
      </c>
      <c r="D104" s="2" t="n">
        <v>51</v>
      </c>
      <c r="E104" s="2" t="inlineStr">
        <is>
          <t>我踏马来了_USDT_PERP</t>
        </is>
      </c>
      <c r="F104" s="2" t="inlineStr">
        <is>
          <t>做空</t>
        </is>
      </c>
      <c r="G104" s="17" t="n">
        <v>0.015</v>
      </c>
      <c r="H104" s="17" t="n">
        <v>0.01455</v>
      </c>
      <c r="I104" s="17" t="n">
        <v>0.01575</v>
      </c>
      <c r="J104" s="17" t="n">
        <v>0.01455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46277.65625</v>
      </c>
      <c r="C105" s="2" t="inlineStr">
        <is>
          <t>進場</t>
        </is>
      </c>
      <c r="D105" s="2" t="n">
        <v>52</v>
      </c>
      <c r="E105" s="2" t="inlineStr">
        <is>
          <t>GRIFFAIN_USDT_PERP</t>
        </is>
      </c>
      <c r="F105" s="2" t="inlineStr">
        <is>
          <t>做空</t>
        </is>
      </c>
      <c r="G105" s="17" t="n">
        <v>0.01332</v>
      </c>
      <c r="H105" s="17" t="n">
        <v>0.0129204</v>
      </c>
      <c r="I105" s="17" t="n">
        <v>0.013986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46277.67013888889</v>
      </c>
      <c r="C106" s="2" t="inlineStr">
        <is>
          <t>出場</t>
        </is>
      </c>
      <c r="D106" s="2" t="n">
        <v>52</v>
      </c>
      <c r="E106" s="2" t="inlineStr">
        <is>
          <t>GRIFFAIN_USDT_PERP</t>
        </is>
      </c>
      <c r="F106" s="2" t="inlineStr">
        <is>
          <t>做空</t>
        </is>
      </c>
      <c r="G106" s="17" t="n">
        <v>0.01332</v>
      </c>
      <c r="H106" s="17" t="n">
        <v>0.0129204</v>
      </c>
      <c r="I106" s="17" t="n">
        <v>0.013986</v>
      </c>
      <c r="J106" s="17" t="n">
        <v>0.0129204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46278.34027777778</v>
      </c>
      <c r="C107" s="2" t="inlineStr">
        <is>
          <t>進場</t>
        </is>
      </c>
      <c r="D107" s="2" t="n">
        <v>53</v>
      </c>
      <c r="E107" s="2" t="inlineStr">
        <is>
          <t>POWR_USDT_PERP</t>
        </is>
      </c>
      <c r="F107" s="2" t="inlineStr">
        <is>
          <t>做空</t>
        </is>
      </c>
      <c r="G107" s="17" t="n">
        <v>0.06576</v>
      </c>
      <c r="H107" s="17" t="n">
        <v>0.0637872</v>
      </c>
      <c r="I107" s="17" t="n">
        <v>0.069048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46278.34375</v>
      </c>
      <c r="C108" s="2" t="inlineStr">
        <is>
          <t>出場</t>
        </is>
      </c>
      <c r="D108" s="2" t="n">
        <v>53</v>
      </c>
      <c r="E108" s="2" t="inlineStr">
        <is>
          <t>POWR_USDT_PERP</t>
        </is>
      </c>
      <c r="F108" s="2" t="inlineStr">
        <is>
          <t>做空</t>
        </is>
      </c>
      <c r="G108" s="17" t="n">
        <v>0.06576</v>
      </c>
      <c r="H108" s="17" t="n">
        <v>0.0637872</v>
      </c>
      <c r="I108" s="17" t="n">
        <v>0.069048</v>
      </c>
      <c r="J108" s="17" t="n">
        <v>0.069048</v>
      </c>
      <c r="K108" s="2" t="inlineStr">
        <is>
          <t>止損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46278.39583333334</v>
      </c>
      <c r="C109" s="2" t="inlineStr">
        <is>
          <t>進場</t>
        </is>
      </c>
      <c r="D109" s="2" t="n">
        <v>54</v>
      </c>
      <c r="E109" s="2" t="inlineStr">
        <is>
          <t>POWR_USDT_PERP</t>
        </is>
      </c>
      <c r="F109" s="2" t="inlineStr">
        <is>
          <t>做空</t>
        </is>
      </c>
      <c r="G109" s="17" t="n">
        <v>0.0824</v>
      </c>
      <c r="H109" s="17" t="n">
        <v>0.079928</v>
      </c>
      <c r="I109" s="17" t="n">
        <v>0.08652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46278.39930555555</v>
      </c>
      <c r="C110" s="2" t="inlineStr">
        <is>
          <t>出場</t>
        </is>
      </c>
      <c r="D110" s="2" t="n">
        <v>54</v>
      </c>
      <c r="E110" s="2" t="inlineStr">
        <is>
          <t>POWR_USDT_PERP</t>
        </is>
      </c>
      <c r="F110" s="2" t="inlineStr">
        <is>
          <t>做空</t>
        </is>
      </c>
      <c r="G110" s="17" t="n">
        <v>0.0824</v>
      </c>
      <c r="H110" s="17" t="n">
        <v>0.079928</v>
      </c>
      <c r="I110" s="17" t="n">
        <v>0.08652</v>
      </c>
      <c r="J110" s="17" t="n">
        <v>0.079928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46278.45138888889</v>
      </c>
      <c r="C111" s="2" t="inlineStr">
        <is>
          <t>進場</t>
        </is>
      </c>
      <c r="D111" s="2" t="n">
        <v>55</v>
      </c>
      <c r="E111" s="2" t="inlineStr">
        <is>
          <t>POWR_USDT_PERP</t>
        </is>
      </c>
      <c r="F111" s="2" t="inlineStr">
        <is>
          <t>做空</t>
        </is>
      </c>
      <c r="G111" s="17" t="n">
        <v>0.08243</v>
      </c>
      <c r="H111" s="17" t="n">
        <v>0.0799571</v>
      </c>
      <c r="I111" s="17" t="n">
        <v>0.0865515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46278.45486111111</v>
      </c>
      <c r="C112" s="2" t="inlineStr">
        <is>
          <t>出場</t>
        </is>
      </c>
      <c r="D112" s="2" t="n">
        <v>55</v>
      </c>
      <c r="E112" s="2" t="inlineStr">
        <is>
          <t>POWR_USDT_PERP</t>
        </is>
      </c>
      <c r="F112" s="2" t="inlineStr">
        <is>
          <t>做空</t>
        </is>
      </c>
      <c r="G112" s="17" t="n">
        <v>0.08243</v>
      </c>
      <c r="H112" s="17" t="n">
        <v>0.0799571</v>
      </c>
      <c r="I112" s="17" t="n">
        <v>0.0865515</v>
      </c>
      <c r="J112" s="17" t="n">
        <v>0.0799571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46278.60069444445</v>
      </c>
      <c r="C113" s="2" t="inlineStr">
        <is>
          <t>進場</t>
        </is>
      </c>
      <c r="D113" s="2" t="n">
        <v>56</v>
      </c>
      <c r="E113" s="2" t="inlineStr">
        <is>
          <t>CTR_USDT_PERP</t>
        </is>
      </c>
      <c r="F113" s="2" t="inlineStr">
        <is>
          <t>做空</t>
        </is>
      </c>
      <c r="G113" s="17" t="n">
        <v>0.01166</v>
      </c>
      <c r="H113" s="17" t="n">
        <v>0.0113102</v>
      </c>
      <c r="I113" s="17" t="n">
        <v>0.012243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46278.60416666666</v>
      </c>
      <c r="C114" s="2" t="inlineStr">
        <is>
          <t>出場</t>
        </is>
      </c>
      <c r="D114" s="2" t="n">
        <v>56</v>
      </c>
      <c r="E114" s="2" t="inlineStr">
        <is>
          <t>CTR_USDT_PERP</t>
        </is>
      </c>
      <c r="F114" s="2" t="inlineStr">
        <is>
          <t>做空</t>
        </is>
      </c>
      <c r="G114" s="17" t="n">
        <v>0.01166</v>
      </c>
      <c r="H114" s="17" t="n">
        <v>0.0113102</v>
      </c>
      <c r="I114" s="17" t="n">
        <v>0.012243</v>
      </c>
      <c r="J114" s="17" t="n">
        <v>0.0113102</v>
      </c>
      <c r="K114" s="2" t="inlineStr">
        <is>
          <t>止盈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46278.68055555555</v>
      </c>
      <c r="C115" s="2" t="inlineStr">
        <is>
          <t>進場</t>
        </is>
      </c>
      <c r="D115" s="2" t="n">
        <v>57</v>
      </c>
      <c r="E115" s="2" t="inlineStr">
        <is>
          <t>REZ_USDT_PERP</t>
        </is>
      </c>
      <c r="F115" s="2" t="inlineStr">
        <is>
          <t>做空</t>
        </is>
      </c>
      <c r="G115" s="17" t="n">
        <v>0.003949</v>
      </c>
      <c r="H115" s="17" t="n">
        <v>0.00383053</v>
      </c>
      <c r="I115" s="17" t="n">
        <v>0.00414645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46278.69791666666</v>
      </c>
      <c r="C116" s="2" t="inlineStr">
        <is>
          <t>出場</t>
        </is>
      </c>
      <c r="D116" s="2" t="n">
        <v>57</v>
      </c>
      <c r="E116" s="2" t="inlineStr">
        <is>
          <t>REZ_USDT_PERP</t>
        </is>
      </c>
      <c r="F116" s="2" t="inlineStr">
        <is>
          <t>做空</t>
        </is>
      </c>
      <c r="G116" s="17" t="n">
        <v>0.003949</v>
      </c>
      <c r="H116" s="17" t="n">
        <v>0.00383053</v>
      </c>
      <c r="I116" s="17" t="n">
        <v>0.00414645</v>
      </c>
      <c r="J116" s="17" t="n">
        <v>0.00383053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46278.84375</v>
      </c>
      <c r="C117" s="2" t="inlineStr">
        <is>
          <t>進場</t>
        </is>
      </c>
      <c r="D117" s="2" t="n">
        <v>58</v>
      </c>
      <c r="E117" s="2" t="inlineStr">
        <is>
          <t>BTW_USDT_PERP</t>
        </is>
      </c>
      <c r="F117" s="2" t="inlineStr">
        <is>
          <t>做空</t>
        </is>
      </c>
      <c r="G117" s="17" t="n">
        <v>0.671255</v>
      </c>
      <c r="H117" s="17" t="n">
        <v>0.65111735</v>
      </c>
      <c r="I117" s="17" t="n">
        <v>0.7048177500000001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46278.84722222222</v>
      </c>
      <c r="C118" s="2" t="inlineStr">
        <is>
          <t>出場</t>
        </is>
      </c>
      <c r="D118" s="2" t="n">
        <v>58</v>
      </c>
      <c r="E118" s="2" t="inlineStr">
        <is>
          <t>BTW_USDT_PERP</t>
        </is>
      </c>
      <c r="F118" s="2" t="inlineStr">
        <is>
          <t>做空</t>
        </is>
      </c>
      <c r="G118" s="17" t="n">
        <v>0.671255</v>
      </c>
      <c r="H118" s="17" t="n">
        <v>0.65111735</v>
      </c>
      <c r="I118" s="17" t="n">
        <v>0.7048177500000001</v>
      </c>
      <c r="J118" s="17" t="n">
        <v>0.7048177500000001</v>
      </c>
      <c r="K118" s="2" t="inlineStr">
        <is>
          <t>止損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46279.10763888889</v>
      </c>
      <c r="C119" s="2" t="inlineStr">
        <is>
          <t>進場</t>
        </is>
      </c>
      <c r="D119" s="2" t="n">
        <v>59</v>
      </c>
      <c r="E119" s="2" t="inlineStr">
        <is>
          <t>MAGMA_USDT_PERP</t>
        </is>
      </c>
      <c r="F119" s="2" t="inlineStr">
        <is>
          <t>做空</t>
        </is>
      </c>
      <c r="G119" s="17" t="n">
        <v>0.27592</v>
      </c>
      <c r="H119" s="17" t="n">
        <v>0.2676424</v>
      </c>
      <c r="I119" s="17" t="n">
        <v>0.289716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46279.11111111111</v>
      </c>
      <c r="C120" s="2" t="inlineStr">
        <is>
          <t>出場</t>
        </is>
      </c>
      <c r="D120" s="2" t="n">
        <v>59</v>
      </c>
      <c r="E120" s="2" t="inlineStr">
        <is>
          <t>MAGMA_USDT_PERP</t>
        </is>
      </c>
      <c r="F120" s="2" t="inlineStr">
        <is>
          <t>做空</t>
        </is>
      </c>
      <c r="G120" s="17" t="n">
        <v>0.27592</v>
      </c>
      <c r="H120" s="17" t="n">
        <v>0.2676424</v>
      </c>
      <c r="I120" s="17" t="n">
        <v>0.289716</v>
      </c>
      <c r="J120" s="17" t="n">
        <v>0.2676424</v>
      </c>
      <c r="K120" s="2" t="inlineStr">
        <is>
          <t>止盈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46279.50347222222</v>
      </c>
      <c r="C121" s="2" t="inlineStr">
        <is>
          <t>進場</t>
        </is>
      </c>
      <c r="D121" s="2" t="n">
        <v>60</v>
      </c>
      <c r="E121" s="2" t="inlineStr">
        <is>
          <t>BR_USDT_PERP</t>
        </is>
      </c>
      <c r="F121" s="2" t="inlineStr">
        <is>
          <t>做空</t>
        </is>
      </c>
      <c r="G121" s="17" t="n">
        <v>0.38027</v>
      </c>
      <c r="H121" s="17" t="n">
        <v>0.3688619</v>
      </c>
      <c r="I121" s="17" t="n">
        <v>0.3992835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46279.51388888889</v>
      </c>
      <c r="C122" s="2" t="inlineStr">
        <is>
          <t>出場</t>
        </is>
      </c>
      <c r="D122" s="2" t="n">
        <v>60</v>
      </c>
      <c r="E122" s="2" t="inlineStr">
        <is>
          <t>BR_USDT_PERP</t>
        </is>
      </c>
      <c r="F122" s="2" t="inlineStr">
        <is>
          <t>做空</t>
        </is>
      </c>
      <c r="G122" s="17" t="n">
        <v>0.38027</v>
      </c>
      <c r="H122" s="17" t="n">
        <v>0.3688619</v>
      </c>
      <c r="I122" s="17" t="n">
        <v>0.3992835</v>
      </c>
      <c r="J122" s="17" t="n">
        <v>0.3688619</v>
      </c>
      <c r="K122" s="2" t="inlineStr">
        <is>
          <t>止盈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46279.57638888889</v>
      </c>
      <c r="C123" s="2" t="inlineStr">
        <is>
          <t>進場</t>
        </is>
      </c>
      <c r="D123" s="2" t="n">
        <v>61</v>
      </c>
      <c r="E123" s="2" t="inlineStr">
        <is>
          <t>AIN_USDT_PERP</t>
        </is>
      </c>
      <c r="F123" s="2" t="inlineStr">
        <is>
          <t>做空</t>
        </is>
      </c>
      <c r="G123" s="17" t="n">
        <v>0.10972</v>
      </c>
      <c r="H123" s="17" t="n">
        <v>0.1064284</v>
      </c>
      <c r="I123" s="17" t="n">
        <v>0.115206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46279.58333333334</v>
      </c>
      <c r="C124" s="2" t="inlineStr">
        <is>
          <t>出場</t>
        </is>
      </c>
      <c r="D124" s="2" t="n">
        <v>61</v>
      </c>
      <c r="E124" s="2" t="inlineStr">
        <is>
          <t>AIN_USDT_PERP</t>
        </is>
      </c>
      <c r="F124" s="2" t="inlineStr">
        <is>
          <t>做空</t>
        </is>
      </c>
      <c r="G124" s="17" t="n">
        <v>0.10972</v>
      </c>
      <c r="H124" s="17" t="n">
        <v>0.1064284</v>
      </c>
      <c r="I124" s="17" t="n">
        <v>0.115206</v>
      </c>
      <c r="J124" s="17" t="n">
        <v>0.1064284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46279.60416666666</v>
      </c>
      <c r="C125" s="2" t="inlineStr">
        <is>
          <t>進場</t>
        </is>
      </c>
      <c r="D125" s="2" t="n">
        <v>62</v>
      </c>
      <c r="E125" s="2" t="inlineStr">
        <is>
          <t>XPIN_USDT_PERP</t>
        </is>
      </c>
      <c r="F125" s="2" t="inlineStr">
        <is>
          <t>做空</t>
        </is>
      </c>
      <c r="G125" s="17" t="n">
        <v>0.000886</v>
      </c>
      <c r="H125" s="17" t="n">
        <v>0.00085942</v>
      </c>
      <c r="I125" s="17" t="n">
        <v>0.0009303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46279.60763888889</v>
      </c>
      <c r="C126" s="2" t="inlineStr">
        <is>
          <t>出場</t>
        </is>
      </c>
      <c r="D126" s="2" t="n">
        <v>62</v>
      </c>
      <c r="E126" s="2" t="inlineStr">
        <is>
          <t>XPIN_USDT_PERP</t>
        </is>
      </c>
      <c r="F126" s="2" t="inlineStr">
        <is>
          <t>做空</t>
        </is>
      </c>
      <c r="G126" s="17" t="n">
        <v>0.000886</v>
      </c>
      <c r="H126" s="17" t="n">
        <v>0.00085942</v>
      </c>
      <c r="I126" s="17" t="n">
        <v>0.0009303</v>
      </c>
      <c r="J126" s="17" t="n">
        <v>0.0009303</v>
      </c>
      <c r="K126" s="2" t="inlineStr">
        <is>
          <t>止損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46279.625</v>
      </c>
      <c r="C127" s="2" t="inlineStr">
        <is>
          <t>進場</t>
        </is>
      </c>
      <c r="D127" s="2" t="n">
        <v>63</v>
      </c>
      <c r="E127" s="2" t="inlineStr">
        <is>
          <t>AIN_USDT_PERP</t>
        </is>
      </c>
      <c r="F127" s="2" t="inlineStr">
        <is>
          <t>做空</t>
        </is>
      </c>
      <c r="G127" s="17" t="n">
        <v>0.10454</v>
      </c>
      <c r="H127" s="17" t="n">
        <v>0.1014038</v>
      </c>
      <c r="I127" s="17" t="n">
        <v>0.109767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46279.64583333334</v>
      </c>
      <c r="C128" s="2" t="inlineStr">
        <is>
          <t>出場</t>
        </is>
      </c>
      <c r="D128" s="2" t="n">
        <v>63</v>
      </c>
      <c r="E128" s="2" t="inlineStr">
        <is>
          <t>AIN_USDT_PERP</t>
        </is>
      </c>
      <c r="F128" s="2" t="inlineStr">
        <is>
          <t>做空</t>
        </is>
      </c>
      <c r="G128" s="17" t="n">
        <v>0.10454</v>
      </c>
      <c r="H128" s="17" t="n">
        <v>0.1014038</v>
      </c>
      <c r="I128" s="17" t="n">
        <v>0.109767</v>
      </c>
      <c r="J128" s="17" t="n">
        <v>0.1014038</v>
      </c>
      <c r="K128" s="2" t="inlineStr">
        <is>
          <t>止盈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46279.84027777778</v>
      </c>
      <c r="C129" s="2" t="inlineStr">
        <is>
          <t>進場</t>
        </is>
      </c>
      <c r="D129" s="2" t="n">
        <v>64</v>
      </c>
      <c r="E129" s="2" t="inlineStr">
        <is>
          <t>CAP_USDT_PERP</t>
        </is>
      </c>
      <c r="F129" s="2" t="inlineStr">
        <is>
          <t>做空</t>
        </is>
      </c>
      <c r="G129" s="17" t="n">
        <v>0.06505</v>
      </c>
      <c r="H129" s="17" t="n">
        <v>0.0630985</v>
      </c>
      <c r="I129" s="17" t="n">
        <v>0.0683025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46279.84722222222</v>
      </c>
      <c r="C130" s="2" t="inlineStr">
        <is>
          <t>出場</t>
        </is>
      </c>
      <c r="D130" s="2" t="n">
        <v>64</v>
      </c>
      <c r="E130" s="2" t="inlineStr">
        <is>
          <t>CAP_USDT_PERP</t>
        </is>
      </c>
      <c r="F130" s="2" t="inlineStr">
        <is>
          <t>做空</t>
        </is>
      </c>
      <c r="G130" s="17" t="n">
        <v>0.06505</v>
      </c>
      <c r="H130" s="17" t="n">
        <v>0.0630985</v>
      </c>
      <c r="I130" s="17" t="n">
        <v>0.0683025</v>
      </c>
      <c r="J130" s="17" t="n">
        <v>0.0683025</v>
      </c>
      <c r="K130" s="2" t="inlineStr">
        <is>
          <t>止損</t>
        </is>
      </c>
      <c r="L130" s="5">
        <f>交易明細!K65</f>
        <v/>
      </c>
      <c r="M130" s="16">
        <f>M129</f>
        <v/>
      </c>
      <c r="N130" s="2">
        <f>N129</f>
        <v/>
      </c>
      <c r="O130" s="16">
        <f>O129</f>
        <v/>
      </c>
      <c r="P130" s="4">
        <f>交易明細!L65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46280.38194444445</v>
      </c>
      <c r="C131" s="2" t="inlineStr">
        <is>
          <t>進場</t>
        </is>
      </c>
      <c r="D131" s="2" t="n">
        <v>65</v>
      </c>
      <c r="E131" s="2" t="inlineStr">
        <is>
          <t>ASTR_USDT_PERP</t>
        </is>
      </c>
      <c r="F131" s="2" t="inlineStr">
        <is>
          <t>做空</t>
        </is>
      </c>
      <c r="G131" s="17" t="n">
        <v>0.006993</v>
      </c>
      <c r="H131" s="17" t="n">
        <v>0.00678321</v>
      </c>
      <c r="I131" s="17" t="n">
        <v>0.00734265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46280.39236111111</v>
      </c>
      <c r="C132" s="2" t="inlineStr">
        <is>
          <t>出場</t>
        </is>
      </c>
      <c r="D132" s="2" t="n">
        <v>65</v>
      </c>
      <c r="E132" s="2" t="inlineStr">
        <is>
          <t>ASTR_USDT_PERP</t>
        </is>
      </c>
      <c r="F132" s="2" t="inlineStr">
        <is>
          <t>做空</t>
        </is>
      </c>
      <c r="G132" s="17" t="n">
        <v>0.006993</v>
      </c>
      <c r="H132" s="17" t="n">
        <v>0.00678321</v>
      </c>
      <c r="I132" s="17" t="n">
        <v>0.00734265</v>
      </c>
      <c r="J132" s="17" t="n">
        <v>0.00734265</v>
      </c>
      <c r="K132" s="2" t="inlineStr">
        <is>
          <t>止損</t>
        </is>
      </c>
      <c r="L132" s="5">
        <f>交易明細!K66</f>
        <v/>
      </c>
      <c r="M132" s="16">
        <f>M131</f>
        <v/>
      </c>
      <c r="N132" s="2">
        <f>N131</f>
        <v/>
      </c>
      <c r="O132" s="16">
        <f>O131</f>
        <v/>
      </c>
      <c r="P132" s="4">
        <f>交易明細!L66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46280.43402777778</v>
      </c>
      <c r="C133" s="2" t="inlineStr">
        <is>
          <t>進場</t>
        </is>
      </c>
      <c r="D133" s="2" t="n">
        <v>66</v>
      </c>
      <c r="E133" s="2" t="inlineStr">
        <is>
          <t>ASTR_USDT_PERP</t>
        </is>
      </c>
      <c r="F133" s="2" t="inlineStr">
        <is>
          <t>做空</t>
        </is>
      </c>
      <c r="G133" s="17" t="n">
        <v>0.007438</v>
      </c>
      <c r="H133" s="17" t="n">
        <v>0.00721486</v>
      </c>
      <c r="I133" s="17" t="n">
        <v>0.007809900000000001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46280.44791666666</v>
      </c>
      <c r="C134" s="2" t="inlineStr">
        <is>
          <t>出場</t>
        </is>
      </c>
      <c r="D134" s="2" t="n">
        <v>66</v>
      </c>
      <c r="E134" s="2" t="inlineStr">
        <is>
          <t>ASTR_USDT_PERP</t>
        </is>
      </c>
      <c r="F134" s="2" t="inlineStr">
        <is>
          <t>做空</t>
        </is>
      </c>
      <c r="G134" s="17" t="n">
        <v>0.007438</v>
      </c>
      <c r="H134" s="17" t="n">
        <v>0.00721486</v>
      </c>
      <c r="I134" s="17" t="n">
        <v>0.007809900000000001</v>
      </c>
      <c r="J134" s="17" t="n">
        <v>0.007809900000000001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46280.53472222222</v>
      </c>
      <c r="C135" s="2" t="inlineStr">
        <is>
          <t>進場</t>
        </is>
      </c>
      <c r="D135" s="2" t="n">
        <v>67</v>
      </c>
      <c r="E135" s="2" t="inlineStr">
        <is>
          <t>FF_USDT_PERP</t>
        </is>
      </c>
      <c r="F135" s="2" t="inlineStr">
        <is>
          <t>做空</t>
        </is>
      </c>
      <c r="G135" s="17" t="n">
        <v>0.15524</v>
      </c>
      <c r="H135" s="17" t="n">
        <v>0.1505828</v>
      </c>
      <c r="I135" s="17" t="n">
        <v>0.163002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46280.53819444445</v>
      </c>
      <c r="C136" s="2" t="inlineStr">
        <is>
          <t>出場</t>
        </is>
      </c>
      <c r="D136" s="2" t="n">
        <v>67</v>
      </c>
      <c r="E136" s="2" t="inlineStr">
        <is>
          <t>FF_USDT_PERP</t>
        </is>
      </c>
      <c r="F136" s="2" t="inlineStr">
        <is>
          <t>做空</t>
        </is>
      </c>
      <c r="G136" s="17" t="n">
        <v>0.15524</v>
      </c>
      <c r="H136" s="17" t="n">
        <v>0.1505828</v>
      </c>
      <c r="I136" s="17" t="n">
        <v>0.163002</v>
      </c>
      <c r="J136" s="17" t="n">
        <v>0.1505828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46280.82986111111</v>
      </c>
      <c r="C137" s="2" t="inlineStr">
        <is>
          <t>進場</t>
        </is>
      </c>
      <c r="D137" s="2" t="n">
        <v>68</v>
      </c>
      <c r="E137" s="2" t="inlineStr">
        <is>
          <t>IDOL_USDT_PERP</t>
        </is>
      </c>
      <c r="F137" s="2" t="inlineStr">
        <is>
          <t>做空</t>
        </is>
      </c>
      <c r="G137" s="17" t="n">
        <v>0.01197</v>
      </c>
      <c r="H137" s="17" t="n">
        <v>0.0116109</v>
      </c>
      <c r="I137" s="17" t="n">
        <v>0.0125685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46280.83680555555</v>
      </c>
      <c r="C138" s="2" t="inlineStr">
        <is>
          <t>出場</t>
        </is>
      </c>
      <c r="D138" s="2" t="n">
        <v>68</v>
      </c>
      <c r="E138" s="2" t="inlineStr">
        <is>
          <t>IDOL_USDT_PERP</t>
        </is>
      </c>
      <c r="F138" s="2" t="inlineStr">
        <is>
          <t>做空</t>
        </is>
      </c>
      <c r="G138" s="17" t="n">
        <v>0.01197</v>
      </c>
      <c r="H138" s="17" t="n">
        <v>0.0116109</v>
      </c>
      <c r="I138" s="17" t="n">
        <v>0.0125685</v>
      </c>
      <c r="J138" s="17" t="n">
        <v>0.0116109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46280.88541666666</v>
      </c>
      <c r="C139" s="2" t="inlineStr">
        <is>
          <t>進場</t>
        </is>
      </c>
      <c r="D139" s="2" t="n">
        <v>69</v>
      </c>
      <c r="E139" s="2" t="inlineStr">
        <is>
          <t>IDOL_USDT_PERP</t>
        </is>
      </c>
      <c r="F139" s="2" t="inlineStr">
        <is>
          <t>做空</t>
        </is>
      </c>
      <c r="G139" s="17" t="n">
        <v>0.01166</v>
      </c>
      <c r="H139" s="17" t="n">
        <v>0.0113102</v>
      </c>
      <c r="I139" s="17" t="n">
        <v>0.012243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46280.89236111111</v>
      </c>
      <c r="C140" s="2" t="inlineStr">
        <is>
          <t>出場</t>
        </is>
      </c>
      <c r="D140" s="2" t="n">
        <v>69</v>
      </c>
      <c r="E140" s="2" t="inlineStr">
        <is>
          <t>IDOL_USDT_PERP</t>
        </is>
      </c>
      <c r="F140" s="2" t="inlineStr">
        <is>
          <t>做空</t>
        </is>
      </c>
      <c r="G140" s="17" t="n">
        <v>0.01166</v>
      </c>
      <c r="H140" s="17" t="n">
        <v>0.0113102</v>
      </c>
      <c r="I140" s="17" t="n">
        <v>0.012243</v>
      </c>
      <c r="J140" s="17" t="n">
        <v>0.0113102</v>
      </c>
      <c r="K140" s="2" t="inlineStr">
        <is>
          <t>止盈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</sheetData>
  <autoFilter ref="A1:Z140"/>
  <conditionalFormatting sqref="K2:K14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09:41（Dry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0.16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0.7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IFERROR(AVERAGE(交易明細!$AC$2:$AC$70),(B6+2*B7)/(B5+B6))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46266.51388888889</v>
      </c>
      <c r="E2" s="17" t="n">
        <v>0.018968</v>
      </c>
      <c r="F2" s="17" t="n">
        <v>0.01839896</v>
      </c>
      <c r="G2" s="17" t="n">
        <v>0.0199164</v>
      </c>
      <c r="H2" s="7" t="n">
        <v>46266.51736111111</v>
      </c>
      <c r="I2" s="17" t="n">
        <v>0.01839896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-0.009969205073333653</v>
      </c>
      <c r="O2" s="4" t="n">
        <v>0.01798691078749718</v>
      </c>
      <c r="P2" s="4" t="n">
        <v>0.1771517257946444</v>
      </c>
      <c r="Q2" s="19" t="n">
        <v>135637</v>
      </c>
      <c r="R2" s="19" t="n">
        <v>104906.860052</v>
      </c>
      <c r="S2" s="4" t="n">
        <v>0.03</v>
      </c>
      <c r="T2" s="4" t="n">
        <v>0</v>
      </c>
      <c r="U2" s="16" t="n">
        <v>38.91978269286385</v>
      </c>
      <c r="V2" s="16" t="n">
        <v>0.492808478425436</v>
      </c>
      <c r="W2" s="4" t="n">
        <v>-0.1440593115860733</v>
      </c>
      <c r="X2" s="4" t="n">
        <v>-0.2674061205398903</v>
      </c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0.1758725435496868</v>
      </c>
      <c r="AE2" s="2" t="n">
        <v>0.1707919264242947</v>
      </c>
      <c r="AF2" s="2" t="n">
        <v>38.91978269286385</v>
      </c>
      <c r="AG2" s="2" t="n">
        <v>0.507191521574564</v>
      </c>
      <c r="AH2" s="2" t="n">
        <v>1</v>
      </c>
      <c r="AI2" s="2" t="n">
        <v>4</v>
      </c>
      <c r="AJ2" s="2" t="n">
        <v>0.1771517257946444</v>
      </c>
      <c r="AK2" s="2" t="n">
        <v>54.53240637644852</v>
      </c>
      <c r="AL2" s="2" t="n">
        <v>0.06230848671030768</v>
      </c>
      <c r="AM2" s="2" t="n">
        <v>104906.860052</v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46266.84027777778</v>
      </c>
      <c r="E3" s="17" t="n">
        <v>0.18983</v>
      </c>
      <c r="F3" s="17" t="n">
        <v>0.1841351</v>
      </c>
      <c r="G3" s="17" t="n">
        <v>0.1993215</v>
      </c>
      <c r="H3" s="7" t="n">
        <v>46266.85763888889</v>
      </c>
      <c r="I3" s="17" t="n">
        <v>0.1841351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0.02168998923573739</v>
      </c>
      <c r="O3" s="4" t="n">
        <v>0.01462340831443389</v>
      </c>
      <c r="P3" s="4" t="n">
        <v>0.1502568304010443</v>
      </c>
      <c r="Q3" s="19" t="n">
        <v>297621.98</v>
      </c>
      <c r="R3" s="19" t="n">
        <v>409800.8955007</v>
      </c>
      <c r="S3" s="4" t="n">
        <v>0.03</v>
      </c>
      <c r="T3" s="4" t="n">
        <v>0.01548754148448617</v>
      </c>
      <c r="U3" s="16" t="n">
        <v>23.22162747018902</v>
      </c>
      <c r="V3" s="16" t="n">
        <v>0.3004005340453942</v>
      </c>
      <c r="W3" s="4" t="n">
        <v>-0.1558388340659185</v>
      </c>
      <c r="X3" s="4" t="n">
        <v>-0.1155315272962332</v>
      </c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0.17200716182009</v>
      </c>
      <c r="AE3" s="2" t="n">
        <v>0.1300077385558664</v>
      </c>
      <c r="AF3" s="2" t="n">
        <v>23.22162747018902</v>
      </c>
      <c r="AG3" s="2" t="n">
        <v>0.6995994659546058</v>
      </c>
      <c r="AH3" s="2" t="n">
        <v>1</v>
      </c>
      <c r="AI3" s="2" t="n">
        <v>4</v>
      </c>
      <c r="AJ3" s="2" t="n">
        <v>0.1502568304010443</v>
      </c>
      <c r="AK3" s="2" t="n">
        <v>56.58409542110431</v>
      </c>
      <c r="AL3" s="2" t="n">
        <v>0.05065697236084932</v>
      </c>
      <c r="AM3" s="2" t="n">
        <v>409800.8955007</v>
      </c>
    </row>
    <row r="4">
      <c r="A4" s="2" t="n">
        <v>3</v>
      </c>
      <c r="B4" s="2" t="inlineStr">
        <is>
          <t>FF_USDT_PERP</t>
        </is>
      </c>
      <c r="C4" s="2" t="inlineStr">
        <is>
          <t>做空</t>
        </is>
      </c>
      <c r="D4" s="7" t="n">
        <v>46266.91319444445</v>
      </c>
      <c r="E4" s="17" t="n">
        <v>0.09786</v>
      </c>
      <c r="F4" s="17" t="n">
        <v>0.0949242</v>
      </c>
      <c r="G4" s="17" t="n">
        <v>0.102753</v>
      </c>
      <c r="H4" s="7" t="n">
        <v>46266.93402777778</v>
      </c>
      <c r="I4" s="17" t="n">
        <v>0.102753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-0.01727254468768824</v>
      </c>
      <c r="O4" s="4" t="n">
        <v>0.02390192008365358</v>
      </c>
      <c r="P4" s="4" t="n">
        <v>0.1533503604219877</v>
      </c>
      <c r="Q4" s="19" t="n">
        <v>103431</v>
      </c>
      <c r="R4" s="19" t="n">
        <v>284443.15934</v>
      </c>
      <c r="S4" s="4" t="n">
        <v>0.01216022889842627</v>
      </c>
      <c r="T4" s="4" t="n">
        <v>0.05</v>
      </c>
      <c r="U4" s="16" t="n">
        <v>28.69429753822687</v>
      </c>
      <c r="V4" s="16" t="n">
        <v>0.7123287671232857</v>
      </c>
      <c r="W4" s="4" t="n">
        <v>-0.1617209044470904</v>
      </c>
      <c r="X4" s="4" t="n">
        <v>-0.1212190650779104</v>
      </c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0.1754954954954955</v>
      </c>
      <c r="AE4" s="2" t="n">
        <v>0.1500763897050184</v>
      </c>
      <c r="AF4" s="2" t="n">
        <v>28.69429753822687</v>
      </c>
      <c r="AG4" s="2" t="n">
        <v>0.2876712328767143</v>
      </c>
      <c r="AH4" s="2" t="n">
        <v>0.4808704149758041</v>
      </c>
      <c r="AI4" s="2" t="n">
        <v>12</v>
      </c>
      <c r="AJ4" s="2" t="n">
        <v>0.1533503604219877</v>
      </c>
      <c r="AK4" s="2" t="n">
        <v>69.38213535204967</v>
      </c>
      <c r="AL4" s="2" t="n">
        <v>0.0827986799666779</v>
      </c>
      <c r="AM4" s="2" t="n">
        <v>284443.15934</v>
      </c>
    </row>
    <row r="5">
      <c r="A5" s="2" t="n">
        <v>4</v>
      </c>
      <c r="B5" s="2" t="inlineStr">
        <is>
          <t>MUBARAK_USDT_PERP</t>
        </is>
      </c>
      <c r="C5" s="2" t="inlineStr">
        <is>
          <t>做空</t>
        </is>
      </c>
      <c r="D5" s="7" t="n">
        <v>46267.98611111111</v>
      </c>
      <c r="E5" s="17" t="n">
        <v>0.02662</v>
      </c>
      <c r="F5" s="17" t="n">
        <v>0.0258214</v>
      </c>
      <c r="G5" s="17" t="n">
        <v>0.027951</v>
      </c>
      <c r="H5" s="7" t="n">
        <v>46267.99305555555</v>
      </c>
      <c r="I5" s="17" t="n">
        <v>0.027951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0.004528301886792541</v>
      </c>
      <c r="O5" s="4" t="n">
        <v>0.01574969292934687</v>
      </c>
      <c r="P5" s="4" t="n">
        <v>0.2162933968945377</v>
      </c>
      <c r="Q5" s="19" t="n">
        <v>2080134</v>
      </c>
      <c r="R5" s="19" t="n">
        <v>169789.35028</v>
      </c>
      <c r="S5" s="4" t="n">
        <v>0.001878287002254009</v>
      </c>
      <c r="T5" s="4" t="n">
        <v>0.05</v>
      </c>
      <c r="U5" s="16" t="n">
        <v>15.49600970323184</v>
      </c>
      <c r="V5" s="16" t="n">
        <v>0.4285714285714215</v>
      </c>
      <c r="W5" s="4" t="n">
        <v>-0.1787314688535042</v>
      </c>
      <c r="X5" s="4" t="n">
        <v>-0.2329782306623436</v>
      </c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0.176314626601856</v>
      </c>
      <c r="AE5" s="2" t="n">
        <v>0.1119465329991647</v>
      </c>
      <c r="AF5" s="2" t="n">
        <v>15.49600970323184</v>
      </c>
      <c r="AG5" s="2" t="n">
        <v>0.5714285714285785</v>
      </c>
      <c r="AH5" s="2" t="n">
        <v>0.5427608857639041</v>
      </c>
      <c r="AI5" s="2" t="n">
        <v>11</v>
      </c>
      <c r="AJ5" s="2" t="n">
        <v>0.2162933968945377</v>
      </c>
      <c r="AK5" s="2" t="n">
        <v>90.68484229739249</v>
      </c>
      <c r="AL5" s="2" t="n">
        <v>0.05455853671447417</v>
      </c>
      <c r="AM5" s="2" t="n">
        <v>169789.35028</v>
      </c>
    </row>
    <row r="6">
      <c r="A6" s="2" t="n">
        <v>5</v>
      </c>
      <c r="B6" s="2" t="inlineStr">
        <is>
          <t>ZEST_USDT_PERP</t>
        </is>
      </c>
      <c r="C6" s="2" t="inlineStr">
        <is>
          <t>做空</t>
        </is>
      </c>
      <c r="D6" s="7" t="n">
        <v>46268.71875</v>
      </c>
      <c r="E6" s="17" t="n">
        <v>0.15617</v>
      </c>
      <c r="F6" s="17" t="n">
        <v>0.1514849</v>
      </c>
      <c r="G6" s="17" t="n">
        <v>0.1639785</v>
      </c>
      <c r="H6" s="7" t="n">
        <v>46268.72222222222</v>
      </c>
      <c r="I6" s="17" t="n">
        <v>0.1639785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>
        <is>
          <t>同1h觸發；無小週期K資料→保守計止損</t>
        </is>
      </c>
      <c r="N6" s="4" t="n">
        <v>0.2106201550387596</v>
      </c>
      <c r="O6" s="4" t="n">
        <v>0.02389427039033402</v>
      </c>
      <c r="P6" s="4" t="n">
        <v>0.1882453718703814</v>
      </c>
      <c r="Q6" s="19" t="n">
        <v>59969</v>
      </c>
      <c r="R6" s="19" t="n">
        <v>23878.75843</v>
      </c>
      <c r="S6" s="4" t="n">
        <v>0</v>
      </c>
      <c r="T6" s="4" t="n">
        <v>0.05</v>
      </c>
      <c r="U6" s="16" t="n">
        <v>157.2392634699595</v>
      </c>
      <c r="V6" s="16" t="n">
        <v>0.4097327829676296</v>
      </c>
      <c r="W6" s="4" t="n">
        <v>-0.2091644709895761</v>
      </c>
      <c r="X6" s="4" t="n">
        <v>-0.1835543766578249</v>
      </c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0.2202687919987498</v>
      </c>
      <c r="AE6" s="2" t="n">
        <v>0.2184598580010924</v>
      </c>
      <c r="AF6" s="2" t="n">
        <v>157.2392634699595</v>
      </c>
      <c r="AG6" s="2" t="n">
        <v>0.5902672170323704</v>
      </c>
      <c r="AH6" s="2" t="n">
        <v>1</v>
      </c>
      <c r="AI6" s="2" t="n">
        <v>1</v>
      </c>
      <c r="AJ6" s="2" t="n">
        <v>0.1882453718703814</v>
      </c>
      <c r="AK6" s="2" t="n">
        <v>33.62191208315311</v>
      </c>
      <c r="AL6" s="2" t="n">
        <v>0.08277218065169431</v>
      </c>
      <c r="AM6" s="2" t="n">
        <v>23878.75843</v>
      </c>
    </row>
    <row r="7">
      <c r="A7" s="2" t="n">
        <v>6</v>
      </c>
      <c r="B7" s="2" t="inlineStr">
        <is>
          <t>CATI_USDT_PERP</t>
        </is>
      </c>
      <c r="C7" s="2" t="inlineStr">
        <is>
          <t>做空</t>
        </is>
      </c>
      <c r="D7" s="7" t="n">
        <v>46268.95138888889</v>
      </c>
      <c r="E7" s="17" t="n">
        <v>0.06712</v>
      </c>
      <c r="F7" s="17" t="n">
        <v>0.06510639999999999</v>
      </c>
      <c r="G7" s="17" t="n">
        <v>0.070476</v>
      </c>
      <c r="H7" s="7" t="n">
        <v>46268.97222222222</v>
      </c>
      <c r="I7" s="17" t="n">
        <v>0.06510639999999999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-0.01554708125550019</v>
      </c>
      <c r="O7" s="4" t="n">
        <v>0.03064006489734419</v>
      </c>
      <c r="P7" s="4" t="n">
        <v>0.1930712281772422</v>
      </c>
      <c r="Q7" s="19" t="n">
        <v>964405</v>
      </c>
      <c r="R7" s="19" t="n">
        <v>115516.39885</v>
      </c>
      <c r="S7" s="4" t="n">
        <v>0.03</v>
      </c>
      <c r="T7" s="4" t="n">
        <v>0.01668653158522049</v>
      </c>
      <c r="U7" s="16" t="n">
        <v>3.757737812982771</v>
      </c>
      <c r="V7" s="16" t="n">
        <v>0.8078602620087354</v>
      </c>
      <c r="W7" s="4" t="n">
        <v>-0.1700249100952997</v>
      </c>
      <c r="X7" s="4" t="n">
        <v>-0.2277300164624108</v>
      </c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0.1888062345023025</v>
      </c>
      <c r="AE7" s="2" t="n">
        <v>0.01527756769021327</v>
      </c>
      <c r="AF7" s="2" t="n">
        <v>3.757737812982771</v>
      </c>
      <c r="AG7" s="2" t="n">
        <v>0.1921397379912646</v>
      </c>
      <c r="AH7" s="2" t="n">
        <v>0.04582738631016418</v>
      </c>
      <c r="AI7" s="2" t="n">
        <v>11</v>
      </c>
      <c r="AJ7" s="2" t="n">
        <v>0.1930712281772422</v>
      </c>
      <c r="AK7" s="2" t="n">
        <v>90.22966893244768</v>
      </c>
      <c r="AL7" s="2" t="n">
        <v>0.1061402982988156</v>
      </c>
      <c r="AM7" s="2" t="n">
        <v>115516.39885</v>
      </c>
    </row>
    <row r="8">
      <c r="A8" s="2" t="n">
        <v>7</v>
      </c>
      <c r="B8" s="2" t="inlineStr">
        <is>
          <t>APR_USDT_PERP</t>
        </is>
      </c>
      <c r="C8" s="2" t="inlineStr">
        <is>
          <t>做空</t>
        </is>
      </c>
      <c r="D8" s="7" t="n">
        <v>46269.03472222222</v>
      </c>
      <c r="E8" s="17" t="n">
        <v>0.269</v>
      </c>
      <c r="F8" s="17" t="n">
        <v>0.26093</v>
      </c>
      <c r="G8" s="17" t="n">
        <v>0.28245</v>
      </c>
      <c r="H8" s="7" t="n">
        <v>46269.03819444445</v>
      </c>
      <c r="I8" s="17" t="n">
        <v>0.26093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-0.08844459505252444</v>
      </c>
      <c r="O8" s="4" t="n">
        <v>0.03305154017981478</v>
      </c>
      <c r="P8" s="4" t="n">
        <v>0.2596763474693111</v>
      </c>
      <c r="Q8" s="19" t="n">
        <v>66607</v>
      </c>
      <c r="R8" s="19" t="n">
        <v>234620.91883</v>
      </c>
      <c r="S8" s="4" t="n">
        <v>0.03</v>
      </c>
      <c r="T8" s="4" t="n">
        <v>0</v>
      </c>
      <c r="U8" s="16" t="n">
        <v>19.8723280944112</v>
      </c>
      <c r="V8" s="16" t="n">
        <v>0.8890756302521</v>
      </c>
      <c r="W8" s="4" t="n">
        <v>-0.1691133296738783</v>
      </c>
      <c r="X8" s="4" t="n">
        <v>-0.3150818870691763</v>
      </c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0.1728798779158491</v>
      </c>
      <c r="AE8" s="2" t="n">
        <v>0.09683995922528044</v>
      </c>
      <c r="AF8" s="2" t="n">
        <v>19.8723280944112</v>
      </c>
      <c r="AG8" s="2" t="n">
        <v>0.1109243697479</v>
      </c>
      <c r="AH8" s="2" t="n">
        <v>0.5209730352654302</v>
      </c>
      <c r="AI8" s="2" t="n">
        <v>5</v>
      </c>
      <c r="AJ8" s="2" t="n">
        <v>0.2596763474693111</v>
      </c>
      <c r="AK8" s="2" t="n">
        <v>76.81959672489742</v>
      </c>
      <c r="AL8" s="2" t="n">
        <v>0.1144938937196868</v>
      </c>
      <c r="AM8" s="2" t="n">
        <v>234620.91883</v>
      </c>
    </row>
    <row r="9">
      <c r="A9" s="2" t="n">
        <v>8</v>
      </c>
      <c r="B9" s="2" t="inlineStr">
        <is>
          <t>APR_USDT_PERP</t>
        </is>
      </c>
      <c r="C9" s="2" t="inlineStr">
        <is>
          <t>做空</t>
        </is>
      </c>
      <c r="D9" s="7" t="n">
        <v>46269.13888888889</v>
      </c>
      <c r="E9" s="17" t="n">
        <v>0.2691</v>
      </c>
      <c r="F9" s="17" t="n">
        <v>0.261027</v>
      </c>
      <c r="G9" s="17" t="n">
        <v>0.282555</v>
      </c>
      <c r="H9" s="7" t="n">
        <v>46269.14930555555</v>
      </c>
      <c r="I9" s="17" t="n">
        <v>0.282555</v>
      </c>
      <c r="J9" s="2" t="inlineStr">
        <is>
          <t>止損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0.01108397520195381</v>
      </c>
      <c r="O9" s="4" t="n">
        <v>0.0229587662933623</v>
      </c>
      <c r="P9" s="4" t="n">
        <v>0.2326999897504043</v>
      </c>
      <c r="Q9" s="19" t="n">
        <v>48633</v>
      </c>
      <c r="R9" s="19" t="n">
        <v>282901.97731</v>
      </c>
      <c r="S9" s="4" t="n">
        <v>0</v>
      </c>
      <c r="T9" s="4" t="n">
        <v>0.05</v>
      </c>
      <c r="U9" s="16" t="n">
        <v>2.900769489518932</v>
      </c>
      <c r="V9" s="16" t="n">
        <v>0.5419254658385082</v>
      </c>
      <c r="W9" s="4" t="n">
        <v>-0.1275232575240495</v>
      </c>
      <c r="X9" s="4" t="n">
        <v>-0.3478587528174306</v>
      </c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0.1606141637194858</v>
      </c>
      <c r="AE9" s="2" t="n">
        <v>0.1463258785942494</v>
      </c>
      <c r="AF9" s="2" t="n">
        <v>2.900769489518932</v>
      </c>
      <c r="AG9" s="2" t="n">
        <v>0.4580745341614919</v>
      </c>
      <c r="AH9" s="2" t="n">
        <v>0.09676907531586902</v>
      </c>
      <c r="AI9" s="2" t="n">
        <v>0</v>
      </c>
      <c r="AJ9" s="2" t="n">
        <v>0.2326999897504043</v>
      </c>
      <c r="AK9" s="2" t="n">
        <v>56.89951147835944</v>
      </c>
      <c r="AL9" s="2" t="n">
        <v>0.07953149939840658</v>
      </c>
      <c r="AM9" s="2" t="n">
        <v>282901.97731</v>
      </c>
    </row>
    <row r="10">
      <c r="A10" s="2" t="n">
        <v>9</v>
      </c>
      <c r="B10" s="2" t="inlineStr">
        <is>
          <t>APR_USDT_PERP</t>
        </is>
      </c>
      <c r="C10" s="2" t="inlineStr">
        <is>
          <t>做空</t>
        </is>
      </c>
      <c r="D10" s="7" t="n">
        <v>46269.19791666666</v>
      </c>
      <c r="E10" s="17" t="n">
        <v>0.27595</v>
      </c>
      <c r="F10" s="17" t="n">
        <v>0.2676715</v>
      </c>
      <c r="G10" s="17" t="n">
        <v>0.2897475</v>
      </c>
      <c r="H10" s="7" t="n">
        <v>46269.27777777778</v>
      </c>
      <c r="I10" s="17" t="n">
        <v>0.2676715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</v>
      </c>
      <c r="O10" s="4" t="n">
        <v>0.02317581480715283</v>
      </c>
      <c r="P10" s="4" t="n">
        <v>0.2340539869737501</v>
      </c>
      <c r="Q10" s="19" t="n">
        <v>206192</v>
      </c>
      <c r="R10" s="19" t="n">
        <v>411511.99279</v>
      </c>
      <c r="S10" s="4" t="n">
        <v>0.03</v>
      </c>
      <c r="T10" s="4" t="n">
        <v>0.02736002899075918</v>
      </c>
      <c r="U10" s="16" t="n">
        <v>4.958938723941882</v>
      </c>
      <c r="V10" s="16" t="n">
        <v>0.5934959349593611</v>
      </c>
      <c r="W10" s="4" t="n">
        <v>-0.1147517672622915</v>
      </c>
      <c r="X10" s="4" t="n">
        <v>-0.3842488086280409</v>
      </c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0.1645916860097065</v>
      </c>
      <c r="AE10" s="2" t="n">
        <v>-0.02549705124130386</v>
      </c>
      <c r="AF10" s="2" t="n">
        <v>4.958938723941882</v>
      </c>
      <c r="AG10" s="2" t="n">
        <v>0.4065040650406389</v>
      </c>
      <c r="AH10" s="2" t="n">
        <v>0.1611144014871196</v>
      </c>
      <c r="AI10" s="2" t="n">
        <v>3</v>
      </c>
      <c r="AJ10" s="2" t="n">
        <v>0.2340539869737501</v>
      </c>
      <c r="AK10" s="2" t="n">
        <v>65.87248673176782</v>
      </c>
      <c r="AL10" s="2" t="n">
        <v>0.0802833775055916</v>
      </c>
      <c r="AM10" s="2" t="n">
        <v>411511.99279</v>
      </c>
    </row>
    <row r="11">
      <c r="A11" s="2" t="n">
        <v>10</v>
      </c>
      <c r="B11" s="2" t="inlineStr">
        <is>
          <t>CAP_USDT_PERP</t>
        </is>
      </c>
      <c r="C11" s="2" t="inlineStr">
        <is>
          <t>做空</t>
        </is>
      </c>
      <c r="D11" s="7" t="n">
        <v>46269.46875</v>
      </c>
      <c r="E11" s="17" t="n">
        <v>0.05225</v>
      </c>
      <c r="F11" s="17" t="n">
        <v>0.0506825</v>
      </c>
      <c r="G11" s="17" t="n">
        <v>0.0548625</v>
      </c>
      <c r="H11" s="7" t="n">
        <v>46269.47222222222</v>
      </c>
      <c r="I11" s="17" t="n">
        <v>0.0548625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0.09126984126984117</v>
      </c>
      <c r="O11" s="4" t="n">
        <v>0.02898156027552445</v>
      </c>
      <c r="P11" s="4" t="n">
        <v>0.05048176400516691</v>
      </c>
      <c r="Q11" s="19" t="n">
        <v>313346</v>
      </c>
      <c r="R11" s="19" t="n">
        <v>293102.02756</v>
      </c>
      <c r="S11" s="4" t="n">
        <v>0</v>
      </c>
      <c r="T11" s="4" t="n">
        <v>0.05</v>
      </c>
      <c r="U11" s="16" t="n">
        <v>9.323089762227369</v>
      </c>
      <c r="V11" s="16" t="n">
        <v>0.3698435277382652</v>
      </c>
      <c r="W11" s="4" t="n">
        <v>-0.09837440587929858</v>
      </c>
      <c r="X11" s="4" t="n">
        <v>0.2624223602484472</v>
      </c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0.1629200979301135</v>
      </c>
      <c r="AE11" s="2" t="n">
        <v>0.1186041532862341</v>
      </c>
      <c r="AF11" s="2" t="n">
        <v>9.323089762227369</v>
      </c>
      <c r="AG11" s="2" t="n">
        <v>0.6301564722617348</v>
      </c>
      <c r="AH11" s="2" t="n">
        <v>0.4647279324744928</v>
      </c>
      <c r="AI11" s="2" t="n">
        <v>5</v>
      </c>
      <c r="AJ11" s="2" t="n">
        <v>0.05048176400516691</v>
      </c>
      <c r="AK11" s="2" t="n">
        <v>30.29733987847531</v>
      </c>
      <c r="AL11" s="2" t="n">
        <v>0.1003950697596564</v>
      </c>
      <c r="AM11" s="2" t="n">
        <v>293102.02756</v>
      </c>
    </row>
    <row r="12">
      <c r="A12" s="2" t="n">
        <v>11</v>
      </c>
      <c r="B12" s="2" t="inlineStr">
        <is>
          <t>TRIA_USDT_PERP</t>
        </is>
      </c>
      <c r="C12" s="2" t="inlineStr">
        <is>
          <t>做空</t>
        </is>
      </c>
      <c r="D12" s="7" t="n">
        <v>46269.50694444445</v>
      </c>
      <c r="E12" s="17" t="n">
        <v>0.00483</v>
      </c>
      <c r="F12" s="17" t="n">
        <v>0.0046851</v>
      </c>
      <c r="G12" s="17" t="n">
        <v>0.0050715</v>
      </c>
      <c r="H12" s="7" t="n">
        <v>46269.51388888889</v>
      </c>
      <c r="I12" s="17" t="n">
        <v>0.0046851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0.008350730688935215</v>
      </c>
      <c r="O12" s="4" t="n">
        <v>0.01619462835830598</v>
      </c>
      <c r="P12" s="4" t="n">
        <v>0.2425769107085434</v>
      </c>
      <c r="Q12" s="19" t="n">
        <v>10551395</v>
      </c>
      <c r="R12" s="19" t="n">
        <v>97130.50185</v>
      </c>
      <c r="S12" s="4" t="n">
        <v>0.03</v>
      </c>
      <c r="T12" s="4" t="n">
        <v>0.0269151138716357</v>
      </c>
      <c r="U12" s="16" t="n">
        <v>18.72488053227876</v>
      </c>
      <c r="V12" s="16" t="n">
        <v>0.3749999999999987</v>
      </c>
      <c r="W12" s="4" t="n">
        <v>-0.1991955706730888</v>
      </c>
      <c r="X12" s="4" t="n">
        <v>-0.2949061662198393</v>
      </c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0.1723300970873785</v>
      </c>
      <c r="AE12" s="2" t="n">
        <v>0.1052631578947369</v>
      </c>
      <c r="AF12" s="2" t="n">
        <v>18.72488053227876</v>
      </c>
      <c r="AG12" s="2" t="n">
        <v>0.6250000000000013</v>
      </c>
      <c r="AH12" s="2" t="n">
        <v>0.4324340445461655</v>
      </c>
      <c r="AI12" s="2" t="n">
        <v>12</v>
      </c>
      <c r="AJ12" s="2" t="n">
        <v>0.2425769107085434</v>
      </c>
      <c r="AK12" s="2" t="n">
        <v>84.66250490493398</v>
      </c>
      <c r="AL12" s="2" t="n">
        <v>0.05609983825256343</v>
      </c>
      <c r="AM12" s="2" t="n">
        <v>97130.50185</v>
      </c>
    </row>
    <row r="13">
      <c r="A13" s="2" t="n">
        <v>12</v>
      </c>
      <c r="B13" s="2" t="inlineStr">
        <is>
          <t>Q_USDT_PERP</t>
        </is>
      </c>
      <c r="C13" s="2" t="inlineStr">
        <is>
          <t>做空</t>
        </is>
      </c>
      <c r="D13" s="7" t="n">
        <v>46269.52083333334</v>
      </c>
      <c r="E13" s="17" t="n">
        <v>0.026302</v>
      </c>
      <c r="F13" s="17" t="n">
        <v>0.02551294</v>
      </c>
      <c r="G13" s="17" t="n">
        <v>0.0276171</v>
      </c>
      <c r="H13" s="7" t="n">
        <v>46269.52430555555</v>
      </c>
      <c r="I13" s="17" t="n">
        <v>0.02551294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0.02402180260852638</v>
      </c>
      <c r="O13" s="4" t="n">
        <v>0.01864579375933181</v>
      </c>
      <c r="P13" s="4" t="n">
        <v>0.2089054626230142</v>
      </c>
      <c r="Q13" s="19" t="n">
        <v>1320740</v>
      </c>
      <c r="R13" s="19" t="n">
        <v>39843.53728</v>
      </c>
      <c r="S13" s="4" t="n">
        <v>0.03</v>
      </c>
      <c r="T13" s="4" t="n">
        <v>0</v>
      </c>
      <c r="U13" s="16" t="n">
        <v>138.3767803026814</v>
      </c>
      <c r="V13" s="16" t="n">
        <v>0.4066243833685702</v>
      </c>
      <c r="W13" s="4" t="n">
        <v>-0.2031730246247461</v>
      </c>
      <c r="X13" s="4" t="n">
        <v>-0.2139758146404505</v>
      </c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0.2211337573703516</v>
      </c>
      <c r="AE13" s="2" t="n">
        <v>0.1888984314966324</v>
      </c>
      <c r="AF13" s="2" t="n">
        <v>138.3767803026814</v>
      </c>
      <c r="AG13" s="2" t="n">
        <v>0.5933756166314298</v>
      </c>
      <c r="AH13" s="2" t="n">
        <v>1</v>
      </c>
      <c r="AI13" s="2" t="n">
        <v>12</v>
      </c>
      <c r="AJ13" s="2" t="n">
        <v>0.2089054626230142</v>
      </c>
      <c r="AK13" s="2" t="n">
        <v>90.30432475120098</v>
      </c>
      <c r="AL13" s="2" t="n">
        <v>0.06459092427722679</v>
      </c>
      <c r="AM13" s="2" t="n">
        <v>39843.53728</v>
      </c>
    </row>
    <row r="14">
      <c r="A14" s="2" t="n">
        <v>13</v>
      </c>
      <c r="B14" s="2" t="inlineStr">
        <is>
          <t>Q_USDT_PERP</t>
        </is>
      </c>
      <c r="C14" s="2" t="inlineStr">
        <is>
          <t>做空</t>
        </is>
      </c>
      <c r="D14" s="7" t="n">
        <v>46269.56597222222</v>
      </c>
      <c r="E14" s="17" t="n">
        <v>0.026004</v>
      </c>
      <c r="F14" s="17" t="n">
        <v>0.02522388</v>
      </c>
      <c r="G14" s="17" t="n">
        <v>0.0273042</v>
      </c>
      <c r="H14" s="7" t="n">
        <v>46269.56944444445</v>
      </c>
      <c r="I14" s="17" t="n">
        <v>0.02522388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-0.0274879389655559</v>
      </c>
      <c r="O14" s="4" t="n">
        <v>0.03224460013596146</v>
      </c>
      <c r="P14" s="4" t="n">
        <v>0.1844276279905517</v>
      </c>
      <c r="Q14" s="19" t="n">
        <v>420787</v>
      </c>
      <c r="R14" s="19" t="n">
        <v>140081.288664</v>
      </c>
      <c r="S14" s="4" t="n">
        <v>0.03</v>
      </c>
      <c r="T14" s="4" t="n">
        <v>0</v>
      </c>
      <c r="U14" s="16" t="n">
        <v>6.34237653928682</v>
      </c>
      <c r="V14" s="16" t="n">
        <v>0.660574412532638</v>
      </c>
      <c r="W14" s="4" t="n">
        <v>-0.1656391942368904</v>
      </c>
      <c r="X14" s="4" t="n">
        <v>-0.2007757665312153</v>
      </c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0.1828602620087336</v>
      </c>
      <c r="AE14" s="2" t="n">
        <v>-0.03226526738863456</v>
      </c>
      <c r="AF14" s="2" t="n">
        <v>6.34237653928682</v>
      </c>
      <c r="AG14" s="2" t="n">
        <v>0.339425587467362</v>
      </c>
      <c r="AH14" s="2" t="n">
        <v>0.08180614518095078</v>
      </c>
      <c r="AI14" s="2" t="n">
        <v>8</v>
      </c>
      <c r="AJ14" s="2" t="n">
        <v>0.1844276279905517</v>
      </c>
      <c r="AK14" s="2" t="n">
        <v>91.04933867652743</v>
      </c>
      <c r="AL14" s="2" t="n">
        <v>0.1116985714104551</v>
      </c>
      <c r="AM14" s="2" t="n">
        <v>140081.288664</v>
      </c>
    </row>
    <row r="15">
      <c r="A15" s="2" t="n">
        <v>14</v>
      </c>
      <c r="B15" s="2" t="inlineStr">
        <is>
          <t>TRIA_USDT_PERP</t>
        </is>
      </c>
      <c r="C15" s="2" t="inlineStr">
        <is>
          <t>做空</t>
        </is>
      </c>
      <c r="D15" s="7" t="n">
        <v>46269.60763888889</v>
      </c>
      <c r="E15" s="17" t="n">
        <v>0.00525</v>
      </c>
      <c r="F15" s="17" t="n">
        <v>0.0050925</v>
      </c>
      <c r="G15" s="17" t="n">
        <v>0.005512500000000001</v>
      </c>
      <c r="H15" s="7" t="n">
        <v>46269.61805555555</v>
      </c>
      <c r="I15" s="17" t="n">
        <v>0.0050925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-0.007561436672967936</v>
      </c>
      <c r="O15" s="4" t="n">
        <v>0.02247100376299462</v>
      </c>
      <c r="P15" s="4" t="n">
        <v>0.3132934481249088</v>
      </c>
      <c r="Q15" s="19" t="n">
        <v>8918211</v>
      </c>
      <c r="R15" s="19" t="n">
        <v>334629.99303</v>
      </c>
      <c r="S15" s="4" t="n">
        <v>0.03</v>
      </c>
      <c r="T15" s="4" t="n">
        <v>0.03047619047619032</v>
      </c>
      <c r="U15" s="16" t="n">
        <v>7.038760822410627</v>
      </c>
      <c r="V15" s="16" t="n">
        <v>0.4285714285714251</v>
      </c>
      <c r="W15" s="4" t="n">
        <v>-0.2287887653598595</v>
      </c>
      <c r="X15" s="4" t="n">
        <v>-0.3815789473684212</v>
      </c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0.1958997722095672</v>
      </c>
      <c r="AE15" s="2" t="n">
        <v>0.1388286334056399</v>
      </c>
      <c r="AF15" s="2" t="n">
        <v>7.038760822410627</v>
      </c>
      <c r="AG15" s="2" t="n">
        <v>0.5714285714285749</v>
      </c>
      <c r="AH15" s="2" t="n">
        <v>0.2290049746492384</v>
      </c>
      <c r="AI15" s="2" t="n">
        <v>10</v>
      </c>
      <c r="AJ15" s="2" t="n">
        <v>0.3132934481249088</v>
      </c>
      <c r="AK15" s="2" t="n">
        <v>92.90653984755781</v>
      </c>
      <c r="AL15" s="2" t="n">
        <v>0.07784184042915623</v>
      </c>
      <c r="AM15" s="2" t="n">
        <v>334629.99303</v>
      </c>
    </row>
    <row r="16">
      <c r="A16" s="2" t="n">
        <v>15</v>
      </c>
      <c r="B16" s="2" t="inlineStr">
        <is>
          <t>4_USDT_PERP</t>
        </is>
      </c>
      <c r="C16" s="2" t="inlineStr">
        <is>
          <t>做空</t>
        </is>
      </c>
      <c r="D16" s="7" t="n">
        <v>46270.02430555555</v>
      </c>
      <c r="E16" s="17" t="n">
        <v>0.01808</v>
      </c>
      <c r="F16" s="17" t="n">
        <v>0.0175376</v>
      </c>
      <c r="G16" s="17" t="n">
        <v>0.018984</v>
      </c>
      <c r="H16" s="7" t="n">
        <v>46270.02777777778</v>
      </c>
      <c r="I16" s="17" t="n">
        <v>0.0175376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0.01118568232662187</v>
      </c>
      <c r="O16" s="4" t="n">
        <v>0.0205045299939307</v>
      </c>
      <c r="P16" s="4" t="n">
        <v>0.1102639026062746</v>
      </c>
      <c r="Q16" s="19" t="n">
        <v>901083</v>
      </c>
      <c r="R16" s="19" t="n">
        <v>91172.69407</v>
      </c>
      <c r="S16" s="4" t="n">
        <v>0.03</v>
      </c>
      <c r="T16" s="4" t="n">
        <v>0</v>
      </c>
      <c r="U16" s="16" t="n">
        <v>11.75736486296425</v>
      </c>
      <c r="V16" s="16" t="n">
        <v>0.7083333333333349</v>
      </c>
      <c r="W16" s="4" t="n">
        <v>-0.1390913730209233</v>
      </c>
      <c r="X16" s="4" t="n">
        <v>-0.1356783919597988</v>
      </c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0.201328903654485</v>
      </c>
      <c r="AE16" s="2" t="n">
        <v>0.1392564587271581</v>
      </c>
      <c r="AF16" s="2" t="n">
        <v>11.75736486296425</v>
      </c>
      <c r="AG16" s="2" t="n">
        <v>0.2916666666666651</v>
      </c>
      <c r="AH16" s="2" t="n">
        <v>0.4786948185024584</v>
      </c>
      <c r="AI16" s="2" t="n">
        <v>4</v>
      </c>
      <c r="AJ16" s="2" t="n">
        <v>0.1102639026062746</v>
      </c>
      <c r="AK16" s="2" t="n">
        <v>66.91144621480441</v>
      </c>
      <c r="AL16" s="2" t="n">
        <v>0.07102977546961588</v>
      </c>
      <c r="AM16" s="2" t="n">
        <v>91172.69407</v>
      </c>
    </row>
    <row r="17">
      <c r="A17" s="2" t="n">
        <v>16</v>
      </c>
      <c r="B17" s="2" t="inlineStr">
        <is>
          <t>4_USDT_PERP</t>
        </is>
      </c>
      <c r="C17" s="2" t="inlineStr">
        <is>
          <t>做空</t>
        </is>
      </c>
      <c r="D17" s="7" t="n">
        <v>46270.06944444445</v>
      </c>
      <c r="E17" s="17" t="n">
        <v>0.02023</v>
      </c>
      <c r="F17" s="17" t="n">
        <v>0.0196231</v>
      </c>
      <c r="G17" s="17" t="n">
        <v>0.0212415</v>
      </c>
      <c r="H17" s="7" t="n">
        <v>46270.08680555555</v>
      </c>
      <c r="I17" s="17" t="n">
        <v>0.0212415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-0.005896805896805857</v>
      </c>
      <c r="O17" s="4" t="n">
        <v>0.02430964562430029</v>
      </c>
      <c r="P17" s="4" t="n">
        <v>0.2332608563126131</v>
      </c>
      <c r="Q17" s="19" t="n">
        <v>647613</v>
      </c>
      <c r="R17" s="19" t="n">
        <v>170686.73708</v>
      </c>
      <c r="S17" s="4" t="n">
        <v>0.02125556104794857</v>
      </c>
      <c r="T17" s="4" t="n">
        <v>0.05</v>
      </c>
      <c r="U17" s="16" t="n">
        <v>41.71368136531011</v>
      </c>
      <c r="V17" s="16" t="n">
        <v>0.7499999999999936</v>
      </c>
      <c r="W17" s="4" t="n">
        <v>-0.2402520967188189</v>
      </c>
      <c r="X17" s="4" t="n">
        <v>-0.2282938676381301</v>
      </c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0.280379746835443</v>
      </c>
      <c r="AE17" s="2" t="n">
        <v>0.1121495327102804</v>
      </c>
      <c r="AF17" s="2" t="n">
        <v>41.71368136531011</v>
      </c>
      <c r="AG17" s="2" t="n">
        <v>0.2500000000000065</v>
      </c>
      <c r="AH17" s="2" t="n">
        <v>1</v>
      </c>
      <c r="AI17" s="2" t="n">
        <v>10</v>
      </c>
      <c r="AJ17" s="2" t="n">
        <v>0.2332608563126131</v>
      </c>
      <c r="AK17" s="2" t="n">
        <v>75.00445616692242</v>
      </c>
      <c r="AL17" s="2" t="n">
        <v>0.08421108267056508</v>
      </c>
      <c r="AM17" s="2" t="n">
        <v>170686.73708</v>
      </c>
    </row>
    <row r="18">
      <c r="A18" s="2" t="n">
        <v>17</v>
      </c>
      <c r="B18" s="2" t="inlineStr">
        <is>
          <t>4_USDT_PERP</t>
        </is>
      </c>
      <c r="C18" s="2" t="inlineStr">
        <is>
          <t>做空</t>
        </is>
      </c>
      <c r="D18" s="7" t="n">
        <v>46270.12847222222</v>
      </c>
      <c r="E18" s="17" t="n">
        <v>0.02225</v>
      </c>
      <c r="F18" s="17" t="n">
        <v>0.0215825</v>
      </c>
      <c r="G18" s="17" t="n">
        <v>0.0233625</v>
      </c>
      <c r="H18" s="7" t="n">
        <v>46270.14583333334</v>
      </c>
      <c r="I18" s="17" t="n">
        <v>0.0215825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-0.009790832220738843</v>
      </c>
      <c r="O18" s="4" t="n">
        <v>0.02763240566952236</v>
      </c>
      <c r="P18" s="4" t="n">
        <v>0.3288970403422284</v>
      </c>
      <c r="Q18" s="19" t="n">
        <v>4239834</v>
      </c>
      <c r="R18" s="19" t="n">
        <v>339606.07917</v>
      </c>
      <c r="S18" s="4" t="n">
        <v>0.03</v>
      </c>
      <c r="T18" s="4" t="n">
        <v>0.03146067415730358</v>
      </c>
      <c r="U18" s="16" t="n">
        <v>6.011187623616628</v>
      </c>
      <c r="V18" s="16" t="n">
        <v>0.7000000000000035</v>
      </c>
      <c r="W18" s="4" t="n">
        <v>-0.2886597938144329</v>
      </c>
      <c r="X18" s="4" t="n">
        <v>-0.3395544852498495</v>
      </c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0.1606677099634846</v>
      </c>
      <c r="AE18" s="2" t="n">
        <v>0.04558270676691722</v>
      </c>
      <c r="AF18" s="2" t="n">
        <v>6.011187623616628</v>
      </c>
      <c r="AG18" s="2" t="n">
        <v>0.2999999999999965</v>
      </c>
      <c r="AH18" s="2" t="n">
        <v>0.259579869551333</v>
      </c>
      <c r="AI18" s="2" t="n">
        <v>10</v>
      </c>
      <c r="AJ18" s="2" t="n">
        <v>0.3288970403422284</v>
      </c>
      <c r="AK18" s="2" t="n">
        <v>81.02166071839551</v>
      </c>
      <c r="AL18" s="2" t="n">
        <v>0.09572146110993404</v>
      </c>
      <c r="AM18" s="2" t="n">
        <v>339606.07917</v>
      </c>
    </row>
    <row r="19">
      <c r="A19" s="2" t="n">
        <v>18</v>
      </c>
      <c r="B19" s="2" t="inlineStr">
        <is>
          <t>NOM_USDT_PERP</t>
        </is>
      </c>
      <c r="C19" s="2" t="inlineStr">
        <is>
          <t>做空</t>
        </is>
      </c>
      <c r="D19" s="7" t="n">
        <v>46270.45138888889</v>
      </c>
      <c r="E19" s="17" t="n">
        <v>0.001833</v>
      </c>
      <c r="F19" s="17" t="n">
        <v>0.00177801</v>
      </c>
      <c r="G19" s="17" t="n">
        <v>0.00192465</v>
      </c>
      <c r="H19" s="7" t="n">
        <v>46270.46527777778</v>
      </c>
      <c r="I19" s="17" t="n">
        <v>0.00192465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0.002186987424822373</v>
      </c>
      <c r="O19" s="4" t="n">
        <v>0.02129452736364306</v>
      </c>
      <c r="P19" s="4" t="n">
        <v>0.1715610427724177</v>
      </c>
      <c r="Q19" s="19" t="n">
        <v>20553685</v>
      </c>
      <c r="R19" s="19" t="n">
        <v>92686.25734899999</v>
      </c>
      <c r="S19" s="4" t="n">
        <v>0.009819967266775809</v>
      </c>
      <c r="T19" s="4" t="n">
        <v>0.05</v>
      </c>
      <c r="U19" s="16" t="n">
        <v>7.451651633257041</v>
      </c>
      <c r="V19" s="16" t="n">
        <v>0.4</v>
      </c>
      <c r="W19" s="4" t="n">
        <v>-0.1581401520177417</v>
      </c>
      <c r="X19" s="4" t="n">
        <v>-0.1638095238095238</v>
      </c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0.1787781350482316</v>
      </c>
      <c r="AE19" s="2" t="n">
        <v>0.1406347230864966</v>
      </c>
      <c r="AF19" s="2" t="n">
        <v>7.451651633257041</v>
      </c>
      <c r="AG19" s="2" t="n">
        <v>0.6</v>
      </c>
      <c r="AH19" s="2" t="n">
        <v>0.1564535544680729</v>
      </c>
      <c r="AI19" s="2" t="n">
        <v>12</v>
      </c>
      <c r="AJ19" s="2" t="n">
        <v>0.1715610427724177</v>
      </c>
      <c r="AK19" s="2" t="n">
        <v>83.76417671738768</v>
      </c>
      <c r="AL19" s="2" t="n">
        <v>0.07376640663399102</v>
      </c>
      <c r="AM19" s="2" t="n">
        <v>92686.25734899999</v>
      </c>
    </row>
    <row r="20">
      <c r="A20" s="2" t="n">
        <v>19</v>
      </c>
      <c r="B20" s="2" t="inlineStr">
        <is>
          <t>NOM_USDT_PERP</t>
        </is>
      </c>
      <c r="C20" s="2" t="inlineStr">
        <is>
          <t>做空</t>
        </is>
      </c>
      <c r="D20" s="7" t="n">
        <v>46270.56944444445</v>
      </c>
      <c r="E20" s="17" t="n">
        <v>0.002085</v>
      </c>
      <c r="F20" s="17" t="n">
        <v>0.00202245</v>
      </c>
      <c r="G20" s="17" t="n">
        <v>0.00218925</v>
      </c>
      <c r="H20" s="7" t="n">
        <v>46270.58333333334</v>
      </c>
      <c r="I20" s="17" t="n">
        <v>0.00202245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0.01806640625</v>
      </c>
      <c r="O20" s="4" t="n">
        <v>0.04028698899428593</v>
      </c>
      <c r="P20" s="4" t="n">
        <v>0.3017893099267939</v>
      </c>
      <c r="Q20" s="19" t="n">
        <v>2248922</v>
      </c>
      <c r="R20" s="19" t="n">
        <v>258642.812045</v>
      </c>
      <c r="S20" s="4" t="n">
        <v>0.03</v>
      </c>
      <c r="T20" s="4" t="n">
        <v>0.01486810551558748</v>
      </c>
      <c r="U20" s="16" t="n">
        <v>6.098072496517265</v>
      </c>
      <c r="V20" s="16" t="n">
        <v>0.4912280701754393</v>
      </c>
      <c r="W20" s="4" t="n">
        <v>-0.2465920505093986</v>
      </c>
      <c r="X20" s="4" t="n">
        <v>-0.3331202046035806</v>
      </c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0.1860068259385665</v>
      </c>
      <c r="AE20" s="2" t="n">
        <v>0.2395957193816887</v>
      </c>
      <c r="AF20" s="2" t="n">
        <v>6.098072496517265</v>
      </c>
      <c r="AG20" s="2" t="n">
        <v>0.5087719298245607</v>
      </c>
      <c r="AH20" s="2" t="n">
        <v>0.1807743340015253</v>
      </c>
      <c r="AI20" s="2" t="n">
        <v>5</v>
      </c>
      <c r="AJ20" s="2" t="n">
        <v>0.3017893099267939</v>
      </c>
      <c r="AK20" s="2" t="n">
        <v>83.24013600683266</v>
      </c>
      <c r="AL20" s="2" t="n">
        <v>0.1395582236441428</v>
      </c>
      <c r="AM20" s="2" t="n">
        <v>258642.812045</v>
      </c>
    </row>
    <row r="21">
      <c r="A21" s="2" t="n">
        <v>20</v>
      </c>
      <c r="B21" s="2" t="inlineStr">
        <is>
          <t>B_USDT_PERP</t>
        </is>
      </c>
      <c r="C21" s="2" t="inlineStr">
        <is>
          <t>做空</t>
        </is>
      </c>
      <c r="D21" s="7" t="n">
        <v>46270.60069444445</v>
      </c>
      <c r="E21" s="17" t="n">
        <v>0.2168</v>
      </c>
      <c r="F21" s="17" t="n">
        <v>0.210296</v>
      </c>
      <c r="G21" s="17" t="n">
        <v>0.22764</v>
      </c>
      <c r="H21" s="7" t="n">
        <v>46270.60416666666</v>
      </c>
      <c r="I21" s="17" t="n">
        <v>0.210296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-0.01049748973071651</v>
      </c>
      <c r="O21" s="4" t="n">
        <v>0.02910155529424353</v>
      </c>
      <c r="P21" s="4" t="n">
        <v>0.6143865070648025</v>
      </c>
      <c r="Q21" s="19" t="n">
        <v>233985</v>
      </c>
      <c r="R21" s="19" t="n">
        <v>80785.15579999999</v>
      </c>
      <c r="S21" s="4" t="n">
        <v>0.03</v>
      </c>
      <c r="T21" s="4" t="n">
        <v>0</v>
      </c>
      <c r="U21" s="16" t="n">
        <v>30.88554153706357</v>
      </c>
      <c r="V21" s="16" t="n">
        <v>0.4098360655737713</v>
      </c>
      <c r="W21" s="4" t="n">
        <v>-0.56573863431192</v>
      </c>
      <c r="X21" s="4" t="n">
        <v>-0.6924277907884466</v>
      </c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0.5859546452084858</v>
      </c>
      <c r="AE21" s="2" t="n">
        <v>0.5824817518248173</v>
      </c>
      <c r="AF21" s="2" t="n">
        <v>30.88554153706357</v>
      </c>
      <c r="AG21" s="2" t="n">
        <v>0.5901639344262287</v>
      </c>
      <c r="AH21" s="2" t="n">
        <v>0.3078041929982947</v>
      </c>
      <c r="AI21" s="2" t="n">
        <v>4</v>
      </c>
      <c r="AJ21" s="2" t="n">
        <v>0.6143865070648025</v>
      </c>
      <c r="AK21" s="2" t="n">
        <v>69.96677715477801</v>
      </c>
      <c r="AL21" s="2" t="n">
        <v>0.1008107446978097</v>
      </c>
      <c r="AM21" s="2" t="n">
        <v>80785.15579999999</v>
      </c>
    </row>
    <row r="22">
      <c r="A22" s="2" t="n">
        <v>21</v>
      </c>
      <c r="B22" s="2" t="inlineStr">
        <is>
          <t>NAORIS_USDT_PERP</t>
        </is>
      </c>
      <c r="C22" s="2" t="inlineStr">
        <is>
          <t>做空</t>
        </is>
      </c>
      <c r="D22" s="7" t="n">
        <v>46270.61805555555</v>
      </c>
      <c r="E22" s="17" t="n">
        <v>0.03141</v>
      </c>
      <c r="F22" s="17" t="n">
        <v>0.0304677</v>
      </c>
      <c r="G22" s="17" t="n">
        <v>0.0329805</v>
      </c>
      <c r="H22" s="7" t="n">
        <v>46270.62847222222</v>
      </c>
      <c r="I22" s="17" t="n">
        <v>0.0304677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-0.03709380748007363</v>
      </c>
      <c r="O22" s="4" t="n">
        <v>0.0275645116608186</v>
      </c>
      <c r="P22" s="4" t="n">
        <v>0.2331671312473007</v>
      </c>
      <c r="Q22" s="19" t="n">
        <v>277161</v>
      </c>
      <c r="R22" s="19" t="n">
        <v>69139.5478</v>
      </c>
      <c r="S22" s="4" t="n">
        <v>0.03</v>
      </c>
      <c r="T22" s="4" t="n">
        <v>0.02515122572429163</v>
      </c>
      <c r="U22" s="16" t="n">
        <v>106.4184220575352</v>
      </c>
      <c r="V22" s="16" t="n">
        <v>0.5547169811320752</v>
      </c>
      <c r="W22" s="4" t="n">
        <v>-0.2114783816099048</v>
      </c>
      <c r="X22" s="4" t="n">
        <v>-0.2609393817743877</v>
      </c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0.2146171693735499</v>
      </c>
      <c r="AE22" s="2" t="n">
        <v>0.1764044943820224</v>
      </c>
      <c r="AF22" s="2" t="n">
        <v>106.4184220575352</v>
      </c>
      <c r="AG22" s="2" t="n">
        <v>0.4452830188679248</v>
      </c>
      <c r="AH22" s="2" t="n">
        <v>1</v>
      </c>
      <c r="AI22" s="2" t="n">
        <v>12</v>
      </c>
      <c r="AJ22" s="2" t="n">
        <v>0.2331671312473007</v>
      </c>
      <c r="AK22" s="2" t="n">
        <v>90.36484615724369</v>
      </c>
      <c r="AL22" s="2" t="n">
        <v>0.09548626936472517</v>
      </c>
      <c r="AM22" s="2" t="n">
        <v>69139.5478</v>
      </c>
    </row>
    <row r="23">
      <c r="A23" s="2" t="n">
        <v>22</v>
      </c>
      <c r="B23" s="2" t="inlineStr">
        <is>
          <t>TRADOOR_USDT_PERP</t>
        </is>
      </c>
      <c r="C23" s="2" t="inlineStr">
        <is>
          <t>做空</t>
        </is>
      </c>
      <c r="D23" s="7" t="n">
        <v>46270.63194444445</v>
      </c>
      <c r="E23" s="17" t="n">
        <v>0.7411</v>
      </c>
      <c r="F23" s="17" t="n">
        <v>0.7188669999999999</v>
      </c>
      <c r="G23" s="17" t="n">
        <v>0.778155</v>
      </c>
      <c r="H23" s="7" t="n">
        <v>46270.63541666666</v>
      </c>
      <c r="I23" s="17" t="n">
        <v>0.778155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>
        <is>
          <t>同1h觸發；無小週期K資料→保守計止損</t>
        </is>
      </c>
      <c r="N23" s="4" t="n">
        <v>-0.0009436505796711625</v>
      </c>
      <c r="O23" s="4" t="n">
        <v>0.01721242024533929</v>
      </c>
      <c r="P23" s="4" t="n">
        <v>0.1668974910234364</v>
      </c>
      <c r="Q23" s="19" t="n">
        <v>5608</v>
      </c>
      <c r="R23" s="19" t="n">
        <v>116863.3092</v>
      </c>
      <c r="S23" s="4" t="n">
        <v>0</v>
      </c>
      <c r="T23" s="4" t="n">
        <v>0.05</v>
      </c>
      <c r="U23" s="16" t="n">
        <v>8.401592757717047</v>
      </c>
      <c r="V23" s="16" t="n">
        <v>0.9326424870466338</v>
      </c>
      <c r="W23" s="4" t="n">
        <v>-0.1660344287752942</v>
      </c>
      <c r="X23" s="4" t="n">
        <v>-0.1608709273182958</v>
      </c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0.16232747804266</v>
      </c>
      <c r="AE23" s="2" t="n">
        <v>0.1610527964906783</v>
      </c>
      <c r="AF23" s="2" t="n">
        <v>8.401592757717047</v>
      </c>
      <c r="AG23" s="2" t="n">
        <v>0.06735751295336627</v>
      </c>
      <c r="AH23" s="2" t="n">
        <v>0.1608645334834694</v>
      </c>
      <c r="AI23" s="2" t="n">
        <v>4</v>
      </c>
      <c r="AJ23" s="2" t="n">
        <v>0.1668974910234364</v>
      </c>
      <c r="AK23" s="2" t="n">
        <v>59.77303417367106</v>
      </c>
      <c r="AL23" s="2" t="n">
        <v>0.05962557277230961</v>
      </c>
      <c r="AM23" s="2" t="n">
        <v>116863.3092</v>
      </c>
    </row>
    <row r="24">
      <c r="A24" s="2" t="n">
        <v>23</v>
      </c>
      <c r="B24" s="2" t="inlineStr">
        <is>
          <t>B_USDT_PERP</t>
        </is>
      </c>
      <c r="C24" s="2" t="inlineStr">
        <is>
          <t>做空</t>
        </is>
      </c>
      <c r="D24" s="7" t="n">
        <v>46270.64583333334</v>
      </c>
      <c r="E24" s="17" t="n">
        <v>0.1992</v>
      </c>
      <c r="F24" s="17" t="n">
        <v>0.193224</v>
      </c>
      <c r="G24" s="17" t="n">
        <v>0.20916</v>
      </c>
      <c r="H24" s="7" t="n">
        <v>46270.65972222222</v>
      </c>
      <c r="I24" s="17" t="n">
        <v>0.193224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0.01116751269035521</v>
      </c>
      <c r="O24" s="4" t="n">
        <v>0.03911163473740106</v>
      </c>
      <c r="P24" s="4" t="n">
        <v>0.4420457938822846</v>
      </c>
      <c r="Q24" s="19" t="n">
        <v>62137</v>
      </c>
      <c r="R24" s="19" t="n">
        <v>168484.8679</v>
      </c>
      <c r="S24" s="4" t="n">
        <v>0.03</v>
      </c>
      <c r="T24" s="4" t="n">
        <v>0.006024096385542244</v>
      </c>
      <c r="U24" s="16" t="n">
        <v>6.248157917835051</v>
      </c>
      <c r="V24" s="16" t="n">
        <v>0.465116279069768</v>
      </c>
      <c r="W24" s="4" t="n">
        <v>-0.3576696064666511</v>
      </c>
      <c r="X24" s="4" t="n">
        <v>-0.5489891135303266</v>
      </c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0.4550766983199415</v>
      </c>
      <c r="AE24" s="2" t="n">
        <v>-0.04780114722753348</v>
      </c>
      <c r="AF24" s="2" t="n">
        <v>6.248157917835051</v>
      </c>
      <c r="AG24" s="2" t="n">
        <v>0.534883720930232</v>
      </c>
      <c r="AH24" s="2" t="n">
        <v>0.1345958184658154</v>
      </c>
      <c r="AI24" s="2" t="n">
        <v>12</v>
      </c>
      <c r="AJ24" s="2" t="n">
        <v>0.4420457938822846</v>
      </c>
      <c r="AK24" s="2" t="n">
        <v>85.26016659399646</v>
      </c>
      <c r="AL24" s="2" t="n">
        <v>0.1354866770645089</v>
      </c>
      <c r="AM24" s="2" t="n">
        <v>168484.8679</v>
      </c>
    </row>
    <row r="25">
      <c r="A25" s="2" t="n">
        <v>24</v>
      </c>
      <c r="B25" s="2" t="inlineStr">
        <is>
          <t>COLLECT_USDT_PERP</t>
        </is>
      </c>
      <c r="C25" s="2" t="inlineStr">
        <is>
          <t>做空</t>
        </is>
      </c>
      <c r="D25" s="7" t="n">
        <v>46270.78472222222</v>
      </c>
      <c r="E25" s="17" t="n">
        <v>0.09945</v>
      </c>
      <c r="F25" s="17" t="n">
        <v>0.0964665</v>
      </c>
      <c r="G25" s="17" t="n">
        <v>0.1044225</v>
      </c>
      <c r="H25" s="7" t="n">
        <v>46270.79166666666</v>
      </c>
      <c r="I25" s="17" t="n">
        <v>0.0964665</v>
      </c>
      <c r="J25" s="2" t="inlineStr">
        <is>
          <t>止盈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-0.004305166199439325</v>
      </c>
      <c r="O25" s="4" t="n">
        <v>0.02278367542862803</v>
      </c>
      <c r="P25" s="4" t="n">
        <v>0.2176109766599057</v>
      </c>
      <c r="Q25" s="19" t="n">
        <v>61445</v>
      </c>
      <c r="R25" s="19" t="n">
        <v>71040.47224</v>
      </c>
      <c r="S25" s="4" t="n">
        <v>0.03</v>
      </c>
      <c r="T25" s="4" t="n">
        <v>0.04665661136249377</v>
      </c>
      <c r="U25" s="16" t="n">
        <v>9.132213895896809</v>
      </c>
      <c r="V25" s="16" t="n">
        <v>0.7349397590361462</v>
      </c>
      <c r="W25" s="4" t="n">
        <v>-0.1899562665645622</v>
      </c>
      <c r="X25" s="4" t="n">
        <v>-0.2404889609579641</v>
      </c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0.20970684831529</v>
      </c>
      <c r="AE25" s="2" t="n">
        <v>0.118043844856661</v>
      </c>
      <c r="AF25" s="2" t="n">
        <v>9.132213895896809</v>
      </c>
      <c r="AG25" s="2" t="n">
        <v>0.2650602409638538</v>
      </c>
      <c r="AH25" s="2" t="n">
        <v>0.4066370123843963</v>
      </c>
      <c r="AI25" s="2" t="n">
        <v>12</v>
      </c>
      <c r="AJ25" s="2" t="n">
        <v>0.2176109766599057</v>
      </c>
      <c r="AK25" s="2" t="n">
        <v>85.66311361514295</v>
      </c>
      <c r="AL25" s="2" t="n">
        <v>0.07892496685108473</v>
      </c>
      <c r="AM25" s="2" t="n">
        <v>71040.47224</v>
      </c>
    </row>
    <row r="26">
      <c r="A26" s="2" t="n">
        <v>25</v>
      </c>
      <c r="B26" s="2" t="inlineStr">
        <is>
          <t>SUSHI_USDT_PERP</t>
        </is>
      </c>
      <c r="C26" s="2" t="inlineStr">
        <is>
          <t>做空</t>
        </is>
      </c>
      <c r="D26" s="7" t="n">
        <v>46271.07986111111</v>
      </c>
      <c r="E26" s="17" t="n">
        <v>0.2468</v>
      </c>
      <c r="F26" s="17" t="n">
        <v>0.239396</v>
      </c>
      <c r="G26" s="17" t="n">
        <v>0.25914</v>
      </c>
      <c r="H26" s="7" t="n">
        <v>46271.12152777778</v>
      </c>
      <c r="I26" s="17" t="n">
        <v>0.25914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0.01396877567789634</v>
      </c>
      <c r="O26" s="4" t="n">
        <v>0.01596670759085268</v>
      </c>
      <c r="P26" s="4" t="n">
        <v>0.2380986223142865</v>
      </c>
      <c r="Q26" s="19" t="n">
        <v>159088</v>
      </c>
      <c r="R26" s="19" t="n">
        <v>99360.13549999999</v>
      </c>
      <c r="S26" s="4" t="n">
        <v>0.02066450567260936</v>
      </c>
      <c r="T26" s="4" t="n">
        <v>0.05</v>
      </c>
      <c r="U26" s="16" t="n">
        <v>55.87103989885482</v>
      </c>
      <c r="V26" s="16" t="n">
        <v>0.4925373134328366</v>
      </c>
      <c r="W26" s="4" t="n">
        <v>-0.1803473128924726</v>
      </c>
      <c r="X26" s="4" t="n">
        <v>-0.2955380577427822</v>
      </c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0.168560606060606</v>
      </c>
      <c r="AE26" s="2" t="n">
        <v>0.08722466960352415</v>
      </c>
      <c r="AF26" s="2" t="n">
        <v>55.87103989885482</v>
      </c>
      <c r="AG26" s="2" t="n">
        <v>0.5074626865671634</v>
      </c>
      <c r="AH26" s="2" t="n">
        <v>1</v>
      </c>
      <c r="AI26" s="2" t="n">
        <v>12</v>
      </c>
      <c r="AJ26" s="2" t="n">
        <v>0.2380986223142865</v>
      </c>
      <c r="AK26" s="2" t="n">
        <v>91.46031240795338</v>
      </c>
      <c r="AL26" s="2" t="n">
        <v>0.05531029755390501</v>
      </c>
      <c r="AM26" s="2" t="n">
        <v>99360.13549999999</v>
      </c>
    </row>
    <row r="27">
      <c r="A27" s="2" t="n">
        <v>26</v>
      </c>
      <c r="B27" s="2" t="inlineStr">
        <is>
          <t>RAY_USDT_PERP</t>
        </is>
      </c>
      <c r="C27" s="2" t="inlineStr">
        <is>
          <t>做空</t>
        </is>
      </c>
      <c r="D27" s="7" t="n">
        <v>46271.47569444445</v>
      </c>
      <c r="E27" s="17" t="n">
        <v>1.106</v>
      </c>
      <c r="F27" s="17" t="n">
        <v>1.07282</v>
      </c>
      <c r="G27" s="17" t="n">
        <v>1.1613</v>
      </c>
      <c r="H27" s="7" t="n">
        <v>46271.49305555555</v>
      </c>
      <c r="I27" s="17" t="n">
        <v>1.1613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0.03752345215759845</v>
      </c>
      <c r="O27" s="4" t="n">
        <v>0.01660865990232233</v>
      </c>
      <c r="P27" s="4" t="n">
        <v>0.2740284237354029</v>
      </c>
      <c r="Q27" s="19" t="n">
        <v>77681.39999999999</v>
      </c>
      <c r="R27" s="19" t="n">
        <v>192103.7916</v>
      </c>
      <c r="S27" s="4" t="n">
        <v>0.001808318264014508</v>
      </c>
      <c r="T27" s="4" t="n">
        <v>0.05</v>
      </c>
      <c r="U27" s="16" t="n">
        <v>91.25145113890474</v>
      </c>
      <c r="V27" s="16" t="n">
        <v>0.3766233766233757</v>
      </c>
      <c r="W27" s="4" t="n">
        <v>-0.2201579806716387</v>
      </c>
      <c r="X27" s="4" t="n">
        <v>-0.3406060606060608</v>
      </c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0.2127192982456141</v>
      </c>
      <c r="AE27" s="2" t="n">
        <v>0.1605456453305354</v>
      </c>
      <c r="AF27" s="2" t="n">
        <v>91.25145113890474</v>
      </c>
      <c r="AG27" s="2" t="n">
        <v>0.6233766233766243</v>
      </c>
      <c r="AH27" s="2" t="n">
        <v>1</v>
      </c>
      <c r="AI27" s="2" t="n">
        <v>6</v>
      </c>
      <c r="AJ27" s="2" t="n">
        <v>0.2740284237354029</v>
      </c>
      <c r="AK27" s="2" t="n">
        <v>85.16712550713376</v>
      </c>
      <c r="AL27" s="2" t="n">
        <v>0.05753408559290844</v>
      </c>
      <c r="AM27" s="2" t="n">
        <v>192103.7916</v>
      </c>
    </row>
    <row r="28">
      <c r="A28" s="2" t="n">
        <v>27</v>
      </c>
      <c r="B28" s="2" t="inlineStr">
        <is>
          <t>RAY_USDT_PERP</t>
        </is>
      </c>
      <c r="C28" s="2" t="inlineStr">
        <is>
          <t>做空</t>
        </is>
      </c>
      <c r="D28" s="7" t="n">
        <v>46271.53819444445</v>
      </c>
      <c r="E28" s="17" t="n">
        <v>1.154</v>
      </c>
      <c r="F28" s="17" t="n">
        <v>1.11938</v>
      </c>
      <c r="G28" s="17" t="n">
        <v>1.2117</v>
      </c>
      <c r="H28" s="7" t="n">
        <v>46271.59375</v>
      </c>
      <c r="I28" s="17" t="n">
        <v>1.11938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-0.00602928509905265</v>
      </c>
      <c r="O28" s="4" t="n">
        <v>0.02000596731309121</v>
      </c>
      <c r="P28" s="4" t="n">
        <v>0.2939516543482119</v>
      </c>
      <c r="Q28" s="19" t="n">
        <v>54235.2</v>
      </c>
      <c r="R28" s="19" t="n">
        <v>411247.2593</v>
      </c>
      <c r="S28" s="4" t="n">
        <v>0.03</v>
      </c>
      <c r="T28" s="4" t="n">
        <v>0.01126516464471417</v>
      </c>
      <c r="U28" s="16" t="n">
        <v>4.034547608089766</v>
      </c>
      <c r="V28" s="16" t="n">
        <v>0.5833333333333426</v>
      </c>
      <c r="W28" s="4" t="n">
        <v>-0.2057382273349424</v>
      </c>
      <c r="X28" s="4" t="n">
        <v>-0.3920386007237635</v>
      </c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0.1872427983539093</v>
      </c>
      <c r="AE28" s="2" t="n">
        <v>-0.003454231433506094</v>
      </c>
      <c r="AF28" s="2" t="n">
        <v>4.034547608089766</v>
      </c>
      <c r="AG28" s="2" t="n">
        <v>0.4166666666666574</v>
      </c>
      <c r="AH28" s="2" t="n">
        <v>0.1120577065627926</v>
      </c>
      <c r="AI28" s="2" t="n">
        <v>11</v>
      </c>
      <c r="AJ28" s="2" t="n">
        <v>0.2939516543482119</v>
      </c>
      <c r="AK28" s="2" t="n">
        <v>94.07422809677676</v>
      </c>
      <c r="AL28" s="2" t="n">
        <v>0.06930270368167239</v>
      </c>
      <c r="AM28" s="2" t="n">
        <v>411247.2593</v>
      </c>
    </row>
    <row r="29">
      <c r="A29" s="2" t="n">
        <v>28</v>
      </c>
      <c r="B29" s="2" t="inlineStr">
        <is>
          <t>SOLV_USDT_PERP</t>
        </is>
      </c>
      <c r="C29" s="2" t="inlineStr">
        <is>
          <t>做空</t>
        </is>
      </c>
      <c r="D29" s="7" t="n">
        <v>46271.71527777778</v>
      </c>
      <c r="E29" s="17" t="n">
        <v>0.00391</v>
      </c>
      <c r="F29" s="17" t="n">
        <v>0.0037927</v>
      </c>
      <c r="G29" s="17" t="n">
        <v>0.004105500000000001</v>
      </c>
      <c r="H29" s="7" t="n">
        <v>46271.73611111111</v>
      </c>
      <c r="I29" s="17" t="n">
        <v>0.0037927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0.002564102564102777</v>
      </c>
      <c r="O29" s="4" t="n">
        <v>0.01332388572959022</v>
      </c>
      <c r="P29" s="4" t="n">
        <v>0.1736455050277654</v>
      </c>
      <c r="Q29" s="19" t="n">
        <v>37222738</v>
      </c>
      <c r="R29" s="19" t="n">
        <v>442823.83916</v>
      </c>
      <c r="S29" s="4" t="n">
        <v>0.03</v>
      </c>
      <c r="T29" s="4" t="n">
        <v>0.005115089514066584</v>
      </c>
      <c r="U29" s="16" t="n">
        <v>7.424052711085148</v>
      </c>
      <c r="V29" s="16" t="n">
        <v>0.7999999999999931</v>
      </c>
      <c r="W29" s="4" t="n">
        <v>-0.168280148201267</v>
      </c>
      <c r="X29" s="4" t="n">
        <v>-0.221875</v>
      </c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0.2105263157894739</v>
      </c>
      <c r="AE29" s="2" t="n">
        <v>0.07123287671232892</v>
      </c>
      <c r="AF29" s="2" t="n">
        <v>7.424052711085148</v>
      </c>
      <c r="AG29" s="2" t="n">
        <v>0.2000000000000069</v>
      </c>
      <c r="AH29" s="2" t="n">
        <v>0.1921247007023493</v>
      </c>
      <c r="AI29" s="2" t="n">
        <v>10</v>
      </c>
      <c r="AJ29" s="2" t="n">
        <v>0.1736455050277654</v>
      </c>
      <c r="AK29" s="2" t="n">
        <v>76.28633541830811</v>
      </c>
      <c r="AL29" s="2" t="n">
        <v>0.04615529407578437</v>
      </c>
      <c r="AM29" s="2" t="n">
        <v>442823.83916</v>
      </c>
    </row>
    <row r="30">
      <c r="A30" s="2" t="n">
        <v>29</v>
      </c>
      <c r="B30" s="2" t="inlineStr">
        <is>
          <t>COTI_USDT_PERP</t>
        </is>
      </c>
      <c r="C30" s="2" t="inlineStr">
        <is>
          <t>做空</t>
        </is>
      </c>
      <c r="D30" s="7" t="n">
        <v>46271.79513888889</v>
      </c>
      <c r="E30" s="17" t="n">
        <v>0.01904</v>
      </c>
      <c r="F30" s="17" t="n">
        <v>0.0184688</v>
      </c>
      <c r="G30" s="17" t="n">
        <v>0.019992</v>
      </c>
      <c r="H30" s="7" t="n">
        <v>46271.80555555555</v>
      </c>
      <c r="I30" s="17" t="n">
        <v>0.0184688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0.01330494944119209</v>
      </c>
      <c r="O30" s="4" t="n">
        <v>0.01611298452271186</v>
      </c>
      <c r="P30" s="4" t="n">
        <v>0.1878068878035086</v>
      </c>
      <c r="Q30" s="19" t="n">
        <v>3288981</v>
      </c>
      <c r="R30" s="19" t="n">
        <v>269967.75276</v>
      </c>
      <c r="S30" s="4" t="n">
        <v>0.03</v>
      </c>
      <c r="T30" s="4" t="n">
        <v>0.008928571428571397</v>
      </c>
      <c r="U30" s="16" t="n">
        <v>8.516904218440839</v>
      </c>
      <c r="V30" s="16" t="n">
        <v>0.4444444444444428</v>
      </c>
      <c r="W30" s="4" t="n">
        <v>-0.1378916731908182</v>
      </c>
      <c r="X30" s="4" t="n">
        <v>-0.2830188679245282</v>
      </c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0.1645259938837922</v>
      </c>
      <c r="AE30" s="2" t="n">
        <v>0.1246308328411105</v>
      </c>
      <c r="AF30" s="2" t="n">
        <v>8.516904218440839</v>
      </c>
      <c r="AG30" s="2" t="n">
        <v>0.5555555555555572</v>
      </c>
      <c r="AH30" s="2" t="n">
        <v>0.6616480641217611</v>
      </c>
      <c r="AI30" s="2" t="n">
        <v>9</v>
      </c>
      <c r="AJ30" s="2" t="n">
        <v>0.1878068878035086</v>
      </c>
      <c r="AK30" s="2" t="n">
        <v>75.67646493958982</v>
      </c>
      <c r="AL30" s="2" t="n">
        <v>0.05581701570981581</v>
      </c>
      <c r="AM30" s="2" t="n">
        <v>269967.75276</v>
      </c>
    </row>
    <row r="31">
      <c r="A31" s="2" t="n">
        <v>30</v>
      </c>
      <c r="B31" s="2" t="inlineStr">
        <is>
          <t>LAYER_USDT_PERP</t>
        </is>
      </c>
      <c r="C31" s="2" t="inlineStr">
        <is>
          <t>做空</t>
        </is>
      </c>
      <c r="D31" s="7" t="n">
        <v>46272</v>
      </c>
      <c r="E31" s="17" t="n">
        <v>0.0881</v>
      </c>
      <c r="F31" s="17" t="n">
        <v>0.08545699999999999</v>
      </c>
      <c r="G31" s="17" t="n">
        <v>0.092505</v>
      </c>
      <c r="H31" s="7" t="n">
        <v>46272.00347222222</v>
      </c>
      <c r="I31" s="17" t="n">
        <v>0.08545699999999999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0.002275312855517519</v>
      </c>
      <c r="O31" s="4" t="n">
        <v>0.02105749628249218</v>
      </c>
      <c r="P31" s="4" t="n">
        <v>0.2313282901518197</v>
      </c>
      <c r="Q31" s="19" t="n">
        <v>277488.7000000002</v>
      </c>
      <c r="R31" s="19" t="n">
        <v>63278.17664</v>
      </c>
      <c r="S31" s="4" t="n">
        <v>0.03</v>
      </c>
      <c r="T31" s="4" t="n">
        <v>0</v>
      </c>
      <c r="U31" s="16" t="n">
        <v>24.121896037269</v>
      </c>
      <c r="V31" s="16" t="n">
        <v>0.444444444444447</v>
      </c>
      <c r="W31" s="4" t="n">
        <v>-0.2026975372686071</v>
      </c>
      <c r="X31" s="4" t="n">
        <v>-0.2621776504297995</v>
      </c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0.1889338731443995</v>
      </c>
      <c r="AE31" s="2" t="n">
        <v>0.1699867197875164</v>
      </c>
      <c r="AF31" s="2" t="n">
        <v>24.121896037269</v>
      </c>
      <c r="AG31" s="2" t="n">
        <v>0.555555555555553</v>
      </c>
      <c r="AH31" s="2" t="n">
        <v>0.3449373516892423</v>
      </c>
      <c r="AI31" s="2" t="n">
        <v>12</v>
      </c>
      <c r="AJ31" s="2" t="n">
        <v>0.2313282901518197</v>
      </c>
      <c r="AK31" s="2" t="n">
        <v>89.95307225379027</v>
      </c>
      <c r="AL31" s="2" t="n">
        <v>0.07294530688293843</v>
      </c>
      <c r="AM31" s="2" t="n">
        <v>63278.17664</v>
      </c>
    </row>
    <row r="32">
      <c r="A32" s="2" t="n">
        <v>31</v>
      </c>
      <c r="B32" s="2" t="inlineStr">
        <is>
          <t>ORCA_USDT_PERP</t>
        </is>
      </c>
      <c r="C32" s="2" t="inlineStr">
        <is>
          <t>做空</t>
        </is>
      </c>
      <c r="D32" s="7" t="n">
        <v>46272.40972222222</v>
      </c>
      <c r="E32" s="17" t="n">
        <v>1.642</v>
      </c>
      <c r="F32" s="17" t="n">
        <v>1.59274</v>
      </c>
      <c r="G32" s="17" t="n">
        <v>1.7241</v>
      </c>
      <c r="H32" s="7" t="n">
        <v>46272.46180555555</v>
      </c>
      <c r="I32" s="17" t="n">
        <v>1.59274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-0.00545124167171418</v>
      </c>
      <c r="O32" s="4" t="n">
        <v>0.02019067274685428</v>
      </c>
      <c r="P32" s="4" t="n">
        <v>0.1677655460566281</v>
      </c>
      <c r="Q32" s="19" t="n">
        <v>9045.600000000013</v>
      </c>
      <c r="R32" s="19" t="n">
        <v>353262.3417</v>
      </c>
      <c r="S32" s="4" t="n">
        <v>0.03</v>
      </c>
      <c r="T32" s="4" t="n">
        <v>0.03654080389768577</v>
      </c>
      <c r="U32" s="16" t="n">
        <v>24.88139333023604</v>
      </c>
      <c r="V32" s="16" t="n">
        <v>0.8809523809523836</v>
      </c>
      <c r="W32" s="4" t="n">
        <v>-0.1460238138444143</v>
      </c>
      <c r="X32" s="4" t="n">
        <v>-0.263076923076923</v>
      </c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0.1661931818181819</v>
      </c>
      <c r="AE32" s="2" t="n">
        <v>0.08597883597883582</v>
      </c>
      <c r="AF32" s="2" t="n">
        <v>24.88139333023604</v>
      </c>
      <c r="AG32" s="2" t="n">
        <v>0.1190476190476164</v>
      </c>
      <c r="AH32" s="2" t="n">
        <v>1</v>
      </c>
      <c r="AI32" s="2" t="n">
        <v>7</v>
      </c>
      <c r="AJ32" s="2" t="n">
        <v>0.1677655460566281</v>
      </c>
      <c r="AK32" s="2" t="n">
        <v>81.70378915080916</v>
      </c>
      <c r="AL32" s="2" t="n">
        <v>0.06994254207309576</v>
      </c>
      <c r="AM32" s="2" t="n">
        <v>353262.3417</v>
      </c>
    </row>
    <row r="33">
      <c r="A33" s="2" t="n">
        <v>32</v>
      </c>
      <c r="B33" s="2" t="inlineStr">
        <is>
          <t>CFG_USDT_PERP</t>
        </is>
      </c>
      <c r="C33" s="2" t="inlineStr">
        <is>
          <t>做空</t>
        </is>
      </c>
      <c r="D33" s="7" t="n">
        <v>46272.47916666666</v>
      </c>
      <c r="E33" s="17" t="n">
        <v>0.1336</v>
      </c>
      <c r="F33" s="17" t="n">
        <v>0.129592</v>
      </c>
      <c r="G33" s="17" t="n">
        <v>0.14028</v>
      </c>
      <c r="H33" s="7" t="n">
        <v>46272.49305555555</v>
      </c>
      <c r="I33" s="17" t="n">
        <v>0.129592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-0.0132939438700147</v>
      </c>
      <c r="O33" s="4" t="n">
        <v>0.02076264359473402</v>
      </c>
      <c r="P33" s="4" t="n">
        <v>0.2443871789000618</v>
      </c>
      <c r="Q33" s="19" t="n">
        <v>71122</v>
      </c>
      <c r="R33" s="19" t="n">
        <v>92539.0364</v>
      </c>
      <c r="S33" s="4" t="n">
        <v>0.03</v>
      </c>
      <c r="T33" s="4" t="n">
        <v>0.02844311377245501</v>
      </c>
      <c r="U33" s="16" t="n">
        <v>39.05839701662002</v>
      </c>
      <c r="V33" s="16" t="n">
        <v>0.6862745098039231</v>
      </c>
      <c r="W33" s="4" t="n">
        <v>-0.2114727191940442</v>
      </c>
      <c r="X33" s="4" t="n">
        <v>-0.3034146341463415</v>
      </c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0.1823008849557521</v>
      </c>
      <c r="AE33" s="2" t="n">
        <v>0.1379897785349233</v>
      </c>
      <c r="AF33" s="2" t="n">
        <v>39.05839701662002</v>
      </c>
      <c r="AG33" s="2" t="n">
        <v>0.3137254901960769</v>
      </c>
      <c r="AH33" s="2" t="n">
        <v>0.9639956713897064</v>
      </c>
      <c r="AI33" s="2" t="n">
        <v>11</v>
      </c>
      <c r="AJ33" s="2" t="n">
        <v>0.2443871789000618</v>
      </c>
      <c r="AK33" s="2" t="n">
        <v>91.08726091977458</v>
      </c>
      <c r="AL33" s="2" t="n">
        <v>0.07192390721104767</v>
      </c>
      <c r="AM33" s="2" t="n">
        <v>92539.0364</v>
      </c>
    </row>
    <row r="34">
      <c r="A34" s="2" t="n">
        <v>33</v>
      </c>
      <c r="B34" s="2" t="inlineStr">
        <is>
          <t>IOST_USDT_PERP</t>
        </is>
      </c>
      <c r="C34" s="2" t="inlineStr">
        <is>
          <t>做空</t>
        </is>
      </c>
      <c r="D34" s="7" t="n">
        <v>46272.62847222222</v>
      </c>
      <c r="E34" s="17" t="n">
        <v>0.000878</v>
      </c>
      <c r="F34" s="17" t="n">
        <v>0.00085166</v>
      </c>
      <c r="G34" s="17" t="n">
        <v>0.0009219</v>
      </c>
      <c r="H34" s="7" t="n">
        <v>46272.65277777778</v>
      </c>
      <c r="I34" s="17" t="n">
        <v>0.00085166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0.003428571428571336</v>
      </c>
      <c r="O34" s="4" t="n">
        <v>0.02165110534494748</v>
      </c>
      <c r="P34" s="4" t="n">
        <v>0.1903605201613359</v>
      </c>
      <c r="Q34" s="19" t="n">
        <v>18153635</v>
      </c>
      <c r="R34" s="19" t="n">
        <v>255826.098199</v>
      </c>
      <c r="S34" s="4" t="n">
        <v>0.03</v>
      </c>
      <c r="T34" s="4" t="n">
        <v>0.01138952164009122</v>
      </c>
      <c r="U34" s="16" t="n">
        <v>2.439764009119271</v>
      </c>
      <c r="V34" s="16" t="n">
        <v>0.4761904761904782</v>
      </c>
      <c r="W34" s="4" t="n">
        <v>-0.1713851162046054</v>
      </c>
      <c r="X34" s="4" t="n">
        <v>-0.1373056994818653</v>
      </c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0.1691078561917443</v>
      </c>
      <c r="AE34" s="2" t="n">
        <v>0.07862407862407861</v>
      </c>
      <c r="AF34" s="2" t="n">
        <v>2.439764009119271</v>
      </c>
      <c r="AG34" s="2" t="n">
        <v>0.5238095238095218</v>
      </c>
      <c r="AH34" s="2" t="n">
        <v>0.107983418357292</v>
      </c>
      <c r="AI34" s="2" t="n">
        <v>7</v>
      </c>
      <c r="AJ34" s="2" t="n">
        <v>0.1903605201613359</v>
      </c>
      <c r="AK34" s="2" t="n">
        <v>77.03452342785005</v>
      </c>
      <c r="AL34" s="2" t="n">
        <v>0.07500162899495025</v>
      </c>
      <c r="AM34" s="2" t="n">
        <v>255826.098199</v>
      </c>
    </row>
    <row r="35">
      <c r="A35" s="2" t="n">
        <v>34</v>
      </c>
      <c r="B35" s="2" t="inlineStr">
        <is>
          <t>LUNA2_USDT_PERP</t>
        </is>
      </c>
      <c r="C35" s="2" t="inlineStr">
        <is>
          <t>做空</t>
        </is>
      </c>
      <c r="D35" s="7" t="n">
        <v>46272.83680555555</v>
      </c>
      <c r="E35" s="17" t="n">
        <v>0.05437</v>
      </c>
      <c r="F35" s="17" t="n">
        <v>0.0527389</v>
      </c>
      <c r="G35" s="17" t="n">
        <v>0.05708850000000001</v>
      </c>
      <c r="H35" s="7" t="n">
        <v>46272.84722222222</v>
      </c>
      <c r="I35" s="17" t="n">
        <v>0.0527389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-0.01521463502988585</v>
      </c>
      <c r="O35" s="4" t="n">
        <v>0.02192157783561765</v>
      </c>
      <c r="P35" s="4" t="n">
        <v>0.1489836063264187</v>
      </c>
      <c r="Q35" s="19" t="n">
        <v>-136373</v>
      </c>
      <c r="R35" s="19" t="n">
        <v>128595.87992</v>
      </c>
      <c r="S35" s="4" t="n">
        <v>0.03</v>
      </c>
      <c r="T35" s="4" t="n">
        <v>0.009196247930844281</v>
      </c>
      <c r="U35" s="16" t="n">
        <v>18.27547013862815</v>
      </c>
      <c r="V35" s="16" t="n">
        <v>0.7003610108303235</v>
      </c>
      <c r="W35" s="4" t="n">
        <v>-0.1424020910769928</v>
      </c>
      <c r="X35" s="4" t="n">
        <v>-0.1509314140558848</v>
      </c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0.1617521367521368</v>
      </c>
      <c r="AE35" s="2" t="n">
        <v>0.08783513405362164</v>
      </c>
      <c r="AF35" s="2" t="n">
        <v>18.27547013862815</v>
      </c>
      <c r="AG35" s="2" t="n">
        <v>0.2996389891696765</v>
      </c>
      <c r="AH35" s="2" t="n">
        <v>0.3893664109053145</v>
      </c>
      <c r="AI35" s="2" t="n">
        <v>9</v>
      </c>
      <c r="AJ35" s="2" t="n">
        <v>0.1489836063264187</v>
      </c>
      <c r="AK35" s="2" t="n">
        <v>68.74354949224745</v>
      </c>
      <c r="AL35" s="2" t="n">
        <v>0.07593857318673111</v>
      </c>
      <c r="AM35" s="2" t="n">
        <v>128595.87992</v>
      </c>
    </row>
    <row r="36">
      <c r="A36" s="2" t="n">
        <v>35</v>
      </c>
      <c r="B36" s="2" t="inlineStr">
        <is>
          <t>HAEDAL_USDT_PERP</t>
        </is>
      </c>
      <c r="C36" s="2" t="inlineStr">
        <is>
          <t>做空</t>
        </is>
      </c>
      <c r="D36" s="7" t="n">
        <v>46273.69791666666</v>
      </c>
      <c r="E36" s="17" t="n">
        <v>0.02306</v>
      </c>
      <c r="F36" s="17" t="n">
        <v>0.0223682</v>
      </c>
      <c r="G36" s="17" t="n">
        <v>0.024213</v>
      </c>
      <c r="H36" s="7" t="n">
        <v>46273.70833333334</v>
      </c>
      <c r="I36" s="17" t="n">
        <v>0.0223682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-0.00731812311665947</v>
      </c>
      <c r="O36" s="4" t="n">
        <v>0.03309470756157541</v>
      </c>
      <c r="P36" s="4" t="n">
        <v>0.2260984574075673</v>
      </c>
      <c r="Q36" s="19" t="n">
        <v>-17622</v>
      </c>
      <c r="R36" s="19" t="n">
        <v>352425.41353</v>
      </c>
      <c r="S36" s="4" t="n">
        <v>0.03</v>
      </c>
      <c r="T36" s="4" t="n">
        <v>0.005203816131829964</v>
      </c>
      <c r="U36" s="16" t="n">
        <v>48.69762905616879</v>
      </c>
      <c r="V36" s="16" t="n">
        <v>0.4197530864197523</v>
      </c>
      <c r="W36" s="4" t="n">
        <v>-0.1989123483812605</v>
      </c>
      <c r="X36" s="4" t="n">
        <v>-0.2458130740140465</v>
      </c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0.167004048582996</v>
      </c>
      <c r="AE36" s="2" t="n">
        <v>0.1444168734491316</v>
      </c>
      <c r="AF36" s="2" t="n">
        <v>48.69762905616879</v>
      </c>
      <c r="AG36" s="2" t="n">
        <v>0.5802469135802477</v>
      </c>
      <c r="AH36" s="2" t="n">
        <v>0.6090969589691337</v>
      </c>
      <c r="AI36" s="2" t="n">
        <v>11</v>
      </c>
      <c r="AJ36" s="2" t="n">
        <v>0.2260984574075673</v>
      </c>
      <c r="AK36" s="2" t="n">
        <v>90.79525763089562</v>
      </c>
      <c r="AL36" s="2" t="n">
        <v>0.114643429916565</v>
      </c>
      <c r="AM36" s="2" t="n">
        <v>352425.41353</v>
      </c>
    </row>
    <row r="37">
      <c r="A37" s="2" t="n">
        <v>36</v>
      </c>
      <c r="B37" s="2" t="inlineStr">
        <is>
          <t>KAT_USDT_PERP</t>
        </is>
      </c>
      <c r="C37" s="2" t="inlineStr">
        <is>
          <t>做空</t>
        </is>
      </c>
      <c r="D37" s="7" t="n">
        <v>46274.48611111111</v>
      </c>
      <c r="E37" s="17" t="n">
        <v>0.006139</v>
      </c>
      <c r="F37" s="17" t="n">
        <v>0.00595483</v>
      </c>
      <c r="G37" s="17" t="n">
        <v>0.006445950000000001</v>
      </c>
      <c r="H37" s="7" t="n">
        <v>46274.50347222222</v>
      </c>
      <c r="I37" s="17" t="n">
        <v>0.00595483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-0.01460674157303365</v>
      </c>
      <c r="O37" s="4" t="n">
        <v>0.02428278739376929</v>
      </c>
      <c r="P37" s="4" t="n">
        <v>0.2758252520503037</v>
      </c>
      <c r="Q37" s="19" t="n">
        <v>17136284</v>
      </c>
      <c r="R37" s="19" t="n">
        <v>165272.125795</v>
      </c>
      <c r="S37" s="4" t="n">
        <v>0.03</v>
      </c>
      <c r="T37" s="4" t="n">
        <v>0.02394526795895091</v>
      </c>
      <c r="U37" s="16" t="n">
        <v>45.4943858494041</v>
      </c>
      <c r="V37" s="16" t="n">
        <v>0.4591029023746693</v>
      </c>
      <c r="W37" s="4" t="n">
        <v>-0.2562361617575437</v>
      </c>
      <c r="X37" s="4" t="n">
        <v>-0.3114719077120274</v>
      </c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0.2715410107705054</v>
      </c>
      <c r="AE37" s="2" t="n">
        <v>0.2270637617429543</v>
      </c>
      <c r="AF37" s="2" t="n">
        <v>45.4943858494041</v>
      </c>
      <c r="AG37" s="2" t="n">
        <v>0.5408970976253307</v>
      </c>
      <c r="AH37" s="2" t="n">
        <v>0.4860774396076513</v>
      </c>
      <c r="AI37" s="2" t="n">
        <v>12</v>
      </c>
      <c r="AJ37" s="2" t="n">
        <v>0.2758252520503037</v>
      </c>
      <c r="AK37" s="2" t="n">
        <v>91.8094185628792</v>
      </c>
      <c r="AL37" s="2" t="n">
        <v>0.08411804303080291</v>
      </c>
      <c r="AM37" s="2" t="n">
        <v>165272.125795</v>
      </c>
    </row>
    <row r="38">
      <c r="A38" s="2" t="n">
        <v>37</v>
      </c>
      <c r="B38" s="2" t="inlineStr">
        <is>
          <t>PROS_USDT_PERP</t>
        </is>
      </c>
      <c r="C38" s="2" t="inlineStr">
        <is>
          <t>做空</t>
        </is>
      </c>
      <c r="D38" s="7" t="n">
        <v>46274.51388888889</v>
      </c>
      <c r="E38" s="17" t="n">
        <v>0.5004999999999999</v>
      </c>
      <c r="F38" s="17" t="n">
        <v>0.4854849999999999</v>
      </c>
      <c r="G38" s="17" t="n">
        <v>0.525525</v>
      </c>
      <c r="H38" s="7" t="n">
        <v>46274.53125</v>
      </c>
      <c r="I38" s="17" t="n">
        <v>0.525525</v>
      </c>
      <c r="J38" s="2" t="inlineStr">
        <is>
          <t>止損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-0.00969529085872578</v>
      </c>
      <c r="O38" s="4" t="n">
        <v>0.02433804920434951</v>
      </c>
      <c r="P38" s="4" t="n">
        <v>0.1411200303994677</v>
      </c>
      <c r="Q38" s="19" t="n">
        <v>-105147</v>
      </c>
      <c r="R38" s="19" t="n">
        <v>106307.0314</v>
      </c>
      <c r="S38" s="4" t="n">
        <v>0.01778221778221767</v>
      </c>
      <c r="T38" s="4" t="n">
        <v>0.05</v>
      </c>
      <c r="U38" s="16" t="n">
        <v>51.54589013471001</v>
      </c>
      <c r="V38" s="16" t="n">
        <v>0.4615384615384659</v>
      </c>
      <c r="W38" s="4" t="n">
        <v>-0.1349515179551368</v>
      </c>
      <c r="X38" s="4" t="n">
        <v>-0.1550888529886914</v>
      </c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0.166394779771615</v>
      </c>
      <c r="AE38" s="2" t="n">
        <v>0.1707602339181284</v>
      </c>
      <c r="AF38" s="2" t="n">
        <v>51.54589013471001</v>
      </c>
      <c r="AG38" s="2" t="n">
        <v>0.5384615384615341</v>
      </c>
      <c r="AH38" s="2" t="n">
        <v>0.2921806003037513</v>
      </c>
      <c r="AI38" s="2" t="n">
        <v>10</v>
      </c>
      <c r="AJ38" s="2" t="n">
        <v>0.1411200303994677</v>
      </c>
      <c r="AK38" s="2" t="n">
        <v>60.06247827138657</v>
      </c>
      <c r="AL38" s="2" t="n">
        <v>0.08430947555808929</v>
      </c>
      <c r="AM38" s="2" t="n">
        <v>106307.0314</v>
      </c>
    </row>
    <row r="39">
      <c r="A39" s="2" t="n">
        <v>38</v>
      </c>
      <c r="B39" s="2" t="inlineStr">
        <is>
          <t>LRC_USDT_PERP</t>
        </is>
      </c>
      <c r="C39" s="2" t="inlineStr">
        <is>
          <t>做空</t>
        </is>
      </c>
      <c r="D39" s="7" t="n">
        <v>46274.98958333334</v>
      </c>
      <c r="E39" s="17" t="n">
        <v>0.01198</v>
      </c>
      <c r="F39" s="17" t="n">
        <v>0.0116206</v>
      </c>
      <c r="G39" s="17" t="n">
        <v>0.012579</v>
      </c>
      <c r="H39" s="7" t="n">
        <v>46274.99305555555</v>
      </c>
      <c r="I39" s="17" t="n">
        <v>0.0116206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0.001672240802675473</v>
      </c>
      <c r="O39" s="4" t="n">
        <v>0.02952093411434955</v>
      </c>
      <c r="P39" s="4" t="n">
        <v>0.3265174303799805</v>
      </c>
      <c r="Q39" s="19" t="n">
        <v>3851916</v>
      </c>
      <c r="R39" s="19" t="n">
        <v>127222.98359</v>
      </c>
      <c r="S39" s="4" t="n">
        <v>0.03</v>
      </c>
      <c r="T39" s="4" t="n">
        <v>0</v>
      </c>
      <c r="U39" s="16" t="n">
        <v>26.09567131378545</v>
      </c>
      <c r="V39" s="16" t="n">
        <v>0.3600000000000012</v>
      </c>
      <c r="W39" s="4" t="n">
        <v>-0.2236726522440806</v>
      </c>
      <c r="X39" s="4" t="n">
        <v>-0.4110718492343934</v>
      </c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0.180295566502463</v>
      </c>
      <c r="AE39" s="2" t="n">
        <v>0.1631067961165047</v>
      </c>
      <c r="AF39" s="2" t="n">
        <v>26.09567131378545</v>
      </c>
      <c r="AG39" s="2" t="n">
        <v>0.6399999999999988</v>
      </c>
      <c r="AH39" s="2" t="n">
        <v>0.6271608272154642</v>
      </c>
      <c r="AI39" s="2" t="n">
        <v>4</v>
      </c>
      <c r="AJ39" s="2" t="n">
        <v>0.3265174303799805</v>
      </c>
      <c r="AK39" s="2" t="n">
        <v>84.2893087463015</v>
      </c>
      <c r="AL39" s="2" t="n">
        <v>0.1022635155458935</v>
      </c>
      <c r="AM39" s="2" t="n">
        <v>127222.98359</v>
      </c>
    </row>
    <row r="40">
      <c r="A40" s="2" t="n">
        <v>39</v>
      </c>
      <c r="B40" s="2" t="inlineStr">
        <is>
          <t>PHA_USDT_PERP</t>
        </is>
      </c>
      <c r="C40" s="2" t="inlineStr">
        <is>
          <t>做空</t>
        </is>
      </c>
      <c r="D40" s="7" t="n">
        <v>46275.04166666666</v>
      </c>
      <c r="E40" s="17" t="n">
        <v>0.03416</v>
      </c>
      <c r="F40" s="17" t="n">
        <v>0.0331352</v>
      </c>
      <c r="G40" s="17" t="n">
        <v>0.035868</v>
      </c>
      <c r="H40" s="7" t="n">
        <v>46275.04513888889</v>
      </c>
      <c r="I40" s="17" t="n">
        <v>0.0331352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0.03892944038929458</v>
      </c>
      <c r="O40" s="4" t="n">
        <v>0.02384900082093072</v>
      </c>
      <c r="P40" s="4" t="n">
        <v>0.2458078741306138</v>
      </c>
      <c r="Q40" s="19" t="n">
        <v>910761</v>
      </c>
      <c r="R40" s="19" t="n">
        <v>247187.03974</v>
      </c>
      <c r="S40" s="4" t="n">
        <v>0.03</v>
      </c>
      <c r="T40" s="4" t="n">
        <v>0</v>
      </c>
      <c r="U40" s="16" t="n">
        <v>10.15836316229636</v>
      </c>
      <c r="V40" s="16" t="n">
        <v>0.3507109004739324</v>
      </c>
      <c r="W40" s="4" t="n">
        <v>-0.1731937589938561</v>
      </c>
      <c r="X40" s="4" t="n">
        <v>-0.3250581846392553</v>
      </c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0.1795580110497239</v>
      </c>
      <c r="AE40" s="2" t="n">
        <v>0.125535420098847</v>
      </c>
      <c r="AF40" s="2" t="n">
        <v>10.15836316229636</v>
      </c>
      <c r="AG40" s="2" t="n">
        <v>0.6492890995260676</v>
      </c>
      <c r="AH40" s="2" t="n">
        <v>0.5087798481834643</v>
      </c>
      <c r="AI40" s="2" t="n">
        <v>9</v>
      </c>
      <c r="AJ40" s="2" t="n">
        <v>0.2458078741306138</v>
      </c>
      <c r="AK40" s="2" t="n">
        <v>80.42620430579208</v>
      </c>
      <c r="AL40" s="2" t="n">
        <v>0.08261536226320773</v>
      </c>
      <c r="AM40" s="2" t="n">
        <v>247187.03974</v>
      </c>
    </row>
    <row r="41">
      <c r="A41" s="2" t="n">
        <v>40</v>
      </c>
      <c r="B41" s="2" t="inlineStr">
        <is>
          <t>REZ_USDT_PERP</t>
        </is>
      </c>
      <c r="C41" s="2" t="inlineStr">
        <is>
          <t>做空</t>
        </is>
      </c>
      <c r="D41" s="7" t="n">
        <v>46275.55902777778</v>
      </c>
      <c r="E41" s="17" t="n">
        <v>0.003841</v>
      </c>
      <c r="F41" s="17" t="n">
        <v>0.00372577</v>
      </c>
      <c r="G41" s="17" t="n">
        <v>0.00403305</v>
      </c>
      <c r="H41" s="7" t="n">
        <v>46275.5625</v>
      </c>
      <c r="I41" s="17" t="n">
        <v>0.00372577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-0.005952380952380931</v>
      </c>
      <c r="O41" s="4" t="n">
        <v>0.0266712797625095</v>
      </c>
      <c r="P41" s="4" t="n">
        <v>0.2028795828597749</v>
      </c>
      <c r="Q41" s="19" t="n">
        <v>4857822</v>
      </c>
      <c r="R41" s="19" t="n">
        <v>162722.299885</v>
      </c>
      <c r="S41" s="4" t="n">
        <v>0.03</v>
      </c>
      <c r="T41" s="4" t="n">
        <v>0</v>
      </c>
      <c r="U41" s="16" t="n">
        <v>32.25340835182252</v>
      </c>
      <c r="V41" s="16" t="n">
        <v>0.7669902912621382</v>
      </c>
      <c r="W41" s="4" t="n">
        <v>-0.2121001741940371</v>
      </c>
      <c r="X41" s="4" t="n">
        <v>-0.2151217968997152</v>
      </c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0.2166613873930947</v>
      </c>
      <c r="AE41" s="2" t="n">
        <v>0.2322746230349695</v>
      </c>
      <c r="AF41" s="2" t="n">
        <v>32.25340835182252</v>
      </c>
      <c r="AG41" s="2" t="n">
        <v>0.2330097087378618</v>
      </c>
      <c r="AH41" s="2" t="n">
        <v>0.3574209409447182</v>
      </c>
      <c r="AI41" s="2" t="n">
        <v>11</v>
      </c>
      <c r="AJ41" s="2" t="n">
        <v>0.2028795828597749</v>
      </c>
      <c r="AK41" s="2" t="n">
        <v>45.19408915061103</v>
      </c>
      <c r="AL41" s="2" t="n">
        <v>0.09239202330310008</v>
      </c>
      <c r="AM41" s="2" t="n">
        <v>162722.299885</v>
      </c>
    </row>
    <row r="42">
      <c r="A42" s="2" t="n">
        <v>41</v>
      </c>
      <c r="B42" s="2" t="inlineStr">
        <is>
          <t>ANIME_USDT_PERP</t>
        </is>
      </c>
      <c r="C42" s="2" t="inlineStr">
        <is>
          <t>做空</t>
        </is>
      </c>
      <c r="D42" s="7" t="n">
        <v>46275.63541666666</v>
      </c>
      <c r="E42" s="17" t="n">
        <v>0.003552</v>
      </c>
      <c r="F42" s="17" t="n">
        <v>0.00344544</v>
      </c>
      <c r="G42" s="17" t="n">
        <v>0.0037296</v>
      </c>
      <c r="H42" s="7" t="n">
        <v>46275.64583333334</v>
      </c>
      <c r="I42" s="17" t="n">
        <v>0.00344544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-0.02175709171027262</v>
      </c>
      <c r="O42" s="4" t="n">
        <v>0.01832290178780784</v>
      </c>
      <c r="P42" s="4" t="n">
        <v>0.161526083514663</v>
      </c>
      <c r="Q42" s="19" t="n">
        <v>7442246</v>
      </c>
      <c r="R42" s="19" t="n">
        <v>203953.257142</v>
      </c>
      <c r="S42" s="4" t="n">
        <v>0.03</v>
      </c>
      <c r="T42" s="4" t="n">
        <v>0.02083333333333326</v>
      </c>
      <c r="U42" s="16" t="n">
        <v>136.2752968755439</v>
      </c>
      <c r="V42" s="16" t="n">
        <v>0.8986486486486497</v>
      </c>
      <c r="W42" s="4" t="n">
        <v>-0.1577612704083129</v>
      </c>
      <c r="X42" s="4" t="n">
        <v>-0.1975724881995955</v>
      </c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0.1749917300694674</v>
      </c>
      <c r="AE42" s="2" t="n">
        <v>0.1585127201565557</v>
      </c>
      <c r="AF42" s="2" t="n">
        <v>136.2752968755439</v>
      </c>
      <c r="AG42" s="2" t="n">
        <v>0.1013513513513504</v>
      </c>
      <c r="AH42" s="2" t="n">
        <v>0.8320209359269626</v>
      </c>
      <c r="AI42" s="2" t="n">
        <v>9</v>
      </c>
      <c r="AJ42" s="2" t="n">
        <v>0.161526083514663</v>
      </c>
      <c r="AK42" s="2" t="n">
        <v>57.65687597389194</v>
      </c>
      <c r="AL42" s="2" t="n">
        <v>0.0634723936771556</v>
      </c>
      <c r="AM42" s="2" t="n">
        <v>203953.257142</v>
      </c>
    </row>
    <row r="43">
      <c r="A43" s="2" t="n">
        <v>42</v>
      </c>
      <c r="B43" s="2" t="inlineStr">
        <is>
          <t>SAGA_USDT_PERP</t>
        </is>
      </c>
      <c r="C43" s="2" t="inlineStr">
        <is>
          <t>做空</t>
        </is>
      </c>
      <c r="D43" s="7" t="n">
        <v>46276.02430555555</v>
      </c>
      <c r="E43" s="17" t="n">
        <v>0.01776</v>
      </c>
      <c r="F43" s="17" t="n">
        <v>0.0172272</v>
      </c>
      <c r="G43" s="17" t="n">
        <v>0.018648</v>
      </c>
      <c r="H43" s="7" t="n">
        <v>46276.03472222222</v>
      </c>
      <c r="I43" s="17" t="n">
        <v>0.0172272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0.007945516458569779</v>
      </c>
      <c r="O43" s="4" t="n">
        <v>0.01787643422477274</v>
      </c>
      <c r="P43" s="4" t="n">
        <v>0.2185353219152824</v>
      </c>
      <c r="Q43" s="19" t="n">
        <v>15316871.8</v>
      </c>
      <c r="R43" s="19" t="n">
        <v>456561.923971</v>
      </c>
      <c r="S43" s="4" t="n">
        <v>0.03</v>
      </c>
      <c r="T43" s="4" t="n">
        <v>0.003378378378378288</v>
      </c>
      <c r="U43" s="16" t="n">
        <v>80.15320996229781</v>
      </c>
      <c r="V43" s="16" t="n">
        <v>0.7619047619047601</v>
      </c>
      <c r="W43" s="4" t="n">
        <v>-0.1735553573198534</v>
      </c>
      <c r="X43" s="4" t="n">
        <v>-0.2181069958847739</v>
      </c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0.162303664921466</v>
      </c>
      <c r="AE43" s="2" t="n">
        <v>0.1148775894538607</v>
      </c>
      <c r="AF43" s="2" t="n">
        <v>80.15320996229781</v>
      </c>
      <c r="AG43" s="2" t="n">
        <v>0.2380952380952399</v>
      </c>
      <c r="AH43" s="2" t="n">
        <v>1</v>
      </c>
      <c r="AI43" s="2" t="n">
        <v>12</v>
      </c>
      <c r="AJ43" s="2" t="n">
        <v>0.2185353219152824</v>
      </c>
      <c r="AK43" s="2" t="n">
        <v>83.17233912119407</v>
      </c>
      <c r="AL43" s="2" t="n">
        <v>0.06192578467093906</v>
      </c>
      <c r="AM43" s="2" t="n">
        <v>456561.923971</v>
      </c>
    </row>
    <row r="44">
      <c r="A44" s="2" t="n">
        <v>43</v>
      </c>
      <c r="B44" s="2" t="inlineStr">
        <is>
          <t>哈基米_USDT_PERP</t>
        </is>
      </c>
      <c r="C44" s="2" t="inlineStr">
        <is>
          <t>做空</t>
        </is>
      </c>
      <c r="D44" s="7" t="n">
        <v>46276.14236111111</v>
      </c>
      <c r="E44" s="17" t="n">
        <v>0.03622</v>
      </c>
      <c r="F44" s="17" t="n">
        <v>0.0351334</v>
      </c>
      <c r="G44" s="17" t="n">
        <v>0.038031</v>
      </c>
      <c r="H44" s="7" t="n">
        <v>46276.15625</v>
      </c>
      <c r="I44" s="17" t="n">
        <v>0.038031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-0.03180967655707023</v>
      </c>
      <c r="O44" s="4" t="n">
        <v>0.02072547375113655</v>
      </c>
      <c r="P44" s="4" t="n">
        <v>0.12175148497092</v>
      </c>
      <c r="Q44" s="19" t="n">
        <v>297331</v>
      </c>
      <c r="R44" s="19" t="n">
        <v>91989.83894</v>
      </c>
      <c r="S44" s="4" t="n">
        <v>0</v>
      </c>
      <c r="T44" s="4" t="n">
        <v>0.05</v>
      </c>
      <c r="U44" s="16" t="n">
        <v>4.8768022672256</v>
      </c>
      <c r="V44" s="16" t="n">
        <v>0.8272251308900505</v>
      </c>
      <c r="W44" s="4" t="n">
        <v>-0.1593219470975342</v>
      </c>
      <c r="X44" s="4" t="n">
        <v>-0.000828958275766789</v>
      </c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0.1623876765083441</v>
      </c>
      <c r="AE44" s="2" t="n">
        <v>0.08670867086708678</v>
      </c>
      <c r="AF44" s="2" t="n">
        <v>4.8768022672256</v>
      </c>
      <c r="AG44" s="2" t="n">
        <v>0.1727748691099495</v>
      </c>
      <c r="AH44" s="2" t="n">
        <v>0.4935081187623189</v>
      </c>
      <c r="AI44" s="2" t="n">
        <v>7</v>
      </c>
      <c r="AJ44" s="2" t="n">
        <v>0.12175148497092</v>
      </c>
      <c r="AK44" s="2" t="n">
        <v>52.51372721624652</v>
      </c>
      <c r="AL44" s="2" t="n">
        <v>0.07179514709580727</v>
      </c>
      <c r="AM44" s="2" t="n">
        <v>91989.83894</v>
      </c>
    </row>
    <row r="45">
      <c r="A45" s="2" t="n">
        <v>44</v>
      </c>
      <c r="B45" s="2" t="inlineStr">
        <is>
          <t>我踏马来了_USDT_PERP</t>
        </is>
      </c>
      <c r="C45" s="2" t="inlineStr">
        <is>
          <t>做空</t>
        </is>
      </c>
      <c r="D45" s="7" t="n">
        <v>46276.31944444445</v>
      </c>
      <c r="E45" s="17" t="n">
        <v>0.012087</v>
      </c>
      <c r="F45" s="17" t="n">
        <v>0.01172439</v>
      </c>
      <c r="G45" s="17" t="n">
        <v>0.01269135</v>
      </c>
      <c r="H45" s="7" t="n">
        <v>46276.34722222222</v>
      </c>
      <c r="I45" s="17" t="n">
        <v>0.01172439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0.01588502269288949</v>
      </c>
      <c r="O45" s="4" t="n">
        <v>0.01596446170172047</v>
      </c>
      <c r="P45" s="4" t="n">
        <v>0.1658595203742479</v>
      </c>
      <c r="Q45" s="19" t="n">
        <v>1827629</v>
      </c>
      <c r="R45" s="19" t="n">
        <v>66488.960852</v>
      </c>
      <c r="S45" s="4" t="n">
        <v>0.03</v>
      </c>
      <c r="T45" s="4" t="n">
        <v>0.03962935385124511</v>
      </c>
      <c r="U45" s="16" t="n">
        <v>5.833294639060695</v>
      </c>
      <c r="V45" s="16" t="n">
        <v>0.4155124653739585</v>
      </c>
      <c r="W45" s="4" t="n">
        <v>-0.1845180637289729</v>
      </c>
      <c r="X45" s="4" t="n">
        <v>-0.08306451612903243</v>
      </c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0.1609835750648354</v>
      </c>
      <c r="AE45" s="2" t="n">
        <v>0.155876446399541</v>
      </c>
      <c r="AF45" s="2" t="n">
        <v>5.833294639060695</v>
      </c>
      <c r="AG45" s="2" t="n">
        <v>0.5844875346260415</v>
      </c>
      <c r="AH45" s="2" t="n">
        <v>0.1316573424572462</v>
      </c>
      <c r="AI45" s="2" t="n">
        <v>5</v>
      </c>
      <c r="AJ45" s="2" t="n">
        <v>0.1658595203742479</v>
      </c>
      <c r="AK45" s="2" t="n">
        <v>68.07525865307623</v>
      </c>
      <c r="AL45" s="2" t="n">
        <v>0.05530251756573471</v>
      </c>
      <c r="AM45" s="2" t="n">
        <v>66488.960852</v>
      </c>
    </row>
    <row r="46">
      <c r="A46" s="2" t="n">
        <v>45</v>
      </c>
      <c r="B46" s="2" t="inlineStr">
        <is>
          <t>哈基米_USDT_PERP</t>
        </is>
      </c>
      <c r="C46" s="2" t="inlineStr">
        <is>
          <t>做空</t>
        </is>
      </c>
      <c r="D46" s="7" t="n">
        <v>46276.48958333334</v>
      </c>
      <c r="E46" s="17" t="n">
        <v>0.0411</v>
      </c>
      <c r="F46" s="17" t="n">
        <v>0.039867</v>
      </c>
      <c r="G46" s="17" t="n">
        <v>0.043155</v>
      </c>
      <c r="H46" s="7" t="n">
        <v>46276.49305555555</v>
      </c>
      <c r="I46" s="17" t="n">
        <v>0.039867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0.008588957055214674</v>
      </c>
      <c r="O46" s="4" t="n">
        <v>0.02504594095132378</v>
      </c>
      <c r="P46" s="4" t="n">
        <v>0.2444300903801413</v>
      </c>
      <c r="Q46" s="19" t="n">
        <v>354180</v>
      </c>
      <c r="R46" s="19" t="n">
        <v>144607.27633</v>
      </c>
      <c r="S46" s="4" t="n">
        <v>0.03</v>
      </c>
      <c r="T46" s="4" t="n">
        <v>0</v>
      </c>
      <c r="U46" s="16" t="n">
        <v>5.412148489716829</v>
      </c>
      <c r="V46" s="16" t="n">
        <v>0.5970149253731347</v>
      </c>
      <c r="W46" s="4" t="n">
        <v>-0.1532957319639698</v>
      </c>
      <c r="X46" s="4" t="n">
        <v>-0.1790017211703958</v>
      </c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0.1746213203772506</v>
      </c>
      <c r="AE46" s="2" t="n">
        <v>0.1810344827586208</v>
      </c>
      <c r="AF46" s="2" t="n">
        <v>5.412148489716829</v>
      </c>
      <c r="AG46" s="2" t="n">
        <v>0.4029850746268652</v>
      </c>
      <c r="AH46" s="2" t="n">
        <v>0.641996911146162</v>
      </c>
      <c r="AI46" s="2" t="n">
        <v>2</v>
      </c>
      <c r="AJ46" s="2" t="n">
        <v>0.2444300903801413</v>
      </c>
      <c r="AK46" s="2" t="n">
        <v>51.47186630017069</v>
      </c>
      <c r="AL46" s="2" t="n">
        <v>0.08676168450212553</v>
      </c>
      <c r="AM46" s="2" t="n">
        <v>144607.27633</v>
      </c>
    </row>
    <row r="47">
      <c r="A47" s="2" t="n">
        <v>46</v>
      </c>
      <c r="B47" s="2" t="inlineStr">
        <is>
          <t>哈基米_USDT_PERP</t>
        </is>
      </c>
      <c r="C47" s="2" t="inlineStr">
        <is>
          <t>做空</t>
        </is>
      </c>
      <c r="D47" s="7" t="n">
        <v>46276.54166666666</v>
      </c>
      <c r="E47" s="17" t="n">
        <v>0.04156</v>
      </c>
      <c r="F47" s="17" t="n">
        <v>0.0403132</v>
      </c>
      <c r="G47" s="17" t="n">
        <v>0.043638</v>
      </c>
      <c r="H47" s="7" t="n">
        <v>46276.55208333334</v>
      </c>
      <c r="I47" s="17" t="n">
        <v>0.0403132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0.03486055776892427</v>
      </c>
      <c r="O47" s="4" t="n">
        <v>0.02585774160523267</v>
      </c>
      <c r="P47" s="4" t="n">
        <v>0.2433636537020809</v>
      </c>
      <c r="Q47" s="19" t="n">
        <v>181710</v>
      </c>
      <c r="R47" s="19" t="n">
        <v>158217.19396</v>
      </c>
      <c r="S47" s="4" t="n">
        <v>0.03</v>
      </c>
      <c r="T47" s="4" t="n">
        <v>0.02454282964388832</v>
      </c>
      <c r="U47" s="16" t="n">
        <v>2.821089151586668</v>
      </c>
      <c r="V47" s="16" t="n">
        <v>0.4196078431372549</v>
      </c>
      <c r="W47" s="4" t="n">
        <v>-0.1599671770596673</v>
      </c>
      <c r="X47" s="4" t="n">
        <v>-0.1740112994350282</v>
      </c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0.1615427613191727</v>
      </c>
      <c r="AE47" s="2" t="n">
        <v>0.03848075962018993</v>
      </c>
      <c r="AF47" s="2" t="n">
        <v>2.821089151586668</v>
      </c>
      <c r="AG47" s="2" t="n">
        <v>0.5803921568627451</v>
      </c>
      <c r="AH47" s="2" t="n">
        <v>0.3644272476340694</v>
      </c>
      <c r="AI47" s="2" t="n">
        <v>1</v>
      </c>
      <c r="AJ47" s="2" t="n">
        <v>0.2433636537020809</v>
      </c>
      <c r="AK47" s="2" t="n">
        <v>60.23885682127936</v>
      </c>
      <c r="AL47" s="2" t="n">
        <v>0.0895738444585012</v>
      </c>
      <c r="AM47" s="2" t="n">
        <v>158217.19396</v>
      </c>
    </row>
    <row r="48">
      <c r="A48" s="2" t="n">
        <v>47</v>
      </c>
      <c r="B48" s="2" t="inlineStr">
        <is>
          <t>LAB_USDT_PERP</t>
        </is>
      </c>
      <c r="C48" s="2" t="inlineStr">
        <is>
          <t>做空</t>
        </is>
      </c>
      <c r="D48" s="7" t="n">
        <v>46276.76388888889</v>
      </c>
      <c r="E48" s="17" t="n">
        <v>0.05873</v>
      </c>
      <c r="F48" s="17" t="n">
        <v>0.05696809999999999</v>
      </c>
      <c r="G48" s="17" t="n">
        <v>0.0616665</v>
      </c>
      <c r="H48" s="7" t="n">
        <v>46276.78125</v>
      </c>
      <c r="I48" s="17" t="n">
        <v>0.0616665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0.002560600887674847</v>
      </c>
      <c r="O48" s="4" t="n">
        <v>0.02119252232604689</v>
      </c>
      <c r="P48" s="4" t="n">
        <v>0.2418689355673442</v>
      </c>
      <c r="Q48" s="19" t="n">
        <v>1478857</v>
      </c>
      <c r="R48" s="19" t="n">
        <v>307672.4554</v>
      </c>
      <c r="S48" s="4" t="n">
        <v>0.001532436574152918</v>
      </c>
      <c r="T48" s="4" t="n">
        <v>0.05</v>
      </c>
      <c r="U48" s="16" t="n">
        <v>5.589058824402443</v>
      </c>
      <c r="V48" s="16" t="n">
        <v>0.5515151515151526</v>
      </c>
      <c r="W48" s="4" t="n">
        <v>-0.2301150942013048</v>
      </c>
      <c r="X48" s="4" t="n">
        <v>-0.194913530010173</v>
      </c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0.2049651210504719</v>
      </c>
      <c r="AE48" s="2" t="n">
        <v>0.2421742808798646</v>
      </c>
      <c r="AF48" s="2" t="n">
        <v>5.589058824402443</v>
      </c>
      <c r="AG48" s="2" t="n">
        <v>0.4484848484848474</v>
      </c>
      <c r="AH48" s="2" t="n">
        <v>0.3055476942809444</v>
      </c>
      <c r="AI48" s="2" t="n">
        <v>9</v>
      </c>
      <c r="AJ48" s="2" t="n">
        <v>0.2418689355673442</v>
      </c>
      <c r="AK48" s="2" t="n">
        <v>43.47237633260987</v>
      </c>
      <c r="AL48" s="2" t="n">
        <v>0.07341305081850195</v>
      </c>
      <c r="AM48" s="2" t="n">
        <v>307672.4554</v>
      </c>
    </row>
    <row r="49">
      <c r="A49" s="2" t="n">
        <v>48</v>
      </c>
      <c r="B49" s="2" t="inlineStr">
        <is>
          <t>CASHCAT_USDT_PERP</t>
        </is>
      </c>
      <c r="C49" s="2" t="inlineStr">
        <is>
          <t>做空</t>
        </is>
      </c>
      <c r="D49" s="7" t="n">
        <v>46276.92013888889</v>
      </c>
      <c r="E49" s="17" t="n">
        <v>0.1886</v>
      </c>
      <c r="F49" s="17" t="n">
        <v>0.182942</v>
      </c>
      <c r="G49" s="17" t="n">
        <v>0.19803</v>
      </c>
      <c r="H49" s="7" t="n">
        <v>46276.92708333334</v>
      </c>
      <c r="I49" s="17" t="n">
        <v>0.182942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0.004794885455513986</v>
      </c>
      <c r="O49" s="4" t="n">
        <v>0.01847184603163247</v>
      </c>
      <c r="P49" s="4" t="n">
        <v>0.1202435312024352</v>
      </c>
      <c r="Q49" s="19" t="n">
        <v>246212</v>
      </c>
      <c r="R49" s="19" t="n">
        <v>172599.785</v>
      </c>
      <c r="S49" s="4" t="n">
        <v>0.03</v>
      </c>
      <c r="T49" s="4" t="n">
        <v>0</v>
      </c>
      <c r="U49" s="16" t="n">
        <v>6.099240134210581</v>
      </c>
      <c r="V49" s="16" t="n">
        <v>0.537037037037038</v>
      </c>
      <c r="W49" s="4" t="n">
        <v>-0.1234750285932138</v>
      </c>
      <c r="X49" s="4" t="n">
        <v>-0.1634793337446021</v>
      </c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0.174346201743462</v>
      </c>
      <c r="AE49" s="2" t="n">
        <v>0.118623962040332</v>
      </c>
      <c r="AF49" s="2" t="n">
        <v>6.099240134210581</v>
      </c>
      <c r="AG49" s="2" t="n">
        <v>0.462962962962962</v>
      </c>
      <c r="AH49" s="2" t="n">
        <v>0.312279458445911</v>
      </c>
      <c r="AI49" s="2" t="n">
        <v>4</v>
      </c>
      <c r="AJ49" s="2" t="n">
        <v>0.1202435312024352</v>
      </c>
      <c r="AK49" s="2" t="n">
        <v>54.45963336515353</v>
      </c>
      <c r="AL49" s="2" t="n">
        <v>0.06398835167275396</v>
      </c>
      <c r="AM49" s="2" t="n">
        <v>172599.785</v>
      </c>
    </row>
    <row r="50">
      <c r="A50" s="2" t="n">
        <v>49</v>
      </c>
      <c r="B50" s="2" t="inlineStr">
        <is>
          <t>BLUR_USDT_PERP</t>
        </is>
      </c>
      <c r="C50" s="2" t="inlineStr">
        <is>
          <t>做空</t>
        </is>
      </c>
      <c r="D50" s="7" t="n">
        <v>46276.97222222222</v>
      </c>
      <c r="E50" s="17" t="n">
        <v>0.02085</v>
      </c>
      <c r="F50" s="17" t="n">
        <v>0.0202245</v>
      </c>
      <c r="G50" s="17" t="n">
        <v>0.0218925</v>
      </c>
      <c r="H50" s="7" t="n">
        <v>46276.97916666666</v>
      </c>
      <c r="I50" s="17" t="n">
        <v>0.0202245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0.0116448326055314</v>
      </c>
      <c r="O50" s="4" t="n">
        <v>0.0175886924665684</v>
      </c>
      <c r="P50" s="4" t="n">
        <v>0.2165503358641665</v>
      </c>
      <c r="Q50" s="19" t="n">
        <v>2700828</v>
      </c>
      <c r="R50" s="19" t="n">
        <v>136541.57067</v>
      </c>
      <c r="S50" s="4" t="n">
        <v>0.03</v>
      </c>
      <c r="T50" s="4" t="n">
        <v>0.01486810551558748</v>
      </c>
      <c r="U50" s="16" t="n">
        <v>43.8921963331126</v>
      </c>
      <c r="V50" s="16" t="n">
        <v>0.6739130434782593</v>
      </c>
      <c r="W50" s="4" t="n">
        <v>-0.1929965096984609</v>
      </c>
      <c r="X50" s="4" t="n">
        <v>-0.2910216718266254</v>
      </c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0.2200117027501463</v>
      </c>
      <c r="AE50" s="2" t="n">
        <v>0.1570477247502775</v>
      </c>
      <c r="AF50" s="2" t="n">
        <v>43.8921963331126</v>
      </c>
      <c r="AG50" s="2" t="n">
        <v>0.3260869565217407</v>
      </c>
      <c r="AH50" s="2" t="n">
        <v>1</v>
      </c>
      <c r="AI50" s="2" t="n">
        <v>8</v>
      </c>
      <c r="AJ50" s="2" t="n">
        <v>0.2165503358641665</v>
      </c>
      <c r="AK50" s="2" t="n">
        <v>65.81310437682579</v>
      </c>
      <c r="AL50" s="2" t="n">
        <v>0.06092901798160087</v>
      </c>
      <c r="AM50" s="2" t="n">
        <v>136541.57067</v>
      </c>
    </row>
    <row r="51">
      <c r="A51" s="2" t="n">
        <v>50</v>
      </c>
      <c r="B51" s="2" t="inlineStr">
        <is>
          <t>CYS_USDT_PERP</t>
        </is>
      </c>
      <c r="C51" s="2" t="inlineStr">
        <is>
          <t>做空</t>
        </is>
      </c>
      <c r="D51" s="7" t="n">
        <v>46277.28472222222</v>
      </c>
      <c r="E51" s="17" t="n">
        <v>0.1562</v>
      </c>
      <c r="F51" s="17" t="n">
        <v>0.151514</v>
      </c>
      <c r="G51" s="17" t="n">
        <v>0.16401</v>
      </c>
      <c r="H51" s="7" t="n">
        <v>46277.29166666666</v>
      </c>
      <c r="I51" s="17" t="n">
        <v>0.16401</v>
      </c>
      <c r="J51" s="2" t="inlineStr">
        <is>
          <t>止損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-0.0006397952655149419</v>
      </c>
      <c r="O51" s="4" t="n">
        <v>0.01912848825941206</v>
      </c>
      <c r="P51" s="4" t="n">
        <v>0.1913546701751376</v>
      </c>
      <c r="Q51" s="19" t="n">
        <v>110844</v>
      </c>
      <c r="R51" s="19" t="n">
        <v>240054.6146</v>
      </c>
      <c r="S51" s="4" t="n">
        <v>0.01216389244558269</v>
      </c>
      <c r="T51" s="4" t="n">
        <v>0.05</v>
      </c>
      <c r="U51" s="16" t="n">
        <v>11.37993208354654</v>
      </c>
      <c r="V51" s="16" t="n">
        <v>0.3780487804878045</v>
      </c>
      <c r="W51" s="4" t="n">
        <v>-0.1789658009344173</v>
      </c>
      <c r="X51" s="4" t="n">
        <v>-0.1221264367816093</v>
      </c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0.1815431164901664</v>
      </c>
      <c r="AE51" s="2" t="n">
        <v>0.1544715447154472</v>
      </c>
      <c r="AF51" s="2" t="n">
        <v>11.37993208354654</v>
      </c>
      <c r="AG51" s="2" t="n">
        <v>0.6219512195121955</v>
      </c>
      <c r="AH51" s="2" t="n">
        <v>0.2492992882823391</v>
      </c>
      <c r="AI51" s="2" t="n">
        <v>3</v>
      </c>
      <c r="AJ51" s="2" t="n">
        <v>0.1913546701751376</v>
      </c>
      <c r="AK51" s="2" t="n">
        <v>65.93887725356046</v>
      </c>
      <c r="AL51" s="2" t="n">
        <v>0.06626302707457291</v>
      </c>
      <c r="AM51" s="2" t="n">
        <v>240054.6146</v>
      </c>
    </row>
    <row r="52">
      <c r="A52" s="2" t="n">
        <v>51</v>
      </c>
      <c r="B52" s="2" t="inlineStr">
        <is>
          <t>我踏马来了_USDT_PERP</t>
        </is>
      </c>
      <c r="C52" s="2" t="inlineStr">
        <is>
          <t>做空</t>
        </is>
      </c>
      <c r="D52" s="7" t="n">
        <v>46277.55208333334</v>
      </c>
      <c r="E52" s="17" t="n">
        <v>0.015</v>
      </c>
      <c r="F52" s="17" t="n">
        <v>0.01455</v>
      </c>
      <c r="G52" s="17" t="n">
        <v>0.01575</v>
      </c>
      <c r="H52" s="7" t="n">
        <v>46277.55555555555</v>
      </c>
      <c r="I52" s="17" t="n">
        <v>0.01455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-0.0730441230997404</v>
      </c>
      <c r="O52" s="4" t="n">
        <v>0.04280809318299815</v>
      </c>
      <c r="P52" s="4" t="n">
        <v>0.2184369822700496</v>
      </c>
      <c r="Q52" s="19" t="n">
        <v>2307802</v>
      </c>
      <c r="R52" s="19" t="n">
        <v>250006.492562</v>
      </c>
      <c r="S52" s="4" t="n">
        <v>0.03</v>
      </c>
      <c r="T52" s="4" t="n">
        <v>0</v>
      </c>
      <c r="U52" s="16" t="n">
        <v>7.884083447952517</v>
      </c>
      <c r="V52" s="16" t="n">
        <v>0.5620726880172726</v>
      </c>
      <c r="W52" s="4" t="n">
        <v>-0.1673288015035193</v>
      </c>
      <c r="X52" s="4" t="n">
        <v>-0.2283000327546674</v>
      </c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0.1850213303839467</v>
      </c>
      <c r="AE52" s="2" t="n">
        <v>0.05507491031863254</v>
      </c>
      <c r="AF52" s="2" t="n">
        <v>7.884083447952517</v>
      </c>
      <c r="AG52" s="2" t="n">
        <v>0.4379273119827273</v>
      </c>
      <c r="AH52" s="2" t="n">
        <v>0.3912277596759213</v>
      </c>
      <c r="AI52" s="2" t="n">
        <v>5</v>
      </c>
      <c r="AJ52" s="2" t="n">
        <v>0.2184369822700496</v>
      </c>
      <c r="AK52" s="2" t="n">
        <v>65.04082810921395</v>
      </c>
      <c r="AL52" s="2" t="n">
        <v>0.1482915847361914</v>
      </c>
      <c r="AM52" s="2" t="n">
        <v>250006.492562</v>
      </c>
    </row>
    <row r="53">
      <c r="A53" s="2" t="n">
        <v>52</v>
      </c>
      <c r="B53" s="2" t="inlineStr">
        <is>
          <t>GRIFFAIN_USDT_PERP</t>
        </is>
      </c>
      <c r="C53" s="2" t="inlineStr">
        <is>
          <t>做空</t>
        </is>
      </c>
      <c r="D53" s="7" t="n">
        <v>46277.65625</v>
      </c>
      <c r="E53" s="17" t="n">
        <v>0.01332</v>
      </c>
      <c r="F53" s="17" t="n">
        <v>0.0129204</v>
      </c>
      <c r="G53" s="17" t="n">
        <v>0.013986</v>
      </c>
      <c r="H53" s="7" t="n">
        <v>46277.67013888889</v>
      </c>
      <c r="I53" s="17" t="n">
        <v>0.0129204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0.00832702498107496</v>
      </c>
      <c r="O53" s="4" t="n">
        <v>0.01602119066060002</v>
      </c>
      <c r="P53" s="4" t="n">
        <v>0.1883528926326432</v>
      </c>
      <c r="Q53" s="19" t="n">
        <v>1178858</v>
      </c>
      <c r="R53" s="19" t="n">
        <v>32569.15363</v>
      </c>
      <c r="S53" s="4" t="n">
        <v>0.03</v>
      </c>
      <c r="T53" s="4" t="n">
        <v>0.01201201201201196</v>
      </c>
      <c r="U53" s="16" t="n">
        <v>69.54848360389961</v>
      </c>
      <c r="V53" s="16" t="n">
        <v>0.5769230769230738</v>
      </c>
      <c r="W53" s="4" t="n">
        <v>-0.1681853661103463</v>
      </c>
      <c r="X53" s="4" t="n">
        <v>-0.1946188340807176</v>
      </c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0.1892857142857143</v>
      </c>
      <c r="AE53" s="2" t="n">
        <v>0.109075770191507</v>
      </c>
      <c r="AF53" s="2" t="n">
        <v>69.54848360389961</v>
      </c>
      <c r="AG53" s="2" t="n">
        <v>0.4230769230769262</v>
      </c>
      <c r="AH53" s="2" t="n">
        <v>1</v>
      </c>
      <c r="AI53" s="2" t="n">
        <v>10</v>
      </c>
      <c r="AJ53" s="2" t="n">
        <v>0.1883528926326432</v>
      </c>
      <c r="AK53" s="2" t="n">
        <v>89.82877229249794</v>
      </c>
      <c r="AL53" s="2" t="n">
        <v>0.05549903244381443</v>
      </c>
      <c r="AM53" s="2" t="n">
        <v>32569.15363</v>
      </c>
    </row>
    <row r="54">
      <c r="A54" s="2" t="n">
        <v>53</v>
      </c>
      <c r="B54" s="2" t="inlineStr">
        <is>
          <t>POWR_USDT_PERP</t>
        </is>
      </c>
      <c r="C54" s="2" t="inlineStr">
        <is>
          <t>做空</t>
        </is>
      </c>
      <c r="D54" s="7" t="n">
        <v>46278.34027777778</v>
      </c>
      <c r="E54" s="17" t="n">
        <v>0.06576</v>
      </c>
      <c r="F54" s="17" t="n">
        <v>0.0637872</v>
      </c>
      <c r="G54" s="17" t="n">
        <v>0.069048</v>
      </c>
      <c r="H54" s="7" t="n">
        <v>46278.34375</v>
      </c>
      <c r="I54" s="17" t="n">
        <v>0.069048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0.003816211265455616</v>
      </c>
      <c r="O54" s="4" t="n">
        <v>0.01770328233611666</v>
      </c>
      <c r="P54" s="4" t="n">
        <v>0.198930698213956</v>
      </c>
      <c r="Q54" s="19" t="n">
        <v>256134</v>
      </c>
      <c r="R54" s="19" t="n">
        <v>55930.46621</v>
      </c>
      <c r="S54" s="4" t="n">
        <v>0</v>
      </c>
      <c r="T54" s="4" t="n">
        <v>0.05</v>
      </c>
      <c r="U54" s="16" t="n">
        <v>42.83964162594054</v>
      </c>
      <c r="V54" s="16" t="n">
        <v>0.6659919028340083</v>
      </c>
      <c r="W54" s="4" t="n">
        <v>-0.1920947584811667</v>
      </c>
      <c r="X54" s="4" t="n">
        <v>-0.2209431860378761</v>
      </c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0.2024136039495337</v>
      </c>
      <c r="AE54" s="2" t="n">
        <v>0.1880758807588074</v>
      </c>
      <c r="AF54" s="2" t="n">
        <v>42.83964162594054</v>
      </c>
      <c r="AG54" s="2" t="n">
        <v>0.3340080971659917</v>
      </c>
      <c r="AH54" s="2" t="n">
        <v>0.9730807189872631</v>
      </c>
      <c r="AI54" s="2" t="n">
        <v>2</v>
      </c>
      <c r="AJ54" s="2" t="n">
        <v>0.198930698213956</v>
      </c>
      <c r="AK54" s="2" t="n">
        <v>65.94905338258627</v>
      </c>
      <c r="AL54" s="2" t="n">
        <v>0.06132596893378141</v>
      </c>
      <c r="AM54" s="2" t="n">
        <v>55930.46621</v>
      </c>
    </row>
    <row r="55">
      <c r="A55" s="2" t="n">
        <v>54</v>
      </c>
      <c r="B55" s="2" t="inlineStr">
        <is>
          <t>POWR_USDT_PERP</t>
        </is>
      </c>
      <c r="C55" s="2" t="inlineStr">
        <is>
          <t>做空</t>
        </is>
      </c>
      <c r="D55" s="7" t="n">
        <v>46278.39583333334</v>
      </c>
      <c r="E55" s="17" t="n">
        <v>0.0824</v>
      </c>
      <c r="F55" s="17" t="n">
        <v>0.079928</v>
      </c>
      <c r="G55" s="17" t="n">
        <v>0.08652</v>
      </c>
      <c r="H55" s="7" t="n">
        <v>46278.39930555555</v>
      </c>
      <c r="I55" s="17" t="n">
        <v>0.079928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0.009061964241978915</v>
      </c>
      <c r="O55" s="4" t="n">
        <v>0.03942347456193043</v>
      </c>
      <c r="P55" s="4" t="n">
        <v>0.4703684620240318</v>
      </c>
      <c r="Q55" s="19" t="n">
        <v>679657</v>
      </c>
      <c r="R55" s="19" t="n">
        <v>138105.95295</v>
      </c>
      <c r="S55" s="4" t="n">
        <v>0.03</v>
      </c>
      <c r="T55" s="4" t="n">
        <v>0</v>
      </c>
      <c r="U55" s="16" t="n">
        <v>11.6940519536707</v>
      </c>
      <c r="V55" s="16" t="n">
        <v>0.6804979253112037</v>
      </c>
      <c r="W55" s="4" t="n">
        <v>-0.4164841625381195</v>
      </c>
      <c r="X55" s="4" t="n">
        <v>-0.522823877287008</v>
      </c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0.4656705798648169</v>
      </c>
      <c r="AE55" s="2" t="n">
        <v>0.1691259931895572</v>
      </c>
      <c r="AF55" s="2" t="n">
        <v>11.6940519536707</v>
      </c>
      <c r="AG55" s="2" t="n">
        <v>0.3195020746887963</v>
      </c>
      <c r="AH55" s="2" t="n">
        <v>0.3832323617802795</v>
      </c>
      <c r="AI55" s="2" t="n">
        <v>12</v>
      </c>
      <c r="AJ55" s="2" t="n">
        <v>0.4703684620240318</v>
      </c>
      <c r="AK55" s="2" t="n">
        <v>93.62726604129671</v>
      </c>
      <c r="AL55" s="2" t="n">
        <v>0.1365669219043254</v>
      </c>
      <c r="AM55" s="2" t="n">
        <v>138105.95295</v>
      </c>
    </row>
    <row r="56">
      <c r="A56" s="2" t="n">
        <v>55</v>
      </c>
      <c r="B56" s="2" t="inlineStr">
        <is>
          <t>POWR_USDT_PERP</t>
        </is>
      </c>
      <c r="C56" s="2" t="inlineStr">
        <is>
          <t>做空</t>
        </is>
      </c>
      <c r="D56" s="7" t="n">
        <v>46278.45138888889</v>
      </c>
      <c r="E56" s="17" t="n">
        <v>0.08243</v>
      </c>
      <c r="F56" s="17" t="n">
        <v>0.0799571</v>
      </c>
      <c r="G56" s="17" t="n">
        <v>0.0865515</v>
      </c>
      <c r="H56" s="7" t="n">
        <v>46278.45486111111</v>
      </c>
      <c r="I56" s="17" t="n">
        <v>0.0799571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0.01803136964307761</v>
      </c>
      <c r="O56" s="4" t="n">
        <v>0.0327239405948686</v>
      </c>
      <c r="P56" s="4" t="n">
        <v>0.4285136618335164</v>
      </c>
      <c r="Q56" s="19" t="n">
        <v>1118426</v>
      </c>
      <c r="R56" s="19" t="n">
        <v>253033.27421</v>
      </c>
      <c r="S56" s="4" t="n">
        <v>0.03</v>
      </c>
      <c r="T56" s="4" t="n">
        <v>0</v>
      </c>
      <c r="U56" s="16" t="n">
        <v>23.81639638125648</v>
      </c>
      <c r="V56" s="16" t="n">
        <v>0.6805251641137853</v>
      </c>
      <c r="W56" s="4" t="n">
        <v>-0.3227381626728842</v>
      </c>
      <c r="X56" s="4" t="n">
        <v>-0.5278962001853569</v>
      </c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0.1702157864849518</v>
      </c>
      <c r="AE56" s="2" t="n">
        <v>0.04065143289988637</v>
      </c>
      <c r="AF56" s="2" t="n">
        <v>23.81639638125648</v>
      </c>
      <c r="AG56" s="2" t="n">
        <v>0.3194748358862148</v>
      </c>
      <c r="AH56" s="2" t="n">
        <v>0.9910156526798268</v>
      </c>
      <c r="AI56" s="2" t="n">
        <v>9</v>
      </c>
      <c r="AJ56" s="2" t="n">
        <v>0.4285136618335164</v>
      </c>
      <c r="AK56" s="2" t="n">
        <v>87.47951891159367</v>
      </c>
      <c r="AL56" s="2" t="n">
        <v>0.1133590554683562</v>
      </c>
      <c r="AM56" s="2" t="n">
        <v>253033.27421</v>
      </c>
    </row>
    <row r="57">
      <c r="A57" s="2" t="n">
        <v>56</v>
      </c>
      <c r="B57" s="2" t="inlineStr">
        <is>
          <t>CTR_USDT_PERP</t>
        </is>
      </c>
      <c r="C57" s="2" t="inlineStr">
        <is>
          <t>做空</t>
        </is>
      </c>
      <c r="D57" s="7" t="n">
        <v>46278.60069444445</v>
      </c>
      <c r="E57" s="17" t="n">
        <v>0.01166</v>
      </c>
      <c r="F57" s="17" t="n">
        <v>0.0113102</v>
      </c>
      <c r="G57" s="17" t="n">
        <v>0.012243</v>
      </c>
      <c r="H57" s="7" t="n">
        <v>46278.60416666666</v>
      </c>
      <c r="I57" s="17" t="n">
        <v>0.0113102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0.021015761821366</v>
      </c>
      <c r="O57" s="4" t="n">
        <v>0.03208731293113014</v>
      </c>
      <c r="P57" s="4" t="n">
        <v>0.1569660236321393</v>
      </c>
      <c r="Q57" s="19" t="n">
        <v>5512673</v>
      </c>
      <c r="R57" s="19" t="n">
        <v>162809.89436</v>
      </c>
      <c r="S57" s="4" t="n">
        <v>0.03</v>
      </c>
      <c r="T57" s="4" t="n">
        <v>0</v>
      </c>
      <c r="U57" s="16" t="n">
        <v>3.223534241859662</v>
      </c>
      <c r="V57" s="16" t="n">
        <v>0.7499999999999996</v>
      </c>
      <c r="W57" s="4" t="n">
        <v>-0.1293196962653029</v>
      </c>
      <c r="X57" s="4" t="n">
        <v>-0.1648351648351649</v>
      </c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0.1706827309236947</v>
      </c>
      <c r="AE57" s="2" t="n">
        <v>0.029126213592233</v>
      </c>
      <c r="AF57" s="2" t="n">
        <v>3.223534241859662</v>
      </c>
      <c r="AG57" s="2" t="n">
        <v>0.2500000000000004</v>
      </c>
      <c r="AH57" s="2" t="n">
        <v>0.04621563056717366</v>
      </c>
      <c r="AI57" s="2" t="n">
        <v>10</v>
      </c>
      <c r="AJ57" s="2" t="n">
        <v>0.1569660236321393</v>
      </c>
      <c r="AK57" s="2" t="n">
        <v>82.16800918806773</v>
      </c>
      <c r="AL57" s="2" t="n">
        <v>0.1111537125501585</v>
      </c>
      <c r="AM57" s="2" t="n">
        <v>162809.89436</v>
      </c>
    </row>
    <row r="58">
      <c r="A58" s="2" t="n">
        <v>57</v>
      </c>
      <c r="B58" s="2" t="inlineStr">
        <is>
          <t>REZ_USDT_PERP</t>
        </is>
      </c>
      <c r="C58" s="2" t="inlineStr">
        <is>
          <t>做空</t>
        </is>
      </c>
      <c r="D58" s="7" t="n">
        <v>46278.68055555555</v>
      </c>
      <c r="E58" s="17" t="n">
        <v>0.003949</v>
      </c>
      <c r="F58" s="17" t="n">
        <v>0.00383053</v>
      </c>
      <c r="G58" s="17" t="n">
        <v>0.00414645</v>
      </c>
      <c r="H58" s="7" t="n">
        <v>46278.69791666666</v>
      </c>
      <c r="I58" s="17" t="n">
        <v>0.00383053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0.02279202279202286</v>
      </c>
      <c r="O58" s="4" t="n">
        <v>0.01638598978778854</v>
      </c>
      <c r="P58" s="4" t="n">
        <v>0.04633062263605203</v>
      </c>
      <c r="Q58" s="19" t="n">
        <v>9990817</v>
      </c>
      <c r="R58" s="19" t="n">
        <v>378808.935149</v>
      </c>
      <c r="S58" s="4" t="n">
        <v>0.03</v>
      </c>
      <c r="T58" s="4" t="n">
        <v>0.03038743985819181</v>
      </c>
      <c r="U58" s="16" t="n">
        <v>3.36226138231943</v>
      </c>
      <c r="V58" s="16" t="n">
        <v>0.4210526315789456</v>
      </c>
      <c r="W58" s="4" t="n">
        <v>-0.05187734401636557</v>
      </c>
      <c r="X58" s="4" t="n">
        <v>-0.2226006191950467</v>
      </c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0.1624963202826024</v>
      </c>
      <c r="AE58" s="2" t="n">
        <v>0.1202836879432625</v>
      </c>
      <c r="AF58" s="2" t="n">
        <v>3.36226138231943</v>
      </c>
      <c r="AG58" s="2" t="n">
        <v>0.5789473684210544</v>
      </c>
      <c r="AH58" s="2" t="n">
        <v>0.2693209168186302</v>
      </c>
      <c r="AI58" s="2" t="n">
        <v>4</v>
      </c>
      <c r="AJ58" s="2" t="n">
        <v>0.04633062263605203</v>
      </c>
      <c r="AK58" s="2" t="n">
        <v>50.40967657383602</v>
      </c>
      <c r="AL58" s="2" t="n">
        <v>0.05676273368950902</v>
      </c>
      <c r="AM58" s="2" t="n">
        <v>378808.935149</v>
      </c>
    </row>
    <row r="59">
      <c r="A59" s="2" t="n">
        <v>58</v>
      </c>
      <c r="B59" s="2" t="inlineStr">
        <is>
          <t>BTW_USDT_PERP</t>
        </is>
      </c>
      <c r="C59" s="2" t="inlineStr">
        <is>
          <t>做空</t>
        </is>
      </c>
      <c r="D59" s="7" t="n">
        <v>46278.84375</v>
      </c>
      <c r="E59" s="17" t="n">
        <v>0.671255</v>
      </c>
      <c r="F59" s="17" t="n">
        <v>0.65111735</v>
      </c>
      <c r="G59" s="17" t="n">
        <v>0.7048177500000001</v>
      </c>
      <c r="H59" s="7" t="n">
        <v>46278.84722222222</v>
      </c>
      <c r="I59" s="17" t="n">
        <v>0.7048177500000001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-0.03103969928892913</v>
      </c>
      <c r="O59" s="4" t="n">
        <v>0.03654580259872069</v>
      </c>
      <c r="P59" s="4" t="n">
        <v>0.1979132551148155</v>
      </c>
      <c r="Q59" s="19" t="n">
        <v>68901</v>
      </c>
      <c r="R59" s="19" t="n">
        <v>335492.474476</v>
      </c>
      <c r="S59" s="4" t="n">
        <v>0</v>
      </c>
      <c r="T59" s="4" t="n">
        <v>0.05</v>
      </c>
      <c r="U59" s="16" t="n">
        <v>17.99682552058678</v>
      </c>
      <c r="V59" s="16" t="n">
        <v>0.3950843291804388</v>
      </c>
      <c r="W59" s="4" t="n">
        <v>-0.176039719554328</v>
      </c>
      <c r="X59" s="4" t="n">
        <v>-0.2179325510802097</v>
      </c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0.2020611725941048</v>
      </c>
      <c r="AE59" s="2" t="n">
        <v>0.1180893432096464</v>
      </c>
      <c r="AF59" s="2" t="n">
        <v>17.99682552058678</v>
      </c>
      <c r="AG59" s="2" t="n">
        <v>0.6049156708195612</v>
      </c>
      <c r="AH59" s="2" t="n">
        <v>1</v>
      </c>
      <c r="AI59" s="2" t="n">
        <v>8</v>
      </c>
      <c r="AJ59" s="2" t="n">
        <v>0.1979132551148155</v>
      </c>
      <c r="AK59" s="2" t="n">
        <v>81.66436812410223</v>
      </c>
      <c r="AL59" s="2" t="n">
        <v>0.1265983738087339</v>
      </c>
      <c r="AM59" s="2" t="n">
        <v>335492.474476</v>
      </c>
    </row>
    <row r="60">
      <c r="A60" s="2" t="n">
        <v>59</v>
      </c>
      <c r="B60" s="2" t="inlineStr">
        <is>
          <t>MAGMA_USDT_PERP</t>
        </is>
      </c>
      <c r="C60" s="2" t="inlineStr">
        <is>
          <t>做空</t>
        </is>
      </c>
      <c r="D60" s="7" t="n">
        <v>46279.10763888889</v>
      </c>
      <c r="E60" s="17" t="n">
        <v>0.27592</v>
      </c>
      <c r="F60" s="17" t="n">
        <v>0.2676424</v>
      </c>
      <c r="G60" s="17" t="n">
        <v>0.289716</v>
      </c>
      <c r="H60" s="7" t="n">
        <v>46279.11111111111</v>
      </c>
      <c r="I60" s="17" t="n">
        <v>0.2676424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0.02939859722429494</v>
      </c>
      <c r="O60" s="4" t="n">
        <v>0.02018882552762891</v>
      </c>
      <c r="P60" s="4" t="n">
        <v>0.1549743351826884</v>
      </c>
      <c r="Q60" s="19" t="n">
        <v>13224</v>
      </c>
      <c r="R60" s="19" t="n">
        <v>78046.8187</v>
      </c>
      <c r="S60" s="4" t="n">
        <v>0.03</v>
      </c>
      <c r="T60" s="4" t="n">
        <v>0</v>
      </c>
      <c r="U60" s="16" t="n">
        <v>9.904357507184839</v>
      </c>
      <c r="V60" s="16" t="n">
        <v>0.3669871794871804</v>
      </c>
      <c r="W60" s="4" t="n">
        <v>-0.1689771957935124</v>
      </c>
      <c r="X60" s="4" t="n">
        <v>-0.07861303311051171</v>
      </c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0.1698465191215128</v>
      </c>
      <c r="AE60" s="2" t="n">
        <v>0.1178996839802284</v>
      </c>
      <c r="AF60" s="2" t="n">
        <v>9.904357507184839</v>
      </c>
      <c r="AG60" s="2" t="n">
        <v>0.6330128205128196</v>
      </c>
      <c r="AH60" s="2" t="n">
        <v>0.5289198606271777</v>
      </c>
      <c r="AI60" s="2" t="n">
        <v>10</v>
      </c>
      <c r="AJ60" s="2" t="n">
        <v>0.1549743351826884</v>
      </c>
      <c r="AK60" s="2" t="n">
        <v>74.76355907365118</v>
      </c>
      <c r="AL60" s="2" t="n">
        <v>0.06993614311799362</v>
      </c>
      <c r="AM60" s="2" t="n">
        <v>78046.8187</v>
      </c>
    </row>
    <row r="61">
      <c r="A61" s="2" t="n">
        <v>60</v>
      </c>
      <c r="B61" s="2" t="inlineStr">
        <is>
          <t>BR_USDT_PERP</t>
        </is>
      </c>
      <c r="C61" s="2" t="inlineStr">
        <is>
          <t>做空</t>
        </is>
      </c>
      <c r="D61" s="7" t="n">
        <v>46279.50347222222</v>
      </c>
      <c r="E61" s="17" t="n">
        <v>0.38027</v>
      </c>
      <c r="F61" s="17" t="n">
        <v>0.3688619</v>
      </c>
      <c r="G61" s="17" t="n">
        <v>0.3992835</v>
      </c>
      <c r="H61" s="7" t="n">
        <v>46279.51388888889</v>
      </c>
      <c r="I61" s="17" t="n">
        <v>0.3688619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-0.004163829675797315</v>
      </c>
      <c r="O61" s="4" t="n">
        <v>0.02549683436766846</v>
      </c>
      <c r="P61" s="4" t="n">
        <v>0.2820268613064862</v>
      </c>
      <c r="Q61" s="19" t="n">
        <v>296474</v>
      </c>
      <c r="R61" s="19" t="n">
        <v>499769.059</v>
      </c>
      <c r="S61" s="4" t="n">
        <v>0.03</v>
      </c>
      <c r="T61" s="4" t="n">
        <v>0.003707891761117077</v>
      </c>
      <c r="U61" s="16" t="n">
        <v>5.322735787237141</v>
      </c>
      <c r="V61" s="16" t="n">
        <v>0.30440414507772</v>
      </c>
      <c r="W61" s="4" t="n">
        <v>-0.1822308774691859</v>
      </c>
      <c r="X61" s="4" t="n">
        <v>-0.5159258521028502</v>
      </c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0.1990981616371834</v>
      </c>
      <c r="AE61" s="2" t="n">
        <v>0.1576656113005359</v>
      </c>
      <c r="AF61" s="2" t="n">
        <v>5.322735787237141</v>
      </c>
      <c r="AG61" s="2" t="n">
        <v>0.69559585492228</v>
      </c>
      <c r="AH61" s="2" t="n">
        <v>0.2669892236639543</v>
      </c>
      <c r="AI61" s="2" t="n">
        <v>11</v>
      </c>
      <c r="AJ61" s="2" t="n">
        <v>0.2820268613064862</v>
      </c>
      <c r="AK61" s="2" t="n">
        <v>85.12030612411013</v>
      </c>
      <c r="AL61" s="2" t="n">
        <v>0.08832362511394012</v>
      </c>
      <c r="AM61" s="2" t="n">
        <v>499769.059</v>
      </c>
    </row>
    <row r="62">
      <c r="A62" s="2" t="n">
        <v>61</v>
      </c>
      <c r="B62" s="2" t="inlineStr">
        <is>
          <t>AIN_USDT_PERP</t>
        </is>
      </c>
      <c r="C62" s="2" t="inlineStr">
        <is>
          <t>做空</t>
        </is>
      </c>
      <c r="D62" s="7" t="n">
        <v>46279.57638888889</v>
      </c>
      <c r="E62" s="17" t="n">
        <v>0.10972</v>
      </c>
      <c r="F62" s="17" t="n">
        <v>0.1064284</v>
      </c>
      <c r="G62" s="17" t="n">
        <v>0.115206</v>
      </c>
      <c r="H62" s="7" t="n">
        <v>46279.58333333334</v>
      </c>
      <c r="I62" s="17" t="n">
        <v>0.1064284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0.0504547630445189</v>
      </c>
      <c r="O62" s="4" t="n">
        <v>0.03863486141161759</v>
      </c>
      <c r="P62" s="4" t="n">
        <v>0.564707098724718</v>
      </c>
      <c r="Q62" s="19" t="n">
        <v>1489869</v>
      </c>
      <c r="R62" s="19" t="n">
        <v>146004.27567</v>
      </c>
      <c r="S62" s="4" t="n">
        <v>0.03</v>
      </c>
      <c r="T62" s="4" t="n">
        <v>0.0161319722931097</v>
      </c>
      <c r="U62" s="16" t="n">
        <v>50.46717394916099</v>
      </c>
      <c r="V62" s="16" t="n">
        <v>0.4256086564472499</v>
      </c>
      <c r="W62" s="4" t="n">
        <v>-0.5554141084508659</v>
      </c>
      <c r="X62" s="4" t="n">
        <v>-0.5486238532110093</v>
      </c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0.5915288656803017</v>
      </c>
      <c r="AE62" s="2" t="n">
        <v>0.5768899108939349</v>
      </c>
      <c r="AF62" s="2" t="n">
        <v>50.46717394916099</v>
      </c>
      <c r="AG62" s="2" t="n">
        <v>0.5743913435527501</v>
      </c>
      <c r="AH62" s="2" t="n">
        <v>0.911946446961895</v>
      </c>
      <c r="AI62" s="2" t="n">
        <v>8</v>
      </c>
      <c r="AJ62" s="2" t="n">
        <v>0.564707098724718</v>
      </c>
      <c r="AK62" s="2" t="n">
        <v>88.68990365353801</v>
      </c>
      <c r="AL62" s="2" t="n">
        <v>0.1338350858166078</v>
      </c>
      <c r="AM62" s="2" t="n">
        <v>146004.27567</v>
      </c>
    </row>
    <row r="63">
      <c r="A63" s="2" t="n">
        <v>62</v>
      </c>
      <c r="B63" s="2" t="inlineStr">
        <is>
          <t>XPIN_USDT_PERP</t>
        </is>
      </c>
      <c r="C63" s="2" t="inlineStr">
        <is>
          <t>做空</t>
        </is>
      </c>
      <c r="D63" s="7" t="n">
        <v>46279.60416666666</v>
      </c>
      <c r="E63" s="17" t="n">
        <v>0.000886</v>
      </c>
      <c r="F63" s="17" t="n">
        <v>0.00085942</v>
      </c>
      <c r="G63" s="17" t="n">
        <v>0.0009303</v>
      </c>
      <c r="H63" s="7" t="n">
        <v>46279.60763888889</v>
      </c>
      <c r="I63" s="17" t="n">
        <v>0.0009303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-0.01555555555555554</v>
      </c>
      <c r="O63" s="4" t="n">
        <v>0.01967602747269053</v>
      </c>
      <c r="P63" s="4" t="n">
        <v>0.1431336182565923</v>
      </c>
      <c r="Q63" s="19" t="n">
        <v>-1880861</v>
      </c>
      <c r="R63" s="19" t="n">
        <v>46512.118328</v>
      </c>
      <c r="S63" s="4" t="n">
        <v>0</v>
      </c>
      <c r="T63" s="4" t="n">
        <v>0.05</v>
      </c>
      <c r="U63" s="16" t="n">
        <v>24.5356006844947</v>
      </c>
      <c r="V63" s="16" t="n">
        <v>0.4947368421052636</v>
      </c>
      <c r="W63" s="4" t="n">
        <v>-0.1510380128355029</v>
      </c>
      <c r="X63" s="4" t="n">
        <v>-0.05854241338112298</v>
      </c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0.1673254281949934</v>
      </c>
      <c r="AE63" s="2" t="n">
        <v>0.1506493506493507</v>
      </c>
      <c r="AF63" s="2" t="n">
        <v>24.5356006844947</v>
      </c>
      <c r="AG63" s="2" t="n">
        <v>0.5052631578947364</v>
      </c>
      <c r="AH63" s="2" t="n">
        <v>0.6280233482155111</v>
      </c>
      <c r="AI63" s="2" t="n">
        <v>2</v>
      </c>
      <c r="AJ63" s="2" t="n">
        <v>0.1431336182565923</v>
      </c>
      <c r="AK63" s="2" t="n">
        <v>71.53167673060226</v>
      </c>
      <c r="AL63" s="2" t="n">
        <v>0.06815975854764211</v>
      </c>
      <c r="AM63" s="2" t="n">
        <v>46512.118328</v>
      </c>
    </row>
    <row r="64">
      <c r="A64" s="2" t="n">
        <v>63</v>
      </c>
      <c r="B64" s="2" t="inlineStr">
        <is>
          <t>AIN_USDT_PERP</t>
        </is>
      </c>
      <c r="C64" s="2" t="inlineStr">
        <is>
          <t>做空</t>
        </is>
      </c>
      <c r="D64" s="7" t="n">
        <v>46279.625</v>
      </c>
      <c r="E64" s="17" t="n">
        <v>0.10454</v>
      </c>
      <c r="F64" s="17" t="n">
        <v>0.1014038</v>
      </c>
      <c r="G64" s="17" t="n">
        <v>0.109767</v>
      </c>
      <c r="H64" s="7" t="n">
        <v>46279.64583333334</v>
      </c>
      <c r="I64" s="17" t="n">
        <v>0.1014038</v>
      </c>
      <c r="J64" s="2" t="inlineStr">
        <is>
          <t>止盈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-0.007877004840087465</v>
      </c>
      <c r="O64" s="4" t="n">
        <v>0.04550985933302</v>
      </c>
      <c r="P64" s="4" t="n">
        <v>0.4501502192310667</v>
      </c>
      <c r="Q64" s="19" t="n">
        <v>1753221</v>
      </c>
      <c r="R64" s="19" t="n">
        <v>353622.98583</v>
      </c>
      <c r="S64" s="4" t="n">
        <v>0.03</v>
      </c>
      <c r="T64" s="4" t="n">
        <v>0.02515783432179086</v>
      </c>
      <c r="U64" s="16" t="n">
        <v>3.015863839110425</v>
      </c>
      <c r="V64" s="16" t="n">
        <v>0.7286135693215361</v>
      </c>
      <c r="W64" s="4" t="n">
        <v>-0.3861026437249484</v>
      </c>
      <c r="X64" s="4" t="n">
        <v>-0.4705303136868757</v>
      </c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0.5046056419113414</v>
      </c>
      <c r="AE64" s="2" t="n">
        <v>0.04268900857769786</v>
      </c>
      <c r="AF64" s="2" t="n">
        <v>3.015863839110425</v>
      </c>
      <c r="AG64" s="2" t="n">
        <v>0.271386430678464</v>
      </c>
      <c r="AH64" s="2" t="n">
        <v>0.08425372137210098</v>
      </c>
      <c r="AI64" s="2" t="n">
        <v>12</v>
      </c>
      <c r="AJ64" s="2" t="n">
        <v>0.4501502192310667</v>
      </c>
      <c r="AK64" s="2" t="n">
        <v>93.73249544989963</v>
      </c>
      <c r="AL64" s="2" t="n">
        <v>0.1576507772202066</v>
      </c>
      <c r="AM64" s="2" t="n">
        <v>353622.98583</v>
      </c>
    </row>
    <row r="65">
      <c r="A65" s="2" t="n">
        <v>64</v>
      </c>
      <c r="B65" s="2" t="inlineStr">
        <is>
          <t>CAP_USDT_PERP</t>
        </is>
      </c>
      <c r="C65" s="2" t="inlineStr">
        <is>
          <t>做空</t>
        </is>
      </c>
      <c r="D65" s="7" t="n">
        <v>46279.84027777778</v>
      </c>
      <c r="E65" s="17" t="n">
        <v>0.06505</v>
      </c>
      <c r="F65" s="17" t="n">
        <v>0.0630985</v>
      </c>
      <c r="G65" s="17" t="n">
        <v>0.0683025</v>
      </c>
      <c r="H65" s="7" t="n">
        <v>46279.84722222222</v>
      </c>
      <c r="I65" s="17" t="n">
        <v>0.0683025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0.01879404855129208</v>
      </c>
      <c r="O65" s="4" t="n">
        <v>0.0196333903166332</v>
      </c>
      <c r="P65" s="4" t="n">
        <v>0.3477058700135442</v>
      </c>
      <c r="Q65" s="19" t="n">
        <v>2190682</v>
      </c>
      <c r="R65" s="19" t="n">
        <v>227423.74869</v>
      </c>
      <c r="S65" s="4" t="n">
        <v>0.01245196003074545</v>
      </c>
      <c r="T65" s="4" t="n">
        <v>0.05</v>
      </c>
      <c r="U65" s="16" t="n">
        <v>26.17139869303664</v>
      </c>
      <c r="V65" s="16" t="n">
        <v>0.3677130044843062</v>
      </c>
      <c r="W65" s="4" t="n">
        <v>-0.3011483309097238</v>
      </c>
      <c r="X65" s="4" t="n">
        <v>-0.395024662234613</v>
      </c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0.2747403488144229</v>
      </c>
      <c r="AE65" s="2" t="n">
        <v>0.1992994100294985</v>
      </c>
      <c r="AF65" s="2" t="n">
        <v>26.17139869303664</v>
      </c>
      <c r="AG65" s="2" t="n">
        <v>0.6322869955156938</v>
      </c>
      <c r="AH65" s="2" t="n">
        <v>0.3456509421253377</v>
      </c>
      <c r="AI65" s="2" t="n">
        <v>8</v>
      </c>
      <c r="AJ65" s="2" t="n">
        <v>0.3477058700135442</v>
      </c>
      <c r="AK65" s="2" t="n">
        <v>85.3896198589774</v>
      </c>
      <c r="AL65" s="2" t="n">
        <v>0.06801205910647902</v>
      </c>
      <c r="AM65" s="2" t="n">
        <v>227423.74869</v>
      </c>
    </row>
    <row r="66">
      <c r="A66" s="2" t="n">
        <v>65</v>
      </c>
      <c r="B66" s="2" t="inlineStr">
        <is>
          <t>ASTR_USDT_PERP</t>
        </is>
      </c>
      <c r="C66" s="2" t="inlineStr">
        <is>
          <t>做空</t>
        </is>
      </c>
      <c r="D66" s="7" t="n">
        <v>46280.38194444445</v>
      </c>
      <c r="E66" s="17" t="n">
        <v>0.006993</v>
      </c>
      <c r="F66" s="17" t="n">
        <v>0.00678321</v>
      </c>
      <c r="G66" s="17" t="n">
        <v>0.00734265</v>
      </c>
      <c r="H66" s="7" t="n">
        <v>46280.39236111111</v>
      </c>
      <c r="I66" s="17" t="n">
        <v>0.00734265</v>
      </c>
      <c r="J66" s="2" t="inlineStr">
        <is>
          <t>止損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0.01864530225782968</v>
      </c>
      <c r="O66" s="4" t="n">
        <v>0.02391794970595405</v>
      </c>
      <c r="P66" s="4" t="n">
        <v>0.1388763916852089</v>
      </c>
      <c r="Q66" s="19" t="n">
        <v>4867688</v>
      </c>
      <c r="R66" s="19" t="n">
        <v>63833.851195</v>
      </c>
      <c r="S66" s="4" t="n">
        <v>0.006435006435006385</v>
      </c>
      <c r="T66" s="4" t="n">
        <v>0.05</v>
      </c>
      <c r="U66" s="16" t="n">
        <v>10.56397931490758</v>
      </c>
      <c r="V66" s="16" t="n">
        <v>0.6473684210526305</v>
      </c>
      <c r="W66" s="4" t="n">
        <v>-0.1407886172362998</v>
      </c>
      <c r="X66" s="4" t="n">
        <v>-0.1244573082489147</v>
      </c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0.1682258603407951</v>
      </c>
      <c r="AE66" s="2" t="n">
        <v>0.1213919178960872</v>
      </c>
      <c r="AF66" s="2" t="n">
        <v>10.56397931490758</v>
      </c>
      <c r="AG66" s="2" t="n">
        <v>0.3526315789473695</v>
      </c>
      <c r="AH66" s="2" t="n">
        <v>0.07453320773954361</v>
      </c>
      <c r="AI66" s="2" t="n">
        <v>6</v>
      </c>
      <c r="AJ66" s="2" t="n">
        <v>0.1388763916852089</v>
      </c>
      <c r="AK66" s="2" t="n">
        <v>68.53027443446859</v>
      </c>
      <c r="AL66" s="2" t="n">
        <v>0.08285420820717899</v>
      </c>
      <c r="AM66" s="2" t="n">
        <v>63833.851195</v>
      </c>
    </row>
    <row r="67">
      <c r="A67" s="2" t="n">
        <v>66</v>
      </c>
      <c r="B67" s="2" t="inlineStr">
        <is>
          <t>ASTR_USDT_PERP</t>
        </is>
      </c>
      <c r="C67" s="2" t="inlineStr">
        <is>
          <t>做空</t>
        </is>
      </c>
      <c r="D67" s="7" t="n">
        <v>46280.43402777778</v>
      </c>
      <c r="E67" s="17" t="n">
        <v>0.007438</v>
      </c>
      <c r="F67" s="17" t="n">
        <v>0.00721486</v>
      </c>
      <c r="G67" s="17" t="n">
        <v>0.007809900000000001</v>
      </c>
      <c r="H67" s="7" t="n">
        <v>46280.44791666666</v>
      </c>
      <c r="I67" s="17" t="n">
        <v>0.007809900000000001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0.03076496674057649</v>
      </c>
      <c r="O67" s="4" t="n">
        <v>0.03575487023302045</v>
      </c>
      <c r="P67" s="4" t="n">
        <v>0.1968148762469337</v>
      </c>
      <c r="Q67" s="19" t="n">
        <v>-203660</v>
      </c>
      <c r="R67" s="19" t="n">
        <v>148153.079058</v>
      </c>
      <c r="S67" s="4" t="n">
        <v>0.01438558752352792</v>
      </c>
      <c r="T67" s="4" t="n">
        <v>0.05</v>
      </c>
      <c r="U67" s="16" t="n">
        <v>2.524746531289634</v>
      </c>
      <c r="V67" s="16" t="n">
        <v>0.4235294117647049</v>
      </c>
      <c r="W67" s="4" t="n">
        <v>-0.1737155877888132</v>
      </c>
      <c r="X67" s="4" t="n">
        <v>-0.16128024980484</v>
      </c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0.1654653713569414</v>
      </c>
      <c r="AE67" s="2" t="n">
        <v>0.01960246744345451</v>
      </c>
      <c r="AF67" s="2" t="n">
        <v>2.524746531289634</v>
      </c>
      <c r="AG67" s="2" t="n">
        <v>0.5764705882352951</v>
      </c>
      <c r="AH67" s="2" t="n">
        <v>0.03849758748054789</v>
      </c>
      <c r="AI67" s="2" t="n">
        <v>7</v>
      </c>
      <c r="AJ67" s="2" t="n">
        <v>0.1968148762469337</v>
      </c>
      <c r="AK67" s="2" t="n">
        <v>85.28969929679972</v>
      </c>
      <c r="AL67" s="2" t="n">
        <v>0.123858503723247</v>
      </c>
      <c r="AM67" s="2" t="n">
        <v>148153.079058</v>
      </c>
    </row>
    <row r="68">
      <c r="A68" s="2" t="n">
        <v>67</v>
      </c>
      <c r="B68" s="2" t="inlineStr">
        <is>
          <t>FF_USDT_PERP</t>
        </is>
      </c>
      <c r="C68" s="2" t="inlineStr">
        <is>
          <t>做空</t>
        </is>
      </c>
      <c r="D68" s="7" t="n">
        <v>46280.53472222222</v>
      </c>
      <c r="E68" s="17" t="n">
        <v>0.15524</v>
      </c>
      <c r="F68" s="17" t="n">
        <v>0.1505828</v>
      </c>
      <c r="G68" s="17" t="n">
        <v>0.163002</v>
      </c>
      <c r="H68" s="7" t="n">
        <v>46280.53819444445</v>
      </c>
      <c r="I68" s="17" t="n">
        <v>0.1505828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-0.04279195955111603</v>
      </c>
      <c r="O68" s="4" t="n">
        <v>0.02820506530070383</v>
      </c>
      <c r="P68" s="4" t="n">
        <v>0.187071367466223</v>
      </c>
      <c r="Q68" s="19" t="n">
        <v>329987</v>
      </c>
      <c r="R68" s="19" t="n">
        <v>324358.35279</v>
      </c>
      <c r="S68" s="4" t="n">
        <v>0.03</v>
      </c>
      <c r="T68" s="4" t="n">
        <v>0</v>
      </c>
      <c r="U68" s="16" t="n">
        <v>52.20914990186956</v>
      </c>
      <c r="V68" s="16" t="n">
        <v>0.9034090909090924</v>
      </c>
      <c r="W68" s="4" t="n">
        <v>-0.2097965150940115</v>
      </c>
      <c r="X68" s="4" t="n">
        <v>-0.09024510148184572</v>
      </c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0.2287478233338609</v>
      </c>
      <c r="AE68" s="2" t="n">
        <v>0.2285533396644508</v>
      </c>
      <c r="AF68" s="2" t="n">
        <v>52.20914990186956</v>
      </c>
      <c r="AG68" s="2" t="n">
        <v>0.0965909090909076</v>
      </c>
      <c r="AH68" s="2" t="n">
        <v>1</v>
      </c>
      <c r="AI68" s="2" t="n">
        <v>7</v>
      </c>
      <c r="AJ68" s="2" t="n">
        <v>0.187071367466223</v>
      </c>
      <c r="AK68" s="2" t="n">
        <v>59.4685468626215</v>
      </c>
      <c r="AL68" s="2" t="n">
        <v>0.09770521226323398</v>
      </c>
      <c r="AM68" s="2" t="n">
        <v>324358.35279</v>
      </c>
    </row>
    <row r="69">
      <c r="A69" s="2" t="n">
        <v>68</v>
      </c>
      <c r="B69" s="2" t="inlineStr">
        <is>
          <t>IDOL_USDT_PERP</t>
        </is>
      </c>
      <c r="C69" s="2" t="inlineStr">
        <is>
          <t>做空</t>
        </is>
      </c>
      <c r="D69" s="7" t="n">
        <v>46280.82986111111</v>
      </c>
      <c r="E69" s="17" t="n">
        <v>0.01197</v>
      </c>
      <c r="F69" s="17" t="n">
        <v>0.0116109</v>
      </c>
      <c r="G69" s="17" t="n">
        <v>0.0125685</v>
      </c>
      <c r="H69" s="7" t="n">
        <v>46280.83680555555</v>
      </c>
      <c r="I69" s="17" t="n">
        <v>0.0116109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0.01959114139693341</v>
      </c>
      <c r="O69" s="4" t="n">
        <v>0.02336918029178993</v>
      </c>
      <c r="P69" s="4" t="n">
        <v>0.310667652131067</v>
      </c>
      <c r="Q69" s="19" t="n">
        <v>3809661</v>
      </c>
      <c r="R69" s="19" t="n">
        <v>51723.71428</v>
      </c>
      <c r="S69" s="4" t="n">
        <v>0.03</v>
      </c>
      <c r="T69" s="4" t="n">
        <v>0.03258145363408516</v>
      </c>
      <c r="U69" s="16" t="n">
        <v>58.77933380102385</v>
      </c>
      <c r="V69" s="16" t="n">
        <v>0.4423076923076932</v>
      </c>
      <c r="W69" s="4" t="n">
        <v>-0.2892871760625579</v>
      </c>
      <c r="X69" s="4" t="n">
        <v>-0.3081967213114754</v>
      </c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0.3153846153846154</v>
      </c>
      <c r="AE69" s="2" t="n">
        <v>0.3241150442477876</v>
      </c>
      <c r="AF69" s="2" t="n">
        <v>58.77933380102385</v>
      </c>
      <c r="AG69" s="2" t="n">
        <v>0.5576923076923068</v>
      </c>
      <c r="AH69" s="2" t="n">
        <v>0.5251294502165514</v>
      </c>
      <c r="AI69" s="2" t="n">
        <v>5</v>
      </c>
      <c r="AJ69" s="2" t="n">
        <v>0.310667652131067</v>
      </c>
      <c r="AK69" s="2" t="n">
        <v>36.72044085253417</v>
      </c>
      <c r="AL69" s="2" t="n">
        <v>0.08095321519323488</v>
      </c>
      <c r="AM69" s="2" t="n">
        <v>51723.71428</v>
      </c>
    </row>
    <row r="70">
      <c r="A70" s="2" t="n">
        <v>69</v>
      </c>
      <c r="B70" s="2" t="inlineStr">
        <is>
          <t>IDOL_USDT_PERP</t>
        </is>
      </c>
      <c r="C70" s="2" t="inlineStr">
        <is>
          <t>做空</t>
        </is>
      </c>
      <c r="D70" s="7" t="n">
        <v>46280.88541666666</v>
      </c>
      <c r="E70" s="17" t="n">
        <v>0.01166</v>
      </c>
      <c r="F70" s="17" t="n">
        <v>0.0113102</v>
      </c>
      <c r="G70" s="17" t="n">
        <v>0.012243</v>
      </c>
      <c r="H70" s="7" t="n">
        <v>46280.89236111111</v>
      </c>
      <c r="I70" s="17" t="n">
        <v>0.0113102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0.007778738115816752</v>
      </c>
      <c r="O70" s="4" t="n">
        <v>0.02651079426098843</v>
      </c>
      <c r="P70" s="4" t="n">
        <v>0.2533759724816254</v>
      </c>
      <c r="Q70" s="19" t="n">
        <v>4261779</v>
      </c>
      <c r="R70" s="19" t="n">
        <v>107391.29204</v>
      </c>
      <c r="S70" s="4" t="n">
        <v>0.03</v>
      </c>
      <c r="T70" s="4" t="n">
        <v>0.002572898799313883</v>
      </c>
      <c r="U70" s="16" t="n">
        <v>6.386399317593187</v>
      </c>
      <c r="V70" s="16" t="n">
        <v>0.3636363636363651</v>
      </c>
      <c r="W70" s="4" t="n">
        <v>-0.2061528276318649</v>
      </c>
      <c r="X70" s="4" t="n">
        <v>-0.2827282728272826</v>
      </c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0.2955555555555556</v>
      </c>
      <c r="AE70" s="2" t="n">
        <v>0.02460456942003519</v>
      </c>
      <c r="AF70" s="2" t="n">
        <v>6.386399317593187</v>
      </c>
      <c r="AG70" s="2" t="n">
        <v>0.6363636363636349</v>
      </c>
      <c r="AH70" s="2" t="n">
        <v>0.1186649545686393</v>
      </c>
      <c r="AI70" s="2" t="n">
        <v>8</v>
      </c>
      <c r="AJ70" s="2" t="n">
        <v>0.2533759724816254</v>
      </c>
      <c r="AK70" s="2" t="n">
        <v>86.45196644631349</v>
      </c>
      <c r="AL70" s="2" t="n">
        <v>0.09183608521807472</v>
      </c>
      <c r="AM70" s="2" t="n">
        <v>107391.29204</v>
      </c>
    </row>
  </sheetData>
  <autoFilter ref="A1:AM70"/>
  <conditionalFormatting sqref="J2:J7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APR_USDT_PERP</t>
        </is>
      </c>
      <c r="B2" s="2">
        <f>COUNTIFS(交易明細!$B$2:$B$70,$A2)</f>
        <v/>
      </c>
      <c r="C2" s="2">
        <f>COUNTIFS(交易明細!$B$2:$B$70,$A2,交易明細!$C$2:$C$70,"做多")</f>
        <v/>
      </c>
      <c r="D2" s="2">
        <f>COUNTIFS(交易明細!$B$2:$B$70,$A2,交易明細!$C$2:$C$70,"做空")</f>
        <v/>
      </c>
      <c r="E2" s="2">
        <f>F2+G2+COUNTIFS(交易明細!$B$2:$B$70,$A2,交易明細!$J$2:$J$70,"時間出場")</f>
        <v/>
      </c>
      <c r="F2" s="2">
        <f>COUNTIFS(交易明細!$B$2:$B$70,$A2,交易明細!$J$2:$J$70,"止盈")</f>
        <v/>
      </c>
      <c r="G2" s="2">
        <f>COUNTIFS(交易明細!$B$2:$B$70,$A2,交易明細!$J$2:$J$70,"止損")</f>
        <v/>
      </c>
      <c r="H2" s="4">
        <f>IFERROR(F2/E2,0)</f>
        <v/>
      </c>
      <c r="I2" s="4">
        <f>IFERROR(AVERAGEIFS(交易明細!$L$2:$L$70,交易明細!$B$2:$B$70,$A2,交易明細!$J$2:$J$70,"&lt;&gt;未平倉"),0)</f>
        <v/>
      </c>
      <c r="J2" s="4">
        <f>SUMIFS(交易明細!$L$2:$L$70,交易明細!$B$2:$B$70,$A2,交易明細!$J$2:$J$70,"&lt;&gt;未平倉")</f>
        <v/>
      </c>
      <c r="K2" s="5">
        <f>IFERROR(AVERAGEIFS(交易明細!$K$2:$K$70,交易明細!$B$2:$B$70,$A2,交易明細!$J$2:$J$70,"&lt;&gt;未平倉"),0)</f>
        <v/>
      </c>
      <c r="L2" s="2">
        <f>COUNTIFS(交易明細!$B$2:$B$70,$A2,交易明細!$J$2:$J$70,"未平倉")</f>
        <v/>
      </c>
    </row>
    <row r="3">
      <c r="A3" s="2" t="inlineStr">
        <is>
          <t>4_USDT_PERP</t>
        </is>
      </c>
      <c r="B3" s="2">
        <f>COUNTIFS(交易明細!$B$2:$B$70,$A3)</f>
        <v/>
      </c>
      <c r="C3" s="2">
        <f>COUNTIFS(交易明細!$B$2:$B$70,$A3,交易明細!$C$2:$C$70,"做多")</f>
        <v/>
      </c>
      <c r="D3" s="2">
        <f>COUNTIFS(交易明細!$B$2:$B$70,$A3,交易明細!$C$2:$C$70,"做空")</f>
        <v/>
      </c>
      <c r="E3" s="2">
        <f>F3+G3+COUNTIFS(交易明細!$B$2:$B$70,$A3,交易明細!$J$2:$J$70,"時間出場")</f>
        <v/>
      </c>
      <c r="F3" s="2">
        <f>COUNTIFS(交易明細!$B$2:$B$70,$A3,交易明細!$J$2:$J$70,"止盈")</f>
        <v/>
      </c>
      <c r="G3" s="2">
        <f>COUNTIFS(交易明細!$B$2:$B$70,$A3,交易明細!$J$2:$J$70,"止損")</f>
        <v/>
      </c>
      <c r="H3" s="4">
        <f>IFERROR(F3/E3,0)</f>
        <v/>
      </c>
      <c r="I3" s="4">
        <f>IFERROR(AVERAGEIFS(交易明細!$L$2:$L$70,交易明細!$B$2:$B$70,$A3,交易明細!$J$2:$J$70,"&lt;&gt;未平倉"),0)</f>
        <v/>
      </c>
      <c r="J3" s="4">
        <f>SUMIFS(交易明細!$L$2:$L$70,交易明細!$B$2:$B$70,$A3,交易明細!$J$2:$J$70,"&lt;&gt;未平倉")</f>
        <v/>
      </c>
      <c r="K3" s="5">
        <f>IFERROR(AVERAGEIFS(交易明細!$K$2:$K$70,交易明細!$B$2:$B$70,$A3,交易明細!$J$2:$J$70,"&lt;&gt;未平倉"),0)</f>
        <v/>
      </c>
      <c r="L3" s="2">
        <f>COUNTIFS(交易明細!$B$2:$B$70,$A3,交易明細!$J$2:$J$70,"未平倉")</f>
        <v/>
      </c>
    </row>
    <row r="4">
      <c r="A4" s="2" t="inlineStr">
        <is>
          <t>哈基米_USDT_PERP</t>
        </is>
      </c>
      <c r="B4" s="2">
        <f>COUNTIFS(交易明細!$B$2:$B$70,$A4)</f>
        <v/>
      </c>
      <c r="C4" s="2">
        <f>COUNTIFS(交易明細!$B$2:$B$70,$A4,交易明細!$C$2:$C$70,"做多")</f>
        <v/>
      </c>
      <c r="D4" s="2">
        <f>COUNTIFS(交易明細!$B$2:$B$70,$A4,交易明細!$C$2:$C$70,"做空")</f>
        <v/>
      </c>
      <c r="E4" s="2">
        <f>F4+G4+COUNTIFS(交易明細!$B$2:$B$70,$A4,交易明細!$J$2:$J$70,"時間出場")</f>
        <v/>
      </c>
      <c r="F4" s="2">
        <f>COUNTIFS(交易明細!$B$2:$B$70,$A4,交易明細!$J$2:$J$70,"止盈")</f>
        <v/>
      </c>
      <c r="G4" s="2">
        <f>COUNTIFS(交易明細!$B$2:$B$70,$A4,交易明細!$J$2:$J$70,"止損")</f>
        <v/>
      </c>
      <c r="H4" s="4">
        <f>IFERROR(F4/E4,0)</f>
        <v/>
      </c>
      <c r="I4" s="4">
        <f>IFERROR(AVERAGEIFS(交易明細!$L$2:$L$70,交易明細!$B$2:$B$70,$A4,交易明細!$J$2:$J$70,"&lt;&gt;未平倉"),0)</f>
        <v/>
      </c>
      <c r="J4" s="4">
        <f>SUMIFS(交易明細!$L$2:$L$70,交易明細!$B$2:$B$70,$A4,交易明細!$J$2:$J$70,"&lt;&gt;未平倉")</f>
        <v/>
      </c>
      <c r="K4" s="5">
        <f>IFERROR(AVERAGEIFS(交易明細!$K$2:$K$70,交易明細!$B$2:$B$70,$A4,交易明細!$J$2:$J$70,"&lt;&gt;未平倉"),0)</f>
        <v/>
      </c>
      <c r="L4" s="2">
        <f>COUNTIFS(交易明細!$B$2:$B$70,$A4,交易明細!$J$2:$J$70,"未平倉")</f>
        <v/>
      </c>
    </row>
    <row r="5">
      <c r="A5" s="2" t="inlineStr">
        <is>
          <t>POWR_USDT_PERP</t>
        </is>
      </c>
      <c r="B5" s="2">
        <f>COUNTIFS(交易明細!$B$2:$B$70,$A5)</f>
        <v/>
      </c>
      <c r="C5" s="2">
        <f>COUNTIFS(交易明細!$B$2:$B$70,$A5,交易明細!$C$2:$C$70,"做多")</f>
        <v/>
      </c>
      <c r="D5" s="2">
        <f>COUNTIFS(交易明細!$B$2:$B$70,$A5,交易明細!$C$2:$C$70,"做空")</f>
        <v/>
      </c>
      <c r="E5" s="2">
        <f>F5+G5+COUNTIFS(交易明細!$B$2:$B$70,$A5,交易明細!$J$2:$J$70,"時間出場")</f>
        <v/>
      </c>
      <c r="F5" s="2">
        <f>COUNTIFS(交易明細!$B$2:$B$70,$A5,交易明細!$J$2:$J$70,"止盈")</f>
        <v/>
      </c>
      <c r="G5" s="2">
        <f>COUNTIFS(交易明細!$B$2:$B$70,$A5,交易明細!$J$2:$J$70,"止損")</f>
        <v/>
      </c>
      <c r="H5" s="4">
        <f>IFERROR(F5/E5,0)</f>
        <v/>
      </c>
      <c r="I5" s="4">
        <f>IFERROR(AVERAGEIFS(交易明細!$L$2:$L$70,交易明細!$B$2:$B$70,$A5,交易明細!$J$2:$J$70,"&lt;&gt;未平倉"),0)</f>
        <v/>
      </c>
      <c r="J5" s="4">
        <f>SUMIFS(交易明細!$L$2:$L$70,交易明細!$B$2:$B$70,$A5,交易明細!$J$2:$J$70,"&lt;&gt;未平倉")</f>
        <v/>
      </c>
      <c r="K5" s="5">
        <f>IFERROR(AVERAGEIFS(交易明細!$K$2:$K$70,交易明細!$B$2:$B$70,$A5,交易明細!$J$2:$J$70,"&lt;&gt;未平倉"),0)</f>
        <v/>
      </c>
      <c r="L5" s="2">
        <f>COUNTIFS(交易明細!$B$2:$B$70,$A5,交易明細!$J$2:$J$70,"未平倉")</f>
        <v/>
      </c>
    </row>
    <row r="6">
      <c r="A6" s="2" t="inlineStr">
        <is>
          <t>FF_USDT_PERP</t>
        </is>
      </c>
      <c r="B6" s="2">
        <f>COUNTIFS(交易明細!$B$2:$B$70,$A6)</f>
        <v/>
      </c>
      <c r="C6" s="2">
        <f>COUNTIFS(交易明細!$B$2:$B$70,$A6,交易明細!$C$2:$C$70,"做多")</f>
        <v/>
      </c>
      <c r="D6" s="2">
        <f>COUNTIFS(交易明細!$B$2:$B$70,$A6,交易明細!$C$2:$C$70,"做空")</f>
        <v/>
      </c>
      <c r="E6" s="2">
        <f>F6+G6+COUNTIFS(交易明細!$B$2:$B$70,$A6,交易明細!$J$2:$J$70,"時間出場")</f>
        <v/>
      </c>
      <c r="F6" s="2">
        <f>COUNTIFS(交易明細!$B$2:$B$70,$A6,交易明細!$J$2:$J$70,"止盈")</f>
        <v/>
      </c>
      <c r="G6" s="2">
        <f>COUNTIFS(交易明細!$B$2:$B$70,$A6,交易明細!$J$2:$J$70,"止損")</f>
        <v/>
      </c>
      <c r="H6" s="4">
        <f>IFERROR(F6/E6,0)</f>
        <v/>
      </c>
      <c r="I6" s="4">
        <f>IFERROR(AVERAGEIFS(交易明細!$L$2:$L$70,交易明細!$B$2:$B$70,$A6,交易明細!$J$2:$J$70,"&lt;&gt;未平倉"),0)</f>
        <v/>
      </c>
      <c r="J6" s="4">
        <f>SUMIFS(交易明細!$L$2:$L$70,交易明細!$B$2:$B$70,$A6,交易明細!$J$2:$J$70,"&lt;&gt;未平倉")</f>
        <v/>
      </c>
      <c r="K6" s="5">
        <f>IFERROR(AVERAGEIFS(交易明細!$K$2:$K$70,交易明細!$B$2:$B$70,$A6,交易明細!$J$2:$J$70,"&lt;&gt;未平倉"),0)</f>
        <v/>
      </c>
      <c r="L6" s="2">
        <f>COUNTIFS(交易明細!$B$2:$B$70,$A6,交易明細!$J$2:$J$70,"未平倉")</f>
        <v/>
      </c>
    </row>
    <row r="7">
      <c r="A7" s="2" t="inlineStr">
        <is>
          <t>CAP_USDT_PERP</t>
        </is>
      </c>
      <c r="B7" s="2">
        <f>COUNTIFS(交易明細!$B$2:$B$70,$A7)</f>
        <v/>
      </c>
      <c r="C7" s="2">
        <f>COUNTIFS(交易明細!$B$2:$B$70,$A7,交易明細!$C$2:$C$70,"做多")</f>
        <v/>
      </c>
      <c r="D7" s="2">
        <f>COUNTIFS(交易明細!$B$2:$B$70,$A7,交易明細!$C$2:$C$70,"做空")</f>
        <v/>
      </c>
      <c r="E7" s="2">
        <f>F7+G7+COUNTIFS(交易明細!$B$2:$B$70,$A7,交易明細!$J$2:$J$70,"時間出場")</f>
        <v/>
      </c>
      <c r="F7" s="2">
        <f>COUNTIFS(交易明細!$B$2:$B$70,$A7,交易明細!$J$2:$J$70,"止盈")</f>
        <v/>
      </c>
      <c r="G7" s="2">
        <f>COUNTIFS(交易明細!$B$2:$B$70,$A7,交易明細!$J$2:$J$70,"止損")</f>
        <v/>
      </c>
      <c r="H7" s="4">
        <f>IFERROR(F7/E7,0)</f>
        <v/>
      </c>
      <c r="I7" s="4">
        <f>IFERROR(AVERAGEIFS(交易明細!$L$2:$L$70,交易明細!$B$2:$B$70,$A7,交易明細!$J$2:$J$70,"&lt;&gt;未平倉"),0)</f>
        <v/>
      </c>
      <c r="J7" s="4">
        <f>SUMIFS(交易明細!$L$2:$L$70,交易明細!$B$2:$B$70,$A7,交易明細!$J$2:$J$70,"&lt;&gt;未平倉")</f>
        <v/>
      </c>
      <c r="K7" s="5">
        <f>IFERROR(AVERAGEIFS(交易明細!$K$2:$K$70,交易明細!$B$2:$B$70,$A7,交易明細!$J$2:$J$70,"&lt;&gt;未平倉"),0)</f>
        <v/>
      </c>
      <c r="L7" s="2">
        <f>COUNTIFS(交易明細!$B$2:$B$70,$A7,交易明細!$J$2:$J$70,"未平倉")</f>
        <v/>
      </c>
    </row>
    <row r="8">
      <c r="A8" s="2" t="inlineStr">
        <is>
          <t>TRIA_USDT_PERP</t>
        </is>
      </c>
      <c r="B8" s="2">
        <f>COUNTIFS(交易明細!$B$2:$B$70,$A8)</f>
        <v/>
      </c>
      <c r="C8" s="2">
        <f>COUNTIFS(交易明細!$B$2:$B$70,$A8,交易明細!$C$2:$C$70,"做多")</f>
        <v/>
      </c>
      <c r="D8" s="2">
        <f>COUNTIFS(交易明細!$B$2:$B$70,$A8,交易明細!$C$2:$C$70,"做空")</f>
        <v/>
      </c>
      <c r="E8" s="2">
        <f>F8+G8+COUNTIFS(交易明細!$B$2:$B$70,$A8,交易明細!$J$2:$J$70,"時間出場")</f>
        <v/>
      </c>
      <c r="F8" s="2">
        <f>COUNTIFS(交易明細!$B$2:$B$70,$A8,交易明細!$J$2:$J$70,"止盈")</f>
        <v/>
      </c>
      <c r="G8" s="2">
        <f>COUNTIFS(交易明細!$B$2:$B$70,$A8,交易明細!$J$2:$J$70,"止損")</f>
        <v/>
      </c>
      <c r="H8" s="4">
        <f>IFERROR(F8/E8,0)</f>
        <v/>
      </c>
      <c r="I8" s="4">
        <f>IFERROR(AVERAGEIFS(交易明細!$L$2:$L$70,交易明細!$B$2:$B$70,$A8,交易明細!$J$2:$J$70,"&lt;&gt;未平倉"),0)</f>
        <v/>
      </c>
      <c r="J8" s="4">
        <f>SUMIFS(交易明細!$L$2:$L$70,交易明細!$B$2:$B$70,$A8,交易明細!$J$2:$J$70,"&lt;&gt;未平倉")</f>
        <v/>
      </c>
      <c r="K8" s="5">
        <f>IFERROR(AVERAGEIFS(交易明細!$K$2:$K$70,交易明細!$B$2:$B$70,$A8,交易明細!$J$2:$J$70,"&lt;&gt;未平倉"),0)</f>
        <v/>
      </c>
      <c r="L8" s="2">
        <f>COUNTIFS(交易明細!$B$2:$B$70,$A8,交易明細!$J$2:$J$70,"未平倉")</f>
        <v/>
      </c>
    </row>
    <row r="9">
      <c r="A9" s="2" t="inlineStr">
        <is>
          <t>Q_USDT_PERP</t>
        </is>
      </c>
      <c r="B9" s="2">
        <f>COUNTIFS(交易明細!$B$2:$B$70,$A9)</f>
        <v/>
      </c>
      <c r="C9" s="2">
        <f>COUNTIFS(交易明細!$B$2:$B$70,$A9,交易明細!$C$2:$C$70,"做多")</f>
        <v/>
      </c>
      <c r="D9" s="2">
        <f>COUNTIFS(交易明細!$B$2:$B$70,$A9,交易明細!$C$2:$C$70,"做空")</f>
        <v/>
      </c>
      <c r="E9" s="2">
        <f>F9+G9+COUNTIFS(交易明細!$B$2:$B$70,$A9,交易明細!$J$2:$J$70,"時間出場")</f>
        <v/>
      </c>
      <c r="F9" s="2">
        <f>COUNTIFS(交易明細!$B$2:$B$70,$A9,交易明細!$J$2:$J$70,"止盈")</f>
        <v/>
      </c>
      <c r="G9" s="2">
        <f>COUNTIFS(交易明細!$B$2:$B$70,$A9,交易明細!$J$2:$J$70,"止損")</f>
        <v/>
      </c>
      <c r="H9" s="4">
        <f>IFERROR(F9/E9,0)</f>
        <v/>
      </c>
      <c r="I9" s="4">
        <f>IFERROR(AVERAGEIFS(交易明細!$L$2:$L$70,交易明細!$B$2:$B$70,$A9,交易明細!$J$2:$J$70,"&lt;&gt;未平倉"),0)</f>
        <v/>
      </c>
      <c r="J9" s="4">
        <f>SUMIFS(交易明細!$L$2:$L$70,交易明細!$B$2:$B$70,$A9,交易明細!$J$2:$J$70,"&lt;&gt;未平倉")</f>
        <v/>
      </c>
      <c r="K9" s="5">
        <f>IFERROR(AVERAGEIFS(交易明細!$K$2:$K$70,交易明細!$B$2:$B$70,$A9,交易明細!$J$2:$J$70,"&lt;&gt;未平倉"),0)</f>
        <v/>
      </c>
      <c r="L9" s="2">
        <f>COUNTIFS(交易明細!$B$2:$B$70,$A9,交易明細!$J$2:$J$70,"未平倉")</f>
        <v/>
      </c>
    </row>
    <row r="10">
      <c r="A10" s="2" t="inlineStr">
        <is>
          <t>NOM_USDT_PERP</t>
        </is>
      </c>
      <c r="B10" s="2">
        <f>COUNTIFS(交易明細!$B$2:$B$70,$A10)</f>
        <v/>
      </c>
      <c r="C10" s="2">
        <f>COUNTIFS(交易明細!$B$2:$B$70,$A10,交易明細!$C$2:$C$70,"做多")</f>
        <v/>
      </c>
      <c r="D10" s="2">
        <f>COUNTIFS(交易明細!$B$2:$B$70,$A10,交易明細!$C$2:$C$70,"做空")</f>
        <v/>
      </c>
      <c r="E10" s="2">
        <f>F10+G10+COUNTIFS(交易明細!$B$2:$B$70,$A10,交易明細!$J$2:$J$70,"時間出場")</f>
        <v/>
      </c>
      <c r="F10" s="2">
        <f>COUNTIFS(交易明細!$B$2:$B$70,$A10,交易明細!$J$2:$J$70,"止盈")</f>
        <v/>
      </c>
      <c r="G10" s="2">
        <f>COUNTIFS(交易明細!$B$2:$B$70,$A10,交易明細!$J$2:$J$70,"止損")</f>
        <v/>
      </c>
      <c r="H10" s="4">
        <f>IFERROR(F10/E10,0)</f>
        <v/>
      </c>
      <c r="I10" s="4">
        <f>IFERROR(AVERAGEIFS(交易明細!$L$2:$L$70,交易明細!$B$2:$B$70,$A10,交易明細!$J$2:$J$70,"&lt;&gt;未平倉"),0)</f>
        <v/>
      </c>
      <c r="J10" s="4">
        <f>SUMIFS(交易明細!$L$2:$L$70,交易明細!$B$2:$B$70,$A10,交易明細!$J$2:$J$70,"&lt;&gt;未平倉")</f>
        <v/>
      </c>
      <c r="K10" s="5">
        <f>IFERROR(AVERAGEIFS(交易明細!$K$2:$K$70,交易明細!$B$2:$B$70,$A10,交易明細!$J$2:$J$70,"&lt;&gt;未平倉"),0)</f>
        <v/>
      </c>
      <c r="L10" s="2">
        <f>COUNTIFS(交易明細!$B$2:$B$70,$A10,交易明細!$J$2:$J$70,"未平倉")</f>
        <v/>
      </c>
    </row>
    <row r="11">
      <c r="A11" s="2" t="inlineStr">
        <is>
          <t>B_USDT_PERP</t>
        </is>
      </c>
      <c r="B11" s="2">
        <f>COUNTIFS(交易明細!$B$2:$B$70,$A11)</f>
        <v/>
      </c>
      <c r="C11" s="2">
        <f>COUNTIFS(交易明細!$B$2:$B$70,$A11,交易明細!$C$2:$C$70,"做多")</f>
        <v/>
      </c>
      <c r="D11" s="2">
        <f>COUNTIFS(交易明細!$B$2:$B$70,$A11,交易明細!$C$2:$C$70,"做空")</f>
        <v/>
      </c>
      <c r="E11" s="2">
        <f>F11+G11+COUNTIFS(交易明細!$B$2:$B$70,$A11,交易明細!$J$2:$J$70,"時間出場")</f>
        <v/>
      </c>
      <c r="F11" s="2">
        <f>COUNTIFS(交易明細!$B$2:$B$70,$A11,交易明細!$J$2:$J$70,"止盈")</f>
        <v/>
      </c>
      <c r="G11" s="2">
        <f>COUNTIFS(交易明細!$B$2:$B$70,$A11,交易明細!$J$2:$J$70,"止損")</f>
        <v/>
      </c>
      <c r="H11" s="4">
        <f>IFERROR(F11/E11,0)</f>
        <v/>
      </c>
      <c r="I11" s="4">
        <f>IFERROR(AVERAGEIFS(交易明細!$L$2:$L$70,交易明細!$B$2:$B$70,$A11,交易明細!$J$2:$J$70,"&lt;&gt;未平倉"),0)</f>
        <v/>
      </c>
      <c r="J11" s="4">
        <f>SUMIFS(交易明細!$L$2:$L$70,交易明細!$B$2:$B$70,$A11,交易明細!$J$2:$J$70,"&lt;&gt;未平倉")</f>
        <v/>
      </c>
      <c r="K11" s="5">
        <f>IFERROR(AVERAGEIFS(交易明細!$K$2:$K$70,交易明細!$B$2:$B$70,$A11,交易明細!$J$2:$J$70,"&lt;&gt;未平倉"),0)</f>
        <v/>
      </c>
      <c r="L11" s="2">
        <f>COUNTIFS(交易明細!$B$2:$B$70,$A11,交易明細!$J$2:$J$70,"未平倉")</f>
        <v/>
      </c>
    </row>
    <row r="12">
      <c r="A12" s="2" t="inlineStr">
        <is>
          <t>RAY_USDT_PERP</t>
        </is>
      </c>
      <c r="B12" s="2">
        <f>COUNTIFS(交易明細!$B$2:$B$70,$A12)</f>
        <v/>
      </c>
      <c r="C12" s="2">
        <f>COUNTIFS(交易明細!$B$2:$B$70,$A12,交易明細!$C$2:$C$70,"做多")</f>
        <v/>
      </c>
      <c r="D12" s="2">
        <f>COUNTIFS(交易明細!$B$2:$B$70,$A12,交易明細!$C$2:$C$70,"做空")</f>
        <v/>
      </c>
      <c r="E12" s="2">
        <f>F12+G12+COUNTIFS(交易明細!$B$2:$B$70,$A12,交易明細!$J$2:$J$70,"時間出場")</f>
        <v/>
      </c>
      <c r="F12" s="2">
        <f>COUNTIFS(交易明細!$B$2:$B$70,$A12,交易明細!$J$2:$J$70,"止盈")</f>
        <v/>
      </c>
      <c r="G12" s="2">
        <f>COUNTIFS(交易明細!$B$2:$B$70,$A12,交易明細!$J$2:$J$70,"止損")</f>
        <v/>
      </c>
      <c r="H12" s="4">
        <f>IFERROR(F12/E12,0)</f>
        <v/>
      </c>
      <c r="I12" s="4">
        <f>IFERROR(AVERAGEIFS(交易明細!$L$2:$L$70,交易明細!$B$2:$B$70,$A12,交易明細!$J$2:$J$70,"&lt;&gt;未平倉"),0)</f>
        <v/>
      </c>
      <c r="J12" s="4">
        <f>SUMIFS(交易明細!$L$2:$L$70,交易明細!$B$2:$B$70,$A12,交易明細!$J$2:$J$70,"&lt;&gt;未平倉")</f>
        <v/>
      </c>
      <c r="K12" s="5">
        <f>IFERROR(AVERAGEIFS(交易明細!$K$2:$K$70,交易明細!$B$2:$B$70,$A12,交易明細!$J$2:$J$70,"&lt;&gt;未平倉"),0)</f>
        <v/>
      </c>
      <c r="L12" s="2">
        <f>COUNTIFS(交易明細!$B$2:$B$70,$A12,交易明細!$J$2:$J$70,"未平倉")</f>
        <v/>
      </c>
    </row>
    <row r="13">
      <c r="A13" s="2" t="inlineStr">
        <is>
          <t>REZ_USDT_PERP</t>
        </is>
      </c>
      <c r="B13" s="2">
        <f>COUNTIFS(交易明細!$B$2:$B$70,$A13)</f>
        <v/>
      </c>
      <c r="C13" s="2">
        <f>COUNTIFS(交易明細!$B$2:$B$70,$A13,交易明細!$C$2:$C$70,"做多")</f>
        <v/>
      </c>
      <c r="D13" s="2">
        <f>COUNTIFS(交易明細!$B$2:$B$70,$A13,交易明細!$C$2:$C$70,"做空")</f>
        <v/>
      </c>
      <c r="E13" s="2">
        <f>F13+G13+COUNTIFS(交易明細!$B$2:$B$70,$A13,交易明細!$J$2:$J$70,"時間出場")</f>
        <v/>
      </c>
      <c r="F13" s="2">
        <f>COUNTIFS(交易明細!$B$2:$B$70,$A13,交易明細!$J$2:$J$70,"止盈")</f>
        <v/>
      </c>
      <c r="G13" s="2">
        <f>COUNTIFS(交易明細!$B$2:$B$70,$A13,交易明細!$J$2:$J$70,"止損")</f>
        <v/>
      </c>
      <c r="H13" s="4">
        <f>IFERROR(F13/E13,0)</f>
        <v/>
      </c>
      <c r="I13" s="4">
        <f>IFERROR(AVERAGEIFS(交易明細!$L$2:$L$70,交易明細!$B$2:$B$70,$A13,交易明細!$J$2:$J$70,"&lt;&gt;未平倉"),0)</f>
        <v/>
      </c>
      <c r="J13" s="4">
        <f>SUMIFS(交易明細!$L$2:$L$70,交易明細!$B$2:$B$70,$A13,交易明細!$J$2:$J$70,"&lt;&gt;未平倉")</f>
        <v/>
      </c>
      <c r="K13" s="5">
        <f>IFERROR(AVERAGEIFS(交易明細!$K$2:$K$70,交易明細!$B$2:$B$70,$A13,交易明細!$J$2:$J$70,"&lt;&gt;未平倉"),0)</f>
        <v/>
      </c>
      <c r="L13" s="2">
        <f>COUNTIFS(交易明細!$B$2:$B$70,$A13,交易明細!$J$2:$J$70,"未平倉")</f>
        <v/>
      </c>
    </row>
    <row r="14">
      <c r="A14" s="2" t="inlineStr">
        <is>
          <t>我踏马来了_USDT_PERP</t>
        </is>
      </c>
      <c r="B14" s="2">
        <f>COUNTIFS(交易明細!$B$2:$B$70,$A14)</f>
        <v/>
      </c>
      <c r="C14" s="2">
        <f>COUNTIFS(交易明細!$B$2:$B$70,$A14,交易明細!$C$2:$C$70,"做多")</f>
        <v/>
      </c>
      <c r="D14" s="2">
        <f>COUNTIFS(交易明細!$B$2:$B$70,$A14,交易明細!$C$2:$C$70,"做空")</f>
        <v/>
      </c>
      <c r="E14" s="2">
        <f>F14+G14+COUNTIFS(交易明細!$B$2:$B$70,$A14,交易明細!$J$2:$J$70,"時間出場")</f>
        <v/>
      </c>
      <c r="F14" s="2">
        <f>COUNTIFS(交易明細!$B$2:$B$70,$A14,交易明細!$J$2:$J$70,"止盈")</f>
        <v/>
      </c>
      <c r="G14" s="2">
        <f>COUNTIFS(交易明細!$B$2:$B$70,$A14,交易明細!$J$2:$J$70,"止損")</f>
        <v/>
      </c>
      <c r="H14" s="4">
        <f>IFERROR(F14/E14,0)</f>
        <v/>
      </c>
      <c r="I14" s="4">
        <f>IFERROR(AVERAGEIFS(交易明細!$L$2:$L$70,交易明細!$B$2:$B$70,$A14,交易明細!$J$2:$J$70,"&lt;&gt;未平倉"),0)</f>
        <v/>
      </c>
      <c r="J14" s="4">
        <f>SUMIFS(交易明細!$L$2:$L$70,交易明細!$B$2:$B$70,$A14,交易明細!$J$2:$J$70,"&lt;&gt;未平倉")</f>
        <v/>
      </c>
      <c r="K14" s="5">
        <f>IFERROR(AVERAGEIFS(交易明細!$K$2:$K$70,交易明細!$B$2:$B$70,$A14,交易明細!$J$2:$J$70,"&lt;&gt;未平倉"),0)</f>
        <v/>
      </c>
      <c r="L14" s="2">
        <f>COUNTIFS(交易明細!$B$2:$B$70,$A14,交易明細!$J$2:$J$70,"未平倉")</f>
        <v/>
      </c>
    </row>
    <row r="15">
      <c r="A15" s="2" t="inlineStr">
        <is>
          <t>AIN_USDT_PERP</t>
        </is>
      </c>
      <c r="B15" s="2">
        <f>COUNTIFS(交易明細!$B$2:$B$70,$A15)</f>
        <v/>
      </c>
      <c r="C15" s="2">
        <f>COUNTIFS(交易明細!$B$2:$B$70,$A15,交易明細!$C$2:$C$70,"做多")</f>
        <v/>
      </c>
      <c r="D15" s="2">
        <f>COUNTIFS(交易明細!$B$2:$B$70,$A15,交易明細!$C$2:$C$70,"做空")</f>
        <v/>
      </c>
      <c r="E15" s="2">
        <f>F15+G15+COUNTIFS(交易明細!$B$2:$B$70,$A15,交易明細!$J$2:$J$70,"時間出場")</f>
        <v/>
      </c>
      <c r="F15" s="2">
        <f>COUNTIFS(交易明細!$B$2:$B$70,$A15,交易明細!$J$2:$J$70,"止盈")</f>
        <v/>
      </c>
      <c r="G15" s="2">
        <f>COUNTIFS(交易明細!$B$2:$B$70,$A15,交易明細!$J$2:$J$70,"止損")</f>
        <v/>
      </c>
      <c r="H15" s="4">
        <f>IFERROR(F15/E15,0)</f>
        <v/>
      </c>
      <c r="I15" s="4">
        <f>IFERROR(AVERAGEIFS(交易明細!$L$2:$L$70,交易明細!$B$2:$B$70,$A15,交易明細!$J$2:$J$70,"&lt;&gt;未平倉"),0)</f>
        <v/>
      </c>
      <c r="J15" s="4">
        <f>SUMIFS(交易明細!$L$2:$L$70,交易明細!$B$2:$B$70,$A15,交易明細!$J$2:$J$70,"&lt;&gt;未平倉")</f>
        <v/>
      </c>
      <c r="K15" s="5">
        <f>IFERROR(AVERAGEIFS(交易明細!$K$2:$K$70,交易明細!$B$2:$B$70,$A15,交易明細!$J$2:$J$70,"&lt;&gt;未平倉"),0)</f>
        <v/>
      </c>
      <c r="L15" s="2">
        <f>COUNTIFS(交易明細!$B$2:$B$70,$A15,交易明細!$J$2:$J$70,"未平倉")</f>
        <v/>
      </c>
    </row>
    <row r="16">
      <c r="A16" s="2" t="inlineStr">
        <is>
          <t>ASTR_USDT_PERP</t>
        </is>
      </c>
      <c r="B16" s="2">
        <f>COUNTIFS(交易明細!$B$2:$B$70,$A16)</f>
        <v/>
      </c>
      <c r="C16" s="2">
        <f>COUNTIFS(交易明細!$B$2:$B$70,$A16,交易明細!$C$2:$C$70,"做多")</f>
        <v/>
      </c>
      <c r="D16" s="2">
        <f>COUNTIFS(交易明細!$B$2:$B$70,$A16,交易明細!$C$2:$C$70,"做空")</f>
        <v/>
      </c>
      <c r="E16" s="2">
        <f>F16+G16+COUNTIFS(交易明細!$B$2:$B$70,$A16,交易明細!$J$2:$J$70,"時間出場")</f>
        <v/>
      </c>
      <c r="F16" s="2">
        <f>COUNTIFS(交易明細!$B$2:$B$70,$A16,交易明細!$J$2:$J$70,"止盈")</f>
        <v/>
      </c>
      <c r="G16" s="2">
        <f>COUNTIFS(交易明細!$B$2:$B$70,$A16,交易明細!$J$2:$J$70,"止損")</f>
        <v/>
      </c>
      <c r="H16" s="4">
        <f>IFERROR(F16/E16,0)</f>
        <v/>
      </c>
      <c r="I16" s="4">
        <f>IFERROR(AVERAGEIFS(交易明細!$L$2:$L$70,交易明細!$B$2:$B$70,$A16,交易明細!$J$2:$J$70,"&lt;&gt;未平倉"),0)</f>
        <v/>
      </c>
      <c r="J16" s="4">
        <f>SUMIFS(交易明細!$L$2:$L$70,交易明細!$B$2:$B$70,$A16,交易明細!$J$2:$J$70,"&lt;&gt;未平倉")</f>
        <v/>
      </c>
      <c r="K16" s="5">
        <f>IFERROR(AVERAGEIFS(交易明細!$K$2:$K$70,交易明細!$B$2:$B$70,$A16,交易明細!$J$2:$J$70,"&lt;&gt;未平倉"),0)</f>
        <v/>
      </c>
      <c r="L16" s="2">
        <f>COUNTIFS(交易明細!$B$2:$B$70,$A16,交易明細!$J$2:$J$70,"未平倉")</f>
        <v/>
      </c>
    </row>
    <row r="17">
      <c r="A17" s="2" t="inlineStr">
        <is>
          <t>IDOL_USDT_PERP</t>
        </is>
      </c>
      <c r="B17" s="2">
        <f>COUNTIFS(交易明細!$B$2:$B$70,$A17)</f>
        <v/>
      </c>
      <c r="C17" s="2">
        <f>COUNTIFS(交易明細!$B$2:$B$70,$A17,交易明細!$C$2:$C$70,"做多")</f>
        <v/>
      </c>
      <c r="D17" s="2">
        <f>COUNTIFS(交易明細!$B$2:$B$70,$A17,交易明細!$C$2:$C$70,"做空")</f>
        <v/>
      </c>
      <c r="E17" s="2">
        <f>F17+G17+COUNTIFS(交易明細!$B$2:$B$70,$A17,交易明細!$J$2:$J$70,"時間出場")</f>
        <v/>
      </c>
      <c r="F17" s="2">
        <f>COUNTIFS(交易明細!$B$2:$B$70,$A17,交易明細!$J$2:$J$70,"止盈")</f>
        <v/>
      </c>
      <c r="G17" s="2">
        <f>COUNTIFS(交易明細!$B$2:$B$70,$A17,交易明細!$J$2:$J$70,"止損")</f>
        <v/>
      </c>
      <c r="H17" s="4">
        <f>IFERROR(F17/E17,0)</f>
        <v/>
      </c>
      <c r="I17" s="4">
        <f>IFERROR(AVERAGEIFS(交易明細!$L$2:$L$70,交易明細!$B$2:$B$70,$A17,交易明細!$J$2:$J$70,"&lt;&gt;未平倉"),0)</f>
        <v/>
      </c>
      <c r="J17" s="4">
        <f>SUMIFS(交易明細!$L$2:$L$70,交易明細!$B$2:$B$70,$A17,交易明細!$J$2:$J$70,"&lt;&gt;未平倉")</f>
        <v/>
      </c>
      <c r="K17" s="5">
        <f>IFERROR(AVERAGEIFS(交易明細!$K$2:$K$70,交易明細!$B$2:$B$70,$A17,交易明細!$J$2:$J$70,"&lt;&gt;未平倉"),0)</f>
        <v/>
      </c>
      <c r="L17" s="2">
        <f>COUNTIFS(交易明細!$B$2:$B$70,$A17,交易明細!$J$2:$J$70,"未平倉")</f>
        <v/>
      </c>
    </row>
    <row r="18">
      <c r="A18" s="2" t="inlineStr">
        <is>
          <t>AGT_USDT_PERP</t>
        </is>
      </c>
      <c r="B18" s="2">
        <f>COUNTIFS(交易明細!$B$2:$B$70,$A18)</f>
        <v/>
      </c>
      <c r="C18" s="2">
        <f>COUNTIFS(交易明細!$B$2:$B$70,$A18,交易明細!$C$2:$C$70,"做多")</f>
        <v/>
      </c>
      <c r="D18" s="2">
        <f>COUNTIFS(交易明細!$B$2:$B$70,$A18,交易明細!$C$2:$C$70,"做空")</f>
        <v/>
      </c>
      <c r="E18" s="2">
        <f>F18+G18+COUNTIFS(交易明細!$B$2:$B$70,$A18,交易明細!$J$2:$J$70,"時間出場")</f>
        <v/>
      </c>
      <c r="F18" s="2">
        <f>COUNTIFS(交易明細!$B$2:$B$70,$A18,交易明細!$J$2:$J$70,"止盈")</f>
        <v/>
      </c>
      <c r="G18" s="2">
        <f>COUNTIFS(交易明細!$B$2:$B$70,$A18,交易明細!$J$2:$J$70,"止損")</f>
        <v/>
      </c>
      <c r="H18" s="4">
        <f>IFERROR(F18/E18,0)</f>
        <v/>
      </c>
      <c r="I18" s="4">
        <f>IFERROR(AVERAGEIFS(交易明細!$L$2:$L$70,交易明細!$B$2:$B$70,$A18,交易明細!$J$2:$J$70,"&lt;&gt;未平倉"),0)</f>
        <v/>
      </c>
      <c r="J18" s="4">
        <f>SUMIFS(交易明細!$L$2:$L$70,交易明細!$B$2:$B$70,$A18,交易明細!$J$2:$J$70,"&lt;&gt;未平倉")</f>
        <v/>
      </c>
      <c r="K18" s="5">
        <f>IFERROR(AVERAGEIFS(交易明細!$K$2:$K$70,交易明細!$B$2:$B$70,$A18,交易明細!$J$2:$J$70,"&lt;&gt;未平倉"),0)</f>
        <v/>
      </c>
      <c r="L18" s="2">
        <f>COUNTIFS(交易明細!$B$2:$B$70,$A18,交易明細!$J$2:$J$70,"未平倉")</f>
        <v/>
      </c>
    </row>
    <row r="19">
      <c r="A19" s="2" t="inlineStr">
        <is>
          <t>ACE_USDT_PERP</t>
        </is>
      </c>
      <c r="B19" s="2">
        <f>COUNTIFS(交易明細!$B$2:$B$70,$A19)</f>
        <v/>
      </c>
      <c r="C19" s="2">
        <f>COUNTIFS(交易明細!$B$2:$B$70,$A19,交易明細!$C$2:$C$70,"做多")</f>
        <v/>
      </c>
      <c r="D19" s="2">
        <f>COUNTIFS(交易明細!$B$2:$B$70,$A19,交易明細!$C$2:$C$70,"做空")</f>
        <v/>
      </c>
      <c r="E19" s="2">
        <f>F19+G19+COUNTIFS(交易明細!$B$2:$B$70,$A19,交易明細!$J$2:$J$70,"時間出場")</f>
        <v/>
      </c>
      <c r="F19" s="2">
        <f>COUNTIFS(交易明細!$B$2:$B$70,$A19,交易明細!$J$2:$J$70,"止盈")</f>
        <v/>
      </c>
      <c r="G19" s="2">
        <f>COUNTIFS(交易明細!$B$2:$B$70,$A19,交易明細!$J$2:$J$70,"止損")</f>
        <v/>
      </c>
      <c r="H19" s="4">
        <f>IFERROR(F19/E19,0)</f>
        <v/>
      </c>
      <c r="I19" s="4">
        <f>IFERROR(AVERAGEIFS(交易明細!$L$2:$L$70,交易明細!$B$2:$B$70,$A19,交易明細!$J$2:$J$70,"&lt;&gt;未平倉"),0)</f>
        <v/>
      </c>
      <c r="J19" s="4">
        <f>SUMIFS(交易明細!$L$2:$L$70,交易明細!$B$2:$B$70,$A19,交易明細!$J$2:$J$70,"&lt;&gt;未平倉")</f>
        <v/>
      </c>
      <c r="K19" s="5">
        <f>IFERROR(AVERAGEIFS(交易明細!$K$2:$K$70,交易明細!$B$2:$B$70,$A19,交易明細!$J$2:$J$70,"&lt;&gt;未平倉"),0)</f>
        <v/>
      </c>
      <c r="L19" s="2">
        <f>COUNTIFS(交易明細!$B$2:$B$70,$A19,交易明細!$J$2:$J$70,"未平倉")</f>
        <v/>
      </c>
    </row>
    <row r="20">
      <c r="A20" s="2" t="inlineStr">
        <is>
          <t>MUBARAK_USDT_PERP</t>
        </is>
      </c>
      <c r="B20" s="2">
        <f>COUNTIFS(交易明細!$B$2:$B$70,$A20)</f>
        <v/>
      </c>
      <c r="C20" s="2">
        <f>COUNTIFS(交易明細!$B$2:$B$70,$A20,交易明細!$C$2:$C$70,"做多")</f>
        <v/>
      </c>
      <c r="D20" s="2">
        <f>COUNTIFS(交易明細!$B$2:$B$70,$A20,交易明細!$C$2:$C$70,"做空")</f>
        <v/>
      </c>
      <c r="E20" s="2">
        <f>F20+G20+COUNTIFS(交易明細!$B$2:$B$70,$A20,交易明細!$J$2:$J$70,"時間出場")</f>
        <v/>
      </c>
      <c r="F20" s="2">
        <f>COUNTIFS(交易明細!$B$2:$B$70,$A20,交易明細!$J$2:$J$70,"止盈")</f>
        <v/>
      </c>
      <c r="G20" s="2">
        <f>COUNTIFS(交易明細!$B$2:$B$70,$A20,交易明細!$J$2:$J$70,"止損")</f>
        <v/>
      </c>
      <c r="H20" s="4">
        <f>IFERROR(F20/E20,0)</f>
        <v/>
      </c>
      <c r="I20" s="4">
        <f>IFERROR(AVERAGEIFS(交易明細!$L$2:$L$70,交易明細!$B$2:$B$70,$A20,交易明細!$J$2:$J$70,"&lt;&gt;未平倉"),0)</f>
        <v/>
      </c>
      <c r="J20" s="4">
        <f>SUMIFS(交易明細!$L$2:$L$70,交易明細!$B$2:$B$70,$A20,交易明細!$J$2:$J$70,"&lt;&gt;未平倉")</f>
        <v/>
      </c>
      <c r="K20" s="5">
        <f>IFERROR(AVERAGEIFS(交易明細!$K$2:$K$70,交易明細!$B$2:$B$70,$A20,交易明細!$J$2:$J$70,"&lt;&gt;未平倉"),0)</f>
        <v/>
      </c>
      <c r="L20" s="2">
        <f>COUNTIFS(交易明細!$B$2:$B$70,$A20,交易明細!$J$2:$J$70,"未平倉")</f>
        <v/>
      </c>
    </row>
    <row r="21">
      <c r="A21" s="2" t="inlineStr">
        <is>
          <t>ZEST_USDT_PERP</t>
        </is>
      </c>
      <c r="B21" s="2">
        <f>COUNTIFS(交易明細!$B$2:$B$70,$A21)</f>
        <v/>
      </c>
      <c r="C21" s="2">
        <f>COUNTIFS(交易明細!$B$2:$B$70,$A21,交易明細!$C$2:$C$70,"做多")</f>
        <v/>
      </c>
      <c r="D21" s="2">
        <f>COUNTIFS(交易明細!$B$2:$B$70,$A21,交易明細!$C$2:$C$70,"做空")</f>
        <v/>
      </c>
      <c r="E21" s="2">
        <f>F21+G21+COUNTIFS(交易明細!$B$2:$B$70,$A21,交易明細!$J$2:$J$70,"時間出場")</f>
        <v/>
      </c>
      <c r="F21" s="2">
        <f>COUNTIFS(交易明細!$B$2:$B$70,$A21,交易明細!$J$2:$J$70,"止盈")</f>
        <v/>
      </c>
      <c r="G21" s="2">
        <f>COUNTIFS(交易明細!$B$2:$B$70,$A21,交易明細!$J$2:$J$70,"止損")</f>
        <v/>
      </c>
      <c r="H21" s="4">
        <f>IFERROR(F21/E21,0)</f>
        <v/>
      </c>
      <c r="I21" s="4">
        <f>IFERROR(AVERAGEIFS(交易明細!$L$2:$L$70,交易明細!$B$2:$B$70,$A21,交易明細!$J$2:$J$70,"&lt;&gt;未平倉"),0)</f>
        <v/>
      </c>
      <c r="J21" s="4">
        <f>SUMIFS(交易明細!$L$2:$L$70,交易明細!$B$2:$B$70,$A21,交易明細!$J$2:$J$70,"&lt;&gt;未平倉")</f>
        <v/>
      </c>
      <c r="K21" s="5">
        <f>IFERROR(AVERAGEIFS(交易明細!$K$2:$K$70,交易明細!$B$2:$B$70,$A21,交易明細!$J$2:$J$70,"&lt;&gt;未平倉"),0)</f>
        <v/>
      </c>
      <c r="L21" s="2">
        <f>COUNTIFS(交易明細!$B$2:$B$70,$A21,交易明細!$J$2:$J$70,"未平倉")</f>
        <v/>
      </c>
    </row>
    <row r="22">
      <c r="A22" s="2" t="inlineStr">
        <is>
          <t>CATI_USDT_PERP</t>
        </is>
      </c>
      <c r="B22" s="2">
        <f>COUNTIFS(交易明細!$B$2:$B$70,$A22)</f>
        <v/>
      </c>
      <c r="C22" s="2">
        <f>COUNTIFS(交易明細!$B$2:$B$70,$A22,交易明細!$C$2:$C$70,"做多")</f>
        <v/>
      </c>
      <c r="D22" s="2">
        <f>COUNTIFS(交易明細!$B$2:$B$70,$A22,交易明細!$C$2:$C$70,"做空")</f>
        <v/>
      </c>
      <c r="E22" s="2">
        <f>F22+G22+COUNTIFS(交易明細!$B$2:$B$70,$A22,交易明細!$J$2:$J$70,"時間出場")</f>
        <v/>
      </c>
      <c r="F22" s="2">
        <f>COUNTIFS(交易明細!$B$2:$B$70,$A22,交易明細!$J$2:$J$70,"止盈")</f>
        <v/>
      </c>
      <c r="G22" s="2">
        <f>COUNTIFS(交易明細!$B$2:$B$70,$A22,交易明細!$J$2:$J$70,"止損")</f>
        <v/>
      </c>
      <c r="H22" s="4">
        <f>IFERROR(F22/E22,0)</f>
        <v/>
      </c>
      <c r="I22" s="4">
        <f>IFERROR(AVERAGEIFS(交易明細!$L$2:$L$70,交易明細!$B$2:$B$70,$A22,交易明細!$J$2:$J$70,"&lt;&gt;未平倉"),0)</f>
        <v/>
      </c>
      <c r="J22" s="4">
        <f>SUMIFS(交易明細!$L$2:$L$70,交易明細!$B$2:$B$70,$A22,交易明細!$J$2:$J$70,"&lt;&gt;未平倉")</f>
        <v/>
      </c>
      <c r="K22" s="5">
        <f>IFERROR(AVERAGEIFS(交易明細!$K$2:$K$70,交易明細!$B$2:$B$70,$A22,交易明細!$J$2:$J$70,"&lt;&gt;未平倉"),0)</f>
        <v/>
      </c>
      <c r="L22" s="2">
        <f>COUNTIFS(交易明細!$B$2:$B$70,$A22,交易明細!$J$2:$J$70,"未平倉")</f>
        <v/>
      </c>
    </row>
    <row r="23">
      <c r="A23" s="2" t="inlineStr">
        <is>
          <t>NAORIS_USDT_PERP</t>
        </is>
      </c>
      <c r="B23" s="2">
        <f>COUNTIFS(交易明細!$B$2:$B$70,$A23)</f>
        <v/>
      </c>
      <c r="C23" s="2">
        <f>COUNTIFS(交易明細!$B$2:$B$70,$A23,交易明細!$C$2:$C$70,"做多")</f>
        <v/>
      </c>
      <c r="D23" s="2">
        <f>COUNTIFS(交易明細!$B$2:$B$70,$A23,交易明細!$C$2:$C$70,"做空")</f>
        <v/>
      </c>
      <c r="E23" s="2">
        <f>F23+G23+COUNTIFS(交易明細!$B$2:$B$70,$A23,交易明細!$J$2:$J$70,"時間出場")</f>
        <v/>
      </c>
      <c r="F23" s="2">
        <f>COUNTIFS(交易明細!$B$2:$B$70,$A23,交易明細!$J$2:$J$70,"止盈")</f>
        <v/>
      </c>
      <c r="G23" s="2">
        <f>COUNTIFS(交易明細!$B$2:$B$70,$A23,交易明細!$J$2:$J$70,"止損")</f>
        <v/>
      </c>
      <c r="H23" s="4">
        <f>IFERROR(F23/E23,0)</f>
        <v/>
      </c>
      <c r="I23" s="4">
        <f>IFERROR(AVERAGEIFS(交易明細!$L$2:$L$70,交易明細!$B$2:$B$70,$A23,交易明細!$J$2:$J$70,"&lt;&gt;未平倉"),0)</f>
        <v/>
      </c>
      <c r="J23" s="4">
        <f>SUMIFS(交易明細!$L$2:$L$70,交易明細!$B$2:$B$70,$A23,交易明細!$J$2:$J$70,"&lt;&gt;未平倉")</f>
        <v/>
      </c>
      <c r="K23" s="5">
        <f>IFERROR(AVERAGEIFS(交易明細!$K$2:$K$70,交易明細!$B$2:$B$70,$A23,交易明細!$J$2:$J$70,"&lt;&gt;未平倉"),0)</f>
        <v/>
      </c>
      <c r="L23" s="2">
        <f>COUNTIFS(交易明細!$B$2:$B$70,$A23,交易明細!$J$2:$J$70,"未平倉")</f>
        <v/>
      </c>
    </row>
    <row r="24">
      <c r="A24" s="2" t="inlineStr">
        <is>
          <t>TRADOOR_USDT_PERP</t>
        </is>
      </c>
      <c r="B24" s="2">
        <f>COUNTIFS(交易明細!$B$2:$B$70,$A24)</f>
        <v/>
      </c>
      <c r="C24" s="2">
        <f>COUNTIFS(交易明細!$B$2:$B$70,$A24,交易明細!$C$2:$C$70,"做多")</f>
        <v/>
      </c>
      <c r="D24" s="2">
        <f>COUNTIFS(交易明細!$B$2:$B$70,$A24,交易明細!$C$2:$C$70,"做空")</f>
        <v/>
      </c>
      <c r="E24" s="2">
        <f>F24+G24+COUNTIFS(交易明細!$B$2:$B$70,$A24,交易明細!$J$2:$J$70,"時間出場")</f>
        <v/>
      </c>
      <c r="F24" s="2">
        <f>COUNTIFS(交易明細!$B$2:$B$70,$A24,交易明細!$J$2:$J$70,"止盈")</f>
        <v/>
      </c>
      <c r="G24" s="2">
        <f>COUNTIFS(交易明細!$B$2:$B$70,$A24,交易明細!$J$2:$J$70,"止損")</f>
        <v/>
      </c>
      <c r="H24" s="4">
        <f>IFERROR(F24/E24,0)</f>
        <v/>
      </c>
      <c r="I24" s="4">
        <f>IFERROR(AVERAGEIFS(交易明細!$L$2:$L$70,交易明細!$B$2:$B$70,$A24,交易明細!$J$2:$J$70,"&lt;&gt;未平倉"),0)</f>
        <v/>
      </c>
      <c r="J24" s="4">
        <f>SUMIFS(交易明細!$L$2:$L$70,交易明細!$B$2:$B$70,$A24,交易明細!$J$2:$J$70,"&lt;&gt;未平倉")</f>
        <v/>
      </c>
      <c r="K24" s="5">
        <f>IFERROR(AVERAGEIFS(交易明細!$K$2:$K$70,交易明細!$B$2:$B$70,$A24,交易明細!$J$2:$J$70,"&lt;&gt;未平倉"),0)</f>
        <v/>
      </c>
      <c r="L24" s="2">
        <f>COUNTIFS(交易明細!$B$2:$B$70,$A24,交易明細!$J$2:$J$70,"未平倉")</f>
        <v/>
      </c>
    </row>
    <row r="25">
      <c r="A25" s="2" t="inlineStr">
        <is>
          <t>COLLECT_USDT_PERP</t>
        </is>
      </c>
      <c r="B25" s="2">
        <f>COUNTIFS(交易明細!$B$2:$B$70,$A25)</f>
        <v/>
      </c>
      <c r="C25" s="2">
        <f>COUNTIFS(交易明細!$B$2:$B$70,$A25,交易明細!$C$2:$C$70,"做多")</f>
        <v/>
      </c>
      <c r="D25" s="2">
        <f>COUNTIFS(交易明細!$B$2:$B$70,$A25,交易明細!$C$2:$C$70,"做空")</f>
        <v/>
      </c>
      <c r="E25" s="2">
        <f>F25+G25+COUNTIFS(交易明細!$B$2:$B$70,$A25,交易明細!$J$2:$J$70,"時間出場")</f>
        <v/>
      </c>
      <c r="F25" s="2">
        <f>COUNTIFS(交易明細!$B$2:$B$70,$A25,交易明細!$J$2:$J$70,"止盈")</f>
        <v/>
      </c>
      <c r="G25" s="2">
        <f>COUNTIFS(交易明細!$B$2:$B$70,$A25,交易明細!$J$2:$J$70,"止損")</f>
        <v/>
      </c>
      <c r="H25" s="4">
        <f>IFERROR(F25/E25,0)</f>
        <v/>
      </c>
      <c r="I25" s="4">
        <f>IFERROR(AVERAGEIFS(交易明細!$L$2:$L$70,交易明細!$B$2:$B$70,$A25,交易明細!$J$2:$J$70,"&lt;&gt;未平倉"),0)</f>
        <v/>
      </c>
      <c r="J25" s="4">
        <f>SUMIFS(交易明細!$L$2:$L$70,交易明細!$B$2:$B$70,$A25,交易明細!$J$2:$J$70,"&lt;&gt;未平倉")</f>
        <v/>
      </c>
      <c r="K25" s="5">
        <f>IFERROR(AVERAGEIFS(交易明細!$K$2:$K$70,交易明細!$B$2:$B$70,$A25,交易明細!$J$2:$J$70,"&lt;&gt;未平倉"),0)</f>
        <v/>
      </c>
      <c r="L25" s="2">
        <f>COUNTIFS(交易明細!$B$2:$B$70,$A25,交易明細!$J$2:$J$70,"未平倉")</f>
        <v/>
      </c>
    </row>
    <row r="26">
      <c r="A26" s="2" t="inlineStr">
        <is>
          <t>SUSHI_USDT_PERP</t>
        </is>
      </c>
      <c r="B26" s="2">
        <f>COUNTIFS(交易明細!$B$2:$B$70,$A26)</f>
        <v/>
      </c>
      <c r="C26" s="2">
        <f>COUNTIFS(交易明細!$B$2:$B$70,$A26,交易明細!$C$2:$C$70,"做多")</f>
        <v/>
      </c>
      <c r="D26" s="2">
        <f>COUNTIFS(交易明細!$B$2:$B$70,$A26,交易明細!$C$2:$C$70,"做空")</f>
        <v/>
      </c>
      <c r="E26" s="2">
        <f>F26+G26+COUNTIFS(交易明細!$B$2:$B$70,$A26,交易明細!$J$2:$J$70,"時間出場")</f>
        <v/>
      </c>
      <c r="F26" s="2">
        <f>COUNTIFS(交易明細!$B$2:$B$70,$A26,交易明細!$J$2:$J$70,"止盈")</f>
        <v/>
      </c>
      <c r="G26" s="2">
        <f>COUNTIFS(交易明細!$B$2:$B$70,$A26,交易明細!$J$2:$J$70,"止損")</f>
        <v/>
      </c>
      <c r="H26" s="4">
        <f>IFERROR(F26/E26,0)</f>
        <v/>
      </c>
      <c r="I26" s="4">
        <f>IFERROR(AVERAGEIFS(交易明細!$L$2:$L$70,交易明細!$B$2:$B$70,$A26,交易明細!$J$2:$J$70,"&lt;&gt;未平倉"),0)</f>
        <v/>
      </c>
      <c r="J26" s="4">
        <f>SUMIFS(交易明細!$L$2:$L$70,交易明細!$B$2:$B$70,$A26,交易明細!$J$2:$J$70,"&lt;&gt;未平倉")</f>
        <v/>
      </c>
      <c r="K26" s="5">
        <f>IFERROR(AVERAGEIFS(交易明細!$K$2:$K$70,交易明細!$B$2:$B$70,$A26,交易明細!$J$2:$J$70,"&lt;&gt;未平倉"),0)</f>
        <v/>
      </c>
      <c r="L26" s="2">
        <f>COUNTIFS(交易明細!$B$2:$B$70,$A26,交易明細!$J$2:$J$70,"未平倉")</f>
        <v/>
      </c>
    </row>
    <row r="27">
      <c r="A27" s="2" t="inlineStr">
        <is>
          <t>SOLV_USDT_PERP</t>
        </is>
      </c>
      <c r="B27" s="2">
        <f>COUNTIFS(交易明細!$B$2:$B$70,$A27)</f>
        <v/>
      </c>
      <c r="C27" s="2">
        <f>COUNTIFS(交易明細!$B$2:$B$70,$A27,交易明細!$C$2:$C$70,"做多")</f>
        <v/>
      </c>
      <c r="D27" s="2">
        <f>COUNTIFS(交易明細!$B$2:$B$70,$A27,交易明細!$C$2:$C$70,"做空")</f>
        <v/>
      </c>
      <c r="E27" s="2">
        <f>F27+G27+COUNTIFS(交易明細!$B$2:$B$70,$A27,交易明細!$J$2:$J$70,"時間出場")</f>
        <v/>
      </c>
      <c r="F27" s="2">
        <f>COUNTIFS(交易明細!$B$2:$B$70,$A27,交易明細!$J$2:$J$70,"止盈")</f>
        <v/>
      </c>
      <c r="G27" s="2">
        <f>COUNTIFS(交易明細!$B$2:$B$70,$A27,交易明細!$J$2:$J$70,"止損")</f>
        <v/>
      </c>
      <c r="H27" s="4">
        <f>IFERROR(F27/E27,0)</f>
        <v/>
      </c>
      <c r="I27" s="4">
        <f>IFERROR(AVERAGEIFS(交易明細!$L$2:$L$70,交易明細!$B$2:$B$70,$A27,交易明細!$J$2:$J$70,"&lt;&gt;未平倉"),0)</f>
        <v/>
      </c>
      <c r="J27" s="4">
        <f>SUMIFS(交易明細!$L$2:$L$70,交易明細!$B$2:$B$70,$A27,交易明細!$J$2:$J$70,"&lt;&gt;未平倉")</f>
        <v/>
      </c>
      <c r="K27" s="5">
        <f>IFERROR(AVERAGEIFS(交易明細!$K$2:$K$70,交易明細!$B$2:$B$70,$A27,交易明細!$J$2:$J$70,"&lt;&gt;未平倉"),0)</f>
        <v/>
      </c>
      <c r="L27" s="2">
        <f>COUNTIFS(交易明細!$B$2:$B$70,$A27,交易明細!$J$2:$J$70,"未平倉")</f>
        <v/>
      </c>
    </row>
    <row r="28">
      <c r="A28" s="2" t="inlineStr">
        <is>
          <t>COTI_USDT_PERP</t>
        </is>
      </c>
      <c r="B28" s="2">
        <f>COUNTIFS(交易明細!$B$2:$B$70,$A28)</f>
        <v/>
      </c>
      <c r="C28" s="2">
        <f>COUNTIFS(交易明細!$B$2:$B$70,$A28,交易明細!$C$2:$C$70,"做多")</f>
        <v/>
      </c>
      <c r="D28" s="2">
        <f>COUNTIFS(交易明細!$B$2:$B$70,$A28,交易明細!$C$2:$C$70,"做空")</f>
        <v/>
      </c>
      <c r="E28" s="2">
        <f>F28+G28+COUNTIFS(交易明細!$B$2:$B$70,$A28,交易明細!$J$2:$J$70,"時間出場")</f>
        <v/>
      </c>
      <c r="F28" s="2">
        <f>COUNTIFS(交易明細!$B$2:$B$70,$A28,交易明細!$J$2:$J$70,"止盈")</f>
        <v/>
      </c>
      <c r="G28" s="2">
        <f>COUNTIFS(交易明細!$B$2:$B$70,$A28,交易明細!$J$2:$J$70,"止損")</f>
        <v/>
      </c>
      <c r="H28" s="4">
        <f>IFERROR(F28/E28,0)</f>
        <v/>
      </c>
      <c r="I28" s="4">
        <f>IFERROR(AVERAGEIFS(交易明細!$L$2:$L$70,交易明細!$B$2:$B$70,$A28,交易明細!$J$2:$J$70,"&lt;&gt;未平倉"),0)</f>
        <v/>
      </c>
      <c r="J28" s="4">
        <f>SUMIFS(交易明細!$L$2:$L$70,交易明細!$B$2:$B$70,$A28,交易明細!$J$2:$J$70,"&lt;&gt;未平倉")</f>
        <v/>
      </c>
      <c r="K28" s="5">
        <f>IFERROR(AVERAGEIFS(交易明細!$K$2:$K$70,交易明細!$B$2:$B$70,$A28,交易明細!$J$2:$J$70,"&lt;&gt;未平倉"),0)</f>
        <v/>
      </c>
      <c r="L28" s="2">
        <f>COUNTIFS(交易明細!$B$2:$B$70,$A28,交易明細!$J$2:$J$70,"未平倉")</f>
        <v/>
      </c>
    </row>
    <row r="29">
      <c r="A29" s="2" t="inlineStr">
        <is>
          <t>LAYER_USDT_PERP</t>
        </is>
      </c>
      <c r="B29" s="2">
        <f>COUNTIFS(交易明細!$B$2:$B$70,$A29)</f>
        <v/>
      </c>
      <c r="C29" s="2">
        <f>COUNTIFS(交易明細!$B$2:$B$70,$A29,交易明細!$C$2:$C$70,"做多")</f>
        <v/>
      </c>
      <c r="D29" s="2">
        <f>COUNTIFS(交易明細!$B$2:$B$70,$A29,交易明細!$C$2:$C$70,"做空")</f>
        <v/>
      </c>
      <c r="E29" s="2">
        <f>F29+G29+COUNTIFS(交易明細!$B$2:$B$70,$A29,交易明細!$J$2:$J$70,"時間出場")</f>
        <v/>
      </c>
      <c r="F29" s="2">
        <f>COUNTIFS(交易明細!$B$2:$B$70,$A29,交易明細!$J$2:$J$70,"止盈")</f>
        <v/>
      </c>
      <c r="G29" s="2">
        <f>COUNTIFS(交易明細!$B$2:$B$70,$A29,交易明細!$J$2:$J$70,"止損")</f>
        <v/>
      </c>
      <c r="H29" s="4">
        <f>IFERROR(F29/E29,0)</f>
        <v/>
      </c>
      <c r="I29" s="4">
        <f>IFERROR(AVERAGEIFS(交易明細!$L$2:$L$70,交易明細!$B$2:$B$70,$A29,交易明細!$J$2:$J$70,"&lt;&gt;未平倉"),0)</f>
        <v/>
      </c>
      <c r="J29" s="4">
        <f>SUMIFS(交易明細!$L$2:$L$70,交易明細!$B$2:$B$70,$A29,交易明細!$J$2:$J$70,"&lt;&gt;未平倉")</f>
        <v/>
      </c>
      <c r="K29" s="5">
        <f>IFERROR(AVERAGEIFS(交易明細!$K$2:$K$70,交易明細!$B$2:$B$70,$A29,交易明細!$J$2:$J$70,"&lt;&gt;未平倉"),0)</f>
        <v/>
      </c>
      <c r="L29" s="2">
        <f>COUNTIFS(交易明細!$B$2:$B$70,$A29,交易明細!$J$2:$J$70,"未平倉")</f>
        <v/>
      </c>
    </row>
    <row r="30">
      <c r="A30" s="2" t="inlineStr">
        <is>
          <t>ORCA_USDT_PERP</t>
        </is>
      </c>
      <c r="B30" s="2">
        <f>COUNTIFS(交易明細!$B$2:$B$70,$A30)</f>
        <v/>
      </c>
      <c r="C30" s="2">
        <f>COUNTIFS(交易明細!$B$2:$B$70,$A30,交易明細!$C$2:$C$70,"做多")</f>
        <v/>
      </c>
      <c r="D30" s="2">
        <f>COUNTIFS(交易明細!$B$2:$B$70,$A30,交易明細!$C$2:$C$70,"做空")</f>
        <v/>
      </c>
      <c r="E30" s="2">
        <f>F30+G30+COUNTIFS(交易明細!$B$2:$B$70,$A30,交易明細!$J$2:$J$70,"時間出場")</f>
        <v/>
      </c>
      <c r="F30" s="2">
        <f>COUNTIFS(交易明細!$B$2:$B$70,$A30,交易明細!$J$2:$J$70,"止盈")</f>
        <v/>
      </c>
      <c r="G30" s="2">
        <f>COUNTIFS(交易明細!$B$2:$B$70,$A30,交易明細!$J$2:$J$70,"止損")</f>
        <v/>
      </c>
      <c r="H30" s="4">
        <f>IFERROR(F30/E30,0)</f>
        <v/>
      </c>
      <c r="I30" s="4">
        <f>IFERROR(AVERAGEIFS(交易明細!$L$2:$L$70,交易明細!$B$2:$B$70,$A30,交易明細!$J$2:$J$70,"&lt;&gt;未平倉"),0)</f>
        <v/>
      </c>
      <c r="J30" s="4">
        <f>SUMIFS(交易明細!$L$2:$L$70,交易明細!$B$2:$B$70,$A30,交易明細!$J$2:$J$70,"&lt;&gt;未平倉")</f>
        <v/>
      </c>
      <c r="K30" s="5">
        <f>IFERROR(AVERAGEIFS(交易明細!$K$2:$K$70,交易明細!$B$2:$B$70,$A30,交易明細!$J$2:$J$70,"&lt;&gt;未平倉"),0)</f>
        <v/>
      </c>
      <c r="L30" s="2">
        <f>COUNTIFS(交易明細!$B$2:$B$70,$A30,交易明細!$J$2:$J$70,"未平倉")</f>
        <v/>
      </c>
    </row>
    <row r="31">
      <c r="A31" s="2" t="inlineStr">
        <is>
          <t>CFG_USDT_PERP</t>
        </is>
      </c>
      <c r="B31" s="2">
        <f>COUNTIFS(交易明細!$B$2:$B$70,$A31)</f>
        <v/>
      </c>
      <c r="C31" s="2">
        <f>COUNTIFS(交易明細!$B$2:$B$70,$A31,交易明細!$C$2:$C$70,"做多")</f>
        <v/>
      </c>
      <c r="D31" s="2">
        <f>COUNTIFS(交易明細!$B$2:$B$70,$A31,交易明細!$C$2:$C$70,"做空")</f>
        <v/>
      </c>
      <c r="E31" s="2">
        <f>F31+G31+COUNTIFS(交易明細!$B$2:$B$70,$A31,交易明細!$J$2:$J$70,"時間出場")</f>
        <v/>
      </c>
      <c r="F31" s="2">
        <f>COUNTIFS(交易明細!$B$2:$B$70,$A31,交易明細!$J$2:$J$70,"止盈")</f>
        <v/>
      </c>
      <c r="G31" s="2">
        <f>COUNTIFS(交易明細!$B$2:$B$70,$A31,交易明細!$J$2:$J$70,"止損")</f>
        <v/>
      </c>
      <c r="H31" s="4">
        <f>IFERROR(F31/E31,0)</f>
        <v/>
      </c>
      <c r="I31" s="4">
        <f>IFERROR(AVERAGEIFS(交易明細!$L$2:$L$70,交易明細!$B$2:$B$70,$A31,交易明細!$J$2:$J$70,"&lt;&gt;未平倉"),0)</f>
        <v/>
      </c>
      <c r="J31" s="4">
        <f>SUMIFS(交易明細!$L$2:$L$70,交易明細!$B$2:$B$70,$A31,交易明細!$J$2:$J$70,"&lt;&gt;未平倉")</f>
        <v/>
      </c>
      <c r="K31" s="5">
        <f>IFERROR(AVERAGEIFS(交易明細!$K$2:$K$70,交易明細!$B$2:$B$70,$A31,交易明細!$J$2:$J$70,"&lt;&gt;未平倉"),0)</f>
        <v/>
      </c>
      <c r="L31" s="2">
        <f>COUNTIFS(交易明細!$B$2:$B$70,$A31,交易明細!$J$2:$J$70,"未平倉")</f>
        <v/>
      </c>
    </row>
    <row r="32">
      <c r="A32" s="2" t="inlineStr">
        <is>
          <t>IOST_USDT_PERP</t>
        </is>
      </c>
      <c r="B32" s="2">
        <f>COUNTIFS(交易明細!$B$2:$B$70,$A32)</f>
        <v/>
      </c>
      <c r="C32" s="2">
        <f>COUNTIFS(交易明細!$B$2:$B$70,$A32,交易明細!$C$2:$C$70,"做多")</f>
        <v/>
      </c>
      <c r="D32" s="2">
        <f>COUNTIFS(交易明細!$B$2:$B$70,$A32,交易明細!$C$2:$C$70,"做空")</f>
        <v/>
      </c>
      <c r="E32" s="2">
        <f>F32+G32+COUNTIFS(交易明細!$B$2:$B$70,$A32,交易明細!$J$2:$J$70,"時間出場")</f>
        <v/>
      </c>
      <c r="F32" s="2">
        <f>COUNTIFS(交易明細!$B$2:$B$70,$A32,交易明細!$J$2:$J$70,"止盈")</f>
        <v/>
      </c>
      <c r="G32" s="2">
        <f>COUNTIFS(交易明細!$B$2:$B$70,$A32,交易明細!$J$2:$J$70,"止損")</f>
        <v/>
      </c>
      <c r="H32" s="4">
        <f>IFERROR(F32/E32,0)</f>
        <v/>
      </c>
      <c r="I32" s="4">
        <f>IFERROR(AVERAGEIFS(交易明細!$L$2:$L$70,交易明細!$B$2:$B$70,$A32,交易明細!$J$2:$J$70,"&lt;&gt;未平倉"),0)</f>
        <v/>
      </c>
      <c r="J32" s="4">
        <f>SUMIFS(交易明細!$L$2:$L$70,交易明細!$B$2:$B$70,$A32,交易明細!$J$2:$J$70,"&lt;&gt;未平倉")</f>
        <v/>
      </c>
      <c r="K32" s="5">
        <f>IFERROR(AVERAGEIFS(交易明細!$K$2:$K$70,交易明細!$B$2:$B$70,$A32,交易明細!$J$2:$J$70,"&lt;&gt;未平倉"),0)</f>
        <v/>
      </c>
      <c r="L32" s="2">
        <f>COUNTIFS(交易明細!$B$2:$B$70,$A32,交易明細!$J$2:$J$70,"未平倉")</f>
        <v/>
      </c>
    </row>
    <row r="33">
      <c r="A33" s="2" t="inlineStr">
        <is>
          <t>LUNA2_USDT_PERP</t>
        </is>
      </c>
      <c r="B33" s="2">
        <f>COUNTIFS(交易明細!$B$2:$B$70,$A33)</f>
        <v/>
      </c>
      <c r="C33" s="2">
        <f>COUNTIFS(交易明細!$B$2:$B$70,$A33,交易明細!$C$2:$C$70,"做多")</f>
        <v/>
      </c>
      <c r="D33" s="2">
        <f>COUNTIFS(交易明細!$B$2:$B$70,$A33,交易明細!$C$2:$C$70,"做空")</f>
        <v/>
      </c>
      <c r="E33" s="2">
        <f>F33+G33+COUNTIFS(交易明細!$B$2:$B$70,$A33,交易明細!$J$2:$J$70,"時間出場")</f>
        <v/>
      </c>
      <c r="F33" s="2">
        <f>COUNTIFS(交易明細!$B$2:$B$70,$A33,交易明細!$J$2:$J$70,"止盈")</f>
        <v/>
      </c>
      <c r="G33" s="2">
        <f>COUNTIFS(交易明細!$B$2:$B$70,$A33,交易明細!$J$2:$J$70,"止損")</f>
        <v/>
      </c>
      <c r="H33" s="4">
        <f>IFERROR(F33/E33,0)</f>
        <v/>
      </c>
      <c r="I33" s="4">
        <f>IFERROR(AVERAGEIFS(交易明細!$L$2:$L$70,交易明細!$B$2:$B$70,$A33,交易明細!$J$2:$J$70,"&lt;&gt;未平倉"),0)</f>
        <v/>
      </c>
      <c r="J33" s="4">
        <f>SUMIFS(交易明細!$L$2:$L$70,交易明細!$B$2:$B$70,$A33,交易明細!$J$2:$J$70,"&lt;&gt;未平倉")</f>
        <v/>
      </c>
      <c r="K33" s="5">
        <f>IFERROR(AVERAGEIFS(交易明細!$K$2:$K$70,交易明細!$B$2:$B$70,$A33,交易明細!$J$2:$J$70,"&lt;&gt;未平倉"),0)</f>
        <v/>
      </c>
      <c r="L33" s="2">
        <f>COUNTIFS(交易明細!$B$2:$B$70,$A33,交易明細!$J$2:$J$70,"未平倉")</f>
        <v/>
      </c>
    </row>
    <row r="34">
      <c r="A34" s="2" t="inlineStr">
        <is>
          <t>HAEDAL_USDT_PERP</t>
        </is>
      </c>
      <c r="B34" s="2">
        <f>COUNTIFS(交易明細!$B$2:$B$70,$A34)</f>
        <v/>
      </c>
      <c r="C34" s="2">
        <f>COUNTIFS(交易明細!$B$2:$B$70,$A34,交易明細!$C$2:$C$70,"做多")</f>
        <v/>
      </c>
      <c r="D34" s="2">
        <f>COUNTIFS(交易明細!$B$2:$B$70,$A34,交易明細!$C$2:$C$70,"做空")</f>
        <v/>
      </c>
      <c r="E34" s="2">
        <f>F34+G34+COUNTIFS(交易明細!$B$2:$B$70,$A34,交易明細!$J$2:$J$70,"時間出場")</f>
        <v/>
      </c>
      <c r="F34" s="2">
        <f>COUNTIFS(交易明細!$B$2:$B$70,$A34,交易明細!$J$2:$J$70,"止盈")</f>
        <v/>
      </c>
      <c r="G34" s="2">
        <f>COUNTIFS(交易明細!$B$2:$B$70,$A34,交易明細!$J$2:$J$70,"止損")</f>
        <v/>
      </c>
      <c r="H34" s="4">
        <f>IFERROR(F34/E34,0)</f>
        <v/>
      </c>
      <c r="I34" s="4">
        <f>IFERROR(AVERAGEIFS(交易明細!$L$2:$L$70,交易明細!$B$2:$B$70,$A34,交易明細!$J$2:$J$70,"&lt;&gt;未平倉"),0)</f>
        <v/>
      </c>
      <c r="J34" s="4">
        <f>SUMIFS(交易明細!$L$2:$L$70,交易明細!$B$2:$B$70,$A34,交易明細!$J$2:$J$70,"&lt;&gt;未平倉")</f>
        <v/>
      </c>
      <c r="K34" s="5">
        <f>IFERROR(AVERAGEIFS(交易明細!$K$2:$K$70,交易明細!$B$2:$B$70,$A34,交易明細!$J$2:$J$70,"&lt;&gt;未平倉"),0)</f>
        <v/>
      </c>
      <c r="L34" s="2">
        <f>COUNTIFS(交易明細!$B$2:$B$70,$A34,交易明細!$J$2:$J$70,"未平倉")</f>
        <v/>
      </c>
    </row>
    <row r="35">
      <c r="A35" s="2" t="inlineStr">
        <is>
          <t>KAT_USDT_PERP</t>
        </is>
      </c>
      <c r="B35" s="2">
        <f>COUNTIFS(交易明細!$B$2:$B$70,$A35)</f>
        <v/>
      </c>
      <c r="C35" s="2">
        <f>COUNTIFS(交易明細!$B$2:$B$70,$A35,交易明細!$C$2:$C$70,"做多")</f>
        <v/>
      </c>
      <c r="D35" s="2">
        <f>COUNTIFS(交易明細!$B$2:$B$70,$A35,交易明細!$C$2:$C$70,"做空")</f>
        <v/>
      </c>
      <c r="E35" s="2">
        <f>F35+G35+COUNTIFS(交易明細!$B$2:$B$70,$A35,交易明細!$J$2:$J$70,"時間出場")</f>
        <v/>
      </c>
      <c r="F35" s="2">
        <f>COUNTIFS(交易明細!$B$2:$B$70,$A35,交易明細!$J$2:$J$70,"止盈")</f>
        <v/>
      </c>
      <c r="G35" s="2">
        <f>COUNTIFS(交易明細!$B$2:$B$70,$A35,交易明細!$J$2:$J$70,"止損")</f>
        <v/>
      </c>
      <c r="H35" s="4">
        <f>IFERROR(F35/E35,0)</f>
        <v/>
      </c>
      <c r="I35" s="4">
        <f>IFERROR(AVERAGEIFS(交易明細!$L$2:$L$70,交易明細!$B$2:$B$70,$A35,交易明細!$J$2:$J$70,"&lt;&gt;未平倉"),0)</f>
        <v/>
      </c>
      <c r="J35" s="4">
        <f>SUMIFS(交易明細!$L$2:$L$70,交易明細!$B$2:$B$70,$A35,交易明細!$J$2:$J$70,"&lt;&gt;未平倉")</f>
        <v/>
      </c>
      <c r="K35" s="5">
        <f>IFERROR(AVERAGEIFS(交易明細!$K$2:$K$70,交易明細!$B$2:$B$70,$A35,交易明細!$J$2:$J$70,"&lt;&gt;未平倉"),0)</f>
        <v/>
      </c>
      <c r="L35" s="2">
        <f>COUNTIFS(交易明細!$B$2:$B$70,$A35,交易明細!$J$2:$J$70,"未平倉")</f>
        <v/>
      </c>
    </row>
    <row r="36">
      <c r="A36" s="2" t="inlineStr">
        <is>
          <t>PROS_USDT_PERP</t>
        </is>
      </c>
      <c r="B36" s="2">
        <f>COUNTIFS(交易明細!$B$2:$B$70,$A36)</f>
        <v/>
      </c>
      <c r="C36" s="2">
        <f>COUNTIFS(交易明細!$B$2:$B$70,$A36,交易明細!$C$2:$C$70,"做多")</f>
        <v/>
      </c>
      <c r="D36" s="2">
        <f>COUNTIFS(交易明細!$B$2:$B$70,$A36,交易明細!$C$2:$C$70,"做空")</f>
        <v/>
      </c>
      <c r="E36" s="2">
        <f>F36+G36+COUNTIFS(交易明細!$B$2:$B$70,$A36,交易明細!$J$2:$J$70,"時間出場")</f>
        <v/>
      </c>
      <c r="F36" s="2">
        <f>COUNTIFS(交易明細!$B$2:$B$70,$A36,交易明細!$J$2:$J$70,"止盈")</f>
        <v/>
      </c>
      <c r="G36" s="2">
        <f>COUNTIFS(交易明細!$B$2:$B$70,$A36,交易明細!$J$2:$J$70,"止損")</f>
        <v/>
      </c>
      <c r="H36" s="4">
        <f>IFERROR(F36/E36,0)</f>
        <v/>
      </c>
      <c r="I36" s="4">
        <f>IFERROR(AVERAGEIFS(交易明細!$L$2:$L$70,交易明細!$B$2:$B$70,$A36,交易明細!$J$2:$J$70,"&lt;&gt;未平倉"),0)</f>
        <v/>
      </c>
      <c r="J36" s="4">
        <f>SUMIFS(交易明細!$L$2:$L$70,交易明細!$B$2:$B$70,$A36,交易明細!$J$2:$J$70,"&lt;&gt;未平倉")</f>
        <v/>
      </c>
      <c r="K36" s="5">
        <f>IFERROR(AVERAGEIFS(交易明細!$K$2:$K$70,交易明細!$B$2:$B$70,$A36,交易明細!$J$2:$J$70,"&lt;&gt;未平倉"),0)</f>
        <v/>
      </c>
      <c r="L36" s="2">
        <f>COUNTIFS(交易明細!$B$2:$B$70,$A36,交易明細!$J$2:$J$70,"未平倉")</f>
        <v/>
      </c>
    </row>
    <row r="37">
      <c r="A37" s="2" t="inlineStr">
        <is>
          <t>LRC_USDT_PERP</t>
        </is>
      </c>
      <c r="B37" s="2">
        <f>COUNTIFS(交易明細!$B$2:$B$70,$A37)</f>
        <v/>
      </c>
      <c r="C37" s="2">
        <f>COUNTIFS(交易明細!$B$2:$B$70,$A37,交易明細!$C$2:$C$70,"做多")</f>
        <v/>
      </c>
      <c r="D37" s="2">
        <f>COUNTIFS(交易明細!$B$2:$B$70,$A37,交易明細!$C$2:$C$70,"做空")</f>
        <v/>
      </c>
      <c r="E37" s="2">
        <f>F37+G37+COUNTIFS(交易明細!$B$2:$B$70,$A37,交易明細!$J$2:$J$70,"時間出場")</f>
        <v/>
      </c>
      <c r="F37" s="2">
        <f>COUNTIFS(交易明細!$B$2:$B$70,$A37,交易明細!$J$2:$J$70,"止盈")</f>
        <v/>
      </c>
      <c r="G37" s="2">
        <f>COUNTIFS(交易明細!$B$2:$B$70,$A37,交易明細!$J$2:$J$70,"止損")</f>
        <v/>
      </c>
      <c r="H37" s="4">
        <f>IFERROR(F37/E37,0)</f>
        <v/>
      </c>
      <c r="I37" s="4">
        <f>IFERROR(AVERAGEIFS(交易明細!$L$2:$L$70,交易明細!$B$2:$B$70,$A37,交易明細!$J$2:$J$70,"&lt;&gt;未平倉"),0)</f>
        <v/>
      </c>
      <c r="J37" s="4">
        <f>SUMIFS(交易明細!$L$2:$L$70,交易明細!$B$2:$B$70,$A37,交易明細!$J$2:$J$70,"&lt;&gt;未平倉")</f>
        <v/>
      </c>
      <c r="K37" s="5">
        <f>IFERROR(AVERAGEIFS(交易明細!$K$2:$K$70,交易明細!$B$2:$B$70,$A37,交易明細!$J$2:$J$70,"&lt;&gt;未平倉"),0)</f>
        <v/>
      </c>
      <c r="L37" s="2">
        <f>COUNTIFS(交易明細!$B$2:$B$70,$A37,交易明細!$J$2:$J$70,"未平倉")</f>
        <v/>
      </c>
    </row>
    <row r="38">
      <c r="A38" s="2" t="inlineStr">
        <is>
          <t>PHA_USDT_PERP</t>
        </is>
      </c>
      <c r="B38" s="2">
        <f>COUNTIFS(交易明細!$B$2:$B$70,$A38)</f>
        <v/>
      </c>
      <c r="C38" s="2">
        <f>COUNTIFS(交易明細!$B$2:$B$70,$A38,交易明細!$C$2:$C$70,"做多")</f>
        <v/>
      </c>
      <c r="D38" s="2">
        <f>COUNTIFS(交易明細!$B$2:$B$70,$A38,交易明細!$C$2:$C$70,"做空")</f>
        <v/>
      </c>
      <c r="E38" s="2">
        <f>F38+G38+COUNTIFS(交易明細!$B$2:$B$70,$A38,交易明細!$J$2:$J$70,"時間出場")</f>
        <v/>
      </c>
      <c r="F38" s="2">
        <f>COUNTIFS(交易明細!$B$2:$B$70,$A38,交易明細!$J$2:$J$70,"止盈")</f>
        <v/>
      </c>
      <c r="G38" s="2">
        <f>COUNTIFS(交易明細!$B$2:$B$70,$A38,交易明細!$J$2:$J$70,"止損")</f>
        <v/>
      </c>
      <c r="H38" s="4">
        <f>IFERROR(F38/E38,0)</f>
        <v/>
      </c>
      <c r="I38" s="4">
        <f>IFERROR(AVERAGEIFS(交易明細!$L$2:$L$70,交易明細!$B$2:$B$70,$A38,交易明細!$J$2:$J$70,"&lt;&gt;未平倉"),0)</f>
        <v/>
      </c>
      <c r="J38" s="4">
        <f>SUMIFS(交易明細!$L$2:$L$70,交易明細!$B$2:$B$70,$A38,交易明細!$J$2:$J$70,"&lt;&gt;未平倉")</f>
        <v/>
      </c>
      <c r="K38" s="5">
        <f>IFERROR(AVERAGEIFS(交易明細!$K$2:$K$70,交易明細!$B$2:$B$70,$A38,交易明細!$J$2:$J$70,"&lt;&gt;未平倉"),0)</f>
        <v/>
      </c>
      <c r="L38" s="2">
        <f>COUNTIFS(交易明細!$B$2:$B$70,$A38,交易明細!$J$2:$J$70,"未平倉")</f>
        <v/>
      </c>
    </row>
    <row r="39">
      <c r="A39" s="2" t="inlineStr">
        <is>
          <t>ANIME_USDT_PERP</t>
        </is>
      </c>
      <c r="B39" s="2">
        <f>COUNTIFS(交易明細!$B$2:$B$70,$A39)</f>
        <v/>
      </c>
      <c r="C39" s="2">
        <f>COUNTIFS(交易明細!$B$2:$B$70,$A39,交易明細!$C$2:$C$70,"做多")</f>
        <v/>
      </c>
      <c r="D39" s="2">
        <f>COUNTIFS(交易明細!$B$2:$B$70,$A39,交易明細!$C$2:$C$70,"做空")</f>
        <v/>
      </c>
      <c r="E39" s="2">
        <f>F39+G39+COUNTIFS(交易明細!$B$2:$B$70,$A39,交易明細!$J$2:$J$70,"時間出場")</f>
        <v/>
      </c>
      <c r="F39" s="2">
        <f>COUNTIFS(交易明細!$B$2:$B$70,$A39,交易明細!$J$2:$J$70,"止盈")</f>
        <v/>
      </c>
      <c r="G39" s="2">
        <f>COUNTIFS(交易明細!$B$2:$B$70,$A39,交易明細!$J$2:$J$70,"止損")</f>
        <v/>
      </c>
      <c r="H39" s="4">
        <f>IFERROR(F39/E39,0)</f>
        <v/>
      </c>
      <c r="I39" s="4">
        <f>IFERROR(AVERAGEIFS(交易明細!$L$2:$L$70,交易明細!$B$2:$B$70,$A39,交易明細!$J$2:$J$70,"&lt;&gt;未平倉"),0)</f>
        <v/>
      </c>
      <c r="J39" s="4">
        <f>SUMIFS(交易明細!$L$2:$L$70,交易明細!$B$2:$B$70,$A39,交易明細!$J$2:$J$70,"&lt;&gt;未平倉")</f>
        <v/>
      </c>
      <c r="K39" s="5">
        <f>IFERROR(AVERAGEIFS(交易明細!$K$2:$K$70,交易明細!$B$2:$B$70,$A39,交易明細!$J$2:$J$70,"&lt;&gt;未平倉"),0)</f>
        <v/>
      </c>
      <c r="L39" s="2">
        <f>COUNTIFS(交易明細!$B$2:$B$70,$A39,交易明細!$J$2:$J$70,"未平倉")</f>
        <v/>
      </c>
    </row>
    <row r="40">
      <c r="A40" s="2" t="inlineStr">
        <is>
          <t>SAGA_USDT_PERP</t>
        </is>
      </c>
      <c r="B40" s="2">
        <f>COUNTIFS(交易明細!$B$2:$B$70,$A40)</f>
        <v/>
      </c>
      <c r="C40" s="2">
        <f>COUNTIFS(交易明細!$B$2:$B$70,$A40,交易明細!$C$2:$C$70,"做多")</f>
        <v/>
      </c>
      <c r="D40" s="2">
        <f>COUNTIFS(交易明細!$B$2:$B$70,$A40,交易明細!$C$2:$C$70,"做空")</f>
        <v/>
      </c>
      <c r="E40" s="2">
        <f>F40+G40+COUNTIFS(交易明細!$B$2:$B$70,$A40,交易明細!$J$2:$J$70,"時間出場")</f>
        <v/>
      </c>
      <c r="F40" s="2">
        <f>COUNTIFS(交易明細!$B$2:$B$70,$A40,交易明細!$J$2:$J$70,"止盈")</f>
        <v/>
      </c>
      <c r="G40" s="2">
        <f>COUNTIFS(交易明細!$B$2:$B$70,$A40,交易明細!$J$2:$J$70,"止損")</f>
        <v/>
      </c>
      <c r="H40" s="4">
        <f>IFERROR(F40/E40,0)</f>
        <v/>
      </c>
      <c r="I40" s="4">
        <f>IFERROR(AVERAGEIFS(交易明細!$L$2:$L$70,交易明細!$B$2:$B$70,$A40,交易明細!$J$2:$J$70,"&lt;&gt;未平倉"),0)</f>
        <v/>
      </c>
      <c r="J40" s="4">
        <f>SUMIFS(交易明細!$L$2:$L$70,交易明細!$B$2:$B$70,$A40,交易明細!$J$2:$J$70,"&lt;&gt;未平倉")</f>
        <v/>
      </c>
      <c r="K40" s="5">
        <f>IFERROR(AVERAGEIFS(交易明細!$K$2:$K$70,交易明細!$B$2:$B$70,$A40,交易明細!$J$2:$J$70,"&lt;&gt;未平倉"),0)</f>
        <v/>
      </c>
      <c r="L40" s="2">
        <f>COUNTIFS(交易明細!$B$2:$B$70,$A40,交易明細!$J$2:$J$70,"未平倉")</f>
        <v/>
      </c>
    </row>
    <row r="41">
      <c r="A41" s="2" t="inlineStr">
        <is>
          <t>LAB_USDT_PERP</t>
        </is>
      </c>
      <c r="B41" s="2">
        <f>COUNTIFS(交易明細!$B$2:$B$70,$A41)</f>
        <v/>
      </c>
      <c r="C41" s="2">
        <f>COUNTIFS(交易明細!$B$2:$B$70,$A41,交易明細!$C$2:$C$70,"做多")</f>
        <v/>
      </c>
      <c r="D41" s="2">
        <f>COUNTIFS(交易明細!$B$2:$B$70,$A41,交易明細!$C$2:$C$70,"做空")</f>
        <v/>
      </c>
      <c r="E41" s="2">
        <f>F41+G41+COUNTIFS(交易明細!$B$2:$B$70,$A41,交易明細!$J$2:$J$70,"時間出場")</f>
        <v/>
      </c>
      <c r="F41" s="2">
        <f>COUNTIFS(交易明細!$B$2:$B$70,$A41,交易明細!$J$2:$J$70,"止盈")</f>
        <v/>
      </c>
      <c r="G41" s="2">
        <f>COUNTIFS(交易明細!$B$2:$B$70,$A41,交易明細!$J$2:$J$70,"止損")</f>
        <v/>
      </c>
      <c r="H41" s="4">
        <f>IFERROR(F41/E41,0)</f>
        <v/>
      </c>
      <c r="I41" s="4">
        <f>IFERROR(AVERAGEIFS(交易明細!$L$2:$L$70,交易明細!$B$2:$B$70,$A41,交易明細!$J$2:$J$70,"&lt;&gt;未平倉"),0)</f>
        <v/>
      </c>
      <c r="J41" s="4">
        <f>SUMIFS(交易明細!$L$2:$L$70,交易明細!$B$2:$B$70,$A41,交易明細!$J$2:$J$70,"&lt;&gt;未平倉")</f>
        <v/>
      </c>
      <c r="K41" s="5">
        <f>IFERROR(AVERAGEIFS(交易明細!$K$2:$K$70,交易明細!$B$2:$B$70,$A41,交易明細!$J$2:$J$70,"&lt;&gt;未平倉"),0)</f>
        <v/>
      </c>
      <c r="L41" s="2">
        <f>COUNTIFS(交易明細!$B$2:$B$70,$A41,交易明細!$J$2:$J$70,"未平倉")</f>
        <v/>
      </c>
    </row>
    <row r="42">
      <c r="A42" s="2" t="inlineStr">
        <is>
          <t>CASHCAT_USDT_PERP</t>
        </is>
      </c>
      <c r="B42" s="2">
        <f>COUNTIFS(交易明細!$B$2:$B$70,$A42)</f>
        <v/>
      </c>
      <c r="C42" s="2">
        <f>COUNTIFS(交易明細!$B$2:$B$70,$A42,交易明細!$C$2:$C$70,"做多")</f>
        <v/>
      </c>
      <c r="D42" s="2">
        <f>COUNTIFS(交易明細!$B$2:$B$70,$A42,交易明細!$C$2:$C$70,"做空")</f>
        <v/>
      </c>
      <c r="E42" s="2">
        <f>F42+G42+COUNTIFS(交易明細!$B$2:$B$70,$A42,交易明細!$J$2:$J$70,"時間出場")</f>
        <v/>
      </c>
      <c r="F42" s="2">
        <f>COUNTIFS(交易明細!$B$2:$B$70,$A42,交易明細!$J$2:$J$70,"止盈")</f>
        <v/>
      </c>
      <c r="G42" s="2">
        <f>COUNTIFS(交易明細!$B$2:$B$70,$A42,交易明細!$J$2:$J$70,"止損")</f>
        <v/>
      </c>
      <c r="H42" s="4">
        <f>IFERROR(F42/E42,0)</f>
        <v/>
      </c>
      <c r="I42" s="4">
        <f>IFERROR(AVERAGEIFS(交易明細!$L$2:$L$70,交易明細!$B$2:$B$70,$A42,交易明細!$J$2:$J$70,"&lt;&gt;未平倉"),0)</f>
        <v/>
      </c>
      <c r="J42" s="4">
        <f>SUMIFS(交易明細!$L$2:$L$70,交易明細!$B$2:$B$70,$A42,交易明細!$J$2:$J$70,"&lt;&gt;未平倉")</f>
        <v/>
      </c>
      <c r="K42" s="5">
        <f>IFERROR(AVERAGEIFS(交易明細!$K$2:$K$70,交易明細!$B$2:$B$70,$A42,交易明細!$J$2:$J$70,"&lt;&gt;未平倉"),0)</f>
        <v/>
      </c>
      <c r="L42" s="2">
        <f>COUNTIFS(交易明細!$B$2:$B$70,$A42,交易明細!$J$2:$J$70,"未平倉")</f>
        <v/>
      </c>
    </row>
    <row r="43">
      <c r="A43" s="2" t="inlineStr">
        <is>
          <t>BLUR_USDT_PERP</t>
        </is>
      </c>
      <c r="B43" s="2">
        <f>COUNTIFS(交易明細!$B$2:$B$70,$A43)</f>
        <v/>
      </c>
      <c r="C43" s="2">
        <f>COUNTIFS(交易明細!$B$2:$B$70,$A43,交易明細!$C$2:$C$70,"做多")</f>
        <v/>
      </c>
      <c r="D43" s="2">
        <f>COUNTIFS(交易明細!$B$2:$B$70,$A43,交易明細!$C$2:$C$70,"做空")</f>
        <v/>
      </c>
      <c r="E43" s="2">
        <f>F43+G43+COUNTIFS(交易明細!$B$2:$B$70,$A43,交易明細!$J$2:$J$70,"時間出場")</f>
        <v/>
      </c>
      <c r="F43" s="2">
        <f>COUNTIFS(交易明細!$B$2:$B$70,$A43,交易明細!$J$2:$J$70,"止盈")</f>
        <v/>
      </c>
      <c r="G43" s="2">
        <f>COUNTIFS(交易明細!$B$2:$B$70,$A43,交易明細!$J$2:$J$70,"止損")</f>
        <v/>
      </c>
      <c r="H43" s="4">
        <f>IFERROR(F43/E43,0)</f>
        <v/>
      </c>
      <c r="I43" s="4">
        <f>IFERROR(AVERAGEIFS(交易明細!$L$2:$L$70,交易明細!$B$2:$B$70,$A43,交易明細!$J$2:$J$70,"&lt;&gt;未平倉"),0)</f>
        <v/>
      </c>
      <c r="J43" s="4">
        <f>SUMIFS(交易明細!$L$2:$L$70,交易明細!$B$2:$B$70,$A43,交易明細!$J$2:$J$70,"&lt;&gt;未平倉")</f>
        <v/>
      </c>
      <c r="K43" s="5">
        <f>IFERROR(AVERAGEIFS(交易明細!$K$2:$K$70,交易明細!$B$2:$B$70,$A43,交易明細!$J$2:$J$70,"&lt;&gt;未平倉"),0)</f>
        <v/>
      </c>
      <c r="L43" s="2">
        <f>COUNTIFS(交易明細!$B$2:$B$70,$A43,交易明細!$J$2:$J$70,"未平倉")</f>
        <v/>
      </c>
    </row>
    <row r="44">
      <c r="A44" s="2" t="inlineStr">
        <is>
          <t>CYS_USDT_PERP</t>
        </is>
      </c>
      <c r="B44" s="2">
        <f>COUNTIFS(交易明細!$B$2:$B$70,$A44)</f>
        <v/>
      </c>
      <c r="C44" s="2">
        <f>COUNTIFS(交易明細!$B$2:$B$70,$A44,交易明細!$C$2:$C$70,"做多")</f>
        <v/>
      </c>
      <c r="D44" s="2">
        <f>COUNTIFS(交易明細!$B$2:$B$70,$A44,交易明細!$C$2:$C$70,"做空")</f>
        <v/>
      </c>
      <c r="E44" s="2">
        <f>F44+G44+COUNTIFS(交易明細!$B$2:$B$70,$A44,交易明細!$J$2:$J$70,"時間出場")</f>
        <v/>
      </c>
      <c r="F44" s="2">
        <f>COUNTIFS(交易明細!$B$2:$B$70,$A44,交易明細!$J$2:$J$70,"止盈")</f>
        <v/>
      </c>
      <c r="G44" s="2">
        <f>COUNTIFS(交易明細!$B$2:$B$70,$A44,交易明細!$J$2:$J$70,"止損")</f>
        <v/>
      </c>
      <c r="H44" s="4">
        <f>IFERROR(F44/E44,0)</f>
        <v/>
      </c>
      <c r="I44" s="4">
        <f>IFERROR(AVERAGEIFS(交易明細!$L$2:$L$70,交易明細!$B$2:$B$70,$A44,交易明細!$J$2:$J$70,"&lt;&gt;未平倉"),0)</f>
        <v/>
      </c>
      <c r="J44" s="4">
        <f>SUMIFS(交易明細!$L$2:$L$70,交易明細!$B$2:$B$70,$A44,交易明細!$J$2:$J$70,"&lt;&gt;未平倉")</f>
        <v/>
      </c>
      <c r="K44" s="5">
        <f>IFERROR(AVERAGEIFS(交易明細!$K$2:$K$70,交易明細!$B$2:$B$70,$A44,交易明細!$J$2:$J$70,"&lt;&gt;未平倉"),0)</f>
        <v/>
      </c>
      <c r="L44" s="2">
        <f>COUNTIFS(交易明細!$B$2:$B$70,$A44,交易明細!$J$2:$J$70,"未平倉")</f>
        <v/>
      </c>
    </row>
    <row r="45">
      <c r="A45" s="2" t="inlineStr">
        <is>
          <t>GRIFFAIN_USDT_PERP</t>
        </is>
      </c>
      <c r="B45" s="2">
        <f>COUNTIFS(交易明細!$B$2:$B$70,$A45)</f>
        <v/>
      </c>
      <c r="C45" s="2">
        <f>COUNTIFS(交易明細!$B$2:$B$70,$A45,交易明細!$C$2:$C$70,"做多")</f>
        <v/>
      </c>
      <c r="D45" s="2">
        <f>COUNTIFS(交易明細!$B$2:$B$70,$A45,交易明細!$C$2:$C$70,"做空")</f>
        <v/>
      </c>
      <c r="E45" s="2">
        <f>F45+G45+COUNTIFS(交易明細!$B$2:$B$70,$A45,交易明細!$J$2:$J$70,"時間出場")</f>
        <v/>
      </c>
      <c r="F45" s="2">
        <f>COUNTIFS(交易明細!$B$2:$B$70,$A45,交易明細!$J$2:$J$70,"止盈")</f>
        <v/>
      </c>
      <c r="G45" s="2">
        <f>COUNTIFS(交易明細!$B$2:$B$70,$A45,交易明細!$J$2:$J$70,"止損")</f>
        <v/>
      </c>
      <c r="H45" s="4">
        <f>IFERROR(F45/E45,0)</f>
        <v/>
      </c>
      <c r="I45" s="4">
        <f>IFERROR(AVERAGEIFS(交易明細!$L$2:$L$70,交易明細!$B$2:$B$70,$A45,交易明細!$J$2:$J$70,"&lt;&gt;未平倉"),0)</f>
        <v/>
      </c>
      <c r="J45" s="4">
        <f>SUMIFS(交易明細!$L$2:$L$70,交易明細!$B$2:$B$70,$A45,交易明細!$J$2:$J$70,"&lt;&gt;未平倉")</f>
        <v/>
      </c>
      <c r="K45" s="5">
        <f>IFERROR(AVERAGEIFS(交易明細!$K$2:$K$70,交易明細!$B$2:$B$70,$A45,交易明細!$J$2:$J$70,"&lt;&gt;未平倉"),0)</f>
        <v/>
      </c>
      <c r="L45" s="2">
        <f>COUNTIFS(交易明細!$B$2:$B$70,$A45,交易明細!$J$2:$J$70,"未平倉")</f>
        <v/>
      </c>
    </row>
    <row r="46">
      <c r="A46" s="2" t="inlineStr">
        <is>
          <t>CTR_USDT_PERP</t>
        </is>
      </c>
      <c r="B46" s="2">
        <f>COUNTIFS(交易明細!$B$2:$B$70,$A46)</f>
        <v/>
      </c>
      <c r="C46" s="2">
        <f>COUNTIFS(交易明細!$B$2:$B$70,$A46,交易明細!$C$2:$C$70,"做多")</f>
        <v/>
      </c>
      <c r="D46" s="2">
        <f>COUNTIFS(交易明細!$B$2:$B$70,$A46,交易明細!$C$2:$C$70,"做空")</f>
        <v/>
      </c>
      <c r="E46" s="2">
        <f>F46+G46+COUNTIFS(交易明細!$B$2:$B$70,$A46,交易明細!$J$2:$J$70,"時間出場")</f>
        <v/>
      </c>
      <c r="F46" s="2">
        <f>COUNTIFS(交易明細!$B$2:$B$70,$A46,交易明細!$J$2:$J$70,"止盈")</f>
        <v/>
      </c>
      <c r="G46" s="2">
        <f>COUNTIFS(交易明細!$B$2:$B$70,$A46,交易明細!$J$2:$J$70,"止損")</f>
        <v/>
      </c>
      <c r="H46" s="4">
        <f>IFERROR(F46/E46,0)</f>
        <v/>
      </c>
      <c r="I46" s="4">
        <f>IFERROR(AVERAGEIFS(交易明細!$L$2:$L$70,交易明細!$B$2:$B$70,$A46,交易明細!$J$2:$J$70,"&lt;&gt;未平倉"),0)</f>
        <v/>
      </c>
      <c r="J46" s="4">
        <f>SUMIFS(交易明細!$L$2:$L$70,交易明細!$B$2:$B$70,$A46,交易明細!$J$2:$J$70,"&lt;&gt;未平倉")</f>
        <v/>
      </c>
      <c r="K46" s="5">
        <f>IFERROR(AVERAGEIFS(交易明細!$K$2:$K$70,交易明細!$B$2:$B$70,$A46,交易明細!$J$2:$J$70,"&lt;&gt;未平倉"),0)</f>
        <v/>
      </c>
      <c r="L46" s="2">
        <f>COUNTIFS(交易明細!$B$2:$B$70,$A46,交易明細!$J$2:$J$70,"未平倉")</f>
        <v/>
      </c>
    </row>
    <row r="47">
      <c r="A47" s="2" t="inlineStr">
        <is>
          <t>BTW_USDT_PERP</t>
        </is>
      </c>
      <c r="B47" s="2">
        <f>COUNTIFS(交易明細!$B$2:$B$70,$A47)</f>
        <v/>
      </c>
      <c r="C47" s="2">
        <f>COUNTIFS(交易明細!$B$2:$B$70,$A47,交易明細!$C$2:$C$70,"做多")</f>
        <v/>
      </c>
      <c r="D47" s="2">
        <f>COUNTIFS(交易明細!$B$2:$B$70,$A47,交易明細!$C$2:$C$70,"做空")</f>
        <v/>
      </c>
      <c r="E47" s="2">
        <f>F47+G47+COUNTIFS(交易明細!$B$2:$B$70,$A47,交易明細!$J$2:$J$70,"時間出場")</f>
        <v/>
      </c>
      <c r="F47" s="2">
        <f>COUNTIFS(交易明細!$B$2:$B$70,$A47,交易明細!$J$2:$J$70,"止盈")</f>
        <v/>
      </c>
      <c r="G47" s="2">
        <f>COUNTIFS(交易明細!$B$2:$B$70,$A47,交易明細!$J$2:$J$70,"止損")</f>
        <v/>
      </c>
      <c r="H47" s="4">
        <f>IFERROR(F47/E47,0)</f>
        <v/>
      </c>
      <c r="I47" s="4">
        <f>IFERROR(AVERAGEIFS(交易明細!$L$2:$L$70,交易明細!$B$2:$B$70,$A47,交易明細!$J$2:$J$70,"&lt;&gt;未平倉"),0)</f>
        <v/>
      </c>
      <c r="J47" s="4">
        <f>SUMIFS(交易明細!$L$2:$L$70,交易明細!$B$2:$B$70,$A47,交易明細!$J$2:$J$70,"&lt;&gt;未平倉")</f>
        <v/>
      </c>
      <c r="K47" s="5">
        <f>IFERROR(AVERAGEIFS(交易明細!$K$2:$K$70,交易明細!$B$2:$B$70,$A47,交易明細!$J$2:$J$70,"&lt;&gt;未平倉"),0)</f>
        <v/>
      </c>
      <c r="L47" s="2">
        <f>COUNTIFS(交易明細!$B$2:$B$70,$A47,交易明細!$J$2:$J$70,"未平倉")</f>
        <v/>
      </c>
    </row>
    <row r="48">
      <c r="A48" s="2" t="inlineStr">
        <is>
          <t>MAGMA_USDT_PERP</t>
        </is>
      </c>
      <c r="B48" s="2">
        <f>COUNTIFS(交易明細!$B$2:$B$70,$A48)</f>
        <v/>
      </c>
      <c r="C48" s="2">
        <f>COUNTIFS(交易明細!$B$2:$B$70,$A48,交易明細!$C$2:$C$70,"做多")</f>
        <v/>
      </c>
      <c r="D48" s="2">
        <f>COUNTIFS(交易明細!$B$2:$B$70,$A48,交易明細!$C$2:$C$70,"做空")</f>
        <v/>
      </c>
      <c r="E48" s="2">
        <f>F48+G48+COUNTIFS(交易明細!$B$2:$B$70,$A48,交易明細!$J$2:$J$70,"時間出場")</f>
        <v/>
      </c>
      <c r="F48" s="2">
        <f>COUNTIFS(交易明細!$B$2:$B$70,$A48,交易明細!$J$2:$J$70,"止盈")</f>
        <v/>
      </c>
      <c r="G48" s="2">
        <f>COUNTIFS(交易明細!$B$2:$B$70,$A48,交易明細!$J$2:$J$70,"止損")</f>
        <v/>
      </c>
      <c r="H48" s="4">
        <f>IFERROR(F48/E48,0)</f>
        <v/>
      </c>
      <c r="I48" s="4">
        <f>IFERROR(AVERAGEIFS(交易明細!$L$2:$L$70,交易明細!$B$2:$B$70,$A48,交易明細!$J$2:$J$70,"&lt;&gt;未平倉"),0)</f>
        <v/>
      </c>
      <c r="J48" s="4">
        <f>SUMIFS(交易明細!$L$2:$L$70,交易明細!$B$2:$B$70,$A48,交易明細!$J$2:$J$70,"&lt;&gt;未平倉")</f>
        <v/>
      </c>
      <c r="K48" s="5">
        <f>IFERROR(AVERAGEIFS(交易明細!$K$2:$K$70,交易明細!$B$2:$B$70,$A48,交易明細!$J$2:$J$70,"&lt;&gt;未平倉"),0)</f>
        <v/>
      </c>
      <c r="L48" s="2">
        <f>COUNTIFS(交易明細!$B$2:$B$70,$A48,交易明細!$J$2:$J$70,"未平倉")</f>
        <v/>
      </c>
    </row>
    <row r="49">
      <c r="A49" s="2" t="inlineStr">
        <is>
          <t>BR_USDT_PERP</t>
        </is>
      </c>
      <c r="B49" s="2">
        <f>COUNTIFS(交易明細!$B$2:$B$70,$A49)</f>
        <v/>
      </c>
      <c r="C49" s="2">
        <f>COUNTIFS(交易明細!$B$2:$B$70,$A49,交易明細!$C$2:$C$70,"做多")</f>
        <v/>
      </c>
      <c r="D49" s="2">
        <f>COUNTIFS(交易明細!$B$2:$B$70,$A49,交易明細!$C$2:$C$70,"做空")</f>
        <v/>
      </c>
      <c r="E49" s="2">
        <f>F49+G49+COUNTIFS(交易明細!$B$2:$B$70,$A49,交易明細!$J$2:$J$70,"時間出場")</f>
        <v/>
      </c>
      <c r="F49" s="2">
        <f>COUNTIFS(交易明細!$B$2:$B$70,$A49,交易明細!$J$2:$J$70,"止盈")</f>
        <v/>
      </c>
      <c r="G49" s="2">
        <f>COUNTIFS(交易明細!$B$2:$B$70,$A49,交易明細!$J$2:$J$70,"止損")</f>
        <v/>
      </c>
      <c r="H49" s="4">
        <f>IFERROR(F49/E49,0)</f>
        <v/>
      </c>
      <c r="I49" s="4">
        <f>IFERROR(AVERAGEIFS(交易明細!$L$2:$L$70,交易明細!$B$2:$B$70,$A49,交易明細!$J$2:$J$70,"&lt;&gt;未平倉"),0)</f>
        <v/>
      </c>
      <c r="J49" s="4">
        <f>SUMIFS(交易明細!$L$2:$L$70,交易明細!$B$2:$B$70,$A49,交易明細!$J$2:$J$70,"&lt;&gt;未平倉")</f>
        <v/>
      </c>
      <c r="K49" s="5">
        <f>IFERROR(AVERAGEIFS(交易明細!$K$2:$K$70,交易明細!$B$2:$B$70,$A49,交易明細!$J$2:$J$70,"&lt;&gt;未平倉"),0)</f>
        <v/>
      </c>
      <c r="L49" s="2">
        <f>COUNTIFS(交易明細!$B$2:$B$70,$A49,交易明細!$J$2:$J$70,"未平倉")</f>
        <v/>
      </c>
    </row>
    <row r="50">
      <c r="A50" s="2" t="inlineStr">
        <is>
          <t>XPIN_USDT_PERP</t>
        </is>
      </c>
      <c r="B50" s="2">
        <f>COUNTIFS(交易明細!$B$2:$B$70,$A50)</f>
        <v/>
      </c>
      <c r="C50" s="2">
        <f>COUNTIFS(交易明細!$B$2:$B$70,$A50,交易明細!$C$2:$C$70,"做多")</f>
        <v/>
      </c>
      <c r="D50" s="2">
        <f>COUNTIFS(交易明細!$B$2:$B$70,$A50,交易明細!$C$2:$C$70,"做空")</f>
        <v/>
      </c>
      <c r="E50" s="2">
        <f>F50+G50+COUNTIFS(交易明細!$B$2:$B$70,$A50,交易明細!$J$2:$J$70,"時間出場")</f>
        <v/>
      </c>
      <c r="F50" s="2">
        <f>COUNTIFS(交易明細!$B$2:$B$70,$A50,交易明細!$J$2:$J$70,"止盈")</f>
        <v/>
      </c>
      <c r="G50" s="2">
        <f>COUNTIFS(交易明細!$B$2:$B$70,$A50,交易明細!$J$2:$J$70,"止損")</f>
        <v/>
      </c>
      <c r="H50" s="4">
        <f>IFERROR(F50/E50,0)</f>
        <v/>
      </c>
      <c r="I50" s="4">
        <f>IFERROR(AVERAGEIFS(交易明細!$L$2:$L$70,交易明細!$B$2:$B$70,$A50,交易明細!$J$2:$J$70,"&lt;&gt;未平倉"),0)</f>
        <v/>
      </c>
      <c r="J50" s="4">
        <f>SUMIFS(交易明細!$L$2:$L$70,交易明細!$B$2:$B$70,$A50,交易明細!$J$2:$J$70,"&lt;&gt;未平倉")</f>
        <v/>
      </c>
      <c r="K50" s="5">
        <f>IFERROR(AVERAGEIFS(交易明細!$K$2:$K$70,交易明細!$B$2:$B$70,$A50,交易明細!$J$2:$J$70,"&lt;&gt;未平倉"),0)</f>
        <v/>
      </c>
      <c r="L50" s="2">
        <f>COUNTIFS(交易明細!$B$2:$B$70,$A50,交易明細!$J$2:$J$70,"未平倉")</f>
        <v/>
      </c>
    </row>
  </sheetData>
  <autoFilter ref="A1:L5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2026-09-17T01:46:27Z</dcterms:created>
  <dcterms:modified xsi:type="dcterms:W3CDTF">2026-09-17T01:46:27Z</dcterms:modified>
</cp:coreProperties>
</file>