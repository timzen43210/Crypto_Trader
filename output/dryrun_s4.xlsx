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'資金明細'!$A$1:$Z$378</definedName>
    <definedName name="_xlnm._FilterDatabase" localSheetId="5" hidden="1">'交易明細'!$A$1:$AM$189</definedName>
    <definedName name="_xlnm._FilterDatabase" localSheetId="6" hidden="1">'幣種統計'!$A$1:$L$112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'資金明細'!$R$2:$R$378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2026-10-09 17:16（Dry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COUNTIFS(交易明細!$B$2:$B$189,"&lt;&gt;")</f>
        <v/>
      </c>
      <c r="C5" s="2">
        <f>D5+E5+F5</f>
        <v/>
      </c>
      <c r="D5" s="2">
        <f>COUNTIFS(交易明細!$J$2:$J$189,"止盈")</f>
        <v/>
      </c>
      <c r="E5" s="2">
        <f>COUNTIFS(交易明細!$J$2:$J$189,"止損")</f>
        <v/>
      </c>
      <c r="F5" s="2">
        <f>COUNTIFS(交易明細!$J$2:$J$189,"時間出場")</f>
        <v/>
      </c>
      <c r="G5" s="2">
        <f>COUNTIFS(交易明細!$J$2:$J$189,"未平倉")</f>
        <v/>
      </c>
      <c r="H5" s="4">
        <f>IFERROR(D5/C5,0)</f>
        <v/>
      </c>
      <c r="I5" s="4">
        <f>IFERROR(AVERAGEIFS(交易明細!$AC$2:$AC$189,交易明細!$J$2:$J$189,"&lt;&gt;未平倉"),參數!$B$16)</f>
        <v/>
      </c>
      <c r="J5" s="4">
        <f>IFERROR(AVERAGEIFS(交易明細!$L$2:$L$189,交易明細!$J$2:$J$189,"&lt;&gt;未平倉"),0)</f>
        <v/>
      </c>
      <c r="K5" s="4">
        <f>SUMIFS(交易明細!$L$2:$L$189,交易明細!$J$2:$J$189,"&lt;&gt;未平倉")</f>
        <v/>
      </c>
      <c r="L5" s="5">
        <f>IFERROR(AVERAGEIFS(交易明細!$K$2:$K$189,交易明細!$J$2:$J$189,"&lt;&gt;未平倉"),0)</f>
        <v/>
      </c>
      <c r="M5" s="5">
        <f>IFERROR(AVERAGEIFS(交易明細!$K$2:$K$189,交易明細!$J$2:$J$189,"止盈"),0)</f>
        <v/>
      </c>
      <c r="N5" s="5">
        <f>IFERROR(AVERAGEIFS(交易明細!$K$2:$K$189,交易明細!$J$2:$J$189,"止損"),0)</f>
        <v/>
      </c>
      <c r="O5" s="4">
        <f>IFERROR(AVERAGEIFS(交易明細!$L$2:$L$189,交易明細!$J$2:$J$189,"時間出場"),0)</f>
        <v/>
      </c>
      <c r="P5" s="4">
        <f>IFERROR(COUNTIFS(交易明細!$J$2:$J$189,"&lt;&gt;未平倉",交易明細!$L$2:$L$189,"&gt;0")/C5,0)</f>
        <v/>
      </c>
    </row>
    <row r="6">
      <c r="A6" s="2" t="inlineStr">
        <is>
          <t>做多</t>
        </is>
      </c>
      <c r="B6" s="2">
        <f>COUNTIFS(交易明細!$C$2:$C$189,"做多",交易明細!$B$2:$B$189,"&lt;&gt;")</f>
        <v/>
      </c>
      <c r="C6" s="2">
        <f>D6+E6+F6</f>
        <v/>
      </c>
      <c r="D6" s="2">
        <f>COUNTIFS(交易明細!$C$2:$C$189,"做多",交易明細!$J$2:$J$189,"止盈")</f>
        <v/>
      </c>
      <c r="E6" s="2">
        <f>COUNTIFS(交易明細!$C$2:$C$189,"做多",交易明細!$J$2:$J$189,"止損")</f>
        <v/>
      </c>
      <c r="F6" s="2">
        <f>COUNTIFS(交易明細!$C$2:$C$189,"做多",交易明細!$J$2:$J$189,"時間出場")</f>
        <v/>
      </c>
      <c r="G6" s="2">
        <f>COUNTIFS(交易明細!$C$2:$C$189,"做多",交易明細!$J$2:$J$189,"未平倉")</f>
        <v/>
      </c>
      <c r="H6" s="4">
        <f>IFERROR(D6/C6,0)</f>
        <v/>
      </c>
      <c r="I6" s="4">
        <f>IFERROR(AVERAGEIFS(交易明細!$AC$2:$AC$189,交易明細!$C$2:$C$189,"做多",交易明細!$J$2:$J$189,"&lt;&gt;未平倉"),參數!$B$16)</f>
        <v/>
      </c>
      <c r="J6" s="4">
        <f>IFERROR(AVERAGEIFS(交易明細!$L$2:$L$189,交易明細!$C$2:$C$189,"做多",交易明細!$J$2:$J$189,"&lt;&gt;未平倉"),0)</f>
        <v/>
      </c>
      <c r="K6" s="4">
        <f>SUMIFS(交易明細!$L$2:$L$189,交易明細!$C$2:$C$189,"做多",交易明細!$J$2:$J$189,"&lt;&gt;未平倉")</f>
        <v/>
      </c>
      <c r="L6" s="5">
        <f>IFERROR(AVERAGEIFS(交易明細!$K$2:$K$189,交易明細!$C$2:$C$189,"做多",交易明細!$J$2:$J$189,"&lt;&gt;未平倉"),0)</f>
        <v/>
      </c>
      <c r="M6" s="5">
        <f>IFERROR(AVERAGEIFS(交易明細!$K$2:$K$189,交易明細!$C$2:$C$189,"做多",交易明細!$J$2:$J$189,"止盈"),0)</f>
        <v/>
      </c>
      <c r="N6" s="5">
        <f>IFERROR(AVERAGEIFS(交易明細!$K$2:$K$189,交易明細!$C$2:$C$189,"做多",交易明細!$J$2:$J$189,"止損"),0)</f>
        <v/>
      </c>
      <c r="O6" s="4">
        <f>IFERROR(AVERAGEIFS(交易明細!$L$2:$L$189,交易明細!$C$2:$C$189,"做多",交易明細!$J$2:$J$189,"時間出場"),0)</f>
        <v/>
      </c>
      <c r="P6" s="4">
        <f>IFERROR(COUNTIFS(交易明細!$C$2:$C$189,"做多",交易明細!$J$2:$J$189,"&lt;&gt;未平倉",交易明細!$L$2:$L$189,"&gt;0")/C6,0)</f>
        <v/>
      </c>
    </row>
    <row r="7">
      <c r="A7" s="2" t="inlineStr">
        <is>
          <t>做空</t>
        </is>
      </c>
      <c r="B7" s="2">
        <f>COUNTIFS(交易明細!$C$2:$C$189,"做空",交易明細!$B$2:$B$189,"&lt;&gt;")</f>
        <v/>
      </c>
      <c r="C7" s="2">
        <f>D7+E7+F7</f>
        <v/>
      </c>
      <c r="D7" s="2">
        <f>COUNTIFS(交易明細!$C$2:$C$189,"做空",交易明細!$J$2:$J$189,"止盈")</f>
        <v/>
      </c>
      <c r="E7" s="2">
        <f>COUNTIFS(交易明細!$C$2:$C$189,"做空",交易明細!$J$2:$J$189,"止損")</f>
        <v/>
      </c>
      <c r="F7" s="2">
        <f>COUNTIFS(交易明細!$C$2:$C$189,"做空",交易明細!$J$2:$J$189,"時間出場")</f>
        <v/>
      </c>
      <c r="G7" s="2">
        <f>COUNTIFS(交易明細!$C$2:$C$189,"做空",交易明細!$J$2:$J$189,"未平倉")</f>
        <v/>
      </c>
      <c r="H7" s="4">
        <f>IFERROR(D7/C7,0)</f>
        <v/>
      </c>
      <c r="I7" s="4">
        <f>IFERROR(AVERAGEIFS(交易明細!$AC$2:$AC$189,交易明細!$C$2:$C$189,"做空",交易明細!$J$2:$J$189,"&lt;&gt;未平倉"),參數!$B$16)</f>
        <v/>
      </c>
      <c r="J7" s="4">
        <f>IFERROR(AVERAGEIFS(交易明細!$L$2:$L$189,交易明細!$C$2:$C$189,"做空",交易明細!$J$2:$J$189,"&lt;&gt;未平倉"),0)</f>
        <v/>
      </c>
      <c r="K7" s="4">
        <f>SUMIFS(交易明細!$L$2:$L$189,交易明細!$C$2:$C$189,"做空",交易明細!$J$2:$J$189,"&lt;&gt;未平倉")</f>
        <v/>
      </c>
      <c r="L7" s="5">
        <f>IFERROR(AVERAGEIFS(交易明細!$K$2:$K$189,交易明細!$C$2:$C$189,"做空",交易明細!$J$2:$J$189,"&lt;&gt;未平倉"),0)</f>
        <v/>
      </c>
      <c r="M7" s="5">
        <f>IFERROR(AVERAGEIFS(交易明細!$K$2:$K$189,交易明細!$C$2:$C$189,"做空",交易明細!$J$2:$J$189,"止盈"),0)</f>
        <v/>
      </c>
      <c r="N7" s="5">
        <f>IFERROR(AVERAGEIFS(交易明細!$K$2:$K$189,交易明細!$C$2:$C$189,"做空",交易明細!$J$2:$J$189,"止損"),0)</f>
        <v/>
      </c>
      <c r="O7" s="4">
        <f>IFERROR(AVERAGEIFS(交易明細!$L$2:$L$189,交易明細!$C$2:$C$189,"做空",交易明細!$J$2:$J$189,"時間出場"),0)</f>
        <v/>
      </c>
      <c r="P7" s="4">
        <f>IFERROR(COUNTIFS(交易明細!$C$2:$C$189,"做空",交易明細!$J$2:$J$189,"&lt;&gt;未平倉",交易明細!$L$2:$L$189,"&gt;0")/C7,0)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46304.71967576389</v>
      </c>
      <c r="B2" s="7" t="n">
        <v>46304.71875</v>
      </c>
      <c r="C2" s="2" t="n">
        <v>424</v>
      </c>
      <c r="D2" s="2" t="n">
        <v>3</v>
      </c>
      <c r="E2" s="2" t="n">
        <v>3</v>
      </c>
      <c r="F2" s="2" t="n">
        <v>0</v>
      </c>
      <c r="G2" s="2" t="n">
        <v>172.2</v>
      </c>
    </row>
    <row r="3">
      <c r="A3" s="7" t="n">
        <v>46304.42724962963</v>
      </c>
      <c r="B3" s="7" t="n">
        <v>46304.42638888889</v>
      </c>
      <c r="C3" s="2" t="n">
        <v>424</v>
      </c>
      <c r="D3" s="2" t="n">
        <v>0</v>
      </c>
      <c r="E3" s="2" t="n">
        <v>0</v>
      </c>
      <c r="F3" s="2" t="n">
        <v>0</v>
      </c>
      <c r="G3" s="2" t="n">
        <v>161.8</v>
      </c>
    </row>
    <row r="4">
      <c r="A4" s="7" t="n">
        <v>46304.40418914352</v>
      </c>
      <c r="B4" s="7" t="n">
        <v>46304.40347222222</v>
      </c>
      <c r="C4" s="2" t="n">
        <v>424</v>
      </c>
      <c r="D4" s="2" t="n">
        <v>0</v>
      </c>
      <c r="E4" s="2" t="n">
        <v>0</v>
      </c>
      <c r="F4" s="2" t="n">
        <v>0</v>
      </c>
      <c r="G4" s="2" t="n">
        <v>165.2</v>
      </c>
    </row>
    <row r="5">
      <c r="A5" s="7" t="n">
        <v>46304.25657934028</v>
      </c>
      <c r="B5" s="7" t="n">
        <v>46304.25555555556</v>
      </c>
      <c r="C5" s="2" t="n">
        <v>424</v>
      </c>
      <c r="D5" s="2" t="n">
        <v>0</v>
      </c>
      <c r="E5" s="2" t="n">
        <v>0</v>
      </c>
      <c r="F5" s="2" t="n">
        <v>0</v>
      </c>
      <c r="G5" s="2" t="n">
        <v>191.7</v>
      </c>
    </row>
    <row r="6">
      <c r="A6" s="7" t="n">
        <v>46304.02427626157</v>
      </c>
      <c r="B6" s="7" t="n">
        <v>46304.02291666667</v>
      </c>
      <c r="C6" s="2" t="n">
        <v>424</v>
      </c>
      <c r="D6" s="2" t="n">
        <v>1</v>
      </c>
      <c r="E6" s="2" t="n">
        <v>1</v>
      </c>
      <c r="F6" s="2" t="n">
        <v>0</v>
      </c>
      <c r="G6" s="2" t="n">
        <v>190.7</v>
      </c>
    </row>
    <row r="7">
      <c r="A7" s="7" t="n">
        <v>46303.77544002315</v>
      </c>
      <c r="B7" s="7" t="n">
        <v>46303.77430555555</v>
      </c>
      <c r="C7" s="2" t="n">
        <v>434</v>
      </c>
      <c r="D7" s="2" t="n">
        <v>1</v>
      </c>
      <c r="E7" s="2" t="n">
        <v>2</v>
      </c>
      <c r="F7" s="2" t="n">
        <v>0</v>
      </c>
      <c r="G7" s="2" t="n">
        <v>140.4</v>
      </c>
    </row>
    <row r="8">
      <c r="A8" s="7" t="n">
        <v>46303.71259842593</v>
      </c>
      <c r="B8" s="7" t="n">
        <v>46303.71180555555</v>
      </c>
      <c r="C8" s="2" t="n">
        <v>434</v>
      </c>
      <c r="D8" s="2" t="n">
        <v>3</v>
      </c>
      <c r="E8" s="2" t="n">
        <v>2</v>
      </c>
      <c r="F8" s="2" t="n">
        <v>0</v>
      </c>
      <c r="G8" s="2" t="n">
        <v>141.3</v>
      </c>
    </row>
    <row r="9">
      <c r="A9" s="7" t="n">
        <v>46303.41768807871</v>
      </c>
      <c r="B9" s="7" t="n">
        <v>46303.41666666666</v>
      </c>
      <c r="C9" s="2" t="n">
        <v>434</v>
      </c>
      <c r="D9" s="2" t="n">
        <v>0</v>
      </c>
      <c r="E9" s="2" t="n">
        <v>0</v>
      </c>
      <c r="F9" s="2" t="n">
        <v>0</v>
      </c>
      <c r="G9" s="2" t="n">
        <v>194.5</v>
      </c>
    </row>
    <row r="10">
      <c r="A10" s="7" t="n">
        <v>46303.22279260417</v>
      </c>
      <c r="B10" s="7" t="n">
        <v>46303.22152777778</v>
      </c>
      <c r="C10" s="2" t="n">
        <v>434</v>
      </c>
      <c r="D10" s="2" t="n">
        <v>2</v>
      </c>
      <c r="E10" s="2" t="n">
        <v>2</v>
      </c>
      <c r="F10" s="2" t="n">
        <v>0</v>
      </c>
      <c r="G10" s="2" t="n">
        <v>192.9</v>
      </c>
    </row>
    <row r="11">
      <c r="A11" s="7" t="n">
        <v>46302.98345733796</v>
      </c>
      <c r="B11" s="7" t="n">
        <v>46302.98263888889</v>
      </c>
      <c r="C11" s="2" t="n">
        <v>434</v>
      </c>
      <c r="D11" s="2" t="n">
        <v>1</v>
      </c>
      <c r="E11" s="2" t="n">
        <v>1</v>
      </c>
      <c r="F11" s="2" t="n">
        <v>0</v>
      </c>
      <c r="G11" s="2" t="n">
        <v>189.7</v>
      </c>
    </row>
    <row r="12">
      <c r="A12" s="7" t="n">
        <v>46302.91855568287</v>
      </c>
      <c r="B12" s="7" t="n">
        <v>46302.91736111111</v>
      </c>
      <c r="C12" s="2" t="n">
        <v>434</v>
      </c>
      <c r="D12" s="2" t="n">
        <v>0</v>
      </c>
      <c r="E12" s="2" t="n">
        <v>0</v>
      </c>
      <c r="F12" s="2" t="n">
        <v>0</v>
      </c>
      <c r="G12" s="2" t="n">
        <v>195.1</v>
      </c>
    </row>
    <row r="13">
      <c r="A13" s="7" t="n">
        <v>46302.63748732639</v>
      </c>
      <c r="B13" s="7" t="n">
        <v>46302.63611111111</v>
      </c>
      <c r="C13" s="2" t="n">
        <v>434</v>
      </c>
      <c r="D13" s="2" t="n">
        <v>0</v>
      </c>
      <c r="E13" s="2" t="n">
        <v>0</v>
      </c>
      <c r="F13" s="2" t="n">
        <v>0</v>
      </c>
      <c r="G13" s="2" t="n">
        <v>149.8</v>
      </c>
    </row>
    <row r="14">
      <c r="A14" s="7" t="n">
        <v>46302.36557295139</v>
      </c>
      <c r="B14" s="7" t="n">
        <v>46302.36458333334</v>
      </c>
      <c r="C14" s="2" t="n">
        <v>434</v>
      </c>
      <c r="D14" s="2" t="n">
        <v>0</v>
      </c>
      <c r="E14" s="2" t="n">
        <v>0</v>
      </c>
      <c r="F14" s="2" t="n">
        <v>0</v>
      </c>
      <c r="G14" s="2" t="n">
        <v>187.2</v>
      </c>
    </row>
    <row r="15">
      <c r="A15" s="7" t="n">
        <v>46302.18334195602</v>
      </c>
      <c r="B15" s="7" t="n">
        <v>46302.18263888889</v>
      </c>
      <c r="C15" s="2" t="n">
        <v>434</v>
      </c>
      <c r="D15" s="2" t="n">
        <v>1</v>
      </c>
      <c r="E15" s="2" t="n">
        <v>1</v>
      </c>
      <c r="F15" s="2" t="n">
        <v>0</v>
      </c>
      <c r="G15" s="2" t="n">
        <v>143.5</v>
      </c>
    </row>
    <row r="16">
      <c r="A16" s="7" t="n">
        <v>46301.96957728009</v>
      </c>
      <c r="B16" s="7" t="n">
        <v>46301.96875</v>
      </c>
      <c r="C16" s="2" t="n">
        <v>434</v>
      </c>
      <c r="D16" s="2" t="n">
        <v>2</v>
      </c>
      <c r="E16" s="2" t="n">
        <v>2</v>
      </c>
      <c r="F16" s="2" t="n">
        <v>0</v>
      </c>
      <c r="G16" s="2" t="n">
        <v>153.4</v>
      </c>
    </row>
    <row r="17">
      <c r="A17" s="7" t="n">
        <v>46301.81112700231</v>
      </c>
      <c r="B17" s="7" t="n">
        <v>46301.81041666667</v>
      </c>
      <c r="C17" s="2" t="n">
        <v>434</v>
      </c>
      <c r="D17" s="2" t="n">
        <v>0</v>
      </c>
      <c r="E17" s="2" t="n">
        <v>0</v>
      </c>
      <c r="F17" s="2" t="n">
        <v>0</v>
      </c>
      <c r="G17" s="2" t="n">
        <v>163.5</v>
      </c>
    </row>
    <row r="18">
      <c r="A18" s="7" t="n">
        <v>46301.65108299768</v>
      </c>
      <c r="B18" s="7" t="n">
        <v>46301.65</v>
      </c>
      <c r="C18" s="2" t="n">
        <v>434</v>
      </c>
      <c r="D18" s="2" t="n">
        <v>0</v>
      </c>
      <c r="E18" s="2" t="n">
        <v>0</v>
      </c>
      <c r="F18" s="2" t="n">
        <v>0</v>
      </c>
      <c r="G18" s="2" t="n">
        <v>163.9</v>
      </c>
    </row>
    <row r="19">
      <c r="A19" s="7" t="n">
        <v>46301.36894638889</v>
      </c>
      <c r="B19" s="7" t="n">
        <v>46301.36805555555</v>
      </c>
      <c r="C19" s="2" t="n">
        <v>434</v>
      </c>
      <c r="D19" s="2" t="n">
        <v>0</v>
      </c>
      <c r="E19" s="2" t="n">
        <v>0</v>
      </c>
      <c r="F19" s="2" t="n">
        <v>0</v>
      </c>
      <c r="G19" s="2" t="n">
        <v>163.9</v>
      </c>
    </row>
    <row r="20">
      <c r="A20" s="7" t="n">
        <v>46301.10619697917</v>
      </c>
      <c r="B20" s="7" t="n">
        <v>46301.10486111111</v>
      </c>
      <c r="C20" s="2" t="n">
        <v>434</v>
      </c>
      <c r="D20" s="2" t="n">
        <v>0</v>
      </c>
      <c r="E20" s="2" t="n">
        <v>0</v>
      </c>
      <c r="F20" s="2" t="n">
        <v>0</v>
      </c>
      <c r="G20" s="2" t="n">
        <v>185.1</v>
      </c>
    </row>
    <row r="21">
      <c r="A21" s="7" t="n">
        <v>46300.94284798611</v>
      </c>
      <c r="B21" s="7" t="n">
        <v>46300.94166666667</v>
      </c>
      <c r="C21" s="2" t="n">
        <v>434</v>
      </c>
      <c r="D21" s="2" t="n">
        <v>1</v>
      </c>
      <c r="E21" s="2" t="n">
        <v>1</v>
      </c>
      <c r="F21" s="2" t="n">
        <v>0</v>
      </c>
      <c r="G21" s="2" t="n">
        <v>178.3</v>
      </c>
    </row>
    <row r="22">
      <c r="A22" s="7" t="n">
        <v>46300.71639594907</v>
      </c>
      <c r="B22" s="7" t="n">
        <v>46300.71527777778</v>
      </c>
      <c r="C22" s="2" t="n">
        <v>434</v>
      </c>
      <c r="D22" s="2" t="n">
        <v>0</v>
      </c>
      <c r="E22" s="2" t="n">
        <v>0</v>
      </c>
      <c r="F22" s="2" t="n">
        <v>0</v>
      </c>
      <c r="G22" s="2" t="n">
        <v>191.4</v>
      </c>
    </row>
    <row r="23">
      <c r="A23" s="7" t="n">
        <v>46300.42120295139</v>
      </c>
      <c r="B23" s="7" t="n">
        <v>46300.42013888889</v>
      </c>
      <c r="C23" s="2" t="n">
        <v>435</v>
      </c>
      <c r="D23" s="2" t="n">
        <v>0</v>
      </c>
      <c r="E23" s="2" t="n">
        <v>0</v>
      </c>
      <c r="F23" s="2" t="n">
        <v>0</v>
      </c>
      <c r="G23" s="2" t="n">
        <v>186</v>
      </c>
    </row>
    <row r="24">
      <c r="A24" s="7" t="n">
        <v>46300.30229967592</v>
      </c>
      <c r="B24" s="7" t="n">
        <v>46300.30138888889</v>
      </c>
      <c r="C24" s="2" t="n">
        <v>435</v>
      </c>
      <c r="D24" s="2" t="n">
        <v>0</v>
      </c>
      <c r="E24" s="2" t="n">
        <v>0</v>
      </c>
      <c r="F24" s="2" t="n">
        <v>0</v>
      </c>
      <c r="G24" s="2" t="n">
        <v>186.7</v>
      </c>
    </row>
    <row r="25">
      <c r="A25" s="7" t="n">
        <v>46300.1536875926</v>
      </c>
      <c r="B25" s="7" t="n">
        <v>46300.15277777778</v>
      </c>
      <c r="C25" s="2" t="n">
        <v>435</v>
      </c>
      <c r="D25" s="2" t="n">
        <v>0</v>
      </c>
      <c r="E25" s="2" t="n">
        <v>0</v>
      </c>
      <c r="F25" s="2" t="n">
        <v>0</v>
      </c>
      <c r="G25" s="2" t="n">
        <v>149.8</v>
      </c>
    </row>
    <row r="26">
      <c r="A26" s="7" t="n">
        <v>46299.97588962963</v>
      </c>
      <c r="B26" s="7" t="n">
        <v>46299.975</v>
      </c>
      <c r="C26" s="2" t="n">
        <v>435</v>
      </c>
      <c r="D26" s="2" t="n">
        <v>1</v>
      </c>
      <c r="E26" s="2" t="n">
        <v>1</v>
      </c>
      <c r="F26" s="2" t="n">
        <v>0</v>
      </c>
      <c r="G26" s="2" t="n">
        <v>191.9</v>
      </c>
    </row>
    <row r="27">
      <c r="A27" s="7" t="n">
        <v>46299.90213123843</v>
      </c>
      <c r="B27" s="7" t="n">
        <v>46299.90138888889</v>
      </c>
      <c r="C27" s="2" t="n">
        <v>435</v>
      </c>
      <c r="D27" s="2" t="n">
        <v>0</v>
      </c>
      <c r="E27" s="2" t="n">
        <v>0</v>
      </c>
      <c r="F27" s="2" t="n">
        <v>0</v>
      </c>
      <c r="G27" s="2" t="n">
        <v>188.2</v>
      </c>
    </row>
    <row r="28">
      <c r="A28" s="7" t="n">
        <v>46299.74574608796</v>
      </c>
      <c r="B28" s="7" t="n">
        <v>46299.74444444444</v>
      </c>
      <c r="C28" s="2" t="n">
        <v>435</v>
      </c>
      <c r="D28" s="2" t="n">
        <v>2</v>
      </c>
      <c r="E28" s="2" t="n">
        <v>2</v>
      </c>
      <c r="F28" s="2" t="n">
        <v>1</v>
      </c>
      <c r="G28" s="2" t="n">
        <v>187.4</v>
      </c>
    </row>
    <row r="29">
      <c r="A29" s="7" t="n">
        <v>46299.48719824074</v>
      </c>
      <c r="B29" s="7" t="n">
        <v>46299.48611111111</v>
      </c>
      <c r="C29" s="2" t="n">
        <v>435</v>
      </c>
      <c r="D29" s="2" t="n">
        <v>0</v>
      </c>
      <c r="E29" s="2" t="n">
        <v>0</v>
      </c>
      <c r="F29" s="2" t="n">
        <v>1</v>
      </c>
      <c r="G29" s="2" t="n">
        <v>184.7</v>
      </c>
    </row>
    <row r="30">
      <c r="A30" s="7" t="n">
        <v>46299.44683753472</v>
      </c>
      <c r="B30" s="7" t="n">
        <v>46299.44583333333</v>
      </c>
      <c r="C30" s="2" t="n">
        <v>435</v>
      </c>
      <c r="D30" s="2" t="n">
        <v>0</v>
      </c>
      <c r="E30" s="2" t="n">
        <v>0</v>
      </c>
      <c r="F30" s="2" t="n">
        <v>1</v>
      </c>
      <c r="G30" s="2" t="n">
        <v>189.6</v>
      </c>
    </row>
    <row r="31">
      <c r="A31" s="7" t="n">
        <v>46299.29732329861</v>
      </c>
      <c r="B31" s="7" t="n">
        <v>46299.29652777778</v>
      </c>
      <c r="C31" s="2" t="n">
        <v>435</v>
      </c>
      <c r="D31" s="2" t="n">
        <v>0</v>
      </c>
      <c r="E31" s="2" t="n">
        <v>0</v>
      </c>
      <c r="F31" s="2" t="n">
        <v>1</v>
      </c>
      <c r="G31" s="2" t="n">
        <v>186.6</v>
      </c>
    </row>
    <row r="32">
      <c r="A32" s="7" t="n">
        <v>46299.16534118055</v>
      </c>
      <c r="B32" s="7" t="n">
        <v>46299.16458333333</v>
      </c>
      <c r="C32" s="2" t="n">
        <v>435</v>
      </c>
      <c r="D32" s="2" t="n">
        <v>0</v>
      </c>
      <c r="E32" s="2" t="n">
        <v>1</v>
      </c>
      <c r="F32" s="2" t="n">
        <v>1</v>
      </c>
      <c r="G32" s="2" t="n">
        <v>160.2</v>
      </c>
    </row>
    <row r="33">
      <c r="A33" s="7" t="n">
        <v>46299.01924309028</v>
      </c>
      <c r="B33" s="7" t="n">
        <v>46299.01805555556</v>
      </c>
      <c r="C33" s="2" t="n">
        <v>435</v>
      </c>
      <c r="D33" s="2" t="n">
        <v>2</v>
      </c>
      <c r="E33" s="2" t="n">
        <v>1</v>
      </c>
      <c r="F33" s="2" t="n">
        <v>1</v>
      </c>
      <c r="G33" s="2" t="n">
        <v>194</v>
      </c>
    </row>
    <row r="34">
      <c r="A34" s="7" t="n">
        <v>46298.82413289352</v>
      </c>
      <c r="B34" s="7" t="n">
        <v>46298.82291666666</v>
      </c>
      <c r="C34" s="2" t="n">
        <v>435</v>
      </c>
      <c r="D34" s="2" t="n">
        <v>0</v>
      </c>
      <c r="E34" s="2" t="n">
        <v>0</v>
      </c>
      <c r="F34" s="2" t="n">
        <v>1</v>
      </c>
      <c r="G34" s="2" t="n">
        <v>180.1</v>
      </c>
    </row>
    <row r="35">
      <c r="A35" s="7" t="n">
        <v>46298.64104893518</v>
      </c>
      <c r="B35" s="7" t="n">
        <v>46298.64027777778</v>
      </c>
      <c r="C35" s="2" t="n">
        <v>435</v>
      </c>
      <c r="D35" s="2" t="n">
        <v>0</v>
      </c>
      <c r="E35" s="2" t="n">
        <v>0</v>
      </c>
      <c r="F35" s="2" t="n">
        <v>1</v>
      </c>
      <c r="G35" s="2" t="n">
        <v>180.1</v>
      </c>
    </row>
    <row r="36">
      <c r="A36" s="7" t="n">
        <v>46298.55905060185</v>
      </c>
      <c r="B36" s="7" t="n">
        <v>46298.55833333333</v>
      </c>
      <c r="C36" s="2" t="n">
        <v>435</v>
      </c>
      <c r="D36" s="2" t="n">
        <v>0</v>
      </c>
      <c r="E36" s="2" t="n">
        <v>0</v>
      </c>
      <c r="F36" s="2" t="n">
        <v>1</v>
      </c>
      <c r="G36" s="2" t="n">
        <v>159.7</v>
      </c>
    </row>
    <row r="37">
      <c r="A37" s="7" t="n">
        <v>46298.32651334491</v>
      </c>
      <c r="B37" s="7" t="n">
        <v>46298.32569444444</v>
      </c>
      <c r="C37" s="2" t="n">
        <v>435</v>
      </c>
      <c r="D37" s="2" t="n">
        <v>0</v>
      </c>
      <c r="E37" s="2" t="n">
        <v>0</v>
      </c>
      <c r="F37" s="2" t="n">
        <v>2</v>
      </c>
      <c r="G37" s="2" t="n">
        <v>189.1</v>
      </c>
    </row>
    <row r="38">
      <c r="A38" s="7" t="n">
        <v>46298.14088650463</v>
      </c>
      <c r="B38" s="7" t="n">
        <v>46298.13958333333</v>
      </c>
      <c r="C38" s="2" t="n">
        <v>435</v>
      </c>
      <c r="D38" s="2" t="n">
        <v>0</v>
      </c>
      <c r="E38" s="2" t="n">
        <v>0</v>
      </c>
      <c r="F38" s="2" t="n">
        <v>2</v>
      </c>
      <c r="G38" s="2" t="n">
        <v>195.5</v>
      </c>
    </row>
    <row r="39">
      <c r="A39" s="7" t="n">
        <v>46298.00826386574</v>
      </c>
      <c r="B39" s="7" t="n">
        <v>46298.00694444445</v>
      </c>
      <c r="C39" s="2" t="n">
        <v>435</v>
      </c>
      <c r="D39" s="2" t="n">
        <v>0</v>
      </c>
      <c r="E39" s="2" t="n">
        <v>0</v>
      </c>
      <c r="F39" s="2" t="n">
        <v>2</v>
      </c>
      <c r="G39" s="2" t="n">
        <v>190.7</v>
      </c>
    </row>
    <row r="40">
      <c r="A40" s="7" t="n">
        <v>46297.91349550926</v>
      </c>
      <c r="B40" s="7" t="n">
        <v>46297.9125</v>
      </c>
      <c r="C40" s="2" t="n">
        <v>435</v>
      </c>
      <c r="D40" s="2" t="n">
        <v>0</v>
      </c>
      <c r="E40" s="2" t="n">
        <v>0</v>
      </c>
      <c r="F40" s="2" t="n">
        <v>3</v>
      </c>
      <c r="G40" s="2" t="n">
        <v>179.2</v>
      </c>
    </row>
    <row r="41">
      <c r="A41" s="7" t="n">
        <v>46297.90064986111</v>
      </c>
      <c r="B41" s="7" t="n">
        <v>46297.89930555555</v>
      </c>
      <c r="C41" s="2" t="n">
        <v>435</v>
      </c>
      <c r="D41" s="2" t="n">
        <v>0</v>
      </c>
      <c r="E41" s="2" t="n">
        <v>0</v>
      </c>
      <c r="F41" s="2" t="n">
        <v>3</v>
      </c>
      <c r="G41" s="2" t="n">
        <v>180.1</v>
      </c>
    </row>
    <row r="42">
      <c r="A42" s="7" t="n">
        <v>46297.75623421296</v>
      </c>
      <c r="B42" s="7" t="n">
        <v>46297.75486111111</v>
      </c>
      <c r="C42" s="2" t="n">
        <v>435</v>
      </c>
      <c r="D42" s="2" t="n">
        <v>0</v>
      </c>
      <c r="E42" s="2" t="n">
        <v>0</v>
      </c>
      <c r="F42" s="2" t="n">
        <v>3</v>
      </c>
      <c r="G42" s="2" t="n">
        <v>199.1</v>
      </c>
    </row>
    <row r="43">
      <c r="A43" s="7" t="n">
        <v>46297.70907445602</v>
      </c>
      <c r="B43" s="7" t="n">
        <v>46297.70833333334</v>
      </c>
      <c r="C43" s="2" t="n">
        <v>435</v>
      </c>
      <c r="D43" s="2" t="n">
        <v>1</v>
      </c>
      <c r="E43" s="2" t="n">
        <v>1</v>
      </c>
      <c r="F43" s="2" t="n">
        <v>3</v>
      </c>
      <c r="G43" s="2" t="n">
        <v>148.2</v>
      </c>
    </row>
    <row r="44">
      <c r="A44" s="7" t="n">
        <v>46297.62748648148</v>
      </c>
      <c r="B44" s="7" t="n">
        <v>46297.62638888889</v>
      </c>
      <c r="C44" s="2" t="n">
        <v>435</v>
      </c>
      <c r="D44" s="2" t="n">
        <v>0</v>
      </c>
      <c r="E44" s="2" t="n">
        <v>0</v>
      </c>
      <c r="F44" s="2" t="n">
        <v>3</v>
      </c>
      <c r="G44" s="2" t="n">
        <v>188.8</v>
      </c>
    </row>
    <row r="45">
      <c r="A45" s="7" t="n">
        <v>46297.59146636574</v>
      </c>
      <c r="B45" s="7" t="n">
        <v>46297.59027777778</v>
      </c>
      <c r="C45" s="2" t="n">
        <v>435</v>
      </c>
      <c r="D45" s="2" t="n">
        <v>0</v>
      </c>
      <c r="E45" s="2" t="n">
        <v>0</v>
      </c>
      <c r="F45" s="2" t="n">
        <v>3</v>
      </c>
      <c r="G45" s="2" t="n">
        <v>188.7</v>
      </c>
    </row>
    <row r="46">
      <c r="A46" s="7" t="n">
        <v>46297.47377153935</v>
      </c>
      <c r="B46" s="7" t="n">
        <v>46297.47291666667</v>
      </c>
      <c r="C46" s="2" t="n">
        <v>435</v>
      </c>
      <c r="D46" s="2" t="n">
        <v>0</v>
      </c>
      <c r="E46" s="2" t="n">
        <v>0</v>
      </c>
      <c r="F46" s="2" t="n">
        <v>4</v>
      </c>
      <c r="G46" s="2" t="n">
        <v>159.9</v>
      </c>
    </row>
    <row r="47">
      <c r="A47" s="7" t="n">
        <v>46297.43863659722</v>
      </c>
      <c r="B47" s="7" t="n">
        <v>46297.4375</v>
      </c>
      <c r="C47" s="2" t="n">
        <v>435</v>
      </c>
      <c r="D47" s="2" t="n">
        <v>0</v>
      </c>
      <c r="E47" s="2" t="n">
        <v>0</v>
      </c>
      <c r="F47" s="2" t="n">
        <v>4</v>
      </c>
      <c r="G47" s="2" t="n">
        <v>181.3</v>
      </c>
    </row>
    <row r="48">
      <c r="A48" s="7" t="n">
        <v>46297.36902693287</v>
      </c>
      <c r="B48" s="7" t="n">
        <v>46297.36805555555</v>
      </c>
      <c r="C48" s="2" t="n">
        <v>434</v>
      </c>
      <c r="D48" s="2" t="n">
        <v>0</v>
      </c>
      <c r="E48" s="2" t="n">
        <v>0</v>
      </c>
      <c r="F48" s="2" t="n">
        <v>1</v>
      </c>
      <c r="G48" s="2" t="n">
        <v>191.7</v>
      </c>
    </row>
    <row r="49">
      <c r="A49" s="7" t="n">
        <v>46297.34984872685</v>
      </c>
      <c r="B49" s="7" t="n">
        <v>46297.34861111111</v>
      </c>
      <c r="C49" s="2" t="n">
        <v>434</v>
      </c>
      <c r="D49" s="2" t="n">
        <v>0</v>
      </c>
      <c r="E49" s="2" t="n">
        <v>0</v>
      </c>
      <c r="F49" s="2" t="n">
        <v>1</v>
      </c>
      <c r="G49" s="2" t="n">
        <v>185.3</v>
      </c>
    </row>
    <row r="50">
      <c r="A50" s="7" t="n">
        <v>46297.18230064815</v>
      </c>
      <c r="B50" s="7" t="n">
        <v>46297.18125</v>
      </c>
      <c r="C50" s="2" t="n">
        <v>434</v>
      </c>
      <c r="D50" s="2" t="n">
        <v>1</v>
      </c>
      <c r="E50" s="2" t="n">
        <v>1</v>
      </c>
      <c r="F50" s="2" t="n">
        <v>1</v>
      </c>
      <c r="G50" s="2" t="n">
        <v>159.5</v>
      </c>
    </row>
    <row r="51">
      <c r="A51" s="7" t="n">
        <v>46297.01546863426</v>
      </c>
      <c r="B51" s="7" t="n">
        <v>46297.01458333333</v>
      </c>
      <c r="C51" s="2" t="n">
        <v>434</v>
      </c>
      <c r="D51" s="2" t="n">
        <v>0</v>
      </c>
      <c r="E51" s="2" t="n">
        <v>0</v>
      </c>
      <c r="F51" s="2" t="n">
        <v>2</v>
      </c>
      <c r="G51" s="2" t="n">
        <v>179.4</v>
      </c>
    </row>
    <row r="52">
      <c r="A52" s="7" t="n">
        <v>46296.99918069445</v>
      </c>
      <c r="B52" s="7" t="n">
        <v>46296.99791666667</v>
      </c>
      <c r="C52" s="2" t="n">
        <v>434</v>
      </c>
      <c r="D52" s="2" t="n">
        <v>0</v>
      </c>
      <c r="E52" s="2" t="n">
        <v>0</v>
      </c>
      <c r="F52" s="2" t="n">
        <v>2</v>
      </c>
      <c r="G52" s="2" t="n">
        <v>167.2</v>
      </c>
    </row>
    <row r="53">
      <c r="A53" s="7" t="n">
        <v>46296.94003458333</v>
      </c>
      <c r="B53" s="7" t="n">
        <v>46296.93888888889</v>
      </c>
      <c r="C53" s="2" t="n">
        <v>434</v>
      </c>
      <c r="D53" s="2" t="n">
        <v>0</v>
      </c>
      <c r="E53" s="2" t="n">
        <v>0</v>
      </c>
      <c r="F53" s="2" t="n">
        <v>2</v>
      </c>
      <c r="G53" s="2" t="n">
        <v>189.5</v>
      </c>
    </row>
    <row r="54">
      <c r="A54" s="7" t="n">
        <v>46296.7419153125</v>
      </c>
      <c r="B54" s="7" t="n">
        <v>46296.74097222222</v>
      </c>
      <c r="C54" s="2" t="n">
        <v>434</v>
      </c>
      <c r="D54" s="2" t="n">
        <v>0</v>
      </c>
      <c r="E54" s="2" t="n">
        <v>0</v>
      </c>
      <c r="F54" s="2" t="n">
        <v>2</v>
      </c>
      <c r="G54" s="2" t="n">
        <v>150</v>
      </c>
    </row>
    <row r="55">
      <c r="A55" s="7" t="n">
        <v>46296.63539230324</v>
      </c>
      <c r="B55" s="7" t="n">
        <v>46296.63402777778</v>
      </c>
      <c r="C55" s="2" t="n">
        <v>434</v>
      </c>
      <c r="D55" s="2" t="n">
        <v>0</v>
      </c>
      <c r="E55" s="2" t="n">
        <v>0</v>
      </c>
      <c r="F55" s="2" t="n">
        <v>2</v>
      </c>
      <c r="G55" s="2" t="n">
        <v>195</v>
      </c>
    </row>
    <row r="56">
      <c r="A56" s="7" t="n">
        <v>46296.6196469213</v>
      </c>
      <c r="B56" s="7" t="n">
        <v>46296.61875</v>
      </c>
      <c r="C56" s="2" t="n">
        <v>434</v>
      </c>
      <c r="D56" s="2" t="n">
        <v>0</v>
      </c>
      <c r="E56" s="2" t="n">
        <v>0</v>
      </c>
      <c r="F56" s="2" t="n">
        <v>2</v>
      </c>
      <c r="G56" s="2" t="n">
        <v>190.6</v>
      </c>
    </row>
    <row r="57">
      <c r="A57" s="7" t="n">
        <v>46296.55481784722</v>
      </c>
      <c r="B57" s="7" t="n">
        <v>46296.55347222222</v>
      </c>
      <c r="C57" s="2" t="n">
        <v>434</v>
      </c>
      <c r="D57" s="2" t="n">
        <v>0</v>
      </c>
      <c r="E57" s="2" t="n">
        <v>0</v>
      </c>
      <c r="F57" s="2" t="n">
        <v>2</v>
      </c>
      <c r="G57" s="2" t="n">
        <v>189.9</v>
      </c>
    </row>
    <row r="58">
      <c r="A58" s="7" t="n">
        <v>46296.49238505787</v>
      </c>
      <c r="B58" s="7" t="n">
        <v>46296.49166666667</v>
      </c>
      <c r="C58" s="2" t="n">
        <v>434</v>
      </c>
      <c r="D58" s="2" t="n">
        <v>0</v>
      </c>
      <c r="E58" s="2" t="n">
        <v>0</v>
      </c>
      <c r="F58" s="2" t="n">
        <v>3</v>
      </c>
      <c r="G58" s="2" t="n">
        <v>189.7</v>
      </c>
    </row>
    <row r="59">
      <c r="A59" s="7" t="n">
        <v>46296.35809899306</v>
      </c>
      <c r="B59" s="7" t="n">
        <v>46296.35694444444</v>
      </c>
      <c r="C59" s="2" t="n">
        <v>434</v>
      </c>
      <c r="D59" s="2" t="n">
        <v>0</v>
      </c>
      <c r="E59" s="2" t="n">
        <v>0</v>
      </c>
      <c r="F59" s="2" t="n">
        <v>3</v>
      </c>
      <c r="G59" s="2" t="n">
        <v>152.4</v>
      </c>
    </row>
    <row r="60">
      <c r="A60" s="7" t="n">
        <v>46296.20216918981</v>
      </c>
      <c r="B60" s="7" t="n">
        <v>46296.20138888889</v>
      </c>
      <c r="C60" s="2" t="n">
        <v>434</v>
      </c>
      <c r="D60" s="2" t="n">
        <v>1</v>
      </c>
      <c r="E60" s="2" t="n">
        <v>1</v>
      </c>
      <c r="F60" s="2" t="n">
        <v>3</v>
      </c>
      <c r="G60" s="2" t="n">
        <v>180</v>
      </c>
    </row>
    <row r="61">
      <c r="A61" s="7" t="n">
        <v>46295.99840958334</v>
      </c>
      <c r="B61" s="7" t="n">
        <v>46295.99722222222</v>
      </c>
      <c r="C61" s="2" t="n">
        <v>434</v>
      </c>
      <c r="D61" s="2" t="n">
        <v>0</v>
      </c>
      <c r="E61" s="2" t="n">
        <v>0</v>
      </c>
      <c r="F61" s="2" t="n">
        <v>3</v>
      </c>
      <c r="G61" s="2" t="n">
        <v>187.6</v>
      </c>
    </row>
    <row r="62">
      <c r="A62" s="7" t="n">
        <v>46295.94423819445</v>
      </c>
      <c r="B62" s="7" t="n">
        <v>46295.94305555556</v>
      </c>
      <c r="C62" s="2" t="n">
        <v>434</v>
      </c>
      <c r="D62" s="2" t="n">
        <v>0</v>
      </c>
      <c r="E62" s="2" t="n">
        <v>0</v>
      </c>
      <c r="F62" s="2" t="n">
        <v>3</v>
      </c>
      <c r="G62" s="2" t="n">
        <v>150.7</v>
      </c>
    </row>
    <row r="63">
      <c r="A63" s="7" t="n">
        <v>46295.91675143519</v>
      </c>
      <c r="B63" s="7" t="n">
        <v>46295.91597222222</v>
      </c>
      <c r="C63" s="2" t="n">
        <v>434</v>
      </c>
      <c r="D63" s="2" t="n">
        <v>0</v>
      </c>
      <c r="E63" s="2" t="n">
        <v>1</v>
      </c>
      <c r="F63" s="2" t="n">
        <v>3</v>
      </c>
      <c r="G63" s="2" t="n">
        <v>189.9</v>
      </c>
    </row>
    <row r="64">
      <c r="A64" s="7" t="n">
        <v>46295.87897131944</v>
      </c>
      <c r="B64" s="7" t="n">
        <v>46295.87777777778</v>
      </c>
      <c r="C64" s="2" t="n">
        <v>434</v>
      </c>
      <c r="D64" s="2" t="n">
        <v>1</v>
      </c>
      <c r="E64" s="2" t="n">
        <v>0</v>
      </c>
      <c r="F64" s="2" t="n">
        <v>3</v>
      </c>
      <c r="G64" s="2" t="n">
        <v>187.8</v>
      </c>
    </row>
    <row r="65">
      <c r="A65" s="7" t="n">
        <v>46295.84232043981</v>
      </c>
      <c r="B65" s="7" t="n">
        <v>46295.84097222222</v>
      </c>
      <c r="C65" s="2" t="n">
        <v>434</v>
      </c>
      <c r="D65" s="2" t="n">
        <v>1</v>
      </c>
      <c r="E65" s="2" t="n">
        <v>1</v>
      </c>
      <c r="F65" s="2" t="n">
        <v>3</v>
      </c>
      <c r="G65" s="2" t="n">
        <v>147.8</v>
      </c>
    </row>
    <row r="66">
      <c r="A66" s="7" t="n">
        <v>46295.76311292824</v>
      </c>
      <c r="B66" s="7" t="n">
        <v>46295.76180555556</v>
      </c>
      <c r="C66" s="2" t="n">
        <v>434</v>
      </c>
      <c r="D66" s="2" t="n">
        <v>1</v>
      </c>
      <c r="E66" s="2" t="n">
        <v>1</v>
      </c>
      <c r="F66" s="2" t="n">
        <v>3</v>
      </c>
      <c r="G66" s="2" t="n">
        <v>188</v>
      </c>
    </row>
    <row r="67">
      <c r="A67" s="7" t="n">
        <v>46295.71942712963</v>
      </c>
      <c r="B67" s="7" t="n">
        <v>46295.71805555555</v>
      </c>
      <c r="C67" s="2" t="n">
        <v>434</v>
      </c>
      <c r="D67" s="2" t="n">
        <v>0</v>
      </c>
      <c r="E67" s="2" t="n">
        <v>0</v>
      </c>
      <c r="F67" s="2" t="n">
        <v>3</v>
      </c>
      <c r="G67" s="2" t="n">
        <v>163.9</v>
      </c>
    </row>
    <row r="68">
      <c r="A68" s="7" t="n">
        <v>46295.69435030092</v>
      </c>
      <c r="B68" s="7" t="n">
        <v>46295.69305555556</v>
      </c>
      <c r="C68" s="2" t="n">
        <v>434</v>
      </c>
      <c r="D68" s="2" t="n">
        <v>0</v>
      </c>
      <c r="E68" s="2" t="n">
        <v>0</v>
      </c>
      <c r="F68" s="2" t="n">
        <v>3</v>
      </c>
      <c r="G68" s="2" t="n">
        <v>141.1</v>
      </c>
    </row>
    <row r="69">
      <c r="A69" s="7" t="n">
        <v>46295.5782999537</v>
      </c>
      <c r="B69" s="7" t="n">
        <v>46295.57708333333</v>
      </c>
      <c r="C69" s="2" t="n">
        <v>434</v>
      </c>
      <c r="D69" s="2" t="n">
        <v>0</v>
      </c>
      <c r="E69" s="2" t="n">
        <v>0</v>
      </c>
      <c r="F69" s="2" t="n">
        <v>5</v>
      </c>
      <c r="G69" s="2" t="n">
        <v>191.3</v>
      </c>
    </row>
    <row r="70">
      <c r="A70" s="7" t="n">
        <v>46295.51228863426</v>
      </c>
      <c r="B70" s="7" t="n">
        <v>46295.51111111111</v>
      </c>
      <c r="C70" s="2" t="n">
        <v>434</v>
      </c>
      <c r="D70" s="2" t="n">
        <v>0</v>
      </c>
      <c r="E70" s="2" t="n">
        <v>0</v>
      </c>
      <c r="F70" s="2" t="n">
        <v>5</v>
      </c>
      <c r="G70" s="2" t="n">
        <v>188.8</v>
      </c>
    </row>
    <row r="71">
      <c r="A71" s="7" t="n">
        <v>46295.44308225694</v>
      </c>
      <c r="B71" s="7" t="n">
        <v>46295.44236111111</v>
      </c>
      <c r="C71" s="2" t="n">
        <v>433</v>
      </c>
      <c r="D71" s="2" t="n">
        <v>0</v>
      </c>
      <c r="E71" s="2" t="n">
        <v>0</v>
      </c>
      <c r="F71" s="2" t="n">
        <v>2</v>
      </c>
      <c r="G71" s="2" t="n">
        <v>167.1</v>
      </c>
    </row>
    <row r="72">
      <c r="A72" s="7" t="n">
        <v>46295.42368403935</v>
      </c>
      <c r="B72" s="7" t="n">
        <v>46295.42291666667</v>
      </c>
      <c r="C72" s="2" t="n">
        <v>433</v>
      </c>
      <c r="D72" s="2" t="n">
        <v>0</v>
      </c>
      <c r="E72" s="2" t="n">
        <v>0</v>
      </c>
      <c r="F72" s="2" t="n">
        <v>2</v>
      </c>
      <c r="G72" s="2" t="n">
        <v>150.9</v>
      </c>
    </row>
    <row r="73">
      <c r="A73" s="7" t="n">
        <v>46295.29174006944</v>
      </c>
      <c r="B73" s="7" t="n">
        <v>46295.29097222222</v>
      </c>
      <c r="C73" s="2" t="n">
        <v>433</v>
      </c>
      <c r="D73" s="2" t="n">
        <v>0</v>
      </c>
      <c r="E73" s="2" t="n">
        <v>0</v>
      </c>
      <c r="F73" s="2" t="n">
        <v>2</v>
      </c>
      <c r="G73" s="2" t="n">
        <v>191.4</v>
      </c>
    </row>
    <row r="74">
      <c r="A74" s="7" t="n">
        <v>46295.11156024306</v>
      </c>
      <c r="B74" s="7" t="n">
        <v>46295.11041666667</v>
      </c>
      <c r="C74" s="2" t="n">
        <v>433</v>
      </c>
      <c r="D74" s="2" t="n">
        <v>0</v>
      </c>
      <c r="E74" s="2" t="n">
        <v>0</v>
      </c>
      <c r="F74" s="2" t="n">
        <v>2</v>
      </c>
      <c r="G74" s="2" t="n">
        <v>185.8</v>
      </c>
    </row>
    <row r="75">
      <c r="A75" s="7" t="n">
        <v>46294.99800613426</v>
      </c>
      <c r="B75" s="7" t="n">
        <v>46294.99722222222</v>
      </c>
      <c r="C75" s="2" t="n">
        <v>433</v>
      </c>
      <c r="D75" s="2" t="n">
        <v>0</v>
      </c>
      <c r="E75" s="2" t="n">
        <v>0</v>
      </c>
      <c r="F75" s="2" t="n">
        <v>2</v>
      </c>
      <c r="G75" s="2" t="n">
        <v>153.7</v>
      </c>
    </row>
    <row r="76">
      <c r="A76" s="7" t="n">
        <v>46294.95333178241</v>
      </c>
      <c r="B76" s="7" t="n">
        <v>46294.95208333333</v>
      </c>
      <c r="C76" s="2" t="n">
        <v>433</v>
      </c>
      <c r="D76" s="2" t="n">
        <v>0</v>
      </c>
      <c r="E76" s="2" t="n">
        <v>0</v>
      </c>
      <c r="F76" s="2" t="n">
        <v>2</v>
      </c>
      <c r="G76" s="2" t="n">
        <v>177.4</v>
      </c>
    </row>
    <row r="77">
      <c r="A77" s="7" t="n">
        <v>46294.87612561342</v>
      </c>
      <c r="B77" s="7" t="n">
        <v>46294.875</v>
      </c>
      <c r="C77" s="2" t="n">
        <v>433</v>
      </c>
      <c r="D77" s="2" t="n">
        <v>0</v>
      </c>
      <c r="E77" s="2" t="n">
        <v>0</v>
      </c>
      <c r="F77" s="2" t="n">
        <v>2</v>
      </c>
      <c r="G77" s="2" t="n">
        <v>196.6</v>
      </c>
    </row>
    <row r="78">
      <c r="A78" s="7" t="n">
        <v>46294.76526767361</v>
      </c>
      <c r="B78" s="7" t="n">
        <v>46294.76388888889</v>
      </c>
      <c r="C78" s="2" t="n">
        <v>433</v>
      </c>
      <c r="D78" s="2" t="n">
        <v>0</v>
      </c>
      <c r="E78" s="2" t="n">
        <v>0</v>
      </c>
      <c r="F78" s="2" t="n">
        <v>2</v>
      </c>
      <c r="G78" s="2" t="n">
        <v>182.5</v>
      </c>
    </row>
    <row r="79">
      <c r="A79" s="7" t="n">
        <v>46294.66075324074</v>
      </c>
      <c r="B79" s="7" t="n">
        <v>46294.65972222222</v>
      </c>
      <c r="C79" s="2" t="n">
        <v>433</v>
      </c>
      <c r="D79" s="2" t="n">
        <v>0</v>
      </c>
      <c r="E79" s="2" t="n">
        <v>0</v>
      </c>
      <c r="F79" s="2" t="n">
        <v>3</v>
      </c>
      <c r="G79" s="2" t="n">
        <v>174</v>
      </c>
    </row>
    <row r="80">
      <c r="A80" s="7" t="n">
        <v>46294.57647584491</v>
      </c>
      <c r="B80" s="7" t="n">
        <v>46294.57569444444</v>
      </c>
      <c r="C80" s="2" t="n">
        <v>432</v>
      </c>
      <c r="D80" s="2" t="n">
        <v>0</v>
      </c>
      <c r="E80" s="2" t="n">
        <v>0</v>
      </c>
      <c r="F80" s="2" t="n">
        <v>0</v>
      </c>
      <c r="G80" s="2" t="n">
        <v>147.5</v>
      </c>
    </row>
    <row r="81">
      <c r="A81" s="7" t="n">
        <v>46294.46163141204</v>
      </c>
      <c r="B81" s="7" t="n">
        <v>46294.46041666667</v>
      </c>
      <c r="C81" s="2" t="n">
        <v>432</v>
      </c>
      <c r="D81" s="2" t="n">
        <v>1</v>
      </c>
      <c r="E81" s="2" t="n">
        <v>1</v>
      </c>
      <c r="F81" s="2" t="n">
        <v>0</v>
      </c>
      <c r="G81" s="2" t="n">
        <v>193.3</v>
      </c>
    </row>
    <row r="82">
      <c r="A82" s="7" t="n">
        <v>46294.30606211806</v>
      </c>
      <c r="B82" s="7" t="n">
        <v>46294.30486111111</v>
      </c>
      <c r="C82" s="2" t="n">
        <v>432</v>
      </c>
      <c r="D82" s="2" t="n">
        <v>0</v>
      </c>
      <c r="E82" s="2" t="n">
        <v>0</v>
      </c>
      <c r="F82" s="2" t="n">
        <v>0</v>
      </c>
      <c r="G82" s="2" t="n">
        <v>165.6</v>
      </c>
    </row>
    <row r="83">
      <c r="A83" s="7" t="n">
        <v>46294.07080519676</v>
      </c>
      <c r="B83" s="7" t="n">
        <v>46294.06944444445</v>
      </c>
      <c r="C83" s="2" t="n">
        <v>432</v>
      </c>
      <c r="D83" s="2" t="n">
        <v>1</v>
      </c>
      <c r="E83" s="2" t="n">
        <v>1</v>
      </c>
      <c r="F83" s="2" t="n">
        <v>0</v>
      </c>
      <c r="G83" s="2" t="n">
        <v>193.3</v>
      </c>
    </row>
    <row r="84">
      <c r="A84" s="7" t="n">
        <v>46293.99403509259</v>
      </c>
      <c r="B84" s="7" t="n">
        <v>46293.99305555555</v>
      </c>
      <c r="C84" s="2" t="n">
        <v>432</v>
      </c>
      <c r="D84" s="2" t="n">
        <v>0</v>
      </c>
      <c r="E84" s="2" t="n">
        <v>1</v>
      </c>
      <c r="F84" s="2" t="n">
        <v>0</v>
      </c>
      <c r="G84" s="2" t="n">
        <v>153.6</v>
      </c>
    </row>
    <row r="85">
      <c r="A85" s="7" t="n">
        <v>46293.9460828588</v>
      </c>
      <c r="B85" s="7" t="n">
        <v>46293.94513888889</v>
      </c>
      <c r="C85" s="2" t="n">
        <v>432</v>
      </c>
      <c r="D85" s="2" t="n">
        <v>1</v>
      </c>
      <c r="E85" s="2" t="n">
        <v>0</v>
      </c>
      <c r="F85" s="2" t="n">
        <v>0</v>
      </c>
      <c r="G85" s="2" t="n">
        <v>197.9</v>
      </c>
    </row>
    <row r="86">
      <c r="A86" s="7" t="n">
        <v>46293.85933717593</v>
      </c>
      <c r="B86" s="7" t="n">
        <v>46293.85833333333</v>
      </c>
      <c r="C86" s="2" t="n">
        <v>432</v>
      </c>
      <c r="D86" s="2" t="n">
        <v>1</v>
      </c>
      <c r="E86" s="2" t="n">
        <v>1</v>
      </c>
      <c r="F86" s="2" t="n">
        <v>0</v>
      </c>
      <c r="G86" s="2" t="n">
        <v>185</v>
      </c>
    </row>
    <row r="87">
      <c r="A87" s="7" t="n">
        <v>46293.69837709491</v>
      </c>
      <c r="B87" s="7" t="n">
        <v>46293.69722222222</v>
      </c>
      <c r="C87" s="2" t="n">
        <v>432</v>
      </c>
      <c r="D87" s="2" t="n">
        <v>0</v>
      </c>
      <c r="E87" s="2" t="n">
        <v>1</v>
      </c>
      <c r="F87" s="2" t="n">
        <v>0</v>
      </c>
      <c r="G87" s="2" t="n">
        <v>144.9</v>
      </c>
    </row>
    <row r="88">
      <c r="A88" s="7" t="n">
        <v>46293.67139270833</v>
      </c>
      <c r="B88" s="7" t="n">
        <v>46293.67013888889</v>
      </c>
      <c r="C88" s="2" t="n">
        <v>432</v>
      </c>
      <c r="D88" s="2" t="n">
        <v>1</v>
      </c>
      <c r="E88" s="2" t="n">
        <v>0</v>
      </c>
      <c r="F88" s="2" t="n">
        <v>0</v>
      </c>
      <c r="G88" s="2" t="n">
        <v>186.3</v>
      </c>
    </row>
    <row r="89">
      <c r="A89" s="7" t="n">
        <v>46293.54465268519</v>
      </c>
      <c r="B89" s="7" t="n">
        <v>46293.54375</v>
      </c>
      <c r="C89" s="2" t="n">
        <v>432</v>
      </c>
      <c r="D89" s="2" t="n">
        <v>0</v>
      </c>
      <c r="E89" s="2" t="n">
        <v>0</v>
      </c>
      <c r="F89" s="2" t="n">
        <v>0</v>
      </c>
      <c r="G89" s="2" t="n">
        <v>150</v>
      </c>
    </row>
    <row r="90">
      <c r="A90" s="7" t="n">
        <v>46293.46449744213</v>
      </c>
      <c r="B90" s="7" t="n">
        <v>46293.46319444444</v>
      </c>
      <c r="C90" s="2" t="n">
        <v>432</v>
      </c>
      <c r="D90" s="2" t="n">
        <v>0</v>
      </c>
      <c r="E90" s="2" t="n">
        <v>1</v>
      </c>
      <c r="F90" s="2" t="n">
        <v>0</v>
      </c>
      <c r="G90" s="2" t="n">
        <v>193.4</v>
      </c>
    </row>
    <row r="91">
      <c r="A91" s="7" t="n">
        <v>46293.40532865741</v>
      </c>
      <c r="B91" s="7" t="n">
        <v>46293.40416666667</v>
      </c>
      <c r="C91" s="2" t="n">
        <v>433</v>
      </c>
      <c r="D91" s="2" t="n">
        <v>1</v>
      </c>
      <c r="E91" s="2" t="n">
        <v>0</v>
      </c>
      <c r="F91" s="2" t="n">
        <v>0</v>
      </c>
      <c r="G91" s="2" t="n">
        <v>194.7</v>
      </c>
    </row>
    <row r="92">
      <c r="A92" s="7" t="n">
        <v>46293.26205886574</v>
      </c>
      <c r="B92" s="7" t="n">
        <v>46293.26111111111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178</v>
      </c>
    </row>
    <row r="93">
      <c r="A93" s="7" t="n">
        <v>46293.12570534722</v>
      </c>
      <c r="B93" s="7" t="n">
        <v>46293.125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193.1</v>
      </c>
    </row>
    <row r="94">
      <c r="A94" s="7" t="n">
        <v>46293.08172232639</v>
      </c>
      <c r="B94" s="7" t="n">
        <v>46293.08055555556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148.9</v>
      </c>
    </row>
    <row r="95">
      <c r="A95" s="7" t="n">
        <v>46292.9814453588</v>
      </c>
      <c r="B95" s="7" t="n">
        <v>46292.98055555556</v>
      </c>
      <c r="C95" s="2" t="n">
        <v>433</v>
      </c>
      <c r="D95" s="2" t="n">
        <v>0</v>
      </c>
      <c r="E95" s="2" t="n">
        <v>1</v>
      </c>
      <c r="F95" s="2" t="n">
        <v>0</v>
      </c>
      <c r="G95" s="2" t="n">
        <v>186</v>
      </c>
    </row>
    <row r="96">
      <c r="A96" s="7" t="n">
        <v>46292.9472603125</v>
      </c>
      <c r="B96" s="7" t="n">
        <v>46292.94652777778</v>
      </c>
      <c r="C96" s="2" t="n">
        <v>433</v>
      </c>
      <c r="D96" s="2" t="n">
        <v>1</v>
      </c>
      <c r="E96" s="2" t="n">
        <v>0</v>
      </c>
      <c r="F96" s="2" t="n">
        <v>0</v>
      </c>
      <c r="G96" s="2" t="n">
        <v>192.1</v>
      </c>
    </row>
    <row r="97">
      <c r="A97" s="7" t="n">
        <v>46292.919814375</v>
      </c>
      <c r="B97" s="7" t="n">
        <v>46292.91875</v>
      </c>
      <c r="C97" s="2" t="n">
        <v>433</v>
      </c>
      <c r="D97" s="2" t="n">
        <v>0</v>
      </c>
      <c r="E97" s="2" t="n">
        <v>1</v>
      </c>
      <c r="F97" s="2" t="n">
        <v>0</v>
      </c>
      <c r="G97" s="2" t="n">
        <v>192.5</v>
      </c>
    </row>
    <row r="98">
      <c r="A98" s="7" t="n">
        <v>46292.81065981482</v>
      </c>
      <c r="B98" s="7" t="n">
        <v>46292.80972222222</v>
      </c>
      <c r="C98" s="2" t="n">
        <v>433</v>
      </c>
      <c r="D98" s="2" t="n">
        <v>1</v>
      </c>
      <c r="E98" s="2" t="n">
        <v>0</v>
      </c>
      <c r="F98" s="2" t="n">
        <v>0</v>
      </c>
      <c r="G98" s="2" t="n">
        <v>177.2</v>
      </c>
    </row>
    <row r="99">
      <c r="A99" s="7" t="n">
        <v>46292.73704342593</v>
      </c>
      <c r="B99" s="7" t="n">
        <v>46292.73611111111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147.3</v>
      </c>
    </row>
    <row r="100">
      <c r="A100" s="7" t="n">
        <v>46292.67926077546</v>
      </c>
      <c r="B100" s="7" t="n">
        <v>46292.67847222222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197.6</v>
      </c>
    </row>
    <row r="101">
      <c r="A101" s="7" t="n">
        <v>46292.6274472338</v>
      </c>
      <c r="B101" s="7" t="n">
        <v>46292.62638888889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192.4</v>
      </c>
    </row>
    <row r="102">
      <c r="A102" s="7" t="n">
        <v>46292.50599667824</v>
      </c>
      <c r="B102" s="7" t="n">
        <v>46292.50486111111</v>
      </c>
      <c r="C102" s="2" t="n">
        <v>433</v>
      </c>
      <c r="D102" s="2" t="n">
        <v>1</v>
      </c>
      <c r="E102" s="2" t="n">
        <v>1</v>
      </c>
      <c r="F102" s="2" t="n">
        <v>0</v>
      </c>
      <c r="G102" s="2" t="n">
        <v>191.3</v>
      </c>
    </row>
    <row r="103">
      <c r="A103" s="7" t="n">
        <v>46292.39740747685</v>
      </c>
      <c r="B103" s="7" t="n">
        <v>46292.39652777778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150.9</v>
      </c>
    </row>
    <row r="104">
      <c r="A104" s="7" t="n">
        <v>46292.28951247685</v>
      </c>
      <c r="B104" s="7" t="n">
        <v>46292.28819444445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163.9</v>
      </c>
    </row>
    <row r="105">
      <c r="A105" s="7" t="n">
        <v>46292.28563091435</v>
      </c>
      <c r="B105" s="7" t="n">
        <v>46292.28472222222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186.1</v>
      </c>
    </row>
    <row r="106">
      <c r="A106" s="7" t="n">
        <v>46292.16453692129</v>
      </c>
      <c r="B106" s="7" t="n">
        <v>46292.16319444445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183.8</v>
      </c>
    </row>
    <row r="107">
      <c r="A107" s="7" t="n">
        <v>46292.05207142361</v>
      </c>
      <c r="B107" s="7" t="n">
        <v>46292.05069444444</v>
      </c>
      <c r="C107" s="2" t="n">
        <v>433</v>
      </c>
      <c r="D107" s="2" t="n">
        <v>1</v>
      </c>
      <c r="E107" s="2" t="n">
        <v>2</v>
      </c>
      <c r="F107" s="2" t="n">
        <v>0</v>
      </c>
      <c r="G107" s="2" t="n">
        <v>160.8</v>
      </c>
    </row>
    <row r="108">
      <c r="A108" s="7" t="n">
        <v>46291.98017201389</v>
      </c>
      <c r="B108" s="7" t="n">
        <v>46291.97916666666</v>
      </c>
      <c r="C108" s="2" t="n">
        <v>433</v>
      </c>
      <c r="D108" s="2" t="n">
        <v>1</v>
      </c>
      <c r="E108" s="2" t="n">
        <v>0</v>
      </c>
      <c r="F108" s="2" t="n">
        <v>0</v>
      </c>
      <c r="G108" s="2" t="n">
        <v>148.2</v>
      </c>
    </row>
    <row r="109">
      <c r="A109" s="7" t="n">
        <v>46291.93749069444</v>
      </c>
      <c r="B109" s="7" t="n">
        <v>46291.93611111111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163.1</v>
      </c>
    </row>
    <row r="110">
      <c r="A110" s="7" t="n">
        <v>46291.88266193287</v>
      </c>
      <c r="B110" s="7" t="n">
        <v>46291.88194444445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140.5</v>
      </c>
    </row>
    <row r="111">
      <c r="A111" s="7" t="n">
        <v>46291.83751681713</v>
      </c>
      <c r="B111" s="7" t="n">
        <v>46291.83680555555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186.6</v>
      </c>
    </row>
    <row r="112">
      <c r="A112" s="7" t="n">
        <v>46291.78589450232</v>
      </c>
      <c r="B112" s="7" t="n">
        <v>46291.78472222222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157.8</v>
      </c>
    </row>
    <row r="113">
      <c r="A113" s="7" t="n">
        <v>46291.65882908565</v>
      </c>
      <c r="B113" s="7" t="n">
        <v>46291.65763888889</v>
      </c>
      <c r="C113" s="2" t="n">
        <v>433</v>
      </c>
      <c r="D113" s="2" t="n">
        <v>0</v>
      </c>
      <c r="E113" s="2" t="n">
        <v>1</v>
      </c>
      <c r="F113" s="2" t="n">
        <v>0</v>
      </c>
      <c r="G113" s="2" t="n">
        <v>175.7</v>
      </c>
    </row>
    <row r="114">
      <c r="A114" s="7" t="n">
        <v>46291.63896155093</v>
      </c>
      <c r="B114" s="7" t="n">
        <v>46291.63819444444</v>
      </c>
      <c r="C114" s="2" t="n">
        <v>433</v>
      </c>
      <c r="D114" s="2" t="n">
        <v>1</v>
      </c>
      <c r="E114" s="2" t="n">
        <v>0</v>
      </c>
      <c r="F114" s="2" t="n">
        <v>0</v>
      </c>
      <c r="G114" s="2" t="n">
        <v>177.9</v>
      </c>
    </row>
    <row r="115">
      <c r="A115" s="7" t="n">
        <v>46291.63155474537</v>
      </c>
      <c r="B115" s="7" t="n">
        <v>46291.63055555556</v>
      </c>
      <c r="C115" s="2" t="n">
        <v>433</v>
      </c>
      <c r="D115" s="2" t="n">
        <v>1</v>
      </c>
      <c r="E115" s="2" t="n">
        <v>1</v>
      </c>
      <c r="F115" s="2" t="n">
        <v>0</v>
      </c>
      <c r="G115" s="2" t="n">
        <v>172.6</v>
      </c>
    </row>
    <row r="116">
      <c r="A116" s="7" t="n">
        <v>46291.58748165509</v>
      </c>
      <c r="B116" s="7" t="n">
        <v>46291.58611111111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148</v>
      </c>
    </row>
    <row r="117">
      <c r="A117" s="7" t="n">
        <v>46291.52177836806</v>
      </c>
      <c r="B117" s="7" t="n">
        <v>46291.52083333334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187.5</v>
      </c>
    </row>
    <row r="118">
      <c r="A118" s="7" t="n">
        <v>46291.40186751157</v>
      </c>
      <c r="B118" s="7" t="n">
        <v>46291.40069444444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188.1</v>
      </c>
    </row>
    <row r="119">
      <c r="A119" s="7" t="n">
        <v>46291.36540915509</v>
      </c>
      <c r="B119" s="7" t="n">
        <v>46291.36458333334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163.5</v>
      </c>
    </row>
    <row r="120">
      <c r="A120" s="7" t="n">
        <v>46291.26887001158</v>
      </c>
      <c r="B120" s="7" t="n">
        <v>46291.26805555556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184.5</v>
      </c>
    </row>
    <row r="121">
      <c r="A121" s="7" t="n">
        <v>46291.2560487963</v>
      </c>
      <c r="B121" s="7" t="n">
        <v>46291.25486111111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191.6</v>
      </c>
    </row>
    <row r="122">
      <c r="A122" s="7" t="n">
        <v>46291.11246790509</v>
      </c>
      <c r="B122" s="7" t="n">
        <v>46291.11111111111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182.3</v>
      </c>
    </row>
    <row r="123">
      <c r="A123" s="7" t="n">
        <v>46291.02308788194</v>
      </c>
      <c r="B123" s="7" t="n">
        <v>46291.02222222222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140.5</v>
      </c>
    </row>
    <row r="124">
      <c r="A124" s="7" t="n">
        <v>46290.9990443287</v>
      </c>
      <c r="B124" s="7" t="n">
        <v>46290.99791666667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197.5</v>
      </c>
    </row>
    <row r="125">
      <c r="A125" s="7" t="n">
        <v>46290.91267655093</v>
      </c>
      <c r="B125" s="7" t="n">
        <v>46290.91180555556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193.4</v>
      </c>
    </row>
    <row r="126">
      <c r="A126" s="7" t="n">
        <v>46290.82088560185</v>
      </c>
      <c r="B126" s="7" t="n">
        <v>46290.82013888889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174.9</v>
      </c>
    </row>
    <row r="127">
      <c r="A127" s="7" t="n">
        <v>46290.76820827546</v>
      </c>
      <c r="B127" s="7" t="n">
        <v>46290.76736111111</v>
      </c>
      <c r="C127" s="2" t="n">
        <v>433</v>
      </c>
      <c r="D127" s="2" t="n">
        <v>0</v>
      </c>
      <c r="E127" s="2" t="n">
        <v>0</v>
      </c>
      <c r="F127" s="2" t="n">
        <v>0</v>
      </c>
      <c r="G127" s="2" t="n">
        <v>187</v>
      </c>
    </row>
    <row r="128">
      <c r="A128" s="7" t="n">
        <v>46290.709303125</v>
      </c>
      <c r="B128" s="7" t="n">
        <v>46290.70833333334</v>
      </c>
      <c r="C128" s="2" t="n">
        <v>433</v>
      </c>
      <c r="D128" s="2" t="n">
        <v>0</v>
      </c>
      <c r="E128" s="2" t="n">
        <v>0</v>
      </c>
      <c r="F128" s="2" t="n">
        <v>0</v>
      </c>
      <c r="G128" s="2" t="n">
        <v>187.6</v>
      </c>
    </row>
    <row r="129">
      <c r="A129" s="7" t="n">
        <v>46290.66382769676</v>
      </c>
      <c r="B129" s="7" t="n">
        <v>46290.6625</v>
      </c>
      <c r="C129" s="2" t="n">
        <v>433</v>
      </c>
      <c r="D129" s="2" t="n">
        <v>0</v>
      </c>
      <c r="E129" s="2" t="n">
        <v>0</v>
      </c>
      <c r="F129" s="2" t="n">
        <v>0</v>
      </c>
      <c r="G129" s="2" t="n">
        <v>185.1</v>
      </c>
    </row>
    <row r="130">
      <c r="A130" s="7" t="n">
        <v>46290.61757802084</v>
      </c>
      <c r="B130" s="7" t="n">
        <v>46290.61666666667</v>
      </c>
      <c r="C130" s="2" t="n">
        <v>433</v>
      </c>
      <c r="D130" s="2" t="n">
        <v>0</v>
      </c>
      <c r="E130" s="2" t="n">
        <v>0</v>
      </c>
      <c r="F130" s="2" t="n">
        <v>0</v>
      </c>
      <c r="G130" s="2" t="n">
        <v>178.9</v>
      </c>
    </row>
    <row r="131">
      <c r="A131" s="7" t="n">
        <v>46290.55632820602</v>
      </c>
      <c r="B131" s="7" t="n">
        <v>46290.55555555555</v>
      </c>
      <c r="C131" s="2" t="n">
        <v>433</v>
      </c>
      <c r="D131" s="2" t="n">
        <v>0</v>
      </c>
      <c r="E131" s="2" t="n">
        <v>0</v>
      </c>
      <c r="F131" s="2" t="n">
        <v>0</v>
      </c>
      <c r="G131" s="2" t="n">
        <v>179.4</v>
      </c>
    </row>
    <row r="132">
      <c r="A132" s="7" t="n">
        <v>46290.50409561343</v>
      </c>
      <c r="B132" s="7" t="n">
        <v>46290.50277777778</v>
      </c>
      <c r="C132" s="2" t="n">
        <v>433</v>
      </c>
      <c r="D132" s="2" t="n">
        <v>0</v>
      </c>
      <c r="E132" s="2" t="n">
        <v>0</v>
      </c>
      <c r="F132" s="2" t="n">
        <v>0</v>
      </c>
      <c r="G132" s="2" t="n">
        <v>174.5</v>
      </c>
    </row>
    <row r="133">
      <c r="A133" s="7" t="n">
        <v>46290.39966920139</v>
      </c>
      <c r="B133" s="7" t="n">
        <v>46290.39861111111</v>
      </c>
      <c r="C133" s="2" t="n">
        <v>433</v>
      </c>
      <c r="D133" s="2" t="n">
        <v>0</v>
      </c>
      <c r="E133" s="2" t="n">
        <v>0</v>
      </c>
      <c r="F133" s="2" t="n">
        <v>0</v>
      </c>
      <c r="G133" s="2" t="n">
        <v>189.8</v>
      </c>
    </row>
    <row r="134">
      <c r="A134" s="7" t="n">
        <v>46290.3483633912</v>
      </c>
      <c r="B134" s="7" t="n">
        <v>46290.34722222222</v>
      </c>
      <c r="C134" s="2" t="n">
        <v>433</v>
      </c>
      <c r="D134" s="2" t="n">
        <v>0</v>
      </c>
      <c r="E134" s="2" t="n">
        <v>0</v>
      </c>
      <c r="F134" s="2" t="n">
        <v>0</v>
      </c>
      <c r="G134" s="2" t="n">
        <v>163.4</v>
      </c>
    </row>
    <row r="135">
      <c r="A135" s="7" t="n">
        <v>46290.27195019676</v>
      </c>
      <c r="B135" s="7" t="n">
        <v>46290.27083333334</v>
      </c>
      <c r="C135" s="2" t="n">
        <v>433</v>
      </c>
      <c r="D135" s="2" t="n">
        <v>0</v>
      </c>
      <c r="E135" s="2" t="n">
        <v>0</v>
      </c>
      <c r="F135" s="2" t="n">
        <v>1</v>
      </c>
      <c r="G135" s="2" t="n">
        <v>182.9</v>
      </c>
    </row>
    <row r="136">
      <c r="A136" s="7" t="n">
        <v>46290.13587655093</v>
      </c>
      <c r="B136" s="7" t="n">
        <v>46290.13472222222</v>
      </c>
      <c r="C136" s="2" t="n">
        <v>433</v>
      </c>
      <c r="D136" s="2" t="n">
        <v>1</v>
      </c>
      <c r="E136" s="2" t="n">
        <v>1</v>
      </c>
      <c r="F136" s="2" t="n">
        <v>1</v>
      </c>
      <c r="G136" s="2" t="n">
        <v>191.6</v>
      </c>
    </row>
    <row r="137">
      <c r="A137" s="7" t="n">
        <v>46290.02908936342</v>
      </c>
      <c r="B137" s="7" t="n">
        <v>46290.02777777778</v>
      </c>
      <c r="C137" s="2" t="n">
        <v>433</v>
      </c>
      <c r="D137" s="2" t="n">
        <v>1</v>
      </c>
      <c r="E137" s="2" t="n">
        <v>1</v>
      </c>
      <c r="F137" s="2" t="n">
        <v>1</v>
      </c>
      <c r="G137" s="2" t="n">
        <v>166.2</v>
      </c>
    </row>
    <row r="138">
      <c r="A138" s="7" t="n">
        <v>46289.96715996528</v>
      </c>
      <c r="B138" s="7" t="n">
        <v>46289.96597222222</v>
      </c>
      <c r="C138" s="2" t="n">
        <v>433</v>
      </c>
      <c r="D138" s="2" t="n">
        <v>0</v>
      </c>
      <c r="E138" s="2" t="n">
        <v>0</v>
      </c>
      <c r="F138" s="2" t="n">
        <v>1</v>
      </c>
      <c r="G138" s="2" t="n">
        <v>190.1</v>
      </c>
    </row>
    <row r="139">
      <c r="A139" s="7" t="n">
        <v>46289.95004011574</v>
      </c>
      <c r="B139" s="7" t="n">
        <v>46289.94930555556</v>
      </c>
      <c r="C139" s="2" t="n">
        <v>433</v>
      </c>
      <c r="D139" s="2" t="n">
        <v>0</v>
      </c>
      <c r="E139" s="2" t="n">
        <v>0</v>
      </c>
      <c r="F139" s="2" t="n">
        <v>1</v>
      </c>
      <c r="G139" s="2" t="n">
        <v>178.4</v>
      </c>
    </row>
    <row r="140">
      <c r="A140" s="7" t="n">
        <v>46289.94135959491</v>
      </c>
      <c r="B140" s="7" t="n">
        <v>46289.94027777778</v>
      </c>
      <c r="C140" s="2" t="n">
        <v>433</v>
      </c>
      <c r="D140" s="2" t="n">
        <v>0</v>
      </c>
      <c r="E140" s="2" t="n">
        <v>0</v>
      </c>
      <c r="F140" s="2" t="n">
        <v>1</v>
      </c>
      <c r="G140" s="2" t="n">
        <v>183.8</v>
      </c>
    </row>
    <row r="141">
      <c r="A141" s="7" t="n">
        <v>46289.92565313658</v>
      </c>
      <c r="B141" s="7" t="n">
        <v>46289.92430555556</v>
      </c>
      <c r="C141" s="2" t="n">
        <v>433</v>
      </c>
      <c r="D141" s="2" t="n">
        <v>0</v>
      </c>
      <c r="E141" s="2" t="n">
        <v>0</v>
      </c>
      <c r="F141" s="2" t="n">
        <v>1</v>
      </c>
      <c r="G141" s="2" t="n">
        <v>226.2</v>
      </c>
    </row>
    <row r="142">
      <c r="A142" s="7" t="n">
        <v>46289.84896370371</v>
      </c>
      <c r="B142" s="7" t="n">
        <v>46289.84791666667</v>
      </c>
      <c r="C142" s="2" t="n">
        <v>433</v>
      </c>
      <c r="D142" s="2" t="n">
        <v>1</v>
      </c>
      <c r="E142" s="2" t="n">
        <v>2</v>
      </c>
      <c r="F142" s="2" t="n">
        <v>1</v>
      </c>
      <c r="G142" s="2" t="n">
        <v>147.5</v>
      </c>
    </row>
    <row r="143">
      <c r="A143" s="7" t="n">
        <v>46289.78526427083</v>
      </c>
      <c r="B143" s="7" t="n">
        <v>46289.78402777778</v>
      </c>
      <c r="C143" s="2" t="n">
        <v>433</v>
      </c>
      <c r="D143" s="2" t="n">
        <v>1</v>
      </c>
      <c r="E143" s="2" t="n">
        <v>0</v>
      </c>
      <c r="F143" s="2" t="n">
        <v>1</v>
      </c>
      <c r="G143" s="2" t="n">
        <v>186.8</v>
      </c>
    </row>
    <row r="144">
      <c r="A144" s="7" t="n">
        <v>46289.75543116898</v>
      </c>
      <c r="B144" s="7" t="n">
        <v>46289.75</v>
      </c>
      <c r="C144" s="2" t="n">
        <v>433</v>
      </c>
      <c r="D144" s="2" t="n">
        <v>0</v>
      </c>
      <c r="E144" s="2" t="n">
        <v>0</v>
      </c>
      <c r="F144" s="2" t="n">
        <v>1</v>
      </c>
      <c r="G144" s="2" t="n">
        <v>109.8</v>
      </c>
    </row>
    <row r="145">
      <c r="A145" s="7" t="n">
        <v>46289.54138961805</v>
      </c>
      <c r="B145" s="7" t="n">
        <v>46289.53472222222</v>
      </c>
      <c r="C145" s="2" t="n">
        <v>433</v>
      </c>
      <c r="D145" s="2" t="n">
        <v>1</v>
      </c>
      <c r="E145" s="2" t="n">
        <v>1</v>
      </c>
      <c r="F145" s="2" t="n">
        <v>1</v>
      </c>
      <c r="G145" s="2" t="n">
        <v>125.8</v>
      </c>
    </row>
    <row r="146">
      <c r="A146" s="7" t="n">
        <v>46289.32358565972</v>
      </c>
      <c r="B146" s="7" t="n">
        <v>46289.31944444445</v>
      </c>
      <c r="C146" s="2" t="n">
        <v>433</v>
      </c>
      <c r="D146" s="2" t="n">
        <v>1</v>
      </c>
      <c r="E146" s="2" t="n">
        <v>1</v>
      </c>
      <c r="F146" s="2" t="n">
        <v>1</v>
      </c>
      <c r="G146" s="2" t="n">
        <v>130.2</v>
      </c>
    </row>
    <row r="147">
      <c r="A147" s="7" t="n">
        <v>46289.18599210648</v>
      </c>
      <c r="B147" s="7" t="n">
        <v>46289.18055555555</v>
      </c>
      <c r="C147" s="2" t="n">
        <v>433</v>
      </c>
      <c r="D147" s="2" t="n">
        <v>0</v>
      </c>
      <c r="E147" s="2" t="n">
        <v>0</v>
      </c>
      <c r="F147" s="2" t="n">
        <v>1</v>
      </c>
      <c r="G147" s="2" t="n">
        <v>129.3</v>
      </c>
    </row>
    <row r="148">
      <c r="A148" s="7" t="n">
        <v>46289.04908521991</v>
      </c>
      <c r="B148" s="7" t="n">
        <v>46289.04513888889</v>
      </c>
      <c r="C148" s="2" t="n">
        <v>433</v>
      </c>
      <c r="D148" s="2" t="n">
        <v>0</v>
      </c>
      <c r="E148" s="2" t="n">
        <v>0</v>
      </c>
      <c r="F148" s="2" t="n">
        <v>1</v>
      </c>
      <c r="G148" s="2" t="n">
        <v>96.90000000000001</v>
      </c>
    </row>
    <row r="149">
      <c r="A149" s="7" t="n">
        <v>46289.00944646991</v>
      </c>
      <c r="B149" s="7" t="n">
        <v>46289.00347222222</v>
      </c>
      <c r="C149" s="2" t="n">
        <v>433</v>
      </c>
      <c r="D149" s="2" t="n">
        <v>1</v>
      </c>
      <c r="E149" s="2" t="n">
        <v>1</v>
      </c>
      <c r="F149" s="2" t="n">
        <v>1</v>
      </c>
      <c r="G149" s="2" t="n">
        <v>127</v>
      </c>
    </row>
    <row r="150">
      <c r="A150" s="7" t="n">
        <v>46288.82408041666</v>
      </c>
      <c r="B150" s="7" t="n">
        <v>46288.81944444445</v>
      </c>
      <c r="C150" s="2" t="n">
        <v>433</v>
      </c>
      <c r="D150" s="2" t="n">
        <v>0</v>
      </c>
      <c r="E150" s="2" t="n">
        <v>0</v>
      </c>
      <c r="F150" s="2" t="n">
        <v>2</v>
      </c>
      <c r="G150" s="2" t="n">
        <v>118.2</v>
      </c>
    </row>
    <row r="151">
      <c r="A151" s="7" t="n">
        <v>46288.75275025463</v>
      </c>
      <c r="B151" s="7" t="n">
        <v>46288.74652777778</v>
      </c>
      <c r="C151" s="2" t="n">
        <v>433</v>
      </c>
      <c r="D151" s="2" t="n">
        <v>1</v>
      </c>
      <c r="E151" s="2" t="n">
        <v>1</v>
      </c>
      <c r="F151" s="2" t="n">
        <v>2</v>
      </c>
      <c r="G151" s="2" t="n">
        <v>125.5</v>
      </c>
    </row>
    <row r="152">
      <c r="A152" s="7" t="n">
        <v>46288.58577883102</v>
      </c>
      <c r="B152" s="7" t="n">
        <v>46288.57986111111</v>
      </c>
      <c r="C152" s="2" t="n">
        <v>433</v>
      </c>
      <c r="D152" s="2" t="n">
        <v>0</v>
      </c>
      <c r="E152" s="2" t="n">
        <v>0</v>
      </c>
      <c r="F152" s="2" t="n">
        <v>2</v>
      </c>
      <c r="G152" s="2" t="n">
        <v>112.8</v>
      </c>
    </row>
    <row r="153">
      <c r="A153" s="7" t="n">
        <v>46288.57218969907</v>
      </c>
      <c r="B153" s="7" t="n">
        <v>46288.56597222222</v>
      </c>
      <c r="C153" s="2" t="n">
        <v>433</v>
      </c>
      <c r="D153" s="2" t="n">
        <v>1</v>
      </c>
      <c r="E153" s="2" t="n">
        <v>1</v>
      </c>
      <c r="F153" s="2" t="n">
        <v>2</v>
      </c>
      <c r="G153" s="2" t="n">
        <v>99.7</v>
      </c>
    </row>
    <row r="154">
      <c r="A154" s="7" t="n">
        <v>46288.36332482639</v>
      </c>
      <c r="B154" s="7" t="n">
        <v>46288.35763888889</v>
      </c>
      <c r="C154" s="2" t="n">
        <v>441</v>
      </c>
      <c r="D154" s="2" t="n">
        <v>1</v>
      </c>
      <c r="E154" s="2" t="n">
        <v>1</v>
      </c>
      <c r="F154" s="2" t="n">
        <v>2</v>
      </c>
      <c r="G154" s="2" t="n">
        <v>94.40000000000001</v>
      </c>
    </row>
    <row r="155">
      <c r="A155" s="7" t="n">
        <v>46288.26120461806</v>
      </c>
      <c r="B155" s="7" t="n">
        <v>46288.25694444445</v>
      </c>
      <c r="C155" s="2" t="n">
        <v>441</v>
      </c>
      <c r="D155" s="2" t="n">
        <v>2</v>
      </c>
      <c r="E155" s="2" t="n">
        <v>5</v>
      </c>
      <c r="F155" s="2" t="n">
        <v>2</v>
      </c>
      <c r="G155" s="2" t="n">
        <v>103.1</v>
      </c>
    </row>
    <row r="156">
      <c r="A156" s="7" t="n">
        <v>46288.12397528935</v>
      </c>
      <c r="B156" s="7" t="n">
        <v>46288.11805555555</v>
      </c>
      <c r="C156" s="2" t="n">
        <v>441</v>
      </c>
      <c r="D156" s="2" t="n">
        <v>4</v>
      </c>
      <c r="E156" s="2" t="n">
        <v>1</v>
      </c>
      <c r="F156" s="2" t="n">
        <v>2</v>
      </c>
      <c r="G156" s="2" t="n">
        <v>114.4</v>
      </c>
    </row>
    <row r="157">
      <c r="A157" s="7" t="n">
        <v>46287.95840076389</v>
      </c>
      <c r="B157" s="7" t="n">
        <v>46287.95486111111</v>
      </c>
      <c r="C157" s="2" t="n">
        <v>441</v>
      </c>
      <c r="D157" s="2" t="n">
        <v>1</v>
      </c>
      <c r="E157" s="2" t="n">
        <v>1</v>
      </c>
      <c r="F157" s="2" t="n">
        <v>2</v>
      </c>
      <c r="G157" s="2" t="n">
        <v>135.1</v>
      </c>
    </row>
    <row r="158">
      <c r="A158" s="7" t="n">
        <v>46287.75277884259</v>
      </c>
      <c r="B158" s="7" t="n">
        <v>46287.74652777778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130.3</v>
      </c>
    </row>
    <row r="159">
      <c r="A159" s="7" t="n">
        <v>46287.6758560301</v>
      </c>
      <c r="B159" s="7" t="n">
        <v>46287.67013888889</v>
      </c>
      <c r="C159" s="2" t="n">
        <v>440</v>
      </c>
      <c r="D159" s="2" t="n">
        <v>1</v>
      </c>
      <c r="E159" s="2" t="n">
        <v>2</v>
      </c>
      <c r="F159" s="2" t="n">
        <v>0</v>
      </c>
      <c r="G159" s="2" t="n">
        <v>91.7</v>
      </c>
    </row>
    <row r="160">
      <c r="A160" s="7" t="n">
        <v>46287.54602564815</v>
      </c>
      <c r="B160" s="7" t="n">
        <v>46287.54166666666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125.4</v>
      </c>
    </row>
    <row r="161">
      <c r="A161" s="7" t="n">
        <v>46287.51247143518</v>
      </c>
      <c r="B161" s="7" t="n">
        <v>46287.50694444445</v>
      </c>
      <c r="C161" s="2" t="n">
        <v>440</v>
      </c>
      <c r="D161" s="2" t="n">
        <v>3</v>
      </c>
      <c r="E161" s="2" t="n">
        <v>3</v>
      </c>
      <c r="F161" s="2" t="n">
        <v>0</v>
      </c>
      <c r="G161" s="2" t="n">
        <v>102.8</v>
      </c>
    </row>
    <row r="162">
      <c r="A162" s="7" t="n">
        <v>46287.30635083334</v>
      </c>
      <c r="B162" s="7" t="n">
        <v>46287.30208333334</v>
      </c>
      <c r="C162" s="2" t="n">
        <v>440</v>
      </c>
      <c r="D162" s="2" t="n">
        <v>3</v>
      </c>
      <c r="E162" s="2" t="n">
        <v>2</v>
      </c>
      <c r="F162" s="2" t="n">
        <v>0</v>
      </c>
      <c r="G162" s="2" t="n">
        <v>135.9</v>
      </c>
    </row>
    <row r="163">
      <c r="A163" s="7" t="n">
        <v>46287.14961865741</v>
      </c>
      <c r="B163" s="7" t="n">
        <v>46287.14583333334</v>
      </c>
      <c r="C163" s="2" t="n">
        <v>440</v>
      </c>
      <c r="D163" s="2" t="n">
        <v>1</v>
      </c>
      <c r="E163" s="2" t="n">
        <v>1</v>
      </c>
      <c r="F163" s="2" t="n">
        <v>0</v>
      </c>
      <c r="G163" s="2" t="n">
        <v>130.5</v>
      </c>
    </row>
    <row r="164">
      <c r="A164" s="7" t="n">
        <v>46286.92852005787</v>
      </c>
      <c r="B164" s="7" t="n">
        <v>46286.92361111111</v>
      </c>
      <c r="C164" s="2" t="n">
        <v>440</v>
      </c>
      <c r="D164" s="2" t="n">
        <v>1</v>
      </c>
      <c r="E164" s="2" t="n">
        <v>2</v>
      </c>
      <c r="F164" s="2" t="n">
        <v>0</v>
      </c>
      <c r="G164" s="2" t="n">
        <v>112.2</v>
      </c>
    </row>
    <row r="165">
      <c r="A165" s="7" t="n">
        <v>46286.83222814815</v>
      </c>
      <c r="B165" s="7" t="n">
        <v>46286.82638888889</v>
      </c>
      <c r="C165" s="2" t="n">
        <v>440</v>
      </c>
      <c r="D165" s="2" t="n">
        <v>3</v>
      </c>
      <c r="E165" s="2" t="n">
        <v>3</v>
      </c>
      <c r="F165" s="2" t="n">
        <v>0</v>
      </c>
      <c r="G165" s="2" t="n">
        <v>126.4</v>
      </c>
    </row>
    <row r="166">
      <c r="A166" s="7" t="n">
        <v>46286.60261268519</v>
      </c>
      <c r="B166" s="7" t="n">
        <v>46286.59722222222</v>
      </c>
      <c r="C166" s="2" t="n">
        <v>440</v>
      </c>
      <c r="D166" s="2" t="n">
        <v>2</v>
      </c>
      <c r="E166" s="2" t="n">
        <v>1</v>
      </c>
      <c r="F166" s="2" t="n">
        <v>0</v>
      </c>
      <c r="G166" s="2" t="n">
        <v>111.5</v>
      </c>
    </row>
    <row r="167">
      <c r="A167" s="7" t="n">
        <v>46286.38294268519</v>
      </c>
      <c r="B167" s="7" t="n">
        <v>46286.37847222222</v>
      </c>
      <c r="C167" s="2" t="n">
        <v>440</v>
      </c>
      <c r="D167" s="2" t="n">
        <v>0</v>
      </c>
      <c r="E167" s="2" t="n">
        <v>1</v>
      </c>
      <c r="F167" s="2" t="n">
        <v>0</v>
      </c>
      <c r="G167" s="2" t="n">
        <v>102.4</v>
      </c>
    </row>
    <row r="168">
      <c r="A168" s="7" t="n">
        <v>46286.27148542824</v>
      </c>
      <c r="B168" s="7" t="n">
        <v>46286.26736111111</v>
      </c>
      <c r="C168" s="2" t="n">
        <v>440</v>
      </c>
      <c r="D168" s="2" t="n">
        <v>0</v>
      </c>
      <c r="E168" s="2" t="n">
        <v>1</v>
      </c>
      <c r="F168" s="2" t="n">
        <v>0</v>
      </c>
      <c r="G168" s="2" t="n">
        <v>126.7</v>
      </c>
    </row>
    <row r="169">
      <c r="A169" s="7" t="n">
        <v>46286.14641391204</v>
      </c>
      <c r="B169" s="7" t="n">
        <v>46286.14236111111</v>
      </c>
      <c r="C169" s="2" t="n">
        <v>440</v>
      </c>
      <c r="D169" s="2" t="n">
        <v>3</v>
      </c>
      <c r="E169" s="2" t="n">
        <v>1</v>
      </c>
      <c r="F169" s="2" t="n">
        <v>0</v>
      </c>
      <c r="G169" s="2" t="n">
        <v>131.3</v>
      </c>
    </row>
    <row r="170">
      <c r="A170" s="7" t="n">
        <v>46286.03573545139</v>
      </c>
      <c r="B170" s="7" t="n">
        <v>46286.03125</v>
      </c>
      <c r="C170" s="2" t="n">
        <v>440</v>
      </c>
      <c r="D170" s="2" t="n">
        <v>1</v>
      </c>
      <c r="E170" s="2" t="n">
        <v>1</v>
      </c>
      <c r="F170" s="2" t="n">
        <v>0</v>
      </c>
      <c r="G170" s="2" t="n">
        <v>127.3</v>
      </c>
    </row>
    <row r="171">
      <c r="A171" s="7" t="n">
        <v>46286.00283136574</v>
      </c>
      <c r="B171" s="7" t="n">
        <v>46285.99652777778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101.9</v>
      </c>
    </row>
    <row r="172">
      <c r="A172" s="7" t="n">
        <v>46285.85245594908</v>
      </c>
      <c r="B172" s="7" t="n">
        <v>46285.84722222222</v>
      </c>
      <c r="C172" s="2" t="n">
        <v>440</v>
      </c>
      <c r="D172" s="2" t="n">
        <v>4</v>
      </c>
      <c r="E172" s="2" t="n">
        <v>4</v>
      </c>
      <c r="F172" s="2" t="n">
        <v>0</v>
      </c>
      <c r="G172" s="2" t="n">
        <v>100.6</v>
      </c>
    </row>
    <row r="173">
      <c r="A173" s="7" t="n">
        <v>46285.60105145833</v>
      </c>
      <c r="B173" s="7" t="n">
        <v>46285.59722222222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129.1</v>
      </c>
    </row>
    <row r="174">
      <c r="A174" s="7" t="n">
        <v>46285.38559789352</v>
      </c>
      <c r="B174" s="7" t="n">
        <v>46285.38194444445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112.5</v>
      </c>
    </row>
    <row r="175">
      <c r="A175" s="7" t="n">
        <v>46285.29994834491</v>
      </c>
      <c r="B175" s="7" t="n">
        <v>46285.29513888889</v>
      </c>
      <c r="C175" s="2" t="n">
        <v>440</v>
      </c>
      <c r="D175" s="2" t="n">
        <v>1</v>
      </c>
      <c r="E175" s="2" t="n">
        <v>2</v>
      </c>
      <c r="F175" s="2" t="n">
        <v>0</v>
      </c>
      <c r="G175" s="2" t="n">
        <v>128.1</v>
      </c>
    </row>
    <row r="176">
      <c r="A176" s="7" t="n">
        <v>46285.19964518519</v>
      </c>
      <c r="B176" s="7" t="n">
        <v>46285.19444444445</v>
      </c>
      <c r="C176" s="2" t="n">
        <v>440</v>
      </c>
      <c r="D176" s="2" t="n">
        <v>1</v>
      </c>
      <c r="E176" s="2" t="n">
        <v>1</v>
      </c>
      <c r="F176" s="2" t="n">
        <v>0</v>
      </c>
      <c r="G176" s="2" t="n">
        <v>110.6</v>
      </c>
    </row>
    <row r="177">
      <c r="A177" s="7" t="n">
        <v>46285.08704527777</v>
      </c>
      <c r="B177" s="7" t="n">
        <v>46285.08333333334</v>
      </c>
      <c r="C177" s="2" t="n">
        <v>440</v>
      </c>
      <c r="D177" s="2" t="n">
        <v>3</v>
      </c>
      <c r="E177" s="2" t="n">
        <v>2</v>
      </c>
      <c r="F177" s="2" t="n">
        <v>0</v>
      </c>
      <c r="G177" s="2" t="n">
        <v>95.09999999999999</v>
      </c>
    </row>
    <row r="178">
      <c r="A178" s="7" t="n">
        <v>46284.93748335648</v>
      </c>
      <c r="B178" s="7" t="n">
        <v>46284.93055555555</v>
      </c>
      <c r="C178" s="2" t="n">
        <v>440</v>
      </c>
      <c r="D178" s="2" t="n">
        <v>1</v>
      </c>
      <c r="E178" s="2" t="n">
        <v>1</v>
      </c>
      <c r="F178" s="2" t="n">
        <v>0</v>
      </c>
      <c r="G178" s="2" t="n">
        <v>128.7</v>
      </c>
    </row>
    <row r="179">
      <c r="A179" s="7" t="n">
        <v>46284.79727659722</v>
      </c>
      <c r="B179" s="7" t="n">
        <v>46284.79166666666</v>
      </c>
      <c r="C179" s="2" t="n">
        <v>440</v>
      </c>
      <c r="D179" s="2" t="n">
        <v>1</v>
      </c>
      <c r="E179" s="2" t="n">
        <v>1</v>
      </c>
      <c r="F179" s="2" t="n">
        <v>0</v>
      </c>
      <c r="G179" s="2" t="n">
        <v>109.7</v>
      </c>
    </row>
    <row r="180">
      <c r="A180" s="7" t="n">
        <v>46284.58365538195</v>
      </c>
      <c r="B180" s="7" t="n">
        <v>46284.57986111111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101.8</v>
      </c>
    </row>
    <row r="181">
      <c r="A181" s="7" t="n">
        <v>46284.38530752315</v>
      </c>
      <c r="B181" s="7" t="n">
        <v>46284.37847222222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130.8</v>
      </c>
    </row>
    <row r="182">
      <c r="A182" s="7" t="n">
        <v>46284.27664920139</v>
      </c>
      <c r="B182" s="7" t="n">
        <v>46284.27083333334</v>
      </c>
      <c r="C182" s="2" t="n">
        <v>440</v>
      </c>
      <c r="D182" s="2" t="n">
        <v>1</v>
      </c>
      <c r="E182" s="2" t="n">
        <v>1</v>
      </c>
      <c r="F182" s="2" t="n">
        <v>0</v>
      </c>
      <c r="G182" s="2" t="n">
        <v>127.8</v>
      </c>
    </row>
    <row r="183">
      <c r="A183" s="7" t="n">
        <v>46284.15392047453</v>
      </c>
      <c r="B183" s="7" t="n">
        <v>46284.14930555555</v>
      </c>
      <c r="C183" s="2" t="n">
        <v>440</v>
      </c>
      <c r="D183" s="2" t="n">
        <v>1</v>
      </c>
      <c r="E183" s="2" t="n">
        <v>1</v>
      </c>
      <c r="F183" s="2" t="n">
        <v>0</v>
      </c>
      <c r="G183" s="2" t="n">
        <v>135.6</v>
      </c>
    </row>
    <row r="184">
      <c r="A184" s="7" t="n">
        <v>46284.02123533565</v>
      </c>
      <c r="B184" s="7" t="n">
        <v>46284.01736111111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102.8</v>
      </c>
    </row>
    <row r="185">
      <c r="A185" s="7" t="n">
        <v>46283.99753837963</v>
      </c>
      <c r="B185" s="7" t="n">
        <v>46283.99305555555</v>
      </c>
      <c r="C185" s="2" t="n">
        <v>440</v>
      </c>
      <c r="D185" s="2" t="n">
        <v>3</v>
      </c>
      <c r="E185" s="2" t="n">
        <v>3</v>
      </c>
      <c r="F185" s="2" t="n">
        <v>0</v>
      </c>
      <c r="G185" s="2" t="n">
        <v>129.8</v>
      </c>
    </row>
    <row r="186">
      <c r="A186" s="7" t="n">
        <v>46283.80859936342</v>
      </c>
      <c r="B186" s="7" t="n">
        <v>46283.80208333334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127.7</v>
      </c>
    </row>
    <row r="187">
      <c r="A187" s="7" t="n">
        <v>46283.78916202546</v>
      </c>
      <c r="B187" s="7" t="n">
        <v>46283.78472222222</v>
      </c>
      <c r="C187" s="2" t="n">
        <v>440</v>
      </c>
      <c r="D187" s="2" t="n">
        <v>2</v>
      </c>
      <c r="E187" s="2" t="n">
        <v>2</v>
      </c>
      <c r="F187" s="2" t="n">
        <v>0</v>
      </c>
      <c r="G187" s="2" t="n">
        <v>119.1</v>
      </c>
    </row>
    <row r="188">
      <c r="A188" s="7" t="n">
        <v>46283.58323265046</v>
      </c>
      <c r="B188" s="7" t="n">
        <v>46283.57638888889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126.7</v>
      </c>
    </row>
    <row r="189">
      <c r="A189" s="7" t="n">
        <v>46283.57323743056</v>
      </c>
      <c r="B189" s="7" t="n">
        <v>46283.56944444445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94.3</v>
      </c>
    </row>
    <row r="190">
      <c r="A190" s="7" t="n">
        <v>46283.45181144676</v>
      </c>
      <c r="B190" s="7" t="n">
        <v>46283.44791666666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132.3</v>
      </c>
    </row>
    <row r="191">
      <c r="A191" s="7" t="n">
        <v>46283.44134394676</v>
      </c>
      <c r="B191" s="7" t="n">
        <v>46283.4375</v>
      </c>
      <c r="C191" s="2" t="n">
        <v>440</v>
      </c>
      <c r="D191" s="2" t="n">
        <v>96</v>
      </c>
      <c r="E191" s="2" t="n">
        <v>96</v>
      </c>
      <c r="F191" s="2" t="n">
        <v>0</v>
      </c>
      <c r="G191" s="2" t="n">
        <v>373.5</v>
      </c>
    </row>
    <row r="192">
      <c r="A192" s="7" t="n">
        <v>46283.35273409722</v>
      </c>
      <c r="B192" s="7" t="n">
        <v>46283.34722222222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132.3</v>
      </c>
    </row>
    <row r="193">
      <c r="A193" s="7" t="n">
        <v>46283.26014016203</v>
      </c>
      <c r="B193" s="7" t="n">
        <v>46283.25347222222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129.5</v>
      </c>
    </row>
    <row r="194">
      <c r="A194" s="7" t="n">
        <v>46283.09637409722</v>
      </c>
      <c r="B194" s="7" t="n">
        <v>46283.09027777778</v>
      </c>
      <c r="C194" s="2" t="n">
        <v>440</v>
      </c>
      <c r="D194" s="2" t="n">
        <v>1</v>
      </c>
      <c r="E194" s="2" t="n">
        <v>1</v>
      </c>
      <c r="F194" s="2" t="n">
        <v>0</v>
      </c>
      <c r="G194" s="2" t="n">
        <v>131.2</v>
      </c>
    </row>
    <row r="195">
      <c r="A195" s="7" t="n">
        <v>46282.89824439815</v>
      </c>
      <c r="B195" s="7" t="n">
        <v>46282.89236111111</v>
      </c>
      <c r="C195" s="2" t="n">
        <v>440</v>
      </c>
      <c r="D195" s="2" t="n">
        <v>1</v>
      </c>
      <c r="E195" s="2" t="n">
        <v>1</v>
      </c>
      <c r="F195" s="2" t="n">
        <v>0</v>
      </c>
      <c r="G195" s="2" t="n">
        <v>137</v>
      </c>
    </row>
    <row r="196">
      <c r="A196" s="7" t="n">
        <v>46282.65711792824</v>
      </c>
      <c r="B196" s="7" t="n">
        <v>46282.65277777778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126.6</v>
      </c>
    </row>
    <row r="197">
      <c r="A197" s="7" t="n">
        <v>46282.40350203704</v>
      </c>
      <c r="B197" s="7" t="n">
        <v>46282.39930555555</v>
      </c>
      <c r="C197" s="2" t="n">
        <v>440</v>
      </c>
      <c r="D197" s="2" t="n">
        <v>69</v>
      </c>
      <c r="E197" s="2" t="n">
        <v>69</v>
      </c>
      <c r="F197" s="2" t="n">
        <v>0</v>
      </c>
      <c r="G197" s="2" t="n">
        <v>323.7</v>
      </c>
    </row>
    <row r="198">
      <c r="A198" s="7" t="n">
        <v>46282.39577758102</v>
      </c>
      <c r="B198" s="7" t="n">
        <v>46282.33333333334</v>
      </c>
      <c r="C198" s="2" t="n">
        <v>440</v>
      </c>
      <c r="D198" s="2" t="n">
        <v>0</v>
      </c>
      <c r="E198" s="2" t="n">
        <v>0</v>
      </c>
      <c r="F198" s="2" t="n">
        <v>0</v>
      </c>
      <c r="G198" s="2" t="n">
        <v>50.5</v>
      </c>
    </row>
    <row r="199">
      <c r="A199" s="7" t="n">
        <v>46282.29222982639</v>
      </c>
      <c r="B199" s="7" t="n">
        <v>46282.25</v>
      </c>
      <c r="C199" s="2" t="n">
        <v>440</v>
      </c>
      <c r="D199" s="2" t="n">
        <v>0</v>
      </c>
      <c r="E199" s="2" t="n">
        <v>0</v>
      </c>
      <c r="F199" s="2" t="n">
        <v>0</v>
      </c>
      <c r="G199" s="2" t="n">
        <v>66.2</v>
      </c>
    </row>
    <row r="200">
      <c r="A200" s="7" t="n">
        <v>46282.17576607639</v>
      </c>
      <c r="B200" s="7" t="n">
        <v>46282.125</v>
      </c>
      <c r="C200" s="2" t="n">
        <v>440</v>
      </c>
      <c r="D200" s="2" t="n">
        <v>0</v>
      </c>
      <c r="E200" s="2" t="n">
        <v>0</v>
      </c>
      <c r="F200" s="2" t="n">
        <v>0</v>
      </c>
      <c r="G200" s="2" t="n">
        <v>67</v>
      </c>
    </row>
    <row r="201">
      <c r="A201" s="7" t="n">
        <v>46282.04552453704</v>
      </c>
      <c r="B201" s="7" t="n">
        <v>46282</v>
      </c>
      <c r="C201" s="2" t="n">
        <v>440</v>
      </c>
      <c r="D201" s="2" t="n">
        <v>0</v>
      </c>
      <c r="E201" s="2" t="n">
        <v>0</v>
      </c>
      <c r="F201" s="2" t="n">
        <v>0</v>
      </c>
      <c r="G201" s="2" t="n">
        <v>52.9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資金明細!R378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MAX(資金明細!$R$2:$R$378)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MIN(資金明細!$R$2:$R$378)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MIN(資金明細!$X$2:$X$378)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COUNTIFS(資金明細!$C$2:$C$378,"進場",資金明細!$N$2:$N$378,"已下單")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COUNTIFS(資金明細!$C$2:$C$378,"進場",資金明細!$N$2:$N$378,"資金不足略過")</f>
        <v/>
      </c>
    </row>
    <row r="11">
      <c r="D11" s="2" t="inlineStr">
        <is>
          <t>止盈筆數</t>
        </is>
      </c>
      <c r="E11" s="15">
        <f>COUNTIFS(資金明細!$C$2:$C$378,"出場",資金明細!$N$2:$N$378,"已下單",資金明細!$K$2:$K$378,"止盈")</f>
        <v/>
      </c>
    </row>
    <row r="12">
      <c r="A12" s="2" t="inlineStr">
        <is>
          <t>每筆止損約虧本金</t>
        </is>
      </c>
      <c r="B12" s="4">
        <f>B5*B7*IFERROR(AVERAGE(交易明細!$AB$2:$AB$189),參數!B6)</f>
        <v/>
      </c>
      <c r="D12" s="2" t="inlineStr">
        <is>
          <t>止損筆數</t>
        </is>
      </c>
      <c r="E12" s="15">
        <f>COUNTIFS(資金明細!$C$2:$C$378,"出場",資金明細!$N$2:$N$378,"已下單",資金明細!$K$2:$K$378,"止損")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IFERROR(E11/COUNTIFS(資金明細!$C$2:$C$378,"出場",資金明細!$N$2:$N$378,"已下單"),0)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MAX(資金明細!$U$2:$U$378)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MAX(資金明細!$S$2:$S$378)</f>
        <v/>
      </c>
    </row>
    <row r="16">
      <c r="D16" s="2" t="inlineStr">
        <is>
          <t>期末下單金額</t>
        </is>
      </c>
      <c r="E16" s="16">
        <f>B5*資金明細!V378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MAX(資金明細!$Y$2:$Y$378)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IFERROR(INDEX(資金明細!$B$2:$B$378,MATCH(1,資金明細!$Z$2:$Z$378,0)),"未觸發")</f>
        <v/>
      </c>
    </row>
    <row r="21">
      <c r="D21" s="2" t="inlineStr">
        <is>
          <t>停止後略過筆數</t>
        </is>
      </c>
      <c r="E21" s="15">
        <f>COUNTIFS(資金明細!$C$2:$C$378,"進場",資金明細!$N$2:$N$378,"已停止")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46297.64583333334</v>
      </c>
      <c r="C337" s="2" t="inlineStr">
        <is>
          <t>進場</t>
        </is>
      </c>
      <c r="D337" s="2" t="n">
        <v>168</v>
      </c>
      <c r="E337" s="2" t="inlineStr">
        <is>
          <t>SAND_USDT_PERP</t>
        </is>
      </c>
      <c r="F337" s="2" t="inlineStr">
        <is>
          <t>做空</t>
        </is>
      </c>
      <c r="G337" s="17" t="n">
        <v>0.05581</v>
      </c>
      <c r="H337" s="17" t="n">
        <v>0.0535776</v>
      </c>
      <c r="I337" s="17" t="n">
        <v>0.0586005</v>
      </c>
      <c r="J337" s="17" t="n"/>
      <c r="K337" s="2" t="n"/>
      <c r="L337" s="5" t="n"/>
      <c r="M337" s="16">
        <f>資金模擬!$B$5*V336</f>
        <v/>
      </c>
      <c r="N337" s="2">
        <f>IF(Z336=1,"已停止",IF(T336&gt;=M337,"已下單","資金不足略過"))</f>
        <v/>
      </c>
      <c r="O337" s="16">
        <f>IF(N337="已下單",M337*資金模擬!$B$7,0)</f>
        <v/>
      </c>
      <c r="P337" s="4" t="n"/>
      <c r="Q337" s="10" t="n">
        <v>0</v>
      </c>
      <c r="R337" s="10">
        <f>R336+Q337</f>
        <v/>
      </c>
      <c r="S337" s="16">
        <f>S336+IF(N337="已下單",M337,0)</f>
        <v/>
      </c>
      <c r="T337" s="16">
        <f>R337-S337</f>
        <v/>
      </c>
      <c r="U337" s="2">
        <f>U336+IF(N337="已下單",1,0)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46297.66666666666</v>
      </c>
      <c r="C338" s="2" t="inlineStr">
        <is>
          <t>出場</t>
        </is>
      </c>
      <c r="D338" s="2" t="n">
        <v>168</v>
      </c>
      <c r="E338" s="2" t="inlineStr">
        <is>
          <t>SAND_USDT_PERP</t>
        </is>
      </c>
      <c r="F338" s="2" t="inlineStr">
        <is>
          <t>做空</t>
        </is>
      </c>
      <c r="G338" s="17" t="n">
        <v>0.05581</v>
      </c>
      <c r="H338" s="17" t="n">
        <v>0.0535776</v>
      </c>
      <c r="I338" s="17" t="n">
        <v>0.0586005</v>
      </c>
      <c r="J338" s="17" t="n">
        <v>0.0586005</v>
      </c>
      <c r="K338" s="2" t="inlineStr">
        <is>
          <t>止損</t>
        </is>
      </c>
      <c r="L338" s="5">
        <f>交易明細!K169</f>
        <v/>
      </c>
      <c r="M338" s="16">
        <f>M337</f>
        <v/>
      </c>
      <c r="N338" s="2">
        <f>N337</f>
        <v/>
      </c>
      <c r="O338" s="16">
        <f>O337</f>
        <v/>
      </c>
      <c r="P338" s="4">
        <f>交易明細!L169</f>
        <v/>
      </c>
      <c r="Q338" s="10">
        <f>IF(N338="已下單",O338*P338,0)</f>
        <v/>
      </c>
      <c r="R338" s="10">
        <f>R337+Q338</f>
        <v/>
      </c>
      <c r="S338" s="16">
        <f>S337-IF(N338="已下單",M338,0)</f>
        <v/>
      </c>
      <c r="T338" s="16">
        <f>R338-S338</f>
        <v/>
      </c>
      <c r="U338" s="2">
        <f>U337-IF(N338="已下單",1,0)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46298.94097222222</v>
      </c>
      <c r="C339" s="2" t="inlineStr">
        <is>
          <t>進場</t>
        </is>
      </c>
      <c r="D339" s="2" t="n">
        <v>169</v>
      </c>
      <c r="E339" s="2" t="inlineStr">
        <is>
          <t>AIN_USDT_PERP</t>
        </is>
      </c>
      <c r="F339" s="2" t="inlineStr">
        <is>
          <t>做空</t>
        </is>
      </c>
      <c r="G339" s="17" t="n">
        <v>0.02948</v>
      </c>
      <c r="H339" s="17" t="n">
        <v>0.0283008</v>
      </c>
      <c r="I339" s="17" t="n">
        <v>0.030954</v>
      </c>
      <c r="J339" s="17" t="n"/>
      <c r="K339" s="2" t="n"/>
      <c r="L339" s="5" t="n"/>
      <c r="M339" s="16">
        <f>資金模擬!$B$5*V338</f>
        <v/>
      </c>
      <c r="N339" s="2">
        <f>IF(Z338=1,"已停止",IF(T338&gt;=M339,"已下單","資金不足略過"))</f>
        <v/>
      </c>
      <c r="O339" s="16">
        <f>IF(N339="已下單",M339*資金模擬!$B$7,0)</f>
        <v/>
      </c>
      <c r="P339" s="4" t="n"/>
      <c r="Q339" s="10" t="n">
        <v>0</v>
      </c>
      <c r="R339" s="10">
        <f>R338+Q339</f>
        <v/>
      </c>
      <c r="S339" s="16">
        <f>S338+IF(N339="已下單",M339,0)</f>
        <v/>
      </c>
      <c r="T339" s="16">
        <f>R339-S339</f>
        <v/>
      </c>
      <c r="U339" s="2">
        <f>U338+IF(N339="已下單",1,0)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46298.94444444445</v>
      </c>
      <c r="C340" s="2" t="inlineStr">
        <is>
          <t>出場</t>
        </is>
      </c>
      <c r="D340" s="2" t="n">
        <v>169</v>
      </c>
      <c r="E340" s="2" t="inlineStr">
        <is>
          <t>AIN_USDT_PERP</t>
        </is>
      </c>
      <c r="F340" s="2" t="inlineStr">
        <is>
          <t>做空</t>
        </is>
      </c>
      <c r="G340" s="17" t="n">
        <v>0.02948</v>
      </c>
      <c r="H340" s="17" t="n">
        <v>0.0283008</v>
      </c>
      <c r="I340" s="17" t="n">
        <v>0.030954</v>
      </c>
      <c r="J340" s="17" t="n">
        <v>0.0283008</v>
      </c>
      <c r="K340" s="2" t="inlineStr">
        <is>
          <t>止盈</t>
        </is>
      </c>
      <c r="L340" s="5">
        <f>交易明細!K170</f>
        <v/>
      </c>
      <c r="M340" s="16">
        <f>M339</f>
        <v/>
      </c>
      <c r="N340" s="2">
        <f>N339</f>
        <v/>
      </c>
      <c r="O340" s="16">
        <f>O339</f>
        <v/>
      </c>
      <c r="P340" s="4">
        <f>交易明細!L170</f>
        <v/>
      </c>
      <c r="Q340" s="10">
        <f>IF(N340="已下單",O340*P340,0)</f>
        <v/>
      </c>
      <c r="R340" s="10">
        <f>R339+Q340</f>
        <v/>
      </c>
      <c r="S340" s="16">
        <f>S339-IF(N340="已下單",M340,0)</f>
        <v/>
      </c>
      <c r="T340" s="16">
        <f>R340-S340</f>
        <v/>
      </c>
      <c r="U340" s="2">
        <f>U339-IF(N340="已下單",1,0)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46299.01041666666</v>
      </c>
      <c r="C341" s="2" t="inlineStr">
        <is>
          <t>進場</t>
        </is>
      </c>
      <c r="D341" s="2" t="n">
        <v>170</v>
      </c>
      <c r="E341" s="2" t="inlineStr">
        <is>
          <t>SPORTFUN_USDT_PERP</t>
        </is>
      </c>
      <c r="F341" s="2" t="inlineStr">
        <is>
          <t>做空</t>
        </is>
      </c>
      <c r="G341" s="17" t="n">
        <v>0.02024</v>
      </c>
      <c r="H341" s="17" t="n">
        <v>0.0194304</v>
      </c>
      <c r="I341" s="17" t="n">
        <v>0.021252</v>
      </c>
      <c r="J341" s="17" t="n"/>
      <c r="K341" s="2" t="n"/>
      <c r="L341" s="5" t="n"/>
      <c r="M341" s="16">
        <f>資金模擬!$B$5*V340</f>
        <v/>
      </c>
      <c r="N341" s="2">
        <f>IF(Z340=1,"已停止",IF(T340&gt;=M341,"已下單","資金不足略過"))</f>
        <v/>
      </c>
      <c r="O341" s="16">
        <f>IF(N341="已下單",M341*資金模擬!$B$7,0)</f>
        <v/>
      </c>
      <c r="P341" s="4" t="n"/>
      <c r="Q341" s="10" t="n">
        <v>0</v>
      </c>
      <c r="R341" s="10">
        <f>R340+Q341</f>
        <v/>
      </c>
      <c r="S341" s="16">
        <f>S340+IF(N341="已下單",M341,0)</f>
        <v/>
      </c>
      <c r="T341" s="16">
        <f>R341-S341</f>
        <v/>
      </c>
      <c r="U341" s="2">
        <f>U340+IF(N341="已下單",1,0)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46299.07638888889</v>
      </c>
      <c r="C342" s="2" t="inlineStr">
        <is>
          <t>出場</t>
        </is>
      </c>
      <c r="D342" s="2" t="n">
        <v>170</v>
      </c>
      <c r="E342" s="2" t="inlineStr">
        <is>
          <t>SPORTFUN_USDT_PERP</t>
        </is>
      </c>
      <c r="F342" s="2" t="inlineStr">
        <is>
          <t>做空</t>
        </is>
      </c>
      <c r="G342" s="17" t="n">
        <v>0.02024</v>
      </c>
      <c r="H342" s="17" t="n">
        <v>0.0194304</v>
      </c>
      <c r="I342" s="17" t="n">
        <v>0.021252</v>
      </c>
      <c r="J342" s="17" t="n">
        <v>0.021252</v>
      </c>
      <c r="K342" s="2" t="inlineStr">
        <is>
          <t>止損</t>
        </is>
      </c>
      <c r="L342" s="5">
        <f>交易明細!K171</f>
        <v/>
      </c>
      <c r="M342" s="16">
        <f>M341</f>
        <v/>
      </c>
      <c r="N342" s="2">
        <f>N341</f>
        <v/>
      </c>
      <c r="O342" s="16">
        <f>O341</f>
        <v/>
      </c>
      <c r="P342" s="4">
        <f>交易明細!L171</f>
        <v/>
      </c>
      <c r="Q342" s="10">
        <f>IF(N342="已下單",O342*P342,0)</f>
        <v/>
      </c>
      <c r="R342" s="10">
        <f>R341+Q342</f>
        <v/>
      </c>
      <c r="S342" s="16">
        <f>S341-IF(N342="已下單",M342,0)</f>
        <v/>
      </c>
      <c r="T342" s="16">
        <f>R342-S342</f>
        <v/>
      </c>
      <c r="U342" s="2">
        <f>U341-IF(N342="已下單",1,0)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46299.625</v>
      </c>
      <c r="C343" s="2" t="inlineStr">
        <is>
          <t>進場</t>
        </is>
      </c>
      <c r="D343" s="2" t="n">
        <v>171</v>
      </c>
      <c r="E343" s="2" t="inlineStr">
        <is>
          <t>COLLECT_USDT_PERP</t>
        </is>
      </c>
      <c r="F343" s="2" t="inlineStr">
        <is>
          <t>做空</t>
        </is>
      </c>
      <c r="G343" s="17" t="n">
        <v>0.02372</v>
      </c>
      <c r="H343" s="17" t="n">
        <v>0.0227712</v>
      </c>
      <c r="I343" s="17" t="n">
        <v>0.024906</v>
      </c>
      <c r="J343" s="17" t="n"/>
      <c r="K343" s="2" t="n"/>
      <c r="L343" s="5" t="n"/>
      <c r="M343" s="16">
        <f>資金模擬!$B$5*V342</f>
        <v/>
      </c>
      <c r="N343" s="2">
        <f>IF(Z342=1,"已停止",IF(T342&gt;=M343,"已下單","資金不足略過"))</f>
        <v/>
      </c>
      <c r="O343" s="16">
        <f>IF(N343="已下單",M343*資金模擬!$B$7,0)</f>
        <v/>
      </c>
      <c r="P343" s="4" t="n"/>
      <c r="Q343" s="10" t="n">
        <v>0</v>
      </c>
      <c r="R343" s="10">
        <f>R342+Q343</f>
        <v/>
      </c>
      <c r="S343" s="16">
        <f>S342+IF(N343="已下單",M343,0)</f>
        <v/>
      </c>
      <c r="T343" s="16">
        <f>R343-S343</f>
        <v/>
      </c>
      <c r="U343" s="2">
        <f>U342+IF(N343="已下單",1,0)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46299.63888888889</v>
      </c>
      <c r="C344" s="2" t="inlineStr">
        <is>
          <t>出場</t>
        </is>
      </c>
      <c r="D344" s="2" t="n">
        <v>171</v>
      </c>
      <c r="E344" s="2" t="inlineStr">
        <is>
          <t>COLLECT_USDT_PERP</t>
        </is>
      </c>
      <c r="F344" s="2" t="inlineStr">
        <is>
          <t>做空</t>
        </is>
      </c>
      <c r="G344" s="17" t="n">
        <v>0.02372</v>
      </c>
      <c r="H344" s="17" t="n">
        <v>0.0227712</v>
      </c>
      <c r="I344" s="17" t="n">
        <v>0.024906</v>
      </c>
      <c r="J344" s="17" t="n">
        <v>0.0227712</v>
      </c>
      <c r="K344" s="2" t="inlineStr">
        <is>
          <t>止盈</t>
        </is>
      </c>
      <c r="L344" s="5">
        <f>交易明細!K172</f>
        <v/>
      </c>
      <c r="M344" s="16">
        <f>M343</f>
        <v/>
      </c>
      <c r="N344" s="2">
        <f>N343</f>
        <v/>
      </c>
      <c r="O344" s="16">
        <f>O343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46299.68402777778</v>
      </c>
      <c r="C345" s="2" t="inlineStr">
        <is>
          <t>進場</t>
        </is>
      </c>
      <c r="D345" s="2" t="n">
        <v>172</v>
      </c>
      <c r="E345" s="2" t="inlineStr">
        <is>
          <t>BEAMX_USDT_PERP</t>
        </is>
      </c>
      <c r="F345" s="2" t="inlineStr">
        <is>
          <t>做空</t>
        </is>
      </c>
      <c r="G345" s="17" t="n">
        <v>0.002788</v>
      </c>
      <c r="H345" s="17" t="n">
        <v>0.00267648</v>
      </c>
      <c r="I345" s="17" t="n">
        <v>0.0029274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46299.69444444445</v>
      </c>
      <c r="C346" s="2" t="inlineStr">
        <is>
          <t>出場</t>
        </is>
      </c>
      <c r="D346" s="2" t="n">
        <v>172</v>
      </c>
      <c r="E346" s="2" t="inlineStr">
        <is>
          <t>BEAMX_USDT_PERP</t>
        </is>
      </c>
      <c r="F346" s="2" t="inlineStr">
        <is>
          <t>做空</t>
        </is>
      </c>
      <c r="G346" s="17" t="n">
        <v>0.002788</v>
      </c>
      <c r="H346" s="17" t="n">
        <v>0.00267648</v>
      </c>
      <c r="I346" s="17" t="n">
        <v>0.0029274</v>
      </c>
      <c r="J346" s="17" t="n">
        <v>0.0029274</v>
      </c>
      <c r="K346" s="2" t="inlineStr">
        <is>
          <t>止損</t>
        </is>
      </c>
      <c r="L346" s="5">
        <f>交易明細!K173</f>
        <v/>
      </c>
      <c r="M346" s="16">
        <f>M345</f>
        <v/>
      </c>
      <c r="N346" s="2">
        <f>N345</f>
        <v/>
      </c>
      <c r="O346" s="16">
        <f>O345</f>
        <v/>
      </c>
      <c r="P346" s="4">
        <f>交易明細!L173</f>
        <v/>
      </c>
      <c r="Q346" s="10">
        <f>IF(N346="已下單",O346*P346,0)</f>
        <v/>
      </c>
      <c r="R346" s="10">
        <f>R345+Q346</f>
        <v/>
      </c>
      <c r="S346" s="16">
        <f>S345-IF(N346="已下單",M346,0)</f>
        <v/>
      </c>
      <c r="T346" s="16">
        <f>R346-S346</f>
        <v/>
      </c>
      <c r="U346" s="2">
        <f>U345-IF(N346="已下單",1,0)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46299.94097222222</v>
      </c>
      <c r="C347" s="2" t="inlineStr">
        <is>
          <t>進場</t>
        </is>
      </c>
      <c r="D347" s="2" t="n">
        <v>173</v>
      </c>
      <c r="E347" s="2" t="inlineStr">
        <is>
          <t>HAEDAL_USDT_PERP</t>
        </is>
      </c>
      <c r="F347" s="2" t="inlineStr">
        <is>
          <t>做空</t>
        </is>
      </c>
      <c r="G347" s="17" t="n">
        <v>0.02245</v>
      </c>
      <c r="H347" s="17" t="n">
        <v>0.021552</v>
      </c>
      <c r="I347" s="17" t="n">
        <v>0.0235725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46299.94444444445</v>
      </c>
      <c r="C348" s="2" t="inlineStr">
        <is>
          <t>出場</t>
        </is>
      </c>
      <c r="D348" s="2" t="n">
        <v>173</v>
      </c>
      <c r="E348" s="2" t="inlineStr">
        <is>
          <t>HAEDAL_USDT_PERP</t>
        </is>
      </c>
      <c r="F348" s="2" t="inlineStr">
        <is>
          <t>做空</t>
        </is>
      </c>
      <c r="G348" s="17" t="n">
        <v>0.02245</v>
      </c>
      <c r="H348" s="17" t="n">
        <v>0.021552</v>
      </c>
      <c r="I348" s="17" t="n">
        <v>0.0235725</v>
      </c>
      <c r="J348" s="17" t="n">
        <v>0.0235725</v>
      </c>
      <c r="K348" s="2" t="inlineStr">
        <is>
          <t>止損</t>
        </is>
      </c>
      <c r="L348" s="5">
        <f>交易明細!K174</f>
        <v/>
      </c>
      <c r="M348" s="16">
        <f>M347</f>
        <v/>
      </c>
      <c r="N348" s="2">
        <f>N347</f>
        <v/>
      </c>
      <c r="O348" s="16">
        <f>O347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46300.81944444445</v>
      </c>
      <c r="C349" s="2" t="inlineStr">
        <is>
          <t>進場</t>
        </is>
      </c>
      <c r="D349" s="2" t="n">
        <v>174</v>
      </c>
      <c r="E349" s="2" t="inlineStr">
        <is>
          <t>FLUID_USDT_PERP</t>
        </is>
      </c>
      <c r="F349" s="2" t="inlineStr">
        <is>
          <t>做空</t>
        </is>
      </c>
      <c r="G349" s="17" t="n">
        <v>2.193</v>
      </c>
      <c r="H349" s="17" t="n">
        <v>2.10528</v>
      </c>
      <c r="I349" s="17" t="n">
        <v>2.30265</v>
      </c>
      <c r="J349" s="17" t="n"/>
      <c r="K349" s="2" t="n"/>
      <c r="L349" s="5" t="n"/>
      <c r="M349" s="16">
        <f>資金模擬!$B$5*V348</f>
        <v/>
      </c>
      <c r="N349" s="2">
        <f>IF(Z348=1,"已停止",IF(T348&gt;=M349,"已下單","資金不足略過"))</f>
        <v/>
      </c>
      <c r="O349" s="16">
        <f>IF(N349="已下單",M349*資金模擬!$B$7,0)</f>
        <v/>
      </c>
      <c r="P349" s="4" t="n"/>
      <c r="Q349" s="10" t="n">
        <v>0</v>
      </c>
      <c r="R349" s="10">
        <f>R348+Q349</f>
        <v/>
      </c>
      <c r="S349" s="16">
        <f>S348+IF(N349="已下單",M349,0)</f>
        <v/>
      </c>
      <c r="T349" s="16">
        <f>R349-S349</f>
        <v/>
      </c>
      <c r="U349" s="2">
        <f>U348+IF(N349="已下單",1,0)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46300.88888888889</v>
      </c>
      <c r="C350" s="2" t="inlineStr">
        <is>
          <t>出場</t>
        </is>
      </c>
      <c r="D350" s="2" t="n">
        <v>174</v>
      </c>
      <c r="E350" s="2" t="inlineStr">
        <is>
          <t>FLUID_USDT_PERP</t>
        </is>
      </c>
      <c r="F350" s="2" t="inlineStr">
        <is>
          <t>做空</t>
        </is>
      </c>
      <c r="G350" s="17" t="n">
        <v>2.193</v>
      </c>
      <c r="H350" s="17" t="n">
        <v>2.10528</v>
      </c>
      <c r="I350" s="17" t="n">
        <v>2.30265</v>
      </c>
      <c r="J350" s="17" t="n">
        <v>2.10528</v>
      </c>
      <c r="K350" s="2" t="inlineStr">
        <is>
          <t>止盈</t>
        </is>
      </c>
      <c r="L350" s="5">
        <f>交易明細!K175</f>
        <v/>
      </c>
      <c r="M350" s="16">
        <f>M349</f>
        <v/>
      </c>
      <c r="N350" s="2">
        <f>N349</f>
        <v/>
      </c>
      <c r="O350" s="16">
        <f>O349</f>
        <v/>
      </c>
      <c r="P350" s="4">
        <f>交易明細!L175</f>
        <v/>
      </c>
      <c r="Q350" s="10">
        <f>IF(N350="已下單",O350*P350,0)</f>
        <v/>
      </c>
      <c r="R350" s="10">
        <f>R349+Q350</f>
        <v/>
      </c>
      <c r="S350" s="16">
        <f>S349-IF(N350="已下單",M350,0)</f>
        <v/>
      </c>
      <c r="T350" s="16">
        <f>R350-S350</f>
        <v/>
      </c>
      <c r="U350" s="2">
        <f>U349-IF(N350="已下單",1,0)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46301.82986111111</v>
      </c>
      <c r="C351" s="2" t="inlineStr">
        <is>
          <t>進場</t>
        </is>
      </c>
      <c r="D351" s="2" t="n">
        <v>175</v>
      </c>
      <c r="E351" s="2" t="inlineStr">
        <is>
          <t>NMR_USDT_PERP</t>
        </is>
      </c>
      <c r="F351" s="2" t="inlineStr">
        <is>
          <t>做空</t>
        </is>
      </c>
      <c r="G351" s="17" t="n">
        <v>15.42</v>
      </c>
      <c r="H351" s="17" t="n">
        <v>14.8032</v>
      </c>
      <c r="I351" s="17" t="n">
        <v>16.191</v>
      </c>
      <c r="J351" s="17" t="n"/>
      <c r="K351" s="2" t="n"/>
      <c r="L351" s="5" t="n"/>
      <c r="M351" s="16">
        <f>資金模擬!$B$5*V350</f>
        <v/>
      </c>
      <c r="N351" s="2">
        <f>IF(Z350=1,"已停止",IF(T350&gt;=M351,"已下單","資金不足略過"))</f>
        <v/>
      </c>
      <c r="O351" s="16">
        <f>IF(N351="已下單",M351*資金模擬!$B$7,0)</f>
        <v/>
      </c>
      <c r="P351" s="4" t="n"/>
      <c r="Q351" s="10" t="n">
        <v>0</v>
      </c>
      <c r="R351" s="10">
        <f>R350+Q351</f>
        <v/>
      </c>
      <c r="S351" s="16">
        <f>S350+IF(N351="已下單",M351,0)</f>
        <v/>
      </c>
      <c r="T351" s="16">
        <f>R351-S351</f>
        <v/>
      </c>
      <c r="U351" s="2">
        <f>U350+IF(N351="已下單",1,0)</f>
        <v/>
      </c>
      <c r="V351" s="16">
        <f>IF(資金模擬!$B$9=2,MAX(R351,0),MAX(V350,FLOOR(MAX(R351,0),資金模擬!$B$6)))</f>
        <v/>
      </c>
      <c r="W351" s="10">
        <f>MAX(W350,R351)</f>
        <v/>
      </c>
      <c r="X351" s="4">
        <f>IF(W351&gt;0,R351/W351-1,-1)</f>
        <v/>
      </c>
      <c r="Y351" s="16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46301.86805555555</v>
      </c>
      <c r="C352" s="2" t="inlineStr">
        <is>
          <t>出場</t>
        </is>
      </c>
      <c r="D352" s="2" t="n">
        <v>175</v>
      </c>
      <c r="E352" s="2" t="inlineStr">
        <is>
          <t>NMR_USDT_PERP</t>
        </is>
      </c>
      <c r="F352" s="2" t="inlineStr">
        <is>
          <t>做空</t>
        </is>
      </c>
      <c r="G352" s="17" t="n">
        <v>15.42</v>
      </c>
      <c r="H352" s="17" t="n">
        <v>14.8032</v>
      </c>
      <c r="I352" s="17" t="n">
        <v>16.191</v>
      </c>
      <c r="J352" s="17" t="n">
        <v>16.191</v>
      </c>
      <c r="K352" s="2" t="inlineStr">
        <is>
          <t>止損</t>
        </is>
      </c>
      <c r="L352" s="5">
        <f>交易明細!K176</f>
        <v/>
      </c>
      <c r="M352" s="16">
        <f>M351</f>
        <v/>
      </c>
      <c r="N352" s="2">
        <f>N351</f>
        <v/>
      </c>
      <c r="O352" s="16">
        <f>O351</f>
        <v/>
      </c>
      <c r="P352" s="4">
        <f>交易明細!L176</f>
        <v/>
      </c>
      <c r="Q352" s="10">
        <f>IF(N352="已下單",O352*P352,0)</f>
        <v/>
      </c>
      <c r="R352" s="10">
        <f>R351+Q352</f>
        <v/>
      </c>
      <c r="S352" s="16">
        <f>S351-IF(N352="已下單",M352,0)</f>
        <v/>
      </c>
      <c r="T352" s="16">
        <f>R352-S352</f>
        <v/>
      </c>
      <c r="U352" s="2">
        <f>U351-IF(N352="已下單",1,0)</f>
        <v/>
      </c>
      <c r="V352" s="16">
        <f>IF(資金模擬!$B$9=2,MAX(R352,0),MAX(V351,FLOOR(MAX(R352,0),資金模擬!$B$6)))</f>
        <v/>
      </c>
      <c r="W352" s="10">
        <f>MAX(W351,R352)</f>
        <v/>
      </c>
      <c r="X352" s="4">
        <f>IF(W352&gt;0,R352/W352-1,-1)</f>
        <v/>
      </c>
      <c r="Y352" s="16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46301.95138888889</v>
      </c>
      <c r="C353" s="2" t="inlineStr">
        <is>
          <t>進場</t>
        </is>
      </c>
      <c r="D353" s="2" t="n">
        <v>176</v>
      </c>
      <c r="E353" s="2" t="inlineStr">
        <is>
          <t>GRIFFAIN_USDT_PERP</t>
        </is>
      </c>
      <c r="F353" s="2" t="inlineStr">
        <is>
          <t>做空</t>
        </is>
      </c>
      <c r="G353" s="17" t="n">
        <v>0.02353</v>
      </c>
      <c r="H353" s="17" t="n">
        <v>0.0225888</v>
      </c>
      <c r="I353" s="17" t="n">
        <v>0.0247065</v>
      </c>
      <c r="J353" s="17" t="n"/>
      <c r="K353" s="2" t="n"/>
      <c r="L353" s="5" t="n"/>
      <c r="M353" s="16">
        <f>資金模擬!$B$5*V352</f>
        <v/>
      </c>
      <c r="N353" s="2">
        <f>IF(Z352=1,"已停止",IF(T352&gt;=M353,"已下單","資金不足略過"))</f>
        <v/>
      </c>
      <c r="O353" s="16">
        <f>IF(N353="已下單",M353*資金模擬!$B$7,0)</f>
        <v/>
      </c>
      <c r="P353" s="4" t="n"/>
      <c r="Q353" s="10" t="n">
        <v>0</v>
      </c>
      <c r="R353" s="10">
        <f>R352+Q353</f>
        <v/>
      </c>
      <c r="S353" s="16">
        <f>S352+IF(N353="已下單",M353,0)</f>
        <v/>
      </c>
      <c r="T353" s="16">
        <f>R353-S353</f>
        <v/>
      </c>
      <c r="U353" s="2">
        <f>U352+IF(N353="已下單",1,0)</f>
        <v/>
      </c>
      <c r="V353" s="16">
        <f>IF(資金模擬!$B$9=2,MAX(R353,0),MAX(V352,FLOOR(MAX(R353,0),資金模擬!$B$6)))</f>
        <v/>
      </c>
      <c r="W353" s="10">
        <f>MAX(W352,R353)</f>
        <v/>
      </c>
      <c r="X353" s="4">
        <f>IF(W353&gt;0,R353/W353-1,-1)</f>
        <v/>
      </c>
      <c r="Y353" s="16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46301.95486111111</v>
      </c>
      <c r="C354" s="2" t="inlineStr">
        <is>
          <t>出場</t>
        </is>
      </c>
      <c r="D354" s="2" t="n">
        <v>176</v>
      </c>
      <c r="E354" s="2" t="inlineStr">
        <is>
          <t>GRIFFAIN_USDT_PERP</t>
        </is>
      </c>
      <c r="F354" s="2" t="inlineStr">
        <is>
          <t>做空</t>
        </is>
      </c>
      <c r="G354" s="17" t="n">
        <v>0.02353</v>
      </c>
      <c r="H354" s="17" t="n">
        <v>0.0225888</v>
      </c>
      <c r="I354" s="17" t="n">
        <v>0.0247065</v>
      </c>
      <c r="J354" s="17" t="n">
        <v>0.0225888</v>
      </c>
      <c r="K354" s="2" t="inlineStr">
        <is>
          <t>止盈</t>
        </is>
      </c>
      <c r="L354" s="5">
        <f>交易明細!K177</f>
        <v/>
      </c>
      <c r="M354" s="16">
        <f>M353</f>
        <v/>
      </c>
      <c r="N354" s="2">
        <f>N353</f>
        <v/>
      </c>
      <c r="O354" s="16">
        <f>O353</f>
        <v/>
      </c>
      <c r="P354" s="4">
        <f>交易明細!L177</f>
        <v/>
      </c>
      <c r="Q354" s="10">
        <f>IF(N354="已下單",O354*P354,0)</f>
        <v/>
      </c>
      <c r="R354" s="10">
        <f>R353+Q354</f>
        <v/>
      </c>
      <c r="S354" s="16">
        <f>S353-IF(N354="已下單",M354,0)</f>
        <v/>
      </c>
      <c r="T354" s="16">
        <f>R354-S354</f>
        <v/>
      </c>
      <c r="U354" s="2">
        <f>U353-IF(N354="已下單",1,0)</f>
        <v/>
      </c>
      <c r="V354" s="16">
        <f>IF(資金模擬!$B$9=2,MAX(R354,0),MAX(V353,FLOOR(MAX(R354,0),資金模擬!$B$6)))</f>
        <v/>
      </c>
      <c r="W354" s="10">
        <f>MAX(W353,R354)</f>
        <v/>
      </c>
      <c r="X354" s="4">
        <f>IF(W354&gt;0,R354/W354-1,-1)</f>
        <v/>
      </c>
      <c r="Y354" s="16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46302.07638888889</v>
      </c>
      <c r="C355" s="2" t="inlineStr">
        <is>
          <t>進場</t>
        </is>
      </c>
      <c r="D355" s="2" t="n">
        <v>177</v>
      </c>
      <c r="E355" s="2" t="inlineStr">
        <is>
          <t>GRIFFAIN_USDT_PERP</t>
        </is>
      </c>
      <c r="F355" s="2" t="inlineStr">
        <is>
          <t>做空</t>
        </is>
      </c>
      <c r="G355" s="17" t="n">
        <v>0.02545</v>
      </c>
      <c r="H355" s="17" t="n">
        <v>0.024432</v>
      </c>
      <c r="I355" s="17" t="n">
        <v>0.0267225</v>
      </c>
      <c r="J355" s="17" t="n"/>
      <c r="K355" s="2" t="n"/>
      <c r="L355" s="5" t="n"/>
      <c r="M355" s="16">
        <f>資金模擬!$B$5*V354</f>
        <v/>
      </c>
      <c r="N355" s="2">
        <f>IF(Z354=1,"已停止",IF(T354&gt;=M355,"已下單","資金不足略過"))</f>
        <v/>
      </c>
      <c r="O355" s="16">
        <f>IF(N355="已下單",M355*資金模擬!$B$7,0)</f>
        <v/>
      </c>
      <c r="P355" s="4" t="n"/>
      <c r="Q355" s="10" t="n">
        <v>0</v>
      </c>
      <c r="R355" s="10">
        <f>R354+Q355</f>
        <v/>
      </c>
      <c r="S355" s="16">
        <f>S354+IF(N355="已下單",M355,0)</f>
        <v/>
      </c>
      <c r="T355" s="16">
        <f>R355-S355</f>
        <v/>
      </c>
      <c r="U355" s="2">
        <f>U354+IF(N355="已下單",1,0)</f>
        <v/>
      </c>
      <c r="V355" s="16">
        <f>IF(資金模擬!$B$9=2,MAX(R355,0),MAX(V354,FLOOR(MAX(R355,0),資金模擬!$B$6)))</f>
        <v/>
      </c>
      <c r="W355" s="10">
        <f>MAX(W354,R355)</f>
        <v/>
      </c>
      <c r="X355" s="4">
        <f>IF(W355&gt;0,R355/W355-1,-1)</f>
        <v/>
      </c>
      <c r="Y355" s="16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46302.10416666666</v>
      </c>
      <c r="C356" s="2" t="inlineStr">
        <is>
          <t>出場</t>
        </is>
      </c>
      <c r="D356" s="2" t="n">
        <v>177</v>
      </c>
      <c r="E356" s="2" t="inlineStr">
        <is>
          <t>GRIFFAIN_USDT_PERP</t>
        </is>
      </c>
      <c r="F356" s="2" t="inlineStr">
        <is>
          <t>做空</t>
        </is>
      </c>
      <c r="G356" s="17" t="n">
        <v>0.02545</v>
      </c>
      <c r="H356" s="17" t="n">
        <v>0.024432</v>
      </c>
      <c r="I356" s="17" t="n">
        <v>0.0267225</v>
      </c>
      <c r="J356" s="17" t="n">
        <v>0.024432</v>
      </c>
      <c r="K356" s="2" t="inlineStr">
        <is>
          <t>止盈</t>
        </is>
      </c>
      <c r="L356" s="5">
        <f>交易明細!K178</f>
        <v/>
      </c>
      <c r="M356" s="16">
        <f>M355</f>
        <v/>
      </c>
      <c r="N356" s="2">
        <f>N355</f>
        <v/>
      </c>
      <c r="O356" s="16">
        <f>O355</f>
        <v/>
      </c>
      <c r="P356" s="4">
        <f>交易明細!L178</f>
        <v/>
      </c>
      <c r="Q356" s="10">
        <f>IF(N356="已下單",O356*P356,0)</f>
        <v/>
      </c>
      <c r="R356" s="10">
        <f>R355+Q356</f>
        <v/>
      </c>
      <c r="S356" s="16">
        <f>S355-IF(N356="已下單",M356,0)</f>
        <v/>
      </c>
      <c r="T356" s="16">
        <f>R356-S356</f>
        <v/>
      </c>
      <c r="U356" s="2">
        <f>U355-IF(N356="已下單",1,0)</f>
        <v/>
      </c>
      <c r="V356" s="16">
        <f>IF(資金模擬!$B$9=2,MAX(R356,0),MAX(V355,FLOOR(MAX(R356,0),資金模擬!$B$6)))</f>
        <v/>
      </c>
      <c r="W356" s="10">
        <f>MAX(W355,R356)</f>
        <v/>
      </c>
      <c r="X356" s="4">
        <f>IF(W356&gt;0,R356/W356-1,-1)</f>
        <v/>
      </c>
      <c r="Y356" s="16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46302.95833333334</v>
      </c>
      <c r="C357" s="2" t="inlineStr">
        <is>
          <t>進場</t>
        </is>
      </c>
      <c r="D357" s="2" t="n">
        <v>178</v>
      </c>
      <c r="E357" s="2" t="inlineStr">
        <is>
          <t>TA_USDT_PERP</t>
        </is>
      </c>
      <c r="F357" s="2" t="inlineStr">
        <is>
          <t>做空</t>
        </is>
      </c>
      <c r="G357" s="17" t="n">
        <v>0.06372999999999999</v>
      </c>
      <c r="H357" s="17" t="n">
        <v>0.06118079999999999</v>
      </c>
      <c r="I357" s="17" t="n">
        <v>0.0669165</v>
      </c>
      <c r="J357" s="17" t="n"/>
      <c r="K357" s="2" t="n"/>
      <c r="L357" s="5" t="n"/>
      <c r="M357" s="16">
        <f>資金模擬!$B$5*V356</f>
        <v/>
      </c>
      <c r="N357" s="2">
        <f>IF(Z356=1,"已停止",IF(T356&gt;=M357,"已下單","資金不足略過"))</f>
        <v/>
      </c>
      <c r="O357" s="16">
        <f>IF(N357="已下單",M357*資金模擬!$B$7,0)</f>
        <v/>
      </c>
      <c r="P357" s="4" t="n"/>
      <c r="Q357" s="10" t="n">
        <v>0</v>
      </c>
      <c r="R357" s="10">
        <f>R356+Q357</f>
        <v/>
      </c>
      <c r="S357" s="16">
        <f>S356+IF(N357="已下單",M357,0)</f>
        <v/>
      </c>
      <c r="T357" s="16">
        <f>R357-S357</f>
        <v/>
      </c>
      <c r="U357" s="2">
        <f>U356+IF(N357="已下單",1,0)</f>
        <v/>
      </c>
      <c r="V357" s="16">
        <f>IF(資金模擬!$B$9=2,MAX(R357,0),MAX(V356,FLOOR(MAX(R357,0),資金模擬!$B$6)))</f>
        <v/>
      </c>
      <c r="W357" s="10">
        <f>MAX(W356,R357)</f>
        <v/>
      </c>
      <c r="X357" s="4">
        <f>IF(W357&gt;0,R357/W357-1,-1)</f>
        <v/>
      </c>
      <c r="Y357" s="16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46302.96527777778</v>
      </c>
      <c r="C358" s="2" t="inlineStr">
        <is>
          <t>出場</t>
        </is>
      </c>
      <c r="D358" s="2" t="n">
        <v>178</v>
      </c>
      <c r="E358" s="2" t="inlineStr">
        <is>
          <t>TA_USDT_PERP</t>
        </is>
      </c>
      <c r="F358" s="2" t="inlineStr">
        <is>
          <t>做空</t>
        </is>
      </c>
      <c r="G358" s="17" t="n">
        <v>0.06372999999999999</v>
      </c>
      <c r="H358" s="17" t="n">
        <v>0.06118079999999999</v>
      </c>
      <c r="I358" s="17" t="n">
        <v>0.0669165</v>
      </c>
      <c r="J358" s="17" t="n">
        <v>0.0669165</v>
      </c>
      <c r="K358" s="2" t="inlineStr">
        <is>
          <t>止損</t>
        </is>
      </c>
      <c r="L358" s="5">
        <f>交易明細!K179</f>
        <v/>
      </c>
      <c r="M358" s="16">
        <f>M357</f>
        <v/>
      </c>
      <c r="N358" s="2">
        <f>N357</f>
        <v/>
      </c>
      <c r="O358" s="16">
        <f>O357</f>
        <v/>
      </c>
      <c r="P358" s="4">
        <f>交易明細!L179</f>
        <v/>
      </c>
      <c r="Q358" s="10">
        <f>IF(N358="已下單",O358*P358,0)</f>
        <v/>
      </c>
      <c r="R358" s="10">
        <f>R357+Q358</f>
        <v/>
      </c>
      <c r="S358" s="16">
        <f>S357-IF(N358="已下單",M358,0)</f>
        <v/>
      </c>
      <c r="T358" s="16">
        <f>R358-S358</f>
        <v/>
      </c>
      <c r="U358" s="2">
        <f>U357-IF(N358="已下單",1,0)</f>
        <v/>
      </c>
      <c r="V358" s="16">
        <f>IF(資金模擬!$B$9=2,MAX(R358,0),MAX(V357,FLOOR(MAX(R358,0),資金模擬!$B$6)))</f>
        <v/>
      </c>
      <c r="W358" s="10">
        <f>MAX(W357,R358)</f>
        <v/>
      </c>
      <c r="X358" s="4">
        <f>IF(W358&gt;0,R358/W358-1,-1)</f>
        <v/>
      </c>
      <c r="Y358" s="16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46303.05902777778</v>
      </c>
      <c r="C359" s="2" t="inlineStr">
        <is>
          <t>進場</t>
        </is>
      </c>
      <c r="D359" s="2" t="n">
        <v>179</v>
      </c>
      <c r="E359" s="2" t="inlineStr">
        <is>
          <t>HEMI_USDT_PERP</t>
        </is>
      </c>
      <c r="F359" s="2" t="inlineStr">
        <is>
          <t>做空</t>
        </is>
      </c>
      <c r="G359" s="17" t="n">
        <v>0.00665</v>
      </c>
      <c r="H359" s="17" t="n">
        <v>0.006383999999999999</v>
      </c>
      <c r="I359" s="17" t="n">
        <v>0.0069825</v>
      </c>
      <c r="J359" s="17" t="n"/>
      <c r="K359" s="2" t="n"/>
      <c r="L359" s="5" t="n"/>
      <c r="M359" s="16">
        <f>資金模擬!$B$5*V358</f>
        <v/>
      </c>
      <c r="N359" s="2">
        <f>IF(Z358=1,"已停止",IF(T358&gt;=M359,"已下單","資金不足略過"))</f>
        <v/>
      </c>
      <c r="O359" s="16">
        <f>IF(N359="已下單",M359*資金模擬!$B$7,0)</f>
        <v/>
      </c>
      <c r="P359" s="4" t="n"/>
      <c r="Q359" s="10" t="n">
        <v>0</v>
      </c>
      <c r="R359" s="10">
        <f>R358+Q359</f>
        <v/>
      </c>
      <c r="S359" s="16">
        <f>S358+IF(N359="已下單",M359,0)</f>
        <v/>
      </c>
      <c r="T359" s="16">
        <f>R359-S359</f>
        <v/>
      </c>
      <c r="U359" s="2">
        <f>U358+IF(N359="已下單",1,0)</f>
        <v/>
      </c>
      <c r="V359" s="16">
        <f>IF(資金模擬!$B$9=2,MAX(R359,0),MAX(V358,FLOOR(MAX(R359,0),資金模擬!$B$6)))</f>
        <v/>
      </c>
      <c r="W359" s="10">
        <f>MAX(W358,R359)</f>
        <v/>
      </c>
      <c r="X359" s="4">
        <f>IF(W359&gt;0,R359/W359-1,-1)</f>
        <v/>
      </c>
      <c r="Y359" s="16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46303.05902777778</v>
      </c>
      <c r="C360" s="2" t="inlineStr">
        <is>
          <t>進場</t>
        </is>
      </c>
      <c r="D360" s="2" t="n">
        <v>180</v>
      </c>
      <c r="E360" s="2" t="inlineStr">
        <is>
          <t>MET_USDT_PERP</t>
        </is>
      </c>
      <c r="F360" s="2" t="inlineStr">
        <is>
          <t>做空</t>
        </is>
      </c>
      <c r="G360" s="17" t="n">
        <v>0.3698</v>
      </c>
      <c r="H360" s="17" t="n">
        <v>0.355008</v>
      </c>
      <c r="I360" s="17" t="n">
        <v>0.38829</v>
      </c>
      <c r="J360" s="17" t="n"/>
      <c r="K360" s="2" t="n"/>
      <c r="L360" s="5" t="n"/>
      <c r="M360" s="16">
        <f>資金模擬!$B$5*V359</f>
        <v/>
      </c>
      <c r="N360" s="2">
        <f>IF(Z359=1,"已停止",IF(T359&gt;=M360,"已下單","資金不足略過"))</f>
        <v/>
      </c>
      <c r="O360" s="16">
        <f>IF(N360="已下單",M360*資金模擬!$B$7,0)</f>
        <v/>
      </c>
      <c r="P360" s="4" t="n"/>
      <c r="Q360" s="10" t="n">
        <v>0</v>
      </c>
      <c r="R360" s="10">
        <f>R359+Q360</f>
        <v/>
      </c>
      <c r="S360" s="16">
        <f>S359+IF(N360="已下單",M360,0)</f>
        <v/>
      </c>
      <c r="T360" s="16">
        <f>R360-S360</f>
        <v/>
      </c>
      <c r="U360" s="2">
        <f>U359+IF(N360="已下單",1,0)</f>
        <v/>
      </c>
      <c r="V360" s="16">
        <f>IF(資金模擬!$B$9=2,MAX(R360,0),MAX(V359,FLOOR(MAX(R360,0),資金模擬!$B$6)))</f>
        <v/>
      </c>
      <c r="W360" s="10">
        <f>MAX(W359,R360)</f>
        <v/>
      </c>
      <c r="X360" s="4">
        <f>IF(W360&gt;0,R360/W360-1,-1)</f>
        <v/>
      </c>
      <c r="Y360" s="16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46303.06597222222</v>
      </c>
      <c r="C361" s="2" t="inlineStr">
        <is>
          <t>出場</t>
        </is>
      </c>
      <c r="D361" s="2" t="n">
        <v>179</v>
      </c>
      <c r="E361" s="2" t="inlineStr">
        <is>
          <t>HEMI_USDT_PERP</t>
        </is>
      </c>
      <c r="F361" s="2" t="inlineStr">
        <is>
          <t>做空</t>
        </is>
      </c>
      <c r="G361" s="17" t="n">
        <v>0.00665</v>
      </c>
      <c r="H361" s="17" t="n">
        <v>0.006383999999999999</v>
      </c>
      <c r="I361" s="17" t="n">
        <v>0.0069825</v>
      </c>
      <c r="J361" s="17" t="n">
        <v>0.006383999999999999</v>
      </c>
      <c r="K361" s="2" t="inlineStr">
        <is>
          <t>止盈</t>
        </is>
      </c>
      <c r="L361" s="5">
        <f>交易明細!K180</f>
        <v/>
      </c>
      <c r="M361" s="16">
        <f>M359</f>
        <v/>
      </c>
      <c r="N361" s="2">
        <f>N359</f>
        <v/>
      </c>
      <c r="O361" s="16">
        <f>O359</f>
        <v/>
      </c>
      <c r="P361" s="4">
        <f>交易明細!L180</f>
        <v/>
      </c>
      <c r="Q361" s="10">
        <f>IF(N361="已下單",O361*P361,0)</f>
        <v/>
      </c>
      <c r="R361" s="10">
        <f>R360+Q361</f>
        <v/>
      </c>
      <c r="S361" s="16">
        <f>S360-IF(N361="已下單",M361,0)</f>
        <v/>
      </c>
      <c r="T361" s="16">
        <f>R361-S361</f>
        <v/>
      </c>
      <c r="U361" s="2">
        <f>U360-IF(N361="已下單",1,0)</f>
        <v/>
      </c>
      <c r="V361" s="16">
        <f>IF(資金模擬!$B$9=2,MAX(R361,0),MAX(V360,FLOOR(MAX(R361,0),資金模擬!$B$6)))</f>
        <v/>
      </c>
      <c r="W361" s="10">
        <f>MAX(W360,R361)</f>
        <v/>
      </c>
      <c r="X361" s="4">
        <f>IF(W361&gt;0,R361/W361-1,-1)</f>
        <v/>
      </c>
      <c r="Y361" s="16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46303.07291666666</v>
      </c>
      <c r="C362" s="2" t="inlineStr">
        <is>
          <t>出場</t>
        </is>
      </c>
      <c r="D362" s="2" t="n">
        <v>180</v>
      </c>
      <c r="E362" s="2" t="inlineStr">
        <is>
          <t>MET_USDT_PERP</t>
        </is>
      </c>
      <c r="F362" s="2" t="inlineStr">
        <is>
          <t>做空</t>
        </is>
      </c>
      <c r="G362" s="17" t="n">
        <v>0.3698</v>
      </c>
      <c r="H362" s="17" t="n">
        <v>0.355008</v>
      </c>
      <c r="I362" s="17" t="n">
        <v>0.38829</v>
      </c>
      <c r="J362" s="17" t="n">
        <v>0.38829</v>
      </c>
      <c r="K362" s="2" t="inlineStr">
        <is>
          <t>止損</t>
        </is>
      </c>
      <c r="L362" s="5">
        <f>交易明細!K181</f>
        <v/>
      </c>
      <c r="M362" s="16">
        <f>M360</f>
        <v/>
      </c>
      <c r="N362" s="2">
        <f>N360</f>
        <v/>
      </c>
      <c r="O362" s="16">
        <f>O360</f>
        <v/>
      </c>
      <c r="P362" s="4">
        <f>交易明細!L181</f>
        <v/>
      </c>
      <c r="Q362" s="10">
        <f>IF(N362="已下單",O362*P362,0)</f>
        <v/>
      </c>
      <c r="R362" s="10">
        <f>R361+Q362</f>
        <v/>
      </c>
      <c r="S362" s="16">
        <f>S361-IF(N362="已下單",M362,0)</f>
        <v/>
      </c>
      <c r="T362" s="16">
        <f>R362-S362</f>
        <v/>
      </c>
      <c r="U362" s="2">
        <f>U361-IF(N362="已下單",1,0)</f>
        <v/>
      </c>
      <c r="V362" s="16">
        <f>IF(資金模擬!$B$9=2,MAX(R362,0),MAX(V361,FLOOR(MAX(R362,0),資金模擬!$B$6)))</f>
        <v/>
      </c>
      <c r="W362" s="10">
        <f>MAX(W361,R362)</f>
        <v/>
      </c>
      <c r="X362" s="4">
        <f>IF(W362&gt;0,R362/W362-1,-1)</f>
        <v/>
      </c>
      <c r="Y362" s="16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46303.43055555555</v>
      </c>
      <c r="C363" s="2" t="inlineStr">
        <is>
          <t>進場</t>
        </is>
      </c>
      <c r="D363" s="2" t="n">
        <v>181</v>
      </c>
      <c r="E363" s="2" t="inlineStr">
        <is>
          <t>AIA_USDT_PERP</t>
        </is>
      </c>
      <c r="F363" s="2" t="inlineStr">
        <is>
          <t>做空</t>
        </is>
      </c>
      <c r="G363" s="17" t="n">
        <v>0.10146</v>
      </c>
      <c r="H363" s="17" t="n">
        <v>0.09740159999999999</v>
      </c>
      <c r="I363" s="17" t="n">
        <v>0.106533</v>
      </c>
      <c r="J363" s="17" t="n"/>
      <c r="K363" s="2" t="n"/>
      <c r="L363" s="5" t="n"/>
      <c r="M363" s="16">
        <f>資金模擬!$B$5*V362</f>
        <v/>
      </c>
      <c r="N363" s="2">
        <f>IF(Z362=1,"已停止",IF(T362&gt;=M363,"已下單","資金不足略過"))</f>
        <v/>
      </c>
      <c r="O363" s="16">
        <f>IF(N363="已下單",M363*資金模擬!$B$7,0)</f>
        <v/>
      </c>
      <c r="P363" s="4" t="n"/>
      <c r="Q363" s="10" t="n">
        <v>0</v>
      </c>
      <c r="R363" s="10">
        <f>R362+Q363</f>
        <v/>
      </c>
      <c r="S363" s="16">
        <f>S362+IF(N363="已下單",M363,0)</f>
        <v/>
      </c>
      <c r="T363" s="16">
        <f>R363-S363</f>
        <v/>
      </c>
      <c r="U363" s="2">
        <f>U362+IF(N363="已下單",1,0)</f>
        <v/>
      </c>
      <c r="V363" s="16">
        <f>IF(資金模擬!$B$9=2,MAX(R363,0),MAX(V362,FLOOR(MAX(R363,0),資金模擬!$B$6)))</f>
        <v/>
      </c>
      <c r="W363" s="10">
        <f>MAX(W362,R363)</f>
        <v/>
      </c>
      <c r="X363" s="4">
        <f>IF(W363&gt;0,R363/W363-1,-1)</f>
        <v/>
      </c>
      <c r="Y363" s="16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46303.45138888889</v>
      </c>
      <c r="C364" s="2" t="inlineStr">
        <is>
          <t>出場</t>
        </is>
      </c>
      <c r="D364" s="2" t="n">
        <v>181</v>
      </c>
      <c r="E364" s="2" t="inlineStr">
        <is>
          <t>AIA_USDT_PERP</t>
        </is>
      </c>
      <c r="F364" s="2" t="inlineStr">
        <is>
          <t>做空</t>
        </is>
      </c>
      <c r="G364" s="17" t="n">
        <v>0.10146</v>
      </c>
      <c r="H364" s="17" t="n">
        <v>0.09740159999999999</v>
      </c>
      <c r="I364" s="17" t="n">
        <v>0.106533</v>
      </c>
      <c r="J364" s="17" t="n">
        <v>0.09740159999999999</v>
      </c>
      <c r="K364" s="2" t="inlineStr">
        <is>
          <t>止盈</t>
        </is>
      </c>
      <c r="L364" s="5">
        <f>交易明細!K182</f>
        <v/>
      </c>
      <c r="M364" s="16">
        <f>M363</f>
        <v/>
      </c>
      <c r="N364" s="2">
        <f>N363</f>
        <v/>
      </c>
      <c r="O364" s="16">
        <f>O363</f>
        <v/>
      </c>
      <c r="P364" s="4">
        <f>交易明細!L182</f>
        <v/>
      </c>
      <c r="Q364" s="10">
        <f>IF(N364="已下單",O364*P364,0)</f>
        <v/>
      </c>
      <c r="R364" s="10">
        <f>R363+Q364</f>
        <v/>
      </c>
      <c r="S364" s="16">
        <f>S363-IF(N364="已下單",M364,0)</f>
        <v/>
      </c>
      <c r="T364" s="16">
        <f>R364-S364</f>
        <v/>
      </c>
      <c r="U364" s="2">
        <f>U363-IF(N364="已下單",1,0)</f>
        <v/>
      </c>
      <c r="V364" s="16">
        <f>IF(資金模擬!$B$9=2,MAX(R364,0),MAX(V363,FLOOR(MAX(R364,0),資金模擬!$B$6)))</f>
        <v/>
      </c>
      <c r="W364" s="10">
        <f>MAX(W363,R364)</f>
        <v/>
      </c>
      <c r="X364" s="4">
        <f>IF(W364&gt;0,R364/W364-1,-1)</f>
        <v/>
      </c>
      <c r="Y364" s="16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46303.57291666666</v>
      </c>
      <c r="C365" s="2" t="inlineStr">
        <is>
          <t>進場</t>
        </is>
      </c>
      <c r="D365" s="2" t="n">
        <v>182</v>
      </c>
      <c r="E365" s="2" t="inlineStr">
        <is>
          <t>ON_USDT_PERP</t>
        </is>
      </c>
      <c r="F365" s="2" t="inlineStr">
        <is>
          <t>做空</t>
        </is>
      </c>
      <c r="G365" s="17" t="n">
        <v>0.1245</v>
      </c>
      <c r="H365" s="17" t="n">
        <v>0.11952</v>
      </c>
      <c r="I365" s="17" t="n">
        <v>0.130725</v>
      </c>
      <c r="J365" s="17" t="n"/>
      <c r="K365" s="2" t="n"/>
      <c r="L365" s="5" t="n"/>
      <c r="M365" s="16">
        <f>資金模擬!$B$5*V364</f>
        <v/>
      </c>
      <c r="N365" s="2">
        <f>IF(Z364=1,"已停止",IF(T364&gt;=M365,"已下單","資金不足略過"))</f>
        <v/>
      </c>
      <c r="O365" s="16">
        <f>IF(N365="已下單",M365*資金模擬!$B$7,0)</f>
        <v/>
      </c>
      <c r="P365" s="4" t="n"/>
      <c r="Q365" s="10" t="n">
        <v>0</v>
      </c>
      <c r="R365" s="10">
        <f>R364+Q365</f>
        <v/>
      </c>
      <c r="S365" s="16">
        <f>S364+IF(N365="已下單",M365,0)</f>
        <v/>
      </c>
      <c r="T365" s="16">
        <f>R365-S365</f>
        <v/>
      </c>
      <c r="U365" s="2">
        <f>U364+IF(N365="已下單",1,0)</f>
        <v/>
      </c>
      <c r="V365" s="16">
        <f>IF(資金模擬!$B$9=2,MAX(R365,0),MAX(V364,FLOOR(MAX(R365,0),資金模擬!$B$6)))</f>
        <v/>
      </c>
      <c r="W365" s="10">
        <f>MAX(W364,R365)</f>
        <v/>
      </c>
      <c r="X365" s="4">
        <f>IF(W365&gt;0,R365/W365-1,-1)</f>
        <v/>
      </c>
      <c r="Y365" s="16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46303.60416666666</v>
      </c>
      <c r="C366" s="2" t="inlineStr">
        <is>
          <t>出場</t>
        </is>
      </c>
      <c r="D366" s="2" t="n">
        <v>182</v>
      </c>
      <c r="E366" s="2" t="inlineStr">
        <is>
          <t>ON_USDT_PERP</t>
        </is>
      </c>
      <c r="F366" s="2" t="inlineStr">
        <is>
          <t>做空</t>
        </is>
      </c>
      <c r="G366" s="17" t="n">
        <v>0.1245</v>
      </c>
      <c r="H366" s="17" t="n">
        <v>0.11952</v>
      </c>
      <c r="I366" s="17" t="n">
        <v>0.130725</v>
      </c>
      <c r="J366" s="17" t="n">
        <v>0.11952</v>
      </c>
      <c r="K366" s="2" t="inlineStr">
        <is>
          <t>止盈</t>
        </is>
      </c>
      <c r="L366" s="5">
        <f>交易明細!K183</f>
        <v/>
      </c>
      <c r="M366" s="16">
        <f>M365</f>
        <v/>
      </c>
      <c r="N366" s="2">
        <f>N365</f>
        <v/>
      </c>
      <c r="O366" s="16">
        <f>O365</f>
        <v/>
      </c>
      <c r="P366" s="4">
        <f>交易明細!L183</f>
        <v/>
      </c>
      <c r="Q366" s="10">
        <f>IF(N366="已下單",O366*P366,0)</f>
        <v/>
      </c>
      <c r="R366" s="10">
        <f>R365+Q366</f>
        <v/>
      </c>
      <c r="S366" s="16">
        <f>S365-IF(N366="已下單",M366,0)</f>
        <v/>
      </c>
      <c r="T366" s="16">
        <f>R366-S366</f>
        <v/>
      </c>
      <c r="U366" s="2">
        <f>U365-IF(N366="已下單",1,0)</f>
        <v/>
      </c>
      <c r="V366" s="16">
        <f>IF(資金模擬!$B$9=2,MAX(R366,0),MAX(V365,FLOOR(MAX(R366,0),資金模擬!$B$6)))</f>
        <v/>
      </c>
      <c r="W366" s="10">
        <f>MAX(W365,R366)</f>
        <v/>
      </c>
      <c r="X366" s="4">
        <f>IF(W366&gt;0,R366/W366-1,-1)</f>
        <v/>
      </c>
      <c r="Y366" s="16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46303.67361111111</v>
      </c>
      <c r="C367" s="2" t="inlineStr">
        <is>
          <t>進場</t>
        </is>
      </c>
      <c r="D367" s="2" t="n">
        <v>183</v>
      </c>
      <c r="E367" s="2" t="inlineStr">
        <is>
          <t>币安人生_USDT_PERP</t>
        </is>
      </c>
      <c r="F367" s="2" t="inlineStr">
        <is>
          <t>做空</t>
        </is>
      </c>
      <c r="G367" s="17" t="n">
        <v>0.5571</v>
      </c>
      <c r="H367" s="17" t="n">
        <v>0.5348160000000001</v>
      </c>
      <c r="I367" s="17" t="n">
        <v>0.5849550000000001</v>
      </c>
      <c r="J367" s="17" t="n"/>
      <c r="K367" s="2" t="n"/>
      <c r="L367" s="5" t="n"/>
      <c r="M367" s="16">
        <f>資金模擬!$B$5*V366</f>
        <v/>
      </c>
      <c r="N367" s="2">
        <f>IF(Z366=1,"已停止",IF(T366&gt;=M367,"已下單","資金不足略過"))</f>
        <v/>
      </c>
      <c r="O367" s="16">
        <f>IF(N367="已下單",M367*資金模擬!$B$7,0)</f>
        <v/>
      </c>
      <c r="P367" s="4" t="n"/>
      <c r="Q367" s="10" t="n">
        <v>0</v>
      </c>
      <c r="R367" s="10">
        <f>R366+Q367</f>
        <v/>
      </c>
      <c r="S367" s="16">
        <f>S366+IF(N367="已下單",M367,0)</f>
        <v/>
      </c>
      <c r="T367" s="16">
        <f>R367-S367</f>
        <v/>
      </c>
      <c r="U367" s="2">
        <f>U366+IF(N367="已下單",1,0)</f>
        <v/>
      </c>
      <c r="V367" s="16">
        <f>IF(資金模擬!$B$9=2,MAX(R367,0),MAX(V366,FLOOR(MAX(R367,0),資金模擬!$B$6)))</f>
        <v/>
      </c>
      <c r="W367" s="10">
        <f>MAX(W366,R367)</f>
        <v/>
      </c>
      <c r="X367" s="4">
        <f>IF(W367&gt;0,R367/W367-1,-1)</f>
        <v/>
      </c>
      <c r="Y367" s="16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46303.75</v>
      </c>
      <c r="C368" s="2" t="inlineStr">
        <is>
          <t>進場</t>
        </is>
      </c>
      <c r="D368" s="2" t="n">
        <v>184</v>
      </c>
      <c r="E368" s="2" t="inlineStr">
        <is>
          <t>OGN_USDT_PERP</t>
        </is>
      </c>
      <c r="F368" s="2" t="inlineStr">
        <is>
          <t>做空</t>
        </is>
      </c>
      <c r="G368" s="17" t="n">
        <v>0.02697</v>
      </c>
      <c r="H368" s="17" t="n">
        <v>0.0258912</v>
      </c>
      <c r="I368" s="17" t="n">
        <v>0.0283185</v>
      </c>
      <c r="J368" s="17" t="n"/>
      <c r="K368" s="2" t="n"/>
      <c r="L368" s="5" t="n"/>
      <c r="M368" s="16">
        <f>資金模擬!$B$5*V367</f>
        <v/>
      </c>
      <c r="N368" s="2">
        <f>IF(Z367=1,"已停止",IF(T367&gt;=M368,"已下單","資金不足略過"))</f>
        <v/>
      </c>
      <c r="O368" s="16">
        <f>IF(N368="已下單",M368*資金模擬!$B$7,0)</f>
        <v/>
      </c>
      <c r="P368" s="4" t="n"/>
      <c r="Q368" s="10" t="n">
        <v>0</v>
      </c>
      <c r="R368" s="10">
        <f>R367+Q368</f>
        <v/>
      </c>
      <c r="S368" s="16">
        <f>S367+IF(N368="已下單",M368,0)</f>
        <v/>
      </c>
      <c r="T368" s="16">
        <f>R368-S368</f>
        <v/>
      </c>
      <c r="U368" s="2">
        <f>U367+IF(N368="已下單",1,0)</f>
        <v/>
      </c>
      <c r="V368" s="16">
        <f>IF(資金模擬!$B$9=2,MAX(R368,0),MAX(V367,FLOOR(MAX(R368,0),資金模擬!$B$6)))</f>
        <v/>
      </c>
      <c r="W368" s="10">
        <f>MAX(W367,R368)</f>
        <v/>
      </c>
      <c r="X368" s="4">
        <f>IF(W368&gt;0,R368/W368-1,-1)</f>
        <v/>
      </c>
      <c r="Y368" s="16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46303.75694444445</v>
      </c>
      <c r="C369" s="2" t="inlineStr">
        <is>
          <t>出場</t>
        </is>
      </c>
      <c r="D369" s="2" t="n">
        <v>184</v>
      </c>
      <c r="E369" s="2" t="inlineStr">
        <is>
          <t>OGN_USDT_PERP</t>
        </is>
      </c>
      <c r="F369" s="2" t="inlineStr">
        <is>
          <t>做空</t>
        </is>
      </c>
      <c r="G369" s="17" t="n">
        <v>0.02697</v>
      </c>
      <c r="H369" s="17" t="n">
        <v>0.0258912</v>
      </c>
      <c r="I369" s="17" t="n">
        <v>0.0283185</v>
      </c>
      <c r="J369" s="17" t="n">
        <v>0.0283185</v>
      </c>
      <c r="K369" s="2" t="inlineStr">
        <is>
          <t>止損</t>
        </is>
      </c>
      <c r="L369" s="5">
        <f>交易明細!K185</f>
        <v/>
      </c>
      <c r="M369" s="16">
        <f>M368</f>
        <v/>
      </c>
      <c r="N369" s="2">
        <f>N368</f>
        <v/>
      </c>
      <c r="O369" s="16">
        <f>O368</f>
        <v/>
      </c>
      <c r="P369" s="4">
        <f>交易明細!L185</f>
        <v/>
      </c>
      <c r="Q369" s="10">
        <f>IF(N369="已下單",O369*P369,0)</f>
        <v/>
      </c>
      <c r="R369" s="10">
        <f>R368+Q369</f>
        <v/>
      </c>
      <c r="S369" s="16">
        <f>S368-IF(N369="已下單",M369,0)</f>
        <v/>
      </c>
      <c r="T369" s="16">
        <f>R369-S369</f>
        <v/>
      </c>
      <c r="U369" s="2">
        <f>U368-IF(N369="已下單",1,0)</f>
        <v/>
      </c>
      <c r="V369" s="16">
        <f>IF(資金模擬!$B$9=2,MAX(R369,0),MAX(V368,FLOOR(MAX(R369,0),資金模擬!$B$6)))</f>
        <v/>
      </c>
      <c r="W369" s="10">
        <f>MAX(W368,R369)</f>
        <v/>
      </c>
      <c r="X369" s="4">
        <f>IF(W369&gt;0,R369/W369-1,-1)</f>
        <v/>
      </c>
      <c r="Y369" s="16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46303.76388888889</v>
      </c>
      <c r="C370" s="2" t="inlineStr">
        <is>
          <t>出場</t>
        </is>
      </c>
      <c r="D370" s="2" t="n">
        <v>183</v>
      </c>
      <c r="E370" s="2" t="inlineStr">
        <is>
          <t>币安人生_USDT_PERP</t>
        </is>
      </c>
      <c r="F370" s="2" t="inlineStr">
        <is>
          <t>做空</t>
        </is>
      </c>
      <c r="G370" s="17" t="n">
        <v>0.5571</v>
      </c>
      <c r="H370" s="17" t="n">
        <v>0.5348160000000001</v>
      </c>
      <c r="I370" s="17" t="n">
        <v>0.5849550000000001</v>
      </c>
      <c r="J370" s="17" t="n">
        <v>0.5348160000000001</v>
      </c>
      <c r="K370" s="2" t="inlineStr">
        <is>
          <t>止盈</t>
        </is>
      </c>
      <c r="L370" s="5">
        <f>交易明細!K184</f>
        <v/>
      </c>
      <c r="M370" s="16">
        <f>M367</f>
        <v/>
      </c>
      <c r="N370" s="2">
        <f>N367</f>
        <v/>
      </c>
      <c r="O370" s="16">
        <f>O367</f>
        <v/>
      </c>
      <c r="P370" s="4">
        <f>交易明細!L184</f>
        <v/>
      </c>
      <c r="Q370" s="10">
        <f>IF(N370="已下單",O370*P370,0)</f>
        <v/>
      </c>
      <c r="R370" s="10">
        <f>R369+Q370</f>
        <v/>
      </c>
      <c r="S370" s="16">
        <f>S369-IF(N370="已下單",M370,0)</f>
        <v/>
      </c>
      <c r="T370" s="16">
        <f>R370-S370</f>
        <v/>
      </c>
      <c r="U370" s="2">
        <f>U369-IF(N370="已下單",1,0)</f>
        <v/>
      </c>
      <c r="V370" s="16">
        <f>IF(資金模擬!$B$9=2,MAX(R370,0),MAX(V369,FLOOR(MAX(R370,0),資金模擬!$B$6)))</f>
        <v/>
      </c>
      <c r="W370" s="10">
        <f>MAX(W369,R370)</f>
        <v/>
      </c>
      <c r="X370" s="4">
        <f>IF(W370&gt;0,R370/W370-1,-1)</f>
        <v/>
      </c>
      <c r="Y370" s="16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46303.88194444445</v>
      </c>
      <c r="C371" s="2" t="inlineStr">
        <is>
          <t>進場</t>
        </is>
      </c>
      <c r="D371" s="2" t="n">
        <v>185</v>
      </c>
      <c r="E371" s="2" t="inlineStr">
        <is>
          <t>AEVO_USDT_PERP</t>
        </is>
      </c>
      <c r="F371" s="2" t="inlineStr">
        <is>
          <t>做空</t>
        </is>
      </c>
      <c r="G371" s="17" t="n">
        <v>0.03074</v>
      </c>
      <c r="H371" s="17" t="n">
        <v>0.0295104</v>
      </c>
      <c r="I371" s="17" t="n">
        <v>0.032277</v>
      </c>
      <c r="J371" s="17" t="n"/>
      <c r="K371" s="2" t="n"/>
      <c r="L371" s="5" t="n"/>
      <c r="M371" s="16">
        <f>資金模擬!$B$5*V370</f>
        <v/>
      </c>
      <c r="N371" s="2">
        <f>IF(Z370=1,"已停止",IF(T370&gt;=M371,"已下單","資金不足略過"))</f>
        <v/>
      </c>
      <c r="O371" s="16">
        <f>IF(N371="已下單",M371*資金模擬!$B$7,0)</f>
        <v/>
      </c>
      <c r="P371" s="4" t="n"/>
      <c r="Q371" s="10" t="n">
        <v>0</v>
      </c>
      <c r="R371" s="10">
        <f>R370+Q371</f>
        <v/>
      </c>
      <c r="S371" s="16">
        <f>S370+IF(N371="已下單",M371,0)</f>
        <v/>
      </c>
      <c r="T371" s="16">
        <f>R371-S371</f>
        <v/>
      </c>
      <c r="U371" s="2">
        <f>U370+IF(N371="已下單",1,0)</f>
        <v/>
      </c>
      <c r="V371" s="16">
        <f>IF(資金模擬!$B$9=2,MAX(R371,0),MAX(V370,FLOOR(MAX(R371,0),資金模擬!$B$6)))</f>
        <v/>
      </c>
      <c r="W371" s="10">
        <f>MAX(W370,R371)</f>
        <v/>
      </c>
      <c r="X371" s="4">
        <f>IF(W371&gt;0,R371/W371-1,-1)</f>
        <v/>
      </c>
      <c r="Y371" s="16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46303.88541666666</v>
      </c>
      <c r="C372" s="2" t="inlineStr">
        <is>
          <t>出場</t>
        </is>
      </c>
      <c r="D372" s="2" t="n">
        <v>185</v>
      </c>
      <c r="E372" s="2" t="inlineStr">
        <is>
          <t>AEVO_USDT_PERP</t>
        </is>
      </c>
      <c r="F372" s="2" t="inlineStr">
        <is>
          <t>做空</t>
        </is>
      </c>
      <c r="G372" s="17" t="n">
        <v>0.03074</v>
      </c>
      <c r="H372" s="17" t="n">
        <v>0.0295104</v>
      </c>
      <c r="I372" s="17" t="n">
        <v>0.032277</v>
      </c>
      <c r="J372" s="17" t="n">
        <v>0.0295104</v>
      </c>
      <c r="K372" s="2" t="inlineStr">
        <is>
          <t>止盈</t>
        </is>
      </c>
      <c r="L372" s="5">
        <f>交易明細!K186</f>
        <v/>
      </c>
      <c r="M372" s="16">
        <f>M371</f>
        <v/>
      </c>
      <c r="N372" s="2">
        <f>N371</f>
        <v/>
      </c>
      <c r="O372" s="16">
        <f>O371</f>
        <v/>
      </c>
      <c r="P372" s="4">
        <f>交易明細!L186</f>
        <v/>
      </c>
      <c r="Q372" s="10">
        <f>IF(N372="已下單",O372*P372,0)</f>
        <v/>
      </c>
      <c r="R372" s="10">
        <f>R371+Q372</f>
        <v/>
      </c>
      <c r="S372" s="16">
        <f>S371-IF(N372="已下單",M372,0)</f>
        <v/>
      </c>
      <c r="T372" s="16">
        <f>R372-S372</f>
        <v/>
      </c>
      <c r="U372" s="2">
        <f>U371-IF(N372="已下單",1,0)</f>
        <v/>
      </c>
      <c r="V372" s="16">
        <f>IF(資金模擬!$B$9=2,MAX(R372,0),MAX(V371,FLOOR(MAX(R372,0),資金模擬!$B$6)))</f>
        <v/>
      </c>
      <c r="W372" s="10">
        <f>MAX(W371,R372)</f>
        <v/>
      </c>
      <c r="X372" s="4">
        <f>IF(W372&gt;0,R372/W372-1,-1)</f>
        <v/>
      </c>
      <c r="Y372" s="16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46304.52083333334</v>
      </c>
      <c r="C373" s="2" t="inlineStr">
        <is>
          <t>進場</t>
        </is>
      </c>
      <c r="D373" s="2" t="n">
        <v>186</v>
      </c>
      <c r="E373" s="2" t="inlineStr">
        <is>
          <t>ENSO_USDT_PERP</t>
        </is>
      </c>
      <c r="F373" s="2" t="inlineStr">
        <is>
          <t>做空</t>
        </is>
      </c>
      <c r="G373" s="17" t="n">
        <v>1.0454</v>
      </c>
      <c r="H373" s="17" t="n">
        <v>1.003584</v>
      </c>
      <c r="I373" s="17" t="n">
        <v>1.09767</v>
      </c>
      <c r="J373" s="17" t="n"/>
      <c r="K373" s="2" t="n"/>
      <c r="L373" s="5" t="n"/>
      <c r="M373" s="16">
        <f>資金模擬!$B$5*V372</f>
        <v/>
      </c>
      <c r="N373" s="2">
        <f>IF(Z372=1,"已停止",IF(T372&gt;=M373,"已下單","資金不足略過"))</f>
        <v/>
      </c>
      <c r="O373" s="16">
        <f>IF(N373="已下單",M373*資金模擬!$B$7,0)</f>
        <v/>
      </c>
      <c r="P373" s="4" t="n"/>
      <c r="Q373" s="10" t="n">
        <v>0</v>
      </c>
      <c r="R373" s="10">
        <f>R372+Q373</f>
        <v/>
      </c>
      <c r="S373" s="16">
        <f>S372+IF(N373="已下單",M373,0)</f>
        <v/>
      </c>
      <c r="T373" s="16">
        <f>R373-S373</f>
        <v/>
      </c>
      <c r="U373" s="2">
        <f>U372+IF(N373="已下單",1,0)</f>
        <v/>
      </c>
      <c r="V373" s="16">
        <f>IF(資金模擬!$B$9=2,MAX(R373,0),MAX(V372,FLOOR(MAX(R373,0),資金模擬!$B$6)))</f>
        <v/>
      </c>
      <c r="W373" s="10">
        <f>MAX(W372,R373)</f>
        <v/>
      </c>
      <c r="X373" s="4">
        <f>IF(W373&gt;0,R373/W373-1,-1)</f>
        <v/>
      </c>
      <c r="Y373" s="16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46304.53125</v>
      </c>
      <c r="C374" s="2" t="inlineStr">
        <is>
          <t>出場</t>
        </is>
      </c>
      <c r="D374" s="2" t="n">
        <v>186</v>
      </c>
      <c r="E374" s="2" t="inlineStr">
        <is>
          <t>ENSO_USDT_PERP</t>
        </is>
      </c>
      <c r="F374" s="2" t="inlineStr">
        <is>
          <t>做空</t>
        </is>
      </c>
      <c r="G374" s="17" t="n">
        <v>1.0454</v>
      </c>
      <c r="H374" s="17" t="n">
        <v>1.003584</v>
      </c>
      <c r="I374" s="17" t="n">
        <v>1.09767</v>
      </c>
      <c r="J374" s="17" t="n">
        <v>1.003584</v>
      </c>
      <c r="K374" s="2" t="inlineStr">
        <is>
          <t>止盈</t>
        </is>
      </c>
      <c r="L374" s="5">
        <f>交易明細!K187</f>
        <v/>
      </c>
      <c r="M374" s="16">
        <f>M373</f>
        <v/>
      </c>
      <c r="N374" s="2">
        <f>N373</f>
        <v/>
      </c>
      <c r="O374" s="16">
        <f>O373</f>
        <v/>
      </c>
      <c r="P374" s="4">
        <f>交易明細!L187</f>
        <v/>
      </c>
      <c r="Q374" s="10">
        <f>IF(N374="已下單",O374*P374,0)</f>
        <v/>
      </c>
      <c r="R374" s="10">
        <f>R373+Q374</f>
        <v/>
      </c>
      <c r="S374" s="16">
        <f>S373-IF(N374="已下單",M374,0)</f>
        <v/>
      </c>
      <c r="T374" s="16">
        <f>R374-S374</f>
        <v/>
      </c>
      <c r="U374" s="2">
        <f>U373-IF(N374="已下單",1,0)</f>
        <v/>
      </c>
      <c r="V374" s="16">
        <f>IF(資金模擬!$B$9=2,MAX(R374,0),MAX(V373,FLOOR(MAX(R374,0),資金模擬!$B$6)))</f>
        <v/>
      </c>
      <c r="W374" s="10">
        <f>MAX(W373,R374)</f>
        <v/>
      </c>
      <c r="X374" s="4">
        <f>IF(W374&gt;0,R374/W374-1,-1)</f>
        <v/>
      </c>
      <c r="Y374" s="16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46304.65972222222</v>
      </c>
      <c r="C375" s="2" t="inlineStr">
        <is>
          <t>進場</t>
        </is>
      </c>
      <c r="D375" s="2" t="n">
        <v>187</v>
      </c>
      <c r="E375" s="2" t="inlineStr">
        <is>
          <t>MAGIC_USDT_PERP</t>
        </is>
      </c>
      <c r="F375" s="2" t="inlineStr">
        <is>
          <t>做空</t>
        </is>
      </c>
      <c r="G375" s="17" t="n">
        <v>0.07820000000000001</v>
      </c>
      <c r="H375" s="17" t="n">
        <v>0.075072</v>
      </c>
      <c r="I375" s="17" t="n">
        <v>0.08211000000000002</v>
      </c>
      <c r="J375" s="17" t="n"/>
      <c r="K375" s="2" t="n"/>
      <c r="L375" s="5" t="n"/>
      <c r="M375" s="16">
        <f>資金模擬!$B$5*V374</f>
        <v/>
      </c>
      <c r="N375" s="2">
        <f>IF(Z374=1,"已停止",IF(T374&gt;=M375,"已下單","資金不足略過"))</f>
        <v/>
      </c>
      <c r="O375" s="16">
        <f>IF(N375="已下單",M375*資金模擬!$B$7,0)</f>
        <v/>
      </c>
      <c r="P375" s="4" t="n"/>
      <c r="Q375" s="10" t="n">
        <v>0</v>
      </c>
      <c r="R375" s="10">
        <f>R374+Q375</f>
        <v/>
      </c>
      <c r="S375" s="16">
        <f>S374+IF(N375="已下單",M375,0)</f>
        <v/>
      </c>
      <c r="T375" s="16">
        <f>R375-S375</f>
        <v/>
      </c>
      <c r="U375" s="2">
        <f>U374+IF(N375="已下單",1,0)</f>
        <v/>
      </c>
      <c r="V375" s="16">
        <f>IF(資金模擬!$B$9=2,MAX(R375,0),MAX(V374,FLOOR(MAX(R375,0),資金模擬!$B$6)))</f>
        <v/>
      </c>
      <c r="W375" s="10">
        <f>MAX(W374,R375)</f>
        <v/>
      </c>
      <c r="X375" s="4">
        <f>IF(W375&gt;0,R375/W375-1,-1)</f>
        <v/>
      </c>
      <c r="Y375" s="16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46304.68402777778</v>
      </c>
      <c r="C376" s="2" t="inlineStr">
        <is>
          <t>進場</t>
        </is>
      </c>
      <c r="D376" s="2" t="n">
        <v>188</v>
      </c>
      <c r="E376" s="2" t="inlineStr">
        <is>
          <t>KAIA_USDT_PERP</t>
        </is>
      </c>
      <c r="F376" s="2" t="inlineStr">
        <is>
          <t>做空</t>
        </is>
      </c>
      <c r="G376" s="17" t="n">
        <v>0.04538</v>
      </c>
      <c r="H376" s="17" t="n">
        <v>0.04356479999999999</v>
      </c>
      <c r="I376" s="17" t="n">
        <v>0.047649</v>
      </c>
      <c r="J376" s="17" t="n"/>
      <c r="K376" s="2" t="n"/>
      <c r="L376" s="5" t="n"/>
      <c r="M376" s="16">
        <f>資金模擬!$B$5*V375</f>
        <v/>
      </c>
      <c r="N376" s="2">
        <f>IF(Z375=1,"已停止",IF(T375&gt;=M376,"已下單","資金不足略過"))</f>
        <v/>
      </c>
      <c r="O376" s="16">
        <f>IF(N376="已下單",M376*資金模擬!$B$7,0)</f>
        <v/>
      </c>
      <c r="P376" s="4" t="n"/>
      <c r="Q376" s="10" t="n">
        <v>0</v>
      </c>
      <c r="R376" s="10">
        <f>R375+Q376</f>
        <v/>
      </c>
      <c r="S376" s="16">
        <f>S375+IF(N376="已下單",M376,0)</f>
        <v/>
      </c>
      <c r="T376" s="16">
        <f>R376-S376</f>
        <v/>
      </c>
      <c r="U376" s="2">
        <f>U375+IF(N376="已下單",1,0)</f>
        <v/>
      </c>
      <c r="V376" s="16">
        <f>IF(資金模擬!$B$9=2,MAX(R376,0),MAX(V375,FLOOR(MAX(R376,0),資金模擬!$B$6)))</f>
        <v/>
      </c>
      <c r="W376" s="10">
        <f>MAX(W375,R376)</f>
        <v/>
      </c>
      <c r="X376" s="4">
        <f>IF(W376&gt;0,R376/W376-1,-1)</f>
        <v/>
      </c>
      <c r="Y376" s="16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46304.69444444445</v>
      </c>
      <c r="C377" s="2" t="inlineStr">
        <is>
          <t>出場</t>
        </is>
      </c>
      <c r="D377" s="2" t="n">
        <v>188</v>
      </c>
      <c r="E377" s="2" t="inlineStr">
        <is>
          <t>KAIA_USDT_PERP</t>
        </is>
      </c>
      <c r="F377" s="2" t="inlineStr">
        <is>
          <t>做空</t>
        </is>
      </c>
      <c r="G377" s="17" t="n">
        <v>0.04538</v>
      </c>
      <c r="H377" s="17" t="n">
        <v>0.04356479999999999</v>
      </c>
      <c r="I377" s="17" t="n">
        <v>0.047649</v>
      </c>
      <c r="J377" s="17" t="n">
        <v>0.047649</v>
      </c>
      <c r="K377" s="2" t="inlineStr">
        <is>
          <t>止損</t>
        </is>
      </c>
      <c r="L377" s="5">
        <f>交易明細!K189</f>
        <v/>
      </c>
      <c r="M377" s="16">
        <f>M376</f>
        <v/>
      </c>
      <c r="N377" s="2">
        <f>N376</f>
        <v/>
      </c>
      <c r="O377" s="16">
        <f>O376</f>
        <v/>
      </c>
      <c r="P377" s="4">
        <f>交易明細!L189</f>
        <v/>
      </c>
      <c r="Q377" s="10">
        <f>IF(N377="已下單",O377*P377,0)</f>
        <v/>
      </c>
      <c r="R377" s="10">
        <f>R376+Q377</f>
        <v/>
      </c>
      <c r="S377" s="16">
        <f>S376-IF(N377="已下單",M377,0)</f>
        <v/>
      </c>
      <c r="T377" s="16">
        <f>R377-S377</f>
        <v/>
      </c>
      <c r="U377" s="2">
        <f>U376-IF(N377="已下單",1,0)</f>
        <v/>
      </c>
      <c r="V377" s="16">
        <f>IF(資金模擬!$B$9=2,MAX(R377,0),MAX(V376,FLOOR(MAX(R377,0),資金模擬!$B$6)))</f>
        <v/>
      </c>
      <c r="W377" s="10">
        <f>MAX(W376,R377)</f>
        <v/>
      </c>
      <c r="X377" s="4">
        <f>IF(W377&gt;0,R377/W377-1,-1)</f>
        <v/>
      </c>
      <c r="Y377" s="16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46304.70486111111</v>
      </c>
      <c r="C378" s="2" t="inlineStr">
        <is>
          <t>出場</t>
        </is>
      </c>
      <c r="D378" s="2" t="n">
        <v>187</v>
      </c>
      <c r="E378" s="2" t="inlineStr">
        <is>
          <t>MAGIC_USDT_PERP</t>
        </is>
      </c>
      <c r="F378" s="2" t="inlineStr">
        <is>
          <t>做空</t>
        </is>
      </c>
      <c r="G378" s="17" t="n">
        <v>0.07820000000000001</v>
      </c>
      <c r="H378" s="17" t="n">
        <v>0.075072</v>
      </c>
      <c r="I378" s="17" t="n">
        <v>0.08211000000000002</v>
      </c>
      <c r="J378" s="17" t="n">
        <v>0.075072</v>
      </c>
      <c r="K378" s="2" t="inlineStr">
        <is>
          <t>止盈</t>
        </is>
      </c>
      <c r="L378" s="5">
        <f>交易明細!K188</f>
        <v/>
      </c>
      <c r="M378" s="16">
        <f>M375</f>
        <v/>
      </c>
      <c r="N378" s="2">
        <f>N375</f>
        <v/>
      </c>
      <c r="O378" s="16">
        <f>O375</f>
        <v/>
      </c>
      <c r="P378" s="4">
        <f>交易明細!L188</f>
        <v/>
      </c>
      <c r="Q378" s="10">
        <f>IF(N378="已下單",O378*P378,0)</f>
        <v/>
      </c>
      <c r="R378" s="10">
        <f>R377+Q378</f>
        <v/>
      </c>
      <c r="S378" s="16">
        <f>S377-IF(N378="已下單",M378,0)</f>
        <v/>
      </c>
      <c r="T378" s="16">
        <f>R378-S378</f>
        <v/>
      </c>
      <c r="U378" s="2">
        <f>U377-IF(N378="已下單",1,0)</f>
        <v/>
      </c>
      <c r="V378" s="16">
        <f>IF(資金模擬!$B$9=2,MAX(R378,0),MAX(V377,FLOOR(MAX(R378,0),資金模擬!$B$6)))</f>
        <v/>
      </c>
      <c r="W378" s="10">
        <f>MAX(W377,R378)</f>
        <v/>
      </c>
      <c r="X378" s="4">
        <f>IF(W378&gt;0,R378/W378-1,-1)</f>
        <v/>
      </c>
      <c r="Y378" s="16">
        <f>IF(R378&gt;0,S378*資金模擬!$B$7/R378,0)</f>
        <v/>
      </c>
      <c r="Z378" s="2">
        <f>IF(OR(Z377=1,R378&lt;=資金模擬!$B$10),1,0)</f>
        <v/>
      </c>
    </row>
  </sheetData>
  <autoFilter ref="A1:Z378"/>
  <conditionalFormatting sqref="K2:K37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7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7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2026-10-09 17:16（Dry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IFERROR(AVERAGE(交易明細!$AC$2:$AC$189),(B6+2*B7)/(B5+B6))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8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  <row r="169">
      <c r="A169" s="2" t="n">
        <v>168</v>
      </c>
      <c r="B169" s="2" t="inlineStr">
        <is>
          <t>SAND_USDT_PERP</t>
        </is>
      </c>
      <c r="C169" s="2" t="inlineStr">
        <is>
          <t>做空</t>
        </is>
      </c>
      <c r="D169" s="7" t="n">
        <v>46297.64583333334</v>
      </c>
      <c r="E169" s="17" t="n">
        <v>0.05581</v>
      </c>
      <c r="F169" s="17" t="n">
        <v>0.0535776</v>
      </c>
      <c r="G169" s="17" t="n">
        <v>0.0586005</v>
      </c>
      <c r="H169" s="7" t="n">
        <v>46297.66666666666</v>
      </c>
      <c r="I169" s="17" t="n">
        <v>0.0586005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-0.01378335394946106</v>
      </c>
      <c r="O169" s="4" t="n">
        <v>0.01706972178066048</v>
      </c>
      <c r="P169" s="4" t="n">
        <v>0.251278659488424</v>
      </c>
      <c r="Q169" s="19" t="n">
        <v>1567511</v>
      </c>
      <c r="R169" s="19" t="n">
        <v>231321.04151</v>
      </c>
      <c r="S169" s="4" t="n">
        <v>0.02114316430747176</v>
      </c>
      <c r="T169" s="4" t="n">
        <v>0.05</v>
      </c>
      <c r="U169" s="16" t="n">
        <v>32.5571300765626</v>
      </c>
      <c r="V169" s="16" t="n">
        <v>0.7671232876712333</v>
      </c>
      <c r="W169" s="4" t="n">
        <v>-0.2172991271042632</v>
      </c>
      <c r="X169" s="4" t="n">
        <v>-0.2815154994259472</v>
      </c>
      <c r="Y169" s="4" t="n"/>
      <c r="Z169" s="4" t="n"/>
      <c r="AA169" s="4" t="n">
        <v>0.04</v>
      </c>
      <c r="AB169" s="4" t="n">
        <v>0.05</v>
      </c>
      <c r="AC169" s="4">
        <f>(AB169+2*參數!$B$7)/(AA169+AB169)</f>
        <v/>
      </c>
      <c r="AD169" s="2" t="n">
        <v>0.208008658008658</v>
      </c>
      <c r="AE169" s="2" t="n">
        <v>0.1784206081081081</v>
      </c>
      <c r="AF169" s="2" t="n">
        <v>32.5571300765626</v>
      </c>
      <c r="AG169" s="2" t="n">
        <v>0.2328767123287667</v>
      </c>
      <c r="AH169" s="2" t="n">
        <v>0.9221078345838423</v>
      </c>
      <c r="AI169" s="2" t="n">
        <v>9</v>
      </c>
      <c r="AJ169" s="2" t="n">
        <v>0.251278659488424</v>
      </c>
      <c r="AK169" s="2" t="n">
        <v>76.84843532843726</v>
      </c>
      <c r="AL169" s="2" t="n">
        <v>0.05913125079033808</v>
      </c>
      <c r="AM169" s="2" t="n">
        <v>231321.04151</v>
      </c>
    </row>
    <row r="170">
      <c r="A170" s="2" t="n">
        <v>169</v>
      </c>
      <c r="B170" s="2" t="inlineStr">
        <is>
          <t>AIN_USDT_PERP</t>
        </is>
      </c>
      <c r="C170" s="2" t="inlineStr">
        <is>
          <t>做空</t>
        </is>
      </c>
      <c r="D170" s="7" t="n">
        <v>46298.94097222222</v>
      </c>
      <c r="E170" s="17" t="n">
        <v>0.02948</v>
      </c>
      <c r="F170" s="17" t="n">
        <v>0.0283008</v>
      </c>
      <c r="G170" s="17" t="n">
        <v>0.030954</v>
      </c>
      <c r="H170" s="7" t="n">
        <v>46298.94444444445</v>
      </c>
      <c r="I170" s="17" t="n">
        <v>0.0283008</v>
      </c>
      <c r="J170" s="2" t="inlineStr">
        <is>
          <t>止盈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-0.01272605492297396</v>
      </c>
      <c r="O170" s="4" t="n">
        <v>0.02308930894981142</v>
      </c>
      <c r="P170" s="4" t="n">
        <v>0.2400340013845923</v>
      </c>
      <c r="Q170" s="19" t="n">
        <v>1015452</v>
      </c>
      <c r="R170" s="19" t="n">
        <v>246270.84271</v>
      </c>
      <c r="S170" s="4" t="n">
        <v>0.04</v>
      </c>
      <c r="T170" s="4" t="n">
        <v>0</v>
      </c>
      <c r="U170" s="16" t="n">
        <v>113.8097538787726</v>
      </c>
      <c r="V170" s="16" t="n">
        <v>0.6950354609929082</v>
      </c>
      <c r="W170" s="4" t="n">
        <v>-0.2465696078887389</v>
      </c>
      <c r="X170" s="4" t="n">
        <v>-0.2518046709129511</v>
      </c>
      <c r="Y170" s="4" t="n"/>
      <c r="Z170" s="4" t="n"/>
      <c r="AA170" s="4" t="n">
        <v>0.04</v>
      </c>
      <c r="AB170" s="4" t="n">
        <v>0.05</v>
      </c>
      <c r="AC170" s="4">
        <f>(AB170+2*參數!$B$7)/(AA170+AB170)</f>
        <v/>
      </c>
      <c r="AD170" s="2" t="n">
        <v>0.2728842832469776</v>
      </c>
      <c r="AE170" s="2" t="n">
        <v>0.2717860224331321</v>
      </c>
      <c r="AF170" s="2" t="n">
        <v>113.8097538787726</v>
      </c>
      <c r="AG170" s="2" t="n">
        <v>0.3049645390070918</v>
      </c>
      <c r="AH170" s="2" t="n">
        <v>1</v>
      </c>
      <c r="AI170" s="2" t="n">
        <v>7</v>
      </c>
      <c r="AJ170" s="2" t="n">
        <v>0.2400340013845923</v>
      </c>
      <c r="AK170" s="2" t="n">
        <v>67.47606552334679</v>
      </c>
      <c r="AL170" s="2" t="n">
        <v>0.07998371242545635</v>
      </c>
      <c r="AM170" s="2" t="n">
        <v>246270.84271</v>
      </c>
    </row>
    <row r="171">
      <c r="A171" s="2" t="n">
        <v>170</v>
      </c>
      <c r="B171" s="2" t="inlineStr">
        <is>
          <t>SPORTFUN_USDT_PERP</t>
        </is>
      </c>
      <c r="C171" s="2" t="inlineStr">
        <is>
          <t>做空</t>
        </is>
      </c>
      <c r="D171" s="7" t="n">
        <v>46299.01041666666</v>
      </c>
      <c r="E171" s="17" t="n">
        <v>0.02024</v>
      </c>
      <c r="F171" s="17" t="n">
        <v>0.0194304</v>
      </c>
      <c r="G171" s="17" t="n">
        <v>0.021252</v>
      </c>
      <c r="H171" s="7" t="n">
        <v>46299.07638888889</v>
      </c>
      <c r="I171" s="17" t="n">
        <v>0.021252</v>
      </c>
      <c r="J171" s="2" t="inlineStr">
        <is>
          <t>止損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-0.04030346135609297</v>
      </c>
      <c r="O171" s="4" t="n">
        <v>0.02233302011022267</v>
      </c>
      <c r="P171" s="4" t="n">
        <v>0.1489881070648009</v>
      </c>
      <c r="Q171" s="19" t="n">
        <v>-807528</v>
      </c>
      <c r="R171" s="19" t="n">
        <v>96432.97881</v>
      </c>
      <c r="S171" s="4" t="n">
        <v>0.03507905138339928</v>
      </c>
      <c r="T171" s="4" t="n">
        <v>0.05</v>
      </c>
      <c r="U171" s="16" t="n">
        <v>389.8732278214662</v>
      </c>
      <c r="V171" s="16" t="n">
        <v>0.6296296296296294</v>
      </c>
      <c r="W171" s="4" t="n">
        <v>-0.1504510290966345</v>
      </c>
      <c r="X171" s="4" t="n">
        <v>-0.1282051282051282</v>
      </c>
      <c r="Y171" s="4" t="n"/>
      <c r="Z171" s="4" t="n"/>
      <c r="AA171" s="4" t="n">
        <v>0.04</v>
      </c>
      <c r="AB171" s="4" t="n">
        <v>0.05</v>
      </c>
      <c r="AC171" s="4">
        <f>(AB171+2*參數!$B$7)/(AA171+AB171)</f>
        <v/>
      </c>
      <c r="AD171" s="2" t="n">
        <v>0.1618828932261767</v>
      </c>
      <c r="AE171" s="2" t="n">
        <v>0.148694665153235</v>
      </c>
      <c r="AF171" s="2" t="n">
        <v>389.8732278214662</v>
      </c>
      <c r="AG171" s="2" t="n">
        <v>0.3703703703703706</v>
      </c>
      <c r="AH171" s="2" t="n">
        <v>1</v>
      </c>
      <c r="AI171" s="2" t="n">
        <v>9</v>
      </c>
      <c r="AJ171" s="2" t="n">
        <v>0.1489881070648009</v>
      </c>
      <c r="AK171" s="2" t="n">
        <v>85.53807941840179</v>
      </c>
      <c r="AL171" s="2" t="n">
        <v>0.0773638510347263</v>
      </c>
      <c r="AM171" s="2" t="n">
        <v>96432.97881</v>
      </c>
    </row>
    <row r="172">
      <c r="A172" s="2" t="n">
        <v>171</v>
      </c>
      <c r="B172" s="2" t="inlineStr">
        <is>
          <t>COLLECT_USDT_PERP</t>
        </is>
      </c>
      <c r="C172" s="2" t="inlineStr">
        <is>
          <t>做空</t>
        </is>
      </c>
      <c r="D172" s="7" t="n">
        <v>46299.625</v>
      </c>
      <c r="E172" s="17" t="n">
        <v>0.02372</v>
      </c>
      <c r="F172" s="17" t="n">
        <v>0.0227712</v>
      </c>
      <c r="G172" s="17" t="n">
        <v>0.024906</v>
      </c>
      <c r="H172" s="7" t="n">
        <v>46299.63888888889</v>
      </c>
      <c r="I172" s="17" t="n">
        <v>0.0227712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-0.02266172229089403</v>
      </c>
      <c r="O172" s="4" t="n">
        <v>0.02251105639798465</v>
      </c>
      <c r="P172" s="4" t="n">
        <v>0.1988249291904018</v>
      </c>
      <c r="Q172" s="19" t="n">
        <v>509831</v>
      </c>
      <c r="R172" s="19" t="n">
        <v>129719.16828</v>
      </c>
      <c r="S172" s="4" t="n">
        <v>0.04</v>
      </c>
      <c r="T172" s="4" t="n">
        <v>0.02655986509274877</v>
      </c>
      <c r="U172" s="16" t="n">
        <v>17.76314901225147</v>
      </c>
      <c r="V172" s="16" t="n">
        <v>0.4621848739495784</v>
      </c>
      <c r="W172" s="4" t="n">
        <v>-0.1583614947356085</v>
      </c>
      <c r="X172" s="4" t="n">
        <v>-0.3163152053274141</v>
      </c>
      <c r="Y172" s="4" t="n"/>
      <c r="Z172" s="4" t="n"/>
      <c r="AA172" s="4" t="n">
        <v>0.04</v>
      </c>
      <c r="AB172" s="4" t="n">
        <v>0.05</v>
      </c>
      <c r="AC172" s="4">
        <f>(AB172+2*參數!$B$7)/(AA172+AB172)</f>
        <v/>
      </c>
      <c r="AD172" s="2" t="n">
        <v>0.1661750245821043</v>
      </c>
      <c r="AE172" s="2" t="n">
        <v>0.1638861629048087</v>
      </c>
      <c r="AF172" s="2" t="n">
        <v>17.76314901225147</v>
      </c>
      <c r="AG172" s="2" t="n">
        <v>0.5378151260504216</v>
      </c>
      <c r="AH172" s="2" t="n">
        <v>1</v>
      </c>
      <c r="AI172" s="2" t="n">
        <v>8</v>
      </c>
      <c r="AJ172" s="2" t="n">
        <v>0.1988249291904018</v>
      </c>
      <c r="AK172" s="2" t="n">
        <v>76.5248653520909</v>
      </c>
      <c r="AL172" s="2" t="n">
        <v>0.07798058682671571</v>
      </c>
      <c r="AM172" s="2" t="n">
        <v>129719.16828</v>
      </c>
    </row>
    <row r="173">
      <c r="A173" s="2" t="n">
        <v>172</v>
      </c>
      <c r="B173" s="2" t="inlineStr">
        <is>
          <t>BEAMX_USDT_PERP</t>
        </is>
      </c>
      <c r="C173" s="2" t="inlineStr">
        <is>
          <t>做空</t>
        </is>
      </c>
      <c r="D173" s="7" t="n">
        <v>46299.68402777778</v>
      </c>
      <c r="E173" s="17" t="n">
        <v>0.002788</v>
      </c>
      <c r="F173" s="17" t="n">
        <v>0.00267648</v>
      </c>
      <c r="G173" s="17" t="n">
        <v>0.0029274</v>
      </c>
      <c r="H173" s="7" t="n">
        <v>46299.69444444445</v>
      </c>
      <c r="I173" s="17" t="n">
        <v>0.0029274</v>
      </c>
      <c r="J173" s="2" t="inlineStr">
        <is>
          <t>止損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-0.008182141586624003</v>
      </c>
      <c r="O173" s="4" t="n">
        <v>0.02052299686616087</v>
      </c>
      <c r="P173" s="4" t="n">
        <v>0.2814904757709591</v>
      </c>
      <c r="Q173" s="19" t="n">
        <v>30869873</v>
      </c>
      <c r="R173" s="19" t="n">
        <v>194151.370506</v>
      </c>
      <c r="S173" s="4" t="n">
        <v>0.005738880918220945</v>
      </c>
      <c r="T173" s="4" t="n">
        <v>0.05</v>
      </c>
      <c r="U173" s="16" t="n">
        <v>74.71134781217164</v>
      </c>
      <c r="V173" s="16" t="n">
        <v>1</v>
      </c>
      <c r="W173" s="4" t="n">
        <v>-0.2384891143559016</v>
      </c>
      <c r="X173" s="4" t="n">
        <v>-0.3200757575757576</v>
      </c>
      <c r="Y173" s="4" t="n"/>
      <c r="Z173" s="4" t="n"/>
      <c r="AA173" s="4" t="n">
        <v>0.04</v>
      </c>
      <c r="AB173" s="4" t="n">
        <v>0.05</v>
      </c>
      <c r="AC173" s="4">
        <f>(AB173+2*參數!$B$7)/(AA173+AB173)</f>
        <v/>
      </c>
      <c r="AD173" s="2" t="n">
        <v>0.2265728112626486</v>
      </c>
      <c r="AE173" s="2" t="n">
        <v>0.1753794266441822</v>
      </c>
      <c r="AF173" s="2" t="n">
        <v>74.71134781217164</v>
      </c>
      <c r="AG173" s="2" t="n">
        <v>0</v>
      </c>
      <c r="AH173" s="2" t="n">
        <v>0.3920999609656939</v>
      </c>
      <c r="AI173" s="2" t="n">
        <v>10</v>
      </c>
      <c r="AJ173" s="2" t="n">
        <v>0.2814904757709591</v>
      </c>
      <c r="AK173" s="2" t="n">
        <v>80.71071246287245</v>
      </c>
      <c r="AL173" s="2" t="n">
        <v>0.07109374659153493</v>
      </c>
      <c r="AM173" s="2" t="n">
        <v>194151.370506</v>
      </c>
    </row>
    <row r="174">
      <c r="A174" s="2" t="n">
        <v>173</v>
      </c>
      <c r="B174" s="2" t="inlineStr">
        <is>
          <t>HAEDAL_USDT_PERP</t>
        </is>
      </c>
      <c r="C174" s="2" t="inlineStr">
        <is>
          <t>做空</t>
        </is>
      </c>
      <c r="D174" s="7" t="n">
        <v>46299.94097222222</v>
      </c>
      <c r="E174" s="17" t="n">
        <v>0.02245</v>
      </c>
      <c r="F174" s="17" t="n">
        <v>0.021552</v>
      </c>
      <c r="G174" s="17" t="n">
        <v>0.0235725</v>
      </c>
      <c r="H174" s="7" t="n">
        <v>46299.94444444445</v>
      </c>
      <c r="I174" s="17" t="n">
        <v>0.0235725</v>
      </c>
      <c r="J174" s="2" t="inlineStr">
        <is>
          <t>止損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-0.01750547045951845</v>
      </c>
      <c r="O174" s="4" t="n">
        <v>0.02049864281853662</v>
      </c>
      <c r="P174" s="4" t="n">
        <v>0.1660192388846209</v>
      </c>
      <c r="Q174" s="19" t="n">
        <v>-178745</v>
      </c>
      <c r="R174" s="19" t="n">
        <v>29464.37119</v>
      </c>
      <c r="S174" s="4" t="n">
        <v>0</v>
      </c>
      <c r="T174" s="4" t="n">
        <v>0.05</v>
      </c>
      <c r="U174" s="16" t="n">
        <v>307.1617274769422</v>
      </c>
      <c r="V174" s="16" t="n">
        <v>0.8690476190476183</v>
      </c>
      <c r="W174" s="4" t="n">
        <v>-0.1618880033122867</v>
      </c>
      <c r="X174" s="4" t="n">
        <v>-0.1753926701570683</v>
      </c>
      <c r="Y174" s="4" t="n"/>
      <c r="Z174" s="4" t="n"/>
      <c r="AA174" s="4" t="n">
        <v>0.04</v>
      </c>
      <c r="AB174" s="4" t="n">
        <v>0.05</v>
      </c>
      <c r="AC174" s="4">
        <f>(AB174+2*參數!$B$7)/(AA174+AB174)</f>
        <v/>
      </c>
      <c r="AD174" s="2" t="n">
        <v>0.1729362591431558</v>
      </c>
      <c r="AE174" s="2" t="n">
        <v>0.1711006781429318</v>
      </c>
      <c r="AF174" s="2" t="n">
        <v>307.1617274769422</v>
      </c>
      <c r="AG174" s="2" t="n">
        <v>0.1309523809523817</v>
      </c>
      <c r="AH174" s="2" t="n">
        <v>1</v>
      </c>
      <c r="AI174" s="2" t="n">
        <v>7</v>
      </c>
      <c r="AJ174" s="2" t="n">
        <v>0.1660192388846209</v>
      </c>
      <c r="AK174" s="2" t="n">
        <v>82.49418028839864</v>
      </c>
      <c r="AL174" s="2" t="n">
        <v>0.07100938169582464</v>
      </c>
      <c r="AM174" s="2" t="n">
        <v>29464.37119</v>
      </c>
    </row>
    <row r="175">
      <c r="A175" s="2" t="n">
        <v>174</v>
      </c>
      <c r="B175" s="2" t="inlineStr">
        <is>
          <t>FLUID_USDT_PERP</t>
        </is>
      </c>
      <c r="C175" s="2" t="inlineStr">
        <is>
          <t>做空</t>
        </is>
      </c>
      <c r="D175" s="7" t="n">
        <v>46300.81944444445</v>
      </c>
      <c r="E175" s="17" t="n">
        <v>2.193</v>
      </c>
      <c r="F175" s="17" t="n">
        <v>2.10528</v>
      </c>
      <c r="G175" s="17" t="n">
        <v>2.30265</v>
      </c>
      <c r="H175" s="7" t="n">
        <v>46300.88888888889</v>
      </c>
      <c r="I175" s="17" t="n">
        <v>2.10528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0.01106500691562928</v>
      </c>
      <c r="O175" s="4" t="n">
        <v>0.01542970375378595</v>
      </c>
      <c r="P175" s="4" t="n">
        <v>0.2293806847644808</v>
      </c>
      <c r="Q175" s="19" t="n">
        <v>32441.8</v>
      </c>
      <c r="R175" s="19" t="n">
        <v>95082.4547</v>
      </c>
      <c r="S175" s="4" t="n">
        <v>0.04</v>
      </c>
      <c r="T175" s="4" t="n">
        <v>0.02462380300957578</v>
      </c>
      <c r="U175" s="16" t="n">
        <v>177.1743612238184</v>
      </c>
      <c r="V175" s="16" t="n">
        <v>0.4117647058823529</v>
      </c>
      <c r="W175" s="4" t="n">
        <v>-0.2065095398428731</v>
      </c>
      <c r="X175" s="4" t="n">
        <v>-0.2847100175746924</v>
      </c>
      <c r="Y175" s="4" t="n"/>
      <c r="Z175" s="4" t="n"/>
      <c r="AA175" s="4" t="n">
        <v>0.04</v>
      </c>
      <c r="AB175" s="4" t="n">
        <v>0.05</v>
      </c>
      <c r="AC175" s="4">
        <f>(AB175+2*參數!$B$7)/(AA175+AB175)</f>
        <v/>
      </c>
      <c r="AD175" s="2" t="n">
        <v>0.1912004345464422</v>
      </c>
      <c r="AE175" s="2" t="n">
        <v>0.1803013993541442</v>
      </c>
      <c r="AF175" s="2" t="n">
        <v>177.1743612238184</v>
      </c>
      <c r="AG175" s="2" t="n">
        <v>0.5882352941176471</v>
      </c>
      <c r="AH175" s="2" t="n">
        <v>1</v>
      </c>
      <c r="AI175" s="2" t="n">
        <v>7</v>
      </c>
      <c r="AJ175" s="2" t="n">
        <v>0.2293806847644808</v>
      </c>
      <c r="AK175" s="2" t="n">
        <v>82.84154943311367</v>
      </c>
      <c r="AL175" s="2" t="n">
        <v>0.05345006169458699</v>
      </c>
      <c r="AM175" s="2" t="n">
        <v>95082.4547</v>
      </c>
    </row>
    <row r="176">
      <c r="A176" s="2" t="n">
        <v>175</v>
      </c>
      <c r="B176" s="2" t="inlineStr">
        <is>
          <t>NMR_USDT_PERP</t>
        </is>
      </c>
      <c r="C176" s="2" t="inlineStr">
        <is>
          <t>做空</t>
        </is>
      </c>
      <c r="D176" s="7" t="n">
        <v>46301.82986111111</v>
      </c>
      <c r="E176" s="17" t="n">
        <v>15.42</v>
      </c>
      <c r="F176" s="17" t="n">
        <v>14.8032</v>
      </c>
      <c r="G176" s="17" t="n">
        <v>16.191</v>
      </c>
      <c r="H176" s="7" t="n">
        <v>46301.86805555555</v>
      </c>
      <c r="I176" s="17" t="n">
        <v>16.191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-0.01362502398771825</v>
      </c>
      <c r="O176" s="4" t="n">
        <v>0.02422806038129103</v>
      </c>
      <c r="P176" s="4" t="n">
        <v>0.282312486746527</v>
      </c>
      <c r="Q176" s="19" t="n">
        <v>11363.8</v>
      </c>
      <c r="R176" s="19" t="n">
        <v>458513.6735</v>
      </c>
      <c r="S176" s="4" t="n">
        <v>0.02937743190661479</v>
      </c>
      <c r="T176" s="4" t="n">
        <v>0.05</v>
      </c>
      <c r="U176" s="16" t="n">
        <v>30.88761190977285</v>
      </c>
      <c r="V176" s="16" t="n">
        <v>0.8317535545023702</v>
      </c>
      <c r="W176" s="4" t="n">
        <v>-0.2756136098541566</v>
      </c>
      <c r="X176" s="4" t="n">
        <v>-0.3082209213540341</v>
      </c>
      <c r="Y176" s="4" t="n"/>
      <c r="Z176" s="4" t="n"/>
      <c r="AA176" s="4" t="n">
        <v>0.04</v>
      </c>
      <c r="AB176" s="4" t="n">
        <v>0.05</v>
      </c>
      <c r="AC176" s="4">
        <f>(AB176+2*參數!$B$7)/(AA176+AB176)</f>
        <v/>
      </c>
      <c r="AD176" s="2" t="n">
        <v>0.2987450517981975</v>
      </c>
      <c r="AE176" s="2" t="n">
        <v>0.2902685967701446</v>
      </c>
      <c r="AF176" s="2" t="n">
        <v>30.88761190977285</v>
      </c>
      <c r="AG176" s="2" t="n">
        <v>0.1682464454976298</v>
      </c>
      <c r="AH176" s="2" t="n">
        <v>0.4448214530031468</v>
      </c>
      <c r="AI176" s="2" t="n">
        <v>4</v>
      </c>
      <c r="AJ176" s="2" t="n">
        <v>0.282312486746527</v>
      </c>
      <c r="AK176" s="2" t="n">
        <v>54.38739812885687</v>
      </c>
      <c r="AL176" s="2" t="n">
        <v>0.0839284630984853</v>
      </c>
      <c r="AM176" s="2" t="n">
        <v>458513.6735</v>
      </c>
    </row>
    <row r="177">
      <c r="A177" s="2" t="n">
        <v>176</v>
      </c>
      <c r="B177" s="2" t="inlineStr">
        <is>
          <t>GRIFFAIN_USDT_PERP</t>
        </is>
      </c>
      <c r="C177" s="2" t="inlineStr">
        <is>
          <t>做空</t>
        </is>
      </c>
      <c r="D177" s="7" t="n">
        <v>46301.95138888889</v>
      </c>
      <c r="E177" s="17" t="n">
        <v>0.02353</v>
      </c>
      <c r="F177" s="17" t="n">
        <v>0.0225888</v>
      </c>
      <c r="G177" s="17" t="n">
        <v>0.0247065</v>
      </c>
      <c r="H177" s="7" t="n">
        <v>46301.95486111111</v>
      </c>
      <c r="I177" s="17" t="n">
        <v>0.0225888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0.05421146953405009</v>
      </c>
      <c r="O177" s="4" t="n">
        <v>0.0183126331672857</v>
      </c>
      <c r="P177" s="4" t="n">
        <v>0.2055255388595836</v>
      </c>
      <c r="Q177" s="19" t="n">
        <v>2346417</v>
      </c>
      <c r="R177" s="19" t="n">
        <v>181233.72763</v>
      </c>
      <c r="S177" s="4" t="n">
        <v>0.04</v>
      </c>
      <c r="T177" s="4" t="n">
        <v>0</v>
      </c>
      <c r="U177" s="16" t="n">
        <v>73.94483171141326</v>
      </c>
      <c r="V177" s="16" t="n">
        <v>0.4210526315789481</v>
      </c>
      <c r="W177" s="4" t="n">
        <v>-0.1945011320601464</v>
      </c>
      <c r="X177" s="4" t="n">
        <v>-0.1950228542407313</v>
      </c>
      <c r="Y177" s="4" t="n"/>
      <c r="Z177" s="4" t="n"/>
      <c r="AA177" s="4" t="n">
        <v>0.04</v>
      </c>
      <c r="AB177" s="4" t="n">
        <v>0.05</v>
      </c>
      <c r="AC177" s="4">
        <f>(AB177+2*參數!$B$7)/(AA177+AB177)</f>
        <v/>
      </c>
      <c r="AD177" s="2" t="n">
        <v>0.1889843355229914</v>
      </c>
      <c r="AE177" s="2" t="n">
        <v>0.1723966118584952</v>
      </c>
      <c r="AF177" s="2" t="n">
        <v>73.94483171141326</v>
      </c>
      <c r="AG177" s="2" t="n">
        <v>0.5789473684210519</v>
      </c>
      <c r="AH177" s="2" t="n">
        <v>1</v>
      </c>
      <c r="AI177" s="2" t="n">
        <v>4</v>
      </c>
      <c r="AJ177" s="2" t="n">
        <v>0.2055255388595836</v>
      </c>
      <c r="AK177" s="2" t="n">
        <v>63.03054498784899</v>
      </c>
      <c r="AL177" s="2" t="n">
        <v>0.0634368221322196</v>
      </c>
      <c r="AM177" s="2" t="n">
        <v>181233.72763</v>
      </c>
    </row>
    <row r="178">
      <c r="A178" s="2" t="n">
        <v>177</v>
      </c>
      <c r="B178" s="2" t="inlineStr">
        <is>
          <t>GRIFFAIN_USDT_PERP</t>
        </is>
      </c>
      <c r="C178" s="2" t="inlineStr">
        <is>
          <t>做空</t>
        </is>
      </c>
      <c r="D178" s="7" t="n">
        <v>46302.07638888889</v>
      </c>
      <c r="E178" s="17" t="n">
        <v>0.02545</v>
      </c>
      <c r="F178" s="17" t="n">
        <v>0.024432</v>
      </c>
      <c r="G178" s="17" t="n">
        <v>0.0267225</v>
      </c>
      <c r="H178" s="7" t="n">
        <v>46302.10416666666</v>
      </c>
      <c r="I178" s="17" t="n">
        <v>0.024432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-0.008570315543435791</v>
      </c>
      <c r="O178" s="4" t="n">
        <v>0.03659751053242428</v>
      </c>
      <c r="P178" s="4" t="n">
        <v>0.2702136154921142</v>
      </c>
      <c r="Q178" s="19" t="n">
        <v>217091</v>
      </c>
      <c r="R178" s="19" t="n">
        <v>373512.31721</v>
      </c>
      <c r="S178" s="4" t="n">
        <v>0.04</v>
      </c>
      <c r="T178" s="4" t="n">
        <v>0.00746561886051067</v>
      </c>
      <c r="U178" s="16" t="n">
        <v>8.061973453531749</v>
      </c>
      <c r="V178" s="16" t="n">
        <v>0.7999999999999987</v>
      </c>
      <c r="W178" s="4" t="n">
        <v>-0.2066643908359886</v>
      </c>
      <c r="X178" s="4" t="n">
        <v>-0.3098301595470923</v>
      </c>
      <c r="Y178" s="4" t="n"/>
      <c r="Z178" s="4" t="n"/>
      <c r="AA178" s="4" t="n">
        <v>0.04</v>
      </c>
      <c r="AB178" s="4" t="n">
        <v>0.05</v>
      </c>
      <c r="AC178" s="4">
        <f>(AB178+2*參數!$B$7)/(AA178+AB178)</f>
        <v/>
      </c>
      <c r="AD178" s="2" t="n">
        <v>0.1552428506581933</v>
      </c>
      <c r="AE178" s="2" t="n">
        <v>0.1186813186813187</v>
      </c>
      <c r="AF178" s="2" t="n">
        <v>8.061973453531749</v>
      </c>
      <c r="AG178" s="2" t="n">
        <v>0.2000000000000013</v>
      </c>
      <c r="AH178" s="2" t="n">
        <v>0.2530508057401554</v>
      </c>
      <c r="AI178" s="2" t="n">
        <v>6</v>
      </c>
      <c r="AJ178" s="2" t="n">
        <v>0.2702136154921142</v>
      </c>
      <c r="AK178" s="2" t="n">
        <v>84.61684926799352</v>
      </c>
      <c r="AL178" s="2" t="n">
        <v>0.126777495345392</v>
      </c>
      <c r="AM178" s="2" t="n">
        <v>373512.31721</v>
      </c>
    </row>
    <row r="179">
      <c r="A179" s="2" t="n">
        <v>178</v>
      </c>
      <c r="B179" s="2" t="inlineStr">
        <is>
          <t>TA_USDT_PERP</t>
        </is>
      </c>
      <c r="C179" s="2" t="inlineStr">
        <is>
          <t>做空</t>
        </is>
      </c>
      <c r="D179" s="7" t="n">
        <v>46302.95833333334</v>
      </c>
      <c r="E179" s="17" t="n">
        <v>0.06372999999999999</v>
      </c>
      <c r="F179" s="17" t="n">
        <v>0.06118079999999999</v>
      </c>
      <c r="G179" s="17" t="n">
        <v>0.0669165</v>
      </c>
      <c r="H179" s="7" t="n">
        <v>46302.96527777778</v>
      </c>
      <c r="I179" s="17" t="n">
        <v>0.0669165</v>
      </c>
      <c r="J179" s="2" t="inlineStr">
        <is>
          <t>止損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-0.02284575283655332</v>
      </c>
      <c r="O179" s="4" t="n">
        <v>0.02162233696537758</v>
      </c>
      <c r="P179" s="4" t="n">
        <v>0.2466165744451425</v>
      </c>
      <c r="Q179" s="19" t="n">
        <v>1323130</v>
      </c>
      <c r="R179" s="19" t="n">
        <v>164534.9734</v>
      </c>
      <c r="S179" s="4" t="n">
        <v>0.02651812333281023</v>
      </c>
      <c r="T179" s="4" t="n">
        <v>0.05</v>
      </c>
      <c r="U179" s="16" t="n">
        <v>80.84138074695591</v>
      </c>
      <c r="V179" s="16" t="n">
        <v>0.8644578313253037</v>
      </c>
      <c r="W179" s="4" t="n">
        <v>-0.2464867381086966</v>
      </c>
      <c r="X179" s="4" t="n">
        <v>-0.2715482841181165</v>
      </c>
      <c r="Y179" s="4" t="n"/>
      <c r="Z179" s="4" t="n"/>
      <c r="AA179" s="4" t="n">
        <v>0.04</v>
      </c>
      <c r="AB179" s="4" t="n">
        <v>0.05</v>
      </c>
      <c r="AC179" s="4">
        <f>(AB179+2*參數!$B$7)/(AA179+AB179)</f>
        <v/>
      </c>
      <c r="AD179" s="2" t="n">
        <v>0.2597351255188771</v>
      </c>
      <c r="AE179" s="2" t="n">
        <v>0.2452129738178974</v>
      </c>
      <c r="AF179" s="2" t="n">
        <v>80.84138074695591</v>
      </c>
      <c r="AG179" s="2" t="n">
        <v>0.1355421686746963</v>
      </c>
      <c r="AH179" s="2" t="n">
        <v>0.927297430948643</v>
      </c>
      <c r="AI179" s="2" t="n">
        <v>8</v>
      </c>
      <c r="AJ179" s="2" t="n">
        <v>0.2466165744451425</v>
      </c>
      <c r="AK179" s="2" t="n">
        <v>58.32889174601475</v>
      </c>
      <c r="AL179" s="2" t="n">
        <v>0.07490197240481723</v>
      </c>
      <c r="AM179" s="2" t="n">
        <v>164534.9734</v>
      </c>
    </row>
    <row r="180">
      <c r="A180" s="2" t="n">
        <v>179</v>
      </c>
      <c r="B180" s="2" t="inlineStr">
        <is>
          <t>HEMI_USDT_PERP</t>
        </is>
      </c>
      <c r="C180" s="2" t="inlineStr">
        <is>
          <t>做空</t>
        </is>
      </c>
      <c r="D180" s="7" t="n">
        <v>46303.05902777778</v>
      </c>
      <c r="E180" s="17" t="n">
        <v>0.00665</v>
      </c>
      <c r="F180" s="17" t="n">
        <v>0.006383999999999999</v>
      </c>
      <c r="G180" s="17" t="n">
        <v>0.0069825</v>
      </c>
      <c r="H180" s="7" t="n">
        <v>46303.06597222222</v>
      </c>
      <c r="I180" s="17" t="n">
        <v>0.006383999999999999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-0.02349486049926586</v>
      </c>
      <c r="O180" s="4" t="n">
        <v>0.02009160554105171</v>
      </c>
      <c r="P180" s="4" t="n">
        <v>0.1539295784831174</v>
      </c>
      <c r="Q180" s="19" t="n">
        <v>6400398</v>
      </c>
      <c r="R180" s="19" t="n">
        <v>208624.1955</v>
      </c>
      <c r="S180" s="4" t="n">
        <v>0.04</v>
      </c>
      <c r="T180" s="4" t="n">
        <v>0.006015037593984918</v>
      </c>
      <c r="U180" s="16" t="n">
        <v>35.52970357265534</v>
      </c>
      <c r="V180" s="16" t="n">
        <v>0.7241379310344845</v>
      </c>
      <c r="W180" s="4" t="n">
        <v>-0.1461960081354061</v>
      </c>
      <c r="X180" s="4" t="n">
        <v>-0.1348122866894197</v>
      </c>
      <c r="Y180" s="4" t="n"/>
      <c r="Z180" s="4" t="n"/>
      <c r="AA180" s="4" t="n">
        <v>0.04</v>
      </c>
      <c r="AB180" s="4" t="n">
        <v>0.05</v>
      </c>
      <c r="AC180" s="4">
        <f>(AB180+2*參數!$B$7)/(AA180+AB180)</f>
        <v/>
      </c>
      <c r="AD180" s="2" t="n">
        <v>0.1525129982668978</v>
      </c>
      <c r="AE180" s="2" t="n">
        <v>0.1101836393989983</v>
      </c>
      <c r="AF180" s="2" t="n">
        <v>35.52970357265534</v>
      </c>
      <c r="AG180" s="2" t="n">
        <v>0.2758620689655155</v>
      </c>
      <c r="AH180" s="2" t="n">
        <v>1</v>
      </c>
      <c r="AI180" s="2" t="n">
        <v>10</v>
      </c>
      <c r="AJ180" s="2" t="n">
        <v>0.1539295784831174</v>
      </c>
      <c r="AK180" s="2" t="n">
        <v>73.71977027464997</v>
      </c>
      <c r="AL180" s="2" t="n">
        <v>0.06959936320546786</v>
      </c>
      <c r="AM180" s="2" t="n">
        <v>208624.1955</v>
      </c>
    </row>
    <row r="181">
      <c r="A181" s="2" t="n">
        <v>180</v>
      </c>
      <c r="B181" s="2" t="inlineStr">
        <is>
          <t>MET_USDT_PERP</t>
        </is>
      </c>
      <c r="C181" s="2" t="inlineStr">
        <is>
          <t>做空</t>
        </is>
      </c>
      <c r="D181" s="7" t="n">
        <v>46303.05902777778</v>
      </c>
      <c r="E181" s="17" t="n">
        <v>0.3698</v>
      </c>
      <c r="F181" s="17" t="n">
        <v>0.355008</v>
      </c>
      <c r="G181" s="17" t="n">
        <v>0.38829</v>
      </c>
      <c r="H181" s="7" t="n">
        <v>46303.07291666666</v>
      </c>
      <c r="I181" s="17" t="n">
        <v>0.38829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0</v>
      </c>
      <c r="O181" s="4" t="n">
        <v>0.01422117183324422</v>
      </c>
      <c r="P181" s="4" t="n">
        <v>0.1507388549401567</v>
      </c>
      <c r="Q181" s="19" t="n">
        <v>94751</v>
      </c>
      <c r="R181" s="19" t="n">
        <v>293535.8876</v>
      </c>
      <c r="S181" s="4" t="n">
        <v>0.0005408328826393971</v>
      </c>
      <c r="T181" s="4" t="n">
        <v>0.05</v>
      </c>
      <c r="U181" s="16" t="n">
        <v>2.038104401579006</v>
      </c>
      <c r="V181" s="16" t="n">
        <v>0.65306122448979</v>
      </c>
      <c r="W181" s="4" t="n">
        <v>-0.1394589264805572</v>
      </c>
      <c r="X181" s="4" t="n">
        <v>-0.08668821627975332</v>
      </c>
      <c r="Y181" s="4" t="n"/>
      <c r="Z181" s="4" t="n"/>
      <c r="AA181" s="4" t="n">
        <v>0.04</v>
      </c>
      <c r="AB181" s="4" t="n">
        <v>0.05</v>
      </c>
      <c r="AC181" s="4">
        <f>(AB181+2*參數!$B$7)/(AA181+AB181)</f>
        <v/>
      </c>
      <c r="AD181" s="2" t="n">
        <v>0.1545426162972214</v>
      </c>
      <c r="AE181" s="2" t="n">
        <v>0.08860759493670889</v>
      </c>
      <c r="AF181" s="2" t="n">
        <v>2.038104401579006</v>
      </c>
      <c r="AG181" s="2" t="n">
        <v>0.3469387755102101</v>
      </c>
      <c r="AH181" s="2" t="n">
        <v>0.1763176618685348</v>
      </c>
      <c r="AI181" s="2" t="n">
        <v>8</v>
      </c>
      <c r="AJ181" s="2" t="n">
        <v>0.1507388549401567</v>
      </c>
      <c r="AK181" s="2" t="n">
        <v>75.96251121191317</v>
      </c>
      <c r="AL181" s="2" t="n">
        <v>0.04926358431669284</v>
      </c>
      <c r="AM181" s="2" t="n">
        <v>293535.8876</v>
      </c>
    </row>
    <row r="182">
      <c r="A182" s="2" t="n">
        <v>181</v>
      </c>
      <c r="B182" s="2" t="inlineStr">
        <is>
          <t>AIA_USDT_PERP</t>
        </is>
      </c>
      <c r="C182" s="2" t="inlineStr">
        <is>
          <t>做空</t>
        </is>
      </c>
      <c r="D182" s="7" t="n">
        <v>46303.43055555555</v>
      </c>
      <c r="E182" s="17" t="n">
        <v>0.10146</v>
      </c>
      <c r="F182" s="17" t="n">
        <v>0.09740159999999999</v>
      </c>
      <c r="G182" s="17" t="n">
        <v>0.106533</v>
      </c>
      <c r="H182" s="7" t="n">
        <v>46303.45138888889</v>
      </c>
      <c r="I182" s="17" t="n">
        <v>0.09740159999999999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0.09402631011429796</v>
      </c>
      <c r="O182" s="4" t="n">
        <v>0.02904434214323289</v>
      </c>
      <c r="P182" s="4" t="n">
        <v>0.2396224686154127</v>
      </c>
      <c r="Q182" s="19" t="n">
        <v>86891</v>
      </c>
      <c r="R182" s="19" t="n">
        <v>454192.45132</v>
      </c>
      <c r="S182" s="4" t="n">
        <v>0.04</v>
      </c>
      <c r="T182" s="4" t="n">
        <v>0.03144096195545054</v>
      </c>
      <c r="U182" s="16" t="n">
        <v>30.0507294519548</v>
      </c>
      <c r="V182" s="16" t="n">
        <v>0.4733861834654591</v>
      </c>
      <c r="W182" s="4" t="n">
        <v>-0.2034002640221753</v>
      </c>
      <c r="X182" s="4" t="n">
        <v>-0.3372874654013442</v>
      </c>
      <c r="Y182" s="4" t="n"/>
      <c r="Z182" s="4" t="n"/>
      <c r="AA182" s="4" t="n">
        <v>0.04</v>
      </c>
      <c r="AB182" s="4" t="n">
        <v>0.05</v>
      </c>
      <c r="AC182" s="4">
        <f>(AB182+2*參數!$B$7)/(AA182+AB182)</f>
        <v/>
      </c>
      <c r="AD182" s="2" t="n">
        <v>0.1826553211329991</v>
      </c>
      <c r="AE182" s="2" t="n">
        <v>0.1238369517058042</v>
      </c>
      <c r="AF182" s="2" t="n">
        <v>30.0507294519548</v>
      </c>
      <c r="AG182" s="2" t="n">
        <v>0.5266138165345409</v>
      </c>
      <c r="AH182" s="2" t="n">
        <v>1</v>
      </c>
      <c r="AI182" s="2" t="n">
        <v>6</v>
      </c>
      <c r="AJ182" s="2" t="n">
        <v>0.2396224686154127</v>
      </c>
      <c r="AK182" s="2" t="n">
        <v>78.18593116725111</v>
      </c>
      <c r="AL182" s="2" t="n">
        <v>0.1006125525289866</v>
      </c>
      <c r="AM182" s="2" t="n">
        <v>454192.45132</v>
      </c>
    </row>
    <row r="183">
      <c r="A183" s="2" t="n">
        <v>182</v>
      </c>
      <c r="B183" s="2" t="inlineStr">
        <is>
          <t>ON_USDT_PERP</t>
        </is>
      </c>
      <c r="C183" s="2" t="inlineStr">
        <is>
          <t>做空</t>
        </is>
      </c>
      <c r="D183" s="7" t="n">
        <v>46303.57291666666</v>
      </c>
      <c r="E183" s="17" t="n">
        <v>0.1245</v>
      </c>
      <c r="F183" s="17" t="n">
        <v>0.11952</v>
      </c>
      <c r="G183" s="17" t="n">
        <v>0.130725</v>
      </c>
      <c r="H183" s="7" t="n">
        <v>46303.60416666666</v>
      </c>
      <c r="I183" s="17" t="n">
        <v>0.11952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0.001367328882811991</v>
      </c>
      <c r="O183" s="4" t="n">
        <v>0.02015103115282956</v>
      </c>
      <c r="P183" s="4" t="n">
        <v>0.1673160871627264</v>
      </c>
      <c r="Q183" s="19" t="n">
        <v>252975</v>
      </c>
      <c r="R183" s="19" t="n">
        <v>117893.38415</v>
      </c>
      <c r="S183" s="4" t="n">
        <v>0.04</v>
      </c>
      <c r="T183" s="4" t="n">
        <v>0.01204819277108427</v>
      </c>
      <c r="U183" s="16" t="n">
        <v>16.32312098304972</v>
      </c>
      <c r="V183" s="16" t="n">
        <v>0.4666666666666682</v>
      </c>
      <c r="W183" s="4" t="n">
        <v>-0.150345011106142</v>
      </c>
      <c r="X183" s="4" t="n">
        <v>-0.1817750355956336</v>
      </c>
      <c r="Y183" s="4" t="n"/>
      <c r="Z183" s="4" t="n"/>
      <c r="AA183" s="4" t="n">
        <v>0.04</v>
      </c>
      <c r="AB183" s="4" t="n">
        <v>0.05</v>
      </c>
      <c r="AC183" s="4">
        <f>(AB183+2*參數!$B$7)/(AA183+AB183)</f>
        <v/>
      </c>
      <c r="AD183" s="2" t="n">
        <v>0.1432506887052343</v>
      </c>
      <c r="AE183" s="2" t="n">
        <v>0.07281344248168886</v>
      </c>
      <c r="AF183" s="2" t="n">
        <v>16.32312098304972</v>
      </c>
      <c r="AG183" s="2" t="n">
        <v>0.5333333333333318</v>
      </c>
      <c r="AH183" s="2" t="n">
        <v>0.3890881293936103</v>
      </c>
      <c r="AI183" s="2" t="n">
        <v>12</v>
      </c>
      <c r="AJ183" s="2" t="n">
        <v>0.1673160871627264</v>
      </c>
      <c r="AK183" s="2" t="n">
        <v>77.12531214030233</v>
      </c>
      <c r="AL183" s="2" t="n">
        <v>0.06980521956320808</v>
      </c>
      <c r="AM183" s="2" t="n">
        <v>117893.38415</v>
      </c>
    </row>
    <row r="184">
      <c r="A184" s="2" t="n">
        <v>183</v>
      </c>
      <c r="B184" s="2" t="inlineStr">
        <is>
          <t>币安人生_USDT_PERP</t>
        </is>
      </c>
      <c r="C184" s="2" t="inlineStr">
        <is>
          <t>做空</t>
        </is>
      </c>
      <c r="D184" s="7" t="n">
        <v>46303.67361111111</v>
      </c>
      <c r="E184" s="17" t="n">
        <v>0.5571</v>
      </c>
      <c r="F184" s="17" t="n">
        <v>0.5348160000000001</v>
      </c>
      <c r="G184" s="17" t="n">
        <v>0.5849550000000001</v>
      </c>
      <c r="H184" s="7" t="n">
        <v>46303.76388888889</v>
      </c>
      <c r="I184" s="17" t="n">
        <v>0.5348160000000001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-0.008012820512820373</v>
      </c>
      <c r="O184" s="4" t="n">
        <v>0.01521977674642565</v>
      </c>
      <c r="P184" s="4" t="n">
        <v>0.1550933861175925</v>
      </c>
      <c r="Q184" s="19" t="n">
        <v>100966</v>
      </c>
      <c r="R184" s="19" t="n">
        <v>143361.07279</v>
      </c>
      <c r="S184" s="4" t="n">
        <v>0.04</v>
      </c>
      <c r="T184" s="4" t="n">
        <v>0.04645485550170525</v>
      </c>
      <c r="U184" s="16" t="n">
        <v>9.021930595128062</v>
      </c>
      <c r="V184" s="16" t="n">
        <v>0.548133595284866</v>
      </c>
      <c r="W184" s="4" t="n">
        <v>-0.1381431167470069</v>
      </c>
      <c r="X184" s="4" t="n">
        <v>-0.139846547314578</v>
      </c>
      <c r="Y184" s="4" t="n"/>
      <c r="Z184" s="4" t="n"/>
      <c r="AA184" s="4" t="n">
        <v>0.04</v>
      </c>
      <c r="AB184" s="4" t="n">
        <v>0.05</v>
      </c>
      <c r="AC184" s="4">
        <f>(AB184+2*參數!$B$7)/(AA184+AB184)</f>
        <v/>
      </c>
      <c r="AD184" s="2" t="n">
        <v>0.1528194516295913</v>
      </c>
      <c r="AE184" s="2" t="n">
        <v>0.07766708579166259</v>
      </c>
      <c r="AF184" s="2" t="n">
        <v>9.021930595128062</v>
      </c>
      <c r="AG184" s="2" t="n">
        <v>0.451866404715134</v>
      </c>
      <c r="AH184" s="2" t="n">
        <v>0.1850882339666922</v>
      </c>
      <c r="AI184" s="2" t="n">
        <v>12</v>
      </c>
      <c r="AJ184" s="2" t="n">
        <v>0.1550933861175925</v>
      </c>
      <c r="AK184" s="2" t="n">
        <v>86.13349055075452</v>
      </c>
      <c r="AL184" s="2" t="n">
        <v>0.05272285320932914</v>
      </c>
      <c r="AM184" s="2" t="n">
        <v>143361.07279</v>
      </c>
    </row>
    <row r="185">
      <c r="A185" s="2" t="n">
        <v>184</v>
      </c>
      <c r="B185" s="2" t="inlineStr">
        <is>
          <t>OGN_USDT_PERP</t>
        </is>
      </c>
      <c r="C185" s="2" t="inlineStr">
        <is>
          <t>做空</t>
        </is>
      </c>
      <c r="D185" s="7" t="n">
        <v>46303.75</v>
      </c>
      <c r="E185" s="17" t="n">
        <v>0.02697</v>
      </c>
      <c r="F185" s="17" t="n">
        <v>0.0258912</v>
      </c>
      <c r="G185" s="17" t="n">
        <v>0.0283185</v>
      </c>
      <c r="H185" s="7" t="n">
        <v>46303.75694444445</v>
      </c>
      <c r="I185" s="17" t="n">
        <v>0.0283185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-0.01425438596491224</v>
      </c>
      <c r="O185" s="4" t="n">
        <v>0.02352987839299914</v>
      </c>
      <c r="P185" s="4" t="n">
        <v>0.1821127105241052</v>
      </c>
      <c r="Q185" s="19" t="n">
        <v>1383786</v>
      </c>
      <c r="R185" s="19" t="n">
        <v>362987.46545</v>
      </c>
      <c r="S185" s="4" t="n">
        <v>0.002595476455320767</v>
      </c>
      <c r="T185" s="4" t="n">
        <v>0.05</v>
      </c>
      <c r="U185" s="16" t="n">
        <v>7.709257479972491</v>
      </c>
      <c r="V185" s="16" t="n">
        <v>0.7377049180327859</v>
      </c>
      <c r="W185" s="4" t="n">
        <v>-0.1593368094810281</v>
      </c>
      <c r="X185" s="4" t="n">
        <v>-0.2997590361445783</v>
      </c>
      <c r="Y185" s="4" t="n"/>
      <c r="Z185" s="4" t="n"/>
      <c r="AA185" s="4" t="n">
        <v>0.04</v>
      </c>
      <c r="AB185" s="4" t="n">
        <v>0.05</v>
      </c>
      <c r="AC185" s="4">
        <f>(AB185+2*參數!$B$7)/(AA185+AB185)</f>
        <v/>
      </c>
      <c r="AD185" s="2" t="n">
        <v>0.2002670226969292</v>
      </c>
      <c r="AE185" s="2" t="n">
        <v>0.04656577415599528</v>
      </c>
      <c r="AF185" s="2" t="n">
        <v>7.709257479972491</v>
      </c>
      <c r="AG185" s="2" t="n">
        <v>0.2622950819672141</v>
      </c>
      <c r="AH185" s="2" t="n">
        <v>0.3604228092826411</v>
      </c>
      <c r="AI185" s="2" t="n">
        <v>10</v>
      </c>
      <c r="AJ185" s="2" t="n">
        <v>0.1821127105241052</v>
      </c>
      <c r="AK185" s="2" t="n">
        <v>77.38747713436342</v>
      </c>
      <c r="AL185" s="2" t="n">
        <v>0.08150988974518328</v>
      </c>
      <c r="AM185" s="2" t="n">
        <v>362987.46545</v>
      </c>
    </row>
    <row r="186">
      <c r="A186" s="2" t="n">
        <v>185</v>
      </c>
      <c r="B186" s="2" t="inlineStr">
        <is>
          <t>AEVO_USDT_PERP</t>
        </is>
      </c>
      <c r="C186" s="2" t="inlineStr">
        <is>
          <t>做空</t>
        </is>
      </c>
      <c r="D186" s="7" t="n">
        <v>46303.88194444445</v>
      </c>
      <c r="E186" s="17" t="n">
        <v>0.03074</v>
      </c>
      <c r="F186" s="17" t="n">
        <v>0.0295104</v>
      </c>
      <c r="G186" s="17" t="n">
        <v>0.032277</v>
      </c>
      <c r="H186" s="7" t="n">
        <v>46303.88541666666</v>
      </c>
      <c r="I186" s="17" t="n">
        <v>0.0295104</v>
      </c>
      <c r="J186" s="2" t="inlineStr">
        <is>
          <t>止盈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0.00424697811172825</v>
      </c>
      <c r="O186" s="4" t="n">
        <v>0.02109890596794661</v>
      </c>
      <c r="P186" s="4" t="n">
        <v>0.179408313536914</v>
      </c>
      <c r="Q186" s="19" t="n">
        <v>5223561</v>
      </c>
      <c r="R186" s="19" t="n">
        <v>194022.853823</v>
      </c>
      <c r="S186" s="4" t="n">
        <v>0.04</v>
      </c>
      <c r="T186" s="4" t="n">
        <v>0</v>
      </c>
      <c r="U186" s="16" t="n">
        <v>102.4731554194273</v>
      </c>
      <c r="V186" s="16" t="n">
        <v>0.8053097345132729</v>
      </c>
      <c r="W186" s="4" t="n">
        <v>-0.1379284815280966</v>
      </c>
      <c r="X186" s="4" t="n">
        <v>-0.2572597137014314</v>
      </c>
      <c r="Y186" s="4" t="n"/>
      <c r="Z186" s="4" t="n"/>
      <c r="AA186" s="4" t="n">
        <v>0.04</v>
      </c>
      <c r="AB186" s="4" t="n">
        <v>0.05</v>
      </c>
      <c r="AC186" s="4">
        <f>(AB186+2*參數!$B$7)/(AA186+AB186)</f>
        <v/>
      </c>
      <c r="AD186" s="2" t="n">
        <v>0.1431759018222387</v>
      </c>
      <c r="AE186" s="2" t="n">
        <v>0.1338989302840281</v>
      </c>
      <c r="AF186" s="2" t="n">
        <v>102.4731554194273</v>
      </c>
      <c r="AG186" s="2" t="n">
        <v>0.1946902654867271</v>
      </c>
      <c r="AH186" s="2" t="n">
        <v>0.5422677589393697</v>
      </c>
      <c r="AI186" s="2" t="n">
        <v>12</v>
      </c>
      <c r="AJ186" s="2" t="n">
        <v>0.179408313536914</v>
      </c>
      <c r="AK186" s="2" t="n">
        <v>74.99467728818792</v>
      </c>
      <c r="AL186" s="2" t="n">
        <v>0.07308875424120345</v>
      </c>
      <c r="AM186" s="2" t="n">
        <v>194022.853823</v>
      </c>
    </row>
    <row r="187">
      <c r="A187" s="2" t="n">
        <v>186</v>
      </c>
      <c r="B187" s="2" t="inlineStr">
        <is>
          <t>ENSO_USDT_PERP</t>
        </is>
      </c>
      <c r="C187" s="2" t="inlineStr">
        <is>
          <t>做空</t>
        </is>
      </c>
      <c r="D187" s="7" t="n">
        <v>46304.52083333334</v>
      </c>
      <c r="E187" s="17" t="n">
        <v>1.0454</v>
      </c>
      <c r="F187" s="17" t="n">
        <v>1.003584</v>
      </c>
      <c r="G187" s="17" t="n">
        <v>1.09767</v>
      </c>
      <c r="H187" s="7" t="n">
        <v>46304.53125</v>
      </c>
      <c r="I187" s="17" t="n">
        <v>1.003584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-0.00200477326968973</v>
      </c>
      <c r="O187" s="4" t="n">
        <v>0.01474834765493751</v>
      </c>
      <c r="P187" s="4" t="n">
        <v>0.1624699242598693</v>
      </c>
      <c r="Q187" s="19" t="n">
        <v>26597.9</v>
      </c>
      <c r="R187" s="19" t="n">
        <v>144877.79694</v>
      </c>
      <c r="S187" s="4" t="n">
        <v>0.04</v>
      </c>
      <c r="T187" s="4" t="n">
        <v>0.002487086282762618</v>
      </c>
      <c r="U187" s="16" t="n">
        <v>40.46210811267331</v>
      </c>
      <c r="V187" s="16" t="n">
        <v>0.6310160427807405</v>
      </c>
      <c r="W187" s="4" t="n">
        <v>-0.1680864567224751</v>
      </c>
      <c r="X187" s="4" t="n">
        <v>-0.1632357850228108</v>
      </c>
      <c r="Y187" s="4" t="n"/>
      <c r="Z187" s="4" t="n"/>
      <c r="AA187" s="4" t="n">
        <v>0.04</v>
      </c>
      <c r="AB187" s="4" t="n">
        <v>0.05</v>
      </c>
      <c r="AC187" s="4">
        <f>(AB187+2*參數!$B$7)/(AA187+AB187)</f>
        <v/>
      </c>
      <c r="AD187" s="2" t="n">
        <v>0.1837843958781566</v>
      </c>
      <c r="AE187" s="2" t="n">
        <v>0.1714477812640074</v>
      </c>
      <c r="AF187" s="2" t="n">
        <v>40.46210811267331</v>
      </c>
      <c r="AG187" s="2" t="n">
        <v>0.3689839572192594</v>
      </c>
      <c r="AH187" s="2" t="n">
        <v>1</v>
      </c>
      <c r="AI187" s="2" t="n">
        <v>6</v>
      </c>
      <c r="AJ187" s="2" t="n">
        <v>0.1624699242598693</v>
      </c>
      <c r="AK187" s="2" t="n">
        <v>56.46151546746634</v>
      </c>
      <c r="AL187" s="2" t="n">
        <v>0.05108977493208215</v>
      </c>
      <c r="AM187" s="2" t="n">
        <v>144877.79694</v>
      </c>
    </row>
    <row r="188">
      <c r="A188" s="2" t="n">
        <v>187</v>
      </c>
      <c r="B188" s="2" t="inlineStr">
        <is>
          <t>MAGIC_USDT_PERP</t>
        </is>
      </c>
      <c r="C188" s="2" t="inlineStr">
        <is>
          <t>做空</t>
        </is>
      </c>
      <c r="D188" s="7" t="n">
        <v>46304.65972222222</v>
      </c>
      <c r="E188" s="17" t="n">
        <v>0.07820000000000001</v>
      </c>
      <c r="F188" s="17" t="n">
        <v>0.075072</v>
      </c>
      <c r="G188" s="17" t="n">
        <v>0.08211000000000002</v>
      </c>
      <c r="H188" s="7" t="n">
        <v>46304.70486111111</v>
      </c>
      <c r="I188" s="17" t="n">
        <v>0.075072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-0.005089058524172962</v>
      </c>
      <c r="O188" s="4" t="n">
        <v>0.02334129654151102</v>
      </c>
      <c r="P188" s="4" t="n">
        <v>0.1866314285352995</v>
      </c>
      <c r="Q188" s="19" t="n">
        <v>653733.1000000001</v>
      </c>
      <c r="R188" s="19" t="n">
        <v>142991.65662</v>
      </c>
      <c r="S188" s="4" t="n">
        <v>0.04</v>
      </c>
      <c r="T188" s="4" t="n">
        <v>0.02685421994884907</v>
      </c>
      <c r="U188" s="16" t="n">
        <v>17.85009089452775</v>
      </c>
      <c r="V188" s="16" t="n">
        <v>0.7826086956521734</v>
      </c>
      <c r="W188" s="4" t="n">
        <v>-0.146476271459778</v>
      </c>
      <c r="X188" s="4" t="n">
        <v>-0.2180685358255454</v>
      </c>
      <c r="Y188" s="4" t="n"/>
      <c r="Z188" s="4" t="n"/>
      <c r="AA188" s="4" t="n">
        <v>0.04</v>
      </c>
      <c r="AB188" s="4" t="n">
        <v>0.05</v>
      </c>
      <c r="AC188" s="4">
        <f>(AB188+2*參數!$B$7)/(AA188+AB188)</f>
        <v/>
      </c>
      <c r="AD188" s="2" t="n">
        <v>0.177710843373494</v>
      </c>
      <c r="AE188" s="2" t="n">
        <v>0.07123287671232892</v>
      </c>
      <c r="AF188" s="2" t="n">
        <v>17.85009089452775</v>
      </c>
      <c r="AG188" s="2" t="n">
        <v>0.2173913043478266</v>
      </c>
      <c r="AH188" s="2" t="n">
        <v>0.3032665021337885</v>
      </c>
      <c r="AI188" s="2" t="n">
        <v>12</v>
      </c>
      <c r="AJ188" s="2" t="n">
        <v>0.1866314285352995</v>
      </c>
      <c r="AK188" s="2" t="n">
        <v>80.68358745966303</v>
      </c>
      <c r="AL188" s="2" t="n">
        <v>0.08085662304885761</v>
      </c>
      <c r="AM188" s="2" t="n">
        <v>142991.65662</v>
      </c>
    </row>
    <row r="189">
      <c r="A189" s="2" t="n">
        <v>188</v>
      </c>
      <c r="B189" s="2" t="inlineStr">
        <is>
          <t>KAIA_USDT_PERP</t>
        </is>
      </c>
      <c r="C189" s="2" t="inlineStr">
        <is>
          <t>做空</t>
        </is>
      </c>
      <c r="D189" s="7" t="n">
        <v>46304.68402777778</v>
      </c>
      <c r="E189" s="17" t="n">
        <v>0.04538</v>
      </c>
      <c r="F189" s="17" t="n">
        <v>0.04356479999999999</v>
      </c>
      <c r="G189" s="17" t="n">
        <v>0.047649</v>
      </c>
      <c r="H189" s="7" t="n">
        <v>46304.69444444445</v>
      </c>
      <c r="I189" s="17" t="n">
        <v>0.047649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-0.01965867357960682</v>
      </c>
      <c r="O189" s="4" t="n">
        <v>0.01819740777002907</v>
      </c>
      <c r="P189" s="4" t="n">
        <v>0.2065231479583867</v>
      </c>
      <c r="Q189" s="19" t="n">
        <v>787295</v>
      </c>
      <c r="R189" s="19" t="n">
        <v>101699.628</v>
      </c>
      <c r="S189" s="4" t="n">
        <v>0.009034817100043946</v>
      </c>
      <c r="T189" s="4" t="n">
        <v>0.05</v>
      </c>
      <c r="U189" s="16" t="n">
        <v>90.12347205491284</v>
      </c>
      <c r="V189" s="16" t="n">
        <v>0.7368421052631595</v>
      </c>
      <c r="W189" s="4" t="n">
        <v>-0.1992125047897149</v>
      </c>
      <c r="X189" s="4" t="n">
        <v>-0.1870258958932773</v>
      </c>
      <c r="Y189" s="4" t="n"/>
      <c r="Z189" s="4" t="n"/>
      <c r="AA189" s="4" t="n">
        <v>0.04</v>
      </c>
      <c r="AB189" s="4" t="n">
        <v>0.05</v>
      </c>
      <c r="AC189" s="4">
        <f>(AB189+2*參數!$B$7)/(AA189+AB189)</f>
        <v/>
      </c>
      <c r="AD189" s="2" t="n">
        <v>0.2117489986648866</v>
      </c>
      <c r="AE189" s="2" t="n">
        <v>0.2114255205552589</v>
      </c>
      <c r="AF189" s="2" t="n">
        <v>90.12347205491284</v>
      </c>
      <c r="AG189" s="2" t="n">
        <v>0.2631578947368404</v>
      </c>
      <c r="AH189" s="2" t="n">
        <v>0.9784488502203974</v>
      </c>
      <c r="AI189" s="2" t="n">
        <v>4</v>
      </c>
      <c r="AJ189" s="2" t="n">
        <v>0.2065231479583867</v>
      </c>
      <c r="AK189" s="2" t="n">
        <v>51.0611905756888</v>
      </c>
      <c r="AL189" s="2" t="n">
        <v>0.06303766964747802</v>
      </c>
      <c r="AM189" s="2" t="n">
        <v>101699.628</v>
      </c>
    </row>
  </sheetData>
  <autoFilter ref="A1:AM189"/>
  <conditionalFormatting sqref="J2:J18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COUNTIFS(交易明細!$B$2:$B$189,$A2)</f>
        <v/>
      </c>
      <c r="C2" s="2">
        <f>COUNTIFS(交易明細!$B$2:$B$189,$A2,交易明細!$C$2:$C$189,"做多")</f>
        <v/>
      </c>
      <c r="D2" s="2">
        <f>COUNTIFS(交易明細!$B$2:$B$189,$A2,交易明細!$C$2:$C$189,"做空")</f>
        <v/>
      </c>
      <c r="E2" s="2">
        <f>F2+G2+COUNTIFS(交易明細!$B$2:$B$189,$A2,交易明細!$J$2:$J$189,"時間出場")</f>
        <v/>
      </c>
      <c r="F2" s="2">
        <f>COUNTIFS(交易明細!$B$2:$B$189,$A2,交易明細!$J$2:$J$189,"止盈")</f>
        <v/>
      </c>
      <c r="G2" s="2">
        <f>COUNTIFS(交易明細!$B$2:$B$189,$A2,交易明細!$J$2:$J$189,"止損")</f>
        <v/>
      </c>
      <c r="H2" s="4">
        <f>IFERROR(F2/E2,0)</f>
        <v/>
      </c>
      <c r="I2" s="4">
        <f>IFERROR(AVERAGEIFS(交易明細!$L$2:$L$189,交易明細!$B$2:$B$189,$A2,交易明細!$J$2:$J$189,"&lt;&gt;未平倉"),0)</f>
        <v/>
      </c>
      <c r="J2" s="4">
        <f>SUMIFS(交易明細!$L$2:$L$189,交易明細!$B$2:$B$189,$A2,交易明細!$J$2:$J$189,"&lt;&gt;未平倉")</f>
        <v/>
      </c>
      <c r="K2" s="5">
        <f>IFERROR(AVERAGEIFS(交易明細!$K$2:$K$189,交易明細!$B$2:$B$189,$A2,交易明細!$J$2:$J$189,"&lt;&gt;未平倉"),0)</f>
        <v/>
      </c>
      <c r="L2" s="2">
        <f>COUNTIFS(交易明細!$B$2:$B$189,$A2,交易明細!$J$2:$J$189,"未平倉")</f>
        <v/>
      </c>
    </row>
    <row r="3">
      <c r="A3" s="2" t="inlineStr">
        <is>
          <t>4_USDT_PERP</t>
        </is>
      </c>
      <c r="B3" s="2">
        <f>COUNTIFS(交易明細!$B$2:$B$189,$A3)</f>
        <v/>
      </c>
      <c r="C3" s="2">
        <f>COUNTIFS(交易明細!$B$2:$B$189,$A3,交易明細!$C$2:$C$189,"做多")</f>
        <v/>
      </c>
      <c r="D3" s="2">
        <f>COUNTIFS(交易明細!$B$2:$B$189,$A3,交易明細!$C$2:$C$189,"做空")</f>
        <v/>
      </c>
      <c r="E3" s="2">
        <f>F3+G3+COUNTIFS(交易明細!$B$2:$B$189,$A3,交易明細!$J$2:$J$189,"時間出場")</f>
        <v/>
      </c>
      <c r="F3" s="2">
        <f>COUNTIFS(交易明細!$B$2:$B$189,$A3,交易明細!$J$2:$J$189,"止盈")</f>
        <v/>
      </c>
      <c r="G3" s="2">
        <f>COUNTIFS(交易明細!$B$2:$B$189,$A3,交易明細!$J$2:$J$189,"止損")</f>
        <v/>
      </c>
      <c r="H3" s="4">
        <f>IFERROR(F3/E3,0)</f>
        <v/>
      </c>
      <c r="I3" s="4">
        <f>IFERROR(AVERAGEIFS(交易明細!$L$2:$L$189,交易明細!$B$2:$B$189,$A3,交易明細!$J$2:$J$189,"&lt;&gt;未平倉"),0)</f>
        <v/>
      </c>
      <c r="J3" s="4">
        <f>SUMIFS(交易明細!$L$2:$L$189,交易明細!$B$2:$B$189,$A3,交易明細!$J$2:$J$189,"&lt;&gt;未平倉")</f>
        <v/>
      </c>
      <c r="K3" s="5">
        <f>IFERROR(AVERAGEIFS(交易明細!$K$2:$K$189,交易明細!$B$2:$B$189,$A3,交易明細!$J$2:$J$189,"&lt;&gt;未平倉"),0)</f>
        <v/>
      </c>
      <c r="L3" s="2">
        <f>COUNTIFS(交易明細!$B$2:$B$189,$A3,交易明細!$J$2:$J$189,"未平倉")</f>
        <v/>
      </c>
    </row>
    <row r="4">
      <c r="A4" s="2" t="inlineStr">
        <is>
          <t>APR_USDT_PERP</t>
        </is>
      </c>
      <c r="B4" s="2">
        <f>COUNTIFS(交易明細!$B$2:$B$189,$A4)</f>
        <v/>
      </c>
      <c r="C4" s="2">
        <f>COUNTIFS(交易明細!$B$2:$B$189,$A4,交易明細!$C$2:$C$189,"做多")</f>
        <v/>
      </c>
      <c r="D4" s="2">
        <f>COUNTIFS(交易明細!$B$2:$B$189,$A4,交易明細!$C$2:$C$189,"做空")</f>
        <v/>
      </c>
      <c r="E4" s="2">
        <f>F4+G4+COUNTIFS(交易明細!$B$2:$B$189,$A4,交易明細!$J$2:$J$189,"時間出場")</f>
        <v/>
      </c>
      <c r="F4" s="2">
        <f>COUNTIFS(交易明細!$B$2:$B$189,$A4,交易明細!$J$2:$J$189,"止盈")</f>
        <v/>
      </c>
      <c r="G4" s="2">
        <f>COUNTIFS(交易明細!$B$2:$B$189,$A4,交易明細!$J$2:$J$189,"止損")</f>
        <v/>
      </c>
      <c r="H4" s="4">
        <f>IFERROR(F4/E4,0)</f>
        <v/>
      </c>
      <c r="I4" s="4">
        <f>IFERROR(AVERAGEIFS(交易明細!$L$2:$L$189,交易明細!$B$2:$B$189,$A4,交易明細!$J$2:$J$189,"&lt;&gt;未平倉"),0)</f>
        <v/>
      </c>
      <c r="J4" s="4">
        <f>SUMIFS(交易明細!$L$2:$L$189,交易明細!$B$2:$B$189,$A4,交易明細!$J$2:$J$189,"&lt;&gt;未平倉")</f>
        <v/>
      </c>
      <c r="K4" s="5">
        <f>IFERROR(AVERAGEIFS(交易明細!$K$2:$K$189,交易明細!$B$2:$B$189,$A4,交易明細!$J$2:$J$189,"&lt;&gt;未平倉"),0)</f>
        <v/>
      </c>
      <c r="L4" s="2">
        <f>COUNTIFS(交易明細!$B$2:$B$189,$A4,交易明細!$J$2:$J$189,"未平倉")</f>
        <v/>
      </c>
    </row>
    <row r="5">
      <c r="A5" s="2" t="inlineStr">
        <is>
          <t>CAP_USDT_PERP</t>
        </is>
      </c>
      <c r="B5" s="2">
        <f>COUNTIFS(交易明細!$B$2:$B$189,$A5)</f>
        <v/>
      </c>
      <c r="C5" s="2">
        <f>COUNTIFS(交易明細!$B$2:$B$189,$A5,交易明細!$C$2:$C$189,"做多")</f>
        <v/>
      </c>
      <c r="D5" s="2">
        <f>COUNTIFS(交易明細!$B$2:$B$189,$A5,交易明細!$C$2:$C$189,"做空")</f>
        <v/>
      </c>
      <c r="E5" s="2">
        <f>F5+G5+COUNTIFS(交易明細!$B$2:$B$189,$A5,交易明細!$J$2:$J$189,"時間出場")</f>
        <v/>
      </c>
      <c r="F5" s="2">
        <f>COUNTIFS(交易明細!$B$2:$B$189,$A5,交易明細!$J$2:$J$189,"止盈")</f>
        <v/>
      </c>
      <c r="G5" s="2">
        <f>COUNTIFS(交易明細!$B$2:$B$189,$A5,交易明細!$J$2:$J$189,"止損")</f>
        <v/>
      </c>
      <c r="H5" s="4">
        <f>IFERROR(F5/E5,0)</f>
        <v/>
      </c>
      <c r="I5" s="4">
        <f>IFERROR(AVERAGEIFS(交易明細!$L$2:$L$189,交易明細!$B$2:$B$189,$A5,交易明細!$J$2:$J$189,"&lt;&gt;未平倉"),0)</f>
        <v/>
      </c>
      <c r="J5" s="4">
        <f>SUMIFS(交易明細!$L$2:$L$189,交易明細!$B$2:$B$189,$A5,交易明細!$J$2:$J$189,"&lt;&gt;未平倉")</f>
        <v/>
      </c>
      <c r="K5" s="5">
        <f>IFERROR(AVERAGEIFS(交易明細!$K$2:$K$189,交易明細!$B$2:$B$189,$A5,交易明細!$J$2:$J$189,"&lt;&gt;未平倉"),0)</f>
        <v/>
      </c>
      <c r="L5" s="2">
        <f>COUNTIFS(交易明細!$B$2:$B$189,$A5,交易明細!$J$2:$J$189,"未平倉")</f>
        <v/>
      </c>
    </row>
    <row r="6">
      <c r="A6" s="2" t="inlineStr">
        <is>
          <t>NOM_USDT_PERP</t>
        </is>
      </c>
      <c r="B6" s="2">
        <f>COUNTIFS(交易明細!$B$2:$B$189,$A6)</f>
        <v/>
      </c>
      <c r="C6" s="2">
        <f>COUNTIFS(交易明細!$B$2:$B$189,$A6,交易明細!$C$2:$C$189,"做多")</f>
        <v/>
      </c>
      <c r="D6" s="2">
        <f>COUNTIFS(交易明細!$B$2:$B$189,$A6,交易明細!$C$2:$C$189,"做空")</f>
        <v/>
      </c>
      <c r="E6" s="2">
        <f>F6+G6+COUNTIFS(交易明細!$B$2:$B$189,$A6,交易明細!$J$2:$J$189,"時間出場")</f>
        <v/>
      </c>
      <c r="F6" s="2">
        <f>COUNTIFS(交易明細!$B$2:$B$189,$A6,交易明細!$J$2:$J$189,"止盈")</f>
        <v/>
      </c>
      <c r="G6" s="2">
        <f>COUNTIFS(交易明細!$B$2:$B$189,$A6,交易明細!$J$2:$J$189,"止損")</f>
        <v/>
      </c>
      <c r="H6" s="4">
        <f>IFERROR(F6/E6,0)</f>
        <v/>
      </c>
      <c r="I6" s="4">
        <f>IFERROR(AVERAGEIFS(交易明細!$L$2:$L$189,交易明細!$B$2:$B$189,$A6,交易明細!$J$2:$J$189,"&lt;&gt;未平倉"),0)</f>
        <v/>
      </c>
      <c r="J6" s="4">
        <f>SUMIFS(交易明細!$L$2:$L$189,交易明細!$B$2:$B$189,$A6,交易明細!$J$2:$J$189,"&lt;&gt;未平倉")</f>
        <v/>
      </c>
      <c r="K6" s="5">
        <f>IFERROR(AVERAGEIFS(交易明細!$K$2:$K$189,交易明細!$B$2:$B$189,$A6,交易明細!$J$2:$J$189,"&lt;&gt;未平倉"),0)</f>
        <v/>
      </c>
      <c r="L6" s="2">
        <f>COUNTIFS(交易明細!$B$2:$B$189,$A6,交易明細!$J$2:$J$189,"未平倉")</f>
        <v/>
      </c>
    </row>
    <row r="7">
      <c r="A7" s="2" t="inlineStr">
        <is>
          <t>哈基米_USDT_PERP</t>
        </is>
      </c>
      <c r="B7" s="2">
        <f>COUNTIFS(交易明細!$B$2:$B$189,$A7)</f>
        <v/>
      </c>
      <c r="C7" s="2">
        <f>COUNTIFS(交易明細!$B$2:$B$189,$A7,交易明細!$C$2:$C$189,"做多")</f>
        <v/>
      </c>
      <c r="D7" s="2">
        <f>COUNTIFS(交易明細!$B$2:$B$189,$A7,交易明細!$C$2:$C$189,"做空")</f>
        <v/>
      </c>
      <c r="E7" s="2">
        <f>F7+G7+COUNTIFS(交易明細!$B$2:$B$189,$A7,交易明細!$J$2:$J$189,"時間出場")</f>
        <v/>
      </c>
      <c r="F7" s="2">
        <f>COUNTIFS(交易明細!$B$2:$B$189,$A7,交易明細!$J$2:$J$189,"止盈")</f>
        <v/>
      </c>
      <c r="G7" s="2">
        <f>COUNTIFS(交易明細!$B$2:$B$189,$A7,交易明細!$J$2:$J$189,"止損")</f>
        <v/>
      </c>
      <c r="H7" s="4">
        <f>IFERROR(F7/E7,0)</f>
        <v/>
      </c>
      <c r="I7" s="4">
        <f>IFERROR(AVERAGEIFS(交易明細!$L$2:$L$189,交易明細!$B$2:$B$189,$A7,交易明細!$J$2:$J$189,"&lt;&gt;未平倉"),0)</f>
        <v/>
      </c>
      <c r="J7" s="4">
        <f>SUMIFS(交易明細!$L$2:$L$189,交易明細!$B$2:$B$189,$A7,交易明細!$J$2:$J$189,"&lt;&gt;未平倉")</f>
        <v/>
      </c>
      <c r="K7" s="5">
        <f>IFERROR(AVERAGEIFS(交易明細!$K$2:$K$189,交易明細!$B$2:$B$189,$A7,交易明細!$J$2:$J$189,"&lt;&gt;未平倉"),0)</f>
        <v/>
      </c>
      <c r="L7" s="2">
        <f>COUNTIFS(交易明細!$B$2:$B$189,$A7,交易明細!$J$2:$J$189,"未平倉")</f>
        <v/>
      </c>
    </row>
    <row r="8">
      <c r="A8" s="2" t="inlineStr">
        <is>
          <t>DRIFT_USDT_PERP</t>
        </is>
      </c>
      <c r="B8" s="2">
        <f>COUNTIFS(交易明細!$B$2:$B$189,$A8)</f>
        <v/>
      </c>
      <c r="C8" s="2">
        <f>COUNTIFS(交易明細!$B$2:$B$189,$A8,交易明細!$C$2:$C$189,"做多")</f>
        <v/>
      </c>
      <c r="D8" s="2">
        <f>COUNTIFS(交易明細!$B$2:$B$189,$A8,交易明細!$C$2:$C$189,"做空")</f>
        <v/>
      </c>
      <c r="E8" s="2">
        <f>F8+G8+COUNTIFS(交易明細!$B$2:$B$189,$A8,交易明細!$J$2:$J$189,"時間出場")</f>
        <v/>
      </c>
      <c r="F8" s="2">
        <f>COUNTIFS(交易明細!$B$2:$B$189,$A8,交易明細!$J$2:$J$189,"止盈")</f>
        <v/>
      </c>
      <c r="G8" s="2">
        <f>COUNTIFS(交易明細!$B$2:$B$189,$A8,交易明細!$J$2:$J$189,"止損")</f>
        <v/>
      </c>
      <c r="H8" s="4">
        <f>IFERROR(F8/E8,0)</f>
        <v/>
      </c>
      <c r="I8" s="4">
        <f>IFERROR(AVERAGEIFS(交易明細!$L$2:$L$189,交易明細!$B$2:$B$189,$A8,交易明細!$J$2:$J$189,"&lt;&gt;未平倉"),0)</f>
        <v/>
      </c>
      <c r="J8" s="4">
        <f>SUMIFS(交易明細!$L$2:$L$189,交易明細!$B$2:$B$189,$A8,交易明細!$J$2:$J$189,"&lt;&gt;未平倉")</f>
        <v/>
      </c>
      <c r="K8" s="5">
        <f>IFERROR(AVERAGEIFS(交易明細!$K$2:$K$189,交易明細!$B$2:$B$189,$A8,交易明細!$J$2:$J$189,"&lt;&gt;未平倉"),0)</f>
        <v/>
      </c>
      <c r="L8" s="2">
        <f>COUNTIFS(交易明細!$B$2:$B$189,$A8,交易明細!$J$2:$J$189,"未平倉")</f>
        <v/>
      </c>
    </row>
    <row r="9">
      <c r="A9" s="2" t="inlineStr">
        <is>
          <t>FF_USDT_PERP</t>
        </is>
      </c>
      <c r="B9" s="2">
        <f>COUNTIFS(交易明細!$B$2:$B$189,$A9)</f>
        <v/>
      </c>
      <c r="C9" s="2">
        <f>COUNTIFS(交易明細!$B$2:$B$189,$A9,交易明細!$C$2:$C$189,"做多")</f>
        <v/>
      </c>
      <c r="D9" s="2">
        <f>COUNTIFS(交易明細!$B$2:$B$189,$A9,交易明細!$C$2:$C$189,"做空")</f>
        <v/>
      </c>
      <c r="E9" s="2">
        <f>F9+G9+COUNTIFS(交易明細!$B$2:$B$189,$A9,交易明細!$J$2:$J$189,"時間出場")</f>
        <v/>
      </c>
      <c r="F9" s="2">
        <f>COUNTIFS(交易明細!$B$2:$B$189,$A9,交易明細!$J$2:$J$189,"止盈")</f>
        <v/>
      </c>
      <c r="G9" s="2">
        <f>COUNTIFS(交易明細!$B$2:$B$189,$A9,交易明細!$J$2:$J$189,"止損")</f>
        <v/>
      </c>
      <c r="H9" s="4">
        <f>IFERROR(F9/E9,0)</f>
        <v/>
      </c>
      <c r="I9" s="4">
        <f>IFERROR(AVERAGEIFS(交易明細!$L$2:$L$189,交易明細!$B$2:$B$189,$A9,交易明細!$J$2:$J$189,"&lt;&gt;未平倉"),0)</f>
        <v/>
      </c>
      <c r="J9" s="4">
        <f>SUMIFS(交易明細!$L$2:$L$189,交易明細!$B$2:$B$189,$A9,交易明細!$J$2:$J$189,"&lt;&gt;未平倉")</f>
        <v/>
      </c>
      <c r="K9" s="5">
        <f>IFERROR(AVERAGEIFS(交易明細!$K$2:$K$189,交易明細!$B$2:$B$189,$A9,交易明細!$J$2:$J$189,"&lt;&gt;未平倉"),0)</f>
        <v/>
      </c>
      <c r="L9" s="2">
        <f>COUNTIFS(交易明細!$B$2:$B$189,$A9,交易明細!$J$2:$J$189,"未平倉")</f>
        <v/>
      </c>
    </row>
    <row r="10">
      <c r="A10" s="2" t="inlineStr">
        <is>
          <t>MUBARAK_USDT_PERP</t>
        </is>
      </c>
      <c r="B10" s="2">
        <f>COUNTIFS(交易明細!$B$2:$B$189,$A10)</f>
        <v/>
      </c>
      <c r="C10" s="2">
        <f>COUNTIFS(交易明細!$B$2:$B$189,$A10,交易明細!$C$2:$C$189,"做多")</f>
        <v/>
      </c>
      <c r="D10" s="2">
        <f>COUNTIFS(交易明細!$B$2:$B$189,$A10,交易明細!$C$2:$C$189,"做空")</f>
        <v/>
      </c>
      <c r="E10" s="2">
        <f>F10+G10+COUNTIFS(交易明細!$B$2:$B$189,$A10,交易明細!$J$2:$J$189,"時間出場")</f>
        <v/>
      </c>
      <c r="F10" s="2">
        <f>COUNTIFS(交易明細!$B$2:$B$189,$A10,交易明細!$J$2:$J$189,"止盈")</f>
        <v/>
      </c>
      <c r="G10" s="2">
        <f>COUNTIFS(交易明細!$B$2:$B$189,$A10,交易明細!$J$2:$J$189,"止損")</f>
        <v/>
      </c>
      <c r="H10" s="4">
        <f>IFERROR(F10/E10,0)</f>
        <v/>
      </c>
      <c r="I10" s="4">
        <f>IFERROR(AVERAGEIFS(交易明細!$L$2:$L$189,交易明細!$B$2:$B$189,$A10,交易明細!$J$2:$J$189,"&lt;&gt;未平倉"),0)</f>
        <v/>
      </c>
      <c r="J10" s="4">
        <f>SUMIFS(交易明細!$L$2:$L$189,交易明細!$B$2:$B$189,$A10,交易明細!$J$2:$J$189,"&lt;&gt;未平倉")</f>
        <v/>
      </c>
      <c r="K10" s="5">
        <f>IFERROR(AVERAGEIFS(交易明細!$K$2:$K$189,交易明細!$B$2:$B$189,$A10,交易明細!$J$2:$J$189,"&lt;&gt;未平倉"),0)</f>
        <v/>
      </c>
      <c r="L10" s="2">
        <f>COUNTIFS(交易明細!$B$2:$B$189,$A10,交易明細!$J$2:$J$189,"未平倉")</f>
        <v/>
      </c>
    </row>
    <row r="11">
      <c r="A11" s="2" t="inlineStr">
        <is>
          <t>ZEST_USDT_PERP</t>
        </is>
      </c>
      <c r="B11" s="2">
        <f>COUNTIFS(交易明細!$B$2:$B$189,$A11)</f>
        <v/>
      </c>
      <c r="C11" s="2">
        <f>COUNTIFS(交易明細!$B$2:$B$189,$A11,交易明細!$C$2:$C$189,"做多")</f>
        <v/>
      </c>
      <c r="D11" s="2">
        <f>COUNTIFS(交易明細!$B$2:$B$189,$A11,交易明細!$C$2:$C$189,"做空")</f>
        <v/>
      </c>
      <c r="E11" s="2">
        <f>F11+G11+COUNTIFS(交易明細!$B$2:$B$189,$A11,交易明細!$J$2:$J$189,"時間出場")</f>
        <v/>
      </c>
      <c r="F11" s="2">
        <f>COUNTIFS(交易明細!$B$2:$B$189,$A11,交易明細!$J$2:$J$189,"止盈")</f>
        <v/>
      </c>
      <c r="G11" s="2">
        <f>COUNTIFS(交易明細!$B$2:$B$189,$A11,交易明細!$J$2:$J$189,"止損")</f>
        <v/>
      </c>
      <c r="H11" s="4">
        <f>IFERROR(F11/E11,0)</f>
        <v/>
      </c>
      <c r="I11" s="4">
        <f>IFERROR(AVERAGEIFS(交易明細!$L$2:$L$189,交易明細!$B$2:$B$189,$A11,交易明細!$J$2:$J$189,"&lt;&gt;未平倉"),0)</f>
        <v/>
      </c>
      <c r="J11" s="4">
        <f>SUMIFS(交易明細!$L$2:$L$189,交易明細!$B$2:$B$189,$A11,交易明細!$J$2:$J$189,"&lt;&gt;未平倉")</f>
        <v/>
      </c>
      <c r="K11" s="5">
        <f>IFERROR(AVERAGEIFS(交易明細!$K$2:$K$189,交易明細!$B$2:$B$189,$A11,交易明細!$J$2:$J$189,"&lt;&gt;未平倉"),0)</f>
        <v/>
      </c>
      <c r="L11" s="2">
        <f>COUNTIFS(交易明細!$B$2:$B$189,$A11,交易明細!$J$2:$J$189,"未平倉")</f>
        <v/>
      </c>
    </row>
    <row r="12">
      <c r="A12" s="2" t="inlineStr">
        <is>
          <t>PTB_USDT_PERP</t>
        </is>
      </c>
      <c r="B12" s="2">
        <f>COUNTIFS(交易明細!$B$2:$B$189,$A12)</f>
        <v/>
      </c>
      <c r="C12" s="2">
        <f>COUNTIFS(交易明細!$B$2:$B$189,$A12,交易明細!$C$2:$C$189,"做多")</f>
        <v/>
      </c>
      <c r="D12" s="2">
        <f>COUNTIFS(交易明細!$B$2:$B$189,$A12,交易明細!$C$2:$C$189,"做空")</f>
        <v/>
      </c>
      <c r="E12" s="2">
        <f>F12+G12+COUNTIFS(交易明細!$B$2:$B$189,$A12,交易明細!$J$2:$J$189,"時間出場")</f>
        <v/>
      </c>
      <c r="F12" s="2">
        <f>COUNTIFS(交易明細!$B$2:$B$189,$A12,交易明細!$J$2:$J$189,"止盈")</f>
        <v/>
      </c>
      <c r="G12" s="2">
        <f>COUNTIFS(交易明細!$B$2:$B$189,$A12,交易明細!$J$2:$J$189,"止損")</f>
        <v/>
      </c>
      <c r="H12" s="4">
        <f>IFERROR(F12/E12,0)</f>
        <v/>
      </c>
      <c r="I12" s="4">
        <f>IFERROR(AVERAGEIFS(交易明細!$L$2:$L$189,交易明細!$B$2:$B$189,$A12,交易明細!$J$2:$J$189,"&lt;&gt;未平倉"),0)</f>
        <v/>
      </c>
      <c r="J12" s="4">
        <f>SUMIFS(交易明細!$L$2:$L$189,交易明細!$B$2:$B$189,$A12,交易明細!$J$2:$J$189,"&lt;&gt;未平倉")</f>
        <v/>
      </c>
      <c r="K12" s="5">
        <f>IFERROR(AVERAGEIFS(交易明細!$K$2:$K$189,交易明細!$B$2:$B$189,$A12,交易明細!$J$2:$J$189,"&lt;&gt;未平倉"),0)</f>
        <v/>
      </c>
      <c r="L12" s="2">
        <f>COUNTIFS(交易明細!$B$2:$B$189,$A12,交易明細!$J$2:$J$189,"未平倉")</f>
        <v/>
      </c>
    </row>
    <row r="13">
      <c r="A13" s="2" t="inlineStr">
        <is>
          <t>ON_USDT_PERP</t>
        </is>
      </c>
      <c r="B13" s="2">
        <f>COUNTIFS(交易明細!$B$2:$B$189,$A13)</f>
        <v/>
      </c>
      <c r="C13" s="2">
        <f>COUNTIFS(交易明細!$B$2:$B$189,$A13,交易明細!$C$2:$C$189,"做多")</f>
        <v/>
      </c>
      <c r="D13" s="2">
        <f>COUNTIFS(交易明細!$B$2:$B$189,$A13,交易明細!$C$2:$C$189,"做空")</f>
        <v/>
      </c>
      <c r="E13" s="2">
        <f>F13+G13+COUNTIFS(交易明細!$B$2:$B$189,$A13,交易明細!$J$2:$J$189,"時間出場")</f>
        <v/>
      </c>
      <c r="F13" s="2">
        <f>COUNTIFS(交易明細!$B$2:$B$189,$A13,交易明細!$J$2:$J$189,"止盈")</f>
        <v/>
      </c>
      <c r="G13" s="2">
        <f>COUNTIFS(交易明細!$B$2:$B$189,$A13,交易明細!$J$2:$J$189,"止損")</f>
        <v/>
      </c>
      <c r="H13" s="4">
        <f>IFERROR(F13/E13,0)</f>
        <v/>
      </c>
      <c r="I13" s="4">
        <f>IFERROR(AVERAGEIFS(交易明細!$L$2:$L$189,交易明細!$B$2:$B$189,$A13,交易明細!$J$2:$J$189,"&lt;&gt;未平倉"),0)</f>
        <v/>
      </c>
      <c r="J13" s="4">
        <f>SUMIFS(交易明細!$L$2:$L$189,交易明細!$B$2:$B$189,$A13,交易明細!$J$2:$J$189,"&lt;&gt;未平倉")</f>
        <v/>
      </c>
      <c r="K13" s="5">
        <f>IFERROR(AVERAGEIFS(交易明細!$K$2:$K$189,交易明細!$B$2:$B$189,$A13,交易明細!$J$2:$J$189,"&lt;&gt;未平倉"),0)</f>
        <v/>
      </c>
      <c r="L13" s="2">
        <f>COUNTIFS(交易明細!$B$2:$B$189,$A13,交易明細!$J$2:$J$189,"未平倉")</f>
        <v/>
      </c>
    </row>
    <row r="14">
      <c r="A14" s="2" t="inlineStr">
        <is>
          <t>GRIFFAIN_USDT_PERP</t>
        </is>
      </c>
      <c r="B14" s="2">
        <f>COUNTIFS(交易明細!$B$2:$B$189,$A14)</f>
        <v/>
      </c>
      <c r="C14" s="2">
        <f>COUNTIFS(交易明細!$B$2:$B$189,$A14,交易明細!$C$2:$C$189,"做多")</f>
        <v/>
      </c>
      <c r="D14" s="2">
        <f>COUNTIFS(交易明細!$B$2:$B$189,$A14,交易明細!$C$2:$C$189,"做空")</f>
        <v/>
      </c>
      <c r="E14" s="2">
        <f>F14+G14+COUNTIFS(交易明細!$B$2:$B$189,$A14,交易明細!$J$2:$J$189,"時間出場")</f>
        <v/>
      </c>
      <c r="F14" s="2">
        <f>COUNTIFS(交易明細!$B$2:$B$189,$A14,交易明細!$J$2:$J$189,"止盈")</f>
        <v/>
      </c>
      <c r="G14" s="2">
        <f>COUNTIFS(交易明細!$B$2:$B$189,$A14,交易明細!$J$2:$J$189,"止損")</f>
        <v/>
      </c>
      <c r="H14" s="4">
        <f>IFERROR(F14/E14,0)</f>
        <v/>
      </c>
      <c r="I14" s="4">
        <f>IFERROR(AVERAGEIFS(交易明細!$L$2:$L$189,交易明細!$B$2:$B$189,$A14,交易明細!$J$2:$J$189,"&lt;&gt;未平倉"),0)</f>
        <v/>
      </c>
      <c r="J14" s="4">
        <f>SUMIFS(交易明細!$L$2:$L$189,交易明細!$B$2:$B$189,$A14,交易明細!$J$2:$J$189,"&lt;&gt;未平倉")</f>
        <v/>
      </c>
      <c r="K14" s="5">
        <f>IFERROR(AVERAGEIFS(交易明細!$K$2:$K$189,交易明細!$B$2:$B$189,$A14,交易明細!$J$2:$J$189,"&lt;&gt;未平倉"),0)</f>
        <v/>
      </c>
      <c r="L14" s="2">
        <f>COUNTIFS(交易明細!$B$2:$B$189,$A14,交易明細!$J$2:$J$189,"未平倉")</f>
        <v/>
      </c>
    </row>
    <row r="15">
      <c r="A15" s="2" t="inlineStr">
        <is>
          <t>POWR_USDT_PERP</t>
        </is>
      </c>
      <c r="B15" s="2">
        <f>COUNTIFS(交易明細!$B$2:$B$189,$A15)</f>
        <v/>
      </c>
      <c r="C15" s="2">
        <f>COUNTIFS(交易明細!$B$2:$B$189,$A15,交易明細!$C$2:$C$189,"做多")</f>
        <v/>
      </c>
      <c r="D15" s="2">
        <f>COUNTIFS(交易明細!$B$2:$B$189,$A15,交易明細!$C$2:$C$189,"做空")</f>
        <v/>
      </c>
      <c r="E15" s="2">
        <f>F15+G15+COUNTIFS(交易明細!$B$2:$B$189,$A15,交易明細!$J$2:$J$189,"時間出場")</f>
        <v/>
      </c>
      <c r="F15" s="2">
        <f>COUNTIFS(交易明細!$B$2:$B$189,$A15,交易明細!$J$2:$J$189,"止盈")</f>
        <v/>
      </c>
      <c r="G15" s="2">
        <f>COUNTIFS(交易明細!$B$2:$B$189,$A15,交易明細!$J$2:$J$189,"止損")</f>
        <v/>
      </c>
      <c r="H15" s="4">
        <f>IFERROR(F15/E15,0)</f>
        <v/>
      </c>
      <c r="I15" s="4">
        <f>IFERROR(AVERAGEIFS(交易明細!$L$2:$L$189,交易明細!$B$2:$B$189,$A15,交易明細!$J$2:$J$189,"&lt;&gt;未平倉"),0)</f>
        <v/>
      </c>
      <c r="J15" s="4">
        <f>SUMIFS(交易明細!$L$2:$L$189,交易明細!$B$2:$B$189,$A15,交易明細!$J$2:$J$189,"&lt;&gt;未平倉")</f>
        <v/>
      </c>
      <c r="K15" s="5">
        <f>IFERROR(AVERAGEIFS(交易明細!$K$2:$K$189,交易明細!$B$2:$B$189,$A15,交易明細!$J$2:$J$189,"&lt;&gt;未平倉"),0)</f>
        <v/>
      </c>
      <c r="L15" s="2">
        <f>COUNTIFS(交易明細!$B$2:$B$189,$A15,交易明細!$J$2:$J$189,"未平倉")</f>
        <v/>
      </c>
    </row>
    <row r="16">
      <c r="A16" s="2" t="inlineStr">
        <is>
          <t>MAGMA_USDT_PERP</t>
        </is>
      </c>
      <c r="B16" s="2">
        <f>COUNTIFS(交易明細!$B$2:$B$189,$A16)</f>
        <v/>
      </c>
      <c r="C16" s="2">
        <f>COUNTIFS(交易明細!$B$2:$B$189,$A16,交易明細!$C$2:$C$189,"做多")</f>
        <v/>
      </c>
      <c r="D16" s="2">
        <f>COUNTIFS(交易明細!$B$2:$B$189,$A16,交易明細!$C$2:$C$189,"做空")</f>
        <v/>
      </c>
      <c r="E16" s="2">
        <f>F16+G16+COUNTIFS(交易明細!$B$2:$B$189,$A16,交易明細!$J$2:$J$189,"時間出場")</f>
        <v/>
      </c>
      <c r="F16" s="2">
        <f>COUNTIFS(交易明細!$B$2:$B$189,$A16,交易明細!$J$2:$J$189,"止盈")</f>
        <v/>
      </c>
      <c r="G16" s="2">
        <f>COUNTIFS(交易明細!$B$2:$B$189,$A16,交易明細!$J$2:$J$189,"止損")</f>
        <v/>
      </c>
      <c r="H16" s="4">
        <f>IFERROR(F16/E16,0)</f>
        <v/>
      </c>
      <c r="I16" s="4">
        <f>IFERROR(AVERAGEIFS(交易明細!$L$2:$L$189,交易明細!$B$2:$B$189,$A16,交易明細!$J$2:$J$189,"&lt;&gt;未平倉"),0)</f>
        <v/>
      </c>
      <c r="J16" s="4">
        <f>SUMIFS(交易明細!$L$2:$L$189,交易明細!$B$2:$B$189,$A16,交易明細!$J$2:$J$189,"&lt;&gt;未平倉")</f>
        <v/>
      </c>
      <c r="K16" s="5">
        <f>IFERROR(AVERAGEIFS(交易明細!$K$2:$K$189,交易明細!$B$2:$B$189,$A16,交易明細!$J$2:$J$189,"&lt;&gt;未平倉"),0)</f>
        <v/>
      </c>
      <c r="L16" s="2">
        <f>COUNTIFS(交易明細!$B$2:$B$189,$A16,交易明細!$J$2:$J$189,"未平倉")</f>
        <v/>
      </c>
    </row>
    <row r="17">
      <c r="A17" s="2" t="inlineStr">
        <is>
          <t>AIN_USDT_PERP</t>
        </is>
      </c>
      <c r="B17" s="2">
        <f>COUNTIFS(交易明細!$B$2:$B$189,$A17)</f>
        <v/>
      </c>
      <c r="C17" s="2">
        <f>COUNTIFS(交易明細!$B$2:$B$189,$A17,交易明細!$C$2:$C$189,"做多")</f>
        <v/>
      </c>
      <c r="D17" s="2">
        <f>COUNTIFS(交易明細!$B$2:$B$189,$A17,交易明細!$C$2:$C$189,"做空")</f>
        <v/>
      </c>
      <c r="E17" s="2">
        <f>F17+G17+COUNTIFS(交易明細!$B$2:$B$189,$A17,交易明細!$J$2:$J$189,"時間出場")</f>
        <v/>
      </c>
      <c r="F17" s="2">
        <f>COUNTIFS(交易明細!$B$2:$B$189,$A17,交易明細!$J$2:$J$189,"止盈")</f>
        <v/>
      </c>
      <c r="G17" s="2">
        <f>COUNTIFS(交易明細!$B$2:$B$189,$A17,交易明細!$J$2:$J$189,"止損")</f>
        <v/>
      </c>
      <c r="H17" s="4">
        <f>IFERROR(F17/E17,0)</f>
        <v/>
      </c>
      <c r="I17" s="4">
        <f>IFERROR(AVERAGEIFS(交易明細!$L$2:$L$189,交易明細!$B$2:$B$189,$A17,交易明細!$J$2:$J$189,"&lt;&gt;未平倉"),0)</f>
        <v/>
      </c>
      <c r="J17" s="4">
        <f>SUMIFS(交易明細!$L$2:$L$189,交易明細!$B$2:$B$189,$A17,交易明細!$J$2:$J$189,"&lt;&gt;未平倉")</f>
        <v/>
      </c>
      <c r="K17" s="5">
        <f>IFERROR(AVERAGEIFS(交易明細!$K$2:$K$189,交易明細!$B$2:$B$189,$A17,交易明細!$J$2:$J$189,"&lt;&gt;未平倉"),0)</f>
        <v/>
      </c>
      <c r="L17" s="2">
        <f>COUNTIFS(交易明細!$B$2:$B$189,$A17,交易明細!$J$2:$J$189,"未平倉")</f>
        <v/>
      </c>
    </row>
    <row r="18">
      <c r="A18" s="2" t="inlineStr">
        <is>
          <t>ENSO_USDT_PERP</t>
        </is>
      </c>
      <c r="B18" s="2">
        <f>COUNTIFS(交易明細!$B$2:$B$189,$A18)</f>
        <v/>
      </c>
      <c r="C18" s="2">
        <f>COUNTIFS(交易明細!$B$2:$B$189,$A18,交易明細!$C$2:$C$189,"做多")</f>
        <v/>
      </c>
      <c r="D18" s="2">
        <f>COUNTIFS(交易明細!$B$2:$B$189,$A18,交易明細!$C$2:$C$189,"做空")</f>
        <v/>
      </c>
      <c r="E18" s="2">
        <f>F18+G18+COUNTIFS(交易明細!$B$2:$B$189,$A18,交易明細!$J$2:$J$189,"時間出場")</f>
        <v/>
      </c>
      <c r="F18" s="2">
        <f>COUNTIFS(交易明細!$B$2:$B$189,$A18,交易明細!$J$2:$J$189,"止盈")</f>
        <v/>
      </c>
      <c r="G18" s="2">
        <f>COUNTIFS(交易明細!$B$2:$B$189,$A18,交易明細!$J$2:$J$189,"止損")</f>
        <v/>
      </c>
      <c r="H18" s="4">
        <f>IFERROR(F18/E18,0)</f>
        <v/>
      </c>
      <c r="I18" s="4">
        <f>IFERROR(AVERAGEIFS(交易明細!$L$2:$L$189,交易明細!$B$2:$B$189,$A18,交易明細!$J$2:$J$189,"&lt;&gt;未平倉"),0)</f>
        <v/>
      </c>
      <c r="J18" s="4">
        <f>SUMIFS(交易明細!$L$2:$L$189,交易明細!$B$2:$B$189,$A18,交易明細!$J$2:$J$189,"&lt;&gt;未平倉")</f>
        <v/>
      </c>
      <c r="K18" s="5">
        <f>IFERROR(AVERAGEIFS(交易明細!$K$2:$K$189,交易明細!$B$2:$B$189,$A18,交易明細!$J$2:$J$189,"&lt;&gt;未平倉"),0)</f>
        <v/>
      </c>
      <c r="L18" s="2">
        <f>COUNTIFS(交易明細!$B$2:$B$189,$A18,交易明細!$J$2:$J$189,"未平倉")</f>
        <v/>
      </c>
    </row>
    <row r="19">
      <c r="A19" s="2" t="inlineStr">
        <is>
          <t>KERNEL_USDT_PERP</t>
        </is>
      </c>
      <c r="B19" s="2">
        <f>COUNTIFS(交易明細!$B$2:$B$189,$A19)</f>
        <v/>
      </c>
      <c r="C19" s="2">
        <f>COUNTIFS(交易明細!$B$2:$B$189,$A19,交易明細!$C$2:$C$189,"做多")</f>
        <v/>
      </c>
      <c r="D19" s="2">
        <f>COUNTIFS(交易明細!$B$2:$B$189,$A19,交易明細!$C$2:$C$189,"做空")</f>
        <v/>
      </c>
      <c r="E19" s="2">
        <f>F19+G19+COUNTIFS(交易明細!$B$2:$B$189,$A19,交易明細!$J$2:$J$189,"時間出場")</f>
        <v/>
      </c>
      <c r="F19" s="2">
        <f>COUNTIFS(交易明細!$B$2:$B$189,$A19,交易明細!$J$2:$J$189,"止盈")</f>
        <v/>
      </c>
      <c r="G19" s="2">
        <f>COUNTIFS(交易明細!$B$2:$B$189,$A19,交易明細!$J$2:$J$189,"止損")</f>
        <v/>
      </c>
      <c r="H19" s="4">
        <f>IFERROR(F19/E19,0)</f>
        <v/>
      </c>
      <c r="I19" s="4">
        <f>IFERROR(AVERAGEIFS(交易明細!$L$2:$L$189,交易明細!$B$2:$B$189,$A19,交易明細!$J$2:$J$189,"&lt;&gt;未平倉"),0)</f>
        <v/>
      </c>
      <c r="J19" s="4">
        <f>SUMIFS(交易明細!$L$2:$L$189,交易明細!$B$2:$B$189,$A19,交易明細!$J$2:$J$189,"&lt;&gt;未平倉")</f>
        <v/>
      </c>
      <c r="K19" s="5">
        <f>IFERROR(AVERAGEIFS(交易明細!$K$2:$K$189,交易明細!$B$2:$B$189,$A19,交易明細!$J$2:$J$189,"&lt;&gt;未平倉"),0)</f>
        <v/>
      </c>
      <c r="L19" s="2">
        <f>COUNTIFS(交易明細!$B$2:$B$189,$A19,交易明細!$J$2:$J$189,"未平倉")</f>
        <v/>
      </c>
    </row>
    <row r="20">
      <c r="A20" s="2" t="inlineStr">
        <is>
          <t>US_USDT_PERP</t>
        </is>
      </c>
      <c r="B20" s="2">
        <f>COUNTIFS(交易明細!$B$2:$B$189,$A20)</f>
        <v/>
      </c>
      <c r="C20" s="2">
        <f>COUNTIFS(交易明細!$B$2:$B$189,$A20,交易明細!$C$2:$C$189,"做多")</f>
        <v/>
      </c>
      <c r="D20" s="2">
        <f>COUNTIFS(交易明細!$B$2:$B$189,$A20,交易明細!$C$2:$C$189,"做空")</f>
        <v/>
      </c>
      <c r="E20" s="2">
        <f>F20+G20+COUNTIFS(交易明細!$B$2:$B$189,$A20,交易明細!$J$2:$J$189,"時間出場")</f>
        <v/>
      </c>
      <c r="F20" s="2">
        <f>COUNTIFS(交易明細!$B$2:$B$189,$A20,交易明細!$J$2:$J$189,"止盈")</f>
        <v/>
      </c>
      <c r="G20" s="2">
        <f>COUNTIFS(交易明細!$B$2:$B$189,$A20,交易明細!$J$2:$J$189,"止損")</f>
        <v/>
      </c>
      <c r="H20" s="4">
        <f>IFERROR(F20/E20,0)</f>
        <v/>
      </c>
      <c r="I20" s="4">
        <f>IFERROR(AVERAGEIFS(交易明細!$L$2:$L$189,交易明細!$B$2:$B$189,$A20,交易明細!$J$2:$J$189,"&lt;&gt;未平倉"),0)</f>
        <v/>
      </c>
      <c r="J20" s="4">
        <f>SUMIFS(交易明細!$L$2:$L$189,交易明細!$B$2:$B$189,$A20,交易明細!$J$2:$J$189,"&lt;&gt;未平倉")</f>
        <v/>
      </c>
      <c r="K20" s="5">
        <f>IFERROR(AVERAGEIFS(交易明細!$K$2:$K$189,交易明細!$B$2:$B$189,$A20,交易明細!$J$2:$J$189,"&lt;&gt;未平倉"),0)</f>
        <v/>
      </c>
      <c r="L20" s="2">
        <f>COUNTIFS(交易明細!$B$2:$B$189,$A20,交易明細!$J$2:$J$189,"未平倉")</f>
        <v/>
      </c>
    </row>
    <row r="21">
      <c r="A21" s="2" t="inlineStr">
        <is>
          <t>TRIA_USDT_PERP</t>
        </is>
      </c>
      <c r="B21" s="2">
        <f>COUNTIFS(交易明細!$B$2:$B$189,$A21)</f>
        <v/>
      </c>
      <c r="C21" s="2">
        <f>COUNTIFS(交易明細!$B$2:$B$189,$A21,交易明細!$C$2:$C$189,"做多")</f>
        <v/>
      </c>
      <c r="D21" s="2">
        <f>COUNTIFS(交易明細!$B$2:$B$189,$A21,交易明細!$C$2:$C$189,"做空")</f>
        <v/>
      </c>
      <c r="E21" s="2">
        <f>F21+G21+COUNTIFS(交易明細!$B$2:$B$189,$A21,交易明細!$J$2:$J$189,"時間出場")</f>
        <v/>
      </c>
      <c r="F21" s="2">
        <f>COUNTIFS(交易明細!$B$2:$B$189,$A21,交易明細!$J$2:$J$189,"止盈")</f>
        <v/>
      </c>
      <c r="G21" s="2">
        <f>COUNTIFS(交易明細!$B$2:$B$189,$A21,交易明細!$J$2:$J$189,"止損")</f>
        <v/>
      </c>
      <c r="H21" s="4">
        <f>IFERROR(F21/E21,0)</f>
        <v/>
      </c>
      <c r="I21" s="4">
        <f>IFERROR(AVERAGEIFS(交易明細!$L$2:$L$189,交易明細!$B$2:$B$189,$A21,交易明細!$J$2:$J$189,"&lt;&gt;未平倉"),0)</f>
        <v/>
      </c>
      <c r="J21" s="4">
        <f>SUMIFS(交易明細!$L$2:$L$189,交易明細!$B$2:$B$189,$A21,交易明細!$J$2:$J$189,"&lt;&gt;未平倉")</f>
        <v/>
      </c>
      <c r="K21" s="5">
        <f>IFERROR(AVERAGEIFS(交易明細!$K$2:$K$189,交易明細!$B$2:$B$189,$A21,交易明細!$J$2:$J$189,"&lt;&gt;未平倉"),0)</f>
        <v/>
      </c>
      <c r="L21" s="2">
        <f>COUNTIFS(交易明細!$B$2:$B$189,$A21,交易明細!$J$2:$J$189,"未平倉")</f>
        <v/>
      </c>
    </row>
    <row r="22">
      <c r="A22" s="2" t="inlineStr">
        <is>
          <t>Q_USDT_PERP</t>
        </is>
      </c>
      <c r="B22" s="2">
        <f>COUNTIFS(交易明細!$B$2:$B$189,$A22)</f>
        <v/>
      </c>
      <c r="C22" s="2">
        <f>COUNTIFS(交易明細!$B$2:$B$189,$A22,交易明細!$C$2:$C$189,"做多")</f>
        <v/>
      </c>
      <c r="D22" s="2">
        <f>COUNTIFS(交易明細!$B$2:$B$189,$A22,交易明細!$C$2:$C$189,"做空")</f>
        <v/>
      </c>
      <c r="E22" s="2">
        <f>F22+G22+COUNTIFS(交易明細!$B$2:$B$189,$A22,交易明細!$J$2:$J$189,"時間出場")</f>
        <v/>
      </c>
      <c r="F22" s="2">
        <f>COUNTIFS(交易明細!$B$2:$B$189,$A22,交易明細!$J$2:$J$189,"止盈")</f>
        <v/>
      </c>
      <c r="G22" s="2">
        <f>COUNTIFS(交易明細!$B$2:$B$189,$A22,交易明細!$J$2:$J$189,"止損")</f>
        <v/>
      </c>
      <c r="H22" s="4">
        <f>IFERROR(F22/E22,0)</f>
        <v/>
      </c>
      <c r="I22" s="4">
        <f>IFERROR(AVERAGEIFS(交易明細!$L$2:$L$189,交易明細!$B$2:$B$189,$A22,交易明細!$J$2:$J$189,"&lt;&gt;未平倉"),0)</f>
        <v/>
      </c>
      <c r="J22" s="4">
        <f>SUMIFS(交易明細!$L$2:$L$189,交易明細!$B$2:$B$189,$A22,交易明細!$J$2:$J$189,"&lt;&gt;未平倉")</f>
        <v/>
      </c>
      <c r="K22" s="5">
        <f>IFERROR(AVERAGEIFS(交易明細!$K$2:$K$189,交易明細!$B$2:$B$189,$A22,交易明細!$J$2:$J$189,"&lt;&gt;未平倉"),0)</f>
        <v/>
      </c>
      <c r="L22" s="2">
        <f>COUNTIFS(交易明細!$B$2:$B$189,$A22,交易明細!$J$2:$J$189,"未平倉")</f>
        <v/>
      </c>
    </row>
    <row r="23">
      <c r="A23" s="2" t="inlineStr">
        <is>
          <t>B_USDT_PERP</t>
        </is>
      </c>
      <c r="B23" s="2">
        <f>COUNTIFS(交易明細!$B$2:$B$189,$A23)</f>
        <v/>
      </c>
      <c r="C23" s="2">
        <f>COUNTIFS(交易明細!$B$2:$B$189,$A23,交易明細!$C$2:$C$189,"做多")</f>
        <v/>
      </c>
      <c r="D23" s="2">
        <f>COUNTIFS(交易明細!$B$2:$B$189,$A23,交易明細!$C$2:$C$189,"做空")</f>
        <v/>
      </c>
      <c r="E23" s="2">
        <f>F23+G23+COUNTIFS(交易明細!$B$2:$B$189,$A23,交易明細!$J$2:$J$189,"時間出場")</f>
        <v/>
      </c>
      <c r="F23" s="2">
        <f>COUNTIFS(交易明細!$B$2:$B$189,$A23,交易明細!$J$2:$J$189,"止盈")</f>
        <v/>
      </c>
      <c r="G23" s="2">
        <f>COUNTIFS(交易明細!$B$2:$B$189,$A23,交易明細!$J$2:$J$189,"止損")</f>
        <v/>
      </c>
      <c r="H23" s="4">
        <f>IFERROR(F23/E23,0)</f>
        <v/>
      </c>
      <c r="I23" s="4">
        <f>IFERROR(AVERAGEIFS(交易明細!$L$2:$L$189,交易明細!$B$2:$B$189,$A23,交易明細!$J$2:$J$189,"&lt;&gt;未平倉"),0)</f>
        <v/>
      </c>
      <c r="J23" s="4">
        <f>SUMIFS(交易明細!$L$2:$L$189,交易明細!$B$2:$B$189,$A23,交易明細!$J$2:$J$189,"&lt;&gt;未平倉")</f>
        <v/>
      </c>
      <c r="K23" s="5">
        <f>IFERROR(AVERAGEIFS(交易明細!$K$2:$K$189,交易明細!$B$2:$B$189,$A23,交易明細!$J$2:$J$189,"&lt;&gt;未平倉"),0)</f>
        <v/>
      </c>
      <c r="L23" s="2">
        <f>COUNTIFS(交易明細!$B$2:$B$189,$A23,交易明細!$J$2:$J$189,"未平倉")</f>
        <v/>
      </c>
    </row>
    <row r="24">
      <c r="A24" s="2" t="inlineStr">
        <is>
          <t>NAORIS_USDT_PERP</t>
        </is>
      </c>
      <c r="B24" s="2">
        <f>COUNTIFS(交易明細!$B$2:$B$189,$A24)</f>
        <v/>
      </c>
      <c r="C24" s="2">
        <f>COUNTIFS(交易明細!$B$2:$B$189,$A24,交易明細!$C$2:$C$189,"做多")</f>
        <v/>
      </c>
      <c r="D24" s="2">
        <f>COUNTIFS(交易明細!$B$2:$B$189,$A24,交易明細!$C$2:$C$189,"做空")</f>
        <v/>
      </c>
      <c r="E24" s="2">
        <f>F24+G24+COUNTIFS(交易明細!$B$2:$B$189,$A24,交易明細!$J$2:$J$189,"時間出場")</f>
        <v/>
      </c>
      <c r="F24" s="2">
        <f>COUNTIFS(交易明細!$B$2:$B$189,$A24,交易明細!$J$2:$J$189,"止盈")</f>
        <v/>
      </c>
      <c r="G24" s="2">
        <f>COUNTIFS(交易明細!$B$2:$B$189,$A24,交易明細!$J$2:$J$189,"止損")</f>
        <v/>
      </c>
      <c r="H24" s="4">
        <f>IFERROR(F24/E24,0)</f>
        <v/>
      </c>
      <c r="I24" s="4">
        <f>IFERROR(AVERAGEIFS(交易明細!$L$2:$L$189,交易明細!$B$2:$B$189,$A24,交易明細!$J$2:$J$189,"&lt;&gt;未平倉"),0)</f>
        <v/>
      </c>
      <c r="J24" s="4">
        <f>SUMIFS(交易明細!$L$2:$L$189,交易明細!$B$2:$B$189,$A24,交易明細!$J$2:$J$189,"&lt;&gt;未平倉")</f>
        <v/>
      </c>
      <c r="K24" s="5">
        <f>IFERROR(AVERAGEIFS(交易明細!$K$2:$K$189,交易明細!$B$2:$B$189,$A24,交易明細!$J$2:$J$189,"&lt;&gt;未平倉"),0)</f>
        <v/>
      </c>
      <c r="L24" s="2">
        <f>COUNTIFS(交易明細!$B$2:$B$189,$A24,交易明細!$J$2:$J$189,"未平倉")</f>
        <v/>
      </c>
    </row>
    <row r="25">
      <c r="A25" s="2" t="inlineStr">
        <is>
          <t>COLLECT_USDT_PERP</t>
        </is>
      </c>
      <c r="B25" s="2">
        <f>COUNTIFS(交易明細!$B$2:$B$189,$A25)</f>
        <v/>
      </c>
      <c r="C25" s="2">
        <f>COUNTIFS(交易明細!$B$2:$B$189,$A25,交易明細!$C$2:$C$189,"做多")</f>
        <v/>
      </c>
      <c r="D25" s="2">
        <f>COUNTIFS(交易明細!$B$2:$B$189,$A25,交易明細!$C$2:$C$189,"做空")</f>
        <v/>
      </c>
      <c r="E25" s="2">
        <f>F25+G25+COUNTIFS(交易明細!$B$2:$B$189,$A25,交易明細!$J$2:$J$189,"時間出場")</f>
        <v/>
      </c>
      <c r="F25" s="2">
        <f>COUNTIFS(交易明細!$B$2:$B$189,$A25,交易明細!$J$2:$J$189,"止盈")</f>
        <v/>
      </c>
      <c r="G25" s="2">
        <f>COUNTIFS(交易明細!$B$2:$B$189,$A25,交易明細!$J$2:$J$189,"止損")</f>
        <v/>
      </c>
      <c r="H25" s="4">
        <f>IFERROR(F25/E25,0)</f>
        <v/>
      </c>
      <c r="I25" s="4">
        <f>IFERROR(AVERAGEIFS(交易明細!$L$2:$L$189,交易明細!$B$2:$B$189,$A25,交易明細!$J$2:$J$189,"&lt;&gt;未平倉"),0)</f>
        <v/>
      </c>
      <c r="J25" s="4">
        <f>SUMIFS(交易明細!$L$2:$L$189,交易明細!$B$2:$B$189,$A25,交易明細!$J$2:$J$189,"&lt;&gt;未平倉")</f>
        <v/>
      </c>
      <c r="K25" s="5">
        <f>IFERROR(AVERAGEIFS(交易明細!$K$2:$K$189,交易明細!$B$2:$B$189,$A25,交易明細!$J$2:$J$189,"&lt;&gt;未平倉"),0)</f>
        <v/>
      </c>
      <c r="L25" s="2">
        <f>COUNTIFS(交易明細!$B$2:$B$189,$A25,交易明細!$J$2:$J$189,"未平倉")</f>
        <v/>
      </c>
    </row>
    <row r="26">
      <c r="A26" s="2" t="inlineStr">
        <is>
          <t>MOODENG_USDT_PERP</t>
        </is>
      </c>
      <c r="B26" s="2">
        <f>COUNTIFS(交易明細!$B$2:$B$189,$A26)</f>
        <v/>
      </c>
      <c r="C26" s="2">
        <f>COUNTIFS(交易明細!$B$2:$B$189,$A26,交易明細!$C$2:$C$189,"做多")</f>
        <v/>
      </c>
      <c r="D26" s="2">
        <f>COUNTIFS(交易明細!$B$2:$B$189,$A26,交易明細!$C$2:$C$189,"做空")</f>
        <v/>
      </c>
      <c r="E26" s="2">
        <f>F26+G26+COUNTIFS(交易明細!$B$2:$B$189,$A26,交易明細!$J$2:$J$189,"時間出場")</f>
        <v/>
      </c>
      <c r="F26" s="2">
        <f>COUNTIFS(交易明細!$B$2:$B$189,$A26,交易明細!$J$2:$J$189,"止盈")</f>
        <v/>
      </c>
      <c r="G26" s="2">
        <f>COUNTIFS(交易明細!$B$2:$B$189,$A26,交易明細!$J$2:$J$189,"止損")</f>
        <v/>
      </c>
      <c r="H26" s="4">
        <f>IFERROR(F26/E26,0)</f>
        <v/>
      </c>
      <c r="I26" s="4">
        <f>IFERROR(AVERAGEIFS(交易明細!$L$2:$L$189,交易明細!$B$2:$B$189,$A26,交易明細!$J$2:$J$189,"&lt;&gt;未平倉"),0)</f>
        <v/>
      </c>
      <c r="J26" s="4">
        <f>SUMIFS(交易明細!$L$2:$L$189,交易明細!$B$2:$B$189,$A26,交易明細!$J$2:$J$189,"&lt;&gt;未平倉")</f>
        <v/>
      </c>
      <c r="K26" s="5">
        <f>IFERROR(AVERAGEIFS(交易明細!$K$2:$K$189,交易明細!$B$2:$B$189,$A26,交易明細!$J$2:$J$189,"&lt;&gt;未平倉"),0)</f>
        <v/>
      </c>
      <c r="L26" s="2">
        <f>COUNTIFS(交易明細!$B$2:$B$189,$A26,交易明細!$J$2:$J$189,"未平倉")</f>
        <v/>
      </c>
    </row>
    <row r="27">
      <c r="A27" s="2" t="inlineStr">
        <is>
          <t>SUSHI_USDT_PERP</t>
        </is>
      </c>
      <c r="B27" s="2">
        <f>COUNTIFS(交易明細!$B$2:$B$189,$A27)</f>
        <v/>
      </c>
      <c r="C27" s="2">
        <f>COUNTIFS(交易明細!$B$2:$B$189,$A27,交易明細!$C$2:$C$189,"做多")</f>
        <v/>
      </c>
      <c r="D27" s="2">
        <f>COUNTIFS(交易明細!$B$2:$B$189,$A27,交易明細!$C$2:$C$189,"做空")</f>
        <v/>
      </c>
      <c r="E27" s="2">
        <f>F27+G27+COUNTIFS(交易明細!$B$2:$B$189,$A27,交易明細!$J$2:$J$189,"時間出場")</f>
        <v/>
      </c>
      <c r="F27" s="2">
        <f>COUNTIFS(交易明細!$B$2:$B$189,$A27,交易明細!$J$2:$J$189,"止盈")</f>
        <v/>
      </c>
      <c r="G27" s="2">
        <f>COUNTIFS(交易明細!$B$2:$B$189,$A27,交易明細!$J$2:$J$189,"止損")</f>
        <v/>
      </c>
      <c r="H27" s="4">
        <f>IFERROR(F27/E27,0)</f>
        <v/>
      </c>
      <c r="I27" s="4">
        <f>IFERROR(AVERAGEIFS(交易明細!$L$2:$L$189,交易明細!$B$2:$B$189,$A27,交易明細!$J$2:$J$189,"&lt;&gt;未平倉"),0)</f>
        <v/>
      </c>
      <c r="J27" s="4">
        <f>SUMIFS(交易明細!$L$2:$L$189,交易明細!$B$2:$B$189,$A27,交易明細!$J$2:$J$189,"&lt;&gt;未平倉")</f>
        <v/>
      </c>
      <c r="K27" s="5">
        <f>IFERROR(AVERAGEIFS(交易明細!$K$2:$K$189,交易明細!$B$2:$B$189,$A27,交易明細!$J$2:$J$189,"&lt;&gt;未平倉"),0)</f>
        <v/>
      </c>
      <c r="L27" s="2">
        <f>COUNTIFS(交易明細!$B$2:$B$189,$A27,交易明細!$J$2:$J$189,"未平倉")</f>
        <v/>
      </c>
    </row>
    <row r="28">
      <c r="A28" s="2" t="inlineStr">
        <is>
          <t>RAY_USDT_PERP</t>
        </is>
      </c>
      <c r="B28" s="2">
        <f>COUNTIFS(交易明細!$B$2:$B$189,$A28)</f>
        <v/>
      </c>
      <c r="C28" s="2">
        <f>COUNTIFS(交易明細!$B$2:$B$189,$A28,交易明細!$C$2:$C$189,"做多")</f>
        <v/>
      </c>
      <c r="D28" s="2">
        <f>COUNTIFS(交易明細!$B$2:$B$189,$A28,交易明細!$C$2:$C$189,"做空")</f>
        <v/>
      </c>
      <c r="E28" s="2">
        <f>F28+G28+COUNTIFS(交易明細!$B$2:$B$189,$A28,交易明細!$J$2:$J$189,"時間出場")</f>
        <v/>
      </c>
      <c r="F28" s="2">
        <f>COUNTIFS(交易明細!$B$2:$B$189,$A28,交易明細!$J$2:$J$189,"止盈")</f>
        <v/>
      </c>
      <c r="G28" s="2">
        <f>COUNTIFS(交易明細!$B$2:$B$189,$A28,交易明細!$J$2:$J$189,"止損")</f>
        <v/>
      </c>
      <c r="H28" s="4">
        <f>IFERROR(F28/E28,0)</f>
        <v/>
      </c>
      <c r="I28" s="4">
        <f>IFERROR(AVERAGEIFS(交易明細!$L$2:$L$189,交易明細!$B$2:$B$189,$A28,交易明細!$J$2:$J$189,"&lt;&gt;未平倉"),0)</f>
        <v/>
      </c>
      <c r="J28" s="4">
        <f>SUMIFS(交易明細!$L$2:$L$189,交易明細!$B$2:$B$189,$A28,交易明細!$J$2:$J$189,"&lt;&gt;未平倉")</f>
        <v/>
      </c>
      <c r="K28" s="5">
        <f>IFERROR(AVERAGEIFS(交易明細!$K$2:$K$189,交易明細!$B$2:$B$189,$A28,交易明細!$J$2:$J$189,"&lt;&gt;未平倉"),0)</f>
        <v/>
      </c>
      <c r="L28" s="2">
        <f>COUNTIFS(交易明細!$B$2:$B$189,$A28,交易明細!$J$2:$J$189,"未平倉")</f>
        <v/>
      </c>
    </row>
    <row r="29">
      <c r="A29" s="2" t="inlineStr">
        <is>
          <t>LUNA2_USDT_PERP</t>
        </is>
      </c>
      <c r="B29" s="2">
        <f>COUNTIFS(交易明細!$B$2:$B$189,$A29)</f>
        <v/>
      </c>
      <c r="C29" s="2">
        <f>COUNTIFS(交易明細!$B$2:$B$189,$A29,交易明細!$C$2:$C$189,"做多")</f>
        <v/>
      </c>
      <c r="D29" s="2">
        <f>COUNTIFS(交易明細!$B$2:$B$189,$A29,交易明細!$C$2:$C$189,"做空")</f>
        <v/>
      </c>
      <c r="E29" s="2">
        <f>F29+G29+COUNTIFS(交易明細!$B$2:$B$189,$A29,交易明細!$J$2:$J$189,"時間出場")</f>
        <v/>
      </c>
      <c r="F29" s="2">
        <f>COUNTIFS(交易明細!$B$2:$B$189,$A29,交易明細!$J$2:$J$189,"止盈")</f>
        <v/>
      </c>
      <c r="G29" s="2">
        <f>COUNTIFS(交易明細!$B$2:$B$189,$A29,交易明細!$J$2:$J$189,"止損")</f>
        <v/>
      </c>
      <c r="H29" s="4">
        <f>IFERROR(F29/E29,0)</f>
        <v/>
      </c>
      <c r="I29" s="4">
        <f>IFERROR(AVERAGEIFS(交易明細!$L$2:$L$189,交易明細!$B$2:$B$189,$A29,交易明細!$J$2:$J$189,"&lt;&gt;未平倉"),0)</f>
        <v/>
      </c>
      <c r="J29" s="4">
        <f>SUMIFS(交易明細!$L$2:$L$189,交易明細!$B$2:$B$189,$A29,交易明細!$J$2:$J$189,"&lt;&gt;未平倉")</f>
        <v/>
      </c>
      <c r="K29" s="5">
        <f>IFERROR(AVERAGEIFS(交易明細!$K$2:$K$189,交易明細!$B$2:$B$189,$A29,交易明細!$J$2:$J$189,"&lt;&gt;未平倉"),0)</f>
        <v/>
      </c>
      <c r="L29" s="2">
        <f>COUNTIFS(交易明細!$B$2:$B$189,$A29,交易明細!$J$2:$J$189,"未平倉")</f>
        <v/>
      </c>
    </row>
    <row r="30">
      <c r="A30" s="2" t="inlineStr">
        <is>
          <t>HAEDAL_USDT_PERP</t>
        </is>
      </c>
      <c r="B30" s="2">
        <f>COUNTIFS(交易明細!$B$2:$B$189,$A30)</f>
        <v/>
      </c>
      <c r="C30" s="2">
        <f>COUNTIFS(交易明細!$B$2:$B$189,$A30,交易明細!$C$2:$C$189,"做多")</f>
        <v/>
      </c>
      <c r="D30" s="2">
        <f>COUNTIFS(交易明細!$B$2:$B$189,$A30,交易明細!$C$2:$C$189,"做空")</f>
        <v/>
      </c>
      <c r="E30" s="2">
        <f>F30+G30+COUNTIFS(交易明細!$B$2:$B$189,$A30,交易明細!$J$2:$J$189,"時間出場")</f>
        <v/>
      </c>
      <c r="F30" s="2">
        <f>COUNTIFS(交易明細!$B$2:$B$189,$A30,交易明細!$J$2:$J$189,"止盈")</f>
        <v/>
      </c>
      <c r="G30" s="2">
        <f>COUNTIFS(交易明細!$B$2:$B$189,$A30,交易明細!$J$2:$J$189,"止損")</f>
        <v/>
      </c>
      <c r="H30" s="4">
        <f>IFERROR(F30/E30,0)</f>
        <v/>
      </c>
      <c r="I30" s="4">
        <f>IFERROR(AVERAGEIFS(交易明細!$L$2:$L$189,交易明細!$B$2:$B$189,$A30,交易明細!$J$2:$J$189,"&lt;&gt;未平倉"),0)</f>
        <v/>
      </c>
      <c r="J30" s="4">
        <f>SUMIFS(交易明細!$L$2:$L$189,交易明細!$B$2:$B$189,$A30,交易明細!$J$2:$J$189,"&lt;&gt;未平倉")</f>
        <v/>
      </c>
      <c r="K30" s="5">
        <f>IFERROR(AVERAGEIFS(交易明細!$K$2:$K$189,交易明細!$B$2:$B$189,$A30,交易明細!$J$2:$J$189,"&lt;&gt;未平倉"),0)</f>
        <v/>
      </c>
      <c r="L30" s="2">
        <f>COUNTIFS(交易明細!$B$2:$B$189,$A30,交易明細!$J$2:$J$189,"未平倉")</f>
        <v/>
      </c>
    </row>
    <row r="31">
      <c r="A31" s="2" t="inlineStr">
        <is>
          <t>PHA_USDT_PERP</t>
        </is>
      </c>
      <c r="B31" s="2">
        <f>COUNTIFS(交易明細!$B$2:$B$189,$A31)</f>
        <v/>
      </c>
      <c r="C31" s="2">
        <f>COUNTIFS(交易明細!$B$2:$B$189,$A31,交易明細!$C$2:$C$189,"做多")</f>
        <v/>
      </c>
      <c r="D31" s="2">
        <f>COUNTIFS(交易明細!$B$2:$B$189,$A31,交易明細!$C$2:$C$189,"做空")</f>
        <v/>
      </c>
      <c r="E31" s="2">
        <f>F31+G31+COUNTIFS(交易明細!$B$2:$B$189,$A31,交易明細!$J$2:$J$189,"時間出場")</f>
        <v/>
      </c>
      <c r="F31" s="2">
        <f>COUNTIFS(交易明細!$B$2:$B$189,$A31,交易明細!$J$2:$J$189,"止盈")</f>
        <v/>
      </c>
      <c r="G31" s="2">
        <f>COUNTIFS(交易明細!$B$2:$B$189,$A31,交易明細!$J$2:$J$189,"止損")</f>
        <v/>
      </c>
      <c r="H31" s="4">
        <f>IFERROR(F31/E31,0)</f>
        <v/>
      </c>
      <c r="I31" s="4">
        <f>IFERROR(AVERAGEIFS(交易明細!$L$2:$L$189,交易明細!$B$2:$B$189,$A31,交易明細!$J$2:$J$189,"&lt;&gt;未平倉"),0)</f>
        <v/>
      </c>
      <c r="J31" s="4">
        <f>SUMIFS(交易明細!$L$2:$L$189,交易明細!$B$2:$B$189,$A31,交易明細!$J$2:$J$189,"&lt;&gt;未平倉")</f>
        <v/>
      </c>
      <c r="K31" s="5">
        <f>IFERROR(AVERAGEIFS(交易明細!$K$2:$K$189,交易明細!$B$2:$B$189,$A31,交易明細!$J$2:$J$189,"&lt;&gt;未平倉"),0)</f>
        <v/>
      </c>
      <c r="L31" s="2">
        <f>COUNTIFS(交易明細!$B$2:$B$189,$A31,交易明細!$J$2:$J$189,"未平倉")</f>
        <v/>
      </c>
    </row>
    <row r="32">
      <c r="A32" s="2" t="inlineStr">
        <is>
          <t>REZ_USDT_PERP</t>
        </is>
      </c>
      <c r="B32" s="2">
        <f>COUNTIFS(交易明細!$B$2:$B$189,$A32)</f>
        <v/>
      </c>
      <c r="C32" s="2">
        <f>COUNTIFS(交易明細!$B$2:$B$189,$A32,交易明細!$C$2:$C$189,"做多")</f>
        <v/>
      </c>
      <c r="D32" s="2">
        <f>COUNTIFS(交易明細!$B$2:$B$189,$A32,交易明細!$C$2:$C$189,"做空")</f>
        <v/>
      </c>
      <c r="E32" s="2">
        <f>F32+G32+COUNTIFS(交易明細!$B$2:$B$189,$A32,交易明細!$J$2:$J$189,"時間出場")</f>
        <v/>
      </c>
      <c r="F32" s="2">
        <f>COUNTIFS(交易明細!$B$2:$B$189,$A32,交易明細!$J$2:$J$189,"止盈")</f>
        <v/>
      </c>
      <c r="G32" s="2">
        <f>COUNTIFS(交易明細!$B$2:$B$189,$A32,交易明細!$J$2:$J$189,"止損")</f>
        <v/>
      </c>
      <c r="H32" s="4">
        <f>IFERROR(F32/E32,0)</f>
        <v/>
      </c>
      <c r="I32" s="4">
        <f>IFERROR(AVERAGEIFS(交易明細!$L$2:$L$189,交易明細!$B$2:$B$189,$A32,交易明細!$J$2:$J$189,"&lt;&gt;未平倉"),0)</f>
        <v/>
      </c>
      <c r="J32" s="4">
        <f>SUMIFS(交易明細!$L$2:$L$189,交易明細!$B$2:$B$189,$A32,交易明細!$J$2:$J$189,"&lt;&gt;未平倉")</f>
        <v/>
      </c>
      <c r="K32" s="5">
        <f>IFERROR(AVERAGEIFS(交易明細!$K$2:$K$189,交易明細!$B$2:$B$189,$A32,交易明細!$J$2:$J$189,"&lt;&gt;未平倉"),0)</f>
        <v/>
      </c>
      <c r="L32" s="2">
        <f>COUNTIFS(交易明細!$B$2:$B$189,$A32,交易明細!$J$2:$J$189,"未平倉")</f>
        <v/>
      </c>
    </row>
    <row r="33">
      <c r="A33" s="2" t="inlineStr">
        <is>
          <t>我踏马来了_USDT_PERP</t>
        </is>
      </c>
      <c r="B33" s="2">
        <f>COUNTIFS(交易明細!$B$2:$B$189,$A33)</f>
        <v/>
      </c>
      <c r="C33" s="2">
        <f>COUNTIFS(交易明細!$B$2:$B$189,$A33,交易明細!$C$2:$C$189,"做多")</f>
        <v/>
      </c>
      <c r="D33" s="2">
        <f>COUNTIFS(交易明細!$B$2:$B$189,$A33,交易明細!$C$2:$C$189,"做空")</f>
        <v/>
      </c>
      <c r="E33" s="2">
        <f>F33+G33+COUNTIFS(交易明細!$B$2:$B$189,$A33,交易明細!$J$2:$J$189,"時間出場")</f>
        <v/>
      </c>
      <c r="F33" s="2">
        <f>COUNTIFS(交易明細!$B$2:$B$189,$A33,交易明細!$J$2:$J$189,"止盈")</f>
        <v/>
      </c>
      <c r="G33" s="2">
        <f>COUNTIFS(交易明細!$B$2:$B$189,$A33,交易明細!$J$2:$J$189,"止損")</f>
        <v/>
      </c>
      <c r="H33" s="4">
        <f>IFERROR(F33/E33,0)</f>
        <v/>
      </c>
      <c r="I33" s="4">
        <f>IFERROR(AVERAGEIFS(交易明細!$L$2:$L$189,交易明細!$B$2:$B$189,$A33,交易明細!$J$2:$J$189,"&lt;&gt;未平倉"),0)</f>
        <v/>
      </c>
      <c r="J33" s="4">
        <f>SUMIFS(交易明細!$L$2:$L$189,交易明細!$B$2:$B$189,$A33,交易明細!$J$2:$J$189,"&lt;&gt;未平倉")</f>
        <v/>
      </c>
      <c r="K33" s="5">
        <f>IFERROR(AVERAGEIFS(交易明細!$K$2:$K$189,交易明細!$B$2:$B$189,$A33,交易明細!$J$2:$J$189,"&lt;&gt;未平倉"),0)</f>
        <v/>
      </c>
      <c r="L33" s="2">
        <f>COUNTIFS(交易明細!$B$2:$B$189,$A33,交易明細!$J$2:$J$189,"未平倉")</f>
        <v/>
      </c>
    </row>
    <row r="34">
      <c r="A34" s="2" t="inlineStr">
        <is>
          <t>CASHCAT_USDT_PERP</t>
        </is>
      </c>
      <c r="B34" s="2">
        <f>COUNTIFS(交易明細!$B$2:$B$189,$A34)</f>
        <v/>
      </c>
      <c r="C34" s="2">
        <f>COUNTIFS(交易明細!$B$2:$B$189,$A34,交易明細!$C$2:$C$189,"做多")</f>
        <v/>
      </c>
      <c r="D34" s="2">
        <f>COUNTIFS(交易明細!$B$2:$B$189,$A34,交易明細!$C$2:$C$189,"做空")</f>
        <v/>
      </c>
      <c r="E34" s="2">
        <f>F34+G34+COUNTIFS(交易明細!$B$2:$B$189,$A34,交易明細!$J$2:$J$189,"時間出場")</f>
        <v/>
      </c>
      <c r="F34" s="2">
        <f>COUNTIFS(交易明細!$B$2:$B$189,$A34,交易明細!$J$2:$J$189,"止盈")</f>
        <v/>
      </c>
      <c r="G34" s="2">
        <f>COUNTIFS(交易明細!$B$2:$B$189,$A34,交易明細!$J$2:$J$189,"止損")</f>
        <v/>
      </c>
      <c r="H34" s="4">
        <f>IFERROR(F34/E34,0)</f>
        <v/>
      </c>
      <c r="I34" s="4">
        <f>IFERROR(AVERAGEIFS(交易明細!$L$2:$L$189,交易明細!$B$2:$B$189,$A34,交易明細!$J$2:$J$189,"&lt;&gt;未平倉"),0)</f>
        <v/>
      </c>
      <c r="J34" s="4">
        <f>SUMIFS(交易明細!$L$2:$L$189,交易明細!$B$2:$B$189,$A34,交易明細!$J$2:$J$189,"&lt;&gt;未平倉")</f>
        <v/>
      </c>
      <c r="K34" s="5">
        <f>IFERROR(AVERAGEIFS(交易明細!$K$2:$K$189,交易明細!$B$2:$B$189,$A34,交易明細!$J$2:$J$189,"&lt;&gt;未平倉"),0)</f>
        <v/>
      </c>
      <c r="L34" s="2">
        <f>COUNTIFS(交易明細!$B$2:$B$189,$A34,交易明細!$J$2:$J$189,"未平倉")</f>
        <v/>
      </c>
    </row>
    <row r="35">
      <c r="A35" s="2" t="inlineStr">
        <is>
          <t>TA_USDT_PERP</t>
        </is>
      </c>
      <c r="B35" s="2">
        <f>COUNTIFS(交易明細!$B$2:$B$189,$A35)</f>
        <v/>
      </c>
      <c r="C35" s="2">
        <f>COUNTIFS(交易明細!$B$2:$B$189,$A35,交易明細!$C$2:$C$189,"做多")</f>
        <v/>
      </c>
      <c r="D35" s="2">
        <f>COUNTIFS(交易明細!$B$2:$B$189,$A35,交易明細!$C$2:$C$189,"做空")</f>
        <v/>
      </c>
      <c r="E35" s="2">
        <f>F35+G35+COUNTIFS(交易明細!$B$2:$B$189,$A35,交易明細!$J$2:$J$189,"時間出場")</f>
        <v/>
      </c>
      <c r="F35" s="2">
        <f>COUNTIFS(交易明細!$B$2:$B$189,$A35,交易明細!$J$2:$J$189,"止盈")</f>
        <v/>
      </c>
      <c r="G35" s="2">
        <f>COUNTIFS(交易明細!$B$2:$B$189,$A35,交易明細!$J$2:$J$189,"止損")</f>
        <v/>
      </c>
      <c r="H35" s="4">
        <f>IFERROR(F35/E35,0)</f>
        <v/>
      </c>
      <c r="I35" s="4">
        <f>IFERROR(AVERAGEIFS(交易明細!$L$2:$L$189,交易明細!$B$2:$B$189,$A35,交易明細!$J$2:$J$189,"&lt;&gt;未平倉"),0)</f>
        <v/>
      </c>
      <c r="J35" s="4">
        <f>SUMIFS(交易明細!$L$2:$L$189,交易明細!$B$2:$B$189,$A35,交易明細!$J$2:$J$189,"&lt;&gt;未平倉")</f>
        <v/>
      </c>
      <c r="K35" s="5">
        <f>IFERROR(AVERAGEIFS(交易明細!$K$2:$K$189,交易明細!$B$2:$B$189,$A35,交易明細!$J$2:$J$189,"&lt;&gt;未平倉"),0)</f>
        <v/>
      </c>
      <c r="L35" s="2">
        <f>COUNTIFS(交易明細!$B$2:$B$189,$A35,交易明細!$J$2:$J$189,"未平倉")</f>
        <v/>
      </c>
    </row>
    <row r="36">
      <c r="A36" s="2" t="inlineStr">
        <is>
          <t>CTR_USDT_PERP</t>
        </is>
      </c>
      <c r="B36" s="2">
        <f>COUNTIFS(交易明細!$B$2:$B$189,$A36)</f>
        <v/>
      </c>
      <c r="C36" s="2">
        <f>COUNTIFS(交易明細!$B$2:$B$189,$A36,交易明細!$C$2:$C$189,"做多")</f>
        <v/>
      </c>
      <c r="D36" s="2">
        <f>COUNTIFS(交易明細!$B$2:$B$189,$A36,交易明細!$C$2:$C$189,"做空")</f>
        <v/>
      </c>
      <c r="E36" s="2">
        <f>F36+G36+COUNTIFS(交易明細!$B$2:$B$189,$A36,交易明細!$J$2:$J$189,"時間出場")</f>
        <v/>
      </c>
      <c r="F36" s="2">
        <f>COUNTIFS(交易明細!$B$2:$B$189,$A36,交易明細!$J$2:$J$189,"止盈")</f>
        <v/>
      </c>
      <c r="G36" s="2">
        <f>COUNTIFS(交易明細!$B$2:$B$189,$A36,交易明細!$J$2:$J$189,"止損")</f>
        <v/>
      </c>
      <c r="H36" s="4">
        <f>IFERROR(F36/E36,0)</f>
        <v/>
      </c>
      <c r="I36" s="4">
        <f>IFERROR(AVERAGEIFS(交易明細!$L$2:$L$189,交易明細!$B$2:$B$189,$A36,交易明細!$J$2:$J$189,"&lt;&gt;未平倉"),0)</f>
        <v/>
      </c>
      <c r="J36" s="4">
        <f>SUMIFS(交易明細!$L$2:$L$189,交易明細!$B$2:$B$189,$A36,交易明細!$J$2:$J$189,"&lt;&gt;未平倉")</f>
        <v/>
      </c>
      <c r="K36" s="5">
        <f>IFERROR(AVERAGEIFS(交易明細!$K$2:$K$189,交易明細!$B$2:$B$189,$A36,交易明細!$J$2:$J$189,"&lt;&gt;未平倉"),0)</f>
        <v/>
      </c>
      <c r="L36" s="2">
        <f>COUNTIFS(交易明細!$B$2:$B$189,$A36,交易明細!$J$2:$J$189,"未平倉")</f>
        <v/>
      </c>
    </row>
    <row r="37">
      <c r="A37" s="2" t="inlineStr">
        <is>
          <t>BTW_USDT_PERP</t>
        </is>
      </c>
      <c r="B37" s="2">
        <f>COUNTIFS(交易明細!$B$2:$B$189,$A37)</f>
        <v/>
      </c>
      <c r="C37" s="2">
        <f>COUNTIFS(交易明細!$B$2:$B$189,$A37,交易明細!$C$2:$C$189,"做多")</f>
        <v/>
      </c>
      <c r="D37" s="2">
        <f>COUNTIFS(交易明細!$B$2:$B$189,$A37,交易明細!$C$2:$C$189,"做空")</f>
        <v/>
      </c>
      <c r="E37" s="2">
        <f>F37+G37+COUNTIFS(交易明細!$B$2:$B$189,$A37,交易明細!$J$2:$J$189,"時間出場")</f>
        <v/>
      </c>
      <c r="F37" s="2">
        <f>COUNTIFS(交易明細!$B$2:$B$189,$A37,交易明細!$J$2:$J$189,"止盈")</f>
        <v/>
      </c>
      <c r="G37" s="2">
        <f>COUNTIFS(交易明細!$B$2:$B$189,$A37,交易明細!$J$2:$J$189,"止損")</f>
        <v/>
      </c>
      <c r="H37" s="4">
        <f>IFERROR(F37/E37,0)</f>
        <v/>
      </c>
      <c r="I37" s="4">
        <f>IFERROR(AVERAGEIFS(交易明細!$L$2:$L$189,交易明細!$B$2:$B$189,$A37,交易明細!$J$2:$J$189,"&lt;&gt;未平倉"),0)</f>
        <v/>
      </c>
      <c r="J37" s="4">
        <f>SUMIFS(交易明細!$L$2:$L$189,交易明細!$B$2:$B$189,$A37,交易明細!$J$2:$J$189,"&lt;&gt;未平倉")</f>
        <v/>
      </c>
      <c r="K37" s="5">
        <f>IFERROR(AVERAGEIFS(交易明細!$K$2:$K$189,交易明細!$B$2:$B$189,$A37,交易明細!$J$2:$J$189,"&lt;&gt;未平倉"),0)</f>
        <v/>
      </c>
      <c r="L37" s="2">
        <f>COUNTIFS(交易明細!$B$2:$B$189,$A37,交易明細!$J$2:$J$189,"未平倉")</f>
        <v/>
      </c>
    </row>
    <row r="38">
      <c r="A38" s="2" t="inlineStr">
        <is>
          <t>HEMI_USDT_PERP</t>
        </is>
      </c>
      <c r="B38" s="2">
        <f>COUNTIFS(交易明細!$B$2:$B$189,$A38)</f>
        <v/>
      </c>
      <c r="C38" s="2">
        <f>COUNTIFS(交易明細!$B$2:$B$189,$A38,交易明細!$C$2:$C$189,"做多")</f>
        <v/>
      </c>
      <c r="D38" s="2">
        <f>COUNTIFS(交易明細!$B$2:$B$189,$A38,交易明細!$C$2:$C$189,"做空")</f>
        <v/>
      </c>
      <c r="E38" s="2">
        <f>F38+G38+COUNTIFS(交易明細!$B$2:$B$189,$A38,交易明細!$J$2:$J$189,"時間出場")</f>
        <v/>
      </c>
      <c r="F38" s="2">
        <f>COUNTIFS(交易明細!$B$2:$B$189,$A38,交易明細!$J$2:$J$189,"止盈")</f>
        <v/>
      </c>
      <c r="G38" s="2">
        <f>COUNTIFS(交易明細!$B$2:$B$189,$A38,交易明細!$J$2:$J$189,"止損")</f>
        <v/>
      </c>
      <c r="H38" s="4">
        <f>IFERROR(F38/E38,0)</f>
        <v/>
      </c>
      <c r="I38" s="4">
        <f>IFERROR(AVERAGEIFS(交易明細!$L$2:$L$189,交易明細!$B$2:$B$189,$A38,交易明細!$J$2:$J$189,"&lt;&gt;未平倉"),0)</f>
        <v/>
      </c>
      <c r="J38" s="4">
        <f>SUMIFS(交易明細!$L$2:$L$189,交易明細!$B$2:$B$189,$A38,交易明細!$J$2:$J$189,"&lt;&gt;未平倉")</f>
        <v/>
      </c>
      <c r="K38" s="5">
        <f>IFERROR(AVERAGEIFS(交易明細!$K$2:$K$189,交易明細!$B$2:$B$189,$A38,交易明細!$J$2:$J$189,"&lt;&gt;未平倉"),0)</f>
        <v/>
      </c>
      <c r="L38" s="2">
        <f>COUNTIFS(交易明細!$B$2:$B$189,$A38,交易明細!$J$2:$J$189,"未平倉")</f>
        <v/>
      </c>
    </row>
    <row r="39">
      <c r="A39" s="2" t="inlineStr">
        <is>
          <t>ASTR_USDT_PERP</t>
        </is>
      </c>
      <c r="B39" s="2">
        <f>COUNTIFS(交易明細!$B$2:$B$189,$A39)</f>
        <v/>
      </c>
      <c r="C39" s="2">
        <f>COUNTIFS(交易明細!$B$2:$B$189,$A39,交易明細!$C$2:$C$189,"做多")</f>
        <v/>
      </c>
      <c r="D39" s="2">
        <f>COUNTIFS(交易明細!$B$2:$B$189,$A39,交易明細!$C$2:$C$189,"做空")</f>
        <v/>
      </c>
      <c r="E39" s="2">
        <f>F39+G39+COUNTIFS(交易明細!$B$2:$B$189,$A39,交易明細!$J$2:$J$189,"時間出場")</f>
        <v/>
      </c>
      <c r="F39" s="2">
        <f>COUNTIFS(交易明細!$B$2:$B$189,$A39,交易明細!$J$2:$J$189,"止盈")</f>
        <v/>
      </c>
      <c r="G39" s="2">
        <f>COUNTIFS(交易明細!$B$2:$B$189,$A39,交易明細!$J$2:$J$189,"止損")</f>
        <v/>
      </c>
      <c r="H39" s="4">
        <f>IFERROR(F39/E39,0)</f>
        <v/>
      </c>
      <c r="I39" s="4">
        <f>IFERROR(AVERAGEIFS(交易明細!$L$2:$L$189,交易明細!$B$2:$B$189,$A39,交易明細!$J$2:$J$189,"&lt;&gt;未平倉"),0)</f>
        <v/>
      </c>
      <c r="J39" s="4">
        <f>SUMIFS(交易明細!$L$2:$L$189,交易明細!$B$2:$B$189,$A39,交易明細!$J$2:$J$189,"&lt;&gt;未平倉")</f>
        <v/>
      </c>
      <c r="K39" s="5">
        <f>IFERROR(AVERAGEIFS(交易明細!$K$2:$K$189,交易明細!$B$2:$B$189,$A39,交易明細!$J$2:$J$189,"&lt;&gt;未平倉"),0)</f>
        <v/>
      </c>
      <c r="L39" s="2">
        <f>COUNTIFS(交易明細!$B$2:$B$189,$A39,交易明細!$J$2:$J$189,"未平倉")</f>
        <v/>
      </c>
    </row>
    <row r="40">
      <c r="A40" s="2" t="inlineStr">
        <is>
          <t>IDOL_USDT_PERP</t>
        </is>
      </c>
      <c r="B40" s="2">
        <f>COUNTIFS(交易明細!$B$2:$B$189,$A40)</f>
        <v/>
      </c>
      <c r="C40" s="2">
        <f>COUNTIFS(交易明細!$B$2:$B$189,$A40,交易明細!$C$2:$C$189,"做多")</f>
        <v/>
      </c>
      <c r="D40" s="2">
        <f>COUNTIFS(交易明細!$B$2:$B$189,$A40,交易明細!$C$2:$C$189,"做空")</f>
        <v/>
      </c>
      <c r="E40" s="2">
        <f>F40+G40+COUNTIFS(交易明細!$B$2:$B$189,$A40,交易明細!$J$2:$J$189,"時間出場")</f>
        <v/>
      </c>
      <c r="F40" s="2">
        <f>COUNTIFS(交易明細!$B$2:$B$189,$A40,交易明細!$J$2:$J$189,"止盈")</f>
        <v/>
      </c>
      <c r="G40" s="2">
        <f>COUNTIFS(交易明細!$B$2:$B$189,$A40,交易明細!$J$2:$J$189,"止損")</f>
        <v/>
      </c>
      <c r="H40" s="4">
        <f>IFERROR(F40/E40,0)</f>
        <v/>
      </c>
      <c r="I40" s="4">
        <f>IFERROR(AVERAGEIFS(交易明細!$L$2:$L$189,交易明細!$B$2:$B$189,$A40,交易明細!$J$2:$J$189,"&lt;&gt;未平倉"),0)</f>
        <v/>
      </c>
      <c r="J40" s="4">
        <f>SUMIFS(交易明細!$L$2:$L$189,交易明細!$B$2:$B$189,$A40,交易明細!$J$2:$J$189,"&lt;&gt;未平倉")</f>
        <v/>
      </c>
      <c r="K40" s="5">
        <f>IFERROR(AVERAGEIFS(交易明細!$K$2:$K$189,交易明細!$B$2:$B$189,$A40,交易明細!$J$2:$J$189,"&lt;&gt;未平倉"),0)</f>
        <v/>
      </c>
      <c r="L40" s="2">
        <f>COUNTIFS(交易明細!$B$2:$B$189,$A40,交易明細!$J$2:$J$189,"未平倉")</f>
        <v/>
      </c>
    </row>
    <row r="41">
      <c r="A41" s="2" t="inlineStr">
        <is>
          <t>STRK_USDT_PERP</t>
        </is>
      </c>
      <c r="B41" s="2">
        <f>COUNTIFS(交易明細!$B$2:$B$189,$A41)</f>
        <v/>
      </c>
      <c r="C41" s="2">
        <f>COUNTIFS(交易明細!$B$2:$B$189,$A41,交易明細!$C$2:$C$189,"做多")</f>
        <v/>
      </c>
      <c r="D41" s="2">
        <f>COUNTIFS(交易明細!$B$2:$B$189,$A41,交易明細!$C$2:$C$189,"做空")</f>
        <v/>
      </c>
      <c r="E41" s="2">
        <f>F41+G41+COUNTIFS(交易明細!$B$2:$B$189,$A41,交易明細!$J$2:$J$189,"時間出場")</f>
        <v/>
      </c>
      <c r="F41" s="2">
        <f>COUNTIFS(交易明細!$B$2:$B$189,$A41,交易明細!$J$2:$J$189,"止盈")</f>
        <v/>
      </c>
      <c r="G41" s="2">
        <f>COUNTIFS(交易明細!$B$2:$B$189,$A41,交易明細!$J$2:$J$189,"止損")</f>
        <v/>
      </c>
      <c r="H41" s="4">
        <f>IFERROR(F41/E41,0)</f>
        <v/>
      </c>
      <c r="I41" s="4">
        <f>IFERROR(AVERAGEIFS(交易明細!$L$2:$L$189,交易明細!$B$2:$B$189,$A41,交易明細!$J$2:$J$189,"&lt;&gt;未平倉"),0)</f>
        <v/>
      </c>
      <c r="J41" s="4">
        <f>SUMIFS(交易明細!$L$2:$L$189,交易明細!$B$2:$B$189,$A41,交易明細!$J$2:$J$189,"&lt;&gt;未平倉")</f>
        <v/>
      </c>
      <c r="K41" s="5">
        <f>IFERROR(AVERAGEIFS(交易明細!$K$2:$K$189,交易明細!$B$2:$B$189,$A41,交易明細!$J$2:$J$189,"&lt;&gt;未平倉"),0)</f>
        <v/>
      </c>
      <c r="L41" s="2">
        <f>COUNTIFS(交易明細!$B$2:$B$189,$A41,交易明細!$J$2:$J$189,"未平倉")</f>
        <v/>
      </c>
    </row>
    <row r="42">
      <c r="A42" s="2" t="inlineStr">
        <is>
          <t>AIA_USDT_PERP</t>
        </is>
      </c>
      <c r="B42" s="2">
        <f>COUNTIFS(交易明細!$B$2:$B$189,$A42)</f>
        <v/>
      </c>
      <c r="C42" s="2">
        <f>COUNTIFS(交易明細!$B$2:$B$189,$A42,交易明細!$C$2:$C$189,"做多")</f>
        <v/>
      </c>
      <c r="D42" s="2">
        <f>COUNTIFS(交易明細!$B$2:$B$189,$A42,交易明細!$C$2:$C$189,"做空")</f>
        <v/>
      </c>
      <c r="E42" s="2">
        <f>F42+G42+COUNTIFS(交易明細!$B$2:$B$189,$A42,交易明細!$J$2:$J$189,"時間出場")</f>
        <v/>
      </c>
      <c r="F42" s="2">
        <f>COUNTIFS(交易明細!$B$2:$B$189,$A42,交易明細!$J$2:$J$189,"止盈")</f>
        <v/>
      </c>
      <c r="G42" s="2">
        <f>COUNTIFS(交易明細!$B$2:$B$189,$A42,交易明細!$J$2:$J$189,"止損")</f>
        <v/>
      </c>
      <c r="H42" s="4">
        <f>IFERROR(F42/E42,0)</f>
        <v/>
      </c>
      <c r="I42" s="4">
        <f>IFERROR(AVERAGEIFS(交易明細!$L$2:$L$189,交易明細!$B$2:$B$189,$A42,交易明細!$J$2:$J$189,"&lt;&gt;未平倉"),0)</f>
        <v/>
      </c>
      <c r="J42" s="4">
        <f>SUMIFS(交易明細!$L$2:$L$189,交易明細!$B$2:$B$189,$A42,交易明細!$J$2:$J$189,"&lt;&gt;未平倉")</f>
        <v/>
      </c>
      <c r="K42" s="5">
        <f>IFERROR(AVERAGEIFS(交易明細!$K$2:$K$189,交易明細!$B$2:$B$189,$A42,交易明細!$J$2:$J$189,"&lt;&gt;未平倉"),0)</f>
        <v/>
      </c>
      <c r="L42" s="2">
        <f>COUNTIFS(交易明細!$B$2:$B$189,$A42,交易明細!$J$2:$J$189,"未平倉")</f>
        <v/>
      </c>
    </row>
    <row r="43">
      <c r="A43" s="2" t="inlineStr">
        <is>
          <t>OFC_USDT_PERP</t>
        </is>
      </c>
      <c r="B43" s="2">
        <f>COUNTIFS(交易明細!$B$2:$B$189,$A43)</f>
        <v/>
      </c>
      <c r="C43" s="2">
        <f>COUNTIFS(交易明細!$B$2:$B$189,$A43,交易明細!$C$2:$C$189,"做多")</f>
        <v/>
      </c>
      <c r="D43" s="2">
        <f>COUNTIFS(交易明細!$B$2:$B$189,$A43,交易明細!$C$2:$C$189,"做空")</f>
        <v/>
      </c>
      <c r="E43" s="2">
        <f>F43+G43+COUNTIFS(交易明細!$B$2:$B$189,$A43,交易明細!$J$2:$J$189,"時間出場")</f>
        <v/>
      </c>
      <c r="F43" s="2">
        <f>COUNTIFS(交易明細!$B$2:$B$189,$A43,交易明細!$J$2:$J$189,"止盈")</f>
        <v/>
      </c>
      <c r="G43" s="2">
        <f>COUNTIFS(交易明細!$B$2:$B$189,$A43,交易明細!$J$2:$J$189,"止損")</f>
        <v/>
      </c>
      <c r="H43" s="4">
        <f>IFERROR(F43/E43,0)</f>
        <v/>
      </c>
      <c r="I43" s="4">
        <f>IFERROR(AVERAGEIFS(交易明細!$L$2:$L$189,交易明細!$B$2:$B$189,$A43,交易明細!$J$2:$J$189,"&lt;&gt;未平倉"),0)</f>
        <v/>
      </c>
      <c r="J43" s="4">
        <f>SUMIFS(交易明細!$L$2:$L$189,交易明細!$B$2:$B$189,$A43,交易明細!$J$2:$J$189,"&lt;&gt;未平倉")</f>
        <v/>
      </c>
      <c r="K43" s="5">
        <f>IFERROR(AVERAGEIFS(交易明細!$K$2:$K$189,交易明細!$B$2:$B$189,$A43,交易明細!$J$2:$J$189,"&lt;&gt;未平倉"),0)</f>
        <v/>
      </c>
      <c r="L43" s="2">
        <f>COUNTIFS(交易明細!$B$2:$B$189,$A43,交易明細!$J$2:$J$189,"未平倉")</f>
        <v/>
      </c>
    </row>
    <row r="44">
      <c r="A44" s="2" t="inlineStr">
        <is>
          <t>SKL_USDT_PERP</t>
        </is>
      </c>
      <c r="B44" s="2">
        <f>COUNTIFS(交易明細!$B$2:$B$189,$A44)</f>
        <v/>
      </c>
      <c r="C44" s="2">
        <f>COUNTIFS(交易明細!$B$2:$B$189,$A44,交易明細!$C$2:$C$189,"做多")</f>
        <v/>
      </c>
      <c r="D44" s="2">
        <f>COUNTIFS(交易明細!$B$2:$B$189,$A44,交易明細!$C$2:$C$189,"做空")</f>
        <v/>
      </c>
      <c r="E44" s="2">
        <f>F44+G44+COUNTIFS(交易明細!$B$2:$B$189,$A44,交易明細!$J$2:$J$189,"時間出場")</f>
        <v/>
      </c>
      <c r="F44" s="2">
        <f>COUNTIFS(交易明細!$B$2:$B$189,$A44,交易明細!$J$2:$J$189,"止盈")</f>
        <v/>
      </c>
      <c r="G44" s="2">
        <f>COUNTIFS(交易明細!$B$2:$B$189,$A44,交易明細!$J$2:$J$189,"止損")</f>
        <v/>
      </c>
      <c r="H44" s="4">
        <f>IFERROR(F44/E44,0)</f>
        <v/>
      </c>
      <c r="I44" s="4">
        <f>IFERROR(AVERAGEIFS(交易明細!$L$2:$L$189,交易明細!$B$2:$B$189,$A44,交易明細!$J$2:$J$189,"&lt;&gt;未平倉"),0)</f>
        <v/>
      </c>
      <c r="J44" s="4">
        <f>SUMIFS(交易明細!$L$2:$L$189,交易明細!$B$2:$B$189,$A44,交易明細!$J$2:$J$189,"&lt;&gt;未平倉")</f>
        <v/>
      </c>
      <c r="K44" s="5">
        <f>IFERROR(AVERAGEIFS(交易明細!$K$2:$K$189,交易明細!$B$2:$B$189,$A44,交易明細!$J$2:$J$189,"&lt;&gt;未平倉"),0)</f>
        <v/>
      </c>
      <c r="L44" s="2">
        <f>COUNTIFS(交易明細!$B$2:$B$189,$A44,交易明細!$J$2:$J$189,"未平倉")</f>
        <v/>
      </c>
    </row>
    <row r="45">
      <c r="A45" s="2" t="inlineStr">
        <is>
          <t>ALCH_USDT_PERP</t>
        </is>
      </c>
      <c r="B45" s="2">
        <f>COUNTIFS(交易明細!$B$2:$B$189,$A45)</f>
        <v/>
      </c>
      <c r="C45" s="2">
        <f>COUNTIFS(交易明細!$B$2:$B$189,$A45,交易明細!$C$2:$C$189,"做多")</f>
        <v/>
      </c>
      <c r="D45" s="2">
        <f>COUNTIFS(交易明細!$B$2:$B$189,$A45,交易明細!$C$2:$C$189,"做空")</f>
        <v/>
      </c>
      <c r="E45" s="2">
        <f>F45+G45+COUNTIFS(交易明細!$B$2:$B$189,$A45,交易明細!$J$2:$J$189,"時間出場")</f>
        <v/>
      </c>
      <c r="F45" s="2">
        <f>COUNTIFS(交易明細!$B$2:$B$189,$A45,交易明細!$J$2:$J$189,"止盈")</f>
        <v/>
      </c>
      <c r="G45" s="2">
        <f>COUNTIFS(交易明細!$B$2:$B$189,$A45,交易明細!$J$2:$J$189,"止損")</f>
        <v/>
      </c>
      <c r="H45" s="4">
        <f>IFERROR(F45/E45,0)</f>
        <v/>
      </c>
      <c r="I45" s="4">
        <f>IFERROR(AVERAGEIFS(交易明細!$L$2:$L$189,交易明細!$B$2:$B$189,$A45,交易明細!$J$2:$J$189,"&lt;&gt;未平倉"),0)</f>
        <v/>
      </c>
      <c r="J45" s="4">
        <f>SUMIFS(交易明細!$L$2:$L$189,交易明細!$B$2:$B$189,$A45,交易明細!$J$2:$J$189,"&lt;&gt;未平倉")</f>
        <v/>
      </c>
      <c r="K45" s="5">
        <f>IFERROR(AVERAGEIFS(交易明細!$K$2:$K$189,交易明細!$B$2:$B$189,$A45,交易明細!$J$2:$J$189,"&lt;&gt;未平倉"),0)</f>
        <v/>
      </c>
      <c r="L45" s="2">
        <f>COUNTIFS(交易明細!$B$2:$B$189,$A45,交易明細!$J$2:$J$189,"未平倉")</f>
        <v/>
      </c>
    </row>
    <row r="46">
      <c r="A46" s="2" t="inlineStr">
        <is>
          <t>FOLKS_USDT_PERP</t>
        </is>
      </c>
      <c r="B46" s="2">
        <f>COUNTIFS(交易明細!$B$2:$B$189,$A46)</f>
        <v/>
      </c>
      <c r="C46" s="2">
        <f>COUNTIFS(交易明細!$B$2:$B$189,$A46,交易明細!$C$2:$C$189,"做多")</f>
        <v/>
      </c>
      <c r="D46" s="2">
        <f>COUNTIFS(交易明細!$B$2:$B$189,$A46,交易明細!$C$2:$C$189,"做空")</f>
        <v/>
      </c>
      <c r="E46" s="2">
        <f>F46+G46+COUNTIFS(交易明細!$B$2:$B$189,$A46,交易明細!$J$2:$J$189,"時間出場")</f>
        <v/>
      </c>
      <c r="F46" s="2">
        <f>COUNTIFS(交易明細!$B$2:$B$189,$A46,交易明細!$J$2:$J$189,"止盈")</f>
        <v/>
      </c>
      <c r="G46" s="2">
        <f>COUNTIFS(交易明細!$B$2:$B$189,$A46,交易明細!$J$2:$J$189,"止損")</f>
        <v/>
      </c>
      <c r="H46" s="4">
        <f>IFERROR(F46/E46,0)</f>
        <v/>
      </c>
      <c r="I46" s="4">
        <f>IFERROR(AVERAGEIFS(交易明細!$L$2:$L$189,交易明細!$B$2:$B$189,$A46,交易明細!$J$2:$J$189,"&lt;&gt;未平倉"),0)</f>
        <v/>
      </c>
      <c r="J46" s="4">
        <f>SUMIFS(交易明細!$L$2:$L$189,交易明細!$B$2:$B$189,$A46,交易明細!$J$2:$J$189,"&lt;&gt;未平倉")</f>
        <v/>
      </c>
      <c r="K46" s="5">
        <f>IFERROR(AVERAGEIFS(交易明細!$K$2:$K$189,交易明細!$B$2:$B$189,$A46,交易明細!$J$2:$J$189,"&lt;&gt;未平倉"),0)</f>
        <v/>
      </c>
      <c r="L46" s="2">
        <f>COUNTIFS(交易明細!$B$2:$B$189,$A46,交易明細!$J$2:$J$189,"未平倉")</f>
        <v/>
      </c>
    </row>
    <row r="47">
      <c r="A47" s="2" t="inlineStr">
        <is>
          <t>MAGIC_USDT_PERP</t>
        </is>
      </c>
      <c r="B47" s="2">
        <f>COUNTIFS(交易明細!$B$2:$B$189,$A47)</f>
        <v/>
      </c>
      <c r="C47" s="2">
        <f>COUNTIFS(交易明細!$B$2:$B$189,$A47,交易明細!$C$2:$C$189,"做多")</f>
        <v/>
      </c>
      <c r="D47" s="2">
        <f>COUNTIFS(交易明細!$B$2:$B$189,$A47,交易明細!$C$2:$C$189,"做空")</f>
        <v/>
      </c>
      <c r="E47" s="2">
        <f>F47+G47+COUNTIFS(交易明細!$B$2:$B$189,$A47,交易明細!$J$2:$J$189,"時間出場")</f>
        <v/>
      </c>
      <c r="F47" s="2">
        <f>COUNTIFS(交易明細!$B$2:$B$189,$A47,交易明細!$J$2:$J$189,"止盈")</f>
        <v/>
      </c>
      <c r="G47" s="2">
        <f>COUNTIFS(交易明細!$B$2:$B$189,$A47,交易明細!$J$2:$J$189,"止損")</f>
        <v/>
      </c>
      <c r="H47" s="4">
        <f>IFERROR(F47/E47,0)</f>
        <v/>
      </c>
      <c r="I47" s="4">
        <f>IFERROR(AVERAGEIFS(交易明細!$L$2:$L$189,交易明細!$B$2:$B$189,$A47,交易明細!$J$2:$J$189,"&lt;&gt;未平倉"),0)</f>
        <v/>
      </c>
      <c r="J47" s="4">
        <f>SUMIFS(交易明細!$L$2:$L$189,交易明細!$B$2:$B$189,$A47,交易明細!$J$2:$J$189,"&lt;&gt;未平倉")</f>
        <v/>
      </c>
      <c r="K47" s="5">
        <f>IFERROR(AVERAGEIFS(交易明細!$K$2:$K$189,交易明細!$B$2:$B$189,$A47,交易明細!$J$2:$J$189,"&lt;&gt;未平倉"),0)</f>
        <v/>
      </c>
      <c r="L47" s="2">
        <f>COUNTIFS(交易明細!$B$2:$B$189,$A47,交易明細!$J$2:$J$189,"未平倉")</f>
        <v/>
      </c>
    </row>
    <row r="48">
      <c r="A48" s="2" t="inlineStr">
        <is>
          <t>NMR_USDT_PERP</t>
        </is>
      </c>
      <c r="B48" s="2">
        <f>COUNTIFS(交易明細!$B$2:$B$189,$A48)</f>
        <v/>
      </c>
      <c r="C48" s="2">
        <f>COUNTIFS(交易明細!$B$2:$B$189,$A48,交易明細!$C$2:$C$189,"做多")</f>
        <v/>
      </c>
      <c r="D48" s="2">
        <f>COUNTIFS(交易明細!$B$2:$B$189,$A48,交易明細!$C$2:$C$189,"做空")</f>
        <v/>
      </c>
      <c r="E48" s="2">
        <f>F48+G48+COUNTIFS(交易明細!$B$2:$B$189,$A48,交易明細!$J$2:$J$189,"時間出場")</f>
        <v/>
      </c>
      <c r="F48" s="2">
        <f>COUNTIFS(交易明細!$B$2:$B$189,$A48,交易明細!$J$2:$J$189,"止盈")</f>
        <v/>
      </c>
      <c r="G48" s="2">
        <f>COUNTIFS(交易明細!$B$2:$B$189,$A48,交易明細!$J$2:$J$189,"止損")</f>
        <v/>
      </c>
      <c r="H48" s="4">
        <f>IFERROR(F48/E48,0)</f>
        <v/>
      </c>
      <c r="I48" s="4">
        <f>IFERROR(AVERAGEIFS(交易明細!$L$2:$L$189,交易明細!$B$2:$B$189,$A48,交易明細!$J$2:$J$189,"&lt;&gt;未平倉"),0)</f>
        <v/>
      </c>
      <c r="J48" s="4">
        <f>SUMIFS(交易明細!$L$2:$L$189,交易明細!$B$2:$B$189,$A48,交易明細!$J$2:$J$189,"&lt;&gt;未平倉")</f>
        <v/>
      </c>
      <c r="K48" s="5">
        <f>IFERROR(AVERAGEIFS(交易明細!$K$2:$K$189,交易明細!$B$2:$B$189,$A48,交易明細!$J$2:$J$189,"&lt;&gt;未平倉"),0)</f>
        <v/>
      </c>
      <c r="L48" s="2">
        <f>COUNTIFS(交易明細!$B$2:$B$189,$A48,交易明細!$J$2:$J$189,"未平倉")</f>
        <v/>
      </c>
    </row>
    <row r="49">
      <c r="A49" s="2" t="inlineStr">
        <is>
          <t>DOGS_USDT_PERP</t>
        </is>
      </c>
      <c r="B49" s="2">
        <f>COUNTIFS(交易明細!$B$2:$B$189,$A49)</f>
        <v/>
      </c>
      <c r="C49" s="2">
        <f>COUNTIFS(交易明細!$B$2:$B$189,$A49,交易明細!$C$2:$C$189,"做多")</f>
        <v/>
      </c>
      <c r="D49" s="2">
        <f>COUNTIFS(交易明細!$B$2:$B$189,$A49,交易明細!$C$2:$C$189,"做空")</f>
        <v/>
      </c>
      <c r="E49" s="2">
        <f>F49+G49+COUNTIFS(交易明細!$B$2:$B$189,$A49,交易明細!$J$2:$J$189,"時間出場")</f>
        <v/>
      </c>
      <c r="F49" s="2">
        <f>COUNTIFS(交易明細!$B$2:$B$189,$A49,交易明細!$J$2:$J$189,"止盈")</f>
        <v/>
      </c>
      <c r="G49" s="2">
        <f>COUNTIFS(交易明細!$B$2:$B$189,$A49,交易明細!$J$2:$J$189,"止損")</f>
        <v/>
      </c>
      <c r="H49" s="4">
        <f>IFERROR(F49/E49,0)</f>
        <v/>
      </c>
      <c r="I49" s="4">
        <f>IFERROR(AVERAGEIFS(交易明細!$L$2:$L$189,交易明細!$B$2:$B$189,$A49,交易明細!$J$2:$J$189,"&lt;&gt;未平倉"),0)</f>
        <v/>
      </c>
      <c r="J49" s="4">
        <f>SUMIFS(交易明細!$L$2:$L$189,交易明細!$B$2:$B$189,$A49,交易明細!$J$2:$J$189,"&lt;&gt;未平倉")</f>
        <v/>
      </c>
      <c r="K49" s="5">
        <f>IFERROR(AVERAGEIFS(交易明細!$K$2:$K$189,交易明細!$B$2:$B$189,$A49,交易明細!$J$2:$J$189,"&lt;&gt;未平倉"),0)</f>
        <v/>
      </c>
      <c r="L49" s="2">
        <f>COUNTIFS(交易明細!$B$2:$B$189,$A49,交易明細!$J$2:$J$189,"未平倉")</f>
        <v/>
      </c>
    </row>
    <row r="50">
      <c r="A50" s="2" t="inlineStr">
        <is>
          <t>ACE_USDT_PERP</t>
        </is>
      </c>
      <c r="B50" s="2">
        <f>COUNTIFS(交易明細!$B$2:$B$189,$A50)</f>
        <v/>
      </c>
      <c r="C50" s="2">
        <f>COUNTIFS(交易明細!$B$2:$B$189,$A50,交易明細!$C$2:$C$189,"做多")</f>
        <v/>
      </c>
      <c r="D50" s="2">
        <f>COUNTIFS(交易明細!$B$2:$B$189,$A50,交易明細!$C$2:$C$189,"做空")</f>
        <v/>
      </c>
      <c r="E50" s="2">
        <f>F50+G50+COUNTIFS(交易明細!$B$2:$B$189,$A50,交易明細!$J$2:$J$189,"時間出場")</f>
        <v/>
      </c>
      <c r="F50" s="2">
        <f>COUNTIFS(交易明細!$B$2:$B$189,$A50,交易明細!$J$2:$J$189,"止盈")</f>
        <v/>
      </c>
      <c r="G50" s="2">
        <f>COUNTIFS(交易明細!$B$2:$B$189,$A50,交易明細!$J$2:$J$189,"止損")</f>
        <v/>
      </c>
      <c r="H50" s="4">
        <f>IFERROR(F50/E50,0)</f>
        <v/>
      </c>
      <c r="I50" s="4">
        <f>IFERROR(AVERAGEIFS(交易明細!$L$2:$L$189,交易明細!$B$2:$B$189,$A50,交易明細!$J$2:$J$189,"&lt;&gt;未平倉"),0)</f>
        <v/>
      </c>
      <c r="J50" s="4">
        <f>SUMIFS(交易明細!$L$2:$L$189,交易明細!$B$2:$B$189,$A50,交易明細!$J$2:$J$189,"&lt;&gt;未平倉")</f>
        <v/>
      </c>
      <c r="K50" s="5">
        <f>IFERROR(AVERAGEIFS(交易明細!$K$2:$K$189,交易明細!$B$2:$B$189,$A50,交易明細!$J$2:$J$189,"&lt;&gt;未平倉"),0)</f>
        <v/>
      </c>
      <c r="L50" s="2">
        <f>COUNTIFS(交易明細!$B$2:$B$189,$A50,交易明細!$J$2:$J$189,"未平倉")</f>
        <v/>
      </c>
    </row>
    <row r="51">
      <c r="A51" s="2" t="inlineStr">
        <is>
          <t>LA_USDT_PERP</t>
        </is>
      </c>
      <c r="B51" s="2">
        <f>COUNTIFS(交易明細!$B$2:$B$189,$A51)</f>
        <v/>
      </c>
      <c r="C51" s="2">
        <f>COUNTIFS(交易明細!$B$2:$B$189,$A51,交易明細!$C$2:$C$189,"做多")</f>
        <v/>
      </c>
      <c r="D51" s="2">
        <f>COUNTIFS(交易明細!$B$2:$B$189,$A51,交易明細!$C$2:$C$189,"做空")</f>
        <v/>
      </c>
      <c r="E51" s="2">
        <f>F51+G51+COUNTIFS(交易明細!$B$2:$B$189,$A51,交易明細!$J$2:$J$189,"時間出場")</f>
        <v/>
      </c>
      <c r="F51" s="2">
        <f>COUNTIFS(交易明細!$B$2:$B$189,$A51,交易明細!$J$2:$J$189,"止盈")</f>
        <v/>
      </c>
      <c r="G51" s="2">
        <f>COUNTIFS(交易明細!$B$2:$B$189,$A51,交易明細!$J$2:$J$189,"止損")</f>
        <v/>
      </c>
      <c r="H51" s="4">
        <f>IFERROR(F51/E51,0)</f>
        <v/>
      </c>
      <c r="I51" s="4">
        <f>IFERROR(AVERAGEIFS(交易明細!$L$2:$L$189,交易明細!$B$2:$B$189,$A51,交易明細!$J$2:$J$189,"&lt;&gt;未平倉"),0)</f>
        <v/>
      </c>
      <c r="J51" s="4">
        <f>SUMIFS(交易明細!$L$2:$L$189,交易明細!$B$2:$B$189,$A51,交易明細!$J$2:$J$189,"&lt;&gt;未平倉")</f>
        <v/>
      </c>
      <c r="K51" s="5">
        <f>IFERROR(AVERAGEIFS(交易明細!$K$2:$K$189,交易明細!$B$2:$B$189,$A51,交易明細!$J$2:$J$189,"&lt;&gt;未平倉"),0)</f>
        <v/>
      </c>
      <c r="L51" s="2">
        <f>COUNTIFS(交易明細!$B$2:$B$189,$A51,交易明細!$J$2:$J$189,"未平倉")</f>
        <v/>
      </c>
    </row>
    <row r="52">
      <c r="A52" s="2" t="inlineStr">
        <is>
          <t>CLO_USDT_PERP</t>
        </is>
      </c>
      <c r="B52" s="2">
        <f>COUNTIFS(交易明細!$B$2:$B$189,$A52)</f>
        <v/>
      </c>
      <c r="C52" s="2">
        <f>COUNTIFS(交易明細!$B$2:$B$189,$A52,交易明細!$C$2:$C$189,"做多")</f>
        <v/>
      </c>
      <c r="D52" s="2">
        <f>COUNTIFS(交易明細!$B$2:$B$189,$A52,交易明細!$C$2:$C$189,"做空")</f>
        <v/>
      </c>
      <c r="E52" s="2">
        <f>F52+G52+COUNTIFS(交易明細!$B$2:$B$189,$A52,交易明細!$J$2:$J$189,"時間出場")</f>
        <v/>
      </c>
      <c r="F52" s="2">
        <f>COUNTIFS(交易明細!$B$2:$B$189,$A52,交易明細!$J$2:$J$189,"止盈")</f>
        <v/>
      </c>
      <c r="G52" s="2">
        <f>COUNTIFS(交易明細!$B$2:$B$189,$A52,交易明細!$J$2:$J$189,"止損")</f>
        <v/>
      </c>
      <c r="H52" s="4">
        <f>IFERROR(F52/E52,0)</f>
        <v/>
      </c>
      <c r="I52" s="4">
        <f>IFERROR(AVERAGEIFS(交易明細!$L$2:$L$189,交易明細!$B$2:$B$189,$A52,交易明細!$J$2:$J$189,"&lt;&gt;未平倉"),0)</f>
        <v/>
      </c>
      <c r="J52" s="4">
        <f>SUMIFS(交易明細!$L$2:$L$189,交易明細!$B$2:$B$189,$A52,交易明細!$J$2:$J$189,"&lt;&gt;未平倉")</f>
        <v/>
      </c>
      <c r="K52" s="5">
        <f>IFERROR(AVERAGEIFS(交易明細!$K$2:$K$189,交易明細!$B$2:$B$189,$A52,交易明細!$J$2:$J$189,"&lt;&gt;未平倉"),0)</f>
        <v/>
      </c>
      <c r="L52" s="2">
        <f>COUNTIFS(交易明細!$B$2:$B$189,$A52,交易明細!$J$2:$J$189,"未平倉")</f>
        <v/>
      </c>
    </row>
    <row r="53">
      <c r="A53" s="2" t="inlineStr">
        <is>
          <t>CHIP_USDT_PERP</t>
        </is>
      </c>
      <c r="B53" s="2">
        <f>COUNTIFS(交易明細!$B$2:$B$189,$A53)</f>
        <v/>
      </c>
      <c r="C53" s="2">
        <f>COUNTIFS(交易明細!$B$2:$B$189,$A53,交易明細!$C$2:$C$189,"做多")</f>
        <v/>
      </c>
      <c r="D53" s="2">
        <f>COUNTIFS(交易明細!$B$2:$B$189,$A53,交易明細!$C$2:$C$189,"做空")</f>
        <v/>
      </c>
      <c r="E53" s="2">
        <f>F53+G53+COUNTIFS(交易明細!$B$2:$B$189,$A53,交易明細!$J$2:$J$189,"時間出場")</f>
        <v/>
      </c>
      <c r="F53" s="2">
        <f>COUNTIFS(交易明細!$B$2:$B$189,$A53,交易明細!$J$2:$J$189,"止盈")</f>
        <v/>
      </c>
      <c r="G53" s="2">
        <f>COUNTIFS(交易明細!$B$2:$B$189,$A53,交易明細!$J$2:$J$189,"止損")</f>
        <v/>
      </c>
      <c r="H53" s="4">
        <f>IFERROR(F53/E53,0)</f>
        <v/>
      </c>
      <c r="I53" s="4">
        <f>IFERROR(AVERAGEIFS(交易明細!$L$2:$L$189,交易明細!$B$2:$B$189,$A53,交易明細!$J$2:$J$189,"&lt;&gt;未平倉"),0)</f>
        <v/>
      </c>
      <c r="J53" s="4">
        <f>SUMIFS(交易明細!$L$2:$L$189,交易明細!$B$2:$B$189,$A53,交易明細!$J$2:$J$189,"&lt;&gt;未平倉")</f>
        <v/>
      </c>
      <c r="K53" s="5">
        <f>IFERROR(AVERAGEIFS(交易明細!$K$2:$K$189,交易明細!$B$2:$B$189,$A53,交易明細!$J$2:$J$189,"&lt;&gt;未平倉"),0)</f>
        <v/>
      </c>
      <c r="L53" s="2">
        <f>COUNTIFS(交易明細!$B$2:$B$189,$A53,交易明細!$J$2:$J$189,"未平倉")</f>
        <v/>
      </c>
    </row>
    <row r="54">
      <c r="A54" s="2" t="inlineStr">
        <is>
          <t>PORTAL_USDT_PERP</t>
        </is>
      </c>
      <c r="B54" s="2">
        <f>COUNTIFS(交易明細!$B$2:$B$189,$A54)</f>
        <v/>
      </c>
      <c r="C54" s="2">
        <f>COUNTIFS(交易明細!$B$2:$B$189,$A54,交易明細!$C$2:$C$189,"做多")</f>
        <v/>
      </c>
      <c r="D54" s="2">
        <f>COUNTIFS(交易明細!$B$2:$B$189,$A54,交易明細!$C$2:$C$189,"做空")</f>
        <v/>
      </c>
      <c r="E54" s="2">
        <f>F54+G54+COUNTIFS(交易明細!$B$2:$B$189,$A54,交易明細!$J$2:$J$189,"時間出場")</f>
        <v/>
      </c>
      <c r="F54" s="2">
        <f>COUNTIFS(交易明細!$B$2:$B$189,$A54,交易明細!$J$2:$J$189,"止盈")</f>
        <v/>
      </c>
      <c r="G54" s="2">
        <f>COUNTIFS(交易明細!$B$2:$B$189,$A54,交易明細!$J$2:$J$189,"止損")</f>
        <v/>
      </c>
      <c r="H54" s="4">
        <f>IFERROR(F54/E54,0)</f>
        <v/>
      </c>
      <c r="I54" s="4">
        <f>IFERROR(AVERAGEIFS(交易明細!$L$2:$L$189,交易明細!$B$2:$B$189,$A54,交易明細!$J$2:$J$189,"&lt;&gt;未平倉"),0)</f>
        <v/>
      </c>
      <c r="J54" s="4">
        <f>SUMIFS(交易明細!$L$2:$L$189,交易明細!$B$2:$B$189,$A54,交易明細!$J$2:$J$189,"&lt;&gt;未平倉")</f>
        <v/>
      </c>
      <c r="K54" s="5">
        <f>IFERROR(AVERAGEIFS(交易明細!$K$2:$K$189,交易明細!$B$2:$B$189,$A54,交易明細!$J$2:$J$189,"&lt;&gt;未平倉"),0)</f>
        <v/>
      </c>
      <c r="L54" s="2">
        <f>COUNTIFS(交易明細!$B$2:$B$189,$A54,交易明細!$J$2:$J$189,"未平倉")</f>
        <v/>
      </c>
    </row>
    <row r="55">
      <c r="A55" s="2" t="inlineStr">
        <is>
          <t>CATI_USDT_PERP</t>
        </is>
      </c>
      <c r="B55" s="2">
        <f>COUNTIFS(交易明細!$B$2:$B$189,$A55)</f>
        <v/>
      </c>
      <c r="C55" s="2">
        <f>COUNTIFS(交易明細!$B$2:$B$189,$A55,交易明細!$C$2:$C$189,"做多")</f>
        <v/>
      </c>
      <c r="D55" s="2">
        <f>COUNTIFS(交易明細!$B$2:$B$189,$A55,交易明細!$C$2:$C$189,"做空")</f>
        <v/>
      </c>
      <c r="E55" s="2">
        <f>F55+G55+COUNTIFS(交易明細!$B$2:$B$189,$A55,交易明細!$J$2:$J$189,"時間出場")</f>
        <v/>
      </c>
      <c r="F55" s="2">
        <f>COUNTIFS(交易明細!$B$2:$B$189,$A55,交易明細!$J$2:$J$189,"止盈")</f>
        <v/>
      </c>
      <c r="G55" s="2">
        <f>COUNTIFS(交易明細!$B$2:$B$189,$A55,交易明細!$J$2:$J$189,"止損")</f>
        <v/>
      </c>
      <c r="H55" s="4">
        <f>IFERROR(F55/E55,0)</f>
        <v/>
      </c>
      <c r="I55" s="4">
        <f>IFERROR(AVERAGEIFS(交易明細!$L$2:$L$189,交易明細!$B$2:$B$189,$A55,交易明細!$J$2:$J$189,"&lt;&gt;未平倉"),0)</f>
        <v/>
      </c>
      <c r="J55" s="4">
        <f>SUMIFS(交易明細!$L$2:$L$189,交易明細!$B$2:$B$189,$A55,交易明細!$J$2:$J$189,"&lt;&gt;未平倉")</f>
        <v/>
      </c>
      <c r="K55" s="5">
        <f>IFERROR(AVERAGEIFS(交易明細!$K$2:$K$189,交易明細!$B$2:$B$189,$A55,交易明細!$J$2:$J$189,"&lt;&gt;未平倉"),0)</f>
        <v/>
      </c>
      <c r="L55" s="2">
        <f>COUNTIFS(交易明細!$B$2:$B$189,$A55,交易明細!$J$2:$J$189,"未平倉")</f>
        <v/>
      </c>
    </row>
    <row r="56">
      <c r="A56" s="2" t="inlineStr">
        <is>
          <t>ELSA_USDT_PERP</t>
        </is>
      </c>
      <c r="B56" s="2">
        <f>COUNTIFS(交易明細!$B$2:$B$189,$A56)</f>
        <v/>
      </c>
      <c r="C56" s="2">
        <f>COUNTIFS(交易明細!$B$2:$B$189,$A56,交易明細!$C$2:$C$189,"做多")</f>
        <v/>
      </c>
      <c r="D56" s="2">
        <f>COUNTIFS(交易明細!$B$2:$B$189,$A56,交易明細!$C$2:$C$189,"做空")</f>
        <v/>
      </c>
      <c r="E56" s="2">
        <f>F56+G56+COUNTIFS(交易明細!$B$2:$B$189,$A56,交易明細!$J$2:$J$189,"時間出場")</f>
        <v/>
      </c>
      <c r="F56" s="2">
        <f>COUNTIFS(交易明細!$B$2:$B$189,$A56,交易明細!$J$2:$J$189,"止盈")</f>
        <v/>
      </c>
      <c r="G56" s="2">
        <f>COUNTIFS(交易明細!$B$2:$B$189,$A56,交易明細!$J$2:$J$189,"止損")</f>
        <v/>
      </c>
      <c r="H56" s="4">
        <f>IFERROR(F56/E56,0)</f>
        <v/>
      </c>
      <c r="I56" s="4">
        <f>IFERROR(AVERAGEIFS(交易明細!$L$2:$L$189,交易明細!$B$2:$B$189,$A56,交易明細!$J$2:$J$189,"&lt;&gt;未平倉"),0)</f>
        <v/>
      </c>
      <c r="J56" s="4">
        <f>SUMIFS(交易明細!$L$2:$L$189,交易明細!$B$2:$B$189,$A56,交易明細!$J$2:$J$189,"&lt;&gt;未平倉")</f>
        <v/>
      </c>
      <c r="K56" s="5">
        <f>IFERROR(AVERAGEIFS(交易明細!$K$2:$K$189,交易明細!$B$2:$B$189,$A56,交易明細!$J$2:$J$189,"&lt;&gt;未平倉"),0)</f>
        <v/>
      </c>
      <c r="L56" s="2">
        <f>COUNTIFS(交易明細!$B$2:$B$189,$A56,交易明細!$J$2:$J$189,"未平倉")</f>
        <v/>
      </c>
    </row>
    <row r="57">
      <c r="A57" s="2" t="inlineStr">
        <is>
          <t>TRADOOR_USDT_PERP</t>
        </is>
      </c>
      <c r="B57" s="2">
        <f>COUNTIFS(交易明細!$B$2:$B$189,$A57)</f>
        <v/>
      </c>
      <c r="C57" s="2">
        <f>COUNTIFS(交易明細!$B$2:$B$189,$A57,交易明細!$C$2:$C$189,"做多")</f>
        <v/>
      </c>
      <c r="D57" s="2">
        <f>COUNTIFS(交易明細!$B$2:$B$189,$A57,交易明細!$C$2:$C$189,"做空")</f>
        <v/>
      </c>
      <c r="E57" s="2">
        <f>F57+G57+COUNTIFS(交易明細!$B$2:$B$189,$A57,交易明細!$J$2:$J$189,"時間出場")</f>
        <v/>
      </c>
      <c r="F57" s="2">
        <f>COUNTIFS(交易明細!$B$2:$B$189,$A57,交易明細!$J$2:$J$189,"止盈")</f>
        <v/>
      </c>
      <c r="G57" s="2">
        <f>COUNTIFS(交易明細!$B$2:$B$189,$A57,交易明細!$J$2:$J$189,"止損")</f>
        <v/>
      </c>
      <c r="H57" s="4">
        <f>IFERROR(F57/E57,0)</f>
        <v/>
      </c>
      <c r="I57" s="4">
        <f>IFERROR(AVERAGEIFS(交易明細!$L$2:$L$189,交易明細!$B$2:$B$189,$A57,交易明細!$J$2:$J$189,"&lt;&gt;未平倉"),0)</f>
        <v/>
      </c>
      <c r="J57" s="4">
        <f>SUMIFS(交易明細!$L$2:$L$189,交易明細!$B$2:$B$189,$A57,交易明細!$J$2:$J$189,"&lt;&gt;未平倉")</f>
        <v/>
      </c>
      <c r="K57" s="5">
        <f>IFERROR(AVERAGEIFS(交易明細!$K$2:$K$189,交易明細!$B$2:$B$189,$A57,交易明細!$J$2:$J$189,"&lt;&gt;未平倉"),0)</f>
        <v/>
      </c>
      <c r="L57" s="2">
        <f>COUNTIFS(交易明細!$B$2:$B$189,$A57,交易明細!$J$2:$J$189,"未平倉")</f>
        <v/>
      </c>
    </row>
    <row r="58">
      <c r="A58" s="2" t="inlineStr">
        <is>
          <t>SOLV_USDT_PERP</t>
        </is>
      </c>
      <c r="B58" s="2">
        <f>COUNTIFS(交易明細!$B$2:$B$189,$A58)</f>
        <v/>
      </c>
      <c r="C58" s="2">
        <f>COUNTIFS(交易明細!$B$2:$B$189,$A58,交易明細!$C$2:$C$189,"做多")</f>
        <v/>
      </c>
      <c r="D58" s="2">
        <f>COUNTIFS(交易明細!$B$2:$B$189,$A58,交易明細!$C$2:$C$189,"做空")</f>
        <v/>
      </c>
      <c r="E58" s="2">
        <f>F58+G58+COUNTIFS(交易明細!$B$2:$B$189,$A58,交易明細!$J$2:$J$189,"時間出場")</f>
        <v/>
      </c>
      <c r="F58" s="2">
        <f>COUNTIFS(交易明細!$B$2:$B$189,$A58,交易明細!$J$2:$J$189,"止盈")</f>
        <v/>
      </c>
      <c r="G58" s="2">
        <f>COUNTIFS(交易明細!$B$2:$B$189,$A58,交易明細!$J$2:$J$189,"止損")</f>
        <v/>
      </c>
      <c r="H58" s="4">
        <f>IFERROR(F58/E58,0)</f>
        <v/>
      </c>
      <c r="I58" s="4">
        <f>IFERROR(AVERAGEIFS(交易明細!$L$2:$L$189,交易明細!$B$2:$B$189,$A58,交易明細!$J$2:$J$189,"&lt;&gt;未平倉"),0)</f>
        <v/>
      </c>
      <c r="J58" s="4">
        <f>SUMIFS(交易明細!$L$2:$L$189,交易明細!$B$2:$B$189,$A58,交易明細!$J$2:$J$189,"&lt;&gt;未平倉")</f>
        <v/>
      </c>
      <c r="K58" s="5">
        <f>IFERROR(AVERAGEIFS(交易明細!$K$2:$K$189,交易明細!$B$2:$B$189,$A58,交易明細!$J$2:$J$189,"&lt;&gt;未平倉"),0)</f>
        <v/>
      </c>
      <c r="L58" s="2">
        <f>COUNTIFS(交易明細!$B$2:$B$189,$A58,交易明細!$J$2:$J$189,"未平倉")</f>
        <v/>
      </c>
    </row>
    <row r="59">
      <c r="A59" s="2" t="inlineStr">
        <is>
          <t>COTI_USDT_PERP</t>
        </is>
      </c>
      <c r="B59" s="2">
        <f>COUNTIFS(交易明細!$B$2:$B$189,$A59)</f>
        <v/>
      </c>
      <c r="C59" s="2">
        <f>COUNTIFS(交易明細!$B$2:$B$189,$A59,交易明細!$C$2:$C$189,"做多")</f>
        <v/>
      </c>
      <c r="D59" s="2">
        <f>COUNTIFS(交易明細!$B$2:$B$189,$A59,交易明細!$C$2:$C$189,"做空")</f>
        <v/>
      </c>
      <c r="E59" s="2">
        <f>F59+G59+COUNTIFS(交易明細!$B$2:$B$189,$A59,交易明細!$J$2:$J$189,"時間出場")</f>
        <v/>
      </c>
      <c r="F59" s="2">
        <f>COUNTIFS(交易明細!$B$2:$B$189,$A59,交易明細!$J$2:$J$189,"止盈")</f>
        <v/>
      </c>
      <c r="G59" s="2">
        <f>COUNTIFS(交易明細!$B$2:$B$189,$A59,交易明細!$J$2:$J$189,"止損")</f>
        <v/>
      </c>
      <c r="H59" s="4">
        <f>IFERROR(F59/E59,0)</f>
        <v/>
      </c>
      <c r="I59" s="4">
        <f>IFERROR(AVERAGEIFS(交易明細!$L$2:$L$189,交易明細!$B$2:$B$189,$A59,交易明細!$J$2:$J$189,"&lt;&gt;未平倉"),0)</f>
        <v/>
      </c>
      <c r="J59" s="4">
        <f>SUMIFS(交易明細!$L$2:$L$189,交易明細!$B$2:$B$189,$A59,交易明細!$J$2:$J$189,"&lt;&gt;未平倉")</f>
        <v/>
      </c>
      <c r="K59" s="5">
        <f>IFERROR(AVERAGEIFS(交易明細!$K$2:$K$189,交易明細!$B$2:$B$189,$A59,交易明細!$J$2:$J$189,"&lt;&gt;未平倉"),0)</f>
        <v/>
      </c>
      <c r="L59" s="2">
        <f>COUNTIFS(交易明細!$B$2:$B$189,$A59,交易明細!$J$2:$J$189,"未平倉")</f>
        <v/>
      </c>
    </row>
    <row r="60">
      <c r="A60" s="2" t="inlineStr">
        <is>
          <t>LAYER_USDT_PERP</t>
        </is>
      </c>
      <c r="B60" s="2">
        <f>COUNTIFS(交易明細!$B$2:$B$189,$A60)</f>
        <v/>
      </c>
      <c r="C60" s="2">
        <f>COUNTIFS(交易明細!$B$2:$B$189,$A60,交易明細!$C$2:$C$189,"做多")</f>
        <v/>
      </c>
      <c r="D60" s="2">
        <f>COUNTIFS(交易明細!$B$2:$B$189,$A60,交易明細!$C$2:$C$189,"做空")</f>
        <v/>
      </c>
      <c r="E60" s="2">
        <f>F60+G60+COUNTIFS(交易明細!$B$2:$B$189,$A60,交易明細!$J$2:$J$189,"時間出場")</f>
        <v/>
      </c>
      <c r="F60" s="2">
        <f>COUNTIFS(交易明細!$B$2:$B$189,$A60,交易明細!$J$2:$J$189,"止盈")</f>
        <v/>
      </c>
      <c r="G60" s="2">
        <f>COUNTIFS(交易明細!$B$2:$B$189,$A60,交易明細!$J$2:$J$189,"止損")</f>
        <v/>
      </c>
      <c r="H60" s="4">
        <f>IFERROR(F60/E60,0)</f>
        <v/>
      </c>
      <c r="I60" s="4">
        <f>IFERROR(AVERAGEIFS(交易明細!$L$2:$L$189,交易明細!$B$2:$B$189,$A60,交易明細!$J$2:$J$189,"&lt;&gt;未平倉"),0)</f>
        <v/>
      </c>
      <c r="J60" s="4">
        <f>SUMIFS(交易明細!$L$2:$L$189,交易明細!$B$2:$B$189,$A60,交易明細!$J$2:$J$189,"&lt;&gt;未平倉")</f>
        <v/>
      </c>
      <c r="K60" s="5">
        <f>IFERROR(AVERAGEIFS(交易明細!$K$2:$K$189,交易明細!$B$2:$B$189,$A60,交易明細!$J$2:$J$189,"&lt;&gt;未平倉"),0)</f>
        <v/>
      </c>
      <c r="L60" s="2">
        <f>COUNTIFS(交易明細!$B$2:$B$189,$A60,交易明細!$J$2:$J$189,"未平倉")</f>
        <v/>
      </c>
    </row>
    <row r="61">
      <c r="A61" s="2" t="inlineStr">
        <is>
          <t>ORCA_USDT_PERP</t>
        </is>
      </c>
      <c r="B61" s="2">
        <f>COUNTIFS(交易明細!$B$2:$B$189,$A61)</f>
        <v/>
      </c>
      <c r="C61" s="2">
        <f>COUNTIFS(交易明細!$B$2:$B$189,$A61,交易明細!$C$2:$C$189,"做多")</f>
        <v/>
      </c>
      <c r="D61" s="2">
        <f>COUNTIFS(交易明細!$B$2:$B$189,$A61,交易明細!$C$2:$C$189,"做空")</f>
        <v/>
      </c>
      <c r="E61" s="2">
        <f>F61+G61+COUNTIFS(交易明細!$B$2:$B$189,$A61,交易明細!$J$2:$J$189,"時間出場")</f>
        <v/>
      </c>
      <c r="F61" s="2">
        <f>COUNTIFS(交易明細!$B$2:$B$189,$A61,交易明細!$J$2:$J$189,"止盈")</f>
        <v/>
      </c>
      <c r="G61" s="2">
        <f>COUNTIFS(交易明細!$B$2:$B$189,$A61,交易明細!$J$2:$J$189,"止損")</f>
        <v/>
      </c>
      <c r="H61" s="4">
        <f>IFERROR(F61/E61,0)</f>
        <v/>
      </c>
      <c r="I61" s="4">
        <f>IFERROR(AVERAGEIFS(交易明細!$L$2:$L$189,交易明細!$B$2:$B$189,$A61,交易明細!$J$2:$J$189,"&lt;&gt;未平倉"),0)</f>
        <v/>
      </c>
      <c r="J61" s="4">
        <f>SUMIFS(交易明細!$L$2:$L$189,交易明細!$B$2:$B$189,$A61,交易明細!$J$2:$J$189,"&lt;&gt;未平倉")</f>
        <v/>
      </c>
      <c r="K61" s="5">
        <f>IFERROR(AVERAGEIFS(交易明細!$K$2:$K$189,交易明細!$B$2:$B$189,$A61,交易明細!$J$2:$J$189,"&lt;&gt;未平倉"),0)</f>
        <v/>
      </c>
      <c r="L61" s="2">
        <f>COUNTIFS(交易明細!$B$2:$B$189,$A61,交易明細!$J$2:$J$189,"未平倉")</f>
        <v/>
      </c>
    </row>
    <row r="62">
      <c r="A62" s="2" t="inlineStr">
        <is>
          <t>CFG_USDT_PERP</t>
        </is>
      </c>
      <c r="B62" s="2">
        <f>COUNTIFS(交易明細!$B$2:$B$189,$A62)</f>
        <v/>
      </c>
      <c r="C62" s="2">
        <f>COUNTIFS(交易明細!$B$2:$B$189,$A62,交易明細!$C$2:$C$189,"做多")</f>
        <v/>
      </c>
      <c r="D62" s="2">
        <f>COUNTIFS(交易明細!$B$2:$B$189,$A62,交易明細!$C$2:$C$189,"做空")</f>
        <v/>
      </c>
      <c r="E62" s="2">
        <f>F62+G62+COUNTIFS(交易明細!$B$2:$B$189,$A62,交易明細!$J$2:$J$189,"時間出場")</f>
        <v/>
      </c>
      <c r="F62" s="2">
        <f>COUNTIFS(交易明細!$B$2:$B$189,$A62,交易明細!$J$2:$J$189,"止盈")</f>
        <v/>
      </c>
      <c r="G62" s="2">
        <f>COUNTIFS(交易明細!$B$2:$B$189,$A62,交易明細!$J$2:$J$189,"止損")</f>
        <v/>
      </c>
      <c r="H62" s="4">
        <f>IFERROR(F62/E62,0)</f>
        <v/>
      </c>
      <c r="I62" s="4">
        <f>IFERROR(AVERAGEIFS(交易明細!$L$2:$L$189,交易明細!$B$2:$B$189,$A62,交易明細!$J$2:$J$189,"&lt;&gt;未平倉"),0)</f>
        <v/>
      </c>
      <c r="J62" s="4">
        <f>SUMIFS(交易明細!$L$2:$L$189,交易明細!$B$2:$B$189,$A62,交易明細!$J$2:$J$189,"&lt;&gt;未平倉")</f>
        <v/>
      </c>
      <c r="K62" s="5">
        <f>IFERROR(AVERAGEIFS(交易明細!$K$2:$K$189,交易明細!$B$2:$B$189,$A62,交易明細!$J$2:$J$189,"&lt;&gt;未平倉"),0)</f>
        <v/>
      </c>
      <c r="L62" s="2">
        <f>COUNTIFS(交易明細!$B$2:$B$189,$A62,交易明細!$J$2:$J$189,"未平倉")</f>
        <v/>
      </c>
    </row>
    <row r="63">
      <c r="A63" s="2" t="inlineStr">
        <is>
          <t>IOST_USDT_PERP</t>
        </is>
      </c>
      <c r="B63" s="2">
        <f>COUNTIFS(交易明細!$B$2:$B$189,$A63)</f>
        <v/>
      </c>
      <c r="C63" s="2">
        <f>COUNTIFS(交易明細!$B$2:$B$189,$A63,交易明細!$C$2:$C$189,"做多")</f>
        <v/>
      </c>
      <c r="D63" s="2">
        <f>COUNTIFS(交易明細!$B$2:$B$189,$A63,交易明細!$C$2:$C$189,"做空")</f>
        <v/>
      </c>
      <c r="E63" s="2">
        <f>F63+G63+COUNTIFS(交易明細!$B$2:$B$189,$A63,交易明細!$J$2:$J$189,"時間出場")</f>
        <v/>
      </c>
      <c r="F63" s="2">
        <f>COUNTIFS(交易明細!$B$2:$B$189,$A63,交易明細!$J$2:$J$189,"止盈")</f>
        <v/>
      </c>
      <c r="G63" s="2">
        <f>COUNTIFS(交易明細!$B$2:$B$189,$A63,交易明細!$J$2:$J$189,"止損")</f>
        <v/>
      </c>
      <c r="H63" s="4">
        <f>IFERROR(F63/E63,0)</f>
        <v/>
      </c>
      <c r="I63" s="4">
        <f>IFERROR(AVERAGEIFS(交易明細!$L$2:$L$189,交易明細!$B$2:$B$189,$A63,交易明細!$J$2:$J$189,"&lt;&gt;未平倉"),0)</f>
        <v/>
      </c>
      <c r="J63" s="4">
        <f>SUMIFS(交易明細!$L$2:$L$189,交易明細!$B$2:$B$189,$A63,交易明細!$J$2:$J$189,"&lt;&gt;未平倉")</f>
        <v/>
      </c>
      <c r="K63" s="5">
        <f>IFERROR(AVERAGEIFS(交易明細!$K$2:$K$189,交易明細!$B$2:$B$189,$A63,交易明細!$J$2:$J$189,"&lt;&gt;未平倉"),0)</f>
        <v/>
      </c>
      <c r="L63" s="2">
        <f>COUNTIFS(交易明細!$B$2:$B$189,$A63,交易明細!$J$2:$J$189,"未平倉")</f>
        <v/>
      </c>
    </row>
    <row r="64">
      <c r="A64" s="2" t="inlineStr">
        <is>
          <t>PIEVERSE_USDT_PERP</t>
        </is>
      </c>
      <c r="B64" s="2">
        <f>COUNTIFS(交易明細!$B$2:$B$189,$A64)</f>
        <v/>
      </c>
      <c r="C64" s="2">
        <f>COUNTIFS(交易明細!$B$2:$B$189,$A64,交易明細!$C$2:$C$189,"做多")</f>
        <v/>
      </c>
      <c r="D64" s="2">
        <f>COUNTIFS(交易明細!$B$2:$B$189,$A64,交易明細!$C$2:$C$189,"做空")</f>
        <v/>
      </c>
      <c r="E64" s="2">
        <f>F64+G64+COUNTIFS(交易明細!$B$2:$B$189,$A64,交易明細!$J$2:$J$189,"時間出場")</f>
        <v/>
      </c>
      <c r="F64" s="2">
        <f>COUNTIFS(交易明細!$B$2:$B$189,$A64,交易明細!$J$2:$J$189,"止盈")</f>
        <v/>
      </c>
      <c r="G64" s="2">
        <f>COUNTIFS(交易明細!$B$2:$B$189,$A64,交易明細!$J$2:$J$189,"止損")</f>
        <v/>
      </c>
      <c r="H64" s="4">
        <f>IFERROR(F64/E64,0)</f>
        <v/>
      </c>
      <c r="I64" s="4">
        <f>IFERROR(AVERAGEIFS(交易明細!$L$2:$L$189,交易明細!$B$2:$B$189,$A64,交易明細!$J$2:$J$189,"&lt;&gt;未平倉"),0)</f>
        <v/>
      </c>
      <c r="J64" s="4">
        <f>SUMIFS(交易明細!$L$2:$L$189,交易明細!$B$2:$B$189,$A64,交易明細!$J$2:$J$189,"&lt;&gt;未平倉")</f>
        <v/>
      </c>
      <c r="K64" s="5">
        <f>IFERROR(AVERAGEIFS(交易明細!$K$2:$K$189,交易明細!$B$2:$B$189,$A64,交易明細!$J$2:$J$189,"&lt;&gt;未平倉"),0)</f>
        <v/>
      </c>
      <c r="L64" s="2">
        <f>COUNTIFS(交易明細!$B$2:$B$189,$A64,交易明細!$J$2:$J$189,"未平倉")</f>
        <v/>
      </c>
    </row>
    <row r="65">
      <c r="A65" s="2" t="inlineStr">
        <is>
          <t>KAT_USDT_PERP</t>
        </is>
      </c>
      <c r="B65" s="2">
        <f>COUNTIFS(交易明細!$B$2:$B$189,$A65)</f>
        <v/>
      </c>
      <c r="C65" s="2">
        <f>COUNTIFS(交易明細!$B$2:$B$189,$A65,交易明細!$C$2:$C$189,"做多")</f>
        <v/>
      </c>
      <c r="D65" s="2">
        <f>COUNTIFS(交易明細!$B$2:$B$189,$A65,交易明細!$C$2:$C$189,"做空")</f>
        <v/>
      </c>
      <c r="E65" s="2">
        <f>F65+G65+COUNTIFS(交易明細!$B$2:$B$189,$A65,交易明細!$J$2:$J$189,"時間出場")</f>
        <v/>
      </c>
      <c r="F65" s="2">
        <f>COUNTIFS(交易明細!$B$2:$B$189,$A65,交易明細!$J$2:$J$189,"止盈")</f>
        <v/>
      </c>
      <c r="G65" s="2">
        <f>COUNTIFS(交易明細!$B$2:$B$189,$A65,交易明細!$J$2:$J$189,"止損")</f>
        <v/>
      </c>
      <c r="H65" s="4">
        <f>IFERROR(F65/E65,0)</f>
        <v/>
      </c>
      <c r="I65" s="4">
        <f>IFERROR(AVERAGEIFS(交易明細!$L$2:$L$189,交易明細!$B$2:$B$189,$A65,交易明細!$J$2:$J$189,"&lt;&gt;未平倉"),0)</f>
        <v/>
      </c>
      <c r="J65" s="4">
        <f>SUMIFS(交易明細!$L$2:$L$189,交易明細!$B$2:$B$189,$A65,交易明細!$J$2:$J$189,"&lt;&gt;未平倉")</f>
        <v/>
      </c>
      <c r="K65" s="5">
        <f>IFERROR(AVERAGEIFS(交易明細!$K$2:$K$189,交易明細!$B$2:$B$189,$A65,交易明細!$J$2:$J$189,"&lt;&gt;未平倉"),0)</f>
        <v/>
      </c>
      <c r="L65" s="2">
        <f>COUNTIFS(交易明細!$B$2:$B$189,$A65,交易明細!$J$2:$J$189,"未平倉")</f>
        <v/>
      </c>
    </row>
    <row r="66">
      <c r="A66" s="2" t="inlineStr">
        <is>
          <t>PROS_USDT_PERP</t>
        </is>
      </c>
      <c r="B66" s="2">
        <f>COUNTIFS(交易明細!$B$2:$B$189,$A66)</f>
        <v/>
      </c>
      <c r="C66" s="2">
        <f>COUNTIFS(交易明細!$B$2:$B$189,$A66,交易明細!$C$2:$C$189,"做多")</f>
        <v/>
      </c>
      <c r="D66" s="2">
        <f>COUNTIFS(交易明細!$B$2:$B$189,$A66,交易明細!$C$2:$C$189,"做空")</f>
        <v/>
      </c>
      <c r="E66" s="2">
        <f>F66+G66+COUNTIFS(交易明細!$B$2:$B$189,$A66,交易明細!$J$2:$J$189,"時間出場")</f>
        <v/>
      </c>
      <c r="F66" s="2">
        <f>COUNTIFS(交易明細!$B$2:$B$189,$A66,交易明細!$J$2:$J$189,"止盈")</f>
        <v/>
      </c>
      <c r="G66" s="2">
        <f>COUNTIFS(交易明細!$B$2:$B$189,$A66,交易明細!$J$2:$J$189,"止損")</f>
        <v/>
      </c>
      <c r="H66" s="4">
        <f>IFERROR(F66/E66,0)</f>
        <v/>
      </c>
      <c r="I66" s="4">
        <f>IFERROR(AVERAGEIFS(交易明細!$L$2:$L$189,交易明細!$B$2:$B$189,$A66,交易明細!$J$2:$J$189,"&lt;&gt;未平倉"),0)</f>
        <v/>
      </c>
      <c r="J66" s="4">
        <f>SUMIFS(交易明細!$L$2:$L$189,交易明細!$B$2:$B$189,$A66,交易明細!$J$2:$J$189,"&lt;&gt;未平倉")</f>
        <v/>
      </c>
      <c r="K66" s="5">
        <f>IFERROR(AVERAGEIFS(交易明細!$K$2:$K$189,交易明細!$B$2:$B$189,$A66,交易明細!$J$2:$J$189,"&lt;&gt;未平倉"),0)</f>
        <v/>
      </c>
      <c r="L66" s="2">
        <f>COUNTIFS(交易明細!$B$2:$B$189,$A66,交易明細!$J$2:$J$189,"未平倉")</f>
        <v/>
      </c>
    </row>
    <row r="67">
      <c r="A67" s="2" t="inlineStr">
        <is>
          <t>ANIME_USDT_PERP</t>
        </is>
      </c>
      <c r="B67" s="2">
        <f>COUNTIFS(交易明細!$B$2:$B$189,$A67)</f>
        <v/>
      </c>
      <c r="C67" s="2">
        <f>COUNTIFS(交易明細!$B$2:$B$189,$A67,交易明細!$C$2:$C$189,"做多")</f>
        <v/>
      </c>
      <c r="D67" s="2">
        <f>COUNTIFS(交易明細!$B$2:$B$189,$A67,交易明細!$C$2:$C$189,"做空")</f>
        <v/>
      </c>
      <c r="E67" s="2">
        <f>F67+G67+COUNTIFS(交易明細!$B$2:$B$189,$A67,交易明細!$J$2:$J$189,"時間出場")</f>
        <v/>
      </c>
      <c r="F67" s="2">
        <f>COUNTIFS(交易明細!$B$2:$B$189,$A67,交易明細!$J$2:$J$189,"止盈")</f>
        <v/>
      </c>
      <c r="G67" s="2">
        <f>COUNTIFS(交易明細!$B$2:$B$189,$A67,交易明細!$J$2:$J$189,"止損")</f>
        <v/>
      </c>
      <c r="H67" s="4">
        <f>IFERROR(F67/E67,0)</f>
        <v/>
      </c>
      <c r="I67" s="4">
        <f>IFERROR(AVERAGEIFS(交易明細!$L$2:$L$189,交易明細!$B$2:$B$189,$A67,交易明細!$J$2:$J$189,"&lt;&gt;未平倉"),0)</f>
        <v/>
      </c>
      <c r="J67" s="4">
        <f>SUMIFS(交易明細!$L$2:$L$189,交易明細!$B$2:$B$189,$A67,交易明細!$J$2:$J$189,"&lt;&gt;未平倉")</f>
        <v/>
      </c>
      <c r="K67" s="5">
        <f>IFERROR(AVERAGEIFS(交易明細!$K$2:$K$189,交易明細!$B$2:$B$189,$A67,交易明細!$J$2:$J$189,"&lt;&gt;未平倉"),0)</f>
        <v/>
      </c>
      <c r="L67" s="2">
        <f>COUNTIFS(交易明細!$B$2:$B$189,$A67,交易明細!$J$2:$J$189,"未平倉")</f>
        <v/>
      </c>
    </row>
    <row r="68">
      <c r="A68" s="2" t="inlineStr">
        <is>
          <t>SAGA_USDT_PERP</t>
        </is>
      </c>
      <c r="B68" s="2">
        <f>COUNTIFS(交易明細!$B$2:$B$189,$A68)</f>
        <v/>
      </c>
      <c r="C68" s="2">
        <f>COUNTIFS(交易明細!$B$2:$B$189,$A68,交易明細!$C$2:$C$189,"做多")</f>
        <v/>
      </c>
      <c r="D68" s="2">
        <f>COUNTIFS(交易明細!$B$2:$B$189,$A68,交易明細!$C$2:$C$189,"做空")</f>
        <v/>
      </c>
      <c r="E68" s="2">
        <f>F68+G68+COUNTIFS(交易明細!$B$2:$B$189,$A68,交易明細!$J$2:$J$189,"時間出場")</f>
        <v/>
      </c>
      <c r="F68" s="2">
        <f>COUNTIFS(交易明細!$B$2:$B$189,$A68,交易明細!$J$2:$J$189,"止盈")</f>
        <v/>
      </c>
      <c r="G68" s="2">
        <f>COUNTIFS(交易明細!$B$2:$B$189,$A68,交易明細!$J$2:$J$189,"止損")</f>
        <v/>
      </c>
      <c r="H68" s="4">
        <f>IFERROR(F68/E68,0)</f>
        <v/>
      </c>
      <c r="I68" s="4">
        <f>IFERROR(AVERAGEIFS(交易明細!$L$2:$L$189,交易明細!$B$2:$B$189,$A68,交易明細!$J$2:$J$189,"&lt;&gt;未平倉"),0)</f>
        <v/>
      </c>
      <c r="J68" s="4">
        <f>SUMIFS(交易明細!$L$2:$L$189,交易明細!$B$2:$B$189,$A68,交易明細!$J$2:$J$189,"&lt;&gt;未平倉")</f>
        <v/>
      </c>
      <c r="K68" s="5">
        <f>IFERROR(AVERAGEIFS(交易明細!$K$2:$K$189,交易明細!$B$2:$B$189,$A68,交易明細!$J$2:$J$189,"&lt;&gt;未平倉"),0)</f>
        <v/>
      </c>
      <c r="L68" s="2">
        <f>COUNTIFS(交易明細!$B$2:$B$189,$A68,交易明細!$J$2:$J$189,"未平倉")</f>
        <v/>
      </c>
    </row>
    <row r="69">
      <c r="A69" s="2" t="inlineStr">
        <is>
          <t>LAB_USDT_PERP</t>
        </is>
      </c>
      <c r="B69" s="2">
        <f>COUNTIFS(交易明細!$B$2:$B$189,$A69)</f>
        <v/>
      </c>
      <c r="C69" s="2">
        <f>COUNTIFS(交易明細!$B$2:$B$189,$A69,交易明細!$C$2:$C$189,"做多")</f>
        <v/>
      </c>
      <c r="D69" s="2">
        <f>COUNTIFS(交易明細!$B$2:$B$189,$A69,交易明細!$C$2:$C$189,"做空")</f>
        <v/>
      </c>
      <c r="E69" s="2">
        <f>F69+G69+COUNTIFS(交易明細!$B$2:$B$189,$A69,交易明細!$J$2:$J$189,"時間出場")</f>
        <v/>
      </c>
      <c r="F69" s="2">
        <f>COUNTIFS(交易明細!$B$2:$B$189,$A69,交易明細!$J$2:$J$189,"止盈")</f>
        <v/>
      </c>
      <c r="G69" s="2">
        <f>COUNTIFS(交易明細!$B$2:$B$189,$A69,交易明細!$J$2:$J$189,"止損")</f>
        <v/>
      </c>
      <c r="H69" s="4">
        <f>IFERROR(F69/E69,0)</f>
        <v/>
      </c>
      <c r="I69" s="4">
        <f>IFERROR(AVERAGEIFS(交易明細!$L$2:$L$189,交易明細!$B$2:$B$189,$A69,交易明細!$J$2:$J$189,"&lt;&gt;未平倉"),0)</f>
        <v/>
      </c>
      <c r="J69" s="4">
        <f>SUMIFS(交易明細!$L$2:$L$189,交易明細!$B$2:$B$189,$A69,交易明細!$J$2:$J$189,"&lt;&gt;未平倉")</f>
        <v/>
      </c>
      <c r="K69" s="5">
        <f>IFERROR(AVERAGEIFS(交易明細!$K$2:$K$189,交易明細!$B$2:$B$189,$A69,交易明細!$J$2:$J$189,"&lt;&gt;未平倉"),0)</f>
        <v/>
      </c>
      <c r="L69" s="2">
        <f>COUNTIFS(交易明細!$B$2:$B$189,$A69,交易明細!$J$2:$J$189,"未平倉")</f>
        <v/>
      </c>
    </row>
    <row r="70">
      <c r="A70" s="2" t="inlineStr">
        <is>
          <t>BLUR_USDT_PERP</t>
        </is>
      </c>
      <c r="B70" s="2">
        <f>COUNTIFS(交易明細!$B$2:$B$189,$A70)</f>
        <v/>
      </c>
      <c r="C70" s="2">
        <f>COUNTIFS(交易明細!$B$2:$B$189,$A70,交易明細!$C$2:$C$189,"做多")</f>
        <v/>
      </c>
      <c r="D70" s="2">
        <f>COUNTIFS(交易明細!$B$2:$B$189,$A70,交易明細!$C$2:$C$189,"做空")</f>
        <v/>
      </c>
      <c r="E70" s="2">
        <f>F70+G70+COUNTIFS(交易明細!$B$2:$B$189,$A70,交易明細!$J$2:$J$189,"時間出場")</f>
        <v/>
      </c>
      <c r="F70" s="2">
        <f>COUNTIFS(交易明細!$B$2:$B$189,$A70,交易明細!$J$2:$J$189,"止盈")</f>
        <v/>
      </c>
      <c r="G70" s="2">
        <f>COUNTIFS(交易明細!$B$2:$B$189,$A70,交易明細!$J$2:$J$189,"止損")</f>
        <v/>
      </c>
      <c r="H70" s="4">
        <f>IFERROR(F70/E70,0)</f>
        <v/>
      </c>
      <c r="I70" s="4">
        <f>IFERROR(AVERAGEIFS(交易明細!$L$2:$L$189,交易明細!$B$2:$B$189,$A70,交易明細!$J$2:$J$189,"&lt;&gt;未平倉"),0)</f>
        <v/>
      </c>
      <c r="J70" s="4">
        <f>SUMIFS(交易明細!$L$2:$L$189,交易明細!$B$2:$B$189,$A70,交易明細!$J$2:$J$189,"&lt;&gt;未平倉")</f>
        <v/>
      </c>
      <c r="K70" s="5">
        <f>IFERROR(AVERAGEIFS(交易明細!$K$2:$K$189,交易明細!$B$2:$B$189,$A70,交易明細!$J$2:$J$189,"&lt;&gt;未平倉"),0)</f>
        <v/>
      </c>
      <c r="L70" s="2">
        <f>COUNTIFS(交易明細!$B$2:$B$189,$A70,交易明細!$J$2:$J$189,"未平倉")</f>
        <v/>
      </c>
    </row>
    <row r="71">
      <c r="A71" s="2" t="inlineStr">
        <is>
          <t>CYS_USDT_PERP</t>
        </is>
      </c>
      <c r="B71" s="2">
        <f>COUNTIFS(交易明細!$B$2:$B$189,$A71)</f>
        <v/>
      </c>
      <c r="C71" s="2">
        <f>COUNTIFS(交易明細!$B$2:$B$189,$A71,交易明細!$C$2:$C$189,"做多")</f>
        <v/>
      </c>
      <c r="D71" s="2">
        <f>COUNTIFS(交易明細!$B$2:$B$189,$A71,交易明細!$C$2:$C$189,"做空")</f>
        <v/>
      </c>
      <c r="E71" s="2">
        <f>F71+G71+COUNTIFS(交易明細!$B$2:$B$189,$A71,交易明細!$J$2:$J$189,"時間出場")</f>
        <v/>
      </c>
      <c r="F71" s="2">
        <f>COUNTIFS(交易明細!$B$2:$B$189,$A71,交易明細!$J$2:$J$189,"止盈")</f>
        <v/>
      </c>
      <c r="G71" s="2">
        <f>COUNTIFS(交易明細!$B$2:$B$189,$A71,交易明細!$J$2:$J$189,"止損")</f>
        <v/>
      </c>
      <c r="H71" s="4">
        <f>IFERROR(F71/E71,0)</f>
        <v/>
      </c>
      <c r="I71" s="4">
        <f>IFERROR(AVERAGEIFS(交易明細!$L$2:$L$189,交易明細!$B$2:$B$189,$A71,交易明細!$J$2:$J$189,"&lt;&gt;未平倉"),0)</f>
        <v/>
      </c>
      <c r="J71" s="4">
        <f>SUMIFS(交易明細!$L$2:$L$189,交易明細!$B$2:$B$189,$A71,交易明細!$J$2:$J$189,"&lt;&gt;未平倉")</f>
        <v/>
      </c>
      <c r="K71" s="5">
        <f>IFERROR(AVERAGEIFS(交易明細!$K$2:$K$189,交易明細!$B$2:$B$189,$A71,交易明細!$J$2:$J$189,"&lt;&gt;未平倉"),0)</f>
        <v/>
      </c>
      <c r="L71" s="2">
        <f>COUNTIFS(交易明細!$B$2:$B$189,$A71,交易明細!$J$2:$J$189,"未平倉")</f>
        <v/>
      </c>
    </row>
    <row r="72">
      <c r="A72" s="2" t="inlineStr">
        <is>
          <t>TREE_USDT_PERP</t>
        </is>
      </c>
      <c r="B72" s="2">
        <f>COUNTIFS(交易明細!$B$2:$B$189,$A72)</f>
        <v/>
      </c>
      <c r="C72" s="2">
        <f>COUNTIFS(交易明細!$B$2:$B$189,$A72,交易明細!$C$2:$C$189,"做多")</f>
        <v/>
      </c>
      <c r="D72" s="2">
        <f>COUNTIFS(交易明細!$B$2:$B$189,$A72,交易明細!$C$2:$C$189,"做空")</f>
        <v/>
      </c>
      <c r="E72" s="2">
        <f>F72+G72+COUNTIFS(交易明細!$B$2:$B$189,$A72,交易明細!$J$2:$J$189,"時間出場")</f>
        <v/>
      </c>
      <c r="F72" s="2">
        <f>COUNTIFS(交易明細!$B$2:$B$189,$A72,交易明細!$J$2:$J$189,"止盈")</f>
        <v/>
      </c>
      <c r="G72" s="2">
        <f>COUNTIFS(交易明細!$B$2:$B$189,$A72,交易明細!$J$2:$J$189,"止損")</f>
        <v/>
      </c>
      <c r="H72" s="4">
        <f>IFERROR(F72/E72,0)</f>
        <v/>
      </c>
      <c r="I72" s="4">
        <f>IFERROR(AVERAGEIFS(交易明細!$L$2:$L$189,交易明細!$B$2:$B$189,$A72,交易明細!$J$2:$J$189,"&lt;&gt;未平倉"),0)</f>
        <v/>
      </c>
      <c r="J72" s="4">
        <f>SUMIFS(交易明細!$L$2:$L$189,交易明細!$B$2:$B$189,$A72,交易明細!$J$2:$J$189,"&lt;&gt;未平倉")</f>
        <v/>
      </c>
      <c r="K72" s="5">
        <f>IFERROR(AVERAGEIFS(交易明細!$K$2:$K$189,交易明細!$B$2:$B$189,$A72,交易明細!$J$2:$J$189,"&lt;&gt;未平倉"),0)</f>
        <v/>
      </c>
      <c r="L72" s="2">
        <f>COUNTIFS(交易明細!$B$2:$B$189,$A72,交易明細!$J$2:$J$189,"未平倉")</f>
        <v/>
      </c>
    </row>
    <row r="73">
      <c r="A73" s="2" t="inlineStr">
        <is>
          <t>BR_USDT_PERP</t>
        </is>
      </c>
      <c r="B73" s="2">
        <f>COUNTIFS(交易明細!$B$2:$B$189,$A73)</f>
        <v/>
      </c>
      <c r="C73" s="2">
        <f>COUNTIFS(交易明細!$B$2:$B$189,$A73,交易明細!$C$2:$C$189,"做多")</f>
        <v/>
      </c>
      <c r="D73" s="2">
        <f>COUNTIFS(交易明細!$B$2:$B$189,$A73,交易明細!$C$2:$C$189,"做空")</f>
        <v/>
      </c>
      <c r="E73" s="2">
        <f>F73+G73+COUNTIFS(交易明細!$B$2:$B$189,$A73,交易明細!$J$2:$J$189,"時間出場")</f>
        <v/>
      </c>
      <c r="F73" s="2">
        <f>COUNTIFS(交易明細!$B$2:$B$189,$A73,交易明細!$J$2:$J$189,"止盈")</f>
        <v/>
      </c>
      <c r="G73" s="2">
        <f>COUNTIFS(交易明細!$B$2:$B$189,$A73,交易明細!$J$2:$J$189,"止損")</f>
        <v/>
      </c>
      <c r="H73" s="4">
        <f>IFERROR(F73/E73,0)</f>
        <v/>
      </c>
      <c r="I73" s="4">
        <f>IFERROR(AVERAGEIFS(交易明細!$L$2:$L$189,交易明細!$B$2:$B$189,$A73,交易明細!$J$2:$J$189,"&lt;&gt;未平倉"),0)</f>
        <v/>
      </c>
      <c r="J73" s="4">
        <f>SUMIFS(交易明細!$L$2:$L$189,交易明細!$B$2:$B$189,$A73,交易明細!$J$2:$J$189,"&lt;&gt;未平倉")</f>
        <v/>
      </c>
      <c r="K73" s="5">
        <f>IFERROR(AVERAGEIFS(交易明細!$K$2:$K$189,交易明細!$B$2:$B$189,$A73,交易明細!$J$2:$J$189,"&lt;&gt;未平倉"),0)</f>
        <v/>
      </c>
      <c r="L73" s="2">
        <f>COUNTIFS(交易明細!$B$2:$B$189,$A73,交易明細!$J$2:$J$189,"未平倉")</f>
        <v/>
      </c>
    </row>
    <row r="74">
      <c r="A74" s="2" t="inlineStr">
        <is>
          <t>XPIN_USDT_PERP</t>
        </is>
      </c>
      <c r="B74" s="2">
        <f>COUNTIFS(交易明細!$B$2:$B$189,$A74)</f>
        <v/>
      </c>
      <c r="C74" s="2">
        <f>COUNTIFS(交易明細!$B$2:$B$189,$A74,交易明細!$C$2:$C$189,"做多")</f>
        <v/>
      </c>
      <c r="D74" s="2">
        <f>COUNTIFS(交易明細!$B$2:$B$189,$A74,交易明細!$C$2:$C$189,"做空")</f>
        <v/>
      </c>
      <c r="E74" s="2">
        <f>F74+G74+COUNTIFS(交易明細!$B$2:$B$189,$A74,交易明細!$J$2:$J$189,"時間出場")</f>
        <v/>
      </c>
      <c r="F74" s="2">
        <f>COUNTIFS(交易明細!$B$2:$B$189,$A74,交易明細!$J$2:$J$189,"止盈")</f>
        <v/>
      </c>
      <c r="G74" s="2">
        <f>COUNTIFS(交易明細!$B$2:$B$189,$A74,交易明細!$J$2:$J$189,"止損")</f>
        <v/>
      </c>
      <c r="H74" s="4">
        <f>IFERROR(F74/E74,0)</f>
        <v/>
      </c>
      <c r="I74" s="4">
        <f>IFERROR(AVERAGEIFS(交易明細!$L$2:$L$189,交易明細!$B$2:$B$189,$A74,交易明細!$J$2:$J$189,"&lt;&gt;未平倉"),0)</f>
        <v/>
      </c>
      <c r="J74" s="4">
        <f>SUMIFS(交易明細!$L$2:$L$189,交易明細!$B$2:$B$189,$A74,交易明細!$J$2:$J$189,"&lt;&gt;未平倉")</f>
        <v/>
      </c>
      <c r="K74" s="5">
        <f>IFERROR(AVERAGEIFS(交易明細!$K$2:$K$189,交易明細!$B$2:$B$189,$A74,交易明細!$J$2:$J$189,"&lt;&gt;未平倉"),0)</f>
        <v/>
      </c>
      <c r="L74" s="2">
        <f>COUNTIFS(交易明細!$B$2:$B$189,$A74,交易明細!$J$2:$J$189,"未平倉")</f>
        <v/>
      </c>
    </row>
    <row r="75">
      <c r="A75" s="2" t="inlineStr">
        <is>
          <t>AXL_USDT_PERP</t>
        </is>
      </c>
      <c r="B75" s="2">
        <f>COUNTIFS(交易明細!$B$2:$B$189,$A75)</f>
        <v/>
      </c>
      <c r="C75" s="2">
        <f>COUNTIFS(交易明細!$B$2:$B$189,$A75,交易明細!$C$2:$C$189,"做多")</f>
        <v/>
      </c>
      <c r="D75" s="2">
        <f>COUNTIFS(交易明細!$B$2:$B$189,$A75,交易明細!$C$2:$C$189,"做空")</f>
        <v/>
      </c>
      <c r="E75" s="2">
        <f>F75+G75+COUNTIFS(交易明細!$B$2:$B$189,$A75,交易明細!$J$2:$J$189,"時間出場")</f>
        <v/>
      </c>
      <c r="F75" s="2">
        <f>COUNTIFS(交易明細!$B$2:$B$189,$A75,交易明細!$J$2:$J$189,"止盈")</f>
        <v/>
      </c>
      <c r="G75" s="2">
        <f>COUNTIFS(交易明細!$B$2:$B$189,$A75,交易明細!$J$2:$J$189,"止損")</f>
        <v/>
      </c>
      <c r="H75" s="4">
        <f>IFERROR(F75/E75,0)</f>
        <v/>
      </c>
      <c r="I75" s="4">
        <f>IFERROR(AVERAGEIFS(交易明細!$L$2:$L$189,交易明細!$B$2:$B$189,$A75,交易明細!$J$2:$J$189,"&lt;&gt;未平倉"),0)</f>
        <v/>
      </c>
      <c r="J75" s="4">
        <f>SUMIFS(交易明細!$L$2:$L$189,交易明細!$B$2:$B$189,$A75,交易明細!$J$2:$J$189,"&lt;&gt;未平倉")</f>
        <v/>
      </c>
      <c r="K75" s="5">
        <f>IFERROR(AVERAGEIFS(交易明細!$K$2:$K$189,交易明細!$B$2:$B$189,$A75,交易明細!$J$2:$J$189,"&lt;&gt;未平倉"),0)</f>
        <v/>
      </c>
      <c r="L75" s="2">
        <f>COUNTIFS(交易明細!$B$2:$B$189,$A75,交易明細!$J$2:$J$189,"未平倉")</f>
        <v/>
      </c>
    </row>
    <row r="76">
      <c r="A76" s="2" t="inlineStr">
        <is>
          <t>GENIUS_USDT_PERP</t>
        </is>
      </c>
      <c r="B76" s="2">
        <f>COUNTIFS(交易明細!$B$2:$B$189,$A76)</f>
        <v/>
      </c>
      <c r="C76" s="2">
        <f>COUNTIFS(交易明細!$B$2:$B$189,$A76,交易明細!$C$2:$C$189,"做多")</f>
        <v/>
      </c>
      <c r="D76" s="2">
        <f>COUNTIFS(交易明細!$B$2:$B$189,$A76,交易明細!$C$2:$C$189,"做空")</f>
        <v/>
      </c>
      <c r="E76" s="2">
        <f>F76+G76+COUNTIFS(交易明細!$B$2:$B$189,$A76,交易明細!$J$2:$J$189,"時間出場")</f>
        <v/>
      </c>
      <c r="F76" s="2">
        <f>COUNTIFS(交易明細!$B$2:$B$189,$A76,交易明細!$J$2:$J$189,"止盈")</f>
        <v/>
      </c>
      <c r="G76" s="2">
        <f>COUNTIFS(交易明細!$B$2:$B$189,$A76,交易明細!$J$2:$J$189,"止損")</f>
        <v/>
      </c>
      <c r="H76" s="4">
        <f>IFERROR(F76/E76,0)</f>
        <v/>
      </c>
      <c r="I76" s="4">
        <f>IFERROR(AVERAGEIFS(交易明細!$L$2:$L$189,交易明細!$B$2:$B$189,$A76,交易明細!$J$2:$J$189,"&lt;&gt;未平倉"),0)</f>
        <v/>
      </c>
      <c r="J76" s="4">
        <f>SUMIFS(交易明細!$L$2:$L$189,交易明細!$B$2:$B$189,$A76,交易明細!$J$2:$J$189,"&lt;&gt;未平倉")</f>
        <v/>
      </c>
      <c r="K76" s="5">
        <f>IFERROR(AVERAGEIFS(交易明細!$K$2:$K$189,交易明細!$B$2:$B$189,$A76,交易明細!$J$2:$J$189,"&lt;&gt;未平倉"),0)</f>
        <v/>
      </c>
      <c r="L76" s="2">
        <f>COUNTIFS(交易明細!$B$2:$B$189,$A76,交易明細!$J$2:$J$189,"未平倉")</f>
        <v/>
      </c>
    </row>
    <row r="77">
      <c r="A77" s="2" t="inlineStr">
        <is>
          <t>CROSS_USDT_PERP</t>
        </is>
      </c>
      <c r="B77" s="2">
        <f>COUNTIFS(交易明細!$B$2:$B$189,$A77)</f>
        <v/>
      </c>
      <c r="C77" s="2">
        <f>COUNTIFS(交易明細!$B$2:$B$189,$A77,交易明細!$C$2:$C$189,"做多")</f>
        <v/>
      </c>
      <c r="D77" s="2">
        <f>COUNTIFS(交易明細!$B$2:$B$189,$A77,交易明細!$C$2:$C$189,"做空")</f>
        <v/>
      </c>
      <c r="E77" s="2">
        <f>F77+G77+COUNTIFS(交易明細!$B$2:$B$189,$A77,交易明細!$J$2:$J$189,"時間出場")</f>
        <v/>
      </c>
      <c r="F77" s="2">
        <f>COUNTIFS(交易明細!$B$2:$B$189,$A77,交易明細!$J$2:$J$189,"止盈")</f>
        <v/>
      </c>
      <c r="G77" s="2">
        <f>COUNTIFS(交易明細!$B$2:$B$189,$A77,交易明細!$J$2:$J$189,"止損")</f>
        <v/>
      </c>
      <c r="H77" s="4">
        <f>IFERROR(F77/E77,0)</f>
        <v/>
      </c>
      <c r="I77" s="4">
        <f>IFERROR(AVERAGEIFS(交易明細!$L$2:$L$189,交易明細!$B$2:$B$189,$A77,交易明細!$J$2:$J$189,"&lt;&gt;未平倉"),0)</f>
        <v/>
      </c>
      <c r="J77" s="4">
        <f>SUMIFS(交易明細!$L$2:$L$189,交易明細!$B$2:$B$189,$A77,交易明細!$J$2:$J$189,"&lt;&gt;未平倉")</f>
        <v/>
      </c>
      <c r="K77" s="5">
        <f>IFERROR(AVERAGEIFS(交易明細!$K$2:$K$189,交易明細!$B$2:$B$189,$A77,交易明細!$J$2:$J$189,"&lt;&gt;未平倉"),0)</f>
        <v/>
      </c>
      <c r="L77" s="2">
        <f>COUNTIFS(交易明細!$B$2:$B$189,$A77,交易明細!$J$2:$J$189,"未平倉")</f>
        <v/>
      </c>
    </row>
    <row r="78">
      <c r="A78" s="2" t="inlineStr">
        <is>
          <t>BABY_USDT_PERP</t>
        </is>
      </c>
      <c r="B78" s="2">
        <f>COUNTIFS(交易明細!$B$2:$B$189,$A78)</f>
        <v/>
      </c>
      <c r="C78" s="2">
        <f>COUNTIFS(交易明細!$B$2:$B$189,$A78,交易明細!$C$2:$C$189,"做多")</f>
        <v/>
      </c>
      <c r="D78" s="2">
        <f>COUNTIFS(交易明細!$B$2:$B$189,$A78,交易明細!$C$2:$C$189,"做空")</f>
        <v/>
      </c>
      <c r="E78" s="2">
        <f>F78+G78+COUNTIFS(交易明細!$B$2:$B$189,$A78,交易明細!$J$2:$J$189,"時間出場")</f>
        <v/>
      </c>
      <c r="F78" s="2">
        <f>COUNTIFS(交易明細!$B$2:$B$189,$A78,交易明細!$J$2:$J$189,"止盈")</f>
        <v/>
      </c>
      <c r="G78" s="2">
        <f>COUNTIFS(交易明細!$B$2:$B$189,$A78,交易明細!$J$2:$J$189,"止損")</f>
        <v/>
      </c>
      <c r="H78" s="4">
        <f>IFERROR(F78/E78,0)</f>
        <v/>
      </c>
      <c r="I78" s="4">
        <f>IFERROR(AVERAGEIFS(交易明細!$L$2:$L$189,交易明細!$B$2:$B$189,$A78,交易明細!$J$2:$J$189,"&lt;&gt;未平倉"),0)</f>
        <v/>
      </c>
      <c r="J78" s="4">
        <f>SUMIFS(交易明細!$L$2:$L$189,交易明細!$B$2:$B$189,$A78,交易明細!$J$2:$J$189,"&lt;&gt;未平倉")</f>
        <v/>
      </c>
      <c r="K78" s="5">
        <f>IFERROR(AVERAGEIFS(交易明細!$K$2:$K$189,交易明細!$B$2:$B$189,$A78,交易明細!$J$2:$J$189,"&lt;&gt;未平倉"),0)</f>
        <v/>
      </c>
      <c r="L78" s="2">
        <f>COUNTIFS(交易明細!$B$2:$B$189,$A78,交易明細!$J$2:$J$189,"未平倉")</f>
        <v/>
      </c>
    </row>
    <row r="79">
      <c r="A79" s="2" t="inlineStr">
        <is>
          <t>MYX_USDT_PERP</t>
        </is>
      </c>
      <c r="B79" s="2">
        <f>COUNTIFS(交易明細!$B$2:$B$189,$A79)</f>
        <v/>
      </c>
      <c r="C79" s="2">
        <f>COUNTIFS(交易明細!$B$2:$B$189,$A79,交易明細!$C$2:$C$189,"做多")</f>
        <v/>
      </c>
      <c r="D79" s="2">
        <f>COUNTIFS(交易明細!$B$2:$B$189,$A79,交易明細!$C$2:$C$189,"做空")</f>
        <v/>
      </c>
      <c r="E79" s="2">
        <f>F79+G79+COUNTIFS(交易明細!$B$2:$B$189,$A79,交易明細!$J$2:$J$189,"時間出場")</f>
        <v/>
      </c>
      <c r="F79" s="2">
        <f>COUNTIFS(交易明細!$B$2:$B$189,$A79,交易明細!$J$2:$J$189,"止盈")</f>
        <v/>
      </c>
      <c r="G79" s="2">
        <f>COUNTIFS(交易明細!$B$2:$B$189,$A79,交易明細!$J$2:$J$189,"止損")</f>
        <v/>
      </c>
      <c r="H79" s="4">
        <f>IFERROR(F79/E79,0)</f>
        <v/>
      </c>
      <c r="I79" s="4">
        <f>IFERROR(AVERAGEIFS(交易明細!$L$2:$L$189,交易明細!$B$2:$B$189,$A79,交易明細!$J$2:$J$189,"&lt;&gt;未平倉"),0)</f>
        <v/>
      </c>
      <c r="J79" s="4">
        <f>SUMIFS(交易明細!$L$2:$L$189,交易明細!$B$2:$B$189,$A79,交易明細!$J$2:$J$189,"&lt;&gt;未平倉")</f>
        <v/>
      </c>
      <c r="K79" s="5">
        <f>IFERROR(AVERAGEIFS(交易明細!$K$2:$K$189,交易明細!$B$2:$B$189,$A79,交易明細!$J$2:$J$189,"&lt;&gt;未平倉"),0)</f>
        <v/>
      </c>
      <c r="L79" s="2">
        <f>COUNTIFS(交易明細!$B$2:$B$189,$A79,交易明細!$J$2:$J$189,"未平倉")</f>
        <v/>
      </c>
    </row>
    <row r="80">
      <c r="A80" s="2" t="inlineStr">
        <is>
          <t>EVAA_USDT_PERP</t>
        </is>
      </c>
      <c r="B80" s="2">
        <f>COUNTIFS(交易明細!$B$2:$B$189,$A80)</f>
        <v/>
      </c>
      <c r="C80" s="2">
        <f>COUNTIFS(交易明細!$B$2:$B$189,$A80,交易明細!$C$2:$C$189,"做多")</f>
        <v/>
      </c>
      <c r="D80" s="2">
        <f>COUNTIFS(交易明細!$B$2:$B$189,$A80,交易明細!$C$2:$C$189,"做空")</f>
        <v/>
      </c>
      <c r="E80" s="2">
        <f>F80+G80+COUNTIFS(交易明細!$B$2:$B$189,$A80,交易明細!$J$2:$J$189,"時間出場")</f>
        <v/>
      </c>
      <c r="F80" s="2">
        <f>COUNTIFS(交易明細!$B$2:$B$189,$A80,交易明細!$J$2:$J$189,"止盈")</f>
        <v/>
      </c>
      <c r="G80" s="2">
        <f>COUNTIFS(交易明細!$B$2:$B$189,$A80,交易明細!$J$2:$J$189,"止損")</f>
        <v/>
      </c>
      <c r="H80" s="4">
        <f>IFERROR(F80/E80,0)</f>
        <v/>
      </c>
      <c r="I80" s="4">
        <f>IFERROR(AVERAGEIFS(交易明細!$L$2:$L$189,交易明細!$B$2:$B$189,$A80,交易明細!$J$2:$J$189,"&lt;&gt;未平倉"),0)</f>
        <v/>
      </c>
      <c r="J80" s="4">
        <f>SUMIFS(交易明細!$L$2:$L$189,交易明細!$B$2:$B$189,$A80,交易明細!$J$2:$J$189,"&lt;&gt;未平倉")</f>
        <v/>
      </c>
      <c r="K80" s="5">
        <f>IFERROR(AVERAGEIFS(交易明細!$K$2:$K$189,交易明細!$B$2:$B$189,$A80,交易明細!$J$2:$J$189,"&lt;&gt;未平倉"),0)</f>
        <v/>
      </c>
      <c r="L80" s="2">
        <f>COUNTIFS(交易明細!$B$2:$B$189,$A80,交易明細!$J$2:$J$189,"未平倉")</f>
        <v/>
      </c>
    </row>
    <row r="81">
      <c r="A81" s="2" t="inlineStr">
        <is>
          <t>ESP_USDT_PERP</t>
        </is>
      </c>
      <c r="B81" s="2">
        <f>COUNTIFS(交易明細!$B$2:$B$189,$A81)</f>
        <v/>
      </c>
      <c r="C81" s="2">
        <f>COUNTIFS(交易明細!$B$2:$B$189,$A81,交易明細!$C$2:$C$189,"做多")</f>
        <v/>
      </c>
      <c r="D81" s="2">
        <f>COUNTIFS(交易明細!$B$2:$B$189,$A81,交易明細!$C$2:$C$189,"做空")</f>
        <v/>
      </c>
      <c r="E81" s="2">
        <f>F81+G81+COUNTIFS(交易明細!$B$2:$B$189,$A81,交易明細!$J$2:$J$189,"時間出場")</f>
        <v/>
      </c>
      <c r="F81" s="2">
        <f>COUNTIFS(交易明細!$B$2:$B$189,$A81,交易明細!$J$2:$J$189,"止盈")</f>
        <v/>
      </c>
      <c r="G81" s="2">
        <f>COUNTIFS(交易明細!$B$2:$B$189,$A81,交易明細!$J$2:$J$189,"止損")</f>
        <v/>
      </c>
      <c r="H81" s="4">
        <f>IFERROR(F81/E81,0)</f>
        <v/>
      </c>
      <c r="I81" s="4">
        <f>IFERROR(AVERAGEIFS(交易明細!$L$2:$L$189,交易明細!$B$2:$B$189,$A81,交易明細!$J$2:$J$189,"&lt;&gt;未平倉"),0)</f>
        <v/>
      </c>
      <c r="J81" s="4">
        <f>SUMIFS(交易明細!$L$2:$L$189,交易明細!$B$2:$B$189,$A81,交易明細!$J$2:$J$189,"&lt;&gt;未平倉")</f>
        <v/>
      </c>
      <c r="K81" s="5">
        <f>IFERROR(AVERAGEIFS(交易明細!$K$2:$K$189,交易明細!$B$2:$B$189,$A81,交易明細!$J$2:$J$189,"&lt;&gt;未平倉"),0)</f>
        <v/>
      </c>
      <c r="L81" s="2">
        <f>COUNTIFS(交易明細!$B$2:$B$189,$A81,交易明細!$J$2:$J$189,"未平倉")</f>
        <v/>
      </c>
    </row>
    <row r="82">
      <c r="A82" s="2" t="inlineStr">
        <is>
          <t>BANK_USDT_PERP</t>
        </is>
      </c>
      <c r="B82" s="2">
        <f>COUNTIFS(交易明細!$B$2:$B$189,$A82)</f>
        <v/>
      </c>
      <c r="C82" s="2">
        <f>COUNTIFS(交易明細!$B$2:$B$189,$A82,交易明細!$C$2:$C$189,"做多")</f>
        <v/>
      </c>
      <c r="D82" s="2">
        <f>COUNTIFS(交易明細!$B$2:$B$189,$A82,交易明細!$C$2:$C$189,"做空")</f>
        <v/>
      </c>
      <c r="E82" s="2">
        <f>F82+G82+COUNTIFS(交易明細!$B$2:$B$189,$A82,交易明細!$J$2:$J$189,"時間出場")</f>
        <v/>
      </c>
      <c r="F82" s="2">
        <f>COUNTIFS(交易明細!$B$2:$B$189,$A82,交易明細!$J$2:$J$189,"止盈")</f>
        <v/>
      </c>
      <c r="G82" s="2">
        <f>COUNTIFS(交易明細!$B$2:$B$189,$A82,交易明細!$J$2:$J$189,"止損")</f>
        <v/>
      </c>
      <c r="H82" s="4">
        <f>IFERROR(F82/E82,0)</f>
        <v/>
      </c>
      <c r="I82" s="4">
        <f>IFERROR(AVERAGEIFS(交易明細!$L$2:$L$189,交易明細!$B$2:$B$189,$A82,交易明細!$J$2:$J$189,"&lt;&gt;未平倉"),0)</f>
        <v/>
      </c>
      <c r="J82" s="4">
        <f>SUMIFS(交易明細!$L$2:$L$189,交易明細!$B$2:$B$189,$A82,交易明細!$J$2:$J$189,"&lt;&gt;未平倉")</f>
        <v/>
      </c>
      <c r="K82" s="5">
        <f>IFERROR(AVERAGEIFS(交易明細!$K$2:$K$189,交易明細!$B$2:$B$189,$A82,交易明細!$J$2:$J$189,"&lt;&gt;未平倉"),0)</f>
        <v/>
      </c>
      <c r="L82" s="2">
        <f>COUNTIFS(交易明細!$B$2:$B$189,$A82,交易明細!$J$2:$J$189,"未平倉")</f>
        <v/>
      </c>
    </row>
    <row r="83">
      <c r="A83" s="2" t="inlineStr">
        <is>
          <t>GUN_USDT_PERP</t>
        </is>
      </c>
      <c r="B83" s="2">
        <f>COUNTIFS(交易明細!$B$2:$B$189,$A83)</f>
        <v/>
      </c>
      <c r="C83" s="2">
        <f>COUNTIFS(交易明細!$B$2:$B$189,$A83,交易明細!$C$2:$C$189,"做多")</f>
        <v/>
      </c>
      <c r="D83" s="2">
        <f>COUNTIFS(交易明細!$B$2:$B$189,$A83,交易明細!$C$2:$C$189,"做空")</f>
        <v/>
      </c>
      <c r="E83" s="2">
        <f>F83+G83+COUNTIFS(交易明細!$B$2:$B$189,$A83,交易明細!$J$2:$J$189,"時間出場")</f>
        <v/>
      </c>
      <c r="F83" s="2">
        <f>COUNTIFS(交易明細!$B$2:$B$189,$A83,交易明細!$J$2:$J$189,"止盈")</f>
        <v/>
      </c>
      <c r="G83" s="2">
        <f>COUNTIFS(交易明細!$B$2:$B$189,$A83,交易明細!$J$2:$J$189,"止損")</f>
        <v/>
      </c>
      <c r="H83" s="4">
        <f>IFERROR(F83/E83,0)</f>
        <v/>
      </c>
      <c r="I83" s="4">
        <f>IFERROR(AVERAGEIFS(交易明細!$L$2:$L$189,交易明細!$B$2:$B$189,$A83,交易明細!$J$2:$J$189,"&lt;&gt;未平倉"),0)</f>
        <v/>
      </c>
      <c r="J83" s="4">
        <f>SUMIFS(交易明細!$L$2:$L$189,交易明細!$B$2:$B$189,$A83,交易明細!$J$2:$J$189,"&lt;&gt;未平倉")</f>
        <v/>
      </c>
      <c r="K83" s="5">
        <f>IFERROR(AVERAGEIFS(交易明細!$K$2:$K$189,交易明細!$B$2:$B$189,$A83,交易明細!$J$2:$J$189,"&lt;&gt;未平倉"),0)</f>
        <v/>
      </c>
      <c r="L83" s="2">
        <f>COUNTIFS(交易明細!$B$2:$B$189,$A83,交易明細!$J$2:$J$189,"未平倉")</f>
        <v/>
      </c>
    </row>
    <row r="84">
      <c r="A84" s="2" t="inlineStr">
        <is>
          <t>KMNO_USDT_PERP</t>
        </is>
      </c>
      <c r="B84" s="2">
        <f>COUNTIFS(交易明細!$B$2:$B$189,$A84)</f>
        <v/>
      </c>
      <c r="C84" s="2">
        <f>COUNTIFS(交易明細!$B$2:$B$189,$A84,交易明細!$C$2:$C$189,"做多")</f>
        <v/>
      </c>
      <c r="D84" s="2">
        <f>COUNTIFS(交易明細!$B$2:$B$189,$A84,交易明細!$C$2:$C$189,"做空")</f>
        <v/>
      </c>
      <c r="E84" s="2">
        <f>F84+G84+COUNTIFS(交易明細!$B$2:$B$189,$A84,交易明細!$J$2:$J$189,"時間出場")</f>
        <v/>
      </c>
      <c r="F84" s="2">
        <f>COUNTIFS(交易明細!$B$2:$B$189,$A84,交易明細!$J$2:$J$189,"止盈")</f>
        <v/>
      </c>
      <c r="G84" s="2">
        <f>COUNTIFS(交易明細!$B$2:$B$189,$A84,交易明細!$J$2:$J$189,"止損")</f>
        <v/>
      </c>
      <c r="H84" s="4">
        <f>IFERROR(F84/E84,0)</f>
        <v/>
      </c>
      <c r="I84" s="4">
        <f>IFERROR(AVERAGEIFS(交易明細!$L$2:$L$189,交易明細!$B$2:$B$189,$A84,交易明細!$J$2:$J$189,"&lt;&gt;未平倉"),0)</f>
        <v/>
      </c>
      <c r="J84" s="4">
        <f>SUMIFS(交易明細!$L$2:$L$189,交易明細!$B$2:$B$189,$A84,交易明細!$J$2:$J$189,"&lt;&gt;未平倉")</f>
        <v/>
      </c>
      <c r="K84" s="5">
        <f>IFERROR(AVERAGEIFS(交易明細!$K$2:$K$189,交易明細!$B$2:$B$189,$A84,交易明細!$J$2:$J$189,"&lt;&gt;未平倉"),0)</f>
        <v/>
      </c>
      <c r="L84" s="2">
        <f>COUNTIFS(交易明細!$B$2:$B$189,$A84,交易明細!$J$2:$J$189,"未平倉")</f>
        <v/>
      </c>
    </row>
    <row r="85">
      <c r="A85" s="2" t="inlineStr">
        <is>
          <t>NIL_USDT_PERP</t>
        </is>
      </c>
      <c r="B85" s="2">
        <f>COUNTIFS(交易明細!$B$2:$B$189,$A85)</f>
        <v/>
      </c>
      <c r="C85" s="2">
        <f>COUNTIFS(交易明細!$B$2:$B$189,$A85,交易明細!$C$2:$C$189,"做多")</f>
        <v/>
      </c>
      <c r="D85" s="2">
        <f>COUNTIFS(交易明細!$B$2:$B$189,$A85,交易明細!$C$2:$C$189,"做空")</f>
        <v/>
      </c>
      <c r="E85" s="2">
        <f>F85+G85+COUNTIFS(交易明細!$B$2:$B$189,$A85,交易明細!$J$2:$J$189,"時間出場")</f>
        <v/>
      </c>
      <c r="F85" s="2">
        <f>COUNTIFS(交易明細!$B$2:$B$189,$A85,交易明細!$J$2:$J$189,"止盈")</f>
        <v/>
      </c>
      <c r="G85" s="2">
        <f>COUNTIFS(交易明細!$B$2:$B$189,$A85,交易明細!$J$2:$J$189,"止損")</f>
        <v/>
      </c>
      <c r="H85" s="4">
        <f>IFERROR(F85/E85,0)</f>
        <v/>
      </c>
      <c r="I85" s="4">
        <f>IFERROR(AVERAGEIFS(交易明細!$L$2:$L$189,交易明細!$B$2:$B$189,$A85,交易明細!$J$2:$J$189,"&lt;&gt;未平倉"),0)</f>
        <v/>
      </c>
      <c r="J85" s="4">
        <f>SUMIFS(交易明細!$L$2:$L$189,交易明細!$B$2:$B$189,$A85,交易明細!$J$2:$J$189,"&lt;&gt;未平倉")</f>
        <v/>
      </c>
      <c r="K85" s="5">
        <f>IFERROR(AVERAGEIFS(交易明細!$K$2:$K$189,交易明細!$B$2:$B$189,$A85,交易明細!$J$2:$J$189,"&lt;&gt;未平倉"),0)</f>
        <v/>
      </c>
      <c r="L85" s="2">
        <f>COUNTIFS(交易明細!$B$2:$B$189,$A85,交易明細!$J$2:$J$189,"未平倉")</f>
        <v/>
      </c>
    </row>
    <row r="86">
      <c r="A86" s="2" t="inlineStr">
        <is>
          <t>ZETA_USDT_PERP</t>
        </is>
      </c>
      <c r="B86" s="2">
        <f>COUNTIFS(交易明細!$B$2:$B$189,$A86)</f>
        <v/>
      </c>
      <c r="C86" s="2">
        <f>COUNTIFS(交易明細!$B$2:$B$189,$A86,交易明細!$C$2:$C$189,"做多")</f>
        <v/>
      </c>
      <c r="D86" s="2">
        <f>COUNTIFS(交易明細!$B$2:$B$189,$A86,交易明細!$C$2:$C$189,"做空")</f>
        <v/>
      </c>
      <c r="E86" s="2">
        <f>F86+G86+COUNTIFS(交易明細!$B$2:$B$189,$A86,交易明細!$J$2:$J$189,"時間出場")</f>
        <v/>
      </c>
      <c r="F86" s="2">
        <f>COUNTIFS(交易明細!$B$2:$B$189,$A86,交易明細!$J$2:$J$189,"止盈")</f>
        <v/>
      </c>
      <c r="G86" s="2">
        <f>COUNTIFS(交易明細!$B$2:$B$189,$A86,交易明細!$J$2:$J$189,"止損")</f>
        <v/>
      </c>
      <c r="H86" s="4">
        <f>IFERROR(F86/E86,0)</f>
        <v/>
      </c>
      <c r="I86" s="4">
        <f>IFERROR(AVERAGEIFS(交易明細!$L$2:$L$189,交易明細!$B$2:$B$189,$A86,交易明細!$J$2:$J$189,"&lt;&gt;未平倉"),0)</f>
        <v/>
      </c>
      <c r="J86" s="4">
        <f>SUMIFS(交易明細!$L$2:$L$189,交易明細!$B$2:$B$189,$A86,交易明細!$J$2:$J$189,"&lt;&gt;未平倉")</f>
        <v/>
      </c>
      <c r="K86" s="5">
        <f>IFERROR(AVERAGEIFS(交易明細!$K$2:$K$189,交易明細!$B$2:$B$189,$A86,交易明細!$J$2:$J$189,"&lt;&gt;未平倉"),0)</f>
        <v/>
      </c>
      <c r="L86" s="2">
        <f>COUNTIFS(交易明細!$B$2:$B$189,$A86,交易明細!$J$2:$J$189,"未平倉")</f>
        <v/>
      </c>
    </row>
    <row r="87">
      <c r="A87" s="2" t="inlineStr">
        <is>
          <t>PROVE_USDT_PERP</t>
        </is>
      </c>
      <c r="B87" s="2">
        <f>COUNTIFS(交易明細!$B$2:$B$189,$A87)</f>
        <v/>
      </c>
      <c r="C87" s="2">
        <f>COUNTIFS(交易明細!$B$2:$B$189,$A87,交易明細!$C$2:$C$189,"做多")</f>
        <v/>
      </c>
      <c r="D87" s="2">
        <f>COUNTIFS(交易明細!$B$2:$B$189,$A87,交易明細!$C$2:$C$189,"做空")</f>
        <v/>
      </c>
      <c r="E87" s="2">
        <f>F87+G87+COUNTIFS(交易明細!$B$2:$B$189,$A87,交易明細!$J$2:$J$189,"時間出場")</f>
        <v/>
      </c>
      <c r="F87" s="2">
        <f>COUNTIFS(交易明細!$B$2:$B$189,$A87,交易明細!$J$2:$J$189,"止盈")</f>
        <v/>
      </c>
      <c r="G87" s="2">
        <f>COUNTIFS(交易明細!$B$2:$B$189,$A87,交易明細!$J$2:$J$189,"止損")</f>
        <v/>
      </c>
      <c r="H87" s="4">
        <f>IFERROR(F87/E87,0)</f>
        <v/>
      </c>
      <c r="I87" s="4">
        <f>IFERROR(AVERAGEIFS(交易明細!$L$2:$L$189,交易明細!$B$2:$B$189,$A87,交易明細!$J$2:$J$189,"&lt;&gt;未平倉"),0)</f>
        <v/>
      </c>
      <c r="J87" s="4">
        <f>SUMIFS(交易明細!$L$2:$L$189,交易明細!$B$2:$B$189,$A87,交易明細!$J$2:$J$189,"&lt;&gt;未平倉")</f>
        <v/>
      </c>
      <c r="K87" s="5">
        <f>IFERROR(AVERAGEIFS(交易明細!$K$2:$K$189,交易明細!$B$2:$B$189,$A87,交易明細!$J$2:$J$189,"&lt;&gt;未平倉"),0)</f>
        <v/>
      </c>
      <c r="L87" s="2">
        <f>COUNTIFS(交易明細!$B$2:$B$189,$A87,交易明細!$J$2:$J$189,"未平倉")</f>
        <v/>
      </c>
    </row>
    <row r="88">
      <c r="A88" s="2" t="inlineStr">
        <is>
          <t>SKR_USDT_PERP</t>
        </is>
      </c>
      <c r="B88" s="2">
        <f>COUNTIFS(交易明細!$B$2:$B$189,$A88)</f>
        <v/>
      </c>
      <c r="C88" s="2">
        <f>COUNTIFS(交易明細!$B$2:$B$189,$A88,交易明細!$C$2:$C$189,"做多")</f>
        <v/>
      </c>
      <c r="D88" s="2">
        <f>COUNTIFS(交易明細!$B$2:$B$189,$A88,交易明細!$C$2:$C$189,"做空")</f>
        <v/>
      </c>
      <c r="E88" s="2">
        <f>F88+G88+COUNTIFS(交易明細!$B$2:$B$189,$A88,交易明細!$J$2:$J$189,"時間出場")</f>
        <v/>
      </c>
      <c r="F88" s="2">
        <f>COUNTIFS(交易明細!$B$2:$B$189,$A88,交易明細!$J$2:$J$189,"止盈")</f>
        <v/>
      </c>
      <c r="G88" s="2">
        <f>COUNTIFS(交易明細!$B$2:$B$189,$A88,交易明細!$J$2:$J$189,"止損")</f>
        <v/>
      </c>
      <c r="H88" s="4">
        <f>IFERROR(F88/E88,0)</f>
        <v/>
      </c>
      <c r="I88" s="4">
        <f>IFERROR(AVERAGEIFS(交易明細!$L$2:$L$189,交易明細!$B$2:$B$189,$A88,交易明細!$J$2:$J$189,"&lt;&gt;未平倉"),0)</f>
        <v/>
      </c>
      <c r="J88" s="4">
        <f>SUMIFS(交易明細!$L$2:$L$189,交易明細!$B$2:$B$189,$A88,交易明細!$J$2:$J$189,"&lt;&gt;未平倉")</f>
        <v/>
      </c>
      <c r="K88" s="5">
        <f>IFERROR(AVERAGEIFS(交易明細!$K$2:$K$189,交易明細!$B$2:$B$189,$A88,交易明細!$J$2:$J$189,"&lt;&gt;未平倉"),0)</f>
        <v/>
      </c>
      <c r="L88" s="2">
        <f>COUNTIFS(交易明細!$B$2:$B$189,$A88,交易明細!$J$2:$J$189,"未平倉")</f>
        <v/>
      </c>
    </row>
    <row r="89">
      <c r="A89" s="2" t="inlineStr">
        <is>
          <t>GRASS_USDT_PERP</t>
        </is>
      </c>
      <c r="B89" s="2">
        <f>COUNTIFS(交易明細!$B$2:$B$189,$A89)</f>
        <v/>
      </c>
      <c r="C89" s="2">
        <f>COUNTIFS(交易明細!$B$2:$B$189,$A89,交易明細!$C$2:$C$189,"做多")</f>
        <v/>
      </c>
      <c r="D89" s="2">
        <f>COUNTIFS(交易明細!$B$2:$B$189,$A89,交易明細!$C$2:$C$189,"做空")</f>
        <v/>
      </c>
      <c r="E89" s="2">
        <f>F89+G89+COUNTIFS(交易明細!$B$2:$B$189,$A89,交易明細!$J$2:$J$189,"時間出場")</f>
        <v/>
      </c>
      <c r="F89" s="2">
        <f>COUNTIFS(交易明細!$B$2:$B$189,$A89,交易明細!$J$2:$J$189,"止盈")</f>
        <v/>
      </c>
      <c r="G89" s="2">
        <f>COUNTIFS(交易明細!$B$2:$B$189,$A89,交易明細!$J$2:$J$189,"止損")</f>
        <v/>
      </c>
      <c r="H89" s="4">
        <f>IFERROR(F89/E89,0)</f>
        <v/>
      </c>
      <c r="I89" s="4">
        <f>IFERROR(AVERAGEIFS(交易明細!$L$2:$L$189,交易明細!$B$2:$B$189,$A89,交易明細!$J$2:$J$189,"&lt;&gt;未平倉"),0)</f>
        <v/>
      </c>
      <c r="J89" s="4">
        <f>SUMIFS(交易明細!$L$2:$L$189,交易明細!$B$2:$B$189,$A89,交易明細!$J$2:$J$189,"&lt;&gt;未平倉")</f>
        <v/>
      </c>
      <c r="K89" s="5">
        <f>IFERROR(AVERAGEIFS(交易明細!$K$2:$K$189,交易明細!$B$2:$B$189,$A89,交易明細!$J$2:$J$189,"&lt;&gt;未平倉"),0)</f>
        <v/>
      </c>
      <c r="L89" s="2">
        <f>COUNTIFS(交易明細!$B$2:$B$189,$A89,交易明細!$J$2:$J$189,"未平倉")</f>
        <v/>
      </c>
    </row>
    <row r="90">
      <c r="A90" s="2" t="inlineStr">
        <is>
          <t>SXT_USDT_PERP</t>
        </is>
      </c>
      <c r="B90" s="2">
        <f>COUNTIFS(交易明細!$B$2:$B$189,$A90)</f>
        <v/>
      </c>
      <c r="C90" s="2">
        <f>COUNTIFS(交易明細!$B$2:$B$189,$A90,交易明細!$C$2:$C$189,"做多")</f>
        <v/>
      </c>
      <c r="D90" s="2">
        <f>COUNTIFS(交易明細!$B$2:$B$189,$A90,交易明細!$C$2:$C$189,"做空")</f>
        <v/>
      </c>
      <c r="E90" s="2">
        <f>F90+G90+COUNTIFS(交易明細!$B$2:$B$189,$A90,交易明細!$J$2:$J$189,"時間出場")</f>
        <v/>
      </c>
      <c r="F90" s="2">
        <f>COUNTIFS(交易明細!$B$2:$B$189,$A90,交易明細!$J$2:$J$189,"止盈")</f>
        <v/>
      </c>
      <c r="G90" s="2">
        <f>COUNTIFS(交易明細!$B$2:$B$189,$A90,交易明細!$J$2:$J$189,"止損")</f>
        <v/>
      </c>
      <c r="H90" s="4">
        <f>IFERROR(F90/E90,0)</f>
        <v/>
      </c>
      <c r="I90" s="4">
        <f>IFERROR(AVERAGEIFS(交易明細!$L$2:$L$189,交易明細!$B$2:$B$189,$A90,交易明細!$J$2:$J$189,"&lt;&gt;未平倉"),0)</f>
        <v/>
      </c>
      <c r="J90" s="4">
        <f>SUMIFS(交易明細!$L$2:$L$189,交易明細!$B$2:$B$189,$A90,交易明細!$J$2:$J$189,"&lt;&gt;未平倉")</f>
        <v/>
      </c>
      <c r="K90" s="5">
        <f>IFERROR(AVERAGEIFS(交易明細!$K$2:$K$189,交易明細!$B$2:$B$189,$A90,交易明細!$J$2:$J$189,"&lt;&gt;未平倉"),0)</f>
        <v/>
      </c>
      <c r="L90" s="2">
        <f>COUNTIFS(交易明細!$B$2:$B$189,$A90,交易明細!$J$2:$J$189,"未平倉")</f>
        <v/>
      </c>
    </row>
    <row r="91">
      <c r="A91" s="2" t="inlineStr">
        <is>
          <t>BSV_USDT_PERP</t>
        </is>
      </c>
      <c r="B91" s="2">
        <f>COUNTIFS(交易明細!$B$2:$B$189,$A91)</f>
        <v/>
      </c>
      <c r="C91" s="2">
        <f>COUNTIFS(交易明細!$B$2:$B$189,$A91,交易明細!$C$2:$C$189,"做多")</f>
        <v/>
      </c>
      <c r="D91" s="2">
        <f>COUNTIFS(交易明細!$B$2:$B$189,$A91,交易明細!$C$2:$C$189,"做空")</f>
        <v/>
      </c>
      <c r="E91" s="2">
        <f>F91+G91+COUNTIFS(交易明細!$B$2:$B$189,$A91,交易明細!$J$2:$J$189,"時間出場")</f>
        <v/>
      </c>
      <c r="F91" s="2">
        <f>COUNTIFS(交易明細!$B$2:$B$189,$A91,交易明細!$J$2:$J$189,"止盈")</f>
        <v/>
      </c>
      <c r="G91" s="2">
        <f>COUNTIFS(交易明細!$B$2:$B$189,$A91,交易明細!$J$2:$J$189,"止損")</f>
        <v/>
      </c>
      <c r="H91" s="4">
        <f>IFERROR(F91/E91,0)</f>
        <v/>
      </c>
      <c r="I91" s="4">
        <f>IFERROR(AVERAGEIFS(交易明細!$L$2:$L$189,交易明細!$B$2:$B$189,$A91,交易明細!$J$2:$J$189,"&lt;&gt;未平倉"),0)</f>
        <v/>
      </c>
      <c r="J91" s="4">
        <f>SUMIFS(交易明細!$L$2:$L$189,交易明細!$B$2:$B$189,$A91,交易明細!$J$2:$J$189,"&lt;&gt;未平倉")</f>
        <v/>
      </c>
      <c r="K91" s="5">
        <f>IFERROR(AVERAGEIFS(交易明細!$K$2:$K$189,交易明細!$B$2:$B$189,$A91,交易明細!$J$2:$J$189,"&lt;&gt;未平倉"),0)</f>
        <v/>
      </c>
      <c r="L91" s="2">
        <f>COUNTIFS(交易明細!$B$2:$B$189,$A91,交易明細!$J$2:$J$189,"未平倉")</f>
        <v/>
      </c>
    </row>
    <row r="92">
      <c r="A92" s="2" t="inlineStr">
        <is>
          <t>TAKE_USDT_PERP</t>
        </is>
      </c>
      <c r="B92" s="2">
        <f>COUNTIFS(交易明細!$B$2:$B$189,$A92)</f>
        <v/>
      </c>
      <c r="C92" s="2">
        <f>COUNTIFS(交易明細!$B$2:$B$189,$A92,交易明細!$C$2:$C$189,"做多")</f>
        <v/>
      </c>
      <c r="D92" s="2">
        <f>COUNTIFS(交易明細!$B$2:$B$189,$A92,交易明細!$C$2:$C$189,"做空")</f>
        <v/>
      </c>
      <c r="E92" s="2">
        <f>F92+G92+COUNTIFS(交易明細!$B$2:$B$189,$A92,交易明細!$J$2:$J$189,"時間出場")</f>
        <v/>
      </c>
      <c r="F92" s="2">
        <f>COUNTIFS(交易明細!$B$2:$B$189,$A92,交易明細!$J$2:$J$189,"止盈")</f>
        <v/>
      </c>
      <c r="G92" s="2">
        <f>COUNTIFS(交易明細!$B$2:$B$189,$A92,交易明細!$J$2:$J$189,"止損")</f>
        <v/>
      </c>
      <c r="H92" s="4">
        <f>IFERROR(F92/E92,0)</f>
        <v/>
      </c>
      <c r="I92" s="4">
        <f>IFERROR(AVERAGEIFS(交易明細!$L$2:$L$189,交易明細!$B$2:$B$189,$A92,交易明細!$J$2:$J$189,"&lt;&gt;未平倉"),0)</f>
        <v/>
      </c>
      <c r="J92" s="4">
        <f>SUMIFS(交易明細!$L$2:$L$189,交易明細!$B$2:$B$189,$A92,交易明細!$J$2:$J$189,"&lt;&gt;未平倉")</f>
        <v/>
      </c>
      <c r="K92" s="5">
        <f>IFERROR(AVERAGEIFS(交易明細!$K$2:$K$189,交易明細!$B$2:$B$189,$A92,交易明細!$J$2:$J$189,"&lt;&gt;未平倉"),0)</f>
        <v/>
      </c>
      <c r="L92" s="2">
        <f>COUNTIFS(交易明細!$B$2:$B$189,$A92,交易明細!$J$2:$J$189,"未平倉")</f>
        <v/>
      </c>
    </row>
    <row r="93">
      <c r="A93" s="2" t="inlineStr">
        <is>
          <t>XNY_USDT_PERP</t>
        </is>
      </c>
      <c r="B93" s="2">
        <f>COUNTIFS(交易明細!$B$2:$B$189,$A93)</f>
        <v/>
      </c>
      <c r="C93" s="2">
        <f>COUNTIFS(交易明細!$B$2:$B$189,$A93,交易明細!$C$2:$C$189,"做多")</f>
        <v/>
      </c>
      <c r="D93" s="2">
        <f>COUNTIFS(交易明細!$B$2:$B$189,$A93,交易明細!$C$2:$C$189,"做空")</f>
        <v/>
      </c>
      <c r="E93" s="2">
        <f>F93+G93+COUNTIFS(交易明細!$B$2:$B$189,$A93,交易明細!$J$2:$J$189,"時間出場")</f>
        <v/>
      </c>
      <c r="F93" s="2">
        <f>COUNTIFS(交易明細!$B$2:$B$189,$A93,交易明細!$J$2:$J$189,"止盈")</f>
        <v/>
      </c>
      <c r="G93" s="2">
        <f>COUNTIFS(交易明細!$B$2:$B$189,$A93,交易明細!$J$2:$J$189,"止損")</f>
        <v/>
      </c>
      <c r="H93" s="4">
        <f>IFERROR(F93/E93,0)</f>
        <v/>
      </c>
      <c r="I93" s="4">
        <f>IFERROR(AVERAGEIFS(交易明細!$L$2:$L$189,交易明細!$B$2:$B$189,$A93,交易明細!$J$2:$J$189,"&lt;&gt;未平倉"),0)</f>
        <v/>
      </c>
      <c r="J93" s="4">
        <f>SUMIFS(交易明細!$L$2:$L$189,交易明細!$B$2:$B$189,$A93,交易明細!$J$2:$J$189,"&lt;&gt;未平倉")</f>
        <v/>
      </c>
      <c r="K93" s="5">
        <f>IFERROR(AVERAGEIFS(交易明細!$K$2:$K$189,交易明細!$B$2:$B$189,$A93,交易明細!$J$2:$J$189,"&lt;&gt;未平倉"),0)</f>
        <v/>
      </c>
      <c r="L93" s="2">
        <f>COUNTIFS(交易明細!$B$2:$B$189,$A93,交易明細!$J$2:$J$189,"未平倉")</f>
        <v/>
      </c>
    </row>
    <row r="94">
      <c r="A94" s="2" t="inlineStr">
        <is>
          <t>TUT_USDT_PERP</t>
        </is>
      </c>
      <c r="B94" s="2">
        <f>COUNTIFS(交易明細!$B$2:$B$189,$A94)</f>
        <v/>
      </c>
      <c r="C94" s="2">
        <f>COUNTIFS(交易明細!$B$2:$B$189,$A94,交易明細!$C$2:$C$189,"做多")</f>
        <v/>
      </c>
      <c r="D94" s="2">
        <f>COUNTIFS(交易明細!$B$2:$B$189,$A94,交易明細!$C$2:$C$189,"做空")</f>
        <v/>
      </c>
      <c r="E94" s="2">
        <f>F94+G94+COUNTIFS(交易明細!$B$2:$B$189,$A94,交易明細!$J$2:$J$189,"時間出場")</f>
        <v/>
      </c>
      <c r="F94" s="2">
        <f>COUNTIFS(交易明細!$B$2:$B$189,$A94,交易明細!$J$2:$J$189,"止盈")</f>
        <v/>
      </c>
      <c r="G94" s="2">
        <f>COUNTIFS(交易明細!$B$2:$B$189,$A94,交易明細!$J$2:$J$189,"止損")</f>
        <v/>
      </c>
      <c r="H94" s="4">
        <f>IFERROR(F94/E94,0)</f>
        <v/>
      </c>
      <c r="I94" s="4">
        <f>IFERROR(AVERAGEIFS(交易明細!$L$2:$L$189,交易明細!$B$2:$B$189,$A94,交易明細!$J$2:$J$189,"&lt;&gt;未平倉"),0)</f>
        <v/>
      </c>
      <c r="J94" s="4">
        <f>SUMIFS(交易明細!$L$2:$L$189,交易明細!$B$2:$B$189,$A94,交易明細!$J$2:$J$189,"&lt;&gt;未平倉")</f>
        <v/>
      </c>
      <c r="K94" s="5">
        <f>IFERROR(AVERAGEIFS(交易明細!$K$2:$K$189,交易明細!$B$2:$B$189,$A94,交易明細!$J$2:$J$189,"&lt;&gt;未平倉"),0)</f>
        <v/>
      </c>
      <c r="L94" s="2">
        <f>COUNTIFS(交易明細!$B$2:$B$189,$A94,交易明細!$J$2:$J$189,"未平倉")</f>
        <v/>
      </c>
    </row>
    <row r="95">
      <c r="A95" s="2" t="inlineStr">
        <is>
          <t>BROCCOLI_USDT_PERP</t>
        </is>
      </c>
      <c r="B95" s="2">
        <f>COUNTIFS(交易明細!$B$2:$B$189,$A95)</f>
        <v/>
      </c>
      <c r="C95" s="2">
        <f>COUNTIFS(交易明細!$B$2:$B$189,$A95,交易明細!$C$2:$C$189,"做多")</f>
        <v/>
      </c>
      <c r="D95" s="2">
        <f>COUNTIFS(交易明細!$B$2:$B$189,$A95,交易明細!$C$2:$C$189,"做空")</f>
        <v/>
      </c>
      <c r="E95" s="2">
        <f>F95+G95+COUNTIFS(交易明細!$B$2:$B$189,$A95,交易明細!$J$2:$J$189,"時間出場")</f>
        <v/>
      </c>
      <c r="F95" s="2">
        <f>COUNTIFS(交易明細!$B$2:$B$189,$A95,交易明細!$J$2:$J$189,"止盈")</f>
        <v/>
      </c>
      <c r="G95" s="2">
        <f>COUNTIFS(交易明細!$B$2:$B$189,$A95,交易明細!$J$2:$J$189,"止損")</f>
        <v/>
      </c>
      <c r="H95" s="4">
        <f>IFERROR(F95/E95,0)</f>
        <v/>
      </c>
      <c r="I95" s="4">
        <f>IFERROR(AVERAGEIFS(交易明細!$L$2:$L$189,交易明細!$B$2:$B$189,$A95,交易明細!$J$2:$J$189,"&lt;&gt;未平倉"),0)</f>
        <v/>
      </c>
      <c r="J95" s="4">
        <f>SUMIFS(交易明細!$L$2:$L$189,交易明細!$B$2:$B$189,$A95,交易明細!$J$2:$J$189,"&lt;&gt;未平倉")</f>
        <v/>
      </c>
      <c r="K95" s="5">
        <f>IFERROR(AVERAGEIFS(交易明細!$K$2:$K$189,交易明細!$B$2:$B$189,$A95,交易明細!$J$2:$J$189,"&lt;&gt;未平倉"),0)</f>
        <v/>
      </c>
      <c r="L95" s="2">
        <f>COUNTIFS(交易明細!$B$2:$B$189,$A95,交易明細!$J$2:$J$189,"未平倉")</f>
        <v/>
      </c>
    </row>
    <row r="96">
      <c r="A96" s="2" t="inlineStr">
        <is>
          <t>BULLA_USDT_PERP</t>
        </is>
      </c>
      <c r="B96" s="2">
        <f>COUNTIFS(交易明細!$B$2:$B$189,$A96)</f>
        <v/>
      </c>
      <c r="C96" s="2">
        <f>COUNTIFS(交易明細!$B$2:$B$189,$A96,交易明細!$C$2:$C$189,"做多")</f>
        <v/>
      </c>
      <c r="D96" s="2">
        <f>COUNTIFS(交易明細!$B$2:$B$189,$A96,交易明細!$C$2:$C$189,"做空")</f>
        <v/>
      </c>
      <c r="E96" s="2">
        <f>F96+G96+COUNTIFS(交易明細!$B$2:$B$189,$A96,交易明細!$J$2:$J$189,"時間出場")</f>
        <v/>
      </c>
      <c r="F96" s="2">
        <f>COUNTIFS(交易明細!$B$2:$B$189,$A96,交易明細!$J$2:$J$189,"止盈")</f>
        <v/>
      </c>
      <c r="G96" s="2">
        <f>COUNTIFS(交易明細!$B$2:$B$189,$A96,交易明細!$J$2:$J$189,"止損")</f>
        <v/>
      </c>
      <c r="H96" s="4">
        <f>IFERROR(F96/E96,0)</f>
        <v/>
      </c>
      <c r="I96" s="4">
        <f>IFERROR(AVERAGEIFS(交易明細!$L$2:$L$189,交易明細!$B$2:$B$189,$A96,交易明細!$J$2:$J$189,"&lt;&gt;未平倉"),0)</f>
        <v/>
      </c>
      <c r="J96" s="4">
        <f>SUMIFS(交易明細!$L$2:$L$189,交易明細!$B$2:$B$189,$A96,交易明細!$J$2:$J$189,"&lt;&gt;未平倉")</f>
        <v/>
      </c>
      <c r="K96" s="5">
        <f>IFERROR(AVERAGEIFS(交易明細!$K$2:$K$189,交易明細!$B$2:$B$189,$A96,交易明細!$J$2:$J$189,"&lt;&gt;未平倉"),0)</f>
        <v/>
      </c>
      <c r="L96" s="2">
        <f>COUNTIFS(交易明細!$B$2:$B$189,$A96,交易明細!$J$2:$J$189,"未平倉")</f>
        <v/>
      </c>
    </row>
    <row r="97">
      <c r="A97" s="2" t="inlineStr">
        <is>
          <t>XAI_USDT_PERP</t>
        </is>
      </c>
      <c r="B97" s="2">
        <f>COUNTIFS(交易明細!$B$2:$B$189,$A97)</f>
        <v/>
      </c>
      <c r="C97" s="2">
        <f>COUNTIFS(交易明細!$B$2:$B$189,$A97,交易明細!$C$2:$C$189,"做多")</f>
        <v/>
      </c>
      <c r="D97" s="2">
        <f>COUNTIFS(交易明細!$B$2:$B$189,$A97,交易明細!$C$2:$C$189,"做空")</f>
        <v/>
      </c>
      <c r="E97" s="2">
        <f>F97+G97+COUNTIFS(交易明細!$B$2:$B$189,$A97,交易明細!$J$2:$J$189,"時間出場")</f>
        <v/>
      </c>
      <c r="F97" s="2">
        <f>COUNTIFS(交易明細!$B$2:$B$189,$A97,交易明細!$J$2:$J$189,"止盈")</f>
        <v/>
      </c>
      <c r="G97" s="2">
        <f>COUNTIFS(交易明細!$B$2:$B$189,$A97,交易明細!$J$2:$J$189,"止損")</f>
        <v/>
      </c>
      <c r="H97" s="4">
        <f>IFERROR(F97/E97,0)</f>
        <v/>
      </c>
      <c r="I97" s="4">
        <f>IFERROR(AVERAGEIFS(交易明細!$L$2:$L$189,交易明細!$B$2:$B$189,$A97,交易明細!$J$2:$J$189,"&lt;&gt;未平倉"),0)</f>
        <v/>
      </c>
      <c r="J97" s="4">
        <f>SUMIFS(交易明細!$L$2:$L$189,交易明細!$B$2:$B$189,$A97,交易明細!$J$2:$J$189,"&lt;&gt;未平倉")</f>
        <v/>
      </c>
      <c r="K97" s="5">
        <f>IFERROR(AVERAGEIFS(交易明細!$K$2:$K$189,交易明細!$B$2:$B$189,$A97,交易明細!$J$2:$J$189,"&lt;&gt;未平倉"),0)</f>
        <v/>
      </c>
      <c r="L97" s="2">
        <f>COUNTIFS(交易明細!$B$2:$B$189,$A97,交易明細!$J$2:$J$189,"未平倉")</f>
        <v/>
      </c>
    </row>
    <row r="98">
      <c r="A98" s="2" t="inlineStr">
        <is>
          <t>2Z_USDT_PERP</t>
        </is>
      </c>
      <c r="B98" s="2">
        <f>COUNTIFS(交易明細!$B$2:$B$189,$A98)</f>
        <v/>
      </c>
      <c r="C98" s="2">
        <f>COUNTIFS(交易明細!$B$2:$B$189,$A98,交易明細!$C$2:$C$189,"做多")</f>
        <v/>
      </c>
      <c r="D98" s="2">
        <f>COUNTIFS(交易明細!$B$2:$B$189,$A98,交易明細!$C$2:$C$189,"做空")</f>
        <v/>
      </c>
      <c r="E98" s="2">
        <f>F98+G98+COUNTIFS(交易明細!$B$2:$B$189,$A98,交易明細!$J$2:$J$189,"時間出場")</f>
        <v/>
      </c>
      <c r="F98" s="2">
        <f>COUNTIFS(交易明細!$B$2:$B$189,$A98,交易明細!$J$2:$J$189,"止盈")</f>
        <v/>
      </c>
      <c r="G98" s="2">
        <f>COUNTIFS(交易明細!$B$2:$B$189,$A98,交易明細!$J$2:$J$189,"止損")</f>
        <v/>
      </c>
      <c r="H98" s="4">
        <f>IFERROR(F98/E98,0)</f>
        <v/>
      </c>
      <c r="I98" s="4">
        <f>IFERROR(AVERAGEIFS(交易明細!$L$2:$L$189,交易明細!$B$2:$B$189,$A98,交易明細!$J$2:$J$189,"&lt;&gt;未平倉"),0)</f>
        <v/>
      </c>
      <c r="J98" s="4">
        <f>SUMIFS(交易明細!$L$2:$L$189,交易明細!$B$2:$B$189,$A98,交易明細!$J$2:$J$189,"&lt;&gt;未平倉")</f>
        <v/>
      </c>
      <c r="K98" s="5">
        <f>IFERROR(AVERAGEIFS(交易明細!$K$2:$K$189,交易明細!$B$2:$B$189,$A98,交易明細!$J$2:$J$189,"&lt;&gt;未平倉"),0)</f>
        <v/>
      </c>
      <c r="L98" s="2">
        <f>COUNTIFS(交易明細!$B$2:$B$189,$A98,交易明細!$J$2:$J$189,"未平倉")</f>
        <v/>
      </c>
    </row>
    <row r="99">
      <c r="A99" s="2" t="inlineStr">
        <is>
          <t>CLANKER_USDT_PERP</t>
        </is>
      </c>
      <c r="B99" s="2">
        <f>COUNTIFS(交易明細!$B$2:$B$189,$A99)</f>
        <v/>
      </c>
      <c r="C99" s="2">
        <f>COUNTIFS(交易明細!$B$2:$B$189,$A99,交易明細!$C$2:$C$189,"做多")</f>
        <v/>
      </c>
      <c r="D99" s="2">
        <f>COUNTIFS(交易明細!$B$2:$B$189,$A99,交易明細!$C$2:$C$189,"做空")</f>
        <v/>
      </c>
      <c r="E99" s="2">
        <f>F99+G99+COUNTIFS(交易明細!$B$2:$B$189,$A99,交易明細!$J$2:$J$189,"時間出場")</f>
        <v/>
      </c>
      <c r="F99" s="2">
        <f>COUNTIFS(交易明細!$B$2:$B$189,$A99,交易明細!$J$2:$J$189,"止盈")</f>
        <v/>
      </c>
      <c r="G99" s="2">
        <f>COUNTIFS(交易明細!$B$2:$B$189,$A99,交易明細!$J$2:$J$189,"止損")</f>
        <v/>
      </c>
      <c r="H99" s="4">
        <f>IFERROR(F99/E99,0)</f>
        <v/>
      </c>
      <c r="I99" s="4">
        <f>IFERROR(AVERAGEIFS(交易明細!$L$2:$L$189,交易明細!$B$2:$B$189,$A99,交易明細!$J$2:$J$189,"&lt;&gt;未平倉"),0)</f>
        <v/>
      </c>
      <c r="J99" s="4">
        <f>SUMIFS(交易明細!$L$2:$L$189,交易明細!$B$2:$B$189,$A99,交易明細!$J$2:$J$189,"&lt;&gt;未平倉")</f>
        <v/>
      </c>
      <c r="K99" s="5">
        <f>IFERROR(AVERAGEIFS(交易明細!$K$2:$K$189,交易明細!$B$2:$B$189,$A99,交易明細!$J$2:$J$189,"&lt;&gt;未平倉"),0)</f>
        <v/>
      </c>
      <c r="L99" s="2">
        <f>COUNTIFS(交易明細!$B$2:$B$189,$A99,交易明細!$J$2:$J$189,"未平倉")</f>
        <v/>
      </c>
    </row>
    <row r="100">
      <c r="A100" s="2" t="inlineStr">
        <is>
          <t>SOON_USDT_PERP</t>
        </is>
      </c>
      <c r="B100" s="2">
        <f>COUNTIFS(交易明細!$B$2:$B$189,$A100)</f>
        <v/>
      </c>
      <c r="C100" s="2">
        <f>COUNTIFS(交易明細!$B$2:$B$189,$A100,交易明細!$C$2:$C$189,"做多")</f>
        <v/>
      </c>
      <c r="D100" s="2">
        <f>COUNTIFS(交易明細!$B$2:$B$189,$A100,交易明細!$C$2:$C$189,"做空")</f>
        <v/>
      </c>
      <c r="E100" s="2">
        <f>F100+G100+COUNTIFS(交易明細!$B$2:$B$189,$A100,交易明細!$J$2:$J$189,"時間出場")</f>
        <v/>
      </c>
      <c r="F100" s="2">
        <f>COUNTIFS(交易明細!$B$2:$B$189,$A100,交易明細!$J$2:$J$189,"止盈")</f>
        <v/>
      </c>
      <c r="G100" s="2">
        <f>COUNTIFS(交易明細!$B$2:$B$189,$A100,交易明細!$J$2:$J$189,"止損")</f>
        <v/>
      </c>
      <c r="H100" s="4">
        <f>IFERROR(F100/E100,0)</f>
        <v/>
      </c>
      <c r="I100" s="4">
        <f>IFERROR(AVERAGEIFS(交易明細!$L$2:$L$189,交易明細!$B$2:$B$189,$A100,交易明細!$J$2:$J$189,"&lt;&gt;未平倉"),0)</f>
        <v/>
      </c>
      <c r="J100" s="4">
        <f>SUMIFS(交易明細!$L$2:$L$189,交易明細!$B$2:$B$189,$A100,交易明細!$J$2:$J$189,"&lt;&gt;未平倉")</f>
        <v/>
      </c>
      <c r="K100" s="5">
        <f>IFERROR(AVERAGEIFS(交易明細!$K$2:$K$189,交易明細!$B$2:$B$189,$A100,交易明細!$J$2:$J$189,"&lt;&gt;未平倉"),0)</f>
        <v/>
      </c>
      <c r="L100" s="2">
        <f>COUNTIFS(交易明細!$B$2:$B$189,$A100,交易明細!$J$2:$J$189,"未平倉")</f>
        <v/>
      </c>
    </row>
    <row r="101">
      <c r="A101" s="2" t="inlineStr">
        <is>
          <t>ARX_USDT_PERP</t>
        </is>
      </c>
      <c r="B101" s="2">
        <f>COUNTIFS(交易明細!$B$2:$B$189,$A101)</f>
        <v/>
      </c>
      <c r="C101" s="2">
        <f>COUNTIFS(交易明細!$B$2:$B$189,$A101,交易明細!$C$2:$C$189,"做多")</f>
        <v/>
      </c>
      <c r="D101" s="2">
        <f>COUNTIFS(交易明細!$B$2:$B$189,$A101,交易明細!$C$2:$C$189,"做空")</f>
        <v/>
      </c>
      <c r="E101" s="2">
        <f>F101+G101+COUNTIFS(交易明細!$B$2:$B$189,$A101,交易明細!$J$2:$J$189,"時間出場")</f>
        <v/>
      </c>
      <c r="F101" s="2">
        <f>COUNTIFS(交易明細!$B$2:$B$189,$A101,交易明細!$J$2:$J$189,"止盈")</f>
        <v/>
      </c>
      <c r="G101" s="2">
        <f>COUNTIFS(交易明細!$B$2:$B$189,$A101,交易明細!$J$2:$J$189,"止損")</f>
        <v/>
      </c>
      <c r="H101" s="4">
        <f>IFERROR(F101/E101,0)</f>
        <v/>
      </c>
      <c r="I101" s="4">
        <f>IFERROR(AVERAGEIFS(交易明細!$L$2:$L$189,交易明細!$B$2:$B$189,$A101,交易明細!$J$2:$J$189,"&lt;&gt;未平倉"),0)</f>
        <v/>
      </c>
      <c r="J101" s="4">
        <f>SUMIFS(交易明細!$L$2:$L$189,交易明細!$B$2:$B$189,$A101,交易明細!$J$2:$J$189,"&lt;&gt;未平倉")</f>
        <v/>
      </c>
      <c r="K101" s="5">
        <f>IFERROR(AVERAGEIFS(交易明細!$K$2:$K$189,交易明細!$B$2:$B$189,$A101,交易明細!$J$2:$J$189,"&lt;&gt;未平倉"),0)</f>
        <v/>
      </c>
      <c r="L101" s="2">
        <f>COUNTIFS(交易明細!$B$2:$B$189,$A101,交易明細!$J$2:$J$189,"未平倉")</f>
        <v/>
      </c>
    </row>
    <row r="102">
      <c r="A102" s="2" t="inlineStr">
        <is>
          <t>IRYS_USDT_PERP</t>
        </is>
      </c>
      <c r="B102" s="2">
        <f>COUNTIFS(交易明細!$B$2:$B$189,$A102)</f>
        <v/>
      </c>
      <c r="C102" s="2">
        <f>COUNTIFS(交易明細!$B$2:$B$189,$A102,交易明細!$C$2:$C$189,"做多")</f>
        <v/>
      </c>
      <c r="D102" s="2">
        <f>COUNTIFS(交易明細!$B$2:$B$189,$A102,交易明細!$C$2:$C$189,"做空")</f>
        <v/>
      </c>
      <c r="E102" s="2">
        <f>F102+G102+COUNTIFS(交易明細!$B$2:$B$189,$A102,交易明細!$J$2:$J$189,"時間出場")</f>
        <v/>
      </c>
      <c r="F102" s="2">
        <f>COUNTIFS(交易明細!$B$2:$B$189,$A102,交易明細!$J$2:$J$189,"止盈")</f>
        <v/>
      </c>
      <c r="G102" s="2">
        <f>COUNTIFS(交易明細!$B$2:$B$189,$A102,交易明細!$J$2:$J$189,"止損")</f>
        <v/>
      </c>
      <c r="H102" s="4">
        <f>IFERROR(F102/E102,0)</f>
        <v/>
      </c>
      <c r="I102" s="4">
        <f>IFERROR(AVERAGEIFS(交易明細!$L$2:$L$189,交易明細!$B$2:$B$189,$A102,交易明細!$J$2:$J$189,"&lt;&gt;未平倉"),0)</f>
        <v/>
      </c>
      <c r="J102" s="4">
        <f>SUMIFS(交易明細!$L$2:$L$189,交易明細!$B$2:$B$189,$A102,交易明細!$J$2:$J$189,"&lt;&gt;未平倉")</f>
        <v/>
      </c>
      <c r="K102" s="5">
        <f>IFERROR(AVERAGEIFS(交易明細!$K$2:$K$189,交易明細!$B$2:$B$189,$A102,交易明細!$J$2:$J$189,"&lt;&gt;未平倉"),0)</f>
        <v/>
      </c>
      <c r="L102" s="2">
        <f>COUNTIFS(交易明細!$B$2:$B$189,$A102,交易明細!$J$2:$J$189,"未平倉")</f>
        <v/>
      </c>
    </row>
    <row r="103">
      <c r="A103" s="2" t="inlineStr">
        <is>
          <t>SOMI_USDT_PERP</t>
        </is>
      </c>
      <c r="B103" s="2">
        <f>COUNTIFS(交易明細!$B$2:$B$189,$A103)</f>
        <v/>
      </c>
      <c r="C103" s="2">
        <f>COUNTIFS(交易明細!$B$2:$B$189,$A103,交易明細!$C$2:$C$189,"做多")</f>
        <v/>
      </c>
      <c r="D103" s="2">
        <f>COUNTIFS(交易明細!$B$2:$B$189,$A103,交易明細!$C$2:$C$189,"做空")</f>
        <v/>
      </c>
      <c r="E103" s="2">
        <f>F103+G103+COUNTIFS(交易明細!$B$2:$B$189,$A103,交易明細!$J$2:$J$189,"時間出場")</f>
        <v/>
      </c>
      <c r="F103" s="2">
        <f>COUNTIFS(交易明細!$B$2:$B$189,$A103,交易明細!$J$2:$J$189,"止盈")</f>
        <v/>
      </c>
      <c r="G103" s="2">
        <f>COUNTIFS(交易明細!$B$2:$B$189,$A103,交易明細!$J$2:$J$189,"止損")</f>
        <v/>
      </c>
      <c r="H103" s="4">
        <f>IFERROR(F103/E103,0)</f>
        <v/>
      </c>
      <c r="I103" s="4">
        <f>IFERROR(AVERAGEIFS(交易明細!$L$2:$L$189,交易明細!$B$2:$B$189,$A103,交易明細!$J$2:$J$189,"&lt;&gt;未平倉"),0)</f>
        <v/>
      </c>
      <c r="J103" s="4">
        <f>SUMIFS(交易明細!$L$2:$L$189,交易明細!$B$2:$B$189,$A103,交易明細!$J$2:$J$189,"&lt;&gt;未平倉")</f>
        <v/>
      </c>
      <c r="K103" s="5">
        <f>IFERROR(AVERAGEIFS(交易明細!$K$2:$K$189,交易明細!$B$2:$B$189,$A103,交易明細!$J$2:$J$189,"&lt;&gt;未平倉"),0)</f>
        <v/>
      </c>
      <c r="L103" s="2">
        <f>COUNTIFS(交易明細!$B$2:$B$189,$A103,交易明細!$J$2:$J$189,"未平倉")</f>
        <v/>
      </c>
    </row>
    <row r="104">
      <c r="A104" s="2" t="inlineStr">
        <is>
          <t>SAND_USDT_PERP</t>
        </is>
      </c>
      <c r="B104" s="2">
        <f>COUNTIFS(交易明細!$B$2:$B$189,$A104)</f>
        <v/>
      </c>
      <c r="C104" s="2">
        <f>COUNTIFS(交易明細!$B$2:$B$189,$A104,交易明細!$C$2:$C$189,"做多")</f>
        <v/>
      </c>
      <c r="D104" s="2">
        <f>COUNTIFS(交易明細!$B$2:$B$189,$A104,交易明細!$C$2:$C$189,"做空")</f>
        <v/>
      </c>
      <c r="E104" s="2">
        <f>F104+G104+COUNTIFS(交易明細!$B$2:$B$189,$A104,交易明細!$J$2:$J$189,"時間出場")</f>
        <v/>
      </c>
      <c r="F104" s="2">
        <f>COUNTIFS(交易明細!$B$2:$B$189,$A104,交易明細!$J$2:$J$189,"止盈")</f>
        <v/>
      </c>
      <c r="G104" s="2">
        <f>COUNTIFS(交易明細!$B$2:$B$189,$A104,交易明細!$J$2:$J$189,"止損")</f>
        <v/>
      </c>
      <c r="H104" s="4">
        <f>IFERROR(F104/E104,0)</f>
        <v/>
      </c>
      <c r="I104" s="4">
        <f>IFERROR(AVERAGEIFS(交易明細!$L$2:$L$189,交易明細!$B$2:$B$189,$A104,交易明細!$J$2:$J$189,"&lt;&gt;未平倉"),0)</f>
        <v/>
      </c>
      <c r="J104" s="4">
        <f>SUMIFS(交易明細!$L$2:$L$189,交易明細!$B$2:$B$189,$A104,交易明細!$J$2:$J$189,"&lt;&gt;未平倉")</f>
        <v/>
      </c>
      <c r="K104" s="5">
        <f>IFERROR(AVERAGEIFS(交易明細!$K$2:$K$189,交易明細!$B$2:$B$189,$A104,交易明細!$J$2:$J$189,"&lt;&gt;未平倉"),0)</f>
        <v/>
      </c>
      <c r="L104" s="2">
        <f>COUNTIFS(交易明細!$B$2:$B$189,$A104,交易明細!$J$2:$J$189,"未平倉")</f>
        <v/>
      </c>
    </row>
    <row r="105">
      <c r="A105" s="2" t="inlineStr">
        <is>
          <t>SPORTFUN_USDT_PERP</t>
        </is>
      </c>
      <c r="B105" s="2">
        <f>COUNTIFS(交易明細!$B$2:$B$189,$A105)</f>
        <v/>
      </c>
      <c r="C105" s="2">
        <f>COUNTIFS(交易明細!$B$2:$B$189,$A105,交易明細!$C$2:$C$189,"做多")</f>
        <v/>
      </c>
      <c r="D105" s="2">
        <f>COUNTIFS(交易明細!$B$2:$B$189,$A105,交易明細!$C$2:$C$189,"做空")</f>
        <v/>
      </c>
      <c r="E105" s="2">
        <f>F105+G105+COUNTIFS(交易明細!$B$2:$B$189,$A105,交易明細!$J$2:$J$189,"時間出場")</f>
        <v/>
      </c>
      <c r="F105" s="2">
        <f>COUNTIFS(交易明細!$B$2:$B$189,$A105,交易明細!$J$2:$J$189,"止盈")</f>
        <v/>
      </c>
      <c r="G105" s="2">
        <f>COUNTIFS(交易明細!$B$2:$B$189,$A105,交易明細!$J$2:$J$189,"止損")</f>
        <v/>
      </c>
      <c r="H105" s="4">
        <f>IFERROR(F105/E105,0)</f>
        <v/>
      </c>
      <c r="I105" s="4">
        <f>IFERROR(AVERAGEIFS(交易明細!$L$2:$L$189,交易明細!$B$2:$B$189,$A105,交易明細!$J$2:$J$189,"&lt;&gt;未平倉"),0)</f>
        <v/>
      </c>
      <c r="J105" s="4">
        <f>SUMIFS(交易明細!$L$2:$L$189,交易明細!$B$2:$B$189,$A105,交易明細!$J$2:$J$189,"&lt;&gt;未平倉")</f>
        <v/>
      </c>
      <c r="K105" s="5">
        <f>IFERROR(AVERAGEIFS(交易明細!$K$2:$K$189,交易明細!$B$2:$B$189,$A105,交易明細!$J$2:$J$189,"&lt;&gt;未平倉"),0)</f>
        <v/>
      </c>
      <c r="L105" s="2">
        <f>COUNTIFS(交易明細!$B$2:$B$189,$A105,交易明細!$J$2:$J$189,"未平倉")</f>
        <v/>
      </c>
    </row>
    <row r="106">
      <c r="A106" s="2" t="inlineStr">
        <is>
          <t>BEAMX_USDT_PERP</t>
        </is>
      </c>
      <c r="B106" s="2">
        <f>COUNTIFS(交易明細!$B$2:$B$189,$A106)</f>
        <v/>
      </c>
      <c r="C106" s="2">
        <f>COUNTIFS(交易明細!$B$2:$B$189,$A106,交易明細!$C$2:$C$189,"做多")</f>
        <v/>
      </c>
      <c r="D106" s="2">
        <f>COUNTIFS(交易明細!$B$2:$B$189,$A106,交易明細!$C$2:$C$189,"做空")</f>
        <v/>
      </c>
      <c r="E106" s="2">
        <f>F106+G106+COUNTIFS(交易明細!$B$2:$B$189,$A106,交易明細!$J$2:$J$189,"時間出場")</f>
        <v/>
      </c>
      <c r="F106" s="2">
        <f>COUNTIFS(交易明細!$B$2:$B$189,$A106,交易明細!$J$2:$J$189,"止盈")</f>
        <v/>
      </c>
      <c r="G106" s="2">
        <f>COUNTIFS(交易明細!$B$2:$B$189,$A106,交易明細!$J$2:$J$189,"止損")</f>
        <v/>
      </c>
      <c r="H106" s="4">
        <f>IFERROR(F106/E106,0)</f>
        <v/>
      </c>
      <c r="I106" s="4">
        <f>IFERROR(AVERAGEIFS(交易明細!$L$2:$L$189,交易明細!$B$2:$B$189,$A106,交易明細!$J$2:$J$189,"&lt;&gt;未平倉"),0)</f>
        <v/>
      </c>
      <c r="J106" s="4">
        <f>SUMIFS(交易明細!$L$2:$L$189,交易明細!$B$2:$B$189,$A106,交易明細!$J$2:$J$189,"&lt;&gt;未平倉")</f>
        <v/>
      </c>
      <c r="K106" s="5">
        <f>IFERROR(AVERAGEIFS(交易明細!$K$2:$K$189,交易明細!$B$2:$B$189,$A106,交易明細!$J$2:$J$189,"&lt;&gt;未平倉"),0)</f>
        <v/>
      </c>
      <c r="L106" s="2">
        <f>COUNTIFS(交易明細!$B$2:$B$189,$A106,交易明細!$J$2:$J$189,"未平倉")</f>
        <v/>
      </c>
    </row>
    <row r="107">
      <c r="A107" s="2" t="inlineStr">
        <is>
          <t>FLUID_USDT_PERP</t>
        </is>
      </c>
      <c r="B107" s="2">
        <f>COUNTIFS(交易明細!$B$2:$B$189,$A107)</f>
        <v/>
      </c>
      <c r="C107" s="2">
        <f>COUNTIFS(交易明細!$B$2:$B$189,$A107,交易明細!$C$2:$C$189,"做多")</f>
        <v/>
      </c>
      <c r="D107" s="2">
        <f>COUNTIFS(交易明細!$B$2:$B$189,$A107,交易明細!$C$2:$C$189,"做空")</f>
        <v/>
      </c>
      <c r="E107" s="2">
        <f>F107+G107+COUNTIFS(交易明細!$B$2:$B$189,$A107,交易明細!$J$2:$J$189,"時間出場")</f>
        <v/>
      </c>
      <c r="F107" s="2">
        <f>COUNTIFS(交易明細!$B$2:$B$189,$A107,交易明細!$J$2:$J$189,"止盈")</f>
        <v/>
      </c>
      <c r="G107" s="2">
        <f>COUNTIFS(交易明細!$B$2:$B$189,$A107,交易明細!$J$2:$J$189,"止損")</f>
        <v/>
      </c>
      <c r="H107" s="4">
        <f>IFERROR(F107/E107,0)</f>
        <v/>
      </c>
      <c r="I107" s="4">
        <f>IFERROR(AVERAGEIFS(交易明細!$L$2:$L$189,交易明細!$B$2:$B$189,$A107,交易明細!$J$2:$J$189,"&lt;&gt;未平倉"),0)</f>
        <v/>
      </c>
      <c r="J107" s="4">
        <f>SUMIFS(交易明細!$L$2:$L$189,交易明細!$B$2:$B$189,$A107,交易明細!$J$2:$J$189,"&lt;&gt;未平倉")</f>
        <v/>
      </c>
      <c r="K107" s="5">
        <f>IFERROR(AVERAGEIFS(交易明細!$K$2:$K$189,交易明細!$B$2:$B$189,$A107,交易明細!$J$2:$J$189,"&lt;&gt;未平倉"),0)</f>
        <v/>
      </c>
      <c r="L107" s="2">
        <f>COUNTIFS(交易明細!$B$2:$B$189,$A107,交易明細!$J$2:$J$189,"未平倉")</f>
        <v/>
      </c>
    </row>
    <row r="108">
      <c r="A108" s="2" t="inlineStr">
        <is>
          <t>MET_USDT_PERP</t>
        </is>
      </c>
      <c r="B108" s="2">
        <f>COUNTIFS(交易明細!$B$2:$B$189,$A108)</f>
        <v/>
      </c>
      <c r="C108" s="2">
        <f>COUNTIFS(交易明細!$B$2:$B$189,$A108,交易明細!$C$2:$C$189,"做多")</f>
        <v/>
      </c>
      <c r="D108" s="2">
        <f>COUNTIFS(交易明細!$B$2:$B$189,$A108,交易明細!$C$2:$C$189,"做空")</f>
        <v/>
      </c>
      <c r="E108" s="2">
        <f>F108+G108+COUNTIFS(交易明細!$B$2:$B$189,$A108,交易明細!$J$2:$J$189,"時間出場")</f>
        <v/>
      </c>
      <c r="F108" s="2">
        <f>COUNTIFS(交易明細!$B$2:$B$189,$A108,交易明細!$J$2:$J$189,"止盈")</f>
        <v/>
      </c>
      <c r="G108" s="2">
        <f>COUNTIFS(交易明細!$B$2:$B$189,$A108,交易明細!$J$2:$J$189,"止損")</f>
        <v/>
      </c>
      <c r="H108" s="4">
        <f>IFERROR(F108/E108,0)</f>
        <v/>
      </c>
      <c r="I108" s="4">
        <f>IFERROR(AVERAGEIFS(交易明細!$L$2:$L$189,交易明細!$B$2:$B$189,$A108,交易明細!$J$2:$J$189,"&lt;&gt;未平倉"),0)</f>
        <v/>
      </c>
      <c r="J108" s="4">
        <f>SUMIFS(交易明細!$L$2:$L$189,交易明細!$B$2:$B$189,$A108,交易明細!$J$2:$J$189,"&lt;&gt;未平倉")</f>
        <v/>
      </c>
      <c r="K108" s="5">
        <f>IFERROR(AVERAGEIFS(交易明細!$K$2:$K$189,交易明細!$B$2:$B$189,$A108,交易明細!$J$2:$J$189,"&lt;&gt;未平倉"),0)</f>
        <v/>
      </c>
      <c r="L108" s="2">
        <f>COUNTIFS(交易明細!$B$2:$B$189,$A108,交易明細!$J$2:$J$189,"未平倉")</f>
        <v/>
      </c>
    </row>
    <row r="109">
      <c r="A109" s="2" t="inlineStr">
        <is>
          <t>币安人生_USDT_PERP</t>
        </is>
      </c>
      <c r="B109" s="2">
        <f>COUNTIFS(交易明細!$B$2:$B$189,$A109)</f>
        <v/>
      </c>
      <c r="C109" s="2">
        <f>COUNTIFS(交易明細!$B$2:$B$189,$A109,交易明細!$C$2:$C$189,"做多")</f>
        <v/>
      </c>
      <c r="D109" s="2">
        <f>COUNTIFS(交易明細!$B$2:$B$189,$A109,交易明細!$C$2:$C$189,"做空")</f>
        <v/>
      </c>
      <c r="E109" s="2">
        <f>F109+G109+COUNTIFS(交易明細!$B$2:$B$189,$A109,交易明細!$J$2:$J$189,"時間出場")</f>
        <v/>
      </c>
      <c r="F109" s="2">
        <f>COUNTIFS(交易明細!$B$2:$B$189,$A109,交易明細!$J$2:$J$189,"止盈")</f>
        <v/>
      </c>
      <c r="G109" s="2">
        <f>COUNTIFS(交易明細!$B$2:$B$189,$A109,交易明細!$J$2:$J$189,"止損")</f>
        <v/>
      </c>
      <c r="H109" s="4">
        <f>IFERROR(F109/E109,0)</f>
        <v/>
      </c>
      <c r="I109" s="4">
        <f>IFERROR(AVERAGEIFS(交易明細!$L$2:$L$189,交易明細!$B$2:$B$189,$A109,交易明細!$J$2:$J$189,"&lt;&gt;未平倉"),0)</f>
        <v/>
      </c>
      <c r="J109" s="4">
        <f>SUMIFS(交易明細!$L$2:$L$189,交易明細!$B$2:$B$189,$A109,交易明細!$J$2:$J$189,"&lt;&gt;未平倉")</f>
        <v/>
      </c>
      <c r="K109" s="5">
        <f>IFERROR(AVERAGEIFS(交易明細!$K$2:$K$189,交易明細!$B$2:$B$189,$A109,交易明細!$J$2:$J$189,"&lt;&gt;未平倉"),0)</f>
        <v/>
      </c>
      <c r="L109" s="2">
        <f>COUNTIFS(交易明細!$B$2:$B$189,$A109,交易明細!$J$2:$J$189,"未平倉")</f>
        <v/>
      </c>
    </row>
    <row r="110">
      <c r="A110" s="2" t="inlineStr">
        <is>
          <t>OGN_USDT_PERP</t>
        </is>
      </c>
      <c r="B110" s="2">
        <f>COUNTIFS(交易明細!$B$2:$B$189,$A110)</f>
        <v/>
      </c>
      <c r="C110" s="2">
        <f>COUNTIFS(交易明細!$B$2:$B$189,$A110,交易明細!$C$2:$C$189,"做多")</f>
        <v/>
      </c>
      <c r="D110" s="2">
        <f>COUNTIFS(交易明細!$B$2:$B$189,$A110,交易明細!$C$2:$C$189,"做空")</f>
        <v/>
      </c>
      <c r="E110" s="2">
        <f>F110+G110+COUNTIFS(交易明細!$B$2:$B$189,$A110,交易明細!$J$2:$J$189,"時間出場")</f>
        <v/>
      </c>
      <c r="F110" s="2">
        <f>COUNTIFS(交易明細!$B$2:$B$189,$A110,交易明細!$J$2:$J$189,"止盈")</f>
        <v/>
      </c>
      <c r="G110" s="2">
        <f>COUNTIFS(交易明細!$B$2:$B$189,$A110,交易明細!$J$2:$J$189,"止損")</f>
        <v/>
      </c>
      <c r="H110" s="4">
        <f>IFERROR(F110/E110,0)</f>
        <v/>
      </c>
      <c r="I110" s="4">
        <f>IFERROR(AVERAGEIFS(交易明細!$L$2:$L$189,交易明細!$B$2:$B$189,$A110,交易明細!$J$2:$J$189,"&lt;&gt;未平倉"),0)</f>
        <v/>
      </c>
      <c r="J110" s="4">
        <f>SUMIFS(交易明細!$L$2:$L$189,交易明細!$B$2:$B$189,$A110,交易明細!$J$2:$J$189,"&lt;&gt;未平倉")</f>
        <v/>
      </c>
      <c r="K110" s="5">
        <f>IFERROR(AVERAGEIFS(交易明細!$K$2:$K$189,交易明細!$B$2:$B$189,$A110,交易明細!$J$2:$J$189,"&lt;&gt;未平倉"),0)</f>
        <v/>
      </c>
      <c r="L110" s="2">
        <f>COUNTIFS(交易明細!$B$2:$B$189,$A110,交易明細!$J$2:$J$189,"未平倉")</f>
        <v/>
      </c>
    </row>
    <row r="111">
      <c r="A111" s="2" t="inlineStr">
        <is>
          <t>AEVO_USDT_PERP</t>
        </is>
      </c>
      <c r="B111" s="2">
        <f>COUNTIFS(交易明細!$B$2:$B$189,$A111)</f>
        <v/>
      </c>
      <c r="C111" s="2">
        <f>COUNTIFS(交易明細!$B$2:$B$189,$A111,交易明細!$C$2:$C$189,"做多")</f>
        <v/>
      </c>
      <c r="D111" s="2">
        <f>COUNTIFS(交易明細!$B$2:$B$189,$A111,交易明細!$C$2:$C$189,"做空")</f>
        <v/>
      </c>
      <c r="E111" s="2">
        <f>F111+G111+COUNTIFS(交易明細!$B$2:$B$189,$A111,交易明細!$J$2:$J$189,"時間出場")</f>
        <v/>
      </c>
      <c r="F111" s="2">
        <f>COUNTIFS(交易明細!$B$2:$B$189,$A111,交易明細!$J$2:$J$189,"止盈")</f>
        <v/>
      </c>
      <c r="G111" s="2">
        <f>COUNTIFS(交易明細!$B$2:$B$189,$A111,交易明細!$J$2:$J$189,"止損")</f>
        <v/>
      </c>
      <c r="H111" s="4">
        <f>IFERROR(F111/E111,0)</f>
        <v/>
      </c>
      <c r="I111" s="4">
        <f>IFERROR(AVERAGEIFS(交易明細!$L$2:$L$189,交易明細!$B$2:$B$189,$A111,交易明細!$J$2:$J$189,"&lt;&gt;未平倉"),0)</f>
        <v/>
      </c>
      <c r="J111" s="4">
        <f>SUMIFS(交易明細!$L$2:$L$189,交易明細!$B$2:$B$189,$A111,交易明細!$J$2:$J$189,"&lt;&gt;未平倉")</f>
        <v/>
      </c>
      <c r="K111" s="5">
        <f>IFERROR(AVERAGEIFS(交易明細!$K$2:$K$189,交易明細!$B$2:$B$189,$A111,交易明細!$J$2:$J$189,"&lt;&gt;未平倉"),0)</f>
        <v/>
      </c>
      <c r="L111" s="2">
        <f>COUNTIFS(交易明細!$B$2:$B$189,$A111,交易明細!$J$2:$J$189,"未平倉")</f>
        <v/>
      </c>
    </row>
    <row r="112">
      <c r="A112" s="2" t="inlineStr">
        <is>
          <t>KAIA_USDT_PERP</t>
        </is>
      </c>
      <c r="B112" s="2">
        <f>COUNTIFS(交易明細!$B$2:$B$189,$A112)</f>
        <v/>
      </c>
      <c r="C112" s="2">
        <f>COUNTIFS(交易明細!$B$2:$B$189,$A112,交易明細!$C$2:$C$189,"做多")</f>
        <v/>
      </c>
      <c r="D112" s="2">
        <f>COUNTIFS(交易明細!$B$2:$B$189,$A112,交易明細!$C$2:$C$189,"做空")</f>
        <v/>
      </c>
      <c r="E112" s="2">
        <f>F112+G112+COUNTIFS(交易明細!$B$2:$B$189,$A112,交易明細!$J$2:$J$189,"時間出場")</f>
        <v/>
      </c>
      <c r="F112" s="2">
        <f>COUNTIFS(交易明細!$B$2:$B$189,$A112,交易明細!$J$2:$J$189,"止盈")</f>
        <v/>
      </c>
      <c r="G112" s="2">
        <f>COUNTIFS(交易明細!$B$2:$B$189,$A112,交易明細!$J$2:$J$189,"止損")</f>
        <v/>
      </c>
      <c r="H112" s="4">
        <f>IFERROR(F112/E112,0)</f>
        <v/>
      </c>
      <c r="I112" s="4">
        <f>IFERROR(AVERAGEIFS(交易明細!$L$2:$L$189,交易明細!$B$2:$B$189,$A112,交易明細!$J$2:$J$189,"&lt;&gt;未平倉"),0)</f>
        <v/>
      </c>
      <c r="J112" s="4">
        <f>SUMIFS(交易明細!$L$2:$L$189,交易明細!$B$2:$B$189,$A112,交易明細!$J$2:$J$189,"&lt;&gt;未平倉")</f>
        <v/>
      </c>
      <c r="K112" s="5">
        <f>IFERROR(AVERAGEIFS(交易明細!$K$2:$K$189,交易明細!$B$2:$B$189,$A112,交易明細!$J$2:$J$189,"&lt;&gt;未平倉"),0)</f>
        <v/>
      </c>
      <c r="L112" s="2">
        <f>COUNTIFS(交易明細!$B$2:$B$189,$A112,交易明細!$J$2:$J$189,"未平倉")</f>
        <v/>
      </c>
    </row>
  </sheetData>
  <autoFilter ref="A1:L1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IOST_USDT_PERP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IOTA_USDT_PERP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IRYS_USDT_PERP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JASMY_USDT_PERP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JELLYJELLY_USDT_PERP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JUP_USDT_PERP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KAIA_USDT_PERP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KAITO_USDT_PERP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KAS_USDT_PERP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KAT_USDT_PERP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KAVA_USDT_PERP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KERNEL_USDT_PERP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KGEN_USDT_PERP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KII_USDT_PERP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XDP_USDT_PERP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2026-10-09T09:19:14Z</dcterms:created>
  <dcterms:modified xsi:type="dcterms:W3CDTF">2026-10-09T09:19:14Z</dcterms:modified>
</cp:coreProperties>
</file>