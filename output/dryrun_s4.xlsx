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總覽" sheetId="1" state="visible" r:id="rId1"/>
    <sheet name="運行紀錄" sheetId="2" state="visible" r:id="rId2"/>
    <sheet name="資金模擬" sheetId="3" state="visible" r:id="rId3"/>
    <sheet name="資金明細" sheetId="4" state="visible" r:id="rId4"/>
    <sheet name="參數" sheetId="5" state="visible" r:id="rId5"/>
    <sheet name="交易明細" sheetId="6" state="visible" r:id="rId6"/>
    <sheet name="幣種統計" sheetId="7" state="visible" r:id="rId7"/>
    <sheet name="掃描清單" sheetId="8" state="visible" r:id="rId8"/>
  </sheets>
  <definedNames>
    <definedName name="_xlnm._FilterDatabase" localSheetId="3" hidden="1">'資金明細'!$A$1:$Z$314</definedName>
    <definedName name="_xlnm._FilterDatabase" localSheetId="5" hidden="1">'交易明細'!$A$1:$AM$157</definedName>
    <definedName name="_xlnm._FilterDatabase" localSheetId="6" hidden="1">'幣種統計'!$A$1:$L$100</definedName>
    <definedName name="_xlnm._FilterDatabase" localSheetId="7" hidden="1">'掃描清單'!$A$1:$H$442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00%"/>
    <numFmt numFmtId="165" formatCode="yyyy-mm-dd h:mm:ss"/>
    <numFmt numFmtId="166" formatCode="yyyy-mm-dd hh:mm"/>
    <numFmt numFmtId="167" formatCode="0.00000000"/>
    <numFmt numFmtId="168" formatCode="0.0"/>
    <numFmt numFmtId="169" formatCode="0.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4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0" fontId="2" fillId="0" borderId="0" pivotButton="0" quotePrefix="0" xfId="0"/>
    <xf numFmtId="168" fontId="2" fillId="0" borderId="0" pivotButton="0" quotePrefix="0" xfId="0"/>
    <xf numFmtId="0" fontId="5" fillId="0" borderId="0" pivotButton="0" quotePrefix="0" xfId="0"/>
    <xf numFmtId="166" fontId="2" fillId="0" borderId="0" pivotButton="0" quotePrefix="0" xfId="0"/>
    <xf numFmtId="0" fontId="1" fillId="2" borderId="0" pivotButton="0" quotePrefix="0" xfId="0"/>
    <xf numFmtId="2" fontId="3" fillId="3" borderId="0" pivotButton="0" quotePrefix="0" xfId="0"/>
    <xf numFmtId="169" fontId="2" fillId="0" borderId="0" pivotButton="0" quotePrefix="0" xfId="0"/>
    <xf numFmtId="10" fontId="3" fillId="3" borderId="0" pivotButton="0" quotePrefix="0" xfId="0"/>
    <xf numFmtId="1" fontId="3" fillId="3" borderId="0" pivotButton="0" quotePrefix="0" xfId="0"/>
    <xf numFmtId="168" fontId="3" fillId="3" borderId="0" pivotButton="0" quotePrefix="0" xfId="0"/>
    <xf numFmtId="164" fontId="2" fillId="0" borderId="0" pivotButton="0" quotePrefix="0" xfId="0"/>
    <xf numFmtId="1" fontId="2" fillId="0" borderId="0" pivotButton="0" quotePrefix="0" xfId="0"/>
    <xf numFmtId="2" fontId="2" fillId="0" borderId="0" pivotButton="0" quotePrefix="0" xfId="0"/>
    <xf numFmtId="167" fontId="2" fillId="0" borderId="0" pivotButton="0" quotePrefix="0" xfId="0"/>
    <xf numFmtId="164" fontId="3" fillId="3" borderId="0" pivotButton="0" quotePrefix="0" xfId="0"/>
    <xf numFmtId="3" fontId="2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9D9D9"/>
        </patternFill>
      </fill>
    </dxf>
    <dxf>
      <font>
        <name val="Arial"/>
        <color rgb="00C0000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剩餘本金（依事件順序）</a:t>
            </a:r>
          </a:p>
        </rich>
      </tx>
    </title>
    <plotArea>
      <lineChart>
        <grouping val="standard"/>
        <ser>
          <idx val="0"/>
          <order val="0"/>
          <tx>
            <strRef>
              <f>'資金明細'!R1</f>
            </strRef>
          </tx>
          <spPr>
            <a:ln w="12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'資金明細'!$R$2:$R$314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事件序號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本金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8" customWidth="1" min="4" max="4"/>
    <col width="8" customWidth="1" min="5" max="5"/>
    <col width="9" customWidth="1" min="6" max="6"/>
    <col width="9" customWidth="1" min="7" max="7"/>
    <col width="9" customWidth="1" min="8" max="8"/>
    <col width="12" customWidth="1" min="9" max="9"/>
    <col width="12" customWidth="1" min="10" max="10"/>
    <col width="16" customWidth="1" min="11" max="11"/>
    <col width="11" customWidth="1" min="12" max="12"/>
    <col width="13" customWidth="1" min="13" max="13"/>
    <col width="13" customWidth="1" min="14" max="14"/>
    <col width="15" customWidth="1" min="15" max="15"/>
    <col width="11" customWidth="1" min="16" max="16"/>
  </cols>
  <sheetData>
    <row r="1">
      <c r="A1" s="1" t="inlineStr">
        <is>
          <t>派網 USDT 交易對 動能策略回測總覽</t>
        </is>
      </c>
    </row>
    <row r="2">
      <c r="A2" s="2" t="inlineStr">
        <is>
          <t>回測區間：2026-09-01 00:00 ~ 2026-09-28 01:57（Dry Run）（台北時間）；市場：PERP；勝率 = 止盈筆數 ÷ 已平倉筆數；正報酬比例 = 報酬 &gt; 0 的筆數 ÷ 已平倉（含時間出場）</t>
        </is>
      </c>
    </row>
    <row r="4">
      <c r="A4" s="3" t="inlineStr">
        <is>
          <t>方向</t>
        </is>
      </c>
      <c r="B4" s="3" t="inlineStr">
        <is>
          <t>總筆數</t>
        </is>
      </c>
      <c r="C4" s="3" t="inlineStr">
        <is>
          <t>已平倉</t>
        </is>
      </c>
      <c r="D4" s="3" t="inlineStr">
        <is>
          <t>止盈</t>
        </is>
      </c>
      <c r="E4" s="3" t="inlineStr">
        <is>
          <t>止損</t>
        </is>
      </c>
      <c r="F4" s="3" t="inlineStr">
        <is>
          <t>時間出場</t>
        </is>
      </c>
      <c r="G4" s="3" t="inlineStr">
        <is>
          <t>未平倉</t>
        </is>
      </c>
      <c r="H4" s="3" t="inlineStr">
        <is>
          <t>勝率</t>
        </is>
      </c>
      <c r="I4" s="3" t="inlineStr">
        <is>
          <t>盈虧平衡勝率</t>
        </is>
      </c>
      <c r="J4" s="3" t="inlineStr">
        <is>
          <t>平均報酬/筆</t>
        </is>
      </c>
      <c r="K4" s="3" t="inlineStr">
        <is>
          <t>累計報酬(單利加總)</t>
        </is>
      </c>
      <c r="L4" s="3" t="inlineStr">
        <is>
          <t>平均持倉h</t>
        </is>
      </c>
      <c r="M4" s="3" t="inlineStr">
        <is>
          <t>止盈平均持倉h</t>
        </is>
      </c>
      <c r="N4" s="3" t="inlineStr">
        <is>
          <t>止損平均持倉h</t>
        </is>
      </c>
      <c r="O4" s="3" t="inlineStr">
        <is>
          <t>時間出場平均報酬</t>
        </is>
      </c>
      <c r="P4" s="3" t="inlineStr">
        <is>
          <t>正報酬比例</t>
        </is>
      </c>
    </row>
    <row r="5">
      <c r="A5" s="2" t="inlineStr">
        <is>
          <t>全部</t>
        </is>
      </c>
      <c r="B5" s="2">
        <f>COUNTIFS(交易明細!$B$2:$B$157,"&lt;&gt;")</f>
        <v/>
      </c>
      <c r="C5" s="2">
        <f>D5+E5+F5</f>
        <v/>
      </c>
      <c r="D5" s="2">
        <f>COUNTIFS(交易明細!$J$2:$J$157,"止盈")</f>
        <v/>
      </c>
      <c r="E5" s="2">
        <f>COUNTIFS(交易明細!$J$2:$J$157,"止損")</f>
        <v/>
      </c>
      <c r="F5" s="2">
        <f>COUNTIFS(交易明細!$J$2:$J$157,"時間出場")</f>
        <v/>
      </c>
      <c r="G5" s="2">
        <f>COUNTIFS(交易明細!$J$2:$J$157,"未平倉")</f>
        <v/>
      </c>
      <c r="H5" s="4">
        <f>IFERROR(D5/C5,0)</f>
        <v/>
      </c>
      <c r="I5" s="4">
        <f>IFERROR(AVERAGEIFS(交易明細!$AC$2:$AC$157,交易明細!$J$2:$J$157,"&lt;&gt;未平倉"),參數!$B$16)</f>
        <v/>
      </c>
      <c r="J5" s="4">
        <f>IFERROR(AVERAGEIFS(交易明細!$L$2:$L$157,交易明細!$J$2:$J$157,"&lt;&gt;未平倉"),0)</f>
        <v/>
      </c>
      <c r="K5" s="4">
        <f>SUMIFS(交易明細!$L$2:$L$157,交易明細!$J$2:$J$157,"&lt;&gt;未平倉")</f>
        <v/>
      </c>
      <c r="L5" s="5">
        <f>IFERROR(AVERAGEIFS(交易明細!$K$2:$K$157,交易明細!$J$2:$J$157,"&lt;&gt;未平倉"),0)</f>
        <v/>
      </c>
      <c r="M5" s="5">
        <f>IFERROR(AVERAGEIFS(交易明細!$K$2:$K$157,交易明細!$J$2:$J$157,"止盈"),0)</f>
        <v/>
      </c>
      <c r="N5" s="5">
        <f>IFERROR(AVERAGEIFS(交易明細!$K$2:$K$157,交易明細!$J$2:$J$157,"止損"),0)</f>
        <v/>
      </c>
      <c r="O5" s="4">
        <f>IFERROR(AVERAGEIFS(交易明細!$L$2:$L$157,交易明細!$J$2:$J$157,"時間出場"),0)</f>
        <v/>
      </c>
      <c r="P5" s="4">
        <f>IFERROR(COUNTIFS(交易明細!$J$2:$J$157,"&lt;&gt;未平倉",交易明細!$L$2:$L$157,"&gt;0")/C5,0)</f>
        <v/>
      </c>
    </row>
    <row r="6">
      <c r="A6" s="2" t="inlineStr">
        <is>
          <t>做多</t>
        </is>
      </c>
      <c r="B6" s="2">
        <f>COUNTIFS(交易明細!$C$2:$C$157,"做多",交易明細!$B$2:$B$157,"&lt;&gt;")</f>
        <v/>
      </c>
      <c r="C6" s="2">
        <f>D6+E6+F6</f>
        <v/>
      </c>
      <c r="D6" s="2">
        <f>COUNTIFS(交易明細!$C$2:$C$157,"做多",交易明細!$J$2:$J$157,"止盈")</f>
        <v/>
      </c>
      <c r="E6" s="2">
        <f>COUNTIFS(交易明細!$C$2:$C$157,"做多",交易明細!$J$2:$J$157,"止損")</f>
        <v/>
      </c>
      <c r="F6" s="2">
        <f>COUNTIFS(交易明細!$C$2:$C$157,"做多",交易明細!$J$2:$J$157,"時間出場")</f>
        <v/>
      </c>
      <c r="G6" s="2">
        <f>COUNTIFS(交易明細!$C$2:$C$157,"做多",交易明細!$J$2:$J$157,"未平倉")</f>
        <v/>
      </c>
      <c r="H6" s="4">
        <f>IFERROR(D6/C6,0)</f>
        <v/>
      </c>
      <c r="I6" s="4">
        <f>IFERROR(AVERAGEIFS(交易明細!$AC$2:$AC$157,交易明細!$C$2:$C$157,"做多",交易明細!$J$2:$J$157,"&lt;&gt;未平倉"),參數!$B$16)</f>
        <v/>
      </c>
      <c r="J6" s="4">
        <f>IFERROR(AVERAGEIFS(交易明細!$L$2:$L$157,交易明細!$C$2:$C$157,"做多",交易明細!$J$2:$J$157,"&lt;&gt;未平倉"),0)</f>
        <v/>
      </c>
      <c r="K6" s="4">
        <f>SUMIFS(交易明細!$L$2:$L$157,交易明細!$C$2:$C$157,"做多",交易明細!$J$2:$J$157,"&lt;&gt;未平倉")</f>
        <v/>
      </c>
      <c r="L6" s="5">
        <f>IFERROR(AVERAGEIFS(交易明細!$K$2:$K$157,交易明細!$C$2:$C$157,"做多",交易明細!$J$2:$J$157,"&lt;&gt;未平倉"),0)</f>
        <v/>
      </c>
      <c r="M6" s="5">
        <f>IFERROR(AVERAGEIFS(交易明細!$K$2:$K$157,交易明細!$C$2:$C$157,"做多",交易明細!$J$2:$J$157,"止盈"),0)</f>
        <v/>
      </c>
      <c r="N6" s="5">
        <f>IFERROR(AVERAGEIFS(交易明細!$K$2:$K$157,交易明細!$C$2:$C$157,"做多",交易明細!$J$2:$J$157,"止損"),0)</f>
        <v/>
      </c>
      <c r="O6" s="4">
        <f>IFERROR(AVERAGEIFS(交易明細!$L$2:$L$157,交易明細!$C$2:$C$157,"做多",交易明細!$J$2:$J$157,"時間出場"),0)</f>
        <v/>
      </c>
      <c r="P6" s="4">
        <f>IFERROR(COUNTIFS(交易明細!$C$2:$C$157,"做多",交易明細!$J$2:$J$157,"&lt;&gt;未平倉",交易明細!$L$2:$L$157,"&gt;0")/C6,0)</f>
        <v/>
      </c>
    </row>
    <row r="7">
      <c r="A7" s="2" t="inlineStr">
        <is>
          <t>做空</t>
        </is>
      </c>
      <c r="B7" s="2">
        <f>COUNTIFS(交易明細!$C$2:$C$157,"做空",交易明細!$B$2:$B$157,"&lt;&gt;")</f>
        <v/>
      </c>
      <c r="C7" s="2">
        <f>D7+E7+F7</f>
        <v/>
      </c>
      <c r="D7" s="2">
        <f>COUNTIFS(交易明細!$C$2:$C$157,"做空",交易明細!$J$2:$J$157,"止盈")</f>
        <v/>
      </c>
      <c r="E7" s="2">
        <f>COUNTIFS(交易明細!$C$2:$C$157,"做空",交易明細!$J$2:$J$157,"止損")</f>
        <v/>
      </c>
      <c r="F7" s="2">
        <f>COUNTIFS(交易明細!$C$2:$C$157,"做空",交易明細!$J$2:$J$157,"時間出場")</f>
        <v/>
      </c>
      <c r="G7" s="2">
        <f>COUNTIFS(交易明細!$C$2:$C$157,"做空",交易明細!$J$2:$J$157,"未平倉")</f>
        <v/>
      </c>
      <c r="H7" s="4">
        <f>IFERROR(D7/C7,0)</f>
        <v/>
      </c>
      <c r="I7" s="4">
        <f>IFERROR(AVERAGEIFS(交易明細!$AC$2:$AC$157,交易明細!$C$2:$C$157,"做空",交易明細!$J$2:$J$157,"&lt;&gt;未平倉"),參數!$B$16)</f>
        <v/>
      </c>
      <c r="J7" s="4">
        <f>IFERROR(AVERAGEIFS(交易明細!$L$2:$L$157,交易明細!$C$2:$C$157,"做空",交易明細!$J$2:$J$157,"&lt;&gt;未平倉"),0)</f>
        <v/>
      </c>
      <c r="K7" s="4">
        <f>SUMIFS(交易明細!$L$2:$L$157,交易明細!$C$2:$C$157,"做空",交易明細!$J$2:$J$157,"&lt;&gt;未平倉")</f>
        <v/>
      </c>
      <c r="L7" s="5">
        <f>IFERROR(AVERAGEIFS(交易明細!$K$2:$K$157,交易明細!$C$2:$C$157,"做空",交易明細!$J$2:$J$157,"&lt;&gt;未平倉"),0)</f>
        <v/>
      </c>
      <c r="M7" s="5">
        <f>IFERROR(AVERAGEIFS(交易明細!$K$2:$K$157,交易明細!$C$2:$C$157,"做空",交易明細!$J$2:$J$157,"止盈"),0)</f>
        <v/>
      </c>
      <c r="N7" s="5">
        <f>IFERROR(AVERAGEIFS(交易明細!$K$2:$K$157,交易明細!$C$2:$C$157,"做空",交易明細!$J$2:$J$157,"止損"),0)</f>
        <v/>
      </c>
      <c r="O7" s="4">
        <f>IFERROR(AVERAGEIFS(交易明細!$L$2:$L$157,交易明細!$C$2:$C$157,"做空",交易明細!$J$2:$J$157,"時間出場"),0)</f>
        <v/>
      </c>
      <c r="P7" s="4">
        <f>IFERROR(COUNTIFS(交易明細!$C$2:$C$157,"做空",交易明細!$J$2:$J$157,"&lt;&gt;未平倉",交易明細!$L$2:$L$157,"&gt;0")/C7,0)</f>
        <v/>
      </c>
    </row>
    <row r="9">
      <c r="A9" s="6" t="inlineStr">
        <is>
          <t>說明</t>
        </is>
      </c>
    </row>
    <row r="10">
      <c r="A10" s="2" t="inlineStr">
        <is>
          <t>・持倉時間以主K棒為精度（觸價當根收盤計）；同根雙觸發時改用更小週期K棒判定。</t>
        </is>
      </c>
    </row>
    <row r="11">
      <c r="A11" s="2" t="inlineStr">
        <is>
          <t>・止盈以止盈價成交；止損若遇開盤跳空穿越，以開盤價成交（較保守）。</t>
        </is>
      </c>
    </row>
    <row r="12">
      <c r="A12" s="2" t="inlineStr">
        <is>
          <t>・同一根1h同時碰到止盈與止損時，依參數頁設定判斷（見交易明細『判定說明』）。</t>
        </is>
      </c>
    </row>
    <row r="13">
      <c r="A13" s="2" t="inlineStr">
        <is>
          <t>・只含目前仍上架的交易對，已下架幣種不在內（存活者偏差，實際表現可能較差）。</t>
        </is>
      </c>
    </row>
    <row r="14">
      <c r="A14" s="2" t="inlineStr">
        <is>
          <t>・可在『參數』頁修改手續費，報酬率欄位會自動重算。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8" customWidth="1" min="4" max="4"/>
    <col width="8" customWidth="1" min="5" max="5"/>
    <col width="8" customWidth="1" min="6" max="6"/>
    <col width="9" customWidth="1" min="7" max="7"/>
  </cols>
  <sheetData>
    <row r="1">
      <c r="A1" s="3" t="inlineStr">
        <is>
          <t>執行時間(台北)</t>
        </is>
      </c>
      <c r="B1" s="3" t="inlineStr">
        <is>
          <t>最新K棒(開盤時間)</t>
        </is>
      </c>
      <c r="C1" s="3" t="inlineStr">
        <is>
          <t>交易對數</t>
        </is>
      </c>
      <c r="D1" s="3" t="inlineStr">
        <is>
          <t>新開倉</t>
        </is>
      </c>
      <c r="E1" s="3" t="inlineStr">
        <is>
          <t>新平倉</t>
        </is>
      </c>
      <c r="F1" s="3" t="inlineStr">
        <is>
          <t>錯誤數</t>
        </is>
      </c>
      <c r="G1" s="3" t="inlineStr">
        <is>
          <t>耗時(秒)</t>
        </is>
      </c>
    </row>
    <row r="2">
      <c r="A2" s="7" t="n">
        <v>46293.08172232639</v>
      </c>
      <c r="B2" s="7" t="n">
        <v>46293.08055555556</v>
      </c>
      <c r="C2" s="2" t="n">
        <v>433</v>
      </c>
      <c r="D2" s="2" t="n">
        <v>0</v>
      </c>
      <c r="E2" s="2" t="n">
        <v>0</v>
      </c>
      <c r="F2" s="2" t="n">
        <v>0</v>
      </c>
      <c r="G2" s="2" t="n">
        <v>148.9</v>
      </c>
    </row>
    <row r="3">
      <c r="A3" s="7" t="n">
        <v>46292.9814453588</v>
      </c>
      <c r="B3" s="7" t="n">
        <v>46292.98055555556</v>
      </c>
      <c r="C3" s="2" t="n">
        <v>433</v>
      </c>
      <c r="D3" s="2" t="n">
        <v>0</v>
      </c>
      <c r="E3" s="2" t="n">
        <v>1</v>
      </c>
      <c r="F3" s="2" t="n">
        <v>0</v>
      </c>
      <c r="G3" s="2" t="n">
        <v>186</v>
      </c>
    </row>
    <row r="4">
      <c r="A4" s="7" t="n">
        <v>46292.9472603125</v>
      </c>
      <c r="B4" s="7" t="n">
        <v>46292.94652777778</v>
      </c>
      <c r="C4" s="2" t="n">
        <v>433</v>
      </c>
      <c r="D4" s="2" t="n">
        <v>1</v>
      </c>
      <c r="E4" s="2" t="n">
        <v>0</v>
      </c>
      <c r="F4" s="2" t="n">
        <v>0</v>
      </c>
      <c r="G4" s="2" t="n">
        <v>192.1</v>
      </c>
    </row>
    <row r="5">
      <c r="A5" s="7" t="n">
        <v>46292.919814375</v>
      </c>
      <c r="B5" s="7" t="n">
        <v>46292.91875</v>
      </c>
      <c r="C5" s="2" t="n">
        <v>433</v>
      </c>
      <c r="D5" s="2" t="n">
        <v>0</v>
      </c>
      <c r="E5" s="2" t="n">
        <v>1</v>
      </c>
      <c r="F5" s="2" t="n">
        <v>0</v>
      </c>
      <c r="G5" s="2" t="n">
        <v>192.5</v>
      </c>
    </row>
    <row r="6">
      <c r="A6" s="7" t="n">
        <v>46292.81065981482</v>
      </c>
      <c r="B6" s="7" t="n">
        <v>46292.80972222222</v>
      </c>
      <c r="C6" s="2" t="n">
        <v>433</v>
      </c>
      <c r="D6" s="2" t="n">
        <v>1</v>
      </c>
      <c r="E6" s="2" t="n">
        <v>0</v>
      </c>
      <c r="F6" s="2" t="n">
        <v>0</v>
      </c>
      <c r="G6" s="2" t="n">
        <v>177.2</v>
      </c>
    </row>
    <row r="7">
      <c r="A7" s="7" t="n">
        <v>46292.73704342593</v>
      </c>
      <c r="B7" s="7" t="n">
        <v>46292.73611111111</v>
      </c>
      <c r="C7" s="2" t="n">
        <v>433</v>
      </c>
      <c r="D7" s="2" t="n">
        <v>0</v>
      </c>
      <c r="E7" s="2" t="n">
        <v>0</v>
      </c>
      <c r="F7" s="2" t="n">
        <v>0</v>
      </c>
      <c r="G7" s="2" t="n">
        <v>147.3</v>
      </c>
    </row>
    <row r="8">
      <c r="A8" s="7" t="n">
        <v>46292.67926077546</v>
      </c>
      <c r="B8" s="7" t="n">
        <v>46292.67847222222</v>
      </c>
      <c r="C8" s="2" t="n">
        <v>433</v>
      </c>
      <c r="D8" s="2" t="n">
        <v>0</v>
      </c>
      <c r="E8" s="2" t="n">
        <v>0</v>
      </c>
      <c r="F8" s="2" t="n">
        <v>0</v>
      </c>
      <c r="G8" s="2" t="n">
        <v>197.6</v>
      </c>
    </row>
    <row r="9">
      <c r="A9" s="7" t="n">
        <v>46292.6274472338</v>
      </c>
      <c r="B9" s="7" t="n">
        <v>46292.62638888889</v>
      </c>
      <c r="C9" s="2" t="n">
        <v>433</v>
      </c>
      <c r="D9" s="2" t="n">
        <v>0</v>
      </c>
      <c r="E9" s="2" t="n">
        <v>0</v>
      </c>
      <c r="F9" s="2" t="n">
        <v>0</v>
      </c>
      <c r="G9" s="2" t="n">
        <v>192.4</v>
      </c>
    </row>
    <row r="10">
      <c r="A10" s="7" t="n">
        <v>46292.50599667824</v>
      </c>
      <c r="B10" s="7" t="n">
        <v>46292.50486111111</v>
      </c>
      <c r="C10" s="2" t="n">
        <v>433</v>
      </c>
      <c r="D10" s="2" t="n">
        <v>1</v>
      </c>
      <c r="E10" s="2" t="n">
        <v>1</v>
      </c>
      <c r="F10" s="2" t="n">
        <v>0</v>
      </c>
      <c r="G10" s="2" t="n">
        <v>191.3</v>
      </c>
    </row>
    <row r="11">
      <c r="A11" s="7" t="n">
        <v>46292.39740747685</v>
      </c>
      <c r="B11" s="7" t="n">
        <v>46292.39652777778</v>
      </c>
      <c r="C11" s="2" t="n">
        <v>433</v>
      </c>
      <c r="D11" s="2" t="n">
        <v>0</v>
      </c>
      <c r="E11" s="2" t="n">
        <v>0</v>
      </c>
      <c r="F11" s="2" t="n">
        <v>0</v>
      </c>
      <c r="G11" s="2" t="n">
        <v>150.9</v>
      </c>
    </row>
    <row r="12">
      <c r="A12" s="7" t="n">
        <v>46292.28951247685</v>
      </c>
      <c r="B12" s="7" t="n">
        <v>46292.28819444445</v>
      </c>
      <c r="C12" s="2" t="n">
        <v>433</v>
      </c>
      <c r="D12" s="2" t="n">
        <v>0</v>
      </c>
      <c r="E12" s="2" t="n">
        <v>0</v>
      </c>
      <c r="F12" s="2" t="n">
        <v>0</v>
      </c>
      <c r="G12" s="2" t="n">
        <v>163.9</v>
      </c>
    </row>
    <row r="13">
      <c r="A13" s="7" t="n">
        <v>46292.28563091435</v>
      </c>
      <c r="B13" s="7" t="n">
        <v>46292.28472222222</v>
      </c>
      <c r="C13" s="2" t="n">
        <v>433</v>
      </c>
      <c r="D13" s="2" t="n">
        <v>0</v>
      </c>
      <c r="E13" s="2" t="n">
        <v>0</v>
      </c>
      <c r="F13" s="2" t="n">
        <v>0</v>
      </c>
      <c r="G13" s="2" t="n">
        <v>186.1</v>
      </c>
    </row>
    <row r="14">
      <c r="A14" s="7" t="n">
        <v>46292.16453692129</v>
      </c>
      <c r="B14" s="7" t="n">
        <v>46292.16319444445</v>
      </c>
      <c r="C14" s="2" t="n">
        <v>433</v>
      </c>
      <c r="D14" s="2" t="n">
        <v>0</v>
      </c>
      <c r="E14" s="2" t="n">
        <v>0</v>
      </c>
      <c r="F14" s="2" t="n">
        <v>0</v>
      </c>
      <c r="G14" s="2" t="n">
        <v>183.8</v>
      </c>
    </row>
    <row r="15">
      <c r="A15" s="7" t="n">
        <v>46292.05207142361</v>
      </c>
      <c r="B15" s="7" t="n">
        <v>46292.05069444444</v>
      </c>
      <c r="C15" s="2" t="n">
        <v>433</v>
      </c>
      <c r="D15" s="2" t="n">
        <v>1</v>
      </c>
      <c r="E15" s="2" t="n">
        <v>2</v>
      </c>
      <c r="F15" s="2" t="n">
        <v>0</v>
      </c>
      <c r="G15" s="2" t="n">
        <v>160.8</v>
      </c>
    </row>
    <row r="16">
      <c r="A16" s="7" t="n">
        <v>46291.98017201389</v>
      </c>
      <c r="B16" s="7" t="n">
        <v>46291.97916666666</v>
      </c>
      <c r="C16" s="2" t="n">
        <v>433</v>
      </c>
      <c r="D16" s="2" t="n">
        <v>1</v>
      </c>
      <c r="E16" s="2" t="n">
        <v>0</v>
      </c>
      <c r="F16" s="2" t="n">
        <v>0</v>
      </c>
      <c r="G16" s="2" t="n">
        <v>148.2</v>
      </c>
    </row>
    <row r="17">
      <c r="A17" s="7" t="n">
        <v>46291.93749069444</v>
      </c>
      <c r="B17" s="7" t="n">
        <v>46291.93611111111</v>
      </c>
      <c r="C17" s="2" t="n">
        <v>433</v>
      </c>
      <c r="D17" s="2" t="n">
        <v>0</v>
      </c>
      <c r="E17" s="2" t="n">
        <v>0</v>
      </c>
      <c r="F17" s="2" t="n">
        <v>0</v>
      </c>
      <c r="G17" s="2" t="n">
        <v>163.1</v>
      </c>
    </row>
    <row r="18">
      <c r="A18" s="7" t="n">
        <v>46291.88266193287</v>
      </c>
      <c r="B18" s="7" t="n">
        <v>46291.88194444445</v>
      </c>
      <c r="C18" s="2" t="n">
        <v>433</v>
      </c>
      <c r="D18" s="2" t="n">
        <v>0</v>
      </c>
      <c r="E18" s="2" t="n">
        <v>0</v>
      </c>
      <c r="F18" s="2" t="n">
        <v>0</v>
      </c>
      <c r="G18" s="2" t="n">
        <v>140.5</v>
      </c>
    </row>
    <row r="19">
      <c r="A19" s="7" t="n">
        <v>46291.83751681713</v>
      </c>
      <c r="B19" s="7" t="n">
        <v>46291.83680555555</v>
      </c>
      <c r="C19" s="2" t="n">
        <v>433</v>
      </c>
      <c r="D19" s="2" t="n">
        <v>0</v>
      </c>
      <c r="E19" s="2" t="n">
        <v>0</v>
      </c>
      <c r="F19" s="2" t="n">
        <v>0</v>
      </c>
      <c r="G19" s="2" t="n">
        <v>186.6</v>
      </c>
    </row>
    <row r="20">
      <c r="A20" s="7" t="n">
        <v>46291.78589450232</v>
      </c>
      <c r="B20" s="7" t="n">
        <v>46291.78472222222</v>
      </c>
      <c r="C20" s="2" t="n">
        <v>433</v>
      </c>
      <c r="D20" s="2" t="n">
        <v>0</v>
      </c>
      <c r="E20" s="2" t="n">
        <v>0</v>
      </c>
      <c r="F20" s="2" t="n">
        <v>0</v>
      </c>
      <c r="G20" s="2" t="n">
        <v>157.8</v>
      </c>
    </row>
    <row r="21">
      <c r="A21" s="7" t="n">
        <v>46291.65882908565</v>
      </c>
      <c r="B21" s="7" t="n">
        <v>46291.65763888889</v>
      </c>
      <c r="C21" s="2" t="n">
        <v>433</v>
      </c>
      <c r="D21" s="2" t="n">
        <v>0</v>
      </c>
      <c r="E21" s="2" t="n">
        <v>1</v>
      </c>
      <c r="F21" s="2" t="n">
        <v>0</v>
      </c>
      <c r="G21" s="2" t="n">
        <v>175.7</v>
      </c>
    </row>
    <row r="22">
      <c r="A22" s="7" t="n">
        <v>46291.63896155093</v>
      </c>
      <c r="B22" s="7" t="n">
        <v>46291.63819444444</v>
      </c>
      <c r="C22" s="2" t="n">
        <v>433</v>
      </c>
      <c r="D22" s="2" t="n">
        <v>1</v>
      </c>
      <c r="E22" s="2" t="n">
        <v>0</v>
      </c>
      <c r="F22" s="2" t="n">
        <v>0</v>
      </c>
      <c r="G22" s="2" t="n">
        <v>177.9</v>
      </c>
    </row>
    <row r="23">
      <c r="A23" s="7" t="n">
        <v>46291.63155474537</v>
      </c>
      <c r="B23" s="7" t="n">
        <v>46291.63055555556</v>
      </c>
      <c r="C23" s="2" t="n">
        <v>433</v>
      </c>
      <c r="D23" s="2" t="n">
        <v>1</v>
      </c>
      <c r="E23" s="2" t="n">
        <v>1</v>
      </c>
      <c r="F23" s="2" t="n">
        <v>0</v>
      </c>
      <c r="G23" s="2" t="n">
        <v>172.6</v>
      </c>
    </row>
    <row r="24">
      <c r="A24" s="7" t="n">
        <v>46291.58748165509</v>
      </c>
      <c r="B24" s="7" t="n">
        <v>46291.58611111111</v>
      </c>
      <c r="C24" s="2" t="n">
        <v>433</v>
      </c>
      <c r="D24" s="2" t="n">
        <v>0</v>
      </c>
      <c r="E24" s="2" t="n">
        <v>0</v>
      </c>
      <c r="F24" s="2" t="n">
        <v>0</v>
      </c>
      <c r="G24" s="2" t="n">
        <v>148</v>
      </c>
    </row>
    <row r="25">
      <c r="A25" s="7" t="n">
        <v>46291.52177836806</v>
      </c>
      <c r="B25" s="7" t="n">
        <v>46291.52083333334</v>
      </c>
      <c r="C25" s="2" t="n">
        <v>433</v>
      </c>
      <c r="D25" s="2" t="n">
        <v>0</v>
      </c>
      <c r="E25" s="2" t="n">
        <v>0</v>
      </c>
      <c r="F25" s="2" t="n">
        <v>0</v>
      </c>
      <c r="G25" s="2" t="n">
        <v>187.5</v>
      </c>
    </row>
    <row r="26">
      <c r="A26" s="7" t="n">
        <v>46291.40186751157</v>
      </c>
      <c r="B26" s="7" t="n">
        <v>46291.40069444444</v>
      </c>
      <c r="C26" s="2" t="n">
        <v>433</v>
      </c>
      <c r="D26" s="2" t="n">
        <v>0</v>
      </c>
      <c r="E26" s="2" t="n">
        <v>0</v>
      </c>
      <c r="F26" s="2" t="n">
        <v>0</v>
      </c>
      <c r="G26" s="2" t="n">
        <v>188.1</v>
      </c>
    </row>
    <row r="27">
      <c r="A27" s="7" t="n">
        <v>46291.36540915509</v>
      </c>
      <c r="B27" s="7" t="n">
        <v>46291.36458333334</v>
      </c>
      <c r="C27" s="2" t="n">
        <v>433</v>
      </c>
      <c r="D27" s="2" t="n">
        <v>0</v>
      </c>
      <c r="E27" s="2" t="n">
        <v>0</v>
      </c>
      <c r="F27" s="2" t="n">
        <v>0</v>
      </c>
      <c r="G27" s="2" t="n">
        <v>163.5</v>
      </c>
    </row>
    <row r="28">
      <c r="A28" s="7" t="n">
        <v>46291.26887001158</v>
      </c>
      <c r="B28" s="7" t="n">
        <v>46291.26805555556</v>
      </c>
      <c r="C28" s="2" t="n">
        <v>433</v>
      </c>
      <c r="D28" s="2" t="n">
        <v>0</v>
      </c>
      <c r="E28" s="2" t="n">
        <v>0</v>
      </c>
      <c r="F28" s="2" t="n">
        <v>0</v>
      </c>
      <c r="G28" s="2" t="n">
        <v>184.5</v>
      </c>
    </row>
    <row r="29">
      <c r="A29" s="7" t="n">
        <v>46291.2560487963</v>
      </c>
      <c r="B29" s="7" t="n">
        <v>46291.25486111111</v>
      </c>
      <c r="C29" s="2" t="n">
        <v>433</v>
      </c>
      <c r="D29" s="2" t="n">
        <v>0</v>
      </c>
      <c r="E29" s="2" t="n">
        <v>0</v>
      </c>
      <c r="F29" s="2" t="n">
        <v>0</v>
      </c>
      <c r="G29" s="2" t="n">
        <v>191.6</v>
      </c>
    </row>
    <row r="30">
      <c r="A30" s="7" t="n">
        <v>46291.11246790509</v>
      </c>
      <c r="B30" s="7" t="n">
        <v>46291.11111111111</v>
      </c>
      <c r="C30" s="2" t="n">
        <v>433</v>
      </c>
      <c r="D30" s="2" t="n">
        <v>0</v>
      </c>
      <c r="E30" s="2" t="n">
        <v>0</v>
      </c>
      <c r="F30" s="2" t="n">
        <v>0</v>
      </c>
      <c r="G30" s="2" t="n">
        <v>182.3</v>
      </c>
    </row>
    <row r="31">
      <c r="A31" s="7" t="n">
        <v>46291.02308788194</v>
      </c>
      <c r="B31" s="7" t="n">
        <v>46291.02222222222</v>
      </c>
      <c r="C31" s="2" t="n">
        <v>433</v>
      </c>
      <c r="D31" s="2" t="n">
        <v>0</v>
      </c>
      <c r="E31" s="2" t="n">
        <v>0</v>
      </c>
      <c r="F31" s="2" t="n">
        <v>0</v>
      </c>
      <c r="G31" s="2" t="n">
        <v>140.5</v>
      </c>
    </row>
    <row r="32">
      <c r="A32" s="7" t="n">
        <v>46290.9990443287</v>
      </c>
      <c r="B32" s="7" t="n">
        <v>46290.99791666667</v>
      </c>
      <c r="C32" s="2" t="n">
        <v>433</v>
      </c>
      <c r="D32" s="2" t="n">
        <v>0</v>
      </c>
      <c r="E32" s="2" t="n">
        <v>0</v>
      </c>
      <c r="F32" s="2" t="n">
        <v>0</v>
      </c>
      <c r="G32" s="2" t="n">
        <v>197.5</v>
      </c>
    </row>
    <row r="33">
      <c r="A33" s="7" t="n">
        <v>46290.91267655093</v>
      </c>
      <c r="B33" s="7" t="n">
        <v>46290.91180555556</v>
      </c>
      <c r="C33" s="2" t="n">
        <v>433</v>
      </c>
      <c r="D33" s="2" t="n">
        <v>0</v>
      </c>
      <c r="E33" s="2" t="n">
        <v>0</v>
      </c>
      <c r="F33" s="2" t="n">
        <v>0</v>
      </c>
      <c r="G33" s="2" t="n">
        <v>193.4</v>
      </c>
    </row>
    <row r="34">
      <c r="A34" s="7" t="n">
        <v>46290.82088560185</v>
      </c>
      <c r="B34" s="7" t="n">
        <v>46290.82013888889</v>
      </c>
      <c r="C34" s="2" t="n">
        <v>433</v>
      </c>
      <c r="D34" s="2" t="n">
        <v>0</v>
      </c>
      <c r="E34" s="2" t="n">
        <v>0</v>
      </c>
      <c r="F34" s="2" t="n">
        <v>0</v>
      </c>
      <c r="G34" s="2" t="n">
        <v>174.9</v>
      </c>
    </row>
    <row r="35">
      <c r="A35" s="7" t="n">
        <v>46290.76820827546</v>
      </c>
      <c r="B35" s="7" t="n">
        <v>46290.76736111111</v>
      </c>
      <c r="C35" s="2" t="n">
        <v>433</v>
      </c>
      <c r="D35" s="2" t="n">
        <v>0</v>
      </c>
      <c r="E35" s="2" t="n">
        <v>0</v>
      </c>
      <c r="F35" s="2" t="n">
        <v>0</v>
      </c>
      <c r="G35" s="2" t="n">
        <v>187</v>
      </c>
    </row>
    <row r="36">
      <c r="A36" s="7" t="n">
        <v>46290.709303125</v>
      </c>
      <c r="B36" s="7" t="n">
        <v>46290.70833333334</v>
      </c>
      <c r="C36" s="2" t="n">
        <v>433</v>
      </c>
      <c r="D36" s="2" t="n">
        <v>0</v>
      </c>
      <c r="E36" s="2" t="n">
        <v>0</v>
      </c>
      <c r="F36" s="2" t="n">
        <v>0</v>
      </c>
      <c r="G36" s="2" t="n">
        <v>187.6</v>
      </c>
    </row>
    <row r="37">
      <c r="A37" s="7" t="n">
        <v>46290.66382769676</v>
      </c>
      <c r="B37" s="7" t="n">
        <v>46290.6625</v>
      </c>
      <c r="C37" s="2" t="n">
        <v>433</v>
      </c>
      <c r="D37" s="2" t="n">
        <v>0</v>
      </c>
      <c r="E37" s="2" t="n">
        <v>0</v>
      </c>
      <c r="F37" s="2" t="n">
        <v>0</v>
      </c>
      <c r="G37" s="2" t="n">
        <v>185.1</v>
      </c>
    </row>
    <row r="38">
      <c r="A38" s="7" t="n">
        <v>46290.61757802084</v>
      </c>
      <c r="B38" s="7" t="n">
        <v>46290.61666666667</v>
      </c>
      <c r="C38" s="2" t="n">
        <v>433</v>
      </c>
      <c r="D38" s="2" t="n">
        <v>0</v>
      </c>
      <c r="E38" s="2" t="n">
        <v>0</v>
      </c>
      <c r="F38" s="2" t="n">
        <v>0</v>
      </c>
      <c r="G38" s="2" t="n">
        <v>178.9</v>
      </c>
    </row>
    <row r="39">
      <c r="A39" s="7" t="n">
        <v>46290.55632820602</v>
      </c>
      <c r="B39" s="7" t="n">
        <v>46290.55555555555</v>
      </c>
      <c r="C39" s="2" t="n">
        <v>433</v>
      </c>
      <c r="D39" s="2" t="n">
        <v>0</v>
      </c>
      <c r="E39" s="2" t="n">
        <v>0</v>
      </c>
      <c r="F39" s="2" t="n">
        <v>0</v>
      </c>
      <c r="G39" s="2" t="n">
        <v>179.4</v>
      </c>
    </row>
    <row r="40">
      <c r="A40" s="7" t="n">
        <v>46290.50409561343</v>
      </c>
      <c r="B40" s="7" t="n">
        <v>46290.50277777778</v>
      </c>
      <c r="C40" s="2" t="n">
        <v>433</v>
      </c>
      <c r="D40" s="2" t="n">
        <v>0</v>
      </c>
      <c r="E40" s="2" t="n">
        <v>0</v>
      </c>
      <c r="F40" s="2" t="n">
        <v>0</v>
      </c>
      <c r="G40" s="2" t="n">
        <v>174.5</v>
      </c>
    </row>
    <row r="41">
      <c r="A41" s="7" t="n">
        <v>46290.39966920139</v>
      </c>
      <c r="B41" s="7" t="n">
        <v>46290.39861111111</v>
      </c>
      <c r="C41" s="2" t="n">
        <v>433</v>
      </c>
      <c r="D41" s="2" t="n">
        <v>0</v>
      </c>
      <c r="E41" s="2" t="n">
        <v>0</v>
      </c>
      <c r="F41" s="2" t="n">
        <v>0</v>
      </c>
      <c r="G41" s="2" t="n">
        <v>189.8</v>
      </c>
    </row>
    <row r="42">
      <c r="A42" s="7" t="n">
        <v>46290.3483633912</v>
      </c>
      <c r="B42" s="7" t="n">
        <v>46290.34722222222</v>
      </c>
      <c r="C42" s="2" t="n">
        <v>433</v>
      </c>
      <c r="D42" s="2" t="n">
        <v>0</v>
      </c>
      <c r="E42" s="2" t="n">
        <v>0</v>
      </c>
      <c r="F42" s="2" t="n">
        <v>0</v>
      </c>
      <c r="G42" s="2" t="n">
        <v>163.4</v>
      </c>
    </row>
    <row r="43">
      <c r="A43" s="7" t="n">
        <v>46290.27195019676</v>
      </c>
      <c r="B43" s="7" t="n">
        <v>46290.27083333334</v>
      </c>
      <c r="C43" s="2" t="n">
        <v>433</v>
      </c>
      <c r="D43" s="2" t="n">
        <v>0</v>
      </c>
      <c r="E43" s="2" t="n">
        <v>0</v>
      </c>
      <c r="F43" s="2" t="n">
        <v>1</v>
      </c>
      <c r="G43" s="2" t="n">
        <v>182.9</v>
      </c>
    </row>
    <row r="44">
      <c r="A44" s="7" t="n">
        <v>46290.13587655093</v>
      </c>
      <c r="B44" s="7" t="n">
        <v>46290.13472222222</v>
      </c>
      <c r="C44" s="2" t="n">
        <v>433</v>
      </c>
      <c r="D44" s="2" t="n">
        <v>1</v>
      </c>
      <c r="E44" s="2" t="n">
        <v>1</v>
      </c>
      <c r="F44" s="2" t="n">
        <v>1</v>
      </c>
      <c r="G44" s="2" t="n">
        <v>191.6</v>
      </c>
    </row>
    <row r="45">
      <c r="A45" s="7" t="n">
        <v>46290.02908936342</v>
      </c>
      <c r="B45" s="7" t="n">
        <v>46290.02777777778</v>
      </c>
      <c r="C45" s="2" t="n">
        <v>433</v>
      </c>
      <c r="D45" s="2" t="n">
        <v>1</v>
      </c>
      <c r="E45" s="2" t="n">
        <v>1</v>
      </c>
      <c r="F45" s="2" t="n">
        <v>1</v>
      </c>
      <c r="G45" s="2" t="n">
        <v>166.2</v>
      </c>
    </row>
    <row r="46">
      <c r="A46" s="7" t="n">
        <v>46289.96715996528</v>
      </c>
      <c r="B46" s="7" t="n">
        <v>46289.96597222222</v>
      </c>
      <c r="C46" s="2" t="n">
        <v>433</v>
      </c>
      <c r="D46" s="2" t="n">
        <v>0</v>
      </c>
      <c r="E46" s="2" t="n">
        <v>0</v>
      </c>
      <c r="F46" s="2" t="n">
        <v>1</v>
      </c>
      <c r="G46" s="2" t="n">
        <v>190.1</v>
      </c>
    </row>
    <row r="47">
      <c r="A47" s="7" t="n">
        <v>46289.95004011574</v>
      </c>
      <c r="B47" s="7" t="n">
        <v>46289.94930555556</v>
      </c>
      <c r="C47" s="2" t="n">
        <v>433</v>
      </c>
      <c r="D47" s="2" t="n">
        <v>0</v>
      </c>
      <c r="E47" s="2" t="n">
        <v>0</v>
      </c>
      <c r="F47" s="2" t="n">
        <v>1</v>
      </c>
      <c r="G47" s="2" t="n">
        <v>178.4</v>
      </c>
    </row>
    <row r="48">
      <c r="A48" s="7" t="n">
        <v>46289.94135959491</v>
      </c>
      <c r="B48" s="7" t="n">
        <v>46289.94027777778</v>
      </c>
      <c r="C48" s="2" t="n">
        <v>433</v>
      </c>
      <c r="D48" s="2" t="n">
        <v>0</v>
      </c>
      <c r="E48" s="2" t="n">
        <v>0</v>
      </c>
      <c r="F48" s="2" t="n">
        <v>1</v>
      </c>
      <c r="G48" s="2" t="n">
        <v>183.8</v>
      </c>
    </row>
    <row r="49">
      <c r="A49" s="7" t="n">
        <v>46289.92565313658</v>
      </c>
      <c r="B49" s="7" t="n">
        <v>46289.92430555556</v>
      </c>
      <c r="C49" s="2" t="n">
        <v>433</v>
      </c>
      <c r="D49" s="2" t="n">
        <v>0</v>
      </c>
      <c r="E49" s="2" t="n">
        <v>0</v>
      </c>
      <c r="F49" s="2" t="n">
        <v>1</v>
      </c>
      <c r="G49" s="2" t="n">
        <v>226.2</v>
      </c>
    </row>
    <row r="50">
      <c r="A50" s="7" t="n">
        <v>46289.84896370371</v>
      </c>
      <c r="B50" s="7" t="n">
        <v>46289.84791666667</v>
      </c>
      <c r="C50" s="2" t="n">
        <v>433</v>
      </c>
      <c r="D50" s="2" t="n">
        <v>1</v>
      </c>
      <c r="E50" s="2" t="n">
        <v>2</v>
      </c>
      <c r="F50" s="2" t="n">
        <v>1</v>
      </c>
      <c r="G50" s="2" t="n">
        <v>147.5</v>
      </c>
    </row>
    <row r="51">
      <c r="A51" s="7" t="n">
        <v>46289.78526427083</v>
      </c>
      <c r="B51" s="7" t="n">
        <v>46289.78402777778</v>
      </c>
      <c r="C51" s="2" t="n">
        <v>433</v>
      </c>
      <c r="D51" s="2" t="n">
        <v>1</v>
      </c>
      <c r="E51" s="2" t="n">
        <v>0</v>
      </c>
      <c r="F51" s="2" t="n">
        <v>1</v>
      </c>
      <c r="G51" s="2" t="n">
        <v>186.8</v>
      </c>
    </row>
    <row r="52">
      <c r="A52" s="7" t="n">
        <v>46289.75543116898</v>
      </c>
      <c r="B52" s="7" t="n">
        <v>46289.75</v>
      </c>
      <c r="C52" s="2" t="n">
        <v>433</v>
      </c>
      <c r="D52" s="2" t="n">
        <v>0</v>
      </c>
      <c r="E52" s="2" t="n">
        <v>0</v>
      </c>
      <c r="F52" s="2" t="n">
        <v>1</v>
      </c>
      <c r="G52" s="2" t="n">
        <v>109.8</v>
      </c>
    </row>
    <row r="53">
      <c r="A53" s="7" t="n">
        <v>46289.54138961805</v>
      </c>
      <c r="B53" s="7" t="n">
        <v>46289.53472222222</v>
      </c>
      <c r="C53" s="2" t="n">
        <v>433</v>
      </c>
      <c r="D53" s="2" t="n">
        <v>1</v>
      </c>
      <c r="E53" s="2" t="n">
        <v>1</v>
      </c>
      <c r="F53" s="2" t="n">
        <v>1</v>
      </c>
      <c r="G53" s="2" t="n">
        <v>125.8</v>
      </c>
    </row>
    <row r="54">
      <c r="A54" s="7" t="n">
        <v>46289.32358565972</v>
      </c>
      <c r="B54" s="7" t="n">
        <v>46289.31944444445</v>
      </c>
      <c r="C54" s="2" t="n">
        <v>433</v>
      </c>
      <c r="D54" s="2" t="n">
        <v>1</v>
      </c>
      <c r="E54" s="2" t="n">
        <v>1</v>
      </c>
      <c r="F54" s="2" t="n">
        <v>1</v>
      </c>
      <c r="G54" s="2" t="n">
        <v>130.2</v>
      </c>
    </row>
    <row r="55">
      <c r="A55" s="7" t="n">
        <v>46289.18599210648</v>
      </c>
      <c r="B55" s="7" t="n">
        <v>46289.18055555555</v>
      </c>
      <c r="C55" s="2" t="n">
        <v>433</v>
      </c>
      <c r="D55" s="2" t="n">
        <v>0</v>
      </c>
      <c r="E55" s="2" t="n">
        <v>0</v>
      </c>
      <c r="F55" s="2" t="n">
        <v>1</v>
      </c>
      <c r="G55" s="2" t="n">
        <v>129.3</v>
      </c>
    </row>
    <row r="56">
      <c r="A56" s="7" t="n">
        <v>46289.04908521991</v>
      </c>
      <c r="B56" s="7" t="n">
        <v>46289.04513888889</v>
      </c>
      <c r="C56" s="2" t="n">
        <v>433</v>
      </c>
      <c r="D56" s="2" t="n">
        <v>0</v>
      </c>
      <c r="E56" s="2" t="n">
        <v>0</v>
      </c>
      <c r="F56" s="2" t="n">
        <v>1</v>
      </c>
      <c r="G56" s="2" t="n">
        <v>96.90000000000001</v>
      </c>
    </row>
    <row r="57">
      <c r="A57" s="7" t="n">
        <v>46289.00944646991</v>
      </c>
      <c r="B57" s="7" t="n">
        <v>46289.00347222222</v>
      </c>
      <c r="C57" s="2" t="n">
        <v>433</v>
      </c>
      <c r="D57" s="2" t="n">
        <v>1</v>
      </c>
      <c r="E57" s="2" t="n">
        <v>1</v>
      </c>
      <c r="F57" s="2" t="n">
        <v>1</v>
      </c>
      <c r="G57" s="2" t="n">
        <v>127</v>
      </c>
    </row>
    <row r="58">
      <c r="A58" s="7" t="n">
        <v>46288.82408041666</v>
      </c>
      <c r="B58" s="7" t="n">
        <v>46288.81944444445</v>
      </c>
      <c r="C58" s="2" t="n">
        <v>433</v>
      </c>
      <c r="D58" s="2" t="n">
        <v>0</v>
      </c>
      <c r="E58" s="2" t="n">
        <v>0</v>
      </c>
      <c r="F58" s="2" t="n">
        <v>2</v>
      </c>
      <c r="G58" s="2" t="n">
        <v>118.2</v>
      </c>
    </row>
    <row r="59">
      <c r="A59" s="7" t="n">
        <v>46288.75275025463</v>
      </c>
      <c r="B59" s="7" t="n">
        <v>46288.74652777778</v>
      </c>
      <c r="C59" s="2" t="n">
        <v>433</v>
      </c>
      <c r="D59" s="2" t="n">
        <v>1</v>
      </c>
      <c r="E59" s="2" t="n">
        <v>1</v>
      </c>
      <c r="F59" s="2" t="n">
        <v>2</v>
      </c>
      <c r="G59" s="2" t="n">
        <v>125.5</v>
      </c>
    </row>
    <row r="60">
      <c r="A60" s="7" t="n">
        <v>46288.58577883102</v>
      </c>
      <c r="B60" s="7" t="n">
        <v>46288.57986111111</v>
      </c>
      <c r="C60" s="2" t="n">
        <v>433</v>
      </c>
      <c r="D60" s="2" t="n">
        <v>0</v>
      </c>
      <c r="E60" s="2" t="n">
        <v>0</v>
      </c>
      <c r="F60" s="2" t="n">
        <v>2</v>
      </c>
      <c r="G60" s="2" t="n">
        <v>112.8</v>
      </c>
    </row>
    <row r="61">
      <c r="A61" s="7" t="n">
        <v>46288.57218969907</v>
      </c>
      <c r="B61" s="7" t="n">
        <v>46288.56597222222</v>
      </c>
      <c r="C61" s="2" t="n">
        <v>433</v>
      </c>
      <c r="D61" s="2" t="n">
        <v>1</v>
      </c>
      <c r="E61" s="2" t="n">
        <v>1</v>
      </c>
      <c r="F61" s="2" t="n">
        <v>2</v>
      </c>
      <c r="G61" s="2" t="n">
        <v>99.7</v>
      </c>
    </row>
    <row r="62">
      <c r="A62" s="7" t="n">
        <v>46288.36332482639</v>
      </c>
      <c r="B62" s="7" t="n">
        <v>46288.35763888889</v>
      </c>
      <c r="C62" s="2" t="n">
        <v>441</v>
      </c>
      <c r="D62" s="2" t="n">
        <v>1</v>
      </c>
      <c r="E62" s="2" t="n">
        <v>1</v>
      </c>
      <c r="F62" s="2" t="n">
        <v>2</v>
      </c>
      <c r="G62" s="2" t="n">
        <v>94.40000000000001</v>
      </c>
    </row>
    <row r="63">
      <c r="A63" s="7" t="n">
        <v>46288.26120461806</v>
      </c>
      <c r="B63" s="7" t="n">
        <v>46288.25694444445</v>
      </c>
      <c r="C63" s="2" t="n">
        <v>441</v>
      </c>
      <c r="D63" s="2" t="n">
        <v>2</v>
      </c>
      <c r="E63" s="2" t="n">
        <v>5</v>
      </c>
      <c r="F63" s="2" t="n">
        <v>2</v>
      </c>
      <c r="G63" s="2" t="n">
        <v>103.1</v>
      </c>
    </row>
    <row r="64">
      <c r="A64" s="7" t="n">
        <v>46288.12397528935</v>
      </c>
      <c r="B64" s="7" t="n">
        <v>46288.11805555555</v>
      </c>
      <c r="C64" s="2" t="n">
        <v>441</v>
      </c>
      <c r="D64" s="2" t="n">
        <v>4</v>
      </c>
      <c r="E64" s="2" t="n">
        <v>1</v>
      </c>
      <c r="F64" s="2" t="n">
        <v>2</v>
      </c>
      <c r="G64" s="2" t="n">
        <v>114.4</v>
      </c>
    </row>
    <row r="65">
      <c r="A65" s="7" t="n">
        <v>46287.95840076389</v>
      </c>
      <c r="B65" s="7" t="n">
        <v>46287.95486111111</v>
      </c>
      <c r="C65" s="2" t="n">
        <v>441</v>
      </c>
      <c r="D65" s="2" t="n">
        <v>1</v>
      </c>
      <c r="E65" s="2" t="n">
        <v>1</v>
      </c>
      <c r="F65" s="2" t="n">
        <v>2</v>
      </c>
      <c r="G65" s="2" t="n">
        <v>135.1</v>
      </c>
    </row>
    <row r="66">
      <c r="A66" s="7" t="n">
        <v>46287.75277884259</v>
      </c>
      <c r="B66" s="7" t="n">
        <v>46287.74652777778</v>
      </c>
      <c r="C66" s="2" t="n">
        <v>440</v>
      </c>
      <c r="D66" s="2" t="n">
        <v>0</v>
      </c>
      <c r="E66" s="2" t="n">
        <v>0</v>
      </c>
      <c r="F66" s="2" t="n">
        <v>0</v>
      </c>
      <c r="G66" s="2" t="n">
        <v>130.3</v>
      </c>
    </row>
    <row r="67">
      <c r="A67" s="7" t="n">
        <v>46287.6758560301</v>
      </c>
      <c r="B67" s="7" t="n">
        <v>46287.67013888889</v>
      </c>
      <c r="C67" s="2" t="n">
        <v>440</v>
      </c>
      <c r="D67" s="2" t="n">
        <v>1</v>
      </c>
      <c r="E67" s="2" t="n">
        <v>2</v>
      </c>
      <c r="F67" s="2" t="n">
        <v>0</v>
      </c>
      <c r="G67" s="2" t="n">
        <v>91.7</v>
      </c>
    </row>
    <row r="68">
      <c r="A68" s="7" t="n">
        <v>46287.54602564815</v>
      </c>
      <c r="B68" s="7" t="n">
        <v>46287.54166666666</v>
      </c>
      <c r="C68" s="2" t="n">
        <v>440</v>
      </c>
      <c r="D68" s="2" t="n">
        <v>0</v>
      </c>
      <c r="E68" s="2" t="n">
        <v>0</v>
      </c>
      <c r="F68" s="2" t="n">
        <v>0</v>
      </c>
      <c r="G68" s="2" t="n">
        <v>125.4</v>
      </c>
    </row>
    <row r="69">
      <c r="A69" s="7" t="n">
        <v>46287.51247143518</v>
      </c>
      <c r="B69" s="7" t="n">
        <v>46287.50694444445</v>
      </c>
      <c r="C69" s="2" t="n">
        <v>440</v>
      </c>
      <c r="D69" s="2" t="n">
        <v>3</v>
      </c>
      <c r="E69" s="2" t="n">
        <v>3</v>
      </c>
      <c r="F69" s="2" t="n">
        <v>0</v>
      </c>
      <c r="G69" s="2" t="n">
        <v>102.8</v>
      </c>
    </row>
    <row r="70">
      <c r="A70" s="7" t="n">
        <v>46287.30635083334</v>
      </c>
      <c r="B70" s="7" t="n">
        <v>46287.30208333334</v>
      </c>
      <c r="C70" s="2" t="n">
        <v>440</v>
      </c>
      <c r="D70" s="2" t="n">
        <v>3</v>
      </c>
      <c r="E70" s="2" t="n">
        <v>2</v>
      </c>
      <c r="F70" s="2" t="n">
        <v>0</v>
      </c>
      <c r="G70" s="2" t="n">
        <v>135.9</v>
      </c>
    </row>
    <row r="71">
      <c r="A71" s="7" t="n">
        <v>46287.14961865741</v>
      </c>
      <c r="B71" s="7" t="n">
        <v>46287.14583333334</v>
      </c>
      <c r="C71" s="2" t="n">
        <v>440</v>
      </c>
      <c r="D71" s="2" t="n">
        <v>1</v>
      </c>
      <c r="E71" s="2" t="n">
        <v>1</v>
      </c>
      <c r="F71" s="2" t="n">
        <v>0</v>
      </c>
      <c r="G71" s="2" t="n">
        <v>130.5</v>
      </c>
    </row>
    <row r="72">
      <c r="A72" s="7" t="n">
        <v>46286.92852005787</v>
      </c>
      <c r="B72" s="7" t="n">
        <v>46286.92361111111</v>
      </c>
      <c r="C72" s="2" t="n">
        <v>440</v>
      </c>
      <c r="D72" s="2" t="n">
        <v>1</v>
      </c>
      <c r="E72" s="2" t="n">
        <v>2</v>
      </c>
      <c r="F72" s="2" t="n">
        <v>0</v>
      </c>
      <c r="G72" s="2" t="n">
        <v>112.2</v>
      </c>
    </row>
    <row r="73">
      <c r="A73" s="7" t="n">
        <v>46286.83222814815</v>
      </c>
      <c r="B73" s="7" t="n">
        <v>46286.82638888889</v>
      </c>
      <c r="C73" s="2" t="n">
        <v>440</v>
      </c>
      <c r="D73" s="2" t="n">
        <v>3</v>
      </c>
      <c r="E73" s="2" t="n">
        <v>3</v>
      </c>
      <c r="F73" s="2" t="n">
        <v>0</v>
      </c>
      <c r="G73" s="2" t="n">
        <v>126.4</v>
      </c>
    </row>
    <row r="74">
      <c r="A74" s="7" t="n">
        <v>46286.60261268519</v>
      </c>
      <c r="B74" s="7" t="n">
        <v>46286.59722222222</v>
      </c>
      <c r="C74" s="2" t="n">
        <v>440</v>
      </c>
      <c r="D74" s="2" t="n">
        <v>2</v>
      </c>
      <c r="E74" s="2" t="n">
        <v>1</v>
      </c>
      <c r="F74" s="2" t="n">
        <v>0</v>
      </c>
      <c r="G74" s="2" t="n">
        <v>111.5</v>
      </c>
    </row>
    <row r="75">
      <c r="A75" s="7" t="n">
        <v>46286.38294268519</v>
      </c>
      <c r="B75" s="7" t="n">
        <v>46286.37847222222</v>
      </c>
      <c r="C75" s="2" t="n">
        <v>440</v>
      </c>
      <c r="D75" s="2" t="n">
        <v>0</v>
      </c>
      <c r="E75" s="2" t="n">
        <v>1</v>
      </c>
      <c r="F75" s="2" t="n">
        <v>0</v>
      </c>
      <c r="G75" s="2" t="n">
        <v>102.4</v>
      </c>
    </row>
    <row r="76">
      <c r="A76" s="7" t="n">
        <v>46286.27148542824</v>
      </c>
      <c r="B76" s="7" t="n">
        <v>46286.26736111111</v>
      </c>
      <c r="C76" s="2" t="n">
        <v>440</v>
      </c>
      <c r="D76" s="2" t="n">
        <v>0</v>
      </c>
      <c r="E76" s="2" t="n">
        <v>1</v>
      </c>
      <c r="F76" s="2" t="n">
        <v>0</v>
      </c>
      <c r="G76" s="2" t="n">
        <v>126.7</v>
      </c>
    </row>
    <row r="77">
      <c r="A77" s="7" t="n">
        <v>46286.14641391204</v>
      </c>
      <c r="B77" s="7" t="n">
        <v>46286.14236111111</v>
      </c>
      <c r="C77" s="2" t="n">
        <v>440</v>
      </c>
      <c r="D77" s="2" t="n">
        <v>3</v>
      </c>
      <c r="E77" s="2" t="n">
        <v>1</v>
      </c>
      <c r="F77" s="2" t="n">
        <v>0</v>
      </c>
      <c r="G77" s="2" t="n">
        <v>131.3</v>
      </c>
    </row>
    <row r="78">
      <c r="A78" s="7" t="n">
        <v>46286.03573545139</v>
      </c>
      <c r="B78" s="7" t="n">
        <v>46286.03125</v>
      </c>
      <c r="C78" s="2" t="n">
        <v>440</v>
      </c>
      <c r="D78" s="2" t="n">
        <v>1</v>
      </c>
      <c r="E78" s="2" t="n">
        <v>1</v>
      </c>
      <c r="F78" s="2" t="n">
        <v>0</v>
      </c>
      <c r="G78" s="2" t="n">
        <v>127.3</v>
      </c>
    </row>
    <row r="79">
      <c r="A79" s="7" t="n">
        <v>46286.00283136574</v>
      </c>
      <c r="B79" s="7" t="n">
        <v>46285.99652777778</v>
      </c>
      <c r="C79" s="2" t="n">
        <v>440</v>
      </c>
      <c r="D79" s="2" t="n">
        <v>0</v>
      </c>
      <c r="E79" s="2" t="n">
        <v>0</v>
      </c>
      <c r="F79" s="2" t="n">
        <v>0</v>
      </c>
      <c r="G79" s="2" t="n">
        <v>101.9</v>
      </c>
    </row>
    <row r="80">
      <c r="A80" s="7" t="n">
        <v>46285.85245594908</v>
      </c>
      <c r="B80" s="7" t="n">
        <v>46285.84722222222</v>
      </c>
      <c r="C80" s="2" t="n">
        <v>440</v>
      </c>
      <c r="D80" s="2" t="n">
        <v>4</v>
      </c>
      <c r="E80" s="2" t="n">
        <v>4</v>
      </c>
      <c r="F80" s="2" t="n">
        <v>0</v>
      </c>
      <c r="G80" s="2" t="n">
        <v>100.6</v>
      </c>
    </row>
    <row r="81">
      <c r="A81" s="7" t="n">
        <v>46285.60105145833</v>
      </c>
      <c r="B81" s="7" t="n">
        <v>46285.59722222222</v>
      </c>
      <c r="C81" s="2" t="n">
        <v>440</v>
      </c>
      <c r="D81" s="2" t="n">
        <v>0</v>
      </c>
      <c r="E81" s="2" t="n">
        <v>0</v>
      </c>
      <c r="F81" s="2" t="n">
        <v>0</v>
      </c>
      <c r="G81" s="2" t="n">
        <v>129.1</v>
      </c>
    </row>
    <row r="82">
      <c r="A82" s="7" t="n">
        <v>46285.38559789352</v>
      </c>
      <c r="B82" s="7" t="n">
        <v>46285.38194444445</v>
      </c>
      <c r="C82" s="2" t="n">
        <v>440</v>
      </c>
      <c r="D82" s="2" t="n">
        <v>0</v>
      </c>
      <c r="E82" s="2" t="n">
        <v>0</v>
      </c>
      <c r="F82" s="2" t="n">
        <v>0</v>
      </c>
      <c r="G82" s="2" t="n">
        <v>112.5</v>
      </c>
    </row>
    <row r="83">
      <c r="A83" s="7" t="n">
        <v>46285.29994834491</v>
      </c>
      <c r="B83" s="7" t="n">
        <v>46285.29513888889</v>
      </c>
      <c r="C83" s="2" t="n">
        <v>440</v>
      </c>
      <c r="D83" s="2" t="n">
        <v>1</v>
      </c>
      <c r="E83" s="2" t="n">
        <v>2</v>
      </c>
      <c r="F83" s="2" t="n">
        <v>0</v>
      </c>
      <c r="G83" s="2" t="n">
        <v>128.1</v>
      </c>
    </row>
    <row r="84">
      <c r="A84" s="7" t="n">
        <v>46285.19964518519</v>
      </c>
      <c r="B84" s="7" t="n">
        <v>46285.19444444445</v>
      </c>
      <c r="C84" s="2" t="n">
        <v>440</v>
      </c>
      <c r="D84" s="2" t="n">
        <v>1</v>
      </c>
      <c r="E84" s="2" t="n">
        <v>1</v>
      </c>
      <c r="F84" s="2" t="n">
        <v>0</v>
      </c>
      <c r="G84" s="2" t="n">
        <v>110.6</v>
      </c>
    </row>
    <row r="85">
      <c r="A85" s="7" t="n">
        <v>46285.08704527777</v>
      </c>
      <c r="B85" s="7" t="n">
        <v>46285.08333333334</v>
      </c>
      <c r="C85" s="2" t="n">
        <v>440</v>
      </c>
      <c r="D85" s="2" t="n">
        <v>3</v>
      </c>
      <c r="E85" s="2" t="n">
        <v>2</v>
      </c>
      <c r="F85" s="2" t="n">
        <v>0</v>
      </c>
      <c r="G85" s="2" t="n">
        <v>95.09999999999999</v>
      </c>
    </row>
    <row r="86">
      <c r="A86" s="7" t="n">
        <v>46284.93748335648</v>
      </c>
      <c r="B86" s="7" t="n">
        <v>46284.93055555555</v>
      </c>
      <c r="C86" s="2" t="n">
        <v>440</v>
      </c>
      <c r="D86" s="2" t="n">
        <v>1</v>
      </c>
      <c r="E86" s="2" t="n">
        <v>1</v>
      </c>
      <c r="F86" s="2" t="n">
        <v>0</v>
      </c>
      <c r="G86" s="2" t="n">
        <v>128.7</v>
      </c>
    </row>
    <row r="87">
      <c r="A87" s="7" t="n">
        <v>46284.79727659722</v>
      </c>
      <c r="B87" s="7" t="n">
        <v>46284.79166666666</v>
      </c>
      <c r="C87" s="2" t="n">
        <v>440</v>
      </c>
      <c r="D87" s="2" t="n">
        <v>1</v>
      </c>
      <c r="E87" s="2" t="n">
        <v>1</v>
      </c>
      <c r="F87" s="2" t="n">
        <v>0</v>
      </c>
      <c r="G87" s="2" t="n">
        <v>109.7</v>
      </c>
    </row>
    <row r="88">
      <c r="A88" s="7" t="n">
        <v>46284.58365538195</v>
      </c>
      <c r="B88" s="7" t="n">
        <v>46284.57986111111</v>
      </c>
      <c r="C88" s="2" t="n">
        <v>440</v>
      </c>
      <c r="D88" s="2" t="n">
        <v>0</v>
      </c>
      <c r="E88" s="2" t="n">
        <v>0</v>
      </c>
      <c r="F88" s="2" t="n">
        <v>0</v>
      </c>
      <c r="G88" s="2" t="n">
        <v>101.8</v>
      </c>
    </row>
    <row r="89">
      <c r="A89" s="7" t="n">
        <v>46284.38530752315</v>
      </c>
      <c r="B89" s="7" t="n">
        <v>46284.37847222222</v>
      </c>
      <c r="C89" s="2" t="n">
        <v>440</v>
      </c>
      <c r="D89" s="2" t="n">
        <v>0</v>
      </c>
      <c r="E89" s="2" t="n">
        <v>0</v>
      </c>
      <c r="F89" s="2" t="n">
        <v>0</v>
      </c>
      <c r="G89" s="2" t="n">
        <v>130.8</v>
      </c>
    </row>
    <row r="90">
      <c r="A90" s="7" t="n">
        <v>46284.27664920139</v>
      </c>
      <c r="B90" s="7" t="n">
        <v>46284.27083333334</v>
      </c>
      <c r="C90" s="2" t="n">
        <v>440</v>
      </c>
      <c r="D90" s="2" t="n">
        <v>1</v>
      </c>
      <c r="E90" s="2" t="n">
        <v>1</v>
      </c>
      <c r="F90" s="2" t="n">
        <v>0</v>
      </c>
      <c r="G90" s="2" t="n">
        <v>127.8</v>
      </c>
    </row>
    <row r="91">
      <c r="A91" s="7" t="n">
        <v>46284.15392047453</v>
      </c>
      <c r="B91" s="7" t="n">
        <v>46284.14930555555</v>
      </c>
      <c r="C91" s="2" t="n">
        <v>440</v>
      </c>
      <c r="D91" s="2" t="n">
        <v>1</v>
      </c>
      <c r="E91" s="2" t="n">
        <v>1</v>
      </c>
      <c r="F91" s="2" t="n">
        <v>0</v>
      </c>
      <c r="G91" s="2" t="n">
        <v>135.6</v>
      </c>
    </row>
    <row r="92">
      <c r="A92" s="7" t="n">
        <v>46284.02123533565</v>
      </c>
      <c r="B92" s="7" t="n">
        <v>46284.01736111111</v>
      </c>
      <c r="C92" s="2" t="n">
        <v>440</v>
      </c>
      <c r="D92" s="2" t="n">
        <v>0</v>
      </c>
      <c r="E92" s="2" t="n">
        <v>0</v>
      </c>
      <c r="F92" s="2" t="n">
        <v>0</v>
      </c>
      <c r="G92" s="2" t="n">
        <v>102.8</v>
      </c>
    </row>
    <row r="93">
      <c r="A93" s="7" t="n">
        <v>46283.99753837963</v>
      </c>
      <c r="B93" s="7" t="n">
        <v>46283.99305555555</v>
      </c>
      <c r="C93" s="2" t="n">
        <v>440</v>
      </c>
      <c r="D93" s="2" t="n">
        <v>3</v>
      </c>
      <c r="E93" s="2" t="n">
        <v>3</v>
      </c>
      <c r="F93" s="2" t="n">
        <v>0</v>
      </c>
      <c r="G93" s="2" t="n">
        <v>129.8</v>
      </c>
    </row>
    <row r="94">
      <c r="A94" s="7" t="n">
        <v>46283.80859936342</v>
      </c>
      <c r="B94" s="7" t="n">
        <v>46283.80208333334</v>
      </c>
      <c r="C94" s="2" t="n">
        <v>440</v>
      </c>
      <c r="D94" s="2" t="n">
        <v>0</v>
      </c>
      <c r="E94" s="2" t="n">
        <v>0</v>
      </c>
      <c r="F94" s="2" t="n">
        <v>0</v>
      </c>
      <c r="G94" s="2" t="n">
        <v>127.7</v>
      </c>
    </row>
    <row r="95">
      <c r="A95" s="7" t="n">
        <v>46283.78916202546</v>
      </c>
      <c r="B95" s="7" t="n">
        <v>46283.78472222222</v>
      </c>
      <c r="C95" s="2" t="n">
        <v>440</v>
      </c>
      <c r="D95" s="2" t="n">
        <v>2</v>
      </c>
      <c r="E95" s="2" t="n">
        <v>2</v>
      </c>
      <c r="F95" s="2" t="n">
        <v>0</v>
      </c>
      <c r="G95" s="2" t="n">
        <v>119.1</v>
      </c>
    </row>
    <row r="96">
      <c r="A96" s="7" t="n">
        <v>46283.58323265046</v>
      </c>
      <c r="B96" s="7" t="n">
        <v>46283.57638888889</v>
      </c>
      <c r="C96" s="2" t="n">
        <v>440</v>
      </c>
      <c r="D96" s="2" t="n">
        <v>0</v>
      </c>
      <c r="E96" s="2" t="n">
        <v>0</v>
      </c>
      <c r="F96" s="2" t="n">
        <v>0</v>
      </c>
      <c r="G96" s="2" t="n">
        <v>126.7</v>
      </c>
    </row>
    <row r="97">
      <c r="A97" s="7" t="n">
        <v>46283.57323743056</v>
      </c>
      <c r="B97" s="7" t="n">
        <v>46283.56944444445</v>
      </c>
      <c r="C97" s="2" t="n">
        <v>440</v>
      </c>
      <c r="D97" s="2" t="n">
        <v>0</v>
      </c>
      <c r="E97" s="2" t="n">
        <v>0</v>
      </c>
      <c r="F97" s="2" t="n">
        <v>0</v>
      </c>
      <c r="G97" s="2" t="n">
        <v>94.3</v>
      </c>
    </row>
    <row r="98">
      <c r="A98" s="7" t="n">
        <v>46283.45181144676</v>
      </c>
      <c r="B98" s="7" t="n">
        <v>46283.44791666666</v>
      </c>
      <c r="C98" s="2" t="n">
        <v>440</v>
      </c>
      <c r="D98" s="2" t="n">
        <v>0</v>
      </c>
      <c r="E98" s="2" t="n">
        <v>0</v>
      </c>
      <c r="F98" s="2" t="n">
        <v>0</v>
      </c>
      <c r="G98" s="2" t="n">
        <v>132.3</v>
      </c>
    </row>
    <row r="99">
      <c r="A99" s="7" t="n">
        <v>46283.44134394676</v>
      </c>
      <c r="B99" s="7" t="n">
        <v>46283.4375</v>
      </c>
      <c r="C99" s="2" t="n">
        <v>440</v>
      </c>
      <c r="D99" s="2" t="n">
        <v>96</v>
      </c>
      <c r="E99" s="2" t="n">
        <v>96</v>
      </c>
      <c r="F99" s="2" t="n">
        <v>0</v>
      </c>
      <c r="G99" s="2" t="n">
        <v>373.5</v>
      </c>
    </row>
    <row r="100">
      <c r="A100" s="7" t="n">
        <v>46283.35273409722</v>
      </c>
      <c r="B100" s="7" t="n">
        <v>46283.34722222222</v>
      </c>
      <c r="C100" s="2" t="n">
        <v>440</v>
      </c>
      <c r="D100" s="2" t="n">
        <v>0</v>
      </c>
      <c r="E100" s="2" t="n">
        <v>0</v>
      </c>
      <c r="F100" s="2" t="n">
        <v>0</v>
      </c>
      <c r="G100" s="2" t="n">
        <v>132.3</v>
      </c>
    </row>
    <row r="101">
      <c r="A101" s="7" t="n">
        <v>46283.26014016203</v>
      </c>
      <c r="B101" s="7" t="n">
        <v>46283.25347222222</v>
      </c>
      <c r="C101" s="2" t="n">
        <v>440</v>
      </c>
      <c r="D101" s="2" t="n">
        <v>0</v>
      </c>
      <c r="E101" s="2" t="n">
        <v>0</v>
      </c>
      <c r="F101" s="2" t="n">
        <v>0</v>
      </c>
      <c r="G101" s="2" t="n">
        <v>129.5</v>
      </c>
    </row>
    <row r="102">
      <c r="A102" s="7" t="n">
        <v>46283.09637409722</v>
      </c>
      <c r="B102" s="7" t="n">
        <v>46283.09027777778</v>
      </c>
      <c r="C102" s="2" t="n">
        <v>440</v>
      </c>
      <c r="D102" s="2" t="n">
        <v>1</v>
      </c>
      <c r="E102" s="2" t="n">
        <v>1</v>
      </c>
      <c r="F102" s="2" t="n">
        <v>0</v>
      </c>
      <c r="G102" s="2" t="n">
        <v>131.2</v>
      </c>
    </row>
    <row r="103">
      <c r="A103" s="7" t="n">
        <v>46282.89824439815</v>
      </c>
      <c r="B103" s="7" t="n">
        <v>46282.89236111111</v>
      </c>
      <c r="C103" s="2" t="n">
        <v>440</v>
      </c>
      <c r="D103" s="2" t="n">
        <v>1</v>
      </c>
      <c r="E103" s="2" t="n">
        <v>1</v>
      </c>
      <c r="F103" s="2" t="n">
        <v>0</v>
      </c>
      <c r="G103" s="2" t="n">
        <v>137</v>
      </c>
    </row>
    <row r="104">
      <c r="A104" s="7" t="n">
        <v>46282.65711792824</v>
      </c>
      <c r="B104" s="7" t="n">
        <v>46282.65277777778</v>
      </c>
      <c r="C104" s="2" t="n">
        <v>440</v>
      </c>
      <c r="D104" s="2" t="n">
        <v>0</v>
      </c>
      <c r="E104" s="2" t="n">
        <v>0</v>
      </c>
      <c r="F104" s="2" t="n">
        <v>0</v>
      </c>
      <c r="G104" s="2" t="n">
        <v>126.6</v>
      </c>
    </row>
    <row r="105">
      <c r="A105" s="7" t="n">
        <v>46282.40350203704</v>
      </c>
      <c r="B105" s="7" t="n">
        <v>46282.39930555555</v>
      </c>
      <c r="C105" s="2" t="n">
        <v>440</v>
      </c>
      <c r="D105" s="2" t="n">
        <v>69</v>
      </c>
      <c r="E105" s="2" t="n">
        <v>69</v>
      </c>
      <c r="F105" s="2" t="n">
        <v>0</v>
      </c>
      <c r="G105" s="2" t="n">
        <v>323.7</v>
      </c>
    </row>
    <row r="106">
      <c r="A106" s="7" t="n">
        <v>46282.39577758102</v>
      </c>
      <c r="B106" s="7" t="n">
        <v>46282.33333333334</v>
      </c>
      <c r="C106" s="2" t="n">
        <v>440</v>
      </c>
      <c r="D106" s="2" t="n">
        <v>0</v>
      </c>
      <c r="E106" s="2" t="n">
        <v>0</v>
      </c>
      <c r="F106" s="2" t="n">
        <v>0</v>
      </c>
      <c r="G106" s="2" t="n">
        <v>50.5</v>
      </c>
    </row>
    <row r="107">
      <c r="A107" s="7" t="n">
        <v>46282.29222982639</v>
      </c>
      <c r="B107" s="7" t="n">
        <v>46282.25</v>
      </c>
      <c r="C107" s="2" t="n">
        <v>440</v>
      </c>
      <c r="D107" s="2" t="n">
        <v>0</v>
      </c>
      <c r="E107" s="2" t="n">
        <v>0</v>
      </c>
      <c r="F107" s="2" t="n">
        <v>0</v>
      </c>
      <c r="G107" s="2" t="n">
        <v>66.2</v>
      </c>
    </row>
    <row r="108">
      <c r="A108" s="7" t="n">
        <v>46282.17576607639</v>
      </c>
      <c r="B108" s="7" t="n">
        <v>46282.125</v>
      </c>
      <c r="C108" s="2" t="n">
        <v>440</v>
      </c>
      <c r="D108" s="2" t="n">
        <v>0</v>
      </c>
      <c r="E108" s="2" t="n">
        <v>0</v>
      </c>
      <c r="F108" s="2" t="n">
        <v>0</v>
      </c>
      <c r="G108" s="2" t="n">
        <v>67</v>
      </c>
    </row>
    <row r="109">
      <c r="A109" s="7" t="n">
        <v>46282.04552453704</v>
      </c>
      <c r="B109" s="7" t="n">
        <v>46282</v>
      </c>
      <c r="C109" s="2" t="n">
        <v>440</v>
      </c>
      <c r="D109" s="2" t="n">
        <v>0</v>
      </c>
      <c r="E109" s="2" t="n">
        <v>0</v>
      </c>
      <c r="F109" s="2" t="n">
        <v>0</v>
      </c>
      <c r="G109" s="2" t="n">
        <v>52.9</v>
      </c>
    </row>
    <row r="110">
      <c r="A110" s="7" t="n">
        <v>46281.82298537037</v>
      </c>
      <c r="B110" s="7" t="n">
        <v>46281.75</v>
      </c>
      <c r="C110" s="2" t="n">
        <v>440</v>
      </c>
      <c r="D110" s="2" t="n">
        <v>0</v>
      </c>
      <c r="E110" s="2" t="n">
        <v>0</v>
      </c>
      <c r="F110" s="2" t="n">
        <v>0</v>
      </c>
      <c r="G110" s="2" t="n">
        <v>65.7</v>
      </c>
    </row>
    <row r="111">
      <c r="A111" s="7" t="n">
        <v>46281.58829054398</v>
      </c>
      <c r="B111" s="7" t="n">
        <v>46281.54166666666</v>
      </c>
      <c r="C111" s="2" t="n">
        <v>440</v>
      </c>
      <c r="D111" s="2" t="n">
        <v>0</v>
      </c>
      <c r="E111" s="2" t="n">
        <v>0</v>
      </c>
      <c r="F111" s="2" t="n">
        <v>0</v>
      </c>
      <c r="G111" s="2" t="n">
        <v>54.5</v>
      </c>
    </row>
    <row r="112">
      <c r="A112" s="7" t="n">
        <v>46281.35205523148</v>
      </c>
      <c r="B112" s="7" t="n">
        <v>46281.29166666666</v>
      </c>
      <c r="C112" s="2" t="n">
        <v>442</v>
      </c>
      <c r="D112" s="2" t="n">
        <v>0</v>
      </c>
      <c r="E112" s="2" t="n">
        <v>0</v>
      </c>
      <c r="F112" s="2" t="n">
        <v>0</v>
      </c>
      <c r="G112" s="2" t="n">
        <v>66.90000000000001</v>
      </c>
    </row>
    <row r="113">
      <c r="A113" s="7" t="n">
        <v>46281.22963460648</v>
      </c>
      <c r="B113" s="7" t="n">
        <v>46281.16666666666</v>
      </c>
      <c r="C113" s="2" t="n">
        <v>442</v>
      </c>
      <c r="D113" s="2" t="n">
        <v>0</v>
      </c>
      <c r="E113" s="2" t="n">
        <v>0</v>
      </c>
      <c r="F113" s="2" t="n">
        <v>0</v>
      </c>
      <c r="G113" s="2" t="n">
        <v>61.9</v>
      </c>
    </row>
    <row r="114">
      <c r="A114" s="7" t="n">
        <v>46281.094529375</v>
      </c>
      <c r="B114" s="7" t="n">
        <v>46281.04166666666</v>
      </c>
      <c r="C114" s="2" t="n">
        <v>442</v>
      </c>
      <c r="D114" s="2" t="n">
        <v>0</v>
      </c>
      <c r="E114" s="2" t="n">
        <v>0</v>
      </c>
      <c r="F114" s="2" t="n">
        <v>0</v>
      </c>
      <c r="G114" s="2" t="n">
        <v>46.5</v>
      </c>
    </row>
    <row r="115">
      <c r="A115" s="7" t="n">
        <v>46280.9017994676</v>
      </c>
      <c r="B115" s="7" t="n">
        <v>46280.83333333334</v>
      </c>
      <c r="C115" s="2" t="n">
        <v>442</v>
      </c>
      <c r="D115" s="2" t="n">
        <v>0</v>
      </c>
      <c r="E115" s="2" t="n">
        <v>0</v>
      </c>
      <c r="F115" s="2" t="n">
        <v>0</v>
      </c>
      <c r="G115" s="2" t="n">
        <v>56.7</v>
      </c>
    </row>
    <row r="116">
      <c r="A116" s="7" t="n">
        <v>46280.66002480324</v>
      </c>
      <c r="B116" s="7" t="n">
        <v>46280.58333333334</v>
      </c>
      <c r="C116" s="2" t="n">
        <v>442</v>
      </c>
      <c r="D116" s="2" t="n">
        <v>0</v>
      </c>
      <c r="E116" s="2" t="n">
        <v>0</v>
      </c>
      <c r="F116" s="2" t="n">
        <v>0</v>
      </c>
      <c r="G116" s="2" t="n">
        <v>67.40000000000001</v>
      </c>
    </row>
    <row r="117">
      <c r="A117" s="7" t="n">
        <v>46280.4778358449</v>
      </c>
      <c r="B117" s="7" t="n">
        <v>46280.41666666666</v>
      </c>
      <c r="C117" s="2" t="n">
        <v>442</v>
      </c>
      <c r="D117" s="2" t="n">
        <v>0</v>
      </c>
      <c r="E117" s="2" t="n">
        <v>0</v>
      </c>
      <c r="F117" s="2" t="n">
        <v>0</v>
      </c>
      <c r="G117" s="2" t="n">
        <v>61.2</v>
      </c>
    </row>
    <row r="118">
      <c r="A118" s="7" t="n">
        <v>46280.39795681713</v>
      </c>
      <c r="B118" s="7" t="n">
        <v>46280.33333333334</v>
      </c>
      <c r="C118" s="2" t="n">
        <v>442</v>
      </c>
      <c r="D118" s="2" t="n">
        <v>0</v>
      </c>
      <c r="E118" s="2" t="n">
        <v>0</v>
      </c>
      <c r="F118" s="2" t="n">
        <v>0</v>
      </c>
      <c r="G118" s="2" t="n">
        <v>66.90000000000001</v>
      </c>
    </row>
    <row r="119">
      <c r="A119" s="7" t="n">
        <v>46280.29983445602</v>
      </c>
      <c r="B119" s="7" t="n">
        <v>46280.25</v>
      </c>
      <c r="C119" s="2" t="n">
        <v>442</v>
      </c>
      <c r="D119" s="2" t="n">
        <v>0</v>
      </c>
      <c r="E119" s="2" t="n">
        <v>0</v>
      </c>
      <c r="F119" s="2" t="n">
        <v>0</v>
      </c>
      <c r="G119" s="2" t="n">
        <v>51.6</v>
      </c>
    </row>
    <row r="120">
      <c r="A120" s="7" t="n">
        <v>46280.14350143519</v>
      </c>
      <c r="B120" s="7" t="n">
        <v>46280.08333333334</v>
      </c>
      <c r="C120" s="2" t="n">
        <v>442</v>
      </c>
      <c r="D120" s="2" t="n">
        <v>0</v>
      </c>
      <c r="E120" s="2" t="n">
        <v>0</v>
      </c>
      <c r="F120" s="2" t="n">
        <v>0</v>
      </c>
      <c r="G120" s="2" t="n">
        <v>57.3</v>
      </c>
    </row>
    <row r="121">
      <c r="A121" s="7" t="n">
        <v>46279.92418226852</v>
      </c>
      <c r="B121" s="7" t="n">
        <v>46279.875</v>
      </c>
      <c r="C121" s="2" t="n">
        <v>442</v>
      </c>
      <c r="D121" s="2" t="n">
        <v>0</v>
      </c>
      <c r="E121" s="2" t="n">
        <v>0</v>
      </c>
      <c r="F121" s="2" t="n">
        <v>0</v>
      </c>
      <c r="G121" s="2" t="n">
        <v>48.1</v>
      </c>
    </row>
    <row r="122">
      <c r="A122" s="7" t="n">
        <v>46279.59996445602</v>
      </c>
      <c r="B122" s="7" t="n">
        <v>46279.54166666666</v>
      </c>
      <c r="C122" s="2" t="n">
        <v>442</v>
      </c>
      <c r="D122" s="2" t="n">
        <v>0</v>
      </c>
      <c r="E122" s="2" t="n">
        <v>0</v>
      </c>
      <c r="F122" s="2" t="n">
        <v>0</v>
      </c>
      <c r="G122" s="2" t="n">
        <v>61</v>
      </c>
    </row>
    <row r="123">
      <c r="A123" s="7" t="n">
        <v>46279.38316741898</v>
      </c>
      <c r="B123" s="7" t="n">
        <v>46279.33333333334</v>
      </c>
      <c r="C123" s="2" t="n">
        <v>442</v>
      </c>
      <c r="D123" s="2" t="n">
        <v>0</v>
      </c>
      <c r="E123" s="2" t="n">
        <v>0</v>
      </c>
      <c r="F123" s="2" t="n">
        <v>0</v>
      </c>
      <c r="G123" s="2" t="n">
        <v>59.9</v>
      </c>
    </row>
    <row r="124">
      <c r="A124" s="7" t="n">
        <v>46279.26932584491</v>
      </c>
      <c r="B124" s="7" t="n">
        <v>46279.20833333334</v>
      </c>
      <c r="C124" s="2" t="n">
        <v>442</v>
      </c>
      <c r="D124" s="2" t="n">
        <v>0</v>
      </c>
      <c r="E124" s="2" t="n">
        <v>0</v>
      </c>
      <c r="F124" s="2" t="n">
        <v>0</v>
      </c>
      <c r="G124" s="2" t="n">
        <v>61.1</v>
      </c>
    </row>
    <row r="125">
      <c r="A125" s="7" t="n">
        <v>46279.14665413195</v>
      </c>
      <c r="B125" s="7" t="n">
        <v>46279.08333333334</v>
      </c>
      <c r="C125" s="2" t="n">
        <v>442</v>
      </c>
      <c r="D125" s="2" t="n">
        <v>0</v>
      </c>
      <c r="E125" s="2" t="n">
        <v>0</v>
      </c>
      <c r="F125" s="2" t="n">
        <v>0</v>
      </c>
      <c r="G125" s="2" t="n">
        <v>55.1</v>
      </c>
    </row>
    <row r="126">
      <c r="A126" s="7" t="n">
        <v>46279.01733591435</v>
      </c>
      <c r="B126" s="7" t="n">
        <v>46278.95833333334</v>
      </c>
      <c r="C126" s="2" t="n">
        <v>442</v>
      </c>
      <c r="D126" s="2" t="n">
        <v>0</v>
      </c>
      <c r="E126" s="2" t="n">
        <v>0</v>
      </c>
      <c r="F126" s="2" t="n">
        <v>0</v>
      </c>
      <c r="G126" s="2" t="n">
        <v>59.7</v>
      </c>
    </row>
    <row r="127">
      <c r="A127" s="7" t="n">
        <v>46278.83725055555</v>
      </c>
      <c r="B127" s="7" t="n">
        <v>46278.79166666666</v>
      </c>
      <c r="C127" s="2" t="n">
        <v>442</v>
      </c>
      <c r="D127" s="2" t="n">
        <v>0</v>
      </c>
      <c r="E127" s="2" t="n">
        <v>0</v>
      </c>
      <c r="F127" s="2" t="n">
        <v>0</v>
      </c>
      <c r="G127" s="2" t="n">
        <v>65.40000000000001</v>
      </c>
    </row>
    <row r="128">
      <c r="A128" s="7" t="n">
        <v>46278.71111972223</v>
      </c>
      <c r="B128" s="7" t="n">
        <v>46278.66666666666</v>
      </c>
      <c r="C128" s="2" t="n">
        <v>442</v>
      </c>
      <c r="D128" s="2" t="n">
        <v>0</v>
      </c>
      <c r="E128" s="2" t="n">
        <v>0</v>
      </c>
      <c r="F128" s="2" t="n">
        <v>0</v>
      </c>
      <c r="G128" s="2" t="n">
        <v>63.6</v>
      </c>
    </row>
    <row r="129">
      <c r="A129" s="7" t="n">
        <v>46278.68053923611</v>
      </c>
      <c r="B129" s="7" t="n">
        <v>46278.625</v>
      </c>
      <c r="C129" s="2" t="n">
        <v>442</v>
      </c>
      <c r="D129" s="2" t="n">
        <v>0</v>
      </c>
      <c r="E129" s="2" t="n">
        <v>0</v>
      </c>
      <c r="F129" s="2" t="n">
        <v>0</v>
      </c>
      <c r="G129" s="2" t="n">
        <v>63.6</v>
      </c>
    </row>
    <row r="130">
      <c r="A130" s="7" t="n">
        <v>46278.07354997685</v>
      </c>
      <c r="B130" s="7" t="n">
        <v>46278</v>
      </c>
      <c r="C130" s="2" t="n">
        <v>442</v>
      </c>
      <c r="D130" s="2" t="n">
        <v>0</v>
      </c>
      <c r="E130" s="2" t="n">
        <v>0</v>
      </c>
      <c r="F130" s="2" t="n">
        <v>0</v>
      </c>
      <c r="G130" s="2" t="n">
        <v>50.2</v>
      </c>
    </row>
    <row r="131">
      <c r="A131" s="7" t="n">
        <v>46277.94390239583</v>
      </c>
      <c r="B131" s="7" t="n">
        <v>46277.875</v>
      </c>
      <c r="C131" s="2" t="n">
        <v>442</v>
      </c>
      <c r="D131" s="2" t="n">
        <v>0</v>
      </c>
      <c r="E131" s="2" t="n">
        <v>0</v>
      </c>
      <c r="F131" s="2" t="n">
        <v>0</v>
      </c>
      <c r="G131" s="2" t="n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" customWidth="1" min="3" max="3"/>
    <col width="24" customWidth="1" min="4" max="4"/>
    <col width="16" customWidth="1" min="5" max="5"/>
  </cols>
  <sheetData>
    <row r="1">
      <c r="A1" s="1" t="inlineStr">
        <is>
          <t>資金模擬：依訊號時間順序下單</t>
        </is>
      </c>
    </row>
    <row r="2">
      <c r="A2" s="2" t="inlineStr">
        <is>
          <t>藍字黃底的參數可直接修改，整份模擬會自動重算</t>
        </is>
      </c>
    </row>
    <row r="3">
      <c r="A3" s="8" t="inlineStr">
        <is>
          <t>參數</t>
        </is>
      </c>
      <c r="D3" s="8" t="inlineStr">
        <is>
          <t>績效摘要</t>
        </is>
      </c>
    </row>
    <row r="4">
      <c r="A4" s="2" t="inlineStr">
        <is>
          <t>初始本金</t>
        </is>
      </c>
      <c r="B4" s="9" t="n">
        <v>100</v>
      </c>
      <c r="D4" s="2" t="inlineStr">
        <is>
          <t>最終本金（已實現）</t>
        </is>
      </c>
      <c r="E4" s="10">
        <f>資金明細!R314</f>
        <v/>
      </c>
    </row>
    <row r="5">
      <c r="A5" s="2" t="inlineStr">
        <is>
          <t>下單比例</t>
        </is>
      </c>
      <c r="B5" s="11" t="n">
        <v>0.02</v>
      </c>
      <c r="D5" s="2" t="inlineStr">
        <is>
          <t>總報酬率</t>
        </is>
      </c>
      <c r="E5" s="4">
        <f>E4/B4-1</f>
        <v/>
      </c>
    </row>
    <row r="6">
      <c r="A6" s="2" t="inlineStr">
        <is>
          <t>本金更新級距</t>
        </is>
      </c>
      <c r="B6" s="12" t="n">
        <v>50</v>
      </c>
      <c r="D6" s="2" t="inlineStr">
        <is>
          <t>最高本金</t>
        </is>
      </c>
      <c r="E6" s="10">
        <f>MAX(資金明細!$R$2:$R$314)</f>
        <v/>
      </c>
    </row>
    <row r="7">
      <c r="A7" s="2" t="inlineStr">
        <is>
          <t>槓桿倍數</t>
        </is>
      </c>
      <c r="B7" s="13" t="n">
        <v>50</v>
      </c>
      <c r="D7" s="2" t="inlineStr">
        <is>
          <t>最低本金</t>
        </is>
      </c>
      <c r="E7" s="10">
        <f>MIN(資金明細!$R$2:$R$314)</f>
        <v/>
      </c>
    </row>
    <row r="8">
      <c r="A8" s="2" t="inlineStr">
        <is>
          <t>單邊手續費</t>
        </is>
      </c>
      <c r="B8" s="14">
        <f>參數!B7</f>
        <v/>
      </c>
      <c r="D8" s="2" t="inlineStr">
        <is>
          <t>最大回撤</t>
        </is>
      </c>
      <c r="E8" s="4">
        <f>MIN(資金明細!$X$2:$X$314)</f>
        <v/>
      </c>
    </row>
    <row r="9">
      <c r="A9" s="2" t="inlineStr">
        <is>
          <t>下單基準模式</t>
        </is>
      </c>
      <c r="B9" s="12" t="n">
        <v>2</v>
      </c>
      <c r="D9" s="2" t="inlineStr">
        <is>
          <t>已下單筆數</t>
        </is>
      </c>
      <c r="E9" s="15">
        <f>COUNTIFS(資金明細!$C$2:$C$314,"進場",資金明細!$N$2:$N$314,"已下單")</f>
        <v/>
      </c>
    </row>
    <row r="10">
      <c r="A10" s="2" t="inlineStr">
        <is>
          <t>停止交易門檻</t>
        </is>
      </c>
      <c r="B10" s="9" t="n">
        <v>0</v>
      </c>
      <c r="D10" s="2" t="inlineStr">
        <is>
          <t>資金不足略過</t>
        </is>
      </c>
      <c r="E10" s="15">
        <f>COUNTIFS(資金明細!$C$2:$C$314,"進場",資金明細!$N$2:$N$314,"資金不足略過")</f>
        <v/>
      </c>
    </row>
    <row r="11">
      <c r="D11" s="2" t="inlineStr">
        <is>
          <t>止盈筆數</t>
        </is>
      </c>
      <c r="E11" s="15">
        <f>COUNTIFS(資金明細!$C$2:$C$314,"出場",資金明細!$N$2:$N$314,"已下單",資金明細!$K$2:$K$314,"止盈")</f>
        <v/>
      </c>
    </row>
    <row r="12">
      <c r="A12" s="2" t="inlineStr">
        <is>
          <t>每筆止損約虧本金</t>
        </is>
      </c>
      <c r="B12" s="4">
        <f>B5*B7*IFERROR(AVERAGE(交易明細!$AB$2:$AB$157),參數!B6)</f>
        <v/>
      </c>
      <c r="D12" s="2" t="inlineStr">
        <is>
          <t>止損筆數</t>
        </is>
      </c>
      <c r="E12" s="15">
        <f>COUNTIFS(資金明細!$C$2:$C$314,"出場",資金明細!$N$2:$N$314,"已下單",資金明細!$K$2:$K$314,"止損")</f>
        <v/>
      </c>
    </row>
    <row r="13">
      <c r="A13" s="2" t="inlineStr">
        <is>
          <t>（以全倉、本金=基準本金計；模式1在本金回落時實際比例會更高）</t>
        </is>
      </c>
      <c r="D13" s="2" t="inlineStr">
        <is>
          <t>勝率</t>
        </is>
      </c>
      <c r="E13" s="4">
        <f>IFERROR(E11/COUNTIFS(資金明細!$C$2:$C$314,"出場",資金明細!$N$2:$N$314,"已下單"),0)</f>
        <v/>
      </c>
    </row>
    <row r="14">
      <c r="A14" s="2" t="inlineStr">
        <is>
          <t>下單基準模式：1=不回滾（原規則） 2=即時本金</t>
        </is>
      </c>
      <c r="D14" s="2" t="inlineStr">
        <is>
          <t>最大同時持倉</t>
        </is>
      </c>
      <c r="E14" s="15">
        <f>MAX(資金明細!$U$2:$U$314)</f>
        <v/>
      </c>
    </row>
    <row r="15">
      <c r="A15" s="2" t="inlineStr">
        <is>
          <t>停止交易門檻：本金 ≤ 此值即停止開新倉</t>
        </is>
      </c>
      <c r="D15" s="2" t="inlineStr">
        <is>
          <t>最大占用保證金</t>
        </is>
      </c>
      <c r="E15" s="16">
        <f>MAX(資金明細!$S$2:$S$314)</f>
        <v/>
      </c>
    </row>
    <row r="16">
      <c r="D16" s="2" t="inlineStr">
        <is>
          <t>期末下單金額</t>
        </is>
      </c>
      <c r="E16" s="16">
        <f>B5*資金明細!V314</f>
        <v/>
      </c>
    </row>
    <row r="17">
      <c r="D17" s="2" t="inlineStr">
        <is>
          <t>未平倉浮動損益（未計入）</t>
        </is>
      </c>
      <c r="E17" s="10">
        <f>0</f>
        <v/>
      </c>
    </row>
    <row r="18">
      <c r="D18" s="2" t="inlineStr">
        <is>
          <t>最大總曝險倍數</t>
        </is>
      </c>
      <c r="E18" s="16">
        <f>MAX(資金明細!$Y$2:$Y$314)</f>
        <v/>
      </c>
    </row>
    <row r="19">
      <c r="D19" s="2" t="inlineStr">
        <is>
          <t>當時全部止損約虧本金</t>
        </is>
      </c>
      <c r="E19" s="4">
        <f>E18*參數!B6</f>
        <v/>
      </c>
    </row>
    <row r="20">
      <c r="D20" s="2" t="inlineStr">
        <is>
          <t>停止交易時間</t>
        </is>
      </c>
      <c r="E20" s="7">
        <f>IFERROR(INDEX(資金明細!$B$2:$B$314,MATCH(1,資金明細!$Z$2:$Z$314,0)),"未觸發")</f>
        <v/>
      </c>
    </row>
    <row r="21">
      <c r="D21" s="2" t="inlineStr">
        <is>
          <t>停止後略過筆數</t>
        </is>
      </c>
      <c r="E21" s="15">
        <f>COUNTIFS(資金明細!$C$2:$C$314,"進場",資金明細!$N$2:$N$314,"已停止")</f>
        <v/>
      </c>
    </row>
    <row r="23">
      <c r="A23" s="6" t="inlineStr">
        <is>
          <t>規則說明</t>
        </is>
      </c>
    </row>
    <row r="24">
      <c r="A24" s="2" t="inlineStr">
        <is>
          <t>・下單金額 = 下單基準本金 × 下單比例。模式1：基準本金 = 本金曾達到的最高『級距倍數』（不回滾）；模式2：基準本金 = 當下本金。</t>
        </is>
      </c>
    </row>
    <row r="25">
      <c r="A25" s="2" t="inlineStr">
        <is>
          <t>・本金 ≤ 停止交易門檻後不再開新倉（已持有的單照常結算），避免模擬出現本金歸零後又『復活』的情況。</t>
        </is>
      </c>
    </row>
    <row r="26">
      <c r="A26" s="2" t="inlineStr">
        <is>
          <t>・剩餘本金 = 已實現本金（只在出場時結算）；可用資金 = 剩餘本金 − 占用保證金，不足下單金額時略過該訊號。</t>
        </is>
      </c>
    </row>
    <row r="27">
      <c r="A27" s="2" t="inlineStr">
        <is>
          <t>・同一時間點先處理出場再處理進場；報酬率已含進出場手續費。</t>
        </is>
      </c>
    </row>
    <row r="28">
      <c r="A28" s="2" t="inlineStr">
        <is>
          <t>・以全倉模式計算：總曝險倍數 = 所有持倉部位合計 ÷ 本金；未模擬持倉中的浮動虧損與維持保證金。</t>
        </is>
      </c>
    </row>
    <row r="29">
      <c r="A29" s="2" t="inlineStr">
        <is>
          <t>・回測結束仍持倉的交易不計入最終本金，浮動損益另列。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1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7" customWidth="1" min="2" max="2"/>
    <col width="7" customWidth="1" min="3" max="3"/>
    <col width="8" customWidth="1" min="4" max="4"/>
    <col width="18" customWidth="1" min="5" max="5"/>
    <col width="7" customWidth="1" min="6" max="6"/>
    <col width="12" customWidth="1" min="7" max="7"/>
    <col width="12" customWidth="1" min="8" max="8"/>
    <col width="12" customWidth="1" min="9" max="9"/>
    <col width="12" customWidth="1" min="10" max="10"/>
    <col width="7" customWidth="1" min="11" max="11"/>
    <col width="9" customWidth="1" min="12" max="12"/>
    <col width="9" customWidth="1" min="13" max="13"/>
    <col width="12" customWidth="1" min="14" max="14"/>
    <col width="9" customWidth="1" min="15" max="15"/>
    <col width="11" customWidth="1" min="16" max="16"/>
    <col width="10" customWidth="1" min="17" max="17"/>
    <col width="11" customWidth="1" min="18" max="18"/>
    <col width="10" customWidth="1" min="19" max="19"/>
    <col width="10" customWidth="1" min="20" max="20"/>
    <col width="7" customWidth="1" min="21" max="21"/>
    <col width="11" customWidth="1" min="22" max="22"/>
    <col width="11" customWidth="1" min="23" max="23"/>
    <col width="9" customWidth="1" min="24" max="24"/>
    <col width="11" customWidth="1" min="25" max="25"/>
    <col width="8" customWidth="1" min="26" max="26"/>
  </cols>
  <sheetData>
    <row r="1">
      <c r="A1" s="3" t="inlineStr">
        <is>
          <t>序號</t>
        </is>
      </c>
      <c r="B1" s="3" t="inlineStr">
        <is>
          <t>時間</t>
        </is>
      </c>
      <c r="C1" s="3" t="inlineStr">
        <is>
          <t>種類</t>
        </is>
      </c>
      <c r="D1" s="3" t="inlineStr">
        <is>
          <t>交易編號</t>
        </is>
      </c>
      <c r="E1" s="3" t="inlineStr">
        <is>
          <t>交易對</t>
        </is>
      </c>
      <c r="F1" s="3" t="inlineStr">
        <is>
          <t>方向</t>
        </is>
      </c>
      <c r="G1" s="3" t="inlineStr">
        <is>
          <t>開倉價</t>
        </is>
      </c>
      <c r="H1" s="3" t="inlineStr">
        <is>
          <t>止盈價</t>
        </is>
      </c>
      <c r="I1" s="3" t="inlineStr">
        <is>
          <t>止損價</t>
        </is>
      </c>
      <c r="J1" s="3" t="inlineStr">
        <is>
          <t>出場價</t>
        </is>
      </c>
      <c r="K1" s="3" t="inlineStr">
        <is>
          <t>結果</t>
        </is>
      </c>
      <c r="L1" s="3" t="inlineStr">
        <is>
          <t>持倉小時</t>
        </is>
      </c>
      <c r="M1" s="3" t="inlineStr">
        <is>
          <t>下單金額</t>
        </is>
      </c>
      <c r="N1" s="3" t="inlineStr">
        <is>
          <t>狀態</t>
        </is>
      </c>
      <c r="O1" s="3" t="inlineStr">
        <is>
          <t>部位大小</t>
        </is>
      </c>
      <c r="P1" s="3" t="inlineStr">
        <is>
          <t>報酬率(含費)</t>
        </is>
      </c>
      <c r="Q1" s="3" t="inlineStr">
        <is>
          <t>損益</t>
        </is>
      </c>
      <c r="R1" s="3" t="inlineStr">
        <is>
          <t>剩餘本金</t>
        </is>
      </c>
      <c r="S1" s="3" t="inlineStr">
        <is>
          <t>占用保證金</t>
        </is>
      </c>
      <c r="T1" s="3" t="inlineStr">
        <is>
          <t>可用資金</t>
        </is>
      </c>
      <c r="U1" s="3" t="inlineStr">
        <is>
          <t>持倉數</t>
        </is>
      </c>
      <c r="V1" s="3" t="inlineStr">
        <is>
          <t>下單基準本金</t>
        </is>
      </c>
      <c r="W1" s="3" t="inlineStr">
        <is>
          <t>最高本金</t>
        </is>
      </c>
      <c r="X1" s="3" t="inlineStr">
        <is>
          <t>回撤</t>
        </is>
      </c>
      <c r="Y1" s="3" t="inlineStr">
        <is>
          <t>總曝險倍數</t>
        </is>
      </c>
      <c r="Z1" s="3" t="inlineStr">
        <is>
          <t>已停止</t>
        </is>
      </c>
    </row>
    <row r="2">
      <c r="A2" s="2" t="n">
        <v>0</v>
      </c>
      <c r="B2" s="7" t="n"/>
      <c r="C2" s="2" t="inlineStr">
        <is>
          <t>起始</t>
        </is>
      </c>
      <c r="D2" s="2" t="n"/>
      <c r="E2" s="2" t="n"/>
      <c r="F2" s="2" t="n"/>
      <c r="G2" s="17" t="n"/>
      <c r="H2" s="17" t="n"/>
      <c r="I2" s="17" t="n"/>
      <c r="J2" s="17" t="n"/>
      <c r="K2" s="2" t="n"/>
      <c r="L2" s="5" t="n"/>
      <c r="M2" s="16" t="n"/>
      <c r="N2" s="2" t="n"/>
      <c r="O2" s="16" t="n"/>
      <c r="P2" s="4" t="n"/>
      <c r="Q2" s="10" t="n">
        <v>0</v>
      </c>
      <c r="R2" s="10">
        <f>資金模擬!$B$4</f>
        <v/>
      </c>
      <c r="S2" s="16" t="n">
        <v>0</v>
      </c>
      <c r="T2" s="16">
        <f>R2-S2</f>
        <v/>
      </c>
      <c r="U2" s="2" t="n">
        <v>0</v>
      </c>
      <c r="V2" s="16">
        <f>資金模擬!$B$4</f>
        <v/>
      </c>
      <c r="W2" s="10">
        <f>R2</f>
        <v/>
      </c>
      <c r="X2" s="4" t="n">
        <v>0</v>
      </c>
      <c r="Y2" s="16" t="n">
        <v>0</v>
      </c>
      <c r="Z2" s="2" t="n">
        <v>0</v>
      </c>
    </row>
    <row r="3">
      <c r="A3" s="2" t="n">
        <v>1</v>
      </c>
      <c r="B3" s="7" t="n">
        <v>46266.02083333334</v>
      </c>
      <c r="C3" s="2" t="inlineStr">
        <is>
          <t>進場</t>
        </is>
      </c>
      <c r="D3" s="2" t="n">
        <v>1</v>
      </c>
      <c r="E3" s="2" t="inlineStr">
        <is>
          <t>AGT_USDT_PERP</t>
        </is>
      </c>
      <c r="F3" s="2" t="inlineStr">
        <is>
          <t>做空</t>
        </is>
      </c>
      <c r="G3" s="17" t="n">
        <v>0.017237</v>
      </c>
      <c r="H3" s="17" t="n">
        <v>0.01654752</v>
      </c>
      <c r="I3" s="17" t="n">
        <v>0.01809885</v>
      </c>
      <c r="J3" s="17" t="n"/>
      <c r="K3" s="2" t="n"/>
      <c r="L3" s="5" t="n"/>
      <c r="M3" s="16">
        <f>資金模擬!$B$5*V2</f>
        <v/>
      </c>
      <c r="N3" s="2">
        <f>IF(Z2=1,"已停止",IF(T2&gt;=M3,"已下單","資金不足略過"))</f>
        <v/>
      </c>
      <c r="O3" s="16">
        <f>IF(N3="已下單",M3*資金模擬!$B$7,0)</f>
        <v/>
      </c>
      <c r="P3" s="4" t="n"/>
      <c r="Q3" s="10" t="n">
        <v>0</v>
      </c>
      <c r="R3" s="10">
        <f>R2+Q3</f>
        <v/>
      </c>
      <c r="S3" s="16">
        <f>S2+IF(N3="已下單",M3,0)</f>
        <v/>
      </c>
      <c r="T3" s="16">
        <f>R3-S3</f>
        <v/>
      </c>
      <c r="U3" s="2">
        <f>U2+IF(N3="已下單",1,0)</f>
        <v/>
      </c>
      <c r="V3" s="16">
        <f>IF(資金模擬!$B$9=2,MAX(R3,0),MAX(V2,FLOOR(MAX(R3,0),資金模擬!$B$6)))</f>
        <v/>
      </c>
      <c r="W3" s="10">
        <f>MAX(W2,R3)</f>
        <v/>
      </c>
      <c r="X3" s="4">
        <f>IF(W3&gt;0,R3/W3-1,-1)</f>
        <v/>
      </c>
      <c r="Y3" s="16">
        <f>IF(R3&gt;0,S3*資金模擬!$B$7/R3,0)</f>
        <v/>
      </c>
      <c r="Z3" s="2">
        <f>IF(OR(Z2=1,R3&lt;=資金模擬!$B$10),1,0)</f>
        <v/>
      </c>
    </row>
    <row r="4">
      <c r="A4" s="2" t="n">
        <v>2</v>
      </c>
      <c r="B4" s="7" t="n">
        <v>46266.02430555555</v>
      </c>
      <c r="C4" s="2" t="inlineStr">
        <is>
          <t>出場</t>
        </is>
      </c>
      <c r="D4" s="2" t="n">
        <v>1</v>
      </c>
      <c r="E4" s="2" t="inlineStr">
        <is>
          <t>AGT_USDT_PERP</t>
        </is>
      </c>
      <c r="F4" s="2" t="inlineStr">
        <is>
          <t>做空</t>
        </is>
      </c>
      <c r="G4" s="17" t="n">
        <v>0.017237</v>
      </c>
      <c r="H4" s="17" t="n">
        <v>0.01654752</v>
      </c>
      <c r="I4" s="17" t="n">
        <v>0.01809885</v>
      </c>
      <c r="J4" s="17" t="n">
        <v>0.01654752</v>
      </c>
      <c r="K4" s="2" t="inlineStr">
        <is>
          <t>止盈</t>
        </is>
      </c>
      <c r="L4" s="5">
        <f>交易明細!K2</f>
        <v/>
      </c>
      <c r="M4" s="16">
        <f>M3</f>
        <v/>
      </c>
      <c r="N4" s="2">
        <f>N3</f>
        <v/>
      </c>
      <c r="O4" s="16">
        <f>O3</f>
        <v/>
      </c>
      <c r="P4" s="4">
        <f>交易明細!L2</f>
        <v/>
      </c>
      <c r="Q4" s="10">
        <f>IF(N4="已下單",O4*P4,0)</f>
        <v/>
      </c>
      <c r="R4" s="10">
        <f>R3+Q4</f>
        <v/>
      </c>
      <c r="S4" s="16">
        <f>S3-IF(N4="已下單",M4,0)</f>
        <v/>
      </c>
      <c r="T4" s="16">
        <f>R4-S4</f>
        <v/>
      </c>
      <c r="U4" s="2">
        <f>U3-IF(N4="已下單",1,0)</f>
        <v/>
      </c>
      <c r="V4" s="16">
        <f>IF(資金模擬!$B$9=2,MAX(R4,0),MAX(V3,FLOOR(MAX(R4,0),資金模擬!$B$6)))</f>
        <v/>
      </c>
      <c r="W4" s="10">
        <f>MAX(W3,R4)</f>
        <v/>
      </c>
      <c r="X4" s="4">
        <f>IF(W4&gt;0,R4/W4-1,-1)</f>
        <v/>
      </c>
      <c r="Y4" s="16">
        <f>IF(R4&gt;0,S4*資金模擬!$B$7/R4,0)</f>
        <v/>
      </c>
      <c r="Z4" s="2">
        <f>IF(OR(Z3=1,R4&lt;=資金模擬!$B$10),1,0)</f>
        <v/>
      </c>
    </row>
    <row r="5">
      <c r="A5" s="2" t="n">
        <v>3</v>
      </c>
      <c r="B5" s="7" t="n">
        <v>46266.07638888889</v>
      </c>
      <c r="C5" s="2" t="inlineStr">
        <is>
          <t>進場</t>
        </is>
      </c>
      <c r="D5" s="2" t="n">
        <v>2</v>
      </c>
      <c r="E5" s="2" t="inlineStr">
        <is>
          <t>AGT_USDT_PERP</t>
        </is>
      </c>
      <c r="F5" s="2" t="inlineStr">
        <is>
          <t>做空</t>
        </is>
      </c>
      <c r="G5" s="17" t="n">
        <v>0.017307</v>
      </c>
      <c r="H5" s="17" t="n">
        <v>0.01661472</v>
      </c>
      <c r="I5" s="17" t="n">
        <v>0.01817235</v>
      </c>
      <c r="J5" s="17" t="n"/>
      <c r="K5" s="2" t="n"/>
      <c r="L5" s="5" t="n"/>
      <c r="M5" s="16">
        <f>資金模擬!$B$5*V4</f>
        <v/>
      </c>
      <c r="N5" s="2">
        <f>IF(Z4=1,"已停止",IF(T4&gt;=M5,"已下單","資金不足略過"))</f>
        <v/>
      </c>
      <c r="O5" s="16">
        <f>IF(N5="已下單",M5*資金模擬!$B$7,0)</f>
        <v/>
      </c>
      <c r="P5" s="4" t="n"/>
      <c r="Q5" s="10" t="n">
        <v>0</v>
      </c>
      <c r="R5" s="10">
        <f>R4+Q5</f>
        <v/>
      </c>
      <c r="S5" s="16">
        <f>S4+IF(N5="已下單",M5,0)</f>
        <v/>
      </c>
      <c r="T5" s="16">
        <f>R5-S5</f>
        <v/>
      </c>
      <c r="U5" s="2">
        <f>U4+IF(N5="已下單",1,0)</f>
        <v/>
      </c>
      <c r="V5" s="16">
        <f>IF(資金模擬!$B$9=2,MAX(R5,0),MAX(V4,FLOOR(MAX(R5,0),資金模擬!$B$6)))</f>
        <v/>
      </c>
      <c r="W5" s="10">
        <f>MAX(W4,R5)</f>
        <v/>
      </c>
      <c r="X5" s="4">
        <f>IF(W5&gt;0,R5/W5-1,-1)</f>
        <v/>
      </c>
      <c r="Y5" s="16">
        <f>IF(R5&gt;0,S5*資金模擬!$B$7/R5,0)</f>
        <v/>
      </c>
      <c r="Z5" s="2">
        <f>IF(OR(Z4=1,R5&lt;=資金模擬!$B$10),1,0)</f>
        <v/>
      </c>
    </row>
    <row r="6">
      <c r="A6" s="2" t="n">
        <v>4</v>
      </c>
      <c r="B6" s="7" t="n">
        <v>46266.09375</v>
      </c>
      <c r="C6" s="2" t="inlineStr">
        <is>
          <t>進場</t>
        </is>
      </c>
      <c r="D6" s="2" t="n">
        <v>3</v>
      </c>
      <c r="E6" s="2" t="inlineStr">
        <is>
          <t>DOGS_USDT_PERP</t>
        </is>
      </c>
      <c r="F6" s="2" t="inlineStr">
        <is>
          <t>做空</t>
        </is>
      </c>
      <c r="G6" s="17" t="n">
        <v>4.62e-05</v>
      </c>
      <c r="H6" s="17" t="n">
        <v>4.4352e-05</v>
      </c>
      <c r="I6" s="17" t="n">
        <v>4.851e-05</v>
      </c>
      <c r="J6" s="17" t="n"/>
      <c r="K6" s="2" t="n"/>
      <c r="L6" s="5" t="n"/>
      <c r="M6" s="16">
        <f>資金模擬!$B$5*V5</f>
        <v/>
      </c>
      <c r="N6" s="2">
        <f>IF(Z5=1,"已停止",IF(T5&gt;=M6,"已下單","資金不足略過"))</f>
        <v/>
      </c>
      <c r="O6" s="16">
        <f>IF(N6="已下單",M6*資金模擬!$B$7,0)</f>
        <v/>
      </c>
      <c r="P6" s="4" t="n"/>
      <c r="Q6" s="10" t="n">
        <v>0</v>
      </c>
      <c r="R6" s="10">
        <f>R5+Q6</f>
        <v/>
      </c>
      <c r="S6" s="16">
        <f>S5+IF(N6="已下單",M6,0)</f>
        <v/>
      </c>
      <c r="T6" s="16">
        <f>R6-S6</f>
        <v/>
      </c>
      <c r="U6" s="2">
        <f>U5+IF(N6="已下單",1,0)</f>
        <v/>
      </c>
      <c r="V6" s="16">
        <f>IF(資金模擬!$B$9=2,MAX(R6,0),MAX(V5,FLOOR(MAX(R6,0),資金模擬!$B$6)))</f>
        <v/>
      </c>
      <c r="W6" s="10">
        <f>MAX(W5,R6)</f>
        <v/>
      </c>
      <c r="X6" s="4">
        <f>IF(W6&gt;0,R6/W6-1,-1)</f>
        <v/>
      </c>
      <c r="Y6" s="16">
        <f>IF(R6&gt;0,S6*資金模擬!$B$7/R6,0)</f>
        <v/>
      </c>
      <c r="Z6" s="2">
        <f>IF(OR(Z5=1,R6&lt;=資金模擬!$B$10),1,0)</f>
        <v/>
      </c>
    </row>
    <row r="7">
      <c r="A7" s="2" t="n">
        <v>5</v>
      </c>
      <c r="B7" s="7" t="n">
        <v>46266.18055555555</v>
      </c>
      <c r="C7" s="2" t="inlineStr">
        <is>
          <t>出場</t>
        </is>
      </c>
      <c r="D7" s="2" t="n">
        <v>3</v>
      </c>
      <c r="E7" s="2" t="inlineStr">
        <is>
          <t>DOGS_USDT_PERP</t>
        </is>
      </c>
      <c r="F7" s="2" t="inlineStr">
        <is>
          <t>做空</t>
        </is>
      </c>
      <c r="G7" s="17" t="n">
        <v>4.62e-05</v>
      </c>
      <c r="H7" s="17" t="n">
        <v>4.4352e-05</v>
      </c>
      <c r="I7" s="17" t="n">
        <v>4.851e-05</v>
      </c>
      <c r="J7" s="17" t="n">
        <v>4.4352e-05</v>
      </c>
      <c r="K7" s="2" t="inlineStr">
        <is>
          <t>止盈</t>
        </is>
      </c>
      <c r="L7" s="5">
        <f>交易明細!K4</f>
        <v/>
      </c>
      <c r="M7" s="16">
        <f>M6</f>
        <v/>
      </c>
      <c r="N7" s="2">
        <f>N6</f>
        <v/>
      </c>
      <c r="O7" s="16">
        <f>O6</f>
        <v/>
      </c>
      <c r="P7" s="4">
        <f>交易明細!L4</f>
        <v/>
      </c>
      <c r="Q7" s="10">
        <f>IF(N7="已下單",O7*P7,0)</f>
        <v/>
      </c>
      <c r="R7" s="10">
        <f>R6+Q7</f>
        <v/>
      </c>
      <c r="S7" s="16">
        <f>S6-IF(N7="已下單",M7,0)</f>
        <v/>
      </c>
      <c r="T7" s="16">
        <f>R7-S7</f>
        <v/>
      </c>
      <c r="U7" s="2">
        <f>U6-IF(N7="已下單",1,0)</f>
        <v/>
      </c>
      <c r="V7" s="16">
        <f>IF(資金模擬!$B$9=2,MAX(R7,0),MAX(V6,FLOOR(MAX(R7,0),資金模擬!$B$6)))</f>
        <v/>
      </c>
      <c r="W7" s="10">
        <f>MAX(W6,R7)</f>
        <v/>
      </c>
      <c r="X7" s="4">
        <f>IF(W7&gt;0,R7/W7-1,-1)</f>
        <v/>
      </c>
      <c r="Y7" s="16">
        <f>IF(R7&gt;0,S7*資金模擬!$B$7/R7,0)</f>
        <v/>
      </c>
      <c r="Z7" s="2">
        <f>IF(OR(Z6=1,R7&lt;=資金模擬!$B$10),1,0)</f>
        <v/>
      </c>
    </row>
    <row r="8">
      <c r="A8" s="2" t="n">
        <v>6</v>
      </c>
      <c r="B8" s="7" t="n">
        <v>46266.23263888889</v>
      </c>
      <c r="C8" s="2" t="inlineStr">
        <is>
          <t>出場</t>
        </is>
      </c>
      <c r="D8" s="2" t="n">
        <v>2</v>
      </c>
      <c r="E8" s="2" t="inlineStr">
        <is>
          <t>AGT_USDT_PERP</t>
        </is>
      </c>
      <c r="F8" s="2" t="inlineStr">
        <is>
          <t>做空</t>
        </is>
      </c>
      <c r="G8" s="17" t="n">
        <v>0.017307</v>
      </c>
      <c r="H8" s="17" t="n">
        <v>0.01661472</v>
      </c>
      <c r="I8" s="17" t="n">
        <v>0.01817235</v>
      </c>
      <c r="J8" s="17" t="n">
        <v>0.01661472</v>
      </c>
      <c r="K8" s="2" t="inlineStr">
        <is>
          <t>止盈</t>
        </is>
      </c>
      <c r="L8" s="5">
        <f>交易明細!K3</f>
        <v/>
      </c>
      <c r="M8" s="16">
        <f>M5</f>
        <v/>
      </c>
      <c r="N8" s="2">
        <f>N5</f>
        <v/>
      </c>
      <c r="O8" s="16">
        <f>O5</f>
        <v/>
      </c>
      <c r="P8" s="4">
        <f>交易明細!L3</f>
        <v/>
      </c>
      <c r="Q8" s="10">
        <f>IF(N8="已下單",O8*P8,0)</f>
        <v/>
      </c>
      <c r="R8" s="10">
        <f>R7+Q8</f>
        <v/>
      </c>
      <c r="S8" s="16">
        <f>S7-IF(N8="已下單",M8,0)</f>
        <v/>
      </c>
      <c r="T8" s="16">
        <f>R8-S8</f>
        <v/>
      </c>
      <c r="U8" s="2">
        <f>U7-IF(N8="已下單",1,0)</f>
        <v/>
      </c>
      <c r="V8" s="16">
        <f>IF(資金模擬!$B$9=2,MAX(R8,0),MAX(V7,FLOOR(MAX(R8,0),資金模擬!$B$6)))</f>
        <v/>
      </c>
      <c r="W8" s="10">
        <f>MAX(W7,R8)</f>
        <v/>
      </c>
      <c r="X8" s="4">
        <f>IF(W8&gt;0,R8/W8-1,-1)</f>
        <v/>
      </c>
      <c r="Y8" s="16">
        <f>IF(R8&gt;0,S8*資金模擬!$B$7/R8,0)</f>
        <v/>
      </c>
      <c r="Z8" s="2">
        <f>IF(OR(Z7=1,R8&lt;=資金模擬!$B$10),1,0)</f>
        <v/>
      </c>
    </row>
    <row r="9">
      <c r="A9" s="2" t="n">
        <v>7</v>
      </c>
      <c r="B9" s="7" t="n">
        <v>46266.51388888889</v>
      </c>
      <c r="C9" s="2" t="inlineStr">
        <is>
          <t>進場</t>
        </is>
      </c>
      <c r="D9" s="2" t="n">
        <v>4</v>
      </c>
      <c r="E9" s="2" t="inlineStr">
        <is>
          <t>AGT_USDT_PERP</t>
        </is>
      </c>
      <c r="F9" s="2" t="inlineStr">
        <is>
          <t>做空</t>
        </is>
      </c>
      <c r="G9" s="17" t="n">
        <v>0.018968</v>
      </c>
      <c r="H9" s="17" t="n">
        <v>0.01820928</v>
      </c>
      <c r="I9" s="17" t="n">
        <v>0.0199164</v>
      </c>
      <c r="J9" s="17" t="n"/>
      <c r="K9" s="2" t="n"/>
      <c r="L9" s="5" t="n"/>
      <c r="M9" s="16">
        <f>資金模擬!$B$5*V8</f>
        <v/>
      </c>
      <c r="N9" s="2">
        <f>IF(Z8=1,"已停止",IF(T8&gt;=M9,"已下單","資金不足略過"))</f>
        <v/>
      </c>
      <c r="O9" s="16">
        <f>IF(N9="已下單",M9*資金模擬!$B$7,0)</f>
        <v/>
      </c>
      <c r="P9" s="4" t="n"/>
      <c r="Q9" s="10" t="n">
        <v>0</v>
      </c>
      <c r="R9" s="10">
        <f>R8+Q9</f>
        <v/>
      </c>
      <c r="S9" s="16">
        <f>S8+IF(N9="已下單",M9,0)</f>
        <v/>
      </c>
      <c r="T9" s="16">
        <f>R9-S9</f>
        <v/>
      </c>
      <c r="U9" s="2">
        <f>U8+IF(N9="已下單",1,0)</f>
        <v/>
      </c>
      <c r="V9" s="16">
        <f>IF(資金模擬!$B$9=2,MAX(R9,0),MAX(V8,FLOOR(MAX(R9,0),資金模擬!$B$6)))</f>
        <v/>
      </c>
      <c r="W9" s="10">
        <f>MAX(W8,R9)</f>
        <v/>
      </c>
      <c r="X9" s="4">
        <f>IF(W9&gt;0,R9/W9-1,-1)</f>
        <v/>
      </c>
      <c r="Y9" s="16">
        <f>IF(R9&gt;0,S9*資金模擬!$B$7/R9,0)</f>
        <v/>
      </c>
      <c r="Z9" s="2">
        <f>IF(OR(Z8=1,R9&lt;=資金模擬!$B$10),1,0)</f>
        <v/>
      </c>
    </row>
    <row r="10">
      <c r="A10" s="2" t="n">
        <v>8</v>
      </c>
      <c r="B10" s="7" t="n">
        <v>46266.51736111111</v>
      </c>
      <c r="C10" s="2" t="inlineStr">
        <is>
          <t>出場</t>
        </is>
      </c>
      <c r="D10" s="2" t="n">
        <v>4</v>
      </c>
      <c r="E10" s="2" t="inlineStr">
        <is>
          <t>AGT_USDT_PERP</t>
        </is>
      </c>
      <c r="F10" s="2" t="inlineStr">
        <is>
          <t>做空</t>
        </is>
      </c>
      <c r="G10" s="17" t="n">
        <v>0.018968</v>
      </c>
      <c r="H10" s="17" t="n">
        <v>0.01820928</v>
      </c>
      <c r="I10" s="17" t="n">
        <v>0.0199164</v>
      </c>
      <c r="J10" s="17" t="n">
        <v>0.01820928</v>
      </c>
      <c r="K10" s="2" t="inlineStr">
        <is>
          <t>止盈</t>
        </is>
      </c>
      <c r="L10" s="5">
        <f>交易明細!K5</f>
        <v/>
      </c>
      <c r="M10" s="16">
        <f>M9</f>
        <v/>
      </c>
      <c r="N10" s="2">
        <f>N9</f>
        <v/>
      </c>
      <c r="O10" s="16">
        <f>O9</f>
        <v/>
      </c>
      <c r="P10" s="4">
        <f>交易明細!L5</f>
        <v/>
      </c>
      <c r="Q10" s="10">
        <f>IF(N10="已下單",O10*P10,0)</f>
        <v/>
      </c>
      <c r="R10" s="10">
        <f>R9+Q10</f>
        <v/>
      </c>
      <c r="S10" s="16">
        <f>S9-IF(N10="已下單",M10,0)</f>
        <v/>
      </c>
      <c r="T10" s="16">
        <f>R10-S10</f>
        <v/>
      </c>
      <c r="U10" s="2">
        <f>U9-IF(N10="已下單",1,0)</f>
        <v/>
      </c>
      <c r="V10" s="16">
        <f>IF(資金模擬!$B$9=2,MAX(R10,0),MAX(V9,FLOOR(MAX(R10,0),資金模擬!$B$6)))</f>
        <v/>
      </c>
      <c r="W10" s="10">
        <f>MAX(W9,R10)</f>
        <v/>
      </c>
      <c r="X10" s="4">
        <f>IF(W10&gt;0,R10/W10-1,-1)</f>
        <v/>
      </c>
      <c r="Y10" s="16">
        <f>IF(R10&gt;0,S10*資金模擬!$B$7/R10,0)</f>
        <v/>
      </c>
      <c r="Z10" s="2">
        <f>IF(OR(Z9=1,R10&lt;=資金模擬!$B$10),1,0)</f>
        <v/>
      </c>
    </row>
    <row r="11">
      <c r="A11" s="2" t="n">
        <v>9</v>
      </c>
      <c r="B11" s="7" t="n">
        <v>46266.85416666666</v>
      </c>
      <c r="C11" s="2" t="inlineStr">
        <is>
          <t>進場</t>
        </is>
      </c>
      <c r="D11" s="2" t="n">
        <v>5</v>
      </c>
      <c r="E11" s="2" t="inlineStr">
        <is>
          <t>ACE_USDT_PERP</t>
        </is>
      </c>
      <c r="F11" s="2" t="inlineStr">
        <is>
          <t>做空</t>
        </is>
      </c>
      <c r="G11" s="17" t="n">
        <v>0.18806</v>
      </c>
      <c r="H11" s="17" t="n">
        <v>0.1805376</v>
      </c>
      <c r="I11" s="17" t="n">
        <v>0.197463</v>
      </c>
      <c r="J11" s="17" t="n"/>
      <c r="K11" s="2" t="n"/>
      <c r="L11" s="5" t="n"/>
      <c r="M11" s="16">
        <f>資金模擬!$B$5*V10</f>
        <v/>
      </c>
      <c r="N11" s="2">
        <f>IF(Z10=1,"已停止",IF(T10&gt;=M11,"已下單","資金不足略過"))</f>
        <v/>
      </c>
      <c r="O11" s="16">
        <f>IF(N11="已下單",M11*資金模擬!$B$7,0)</f>
        <v/>
      </c>
      <c r="P11" s="4" t="n"/>
      <c r="Q11" s="10" t="n">
        <v>0</v>
      </c>
      <c r="R11" s="10">
        <f>R10+Q11</f>
        <v/>
      </c>
      <c r="S11" s="16">
        <f>S10+IF(N11="已下單",M11,0)</f>
        <v/>
      </c>
      <c r="T11" s="16">
        <f>R11-S11</f>
        <v/>
      </c>
      <c r="U11" s="2">
        <f>U10+IF(N11="已下單",1,0)</f>
        <v/>
      </c>
      <c r="V11" s="16">
        <f>IF(資金模擬!$B$9=2,MAX(R11,0),MAX(V10,FLOOR(MAX(R11,0),資金模擬!$B$6)))</f>
        <v/>
      </c>
      <c r="W11" s="10">
        <f>MAX(W10,R11)</f>
        <v/>
      </c>
      <c r="X11" s="4">
        <f>IF(W11&gt;0,R11/W11-1,-1)</f>
        <v/>
      </c>
      <c r="Y11" s="16">
        <f>IF(R11&gt;0,S11*資金模擬!$B$7/R11,0)</f>
        <v/>
      </c>
      <c r="Z11" s="2">
        <f>IF(OR(Z10=1,R11&lt;=資金模擬!$B$10),1,0)</f>
        <v/>
      </c>
    </row>
    <row r="12">
      <c r="A12" s="2" t="n">
        <v>10</v>
      </c>
      <c r="B12" s="7" t="n">
        <v>46266.86458333334</v>
      </c>
      <c r="C12" s="2" t="inlineStr">
        <is>
          <t>出場</t>
        </is>
      </c>
      <c r="D12" s="2" t="n">
        <v>5</v>
      </c>
      <c r="E12" s="2" t="inlineStr">
        <is>
          <t>ACE_USDT_PERP</t>
        </is>
      </c>
      <c r="F12" s="2" t="inlineStr">
        <is>
          <t>做空</t>
        </is>
      </c>
      <c r="G12" s="17" t="n">
        <v>0.18806</v>
      </c>
      <c r="H12" s="17" t="n">
        <v>0.1805376</v>
      </c>
      <c r="I12" s="17" t="n">
        <v>0.197463</v>
      </c>
      <c r="J12" s="17" t="n">
        <v>0.1805376</v>
      </c>
      <c r="K12" s="2" t="inlineStr">
        <is>
          <t>止盈</t>
        </is>
      </c>
      <c r="L12" s="5">
        <f>交易明細!K6</f>
        <v/>
      </c>
      <c r="M12" s="16">
        <f>M11</f>
        <v/>
      </c>
      <c r="N12" s="2">
        <f>N11</f>
        <v/>
      </c>
      <c r="O12" s="16">
        <f>O11</f>
        <v/>
      </c>
      <c r="P12" s="4">
        <f>交易明細!L6</f>
        <v/>
      </c>
      <c r="Q12" s="10">
        <f>IF(N12="已下單",O12*P12,0)</f>
        <v/>
      </c>
      <c r="R12" s="10">
        <f>R11+Q12</f>
        <v/>
      </c>
      <c r="S12" s="16">
        <f>S11-IF(N12="已下單",M12,0)</f>
        <v/>
      </c>
      <c r="T12" s="16">
        <f>R12-S12</f>
        <v/>
      </c>
      <c r="U12" s="2">
        <f>U11-IF(N12="已下單",1,0)</f>
        <v/>
      </c>
      <c r="V12" s="16">
        <f>IF(資金模擬!$B$9=2,MAX(R12,0),MAX(V11,FLOOR(MAX(R12,0),資金模擬!$B$6)))</f>
        <v/>
      </c>
      <c r="W12" s="10">
        <f>MAX(W11,R12)</f>
        <v/>
      </c>
      <c r="X12" s="4">
        <f>IF(W12&gt;0,R12/W12-1,-1)</f>
        <v/>
      </c>
      <c r="Y12" s="16">
        <f>IF(R12&gt;0,S12*資金模擬!$B$7/R12,0)</f>
        <v/>
      </c>
      <c r="Z12" s="2">
        <f>IF(OR(Z11=1,R12&lt;=資金模擬!$B$10),1,0)</f>
        <v/>
      </c>
    </row>
    <row r="13">
      <c r="A13" s="2" t="n">
        <v>11</v>
      </c>
      <c r="B13" s="7" t="n">
        <v>46266.90277777778</v>
      </c>
      <c r="C13" s="2" t="inlineStr">
        <is>
          <t>進場</t>
        </is>
      </c>
      <c r="D13" s="2" t="n">
        <v>6</v>
      </c>
      <c r="E13" s="2" t="inlineStr">
        <is>
          <t>FF_USDT_PERP</t>
        </is>
      </c>
      <c r="F13" s="2" t="inlineStr">
        <is>
          <t>做空</t>
        </is>
      </c>
      <c r="G13" s="17" t="n">
        <v>0.09488000000000001</v>
      </c>
      <c r="H13" s="17" t="n">
        <v>0.09108480000000001</v>
      </c>
      <c r="I13" s="17" t="n">
        <v>0.099624</v>
      </c>
      <c r="J13" s="17" t="n"/>
      <c r="K13" s="2" t="n"/>
      <c r="L13" s="5" t="n"/>
      <c r="M13" s="16">
        <f>資金模擬!$B$5*V12</f>
        <v/>
      </c>
      <c r="N13" s="2">
        <f>IF(Z12=1,"已停止",IF(T12&gt;=M13,"已下單","資金不足略過"))</f>
        <v/>
      </c>
      <c r="O13" s="16">
        <f>IF(N13="已下單",M13*資金模擬!$B$7,0)</f>
        <v/>
      </c>
      <c r="P13" s="4" t="n"/>
      <c r="Q13" s="10" t="n">
        <v>0</v>
      </c>
      <c r="R13" s="10">
        <f>R12+Q13</f>
        <v/>
      </c>
      <c r="S13" s="16">
        <f>S12+IF(N13="已下單",M13,0)</f>
        <v/>
      </c>
      <c r="T13" s="16">
        <f>R13-S13</f>
        <v/>
      </c>
      <c r="U13" s="2">
        <f>U12+IF(N13="已下單",1,0)</f>
        <v/>
      </c>
      <c r="V13" s="16">
        <f>IF(資金模擬!$B$9=2,MAX(R13,0),MAX(V12,FLOOR(MAX(R13,0),資金模擬!$B$6)))</f>
        <v/>
      </c>
      <c r="W13" s="10">
        <f>MAX(W12,R13)</f>
        <v/>
      </c>
      <c r="X13" s="4">
        <f>IF(W13&gt;0,R13/W13-1,-1)</f>
        <v/>
      </c>
      <c r="Y13" s="16">
        <f>IF(R13&gt;0,S13*資金模擬!$B$7/R13,0)</f>
        <v/>
      </c>
      <c r="Z13" s="2">
        <f>IF(OR(Z12=1,R13&lt;=資金模擬!$B$10),1,0)</f>
        <v/>
      </c>
    </row>
    <row r="14">
      <c r="A14" s="2" t="n">
        <v>12</v>
      </c>
      <c r="B14" s="7" t="n">
        <v>46266.90972222222</v>
      </c>
      <c r="C14" s="2" t="inlineStr">
        <is>
          <t>出場</t>
        </is>
      </c>
      <c r="D14" s="2" t="n">
        <v>6</v>
      </c>
      <c r="E14" s="2" t="inlineStr">
        <is>
          <t>FF_USDT_PERP</t>
        </is>
      </c>
      <c r="F14" s="2" t="inlineStr">
        <is>
          <t>做空</t>
        </is>
      </c>
      <c r="G14" s="17" t="n">
        <v>0.09488000000000001</v>
      </c>
      <c r="H14" s="17" t="n">
        <v>0.09108480000000001</v>
      </c>
      <c r="I14" s="17" t="n">
        <v>0.099624</v>
      </c>
      <c r="J14" s="17" t="n">
        <v>0.099624</v>
      </c>
      <c r="K14" s="2" t="inlineStr">
        <is>
          <t>止損</t>
        </is>
      </c>
      <c r="L14" s="5">
        <f>交易明細!K7</f>
        <v/>
      </c>
      <c r="M14" s="16">
        <f>M13</f>
        <v/>
      </c>
      <c r="N14" s="2">
        <f>N13</f>
        <v/>
      </c>
      <c r="O14" s="16">
        <f>O13</f>
        <v/>
      </c>
      <c r="P14" s="4">
        <f>交易明細!L7</f>
        <v/>
      </c>
      <c r="Q14" s="10">
        <f>IF(N14="已下單",O14*P14,0)</f>
        <v/>
      </c>
      <c r="R14" s="10">
        <f>R13+Q14</f>
        <v/>
      </c>
      <c r="S14" s="16">
        <f>S13-IF(N14="已下單",M14,0)</f>
        <v/>
      </c>
      <c r="T14" s="16">
        <f>R14-S14</f>
        <v/>
      </c>
      <c r="U14" s="2">
        <f>U13-IF(N14="已下單",1,0)</f>
        <v/>
      </c>
      <c r="V14" s="16">
        <f>IF(資金模擬!$B$9=2,MAX(R14,0),MAX(V13,FLOOR(MAX(R14,0),資金模擬!$B$6)))</f>
        <v/>
      </c>
      <c r="W14" s="10">
        <f>MAX(W13,R14)</f>
        <v/>
      </c>
      <c r="X14" s="4">
        <f>IF(W14&gt;0,R14/W14-1,-1)</f>
        <v/>
      </c>
      <c r="Y14" s="16">
        <f>IF(R14&gt;0,S14*資金模擬!$B$7/R14,0)</f>
        <v/>
      </c>
      <c r="Z14" s="2">
        <f>IF(OR(Z13=1,R14&lt;=資金模擬!$B$10),1,0)</f>
        <v/>
      </c>
    </row>
    <row r="15">
      <c r="A15" s="2" t="n">
        <v>13</v>
      </c>
      <c r="B15" s="7" t="n">
        <v>46266.95138888889</v>
      </c>
      <c r="C15" s="2" t="inlineStr">
        <is>
          <t>進場</t>
        </is>
      </c>
      <c r="D15" s="2" t="n">
        <v>7</v>
      </c>
      <c r="E15" s="2" t="inlineStr">
        <is>
          <t>FF_USDT_PERP</t>
        </is>
      </c>
      <c r="F15" s="2" t="inlineStr">
        <is>
          <t>做空</t>
        </is>
      </c>
      <c r="G15" s="17" t="n">
        <v>0.10179</v>
      </c>
      <c r="H15" s="17" t="n">
        <v>0.0977184</v>
      </c>
      <c r="I15" s="17" t="n">
        <v>0.1068795</v>
      </c>
      <c r="J15" s="17" t="n"/>
      <c r="K15" s="2" t="n"/>
      <c r="L15" s="5" t="n"/>
      <c r="M15" s="16">
        <f>資金模擬!$B$5*V14</f>
        <v/>
      </c>
      <c r="N15" s="2">
        <f>IF(Z14=1,"已停止",IF(T14&gt;=M15,"已下單","資金不足略過"))</f>
        <v/>
      </c>
      <c r="O15" s="16">
        <f>IF(N15="已下單",M15*資金模擬!$B$7,0)</f>
        <v/>
      </c>
      <c r="P15" s="4" t="n"/>
      <c r="Q15" s="10" t="n">
        <v>0</v>
      </c>
      <c r="R15" s="10">
        <f>R14+Q15</f>
        <v/>
      </c>
      <c r="S15" s="16">
        <f>S14+IF(N15="已下單",M15,0)</f>
        <v/>
      </c>
      <c r="T15" s="16">
        <f>R15-S15</f>
        <v/>
      </c>
      <c r="U15" s="2">
        <f>U14+IF(N15="已下單",1,0)</f>
        <v/>
      </c>
      <c r="V15" s="16">
        <f>IF(資金模擬!$B$9=2,MAX(R15,0),MAX(V14,FLOOR(MAX(R15,0),資金模擬!$B$6)))</f>
        <v/>
      </c>
      <c r="W15" s="10">
        <f>MAX(W14,R15)</f>
        <v/>
      </c>
      <c r="X15" s="4">
        <f>IF(W15&gt;0,R15/W15-1,-1)</f>
        <v/>
      </c>
      <c r="Y15" s="16">
        <f>IF(R15&gt;0,S15*資金模擬!$B$7/R15,0)</f>
        <v/>
      </c>
      <c r="Z15" s="2">
        <f>IF(OR(Z14=1,R15&lt;=資金模擬!$B$10),1,0)</f>
        <v/>
      </c>
    </row>
    <row r="16">
      <c r="A16" s="2" t="n">
        <v>14</v>
      </c>
      <c r="B16" s="7" t="n">
        <v>46266.96875</v>
      </c>
      <c r="C16" s="2" t="inlineStr">
        <is>
          <t>出場</t>
        </is>
      </c>
      <c r="D16" s="2" t="n">
        <v>7</v>
      </c>
      <c r="E16" s="2" t="inlineStr">
        <is>
          <t>FF_USDT_PERP</t>
        </is>
      </c>
      <c r="F16" s="2" t="inlineStr">
        <is>
          <t>做空</t>
        </is>
      </c>
      <c r="G16" s="17" t="n">
        <v>0.10179</v>
      </c>
      <c r="H16" s="17" t="n">
        <v>0.0977184</v>
      </c>
      <c r="I16" s="17" t="n">
        <v>0.1068795</v>
      </c>
      <c r="J16" s="17" t="n">
        <v>0.0977184</v>
      </c>
      <c r="K16" s="2" t="inlineStr">
        <is>
          <t>止盈</t>
        </is>
      </c>
      <c r="L16" s="5">
        <f>交易明細!K8</f>
        <v/>
      </c>
      <c r="M16" s="16">
        <f>M15</f>
        <v/>
      </c>
      <c r="N16" s="2">
        <f>N15</f>
        <v/>
      </c>
      <c r="O16" s="16">
        <f>O15</f>
        <v/>
      </c>
      <c r="P16" s="4">
        <f>交易明細!L8</f>
        <v/>
      </c>
      <c r="Q16" s="10">
        <f>IF(N16="已下單",O16*P16,0)</f>
        <v/>
      </c>
      <c r="R16" s="10">
        <f>R15+Q16</f>
        <v/>
      </c>
      <c r="S16" s="16">
        <f>S15-IF(N16="已下單",M16,0)</f>
        <v/>
      </c>
      <c r="T16" s="16">
        <f>R16-S16</f>
        <v/>
      </c>
      <c r="U16" s="2">
        <f>U15-IF(N16="已下單",1,0)</f>
        <v/>
      </c>
      <c r="V16" s="16">
        <f>IF(資金模擬!$B$9=2,MAX(R16,0),MAX(V15,FLOOR(MAX(R16,0),資金模擬!$B$6)))</f>
        <v/>
      </c>
      <c r="W16" s="10">
        <f>MAX(W15,R16)</f>
        <v/>
      </c>
      <c r="X16" s="4">
        <f>IF(W16&gt;0,R16/W16-1,-1)</f>
        <v/>
      </c>
      <c r="Y16" s="16">
        <f>IF(R16&gt;0,S16*資金模擬!$B$7/R16,0)</f>
        <v/>
      </c>
      <c r="Z16" s="2">
        <f>IF(OR(Z15=1,R16&lt;=資金模擬!$B$10),1,0)</f>
        <v/>
      </c>
    </row>
    <row r="17">
      <c r="A17" s="2" t="n">
        <v>15</v>
      </c>
      <c r="B17" s="7" t="n">
        <v>46267.39236111111</v>
      </c>
      <c r="C17" s="2" t="inlineStr">
        <is>
          <t>進場</t>
        </is>
      </c>
      <c r="D17" s="2" t="n">
        <v>8</v>
      </c>
      <c r="E17" s="2" t="inlineStr">
        <is>
          <t>LA_USDT_PERP</t>
        </is>
      </c>
      <c r="F17" s="2" t="inlineStr">
        <is>
          <t>做空</t>
        </is>
      </c>
      <c r="G17" s="17" t="n">
        <v>0.06491</v>
      </c>
      <c r="H17" s="17" t="n">
        <v>0.0623136</v>
      </c>
      <c r="I17" s="17" t="n">
        <v>0.06815549999999999</v>
      </c>
      <c r="J17" s="17" t="n"/>
      <c r="K17" s="2" t="n"/>
      <c r="L17" s="5" t="n"/>
      <c r="M17" s="16">
        <f>資金模擬!$B$5*V16</f>
        <v/>
      </c>
      <c r="N17" s="2">
        <f>IF(Z16=1,"已停止",IF(T16&gt;=M17,"已下單","資金不足略過"))</f>
        <v/>
      </c>
      <c r="O17" s="16">
        <f>IF(N17="已下單",M17*資金模擬!$B$7,0)</f>
        <v/>
      </c>
      <c r="P17" s="4" t="n"/>
      <c r="Q17" s="10" t="n">
        <v>0</v>
      </c>
      <c r="R17" s="10">
        <f>R16+Q17</f>
        <v/>
      </c>
      <c r="S17" s="16">
        <f>S16+IF(N17="已下單",M17,0)</f>
        <v/>
      </c>
      <c r="T17" s="16">
        <f>R17-S17</f>
        <v/>
      </c>
      <c r="U17" s="2">
        <f>U16+IF(N17="已下單",1,0)</f>
        <v/>
      </c>
      <c r="V17" s="16">
        <f>IF(資金模擬!$B$9=2,MAX(R17,0),MAX(V16,FLOOR(MAX(R17,0),資金模擬!$B$6)))</f>
        <v/>
      </c>
      <c r="W17" s="10">
        <f>MAX(W16,R17)</f>
        <v/>
      </c>
      <c r="X17" s="4">
        <f>IF(W17&gt;0,R17/W17-1,-1)</f>
        <v/>
      </c>
      <c r="Y17" s="16">
        <f>IF(R17&gt;0,S17*資金模擬!$B$7/R17,0)</f>
        <v/>
      </c>
      <c r="Z17" s="2">
        <f>IF(OR(Z16=1,R17&lt;=資金模擬!$B$10),1,0)</f>
        <v/>
      </c>
    </row>
    <row r="18">
      <c r="A18" s="2" t="n">
        <v>16</v>
      </c>
      <c r="B18" s="7" t="n">
        <v>46267.47222222222</v>
      </c>
      <c r="C18" s="2" t="inlineStr">
        <is>
          <t>出場</t>
        </is>
      </c>
      <c r="D18" s="2" t="n">
        <v>8</v>
      </c>
      <c r="E18" s="2" t="inlineStr">
        <is>
          <t>LA_USDT_PERP</t>
        </is>
      </c>
      <c r="F18" s="2" t="inlineStr">
        <is>
          <t>做空</t>
        </is>
      </c>
      <c r="G18" s="17" t="n">
        <v>0.06491</v>
      </c>
      <c r="H18" s="17" t="n">
        <v>0.0623136</v>
      </c>
      <c r="I18" s="17" t="n">
        <v>0.06815549999999999</v>
      </c>
      <c r="J18" s="17" t="n">
        <v>0.0623136</v>
      </c>
      <c r="K18" s="2" t="inlineStr">
        <is>
          <t>止盈</t>
        </is>
      </c>
      <c r="L18" s="5">
        <f>交易明細!K9</f>
        <v/>
      </c>
      <c r="M18" s="16">
        <f>M17</f>
        <v/>
      </c>
      <c r="N18" s="2">
        <f>N17</f>
        <v/>
      </c>
      <c r="O18" s="16">
        <f>O17</f>
        <v/>
      </c>
      <c r="P18" s="4">
        <f>交易明細!L9</f>
        <v/>
      </c>
      <c r="Q18" s="10">
        <f>IF(N18="已下單",O18*P18,0)</f>
        <v/>
      </c>
      <c r="R18" s="10">
        <f>R17+Q18</f>
        <v/>
      </c>
      <c r="S18" s="16">
        <f>S17-IF(N18="已下單",M18,0)</f>
        <v/>
      </c>
      <c r="T18" s="16">
        <f>R18-S18</f>
        <v/>
      </c>
      <c r="U18" s="2">
        <f>U17-IF(N18="已下單",1,0)</f>
        <v/>
      </c>
      <c r="V18" s="16">
        <f>IF(資金模擬!$B$9=2,MAX(R18,0),MAX(V17,FLOOR(MAX(R18,0),資金模擬!$B$6)))</f>
        <v/>
      </c>
      <c r="W18" s="10">
        <f>MAX(W17,R18)</f>
        <v/>
      </c>
      <c r="X18" s="4">
        <f>IF(W18&gt;0,R18/W18-1,-1)</f>
        <v/>
      </c>
      <c r="Y18" s="16">
        <f>IF(R18&gt;0,S18*資金模擬!$B$7/R18,0)</f>
        <v/>
      </c>
      <c r="Z18" s="2">
        <f>IF(OR(Z17=1,R18&lt;=資金模擬!$B$10),1,0)</f>
        <v/>
      </c>
    </row>
    <row r="19">
      <c r="A19" s="2" t="n">
        <v>17</v>
      </c>
      <c r="B19" s="7" t="n">
        <v>46267.48263888889</v>
      </c>
      <c r="C19" s="2" t="inlineStr">
        <is>
          <t>進場</t>
        </is>
      </c>
      <c r="D19" s="2" t="n">
        <v>9</v>
      </c>
      <c r="E19" s="2" t="inlineStr">
        <is>
          <t>CLO_USDT_PERP</t>
        </is>
      </c>
      <c r="F19" s="2" t="inlineStr">
        <is>
          <t>做空</t>
        </is>
      </c>
      <c r="G19" s="17" t="n">
        <v>0.1616</v>
      </c>
      <c r="H19" s="17" t="n">
        <v>0.155136</v>
      </c>
      <c r="I19" s="17" t="n">
        <v>0.16968</v>
      </c>
      <c r="J19" s="17" t="n"/>
      <c r="K19" s="2" t="n"/>
      <c r="L19" s="5" t="n"/>
      <c r="M19" s="16">
        <f>資金模擬!$B$5*V18</f>
        <v/>
      </c>
      <c r="N19" s="2">
        <f>IF(Z18=1,"已停止",IF(T18&gt;=M19,"已下單","資金不足略過"))</f>
        <v/>
      </c>
      <c r="O19" s="16">
        <f>IF(N19="已下單",M19*資金模擬!$B$7,0)</f>
        <v/>
      </c>
      <c r="P19" s="4" t="n"/>
      <c r="Q19" s="10" t="n">
        <v>0</v>
      </c>
      <c r="R19" s="10">
        <f>R18+Q19</f>
        <v/>
      </c>
      <c r="S19" s="16">
        <f>S18+IF(N19="已下單",M19,0)</f>
        <v/>
      </c>
      <c r="T19" s="16">
        <f>R19-S19</f>
        <v/>
      </c>
      <c r="U19" s="2">
        <f>U18+IF(N19="已下單",1,0)</f>
        <v/>
      </c>
      <c r="V19" s="16">
        <f>IF(資金模擬!$B$9=2,MAX(R19,0),MAX(V18,FLOOR(MAX(R19,0),資金模擬!$B$6)))</f>
        <v/>
      </c>
      <c r="W19" s="10">
        <f>MAX(W18,R19)</f>
        <v/>
      </c>
      <c r="X19" s="4">
        <f>IF(W19&gt;0,R19/W19-1,-1)</f>
        <v/>
      </c>
      <c r="Y19" s="16">
        <f>IF(R19&gt;0,S19*資金模擬!$B$7/R19,0)</f>
        <v/>
      </c>
      <c r="Z19" s="2">
        <f>IF(OR(Z18=1,R19&lt;=資金模擬!$B$10),1,0)</f>
        <v/>
      </c>
    </row>
    <row r="20">
      <c r="A20" s="2" t="n">
        <v>18</v>
      </c>
      <c r="B20" s="7" t="n">
        <v>46267.51388888889</v>
      </c>
      <c r="C20" s="2" t="inlineStr">
        <is>
          <t>出場</t>
        </is>
      </c>
      <c r="D20" s="2" t="n">
        <v>9</v>
      </c>
      <c r="E20" s="2" t="inlineStr">
        <is>
          <t>CLO_USDT_PERP</t>
        </is>
      </c>
      <c r="F20" s="2" t="inlineStr">
        <is>
          <t>做空</t>
        </is>
      </c>
      <c r="G20" s="17" t="n">
        <v>0.1616</v>
      </c>
      <c r="H20" s="17" t="n">
        <v>0.155136</v>
      </c>
      <c r="I20" s="17" t="n">
        <v>0.16968</v>
      </c>
      <c r="J20" s="17" t="n">
        <v>0.16968</v>
      </c>
      <c r="K20" s="2" t="inlineStr">
        <is>
          <t>止損</t>
        </is>
      </c>
      <c r="L20" s="5">
        <f>交易明細!K10</f>
        <v/>
      </c>
      <c r="M20" s="16">
        <f>M19</f>
        <v/>
      </c>
      <c r="N20" s="2">
        <f>N19</f>
        <v/>
      </c>
      <c r="O20" s="16">
        <f>O19</f>
        <v/>
      </c>
      <c r="P20" s="4">
        <f>交易明細!L10</f>
        <v/>
      </c>
      <c r="Q20" s="10">
        <f>IF(N20="已下單",O20*P20,0)</f>
        <v/>
      </c>
      <c r="R20" s="10">
        <f>R19+Q20</f>
        <v/>
      </c>
      <c r="S20" s="16">
        <f>S19-IF(N20="已下單",M20,0)</f>
        <v/>
      </c>
      <c r="T20" s="16">
        <f>R20-S20</f>
        <v/>
      </c>
      <c r="U20" s="2">
        <f>U19-IF(N20="已下單",1,0)</f>
        <v/>
      </c>
      <c r="V20" s="16">
        <f>IF(資金模擬!$B$9=2,MAX(R20,0),MAX(V19,FLOOR(MAX(R20,0),資金模擬!$B$6)))</f>
        <v/>
      </c>
      <c r="W20" s="10">
        <f>MAX(W19,R20)</f>
        <v/>
      </c>
      <c r="X20" s="4">
        <f>IF(W20&gt;0,R20/W20-1,-1)</f>
        <v/>
      </c>
      <c r="Y20" s="16">
        <f>IF(R20&gt;0,S20*資金模擬!$B$7/R20,0)</f>
        <v/>
      </c>
      <c r="Z20" s="2">
        <f>IF(OR(Z19=1,R20&lt;=資金模擬!$B$10),1,0)</f>
        <v/>
      </c>
    </row>
    <row r="21">
      <c r="A21" s="2" t="n">
        <v>19</v>
      </c>
      <c r="B21" s="7" t="n">
        <v>46267.98611111111</v>
      </c>
      <c r="C21" s="2" t="inlineStr">
        <is>
          <t>進場</t>
        </is>
      </c>
      <c r="D21" s="2" t="n">
        <v>10</v>
      </c>
      <c r="E21" s="2" t="inlineStr">
        <is>
          <t>MUBARAK_USDT_PERP</t>
        </is>
      </c>
      <c r="F21" s="2" t="inlineStr">
        <is>
          <t>做空</t>
        </is>
      </c>
      <c r="G21" s="17" t="n">
        <v>0.02662</v>
      </c>
      <c r="H21" s="17" t="n">
        <v>0.0255552</v>
      </c>
      <c r="I21" s="17" t="n">
        <v>0.027951</v>
      </c>
      <c r="J21" s="17" t="n"/>
      <c r="K21" s="2" t="n"/>
      <c r="L21" s="5" t="n"/>
      <c r="M21" s="16">
        <f>資金模擬!$B$5*V20</f>
        <v/>
      </c>
      <c r="N21" s="2">
        <f>IF(Z20=1,"已停止",IF(T20&gt;=M21,"已下單","資金不足略過"))</f>
        <v/>
      </c>
      <c r="O21" s="16">
        <f>IF(N21="已下單",M21*資金模擬!$B$7,0)</f>
        <v/>
      </c>
      <c r="P21" s="4" t="n"/>
      <c r="Q21" s="10" t="n">
        <v>0</v>
      </c>
      <c r="R21" s="10">
        <f>R20+Q21</f>
        <v/>
      </c>
      <c r="S21" s="16">
        <f>S20+IF(N21="已下單",M21,0)</f>
        <v/>
      </c>
      <c r="T21" s="16">
        <f>R21-S21</f>
        <v/>
      </c>
      <c r="U21" s="2">
        <f>U20+IF(N21="已下單",1,0)</f>
        <v/>
      </c>
      <c r="V21" s="16">
        <f>IF(資金模擬!$B$9=2,MAX(R21,0),MAX(V20,FLOOR(MAX(R21,0),資金模擬!$B$6)))</f>
        <v/>
      </c>
      <c r="W21" s="10">
        <f>MAX(W20,R21)</f>
        <v/>
      </c>
      <c r="X21" s="4">
        <f>IF(W21&gt;0,R21/W21-1,-1)</f>
        <v/>
      </c>
      <c r="Y21" s="16">
        <f>IF(R21&gt;0,S21*資金模擬!$B$7/R21,0)</f>
        <v/>
      </c>
      <c r="Z21" s="2">
        <f>IF(OR(Z20=1,R21&lt;=資金模擬!$B$10),1,0)</f>
        <v/>
      </c>
    </row>
    <row r="22">
      <c r="A22" s="2" t="n">
        <v>20</v>
      </c>
      <c r="B22" s="7" t="n">
        <v>46267.99305555555</v>
      </c>
      <c r="C22" s="2" t="inlineStr">
        <is>
          <t>出場</t>
        </is>
      </c>
      <c r="D22" s="2" t="n">
        <v>10</v>
      </c>
      <c r="E22" s="2" t="inlineStr">
        <is>
          <t>MUBARAK_USDT_PERP</t>
        </is>
      </c>
      <c r="F22" s="2" t="inlineStr">
        <is>
          <t>做空</t>
        </is>
      </c>
      <c r="G22" s="17" t="n">
        <v>0.02662</v>
      </c>
      <c r="H22" s="17" t="n">
        <v>0.0255552</v>
      </c>
      <c r="I22" s="17" t="n">
        <v>0.027951</v>
      </c>
      <c r="J22" s="17" t="n">
        <v>0.027951</v>
      </c>
      <c r="K22" s="2" t="inlineStr">
        <is>
          <t>止損</t>
        </is>
      </c>
      <c r="L22" s="5">
        <f>交易明細!K11</f>
        <v/>
      </c>
      <c r="M22" s="16">
        <f>M21</f>
        <v/>
      </c>
      <c r="N22" s="2">
        <f>N21</f>
        <v/>
      </c>
      <c r="O22" s="16">
        <f>O21</f>
        <v/>
      </c>
      <c r="P22" s="4">
        <f>交易明細!L11</f>
        <v/>
      </c>
      <c r="Q22" s="10">
        <f>IF(N22="已下單",O22*P22,0)</f>
        <v/>
      </c>
      <c r="R22" s="10">
        <f>R21+Q22</f>
        <v/>
      </c>
      <c r="S22" s="16">
        <f>S21-IF(N22="已下單",M22,0)</f>
        <v/>
      </c>
      <c r="T22" s="16">
        <f>R22-S22</f>
        <v/>
      </c>
      <c r="U22" s="2">
        <f>U21-IF(N22="已下單",1,0)</f>
        <v/>
      </c>
      <c r="V22" s="16">
        <f>IF(資金模擬!$B$9=2,MAX(R22,0),MAX(V21,FLOOR(MAX(R22,0),資金模擬!$B$6)))</f>
        <v/>
      </c>
      <c r="W22" s="10">
        <f>MAX(W21,R22)</f>
        <v/>
      </c>
      <c r="X22" s="4">
        <f>IF(W22&gt;0,R22/W22-1,-1)</f>
        <v/>
      </c>
      <c r="Y22" s="16">
        <f>IF(R22&gt;0,S22*資金模擬!$B$7/R22,0)</f>
        <v/>
      </c>
      <c r="Z22" s="2">
        <f>IF(OR(Z21=1,R22&lt;=資金模擬!$B$10),1,0)</f>
        <v/>
      </c>
    </row>
    <row r="23">
      <c r="A23" s="2" t="n">
        <v>21</v>
      </c>
      <c r="B23" s="7" t="n">
        <v>46268.67708333334</v>
      </c>
      <c r="C23" s="2" t="inlineStr">
        <is>
          <t>進場</t>
        </is>
      </c>
      <c r="D23" s="2" t="n">
        <v>11</v>
      </c>
      <c r="E23" s="2" t="inlineStr">
        <is>
          <t>CHIP_USDT_PERP</t>
        </is>
      </c>
      <c r="F23" s="2" t="inlineStr">
        <is>
          <t>做空</t>
        </is>
      </c>
      <c r="G23" s="17" t="n">
        <v>0.05177</v>
      </c>
      <c r="H23" s="17" t="n">
        <v>0.04969919999999999</v>
      </c>
      <c r="I23" s="17" t="n">
        <v>0.0543585</v>
      </c>
      <c r="J23" s="17" t="n"/>
      <c r="K23" s="2" t="n"/>
      <c r="L23" s="5" t="n"/>
      <c r="M23" s="16">
        <f>資金模擬!$B$5*V22</f>
        <v/>
      </c>
      <c r="N23" s="2">
        <f>IF(Z22=1,"已停止",IF(T22&gt;=M23,"已下單","資金不足略過"))</f>
        <v/>
      </c>
      <c r="O23" s="16">
        <f>IF(N23="已下單",M23*資金模擬!$B$7,0)</f>
        <v/>
      </c>
      <c r="P23" s="4" t="n"/>
      <c r="Q23" s="10" t="n">
        <v>0</v>
      </c>
      <c r="R23" s="10">
        <f>R22+Q23</f>
        <v/>
      </c>
      <c r="S23" s="16">
        <f>S22+IF(N23="已下單",M23,0)</f>
        <v/>
      </c>
      <c r="T23" s="16">
        <f>R23-S23</f>
        <v/>
      </c>
      <c r="U23" s="2">
        <f>U22+IF(N23="已下單",1,0)</f>
        <v/>
      </c>
      <c r="V23" s="16">
        <f>IF(資金模擬!$B$9=2,MAX(R23,0),MAX(V22,FLOOR(MAX(R23,0),資金模擬!$B$6)))</f>
        <v/>
      </c>
      <c r="W23" s="10">
        <f>MAX(W22,R23)</f>
        <v/>
      </c>
      <c r="X23" s="4">
        <f>IF(W23&gt;0,R23/W23-1,-1)</f>
        <v/>
      </c>
      <c r="Y23" s="16">
        <f>IF(R23&gt;0,S23*資金模擬!$B$7/R23,0)</f>
        <v/>
      </c>
      <c r="Z23" s="2">
        <f>IF(OR(Z22=1,R23&lt;=資金模擬!$B$10),1,0)</f>
        <v/>
      </c>
    </row>
    <row r="24">
      <c r="A24" s="2" t="n">
        <v>22</v>
      </c>
      <c r="B24" s="7" t="n">
        <v>46268.71875</v>
      </c>
      <c r="C24" s="2" t="inlineStr">
        <is>
          <t>進場</t>
        </is>
      </c>
      <c r="D24" s="2" t="n">
        <v>12</v>
      </c>
      <c r="E24" s="2" t="inlineStr">
        <is>
          <t>ZEST_USDT_PERP</t>
        </is>
      </c>
      <c r="F24" s="2" t="inlineStr">
        <is>
          <t>做空</t>
        </is>
      </c>
      <c r="G24" s="17" t="n">
        <v>0.15617</v>
      </c>
      <c r="H24" s="17" t="n">
        <v>0.1499232</v>
      </c>
      <c r="I24" s="17" t="n">
        <v>0.1639785</v>
      </c>
      <c r="J24" s="17" t="n"/>
      <c r="K24" s="2" t="n"/>
      <c r="L24" s="5" t="n"/>
      <c r="M24" s="16">
        <f>資金模擬!$B$5*V23</f>
        <v/>
      </c>
      <c r="N24" s="2">
        <f>IF(Z23=1,"已停止",IF(T23&gt;=M24,"已下單","資金不足略過"))</f>
        <v/>
      </c>
      <c r="O24" s="16">
        <f>IF(N24="已下單",M24*資金模擬!$B$7,0)</f>
        <v/>
      </c>
      <c r="P24" s="4" t="n"/>
      <c r="Q24" s="10" t="n">
        <v>0</v>
      </c>
      <c r="R24" s="10">
        <f>R23+Q24</f>
        <v/>
      </c>
      <c r="S24" s="16">
        <f>S23+IF(N24="已下單",M24,0)</f>
        <v/>
      </c>
      <c r="T24" s="16">
        <f>R24-S24</f>
        <v/>
      </c>
      <c r="U24" s="2">
        <f>U23+IF(N24="已下單",1,0)</f>
        <v/>
      </c>
      <c r="V24" s="16">
        <f>IF(資金模擬!$B$9=2,MAX(R24,0),MAX(V23,FLOOR(MAX(R24,0),資金模擬!$B$6)))</f>
        <v/>
      </c>
      <c r="W24" s="10">
        <f>MAX(W23,R24)</f>
        <v/>
      </c>
      <c r="X24" s="4">
        <f>IF(W24&gt;0,R24/W24-1,-1)</f>
        <v/>
      </c>
      <c r="Y24" s="16">
        <f>IF(R24&gt;0,S24*資金模擬!$B$7/R24,0)</f>
        <v/>
      </c>
      <c r="Z24" s="2">
        <f>IF(OR(Z23=1,R24&lt;=資金模擬!$B$10),1,0)</f>
        <v/>
      </c>
    </row>
    <row r="25">
      <c r="A25" s="2" t="n">
        <v>23</v>
      </c>
      <c r="B25" s="7" t="n">
        <v>46268.72222222222</v>
      </c>
      <c r="C25" s="2" t="inlineStr">
        <is>
          <t>出場</t>
        </is>
      </c>
      <c r="D25" s="2" t="n">
        <v>12</v>
      </c>
      <c r="E25" s="2" t="inlineStr">
        <is>
          <t>ZEST_USDT_PERP</t>
        </is>
      </c>
      <c r="F25" s="2" t="inlineStr">
        <is>
          <t>做空</t>
        </is>
      </c>
      <c r="G25" s="17" t="n">
        <v>0.15617</v>
      </c>
      <c r="H25" s="17" t="n">
        <v>0.1499232</v>
      </c>
      <c r="I25" s="17" t="n">
        <v>0.1639785</v>
      </c>
      <c r="J25" s="17" t="n">
        <v>0.1639785</v>
      </c>
      <c r="K25" s="2" t="inlineStr">
        <is>
          <t>止損</t>
        </is>
      </c>
      <c r="L25" s="5">
        <f>交易明細!K13</f>
        <v/>
      </c>
      <c r="M25" s="16">
        <f>M24</f>
        <v/>
      </c>
      <c r="N25" s="2">
        <f>N24</f>
        <v/>
      </c>
      <c r="O25" s="16">
        <f>O24</f>
        <v/>
      </c>
      <c r="P25" s="4">
        <f>交易明細!L13</f>
        <v/>
      </c>
      <c r="Q25" s="10">
        <f>IF(N25="已下單",O25*P25,0)</f>
        <v/>
      </c>
      <c r="R25" s="10">
        <f>R24+Q25</f>
        <v/>
      </c>
      <c r="S25" s="16">
        <f>S24-IF(N25="已下單",M25,0)</f>
        <v/>
      </c>
      <c r="T25" s="16">
        <f>R25-S25</f>
        <v/>
      </c>
      <c r="U25" s="2">
        <f>U24-IF(N25="已下單",1,0)</f>
        <v/>
      </c>
      <c r="V25" s="16">
        <f>IF(資金模擬!$B$9=2,MAX(R25,0),MAX(V24,FLOOR(MAX(R25,0),資金模擬!$B$6)))</f>
        <v/>
      </c>
      <c r="W25" s="10">
        <f>MAX(W24,R25)</f>
        <v/>
      </c>
      <c r="X25" s="4">
        <f>IF(W25&gt;0,R25/W25-1,-1)</f>
        <v/>
      </c>
      <c r="Y25" s="16">
        <f>IF(R25&gt;0,S25*資金模擬!$B$7/R25,0)</f>
        <v/>
      </c>
      <c r="Z25" s="2">
        <f>IF(OR(Z24=1,R25&lt;=資金模擬!$B$10),1,0)</f>
        <v/>
      </c>
    </row>
    <row r="26">
      <c r="A26" s="2" t="n">
        <v>24</v>
      </c>
      <c r="B26" s="7" t="n">
        <v>46268.79513888889</v>
      </c>
      <c r="C26" s="2" t="inlineStr">
        <is>
          <t>進場</t>
        </is>
      </c>
      <c r="D26" s="2" t="n">
        <v>13</v>
      </c>
      <c r="E26" s="2" t="inlineStr">
        <is>
          <t>ZEST_USDT_PERP</t>
        </is>
      </c>
      <c r="F26" s="2" t="inlineStr">
        <is>
          <t>做空</t>
        </is>
      </c>
      <c r="G26" s="17" t="n">
        <v>0.14801</v>
      </c>
      <c r="H26" s="17" t="n">
        <v>0.1420896</v>
      </c>
      <c r="I26" s="17" t="n">
        <v>0.1554105</v>
      </c>
      <c r="J26" s="17" t="n"/>
      <c r="K26" s="2" t="n"/>
      <c r="L26" s="5" t="n"/>
      <c r="M26" s="16">
        <f>資金模擬!$B$5*V25</f>
        <v/>
      </c>
      <c r="N26" s="2">
        <f>IF(Z25=1,"已停止",IF(T25&gt;=M26,"已下單","資金不足略過"))</f>
        <v/>
      </c>
      <c r="O26" s="16">
        <f>IF(N26="已下單",M26*資金模擬!$B$7,0)</f>
        <v/>
      </c>
      <c r="P26" s="4" t="n"/>
      <c r="Q26" s="10" t="n">
        <v>0</v>
      </c>
      <c r="R26" s="10">
        <f>R25+Q26</f>
        <v/>
      </c>
      <c r="S26" s="16">
        <f>S25+IF(N26="已下單",M26,0)</f>
        <v/>
      </c>
      <c r="T26" s="16">
        <f>R26-S26</f>
        <v/>
      </c>
      <c r="U26" s="2">
        <f>U25+IF(N26="已下單",1,0)</f>
        <v/>
      </c>
      <c r="V26" s="16">
        <f>IF(資金模擬!$B$9=2,MAX(R26,0),MAX(V25,FLOOR(MAX(R26,0),資金模擬!$B$6)))</f>
        <v/>
      </c>
      <c r="W26" s="10">
        <f>MAX(W25,R26)</f>
        <v/>
      </c>
      <c r="X26" s="4">
        <f>IF(W26&gt;0,R26/W26-1,-1)</f>
        <v/>
      </c>
      <c r="Y26" s="16">
        <f>IF(R26&gt;0,S26*資金模擬!$B$7/R26,0)</f>
        <v/>
      </c>
      <c r="Z26" s="2">
        <f>IF(OR(Z25=1,R26&lt;=資金模擬!$B$10),1,0)</f>
        <v/>
      </c>
    </row>
    <row r="27">
      <c r="A27" s="2" t="n">
        <v>25</v>
      </c>
      <c r="B27" s="7" t="n">
        <v>46268.80555555555</v>
      </c>
      <c r="C27" s="2" t="inlineStr">
        <is>
          <t>出場</t>
        </is>
      </c>
      <c r="D27" s="2" t="n">
        <v>11</v>
      </c>
      <c r="E27" s="2" t="inlineStr">
        <is>
          <t>CHIP_USDT_PERP</t>
        </is>
      </c>
      <c r="F27" s="2" t="inlineStr">
        <is>
          <t>做空</t>
        </is>
      </c>
      <c r="G27" s="17" t="n">
        <v>0.05177</v>
      </c>
      <c r="H27" s="17" t="n">
        <v>0.04969919999999999</v>
      </c>
      <c r="I27" s="17" t="n">
        <v>0.0543585</v>
      </c>
      <c r="J27" s="17" t="n">
        <v>0.04969919999999999</v>
      </c>
      <c r="K27" s="2" t="inlineStr">
        <is>
          <t>止盈</t>
        </is>
      </c>
      <c r="L27" s="5">
        <f>交易明細!K12</f>
        <v/>
      </c>
      <c r="M27" s="16">
        <f>M23</f>
        <v/>
      </c>
      <c r="N27" s="2">
        <f>N23</f>
        <v/>
      </c>
      <c r="O27" s="16">
        <f>O23</f>
        <v/>
      </c>
      <c r="P27" s="4">
        <f>交易明細!L12</f>
        <v/>
      </c>
      <c r="Q27" s="10">
        <f>IF(N27="已下單",O27*P27,0)</f>
        <v/>
      </c>
      <c r="R27" s="10">
        <f>R26+Q27</f>
        <v/>
      </c>
      <c r="S27" s="16">
        <f>S26-IF(N27="已下單",M27,0)</f>
        <v/>
      </c>
      <c r="T27" s="16">
        <f>R27-S27</f>
        <v/>
      </c>
      <c r="U27" s="2">
        <f>U26-IF(N27="已下單",1,0)</f>
        <v/>
      </c>
      <c r="V27" s="16">
        <f>IF(資金模擬!$B$9=2,MAX(R27,0),MAX(V26,FLOOR(MAX(R27,0),資金模擬!$B$6)))</f>
        <v/>
      </c>
      <c r="W27" s="10">
        <f>MAX(W26,R27)</f>
        <v/>
      </c>
      <c r="X27" s="4">
        <f>IF(W27&gt;0,R27/W27-1,-1)</f>
        <v/>
      </c>
      <c r="Y27" s="16">
        <f>IF(R27&gt;0,S27*資金模擬!$B$7/R27,0)</f>
        <v/>
      </c>
      <c r="Z27" s="2">
        <f>IF(OR(Z26=1,R27&lt;=資金模擬!$B$10),1,0)</f>
        <v/>
      </c>
    </row>
    <row r="28">
      <c r="A28" s="2" t="n">
        <v>26</v>
      </c>
      <c r="B28" s="7" t="n">
        <v>46268.92708333334</v>
      </c>
      <c r="C28" s="2" t="inlineStr">
        <is>
          <t>進場</t>
        </is>
      </c>
      <c r="D28" s="2" t="n">
        <v>14</v>
      </c>
      <c r="E28" s="2" t="inlineStr">
        <is>
          <t>PORTAL_USDT_PERP</t>
        </is>
      </c>
      <c r="F28" s="2" t="inlineStr">
        <is>
          <t>做空</t>
        </is>
      </c>
      <c r="G28" s="17" t="n">
        <v>0.01665</v>
      </c>
      <c r="H28" s="17" t="n">
        <v>0.015984</v>
      </c>
      <c r="I28" s="17" t="n">
        <v>0.0174825</v>
      </c>
      <c r="J28" s="17" t="n"/>
      <c r="K28" s="2" t="n"/>
      <c r="L28" s="5" t="n"/>
      <c r="M28" s="16">
        <f>資金模擬!$B$5*V27</f>
        <v/>
      </c>
      <c r="N28" s="2">
        <f>IF(Z27=1,"已停止",IF(T27&gt;=M28,"已下單","資金不足略過"))</f>
        <v/>
      </c>
      <c r="O28" s="16">
        <f>IF(N28="已下單",M28*資金模擬!$B$7,0)</f>
        <v/>
      </c>
      <c r="P28" s="4" t="n"/>
      <c r="Q28" s="10" t="n">
        <v>0</v>
      </c>
      <c r="R28" s="10">
        <f>R27+Q28</f>
        <v/>
      </c>
      <c r="S28" s="16">
        <f>S27+IF(N28="已下單",M28,0)</f>
        <v/>
      </c>
      <c r="T28" s="16">
        <f>R28-S28</f>
        <v/>
      </c>
      <c r="U28" s="2">
        <f>U27+IF(N28="已下單",1,0)</f>
        <v/>
      </c>
      <c r="V28" s="16">
        <f>IF(資金模擬!$B$9=2,MAX(R28,0),MAX(V27,FLOOR(MAX(R28,0),資金模擬!$B$6)))</f>
        <v/>
      </c>
      <c r="W28" s="10">
        <f>MAX(W27,R28)</f>
        <v/>
      </c>
      <c r="X28" s="4">
        <f>IF(W28&gt;0,R28/W28-1,-1)</f>
        <v/>
      </c>
      <c r="Y28" s="16">
        <f>IF(R28&gt;0,S28*資金模擬!$B$7/R28,0)</f>
        <v/>
      </c>
      <c r="Z28" s="2">
        <f>IF(OR(Z27=1,R28&lt;=資金模擬!$B$10),1,0)</f>
        <v/>
      </c>
    </row>
    <row r="29">
      <c r="A29" s="2" t="n">
        <v>27</v>
      </c>
      <c r="B29" s="7" t="n">
        <v>46268.93055555555</v>
      </c>
      <c r="C29" s="2" t="inlineStr">
        <is>
          <t>出場</t>
        </is>
      </c>
      <c r="D29" s="2" t="n">
        <v>14</v>
      </c>
      <c r="E29" s="2" t="inlineStr">
        <is>
          <t>PORTAL_USDT_PERP</t>
        </is>
      </c>
      <c r="F29" s="2" t="inlineStr">
        <is>
          <t>做空</t>
        </is>
      </c>
      <c r="G29" s="17" t="n">
        <v>0.01665</v>
      </c>
      <c r="H29" s="17" t="n">
        <v>0.015984</v>
      </c>
      <c r="I29" s="17" t="n">
        <v>0.0174825</v>
      </c>
      <c r="J29" s="17" t="n">
        <v>0.015984</v>
      </c>
      <c r="K29" s="2" t="inlineStr">
        <is>
          <t>止盈</t>
        </is>
      </c>
      <c r="L29" s="5">
        <f>交易明細!K15</f>
        <v/>
      </c>
      <c r="M29" s="16">
        <f>M28</f>
        <v/>
      </c>
      <c r="N29" s="2">
        <f>N28</f>
        <v/>
      </c>
      <c r="O29" s="16">
        <f>O28</f>
        <v/>
      </c>
      <c r="P29" s="4">
        <f>交易明細!L15</f>
        <v/>
      </c>
      <c r="Q29" s="10">
        <f>IF(N29="已下單",O29*P29,0)</f>
        <v/>
      </c>
      <c r="R29" s="10">
        <f>R28+Q29</f>
        <v/>
      </c>
      <c r="S29" s="16">
        <f>S28-IF(N29="已下單",M29,0)</f>
        <v/>
      </c>
      <c r="T29" s="16">
        <f>R29-S29</f>
        <v/>
      </c>
      <c r="U29" s="2">
        <f>U28-IF(N29="已下單",1,0)</f>
        <v/>
      </c>
      <c r="V29" s="16">
        <f>IF(資金模擬!$B$9=2,MAX(R29,0),MAX(V28,FLOOR(MAX(R29,0),資金模擬!$B$6)))</f>
        <v/>
      </c>
      <c r="W29" s="10">
        <f>MAX(W28,R29)</f>
        <v/>
      </c>
      <c r="X29" s="4">
        <f>IF(W29&gt;0,R29/W29-1,-1)</f>
        <v/>
      </c>
      <c r="Y29" s="16">
        <f>IF(R29&gt;0,S29*資金模擬!$B$7/R29,0)</f>
        <v/>
      </c>
      <c r="Z29" s="2">
        <f>IF(OR(Z28=1,R29&lt;=資金模擬!$B$10),1,0)</f>
        <v/>
      </c>
    </row>
    <row r="30">
      <c r="A30" s="2" t="n">
        <v>28</v>
      </c>
      <c r="B30" s="7" t="n">
        <v>46268.95138888889</v>
      </c>
      <c r="C30" s="2" t="inlineStr">
        <is>
          <t>進場</t>
        </is>
      </c>
      <c r="D30" s="2" t="n">
        <v>15</v>
      </c>
      <c r="E30" s="2" t="inlineStr">
        <is>
          <t>CATI_USDT_PERP</t>
        </is>
      </c>
      <c r="F30" s="2" t="inlineStr">
        <is>
          <t>做空</t>
        </is>
      </c>
      <c r="G30" s="17" t="n">
        <v>0.06712</v>
      </c>
      <c r="H30" s="17" t="n">
        <v>0.0644352</v>
      </c>
      <c r="I30" s="17" t="n">
        <v>0.070476</v>
      </c>
      <c r="J30" s="17" t="n"/>
      <c r="K30" s="2" t="n"/>
      <c r="L30" s="5" t="n"/>
      <c r="M30" s="16">
        <f>資金模擬!$B$5*V29</f>
        <v/>
      </c>
      <c r="N30" s="2">
        <f>IF(Z29=1,"已停止",IF(T29&gt;=M30,"已下單","資金不足略過"))</f>
        <v/>
      </c>
      <c r="O30" s="16">
        <f>IF(N30="已下單",M30*資金模擬!$B$7,0)</f>
        <v/>
      </c>
      <c r="P30" s="4" t="n"/>
      <c r="Q30" s="10" t="n">
        <v>0</v>
      </c>
      <c r="R30" s="10">
        <f>R29+Q30</f>
        <v/>
      </c>
      <c r="S30" s="16">
        <f>S29+IF(N30="已下單",M30,0)</f>
        <v/>
      </c>
      <c r="T30" s="16">
        <f>R30-S30</f>
        <v/>
      </c>
      <c r="U30" s="2">
        <f>U29+IF(N30="已下單",1,0)</f>
        <v/>
      </c>
      <c r="V30" s="16">
        <f>IF(資金模擬!$B$9=2,MAX(R30,0),MAX(V29,FLOOR(MAX(R30,0),資金模擬!$B$6)))</f>
        <v/>
      </c>
      <c r="W30" s="10">
        <f>MAX(W29,R30)</f>
        <v/>
      </c>
      <c r="X30" s="4">
        <f>IF(W30&gt;0,R30/W30-1,-1)</f>
        <v/>
      </c>
      <c r="Y30" s="16">
        <f>IF(R30&gt;0,S30*資金模擬!$B$7/R30,0)</f>
        <v/>
      </c>
      <c r="Z30" s="2">
        <f>IF(OR(Z29=1,R30&lt;=資金模擬!$B$10),1,0)</f>
        <v/>
      </c>
    </row>
    <row r="31">
      <c r="A31" s="2" t="n">
        <v>29</v>
      </c>
      <c r="B31" s="7" t="n">
        <v>46269.02777777778</v>
      </c>
      <c r="C31" s="2" t="inlineStr">
        <is>
          <t>出場</t>
        </is>
      </c>
      <c r="D31" s="2" t="n">
        <v>15</v>
      </c>
      <c r="E31" s="2" t="inlineStr">
        <is>
          <t>CATI_USDT_PERP</t>
        </is>
      </c>
      <c r="F31" s="2" t="inlineStr">
        <is>
          <t>做空</t>
        </is>
      </c>
      <c r="G31" s="17" t="n">
        <v>0.06712</v>
      </c>
      <c r="H31" s="17" t="n">
        <v>0.0644352</v>
      </c>
      <c r="I31" s="17" t="n">
        <v>0.070476</v>
      </c>
      <c r="J31" s="17" t="n">
        <v>0.0644352</v>
      </c>
      <c r="K31" s="2" t="inlineStr">
        <is>
          <t>止盈</t>
        </is>
      </c>
      <c r="L31" s="5">
        <f>交易明細!K16</f>
        <v/>
      </c>
      <c r="M31" s="16">
        <f>M30</f>
        <v/>
      </c>
      <c r="N31" s="2">
        <f>N30</f>
        <v/>
      </c>
      <c r="O31" s="16">
        <f>O30</f>
        <v/>
      </c>
      <c r="P31" s="4">
        <f>交易明細!L16</f>
        <v/>
      </c>
      <c r="Q31" s="10">
        <f>IF(N31="已下單",O31*P31,0)</f>
        <v/>
      </c>
      <c r="R31" s="10">
        <f>R30+Q31</f>
        <v/>
      </c>
      <c r="S31" s="16">
        <f>S30-IF(N31="已下單",M31,0)</f>
        <v/>
      </c>
      <c r="T31" s="16">
        <f>R31-S31</f>
        <v/>
      </c>
      <c r="U31" s="2">
        <f>U30-IF(N31="已下單",1,0)</f>
        <v/>
      </c>
      <c r="V31" s="16">
        <f>IF(資金模擬!$B$9=2,MAX(R31,0),MAX(V30,FLOOR(MAX(R31,0),資金模擬!$B$6)))</f>
        <v/>
      </c>
      <c r="W31" s="10">
        <f>MAX(W30,R31)</f>
        <v/>
      </c>
      <c r="X31" s="4">
        <f>IF(W31&gt;0,R31/W31-1,-1)</f>
        <v/>
      </c>
      <c r="Y31" s="16">
        <f>IF(R31&gt;0,S31*資金模擬!$B$7/R31,0)</f>
        <v/>
      </c>
      <c r="Z31" s="2">
        <f>IF(OR(Z30=1,R31&lt;=資金模擬!$B$10),1,0)</f>
        <v/>
      </c>
    </row>
    <row r="32">
      <c r="A32" s="2" t="n">
        <v>30</v>
      </c>
      <c r="B32" s="7" t="n">
        <v>46269.03472222222</v>
      </c>
      <c r="C32" s="2" t="inlineStr">
        <is>
          <t>出場</t>
        </is>
      </c>
      <c r="D32" s="2" t="n">
        <v>13</v>
      </c>
      <c r="E32" s="2" t="inlineStr">
        <is>
          <t>ZEST_USDT_PERP</t>
        </is>
      </c>
      <c r="F32" s="2" t="inlineStr">
        <is>
          <t>做空</t>
        </is>
      </c>
      <c r="G32" s="17" t="n">
        <v>0.14801</v>
      </c>
      <c r="H32" s="17" t="n">
        <v>0.1420896</v>
      </c>
      <c r="I32" s="17" t="n">
        <v>0.1554105</v>
      </c>
      <c r="J32" s="17" t="n">
        <v>0.1554105</v>
      </c>
      <c r="K32" s="2" t="inlineStr">
        <is>
          <t>止損</t>
        </is>
      </c>
      <c r="L32" s="5">
        <f>交易明細!K14</f>
        <v/>
      </c>
      <c r="M32" s="16">
        <f>M26</f>
        <v/>
      </c>
      <c r="N32" s="2">
        <f>N26</f>
        <v/>
      </c>
      <c r="O32" s="16">
        <f>O26</f>
        <v/>
      </c>
      <c r="P32" s="4">
        <f>交易明細!L14</f>
        <v/>
      </c>
      <c r="Q32" s="10">
        <f>IF(N32="已下單",O32*P32,0)</f>
        <v/>
      </c>
      <c r="R32" s="10">
        <f>R31+Q32</f>
        <v/>
      </c>
      <c r="S32" s="16">
        <f>S31-IF(N32="已下單",M32,0)</f>
        <v/>
      </c>
      <c r="T32" s="16">
        <f>R32-S32</f>
        <v/>
      </c>
      <c r="U32" s="2">
        <f>U31-IF(N32="已下單",1,0)</f>
        <v/>
      </c>
      <c r="V32" s="16">
        <f>IF(資金模擬!$B$9=2,MAX(R32,0),MAX(V31,FLOOR(MAX(R32,0),資金模擬!$B$6)))</f>
        <v/>
      </c>
      <c r="W32" s="10">
        <f>MAX(W31,R32)</f>
        <v/>
      </c>
      <c r="X32" s="4">
        <f>IF(W32&gt;0,R32/W32-1,-1)</f>
        <v/>
      </c>
      <c r="Y32" s="16">
        <f>IF(R32&gt;0,S32*資金模擬!$B$7/R32,0)</f>
        <v/>
      </c>
      <c r="Z32" s="2">
        <f>IF(OR(Z31=1,R32&lt;=資金模擬!$B$10),1,0)</f>
        <v/>
      </c>
    </row>
    <row r="33">
      <c r="A33" s="2" t="n">
        <v>31</v>
      </c>
      <c r="B33" s="7" t="n">
        <v>46269.03472222222</v>
      </c>
      <c r="C33" s="2" t="inlineStr">
        <is>
          <t>進場</t>
        </is>
      </c>
      <c r="D33" s="2" t="n">
        <v>16</v>
      </c>
      <c r="E33" s="2" t="inlineStr">
        <is>
          <t>APR_USDT_PERP</t>
        </is>
      </c>
      <c r="F33" s="2" t="inlineStr">
        <is>
          <t>做空</t>
        </is>
      </c>
      <c r="G33" s="17" t="n">
        <v>0.269</v>
      </c>
      <c r="H33" s="17" t="n">
        <v>0.25824</v>
      </c>
      <c r="I33" s="17" t="n">
        <v>0.28245</v>
      </c>
      <c r="J33" s="17" t="n"/>
      <c r="K33" s="2" t="n"/>
      <c r="L33" s="5" t="n"/>
      <c r="M33" s="16">
        <f>資金模擬!$B$5*V32</f>
        <v/>
      </c>
      <c r="N33" s="2">
        <f>IF(Z32=1,"已停止",IF(T32&gt;=M33,"已下單","資金不足略過"))</f>
        <v/>
      </c>
      <c r="O33" s="16">
        <f>IF(N33="已下單",M33*資金模擬!$B$7,0)</f>
        <v/>
      </c>
      <c r="P33" s="4" t="n"/>
      <c r="Q33" s="10" t="n">
        <v>0</v>
      </c>
      <c r="R33" s="10">
        <f>R32+Q33</f>
        <v/>
      </c>
      <c r="S33" s="16">
        <f>S32+IF(N33="已下單",M33,0)</f>
        <v/>
      </c>
      <c r="T33" s="16">
        <f>R33-S33</f>
        <v/>
      </c>
      <c r="U33" s="2">
        <f>U32+IF(N33="已下單",1,0)</f>
        <v/>
      </c>
      <c r="V33" s="16">
        <f>IF(資金模擬!$B$9=2,MAX(R33,0),MAX(V32,FLOOR(MAX(R33,0),資金模擬!$B$6)))</f>
        <v/>
      </c>
      <c r="W33" s="10">
        <f>MAX(W32,R33)</f>
        <v/>
      </c>
      <c r="X33" s="4">
        <f>IF(W33&gt;0,R33/W33-1,-1)</f>
        <v/>
      </c>
      <c r="Y33" s="16">
        <f>IF(R33&gt;0,S33*資金模擬!$B$7/R33,0)</f>
        <v/>
      </c>
      <c r="Z33" s="2">
        <f>IF(OR(Z32=1,R33&lt;=資金模擬!$B$10),1,0)</f>
        <v/>
      </c>
    </row>
    <row r="34">
      <c r="A34" s="2" t="n">
        <v>32</v>
      </c>
      <c r="B34" s="7" t="n">
        <v>46269.03819444445</v>
      </c>
      <c r="C34" s="2" t="inlineStr">
        <is>
          <t>出場</t>
        </is>
      </c>
      <c r="D34" s="2" t="n">
        <v>16</v>
      </c>
      <c r="E34" s="2" t="inlineStr">
        <is>
          <t>APR_USDT_PERP</t>
        </is>
      </c>
      <c r="F34" s="2" t="inlineStr">
        <is>
          <t>做空</t>
        </is>
      </c>
      <c r="G34" s="17" t="n">
        <v>0.269</v>
      </c>
      <c r="H34" s="17" t="n">
        <v>0.25824</v>
      </c>
      <c r="I34" s="17" t="n">
        <v>0.28245</v>
      </c>
      <c r="J34" s="17" t="n">
        <v>0.25824</v>
      </c>
      <c r="K34" s="2" t="inlineStr">
        <is>
          <t>止盈</t>
        </is>
      </c>
      <c r="L34" s="5">
        <f>交易明細!K17</f>
        <v/>
      </c>
      <c r="M34" s="16">
        <f>M33</f>
        <v/>
      </c>
      <c r="N34" s="2">
        <f>N33</f>
        <v/>
      </c>
      <c r="O34" s="16">
        <f>O33</f>
        <v/>
      </c>
      <c r="P34" s="4">
        <f>交易明細!L17</f>
        <v/>
      </c>
      <c r="Q34" s="10">
        <f>IF(N34="已下單",O34*P34,0)</f>
        <v/>
      </c>
      <c r="R34" s="10">
        <f>R33+Q34</f>
        <v/>
      </c>
      <c r="S34" s="16">
        <f>S33-IF(N34="已下單",M34,0)</f>
        <v/>
      </c>
      <c r="T34" s="16">
        <f>R34-S34</f>
        <v/>
      </c>
      <c r="U34" s="2">
        <f>U33-IF(N34="已下單",1,0)</f>
        <v/>
      </c>
      <c r="V34" s="16">
        <f>IF(資金模擬!$B$9=2,MAX(R34,0),MAX(V33,FLOOR(MAX(R34,0),資金模擬!$B$6)))</f>
        <v/>
      </c>
      <c r="W34" s="10">
        <f>MAX(W33,R34)</f>
        <v/>
      </c>
      <c r="X34" s="4">
        <f>IF(W34&gt;0,R34/W34-1,-1)</f>
        <v/>
      </c>
      <c r="Y34" s="16">
        <f>IF(R34&gt;0,S34*資金模擬!$B$7/R34,0)</f>
        <v/>
      </c>
      <c r="Z34" s="2">
        <f>IF(OR(Z33=1,R34&lt;=資金模擬!$B$10),1,0)</f>
        <v/>
      </c>
    </row>
    <row r="35">
      <c r="A35" s="2" t="n">
        <v>33</v>
      </c>
      <c r="B35" s="7" t="n">
        <v>46269.13888888889</v>
      </c>
      <c r="C35" s="2" t="inlineStr">
        <is>
          <t>進場</t>
        </is>
      </c>
      <c r="D35" s="2" t="n">
        <v>17</v>
      </c>
      <c r="E35" s="2" t="inlineStr">
        <is>
          <t>APR_USDT_PERP</t>
        </is>
      </c>
      <c r="F35" s="2" t="inlineStr">
        <is>
          <t>做空</t>
        </is>
      </c>
      <c r="G35" s="17" t="n">
        <v>0.2691</v>
      </c>
      <c r="H35" s="17" t="n">
        <v>0.258336</v>
      </c>
      <c r="I35" s="17" t="n">
        <v>0.282555</v>
      </c>
      <c r="J35" s="17" t="n"/>
      <c r="K35" s="2" t="n"/>
      <c r="L35" s="5" t="n"/>
      <c r="M35" s="16">
        <f>資金模擬!$B$5*V34</f>
        <v/>
      </c>
      <c r="N35" s="2">
        <f>IF(Z34=1,"已停止",IF(T34&gt;=M35,"已下單","資金不足略過"))</f>
        <v/>
      </c>
      <c r="O35" s="16">
        <f>IF(N35="已下單",M35*資金模擬!$B$7,0)</f>
        <v/>
      </c>
      <c r="P35" s="4" t="n"/>
      <c r="Q35" s="10" t="n">
        <v>0</v>
      </c>
      <c r="R35" s="10">
        <f>R34+Q35</f>
        <v/>
      </c>
      <c r="S35" s="16">
        <f>S34+IF(N35="已下單",M35,0)</f>
        <v/>
      </c>
      <c r="T35" s="16">
        <f>R35-S35</f>
        <v/>
      </c>
      <c r="U35" s="2">
        <f>U34+IF(N35="已下單",1,0)</f>
        <v/>
      </c>
      <c r="V35" s="16">
        <f>IF(資金模擬!$B$9=2,MAX(R35,0),MAX(V34,FLOOR(MAX(R35,0),資金模擬!$B$6)))</f>
        <v/>
      </c>
      <c r="W35" s="10">
        <f>MAX(W34,R35)</f>
        <v/>
      </c>
      <c r="X35" s="4">
        <f>IF(W35&gt;0,R35/W35-1,-1)</f>
        <v/>
      </c>
      <c r="Y35" s="16">
        <f>IF(R35&gt;0,S35*資金模擬!$B$7/R35,0)</f>
        <v/>
      </c>
      <c r="Z35" s="2">
        <f>IF(OR(Z34=1,R35&lt;=資金模擬!$B$10),1,0)</f>
        <v/>
      </c>
    </row>
    <row r="36">
      <c r="A36" s="2" t="n">
        <v>34</v>
      </c>
      <c r="B36" s="7" t="n">
        <v>46269.14930555555</v>
      </c>
      <c r="C36" s="2" t="inlineStr">
        <is>
          <t>出場</t>
        </is>
      </c>
      <c r="D36" s="2" t="n">
        <v>17</v>
      </c>
      <c r="E36" s="2" t="inlineStr">
        <is>
          <t>APR_USDT_PERP</t>
        </is>
      </c>
      <c r="F36" s="2" t="inlineStr">
        <is>
          <t>做空</t>
        </is>
      </c>
      <c r="G36" s="17" t="n">
        <v>0.2691</v>
      </c>
      <c r="H36" s="17" t="n">
        <v>0.258336</v>
      </c>
      <c r="I36" s="17" t="n">
        <v>0.282555</v>
      </c>
      <c r="J36" s="17" t="n">
        <v>0.282555</v>
      </c>
      <c r="K36" s="2" t="inlineStr">
        <is>
          <t>止損</t>
        </is>
      </c>
      <c r="L36" s="5">
        <f>交易明細!K18</f>
        <v/>
      </c>
      <c r="M36" s="16">
        <f>M35</f>
        <v/>
      </c>
      <c r="N36" s="2">
        <f>N35</f>
        <v/>
      </c>
      <c r="O36" s="16">
        <f>O35</f>
        <v/>
      </c>
      <c r="P36" s="4">
        <f>交易明細!L18</f>
        <v/>
      </c>
      <c r="Q36" s="10">
        <f>IF(N36="已下單",O36*P36,0)</f>
        <v/>
      </c>
      <c r="R36" s="10">
        <f>R35+Q36</f>
        <v/>
      </c>
      <c r="S36" s="16">
        <f>S35-IF(N36="已下單",M36,0)</f>
        <v/>
      </c>
      <c r="T36" s="16">
        <f>R36-S36</f>
        <v/>
      </c>
      <c r="U36" s="2">
        <f>U35-IF(N36="已下單",1,0)</f>
        <v/>
      </c>
      <c r="V36" s="16">
        <f>IF(資金模擬!$B$9=2,MAX(R36,0),MAX(V35,FLOOR(MAX(R36,0),資金模擬!$B$6)))</f>
        <v/>
      </c>
      <c r="W36" s="10">
        <f>MAX(W35,R36)</f>
        <v/>
      </c>
      <c r="X36" s="4">
        <f>IF(W36&gt;0,R36/W36-1,-1)</f>
        <v/>
      </c>
      <c r="Y36" s="16">
        <f>IF(R36&gt;0,S36*資金模擬!$B$7/R36,0)</f>
        <v/>
      </c>
      <c r="Z36" s="2">
        <f>IF(OR(Z35=1,R36&lt;=資金模擬!$B$10),1,0)</f>
        <v/>
      </c>
    </row>
    <row r="37">
      <c r="A37" s="2" t="n">
        <v>35</v>
      </c>
      <c r="B37" s="7" t="n">
        <v>46269.19791666666</v>
      </c>
      <c r="C37" s="2" t="inlineStr">
        <is>
          <t>進場</t>
        </is>
      </c>
      <c r="D37" s="2" t="n">
        <v>18</v>
      </c>
      <c r="E37" s="2" t="inlineStr">
        <is>
          <t>APR_USDT_PERP</t>
        </is>
      </c>
      <c r="F37" s="2" t="inlineStr">
        <is>
          <t>做空</t>
        </is>
      </c>
      <c r="G37" s="17" t="n">
        <v>0.27595</v>
      </c>
      <c r="H37" s="17" t="n">
        <v>0.264912</v>
      </c>
      <c r="I37" s="17" t="n">
        <v>0.2897475</v>
      </c>
      <c r="J37" s="17" t="n"/>
      <c r="K37" s="2" t="n"/>
      <c r="L37" s="5" t="n"/>
      <c r="M37" s="16">
        <f>資金模擬!$B$5*V36</f>
        <v/>
      </c>
      <c r="N37" s="2">
        <f>IF(Z36=1,"已停止",IF(T36&gt;=M37,"已下單","資金不足略過"))</f>
        <v/>
      </c>
      <c r="O37" s="16">
        <f>IF(N37="已下單",M37*資金模擬!$B$7,0)</f>
        <v/>
      </c>
      <c r="P37" s="4" t="n"/>
      <c r="Q37" s="10" t="n">
        <v>0</v>
      </c>
      <c r="R37" s="10">
        <f>R36+Q37</f>
        <v/>
      </c>
      <c r="S37" s="16">
        <f>S36+IF(N37="已下單",M37,0)</f>
        <v/>
      </c>
      <c r="T37" s="16">
        <f>R37-S37</f>
        <v/>
      </c>
      <c r="U37" s="2">
        <f>U36+IF(N37="已下單",1,0)</f>
        <v/>
      </c>
      <c r="V37" s="16">
        <f>IF(資金模擬!$B$9=2,MAX(R37,0),MAX(V36,FLOOR(MAX(R37,0),資金模擬!$B$6)))</f>
        <v/>
      </c>
      <c r="W37" s="10">
        <f>MAX(W36,R37)</f>
        <v/>
      </c>
      <c r="X37" s="4">
        <f>IF(W37&gt;0,R37/W37-1,-1)</f>
        <v/>
      </c>
      <c r="Y37" s="16">
        <f>IF(R37&gt;0,S37*資金模擬!$B$7/R37,0)</f>
        <v/>
      </c>
      <c r="Z37" s="2">
        <f>IF(OR(Z36=1,R37&lt;=資金模擬!$B$10),1,0)</f>
        <v/>
      </c>
    </row>
    <row r="38">
      <c r="A38" s="2" t="n">
        <v>36</v>
      </c>
      <c r="B38" s="7" t="n">
        <v>46269.27777777778</v>
      </c>
      <c r="C38" s="2" t="inlineStr">
        <is>
          <t>出場</t>
        </is>
      </c>
      <c r="D38" s="2" t="n">
        <v>18</v>
      </c>
      <c r="E38" s="2" t="inlineStr">
        <is>
          <t>APR_USDT_PERP</t>
        </is>
      </c>
      <c r="F38" s="2" t="inlineStr">
        <is>
          <t>做空</t>
        </is>
      </c>
      <c r="G38" s="17" t="n">
        <v>0.27595</v>
      </c>
      <c r="H38" s="17" t="n">
        <v>0.264912</v>
      </c>
      <c r="I38" s="17" t="n">
        <v>0.2897475</v>
      </c>
      <c r="J38" s="17" t="n">
        <v>0.264912</v>
      </c>
      <c r="K38" s="2" t="inlineStr">
        <is>
          <t>止盈</t>
        </is>
      </c>
      <c r="L38" s="5">
        <f>交易明細!K19</f>
        <v/>
      </c>
      <c r="M38" s="16">
        <f>M37</f>
        <v/>
      </c>
      <c r="N38" s="2">
        <f>N37</f>
        <v/>
      </c>
      <c r="O38" s="16">
        <f>O37</f>
        <v/>
      </c>
      <c r="P38" s="4">
        <f>交易明細!L19</f>
        <v/>
      </c>
      <c r="Q38" s="10">
        <f>IF(N38="已下單",O38*P38,0)</f>
        <v/>
      </c>
      <c r="R38" s="10">
        <f>R37+Q38</f>
        <v/>
      </c>
      <c r="S38" s="16">
        <f>S37-IF(N38="已下單",M38,0)</f>
        <v/>
      </c>
      <c r="T38" s="16">
        <f>R38-S38</f>
        <v/>
      </c>
      <c r="U38" s="2">
        <f>U37-IF(N38="已下單",1,0)</f>
        <v/>
      </c>
      <c r="V38" s="16">
        <f>IF(資金模擬!$B$9=2,MAX(R38,0),MAX(V37,FLOOR(MAX(R38,0),資金模擬!$B$6)))</f>
        <v/>
      </c>
      <c r="W38" s="10">
        <f>MAX(W37,R38)</f>
        <v/>
      </c>
      <c r="X38" s="4">
        <f>IF(W38&gt;0,R38/W38-1,-1)</f>
        <v/>
      </c>
      <c r="Y38" s="16">
        <f>IF(R38&gt;0,S38*資金模擬!$B$7/R38,0)</f>
        <v/>
      </c>
      <c r="Z38" s="2">
        <f>IF(OR(Z37=1,R38&lt;=資金模擬!$B$10),1,0)</f>
        <v/>
      </c>
    </row>
    <row r="39">
      <c r="A39" s="2" t="n">
        <v>37</v>
      </c>
      <c r="B39" s="7" t="n">
        <v>46269.47222222222</v>
      </c>
      <c r="C39" s="2" t="inlineStr">
        <is>
          <t>進場</t>
        </is>
      </c>
      <c r="D39" s="2" t="n">
        <v>19</v>
      </c>
      <c r="E39" s="2" t="inlineStr">
        <is>
          <t>CAP_USDT_PERP</t>
        </is>
      </c>
      <c r="F39" s="2" t="inlineStr">
        <is>
          <t>做空</t>
        </is>
      </c>
      <c r="G39" s="17" t="n">
        <v>0.05311</v>
      </c>
      <c r="H39" s="17" t="n">
        <v>0.0509856</v>
      </c>
      <c r="I39" s="17" t="n">
        <v>0.0557655</v>
      </c>
      <c r="J39" s="17" t="n"/>
      <c r="K39" s="2" t="n"/>
      <c r="L39" s="5" t="n"/>
      <c r="M39" s="16">
        <f>資金模擬!$B$5*V38</f>
        <v/>
      </c>
      <c r="N39" s="2">
        <f>IF(Z38=1,"已停止",IF(T38&gt;=M39,"已下單","資金不足略過"))</f>
        <v/>
      </c>
      <c r="O39" s="16">
        <f>IF(N39="已下單",M39*資金模擬!$B$7,0)</f>
        <v/>
      </c>
      <c r="P39" s="4" t="n"/>
      <c r="Q39" s="10" t="n">
        <v>0</v>
      </c>
      <c r="R39" s="10">
        <f>R38+Q39</f>
        <v/>
      </c>
      <c r="S39" s="16">
        <f>S38+IF(N39="已下單",M39,0)</f>
        <v/>
      </c>
      <c r="T39" s="16">
        <f>R39-S39</f>
        <v/>
      </c>
      <c r="U39" s="2">
        <f>U38+IF(N39="已下單",1,0)</f>
        <v/>
      </c>
      <c r="V39" s="16">
        <f>IF(資金模擬!$B$9=2,MAX(R39,0),MAX(V38,FLOOR(MAX(R39,0),資金模擬!$B$6)))</f>
        <v/>
      </c>
      <c r="W39" s="10">
        <f>MAX(W38,R39)</f>
        <v/>
      </c>
      <c r="X39" s="4">
        <f>IF(W39&gt;0,R39/W39-1,-1)</f>
        <v/>
      </c>
      <c r="Y39" s="16">
        <f>IF(R39&gt;0,S39*資金模擬!$B$7/R39,0)</f>
        <v/>
      </c>
      <c r="Z39" s="2">
        <f>IF(OR(Z38=1,R39&lt;=資金模擬!$B$10),1,0)</f>
        <v/>
      </c>
    </row>
    <row r="40">
      <c r="A40" s="2" t="n">
        <v>38</v>
      </c>
      <c r="B40" s="7" t="n">
        <v>46269.47916666666</v>
      </c>
      <c r="C40" s="2" t="inlineStr">
        <is>
          <t>出場</t>
        </is>
      </c>
      <c r="D40" s="2" t="n">
        <v>19</v>
      </c>
      <c r="E40" s="2" t="inlineStr">
        <is>
          <t>CAP_USDT_PERP</t>
        </is>
      </c>
      <c r="F40" s="2" t="inlineStr">
        <is>
          <t>做空</t>
        </is>
      </c>
      <c r="G40" s="17" t="n">
        <v>0.05311</v>
      </c>
      <c r="H40" s="17" t="n">
        <v>0.0509856</v>
      </c>
      <c r="I40" s="17" t="n">
        <v>0.0557655</v>
      </c>
      <c r="J40" s="17" t="n">
        <v>0.0509856</v>
      </c>
      <c r="K40" s="2" t="inlineStr">
        <is>
          <t>止盈</t>
        </is>
      </c>
      <c r="L40" s="5">
        <f>交易明細!K20</f>
        <v/>
      </c>
      <c r="M40" s="16">
        <f>M39</f>
        <v/>
      </c>
      <c r="N40" s="2">
        <f>N39</f>
        <v/>
      </c>
      <c r="O40" s="16">
        <f>O39</f>
        <v/>
      </c>
      <c r="P40" s="4">
        <f>交易明細!L20</f>
        <v/>
      </c>
      <c r="Q40" s="10">
        <f>IF(N40="已下單",O40*P40,0)</f>
        <v/>
      </c>
      <c r="R40" s="10">
        <f>R39+Q40</f>
        <v/>
      </c>
      <c r="S40" s="16">
        <f>S39-IF(N40="已下單",M40,0)</f>
        <v/>
      </c>
      <c r="T40" s="16">
        <f>R40-S40</f>
        <v/>
      </c>
      <c r="U40" s="2">
        <f>U39-IF(N40="已下單",1,0)</f>
        <v/>
      </c>
      <c r="V40" s="16">
        <f>IF(資金模擬!$B$9=2,MAX(R40,0),MAX(V39,FLOOR(MAX(R40,0),資金模擬!$B$6)))</f>
        <v/>
      </c>
      <c r="W40" s="10">
        <f>MAX(W39,R40)</f>
        <v/>
      </c>
      <c r="X40" s="4">
        <f>IF(W40&gt;0,R40/W40-1,-1)</f>
        <v/>
      </c>
      <c r="Y40" s="16">
        <f>IF(R40&gt;0,S40*資金模擬!$B$7/R40,0)</f>
        <v/>
      </c>
      <c r="Z40" s="2">
        <f>IF(OR(Z39=1,R40&lt;=資金模擬!$B$10),1,0)</f>
        <v/>
      </c>
    </row>
    <row r="41">
      <c r="A41" s="2" t="n">
        <v>39</v>
      </c>
      <c r="B41" s="7" t="n">
        <v>46269.51041666666</v>
      </c>
      <c r="C41" s="2" t="inlineStr">
        <is>
          <t>進場</t>
        </is>
      </c>
      <c r="D41" s="2" t="n">
        <v>20</v>
      </c>
      <c r="E41" s="2" t="inlineStr">
        <is>
          <t>TRIA_USDT_PERP</t>
        </is>
      </c>
      <c r="F41" s="2" t="inlineStr">
        <is>
          <t>做空</t>
        </is>
      </c>
      <c r="G41" s="17" t="n">
        <v>0.0049</v>
      </c>
      <c r="H41" s="17" t="n">
        <v>0.004704</v>
      </c>
      <c r="I41" s="17" t="n">
        <v>0.005145</v>
      </c>
      <c r="J41" s="17" t="n"/>
      <c r="K41" s="2" t="n"/>
      <c r="L41" s="5" t="n"/>
      <c r="M41" s="16">
        <f>資金模擬!$B$5*V40</f>
        <v/>
      </c>
      <c r="N41" s="2">
        <f>IF(Z40=1,"已停止",IF(T40&gt;=M41,"已下單","資金不足略過"))</f>
        <v/>
      </c>
      <c r="O41" s="16">
        <f>IF(N41="已下單",M41*資金模擬!$B$7,0)</f>
        <v/>
      </c>
      <c r="P41" s="4" t="n"/>
      <c r="Q41" s="10" t="n">
        <v>0</v>
      </c>
      <c r="R41" s="10">
        <f>R40+Q41</f>
        <v/>
      </c>
      <c r="S41" s="16">
        <f>S40+IF(N41="已下單",M41,0)</f>
        <v/>
      </c>
      <c r="T41" s="16">
        <f>R41-S41</f>
        <v/>
      </c>
      <c r="U41" s="2">
        <f>U40+IF(N41="已下單",1,0)</f>
        <v/>
      </c>
      <c r="V41" s="16">
        <f>IF(資金模擬!$B$9=2,MAX(R41,0),MAX(V40,FLOOR(MAX(R41,0),資金模擬!$B$6)))</f>
        <v/>
      </c>
      <c r="W41" s="10">
        <f>MAX(W40,R41)</f>
        <v/>
      </c>
      <c r="X41" s="4">
        <f>IF(W41&gt;0,R41/W41-1,-1)</f>
        <v/>
      </c>
      <c r="Y41" s="16">
        <f>IF(R41&gt;0,S41*資金模擬!$B$7/R41,0)</f>
        <v/>
      </c>
      <c r="Z41" s="2">
        <f>IF(OR(Z40=1,R41&lt;=資金模擬!$B$10),1,0)</f>
        <v/>
      </c>
    </row>
    <row r="42">
      <c r="A42" s="2" t="n">
        <v>40</v>
      </c>
      <c r="B42" s="7" t="n">
        <v>46269.51388888889</v>
      </c>
      <c r="C42" s="2" t="inlineStr">
        <is>
          <t>出場</t>
        </is>
      </c>
      <c r="D42" s="2" t="n">
        <v>20</v>
      </c>
      <c r="E42" s="2" t="inlineStr">
        <is>
          <t>TRIA_USDT_PERP</t>
        </is>
      </c>
      <c r="F42" s="2" t="inlineStr">
        <is>
          <t>做空</t>
        </is>
      </c>
      <c r="G42" s="17" t="n">
        <v>0.0049</v>
      </c>
      <c r="H42" s="17" t="n">
        <v>0.004704</v>
      </c>
      <c r="I42" s="17" t="n">
        <v>0.005145</v>
      </c>
      <c r="J42" s="17" t="n">
        <v>0.004704</v>
      </c>
      <c r="K42" s="2" t="inlineStr">
        <is>
          <t>止盈</t>
        </is>
      </c>
      <c r="L42" s="5">
        <f>交易明細!K21</f>
        <v/>
      </c>
      <c r="M42" s="16">
        <f>M41</f>
        <v/>
      </c>
      <c r="N42" s="2">
        <f>N41</f>
        <v/>
      </c>
      <c r="O42" s="16">
        <f>O41</f>
        <v/>
      </c>
      <c r="P42" s="4">
        <f>交易明細!L21</f>
        <v/>
      </c>
      <c r="Q42" s="10">
        <f>IF(N42="已下單",O42*P42,0)</f>
        <v/>
      </c>
      <c r="R42" s="10">
        <f>R41+Q42</f>
        <v/>
      </c>
      <c r="S42" s="16">
        <f>S41-IF(N42="已下單",M42,0)</f>
        <v/>
      </c>
      <c r="T42" s="16">
        <f>R42-S42</f>
        <v/>
      </c>
      <c r="U42" s="2">
        <f>U41-IF(N42="已下單",1,0)</f>
        <v/>
      </c>
      <c r="V42" s="16">
        <f>IF(資金模擬!$B$9=2,MAX(R42,0),MAX(V41,FLOOR(MAX(R42,0),資金模擬!$B$6)))</f>
        <v/>
      </c>
      <c r="W42" s="10">
        <f>MAX(W41,R42)</f>
        <v/>
      </c>
      <c r="X42" s="4">
        <f>IF(W42&gt;0,R42/W42-1,-1)</f>
        <v/>
      </c>
      <c r="Y42" s="16">
        <f>IF(R42&gt;0,S42*資金模擬!$B$7/R42,0)</f>
        <v/>
      </c>
      <c r="Z42" s="2">
        <f>IF(OR(Z41=1,R42&lt;=資金模擬!$B$10),1,0)</f>
        <v/>
      </c>
    </row>
    <row r="43">
      <c r="A43" s="2" t="n">
        <v>41</v>
      </c>
      <c r="B43" s="7" t="n">
        <v>46269.52083333334</v>
      </c>
      <c r="C43" s="2" t="inlineStr">
        <is>
          <t>進場</t>
        </is>
      </c>
      <c r="D43" s="2" t="n">
        <v>21</v>
      </c>
      <c r="E43" s="2" t="inlineStr">
        <is>
          <t>Q_USDT_PERP</t>
        </is>
      </c>
      <c r="F43" s="2" t="inlineStr">
        <is>
          <t>做空</t>
        </is>
      </c>
      <c r="G43" s="17" t="n">
        <v>0.026302</v>
      </c>
      <c r="H43" s="17" t="n">
        <v>0.02524992</v>
      </c>
      <c r="I43" s="17" t="n">
        <v>0.0276171</v>
      </c>
      <c r="J43" s="17" t="n"/>
      <c r="K43" s="2" t="n"/>
      <c r="L43" s="5" t="n"/>
      <c r="M43" s="16">
        <f>資金模擬!$B$5*V42</f>
        <v/>
      </c>
      <c r="N43" s="2">
        <f>IF(Z42=1,"已停止",IF(T42&gt;=M43,"已下單","資金不足略過"))</f>
        <v/>
      </c>
      <c r="O43" s="16">
        <f>IF(N43="已下單",M43*資金模擬!$B$7,0)</f>
        <v/>
      </c>
      <c r="P43" s="4" t="n"/>
      <c r="Q43" s="10" t="n">
        <v>0</v>
      </c>
      <c r="R43" s="10">
        <f>R42+Q43</f>
        <v/>
      </c>
      <c r="S43" s="16">
        <f>S42+IF(N43="已下單",M43,0)</f>
        <v/>
      </c>
      <c r="T43" s="16">
        <f>R43-S43</f>
        <v/>
      </c>
      <c r="U43" s="2">
        <f>U42+IF(N43="已下單",1,0)</f>
        <v/>
      </c>
      <c r="V43" s="16">
        <f>IF(資金模擬!$B$9=2,MAX(R43,0),MAX(V42,FLOOR(MAX(R43,0),資金模擬!$B$6)))</f>
        <v/>
      </c>
      <c r="W43" s="10">
        <f>MAX(W42,R43)</f>
        <v/>
      </c>
      <c r="X43" s="4">
        <f>IF(W43&gt;0,R43/W43-1,-1)</f>
        <v/>
      </c>
      <c r="Y43" s="16">
        <f>IF(R43&gt;0,S43*資金模擬!$B$7/R43,0)</f>
        <v/>
      </c>
      <c r="Z43" s="2">
        <f>IF(OR(Z42=1,R43&lt;=資金模擬!$B$10),1,0)</f>
        <v/>
      </c>
    </row>
    <row r="44">
      <c r="A44" s="2" t="n">
        <v>42</v>
      </c>
      <c r="B44" s="7" t="n">
        <v>46269.52777777778</v>
      </c>
      <c r="C44" s="2" t="inlineStr">
        <is>
          <t>出場</t>
        </is>
      </c>
      <c r="D44" s="2" t="n">
        <v>21</v>
      </c>
      <c r="E44" s="2" t="inlineStr">
        <is>
          <t>Q_USDT_PERP</t>
        </is>
      </c>
      <c r="F44" s="2" t="inlineStr">
        <is>
          <t>做空</t>
        </is>
      </c>
      <c r="G44" s="17" t="n">
        <v>0.026302</v>
      </c>
      <c r="H44" s="17" t="n">
        <v>0.02524992</v>
      </c>
      <c r="I44" s="17" t="n">
        <v>0.0276171</v>
      </c>
      <c r="J44" s="17" t="n">
        <v>0.02524992</v>
      </c>
      <c r="K44" s="2" t="inlineStr">
        <is>
          <t>止盈</t>
        </is>
      </c>
      <c r="L44" s="5">
        <f>交易明細!K22</f>
        <v/>
      </c>
      <c r="M44" s="16">
        <f>M43</f>
        <v/>
      </c>
      <c r="N44" s="2">
        <f>N43</f>
        <v/>
      </c>
      <c r="O44" s="16">
        <f>O43</f>
        <v/>
      </c>
      <c r="P44" s="4">
        <f>交易明細!L22</f>
        <v/>
      </c>
      <c r="Q44" s="10">
        <f>IF(N44="已下單",O44*P44,0)</f>
        <v/>
      </c>
      <c r="R44" s="10">
        <f>R43+Q44</f>
        <v/>
      </c>
      <c r="S44" s="16">
        <f>S43-IF(N44="已下單",M44,0)</f>
        <v/>
      </c>
      <c r="T44" s="16">
        <f>R44-S44</f>
        <v/>
      </c>
      <c r="U44" s="2">
        <f>U43-IF(N44="已下單",1,0)</f>
        <v/>
      </c>
      <c r="V44" s="16">
        <f>IF(資金模擬!$B$9=2,MAX(R44,0),MAX(V43,FLOOR(MAX(R44,0),資金模擬!$B$6)))</f>
        <v/>
      </c>
      <c r="W44" s="10">
        <f>MAX(W43,R44)</f>
        <v/>
      </c>
      <c r="X44" s="4">
        <f>IF(W44&gt;0,R44/W44-1,-1)</f>
        <v/>
      </c>
      <c r="Y44" s="16">
        <f>IF(R44&gt;0,S44*資金模擬!$B$7/R44,0)</f>
        <v/>
      </c>
      <c r="Z44" s="2">
        <f>IF(OR(Z43=1,R44&lt;=資金模擬!$B$10),1,0)</f>
        <v/>
      </c>
    </row>
    <row r="45">
      <c r="A45" s="2" t="n">
        <v>43</v>
      </c>
      <c r="B45" s="7" t="n">
        <v>46269.60763888889</v>
      </c>
      <c r="C45" s="2" t="inlineStr">
        <is>
          <t>進場</t>
        </is>
      </c>
      <c r="D45" s="2" t="n">
        <v>22</v>
      </c>
      <c r="E45" s="2" t="inlineStr">
        <is>
          <t>TRIA_USDT_PERP</t>
        </is>
      </c>
      <c r="F45" s="2" t="inlineStr">
        <is>
          <t>做空</t>
        </is>
      </c>
      <c r="G45" s="17" t="n">
        <v>0.00525</v>
      </c>
      <c r="H45" s="17" t="n">
        <v>0.00504</v>
      </c>
      <c r="I45" s="17" t="n">
        <v>0.005512500000000001</v>
      </c>
      <c r="J45" s="17" t="n"/>
      <c r="K45" s="2" t="n"/>
      <c r="L45" s="5" t="n"/>
      <c r="M45" s="16">
        <f>資金模擬!$B$5*V44</f>
        <v/>
      </c>
      <c r="N45" s="2">
        <f>IF(Z44=1,"已停止",IF(T44&gt;=M45,"已下單","資金不足略過"))</f>
        <v/>
      </c>
      <c r="O45" s="16">
        <f>IF(N45="已下單",M45*資金模擬!$B$7,0)</f>
        <v/>
      </c>
      <c r="P45" s="4" t="n"/>
      <c r="Q45" s="10" t="n">
        <v>0</v>
      </c>
      <c r="R45" s="10">
        <f>R44+Q45</f>
        <v/>
      </c>
      <c r="S45" s="16">
        <f>S44+IF(N45="已下單",M45,0)</f>
        <v/>
      </c>
      <c r="T45" s="16">
        <f>R45-S45</f>
        <v/>
      </c>
      <c r="U45" s="2">
        <f>U44+IF(N45="已下單",1,0)</f>
        <v/>
      </c>
      <c r="V45" s="16">
        <f>IF(資金模擬!$B$9=2,MAX(R45,0),MAX(V44,FLOOR(MAX(R45,0),資金模擬!$B$6)))</f>
        <v/>
      </c>
      <c r="W45" s="10">
        <f>MAX(W44,R45)</f>
        <v/>
      </c>
      <c r="X45" s="4">
        <f>IF(W45&gt;0,R45/W45-1,-1)</f>
        <v/>
      </c>
      <c r="Y45" s="16">
        <f>IF(R45&gt;0,S45*資金模擬!$B$7/R45,0)</f>
        <v/>
      </c>
      <c r="Z45" s="2">
        <f>IF(OR(Z44=1,R45&lt;=資金模擬!$B$10),1,0)</f>
        <v/>
      </c>
    </row>
    <row r="46">
      <c r="A46" s="2" t="n">
        <v>44</v>
      </c>
      <c r="B46" s="7" t="n">
        <v>46269.63888888889</v>
      </c>
      <c r="C46" s="2" t="inlineStr">
        <is>
          <t>出場</t>
        </is>
      </c>
      <c r="D46" s="2" t="n">
        <v>22</v>
      </c>
      <c r="E46" s="2" t="inlineStr">
        <is>
          <t>TRIA_USDT_PERP</t>
        </is>
      </c>
      <c r="F46" s="2" t="inlineStr">
        <is>
          <t>做空</t>
        </is>
      </c>
      <c r="G46" s="17" t="n">
        <v>0.00525</v>
      </c>
      <c r="H46" s="17" t="n">
        <v>0.00504</v>
      </c>
      <c r="I46" s="17" t="n">
        <v>0.005512500000000001</v>
      </c>
      <c r="J46" s="17" t="n">
        <v>0.00504</v>
      </c>
      <c r="K46" s="2" t="inlineStr">
        <is>
          <t>止盈</t>
        </is>
      </c>
      <c r="L46" s="5">
        <f>交易明細!K23</f>
        <v/>
      </c>
      <c r="M46" s="16">
        <f>M45</f>
        <v/>
      </c>
      <c r="N46" s="2">
        <f>N45</f>
        <v/>
      </c>
      <c r="O46" s="16">
        <f>O45</f>
        <v/>
      </c>
      <c r="P46" s="4">
        <f>交易明細!L23</f>
        <v/>
      </c>
      <c r="Q46" s="10">
        <f>IF(N46="已下單",O46*P46,0)</f>
        <v/>
      </c>
      <c r="R46" s="10">
        <f>R45+Q46</f>
        <v/>
      </c>
      <c r="S46" s="16">
        <f>S45-IF(N46="已下單",M46,0)</f>
        <v/>
      </c>
      <c r="T46" s="16">
        <f>R46-S46</f>
        <v/>
      </c>
      <c r="U46" s="2">
        <f>U45-IF(N46="已下單",1,0)</f>
        <v/>
      </c>
      <c r="V46" s="16">
        <f>IF(資金模擬!$B$9=2,MAX(R46,0),MAX(V45,FLOOR(MAX(R46,0),資金模擬!$B$6)))</f>
        <v/>
      </c>
      <c r="W46" s="10">
        <f>MAX(W45,R46)</f>
        <v/>
      </c>
      <c r="X46" s="4">
        <f>IF(W46&gt;0,R46/W46-1,-1)</f>
        <v/>
      </c>
      <c r="Y46" s="16">
        <f>IF(R46&gt;0,S46*資金模擬!$B$7/R46,0)</f>
        <v/>
      </c>
      <c r="Z46" s="2">
        <f>IF(OR(Z45=1,R46&lt;=資金模擬!$B$10),1,0)</f>
        <v/>
      </c>
    </row>
    <row r="47">
      <c r="A47" s="2" t="n">
        <v>45</v>
      </c>
      <c r="B47" s="7" t="n">
        <v>46269.90972222222</v>
      </c>
      <c r="C47" s="2" t="inlineStr">
        <is>
          <t>進場</t>
        </is>
      </c>
      <c r="D47" s="2" t="n">
        <v>23</v>
      </c>
      <c r="E47" s="2" t="inlineStr">
        <is>
          <t>PTB_USDT_PERP</t>
        </is>
      </c>
      <c r="F47" s="2" t="inlineStr">
        <is>
          <t>做空</t>
        </is>
      </c>
      <c r="G47" s="17" t="n">
        <v>0.000816</v>
      </c>
      <c r="H47" s="17" t="n">
        <v>0.00078336</v>
      </c>
      <c r="I47" s="17" t="n">
        <v>0.0008568</v>
      </c>
      <c r="J47" s="17" t="n"/>
      <c r="K47" s="2" t="n"/>
      <c r="L47" s="5" t="n"/>
      <c r="M47" s="16">
        <f>資金模擬!$B$5*V46</f>
        <v/>
      </c>
      <c r="N47" s="2">
        <f>IF(Z46=1,"已停止",IF(T46&gt;=M47,"已下單","資金不足略過"))</f>
        <v/>
      </c>
      <c r="O47" s="16">
        <f>IF(N47="已下單",M47*資金模擬!$B$7,0)</f>
        <v/>
      </c>
      <c r="P47" s="4" t="n"/>
      <c r="Q47" s="10" t="n">
        <v>0</v>
      </c>
      <c r="R47" s="10">
        <f>R46+Q47</f>
        <v/>
      </c>
      <c r="S47" s="16">
        <f>S46+IF(N47="已下單",M47,0)</f>
        <v/>
      </c>
      <c r="T47" s="16">
        <f>R47-S47</f>
        <v/>
      </c>
      <c r="U47" s="2">
        <f>U46+IF(N47="已下單",1,0)</f>
        <v/>
      </c>
      <c r="V47" s="16">
        <f>IF(資金模擬!$B$9=2,MAX(R47,0),MAX(V46,FLOOR(MAX(R47,0),資金模擬!$B$6)))</f>
        <v/>
      </c>
      <c r="W47" s="10">
        <f>MAX(W46,R47)</f>
        <v/>
      </c>
      <c r="X47" s="4">
        <f>IF(W47&gt;0,R47/W47-1,-1)</f>
        <v/>
      </c>
      <c r="Y47" s="16">
        <f>IF(R47&gt;0,S47*資金模擬!$B$7/R47,0)</f>
        <v/>
      </c>
      <c r="Z47" s="2">
        <f>IF(OR(Z46=1,R47&lt;=資金模擬!$B$10),1,0)</f>
        <v/>
      </c>
    </row>
    <row r="48">
      <c r="A48" s="2" t="n">
        <v>46</v>
      </c>
      <c r="B48" s="7" t="n">
        <v>46269.91319444445</v>
      </c>
      <c r="C48" s="2" t="inlineStr">
        <is>
          <t>出場</t>
        </is>
      </c>
      <c r="D48" s="2" t="n">
        <v>23</v>
      </c>
      <c r="E48" s="2" t="inlineStr">
        <is>
          <t>PTB_USDT_PERP</t>
        </is>
      </c>
      <c r="F48" s="2" t="inlineStr">
        <is>
          <t>做空</t>
        </is>
      </c>
      <c r="G48" s="17" t="n">
        <v>0.000816</v>
      </c>
      <c r="H48" s="17" t="n">
        <v>0.00078336</v>
      </c>
      <c r="I48" s="17" t="n">
        <v>0.0008568</v>
      </c>
      <c r="J48" s="17" t="n">
        <v>0.00078336</v>
      </c>
      <c r="K48" s="2" t="inlineStr">
        <is>
          <t>止盈</t>
        </is>
      </c>
      <c r="L48" s="5">
        <f>交易明細!K24</f>
        <v/>
      </c>
      <c r="M48" s="16">
        <f>M47</f>
        <v/>
      </c>
      <c r="N48" s="2">
        <f>N47</f>
        <v/>
      </c>
      <c r="O48" s="16">
        <f>O47</f>
        <v/>
      </c>
      <c r="P48" s="4">
        <f>交易明細!L24</f>
        <v/>
      </c>
      <c r="Q48" s="10">
        <f>IF(N48="已下單",O48*P48,0)</f>
        <v/>
      </c>
      <c r="R48" s="10">
        <f>R47+Q48</f>
        <v/>
      </c>
      <c r="S48" s="16">
        <f>S47-IF(N48="已下單",M48,0)</f>
        <v/>
      </c>
      <c r="T48" s="16">
        <f>R48-S48</f>
        <v/>
      </c>
      <c r="U48" s="2">
        <f>U47-IF(N48="已下單",1,0)</f>
        <v/>
      </c>
      <c r="V48" s="16">
        <f>IF(資金模擬!$B$9=2,MAX(R48,0),MAX(V47,FLOOR(MAX(R48,0),資金模擬!$B$6)))</f>
        <v/>
      </c>
      <c r="W48" s="10">
        <f>MAX(W47,R48)</f>
        <v/>
      </c>
      <c r="X48" s="4">
        <f>IF(W48&gt;0,R48/W48-1,-1)</f>
        <v/>
      </c>
      <c r="Y48" s="16">
        <f>IF(R48&gt;0,S48*資金模擬!$B$7/R48,0)</f>
        <v/>
      </c>
      <c r="Z48" s="2">
        <f>IF(OR(Z47=1,R48&lt;=資金模擬!$B$10),1,0)</f>
        <v/>
      </c>
    </row>
    <row r="49">
      <c r="A49" s="2" t="n">
        <v>47</v>
      </c>
      <c r="B49" s="7" t="n">
        <v>46270.02430555555</v>
      </c>
      <c r="C49" s="2" t="inlineStr">
        <is>
          <t>進場</t>
        </is>
      </c>
      <c r="D49" s="2" t="n">
        <v>24</v>
      </c>
      <c r="E49" s="2" t="inlineStr">
        <is>
          <t>4_USDT_PERP</t>
        </is>
      </c>
      <c r="F49" s="2" t="inlineStr">
        <is>
          <t>做空</t>
        </is>
      </c>
      <c r="G49" s="17" t="n">
        <v>0.01808</v>
      </c>
      <c r="H49" s="17" t="n">
        <v>0.0173568</v>
      </c>
      <c r="I49" s="17" t="n">
        <v>0.018984</v>
      </c>
      <c r="J49" s="17" t="n"/>
      <c r="K49" s="2" t="n"/>
      <c r="L49" s="5" t="n"/>
      <c r="M49" s="16">
        <f>資金模擬!$B$5*V48</f>
        <v/>
      </c>
      <c r="N49" s="2">
        <f>IF(Z48=1,"已停止",IF(T48&gt;=M49,"已下單","資金不足略過"))</f>
        <v/>
      </c>
      <c r="O49" s="16">
        <f>IF(N49="已下單",M49*資金模擬!$B$7,0)</f>
        <v/>
      </c>
      <c r="P49" s="4" t="n"/>
      <c r="Q49" s="10" t="n">
        <v>0</v>
      </c>
      <c r="R49" s="10">
        <f>R48+Q49</f>
        <v/>
      </c>
      <c r="S49" s="16">
        <f>S48+IF(N49="已下單",M49,0)</f>
        <v/>
      </c>
      <c r="T49" s="16">
        <f>R49-S49</f>
        <v/>
      </c>
      <c r="U49" s="2">
        <f>U48+IF(N49="已下單",1,0)</f>
        <v/>
      </c>
      <c r="V49" s="16">
        <f>IF(資金模擬!$B$9=2,MAX(R49,0),MAX(V48,FLOOR(MAX(R49,0),資金模擬!$B$6)))</f>
        <v/>
      </c>
      <c r="W49" s="10">
        <f>MAX(W48,R49)</f>
        <v/>
      </c>
      <c r="X49" s="4">
        <f>IF(W49&gt;0,R49/W49-1,-1)</f>
        <v/>
      </c>
      <c r="Y49" s="16">
        <f>IF(R49&gt;0,S49*資金模擬!$B$7/R49,0)</f>
        <v/>
      </c>
      <c r="Z49" s="2">
        <f>IF(OR(Z48=1,R49&lt;=資金模擬!$B$10),1,0)</f>
        <v/>
      </c>
    </row>
    <row r="50">
      <c r="A50" s="2" t="n">
        <v>48</v>
      </c>
      <c r="B50" s="7" t="n">
        <v>46270.03125</v>
      </c>
      <c r="C50" s="2" t="inlineStr">
        <is>
          <t>出場</t>
        </is>
      </c>
      <c r="D50" s="2" t="n">
        <v>24</v>
      </c>
      <c r="E50" s="2" t="inlineStr">
        <is>
          <t>4_USDT_PERP</t>
        </is>
      </c>
      <c r="F50" s="2" t="inlineStr">
        <is>
          <t>做空</t>
        </is>
      </c>
      <c r="G50" s="17" t="n">
        <v>0.01808</v>
      </c>
      <c r="H50" s="17" t="n">
        <v>0.0173568</v>
      </c>
      <c r="I50" s="17" t="n">
        <v>0.018984</v>
      </c>
      <c r="J50" s="17" t="n">
        <v>0.018984</v>
      </c>
      <c r="K50" s="2" t="inlineStr">
        <is>
          <t>止損</t>
        </is>
      </c>
      <c r="L50" s="5">
        <f>交易明細!K25</f>
        <v/>
      </c>
      <c r="M50" s="16">
        <f>M49</f>
        <v/>
      </c>
      <c r="N50" s="2">
        <f>N49</f>
        <v/>
      </c>
      <c r="O50" s="16">
        <f>O49</f>
        <v/>
      </c>
      <c r="P50" s="4">
        <f>交易明細!L25</f>
        <v/>
      </c>
      <c r="Q50" s="10">
        <f>IF(N50="已下單",O50*P50,0)</f>
        <v/>
      </c>
      <c r="R50" s="10">
        <f>R49+Q50</f>
        <v/>
      </c>
      <c r="S50" s="16">
        <f>S49-IF(N50="已下單",M50,0)</f>
        <v/>
      </c>
      <c r="T50" s="16">
        <f>R50-S50</f>
        <v/>
      </c>
      <c r="U50" s="2">
        <f>U49-IF(N50="已下單",1,0)</f>
        <v/>
      </c>
      <c r="V50" s="16">
        <f>IF(資金模擬!$B$9=2,MAX(R50,0),MAX(V49,FLOOR(MAX(R50,0),資金模擬!$B$6)))</f>
        <v/>
      </c>
      <c r="W50" s="10">
        <f>MAX(W49,R50)</f>
        <v/>
      </c>
      <c r="X50" s="4">
        <f>IF(W50&gt;0,R50/W50-1,-1)</f>
        <v/>
      </c>
      <c r="Y50" s="16">
        <f>IF(R50&gt;0,S50*資金模擬!$B$7/R50,0)</f>
        <v/>
      </c>
      <c r="Z50" s="2">
        <f>IF(OR(Z49=1,R50&lt;=資金模擬!$B$10),1,0)</f>
        <v/>
      </c>
    </row>
    <row r="51">
      <c r="A51" s="2" t="n">
        <v>49</v>
      </c>
      <c r="B51" s="7" t="n">
        <v>46270.07986111111</v>
      </c>
      <c r="C51" s="2" t="inlineStr">
        <is>
          <t>進場</t>
        </is>
      </c>
      <c r="D51" s="2" t="n">
        <v>25</v>
      </c>
      <c r="E51" s="2" t="inlineStr">
        <is>
          <t>4_USDT_PERP</t>
        </is>
      </c>
      <c r="F51" s="2" t="inlineStr">
        <is>
          <t>做空</t>
        </is>
      </c>
      <c r="G51" s="17" t="n">
        <v>0.02088</v>
      </c>
      <c r="H51" s="17" t="n">
        <v>0.0200448</v>
      </c>
      <c r="I51" s="17" t="n">
        <v>0.021924</v>
      </c>
      <c r="J51" s="17" t="n"/>
      <c r="K51" s="2" t="n"/>
      <c r="L51" s="5" t="n"/>
      <c r="M51" s="16">
        <f>資金模擬!$B$5*V50</f>
        <v/>
      </c>
      <c r="N51" s="2">
        <f>IF(Z50=1,"已停止",IF(T50&gt;=M51,"已下單","資金不足略過"))</f>
        <v/>
      </c>
      <c r="O51" s="16">
        <f>IF(N51="已下單",M51*資金模擬!$B$7,0)</f>
        <v/>
      </c>
      <c r="P51" s="4" t="n"/>
      <c r="Q51" s="10" t="n">
        <v>0</v>
      </c>
      <c r="R51" s="10">
        <f>R50+Q51</f>
        <v/>
      </c>
      <c r="S51" s="16">
        <f>S50+IF(N51="已下單",M51,0)</f>
        <v/>
      </c>
      <c r="T51" s="16">
        <f>R51-S51</f>
        <v/>
      </c>
      <c r="U51" s="2">
        <f>U50+IF(N51="已下單",1,0)</f>
        <v/>
      </c>
      <c r="V51" s="16">
        <f>IF(資金模擬!$B$9=2,MAX(R51,0),MAX(V50,FLOOR(MAX(R51,0),資金模擬!$B$6)))</f>
        <v/>
      </c>
      <c r="W51" s="10">
        <f>MAX(W50,R51)</f>
        <v/>
      </c>
      <c r="X51" s="4">
        <f>IF(W51&gt;0,R51/W51-1,-1)</f>
        <v/>
      </c>
      <c r="Y51" s="16">
        <f>IF(R51&gt;0,S51*資金模擬!$B$7/R51,0)</f>
        <v/>
      </c>
      <c r="Z51" s="2">
        <f>IF(OR(Z50=1,R51&lt;=資金模擬!$B$10),1,0)</f>
        <v/>
      </c>
    </row>
    <row r="52">
      <c r="A52" s="2" t="n">
        <v>50</v>
      </c>
      <c r="B52" s="7" t="n">
        <v>46270.09375</v>
      </c>
      <c r="C52" s="2" t="inlineStr">
        <is>
          <t>出場</t>
        </is>
      </c>
      <c r="D52" s="2" t="n">
        <v>25</v>
      </c>
      <c r="E52" s="2" t="inlineStr">
        <is>
          <t>4_USDT_PERP</t>
        </is>
      </c>
      <c r="F52" s="2" t="inlineStr">
        <is>
          <t>做空</t>
        </is>
      </c>
      <c r="G52" s="17" t="n">
        <v>0.02088</v>
      </c>
      <c r="H52" s="17" t="n">
        <v>0.0200448</v>
      </c>
      <c r="I52" s="17" t="n">
        <v>0.021924</v>
      </c>
      <c r="J52" s="17" t="n">
        <v>0.021924</v>
      </c>
      <c r="K52" s="2" t="inlineStr">
        <is>
          <t>止損</t>
        </is>
      </c>
      <c r="L52" s="5">
        <f>交易明細!K26</f>
        <v/>
      </c>
      <c r="M52" s="16">
        <f>M51</f>
        <v/>
      </c>
      <c r="N52" s="2">
        <f>N51</f>
        <v/>
      </c>
      <c r="O52" s="16">
        <f>O51</f>
        <v/>
      </c>
      <c r="P52" s="4">
        <f>交易明細!L26</f>
        <v/>
      </c>
      <c r="Q52" s="10">
        <f>IF(N52="已下單",O52*P52,0)</f>
        <v/>
      </c>
      <c r="R52" s="10">
        <f>R51+Q52</f>
        <v/>
      </c>
      <c r="S52" s="16">
        <f>S51-IF(N52="已下單",M52,0)</f>
        <v/>
      </c>
      <c r="T52" s="16">
        <f>R52-S52</f>
        <v/>
      </c>
      <c r="U52" s="2">
        <f>U51-IF(N52="已下單",1,0)</f>
        <v/>
      </c>
      <c r="V52" s="16">
        <f>IF(資金模擬!$B$9=2,MAX(R52,0),MAX(V51,FLOOR(MAX(R52,0),資金模擬!$B$6)))</f>
        <v/>
      </c>
      <c r="W52" s="10">
        <f>MAX(W51,R52)</f>
        <v/>
      </c>
      <c r="X52" s="4">
        <f>IF(W52&gt;0,R52/W52-1,-1)</f>
        <v/>
      </c>
      <c r="Y52" s="16">
        <f>IF(R52&gt;0,S52*資金模擬!$B$7/R52,0)</f>
        <v/>
      </c>
      <c r="Z52" s="2">
        <f>IF(OR(Z51=1,R52&lt;=資金模擬!$B$10),1,0)</f>
        <v/>
      </c>
    </row>
    <row r="53">
      <c r="A53" s="2" t="n">
        <v>51</v>
      </c>
      <c r="B53" s="7" t="n">
        <v>46270.13541666666</v>
      </c>
      <c r="C53" s="2" t="inlineStr">
        <is>
          <t>進場</t>
        </is>
      </c>
      <c r="D53" s="2" t="n">
        <v>26</v>
      </c>
      <c r="E53" s="2" t="inlineStr">
        <is>
          <t>4_USDT_PERP</t>
        </is>
      </c>
      <c r="F53" s="2" t="inlineStr">
        <is>
          <t>做空</t>
        </is>
      </c>
      <c r="G53" s="17" t="n">
        <v>0.02226</v>
      </c>
      <c r="H53" s="17" t="n">
        <v>0.0213696</v>
      </c>
      <c r="I53" s="17" t="n">
        <v>0.023373</v>
      </c>
      <c r="J53" s="17" t="n"/>
      <c r="K53" s="2" t="n"/>
      <c r="L53" s="5" t="n"/>
      <c r="M53" s="16">
        <f>資金模擬!$B$5*V52</f>
        <v/>
      </c>
      <c r="N53" s="2">
        <f>IF(Z52=1,"已停止",IF(T52&gt;=M53,"已下單","資金不足略過"))</f>
        <v/>
      </c>
      <c r="O53" s="16">
        <f>IF(N53="已下單",M53*資金模擬!$B$7,0)</f>
        <v/>
      </c>
      <c r="P53" s="4" t="n"/>
      <c r="Q53" s="10" t="n">
        <v>0</v>
      </c>
      <c r="R53" s="10">
        <f>R52+Q53</f>
        <v/>
      </c>
      <c r="S53" s="16">
        <f>S52+IF(N53="已下單",M53,0)</f>
        <v/>
      </c>
      <c r="T53" s="16">
        <f>R53-S53</f>
        <v/>
      </c>
      <c r="U53" s="2">
        <f>U52+IF(N53="已下單",1,0)</f>
        <v/>
      </c>
      <c r="V53" s="16">
        <f>IF(資金模擬!$B$9=2,MAX(R53,0),MAX(V52,FLOOR(MAX(R53,0),資金模擬!$B$6)))</f>
        <v/>
      </c>
      <c r="W53" s="10">
        <f>MAX(W52,R53)</f>
        <v/>
      </c>
      <c r="X53" s="4">
        <f>IF(W53&gt;0,R53/W53-1,-1)</f>
        <v/>
      </c>
      <c r="Y53" s="16">
        <f>IF(R53&gt;0,S53*資金模擬!$B$7/R53,0)</f>
        <v/>
      </c>
      <c r="Z53" s="2">
        <f>IF(OR(Z52=1,R53&lt;=資金模擬!$B$10),1,0)</f>
        <v/>
      </c>
    </row>
    <row r="54">
      <c r="A54" s="2" t="n">
        <v>52</v>
      </c>
      <c r="B54" s="7" t="n">
        <v>46270.14583333334</v>
      </c>
      <c r="C54" s="2" t="inlineStr">
        <is>
          <t>出場</t>
        </is>
      </c>
      <c r="D54" s="2" t="n">
        <v>26</v>
      </c>
      <c r="E54" s="2" t="inlineStr">
        <is>
          <t>4_USDT_PERP</t>
        </is>
      </c>
      <c r="F54" s="2" t="inlineStr">
        <is>
          <t>做空</t>
        </is>
      </c>
      <c r="G54" s="17" t="n">
        <v>0.02226</v>
      </c>
      <c r="H54" s="17" t="n">
        <v>0.0213696</v>
      </c>
      <c r="I54" s="17" t="n">
        <v>0.023373</v>
      </c>
      <c r="J54" s="17" t="n">
        <v>0.0213696</v>
      </c>
      <c r="K54" s="2" t="inlineStr">
        <is>
          <t>止盈</t>
        </is>
      </c>
      <c r="L54" s="5">
        <f>交易明細!K27</f>
        <v/>
      </c>
      <c r="M54" s="16">
        <f>M53</f>
        <v/>
      </c>
      <c r="N54" s="2">
        <f>N53</f>
        <v/>
      </c>
      <c r="O54" s="16">
        <f>O53</f>
        <v/>
      </c>
      <c r="P54" s="4">
        <f>交易明細!L27</f>
        <v/>
      </c>
      <c r="Q54" s="10">
        <f>IF(N54="已下單",O54*P54,0)</f>
        <v/>
      </c>
      <c r="R54" s="10">
        <f>R53+Q54</f>
        <v/>
      </c>
      <c r="S54" s="16">
        <f>S53-IF(N54="已下單",M54,0)</f>
        <v/>
      </c>
      <c r="T54" s="16">
        <f>R54-S54</f>
        <v/>
      </c>
      <c r="U54" s="2">
        <f>U53-IF(N54="已下單",1,0)</f>
        <v/>
      </c>
      <c r="V54" s="16">
        <f>IF(資金模擬!$B$9=2,MAX(R54,0),MAX(V53,FLOOR(MAX(R54,0),資金模擬!$B$6)))</f>
        <v/>
      </c>
      <c r="W54" s="10">
        <f>MAX(W53,R54)</f>
        <v/>
      </c>
      <c r="X54" s="4">
        <f>IF(W54&gt;0,R54/W54-1,-1)</f>
        <v/>
      </c>
      <c r="Y54" s="16">
        <f>IF(R54&gt;0,S54*資金模擬!$B$7/R54,0)</f>
        <v/>
      </c>
      <c r="Z54" s="2">
        <f>IF(OR(Z53=1,R54&lt;=資金模擬!$B$10),1,0)</f>
        <v/>
      </c>
    </row>
    <row r="55">
      <c r="A55" s="2" t="n">
        <v>53</v>
      </c>
      <c r="B55" s="7" t="n">
        <v>46270.37152777778</v>
      </c>
      <c r="C55" s="2" t="inlineStr">
        <is>
          <t>進場</t>
        </is>
      </c>
      <c r="D55" s="2" t="n">
        <v>27</v>
      </c>
      <c r="E55" s="2" t="inlineStr">
        <is>
          <t>ELSA_USDT_PERP</t>
        </is>
      </c>
      <c r="F55" s="2" t="inlineStr">
        <is>
          <t>做空</t>
        </is>
      </c>
      <c r="G55" s="17" t="n">
        <v>0.05706</v>
      </c>
      <c r="H55" s="17" t="n">
        <v>0.0547776</v>
      </c>
      <c r="I55" s="17" t="n">
        <v>0.059913</v>
      </c>
      <c r="J55" s="17" t="n"/>
      <c r="K55" s="2" t="n"/>
      <c r="L55" s="5" t="n"/>
      <c r="M55" s="16">
        <f>資金模擬!$B$5*V54</f>
        <v/>
      </c>
      <c r="N55" s="2">
        <f>IF(Z54=1,"已停止",IF(T54&gt;=M55,"已下單","資金不足略過"))</f>
        <v/>
      </c>
      <c r="O55" s="16">
        <f>IF(N55="已下單",M55*資金模擬!$B$7,0)</f>
        <v/>
      </c>
      <c r="P55" s="4" t="n"/>
      <c r="Q55" s="10" t="n">
        <v>0</v>
      </c>
      <c r="R55" s="10">
        <f>R54+Q55</f>
        <v/>
      </c>
      <c r="S55" s="16">
        <f>S54+IF(N55="已下單",M55,0)</f>
        <v/>
      </c>
      <c r="T55" s="16">
        <f>R55-S55</f>
        <v/>
      </c>
      <c r="U55" s="2">
        <f>U54+IF(N55="已下單",1,0)</f>
        <v/>
      </c>
      <c r="V55" s="16">
        <f>IF(資金模擬!$B$9=2,MAX(R55,0),MAX(V54,FLOOR(MAX(R55,0),資金模擬!$B$6)))</f>
        <v/>
      </c>
      <c r="W55" s="10">
        <f>MAX(W54,R55)</f>
        <v/>
      </c>
      <c r="X55" s="4">
        <f>IF(W55&gt;0,R55/W55-1,-1)</f>
        <v/>
      </c>
      <c r="Y55" s="16">
        <f>IF(R55&gt;0,S55*資金模擬!$B$7/R55,0)</f>
        <v/>
      </c>
      <c r="Z55" s="2">
        <f>IF(OR(Z54=1,R55&lt;=資金模擬!$B$10),1,0)</f>
        <v/>
      </c>
    </row>
    <row r="56">
      <c r="A56" s="2" t="n">
        <v>54</v>
      </c>
      <c r="B56" s="7" t="n">
        <v>46270.39583333334</v>
      </c>
      <c r="C56" s="2" t="inlineStr">
        <is>
          <t>出場</t>
        </is>
      </c>
      <c r="D56" s="2" t="n">
        <v>27</v>
      </c>
      <c r="E56" s="2" t="inlineStr">
        <is>
          <t>ELSA_USDT_PERP</t>
        </is>
      </c>
      <c r="F56" s="2" t="inlineStr">
        <is>
          <t>做空</t>
        </is>
      </c>
      <c r="G56" s="17" t="n">
        <v>0.05706</v>
      </c>
      <c r="H56" s="17" t="n">
        <v>0.0547776</v>
      </c>
      <c r="I56" s="17" t="n">
        <v>0.059913</v>
      </c>
      <c r="J56" s="17" t="n">
        <v>0.0547776</v>
      </c>
      <c r="K56" s="2" t="inlineStr">
        <is>
          <t>止盈</t>
        </is>
      </c>
      <c r="L56" s="5">
        <f>交易明細!K28</f>
        <v/>
      </c>
      <c r="M56" s="16">
        <f>M55</f>
        <v/>
      </c>
      <c r="N56" s="2">
        <f>N55</f>
        <v/>
      </c>
      <c r="O56" s="16">
        <f>O55</f>
        <v/>
      </c>
      <c r="P56" s="4">
        <f>交易明細!L28</f>
        <v/>
      </c>
      <c r="Q56" s="10">
        <f>IF(N56="已下單",O56*P56,0)</f>
        <v/>
      </c>
      <c r="R56" s="10">
        <f>R55+Q56</f>
        <v/>
      </c>
      <c r="S56" s="16">
        <f>S55-IF(N56="已下單",M56,0)</f>
        <v/>
      </c>
      <c r="T56" s="16">
        <f>R56-S56</f>
        <v/>
      </c>
      <c r="U56" s="2">
        <f>U55-IF(N56="已下單",1,0)</f>
        <v/>
      </c>
      <c r="V56" s="16">
        <f>IF(資金模擬!$B$9=2,MAX(R56,0),MAX(V55,FLOOR(MAX(R56,0),資金模擬!$B$6)))</f>
        <v/>
      </c>
      <c r="W56" s="10">
        <f>MAX(W55,R56)</f>
        <v/>
      </c>
      <c r="X56" s="4">
        <f>IF(W56&gt;0,R56/W56-1,-1)</f>
        <v/>
      </c>
      <c r="Y56" s="16">
        <f>IF(R56&gt;0,S56*資金模擬!$B$7/R56,0)</f>
        <v/>
      </c>
      <c r="Z56" s="2">
        <f>IF(OR(Z55=1,R56&lt;=資金模擬!$B$10),1,0)</f>
        <v/>
      </c>
    </row>
    <row r="57">
      <c r="A57" s="2" t="n">
        <v>55</v>
      </c>
      <c r="B57" s="7" t="n">
        <v>46270.44444444445</v>
      </c>
      <c r="C57" s="2" t="inlineStr">
        <is>
          <t>進場</t>
        </is>
      </c>
      <c r="D57" s="2" t="n">
        <v>28</v>
      </c>
      <c r="E57" s="2" t="inlineStr">
        <is>
          <t>NOM_USDT_PERP</t>
        </is>
      </c>
      <c r="F57" s="2" t="inlineStr">
        <is>
          <t>做空</t>
        </is>
      </c>
      <c r="G57" s="17" t="n">
        <v>0.001789</v>
      </c>
      <c r="H57" s="17" t="n">
        <v>0.00171744</v>
      </c>
      <c r="I57" s="17" t="n">
        <v>0.00187845</v>
      </c>
      <c r="J57" s="17" t="n"/>
      <c r="K57" s="2" t="n"/>
      <c r="L57" s="5" t="n"/>
      <c r="M57" s="16">
        <f>資金模擬!$B$5*V56</f>
        <v/>
      </c>
      <c r="N57" s="2">
        <f>IF(Z56=1,"已停止",IF(T56&gt;=M57,"已下單","資金不足略過"))</f>
        <v/>
      </c>
      <c r="O57" s="16">
        <f>IF(N57="已下單",M57*資金模擬!$B$7,0)</f>
        <v/>
      </c>
      <c r="P57" s="4" t="n"/>
      <c r="Q57" s="10" t="n">
        <v>0</v>
      </c>
      <c r="R57" s="10">
        <f>R56+Q57</f>
        <v/>
      </c>
      <c r="S57" s="16">
        <f>S56+IF(N57="已下單",M57,0)</f>
        <v/>
      </c>
      <c r="T57" s="16">
        <f>R57-S57</f>
        <v/>
      </c>
      <c r="U57" s="2">
        <f>U56+IF(N57="已下單",1,0)</f>
        <v/>
      </c>
      <c r="V57" s="16">
        <f>IF(資金模擬!$B$9=2,MAX(R57,0),MAX(V56,FLOOR(MAX(R57,0),資金模擬!$B$6)))</f>
        <v/>
      </c>
      <c r="W57" s="10">
        <f>MAX(W56,R57)</f>
        <v/>
      </c>
      <c r="X57" s="4">
        <f>IF(W57&gt;0,R57/W57-1,-1)</f>
        <v/>
      </c>
      <c r="Y57" s="16">
        <f>IF(R57&gt;0,S57*資金模擬!$B$7/R57,0)</f>
        <v/>
      </c>
      <c r="Z57" s="2">
        <f>IF(OR(Z56=1,R57&lt;=資金模擬!$B$10),1,0)</f>
        <v/>
      </c>
    </row>
    <row r="58">
      <c r="A58" s="2" t="n">
        <v>56</v>
      </c>
      <c r="B58" s="7" t="n">
        <v>46270.45833333334</v>
      </c>
      <c r="C58" s="2" t="inlineStr">
        <is>
          <t>出場</t>
        </is>
      </c>
      <c r="D58" s="2" t="n">
        <v>28</v>
      </c>
      <c r="E58" s="2" t="inlineStr">
        <is>
          <t>NOM_USDT_PERP</t>
        </is>
      </c>
      <c r="F58" s="2" t="inlineStr">
        <is>
          <t>做空</t>
        </is>
      </c>
      <c r="G58" s="17" t="n">
        <v>0.001789</v>
      </c>
      <c r="H58" s="17" t="n">
        <v>0.00171744</v>
      </c>
      <c r="I58" s="17" t="n">
        <v>0.00187845</v>
      </c>
      <c r="J58" s="17" t="n">
        <v>0.00187845</v>
      </c>
      <c r="K58" s="2" t="inlineStr">
        <is>
          <t>止損</t>
        </is>
      </c>
      <c r="L58" s="5">
        <f>交易明細!K29</f>
        <v/>
      </c>
      <c r="M58" s="16">
        <f>M57</f>
        <v/>
      </c>
      <c r="N58" s="2">
        <f>N57</f>
        <v/>
      </c>
      <c r="O58" s="16">
        <f>O57</f>
        <v/>
      </c>
      <c r="P58" s="4">
        <f>交易明細!L29</f>
        <v/>
      </c>
      <c r="Q58" s="10">
        <f>IF(N58="已下單",O58*P58,0)</f>
        <v/>
      </c>
      <c r="R58" s="10">
        <f>R57+Q58</f>
        <v/>
      </c>
      <c r="S58" s="16">
        <f>S57-IF(N58="已下單",M58,0)</f>
        <v/>
      </c>
      <c r="T58" s="16">
        <f>R58-S58</f>
        <v/>
      </c>
      <c r="U58" s="2">
        <f>U57-IF(N58="已下單",1,0)</f>
        <v/>
      </c>
      <c r="V58" s="16">
        <f>IF(資金模擬!$B$9=2,MAX(R58,0),MAX(V57,FLOOR(MAX(R58,0),資金模擬!$B$6)))</f>
        <v/>
      </c>
      <c r="W58" s="10">
        <f>MAX(W57,R58)</f>
        <v/>
      </c>
      <c r="X58" s="4">
        <f>IF(W58&gt;0,R58/W58-1,-1)</f>
        <v/>
      </c>
      <c r="Y58" s="16">
        <f>IF(R58&gt;0,S58*資金模擬!$B$7/R58,0)</f>
        <v/>
      </c>
      <c r="Z58" s="2">
        <f>IF(OR(Z57=1,R58&lt;=資金模擬!$B$10),1,0)</f>
        <v/>
      </c>
    </row>
    <row r="59">
      <c r="A59" s="2" t="n">
        <v>57</v>
      </c>
      <c r="B59" s="7" t="n">
        <v>46270.56944444445</v>
      </c>
      <c r="C59" s="2" t="inlineStr">
        <is>
          <t>進場</t>
        </is>
      </c>
      <c r="D59" s="2" t="n">
        <v>29</v>
      </c>
      <c r="E59" s="2" t="inlineStr">
        <is>
          <t>NOM_USDT_PERP</t>
        </is>
      </c>
      <c r="F59" s="2" t="inlineStr">
        <is>
          <t>做空</t>
        </is>
      </c>
      <c r="G59" s="17" t="n">
        <v>0.002085</v>
      </c>
      <c r="H59" s="17" t="n">
        <v>0.0020016</v>
      </c>
      <c r="I59" s="17" t="n">
        <v>0.00218925</v>
      </c>
      <c r="J59" s="17" t="n"/>
      <c r="K59" s="2" t="n"/>
      <c r="L59" s="5" t="n"/>
      <c r="M59" s="16">
        <f>資金模擬!$B$5*V58</f>
        <v/>
      </c>
      <c r="N59" s="2">
        <f>IF(Z58=1,"已停止",IF(T58&gt;=M59,"已下單","資金不足略過"))</f>
        <v/>
      </c>
      <c r="O59" s="16">
        <f>IF(N59="已下單",M59*資金模擬!$B$7,0)</f>
        <v/>
      </c>
      <c r="P59" s="4" t="n"/>
      <c r="Q59" s="10" t="n">
        <v>0</v>
      </c>
      <c r="R59" s="10">
        <f>R58+Q59</f>
        <v/>
      </c>
      <c r="S59" s="16">
        <f>S58+IF(N59="已下單",M59,0)</f>
        <v/>
      </c>
      <c r="T59" s="16">
        <f>R59-S59</f>
        <v/>
      </c>
      <c r="U59" s="2">
        <f>U58+IF(N59="已下單",1,0)</f>
        <v/>
      </c>
      <c r="V59" s="16">
        <f>IF(資金模擬!$B$9=2,MAX(R59,0),MAX(V58,FLOOR(MAX(R59,0),資金模擬!$B$6)))</f>
        <v/>
      </c>
      <c r="W59" s="10">
        <f>MAX(W58,R59)</f>
        <v/>
      </c>
      <c r="X59" s="4">
        <f>IF(W59&gt;0,R59/W59-1,-1)</f>
        <v/>
      </c>
      <c r="Y59" s="16">
        <f>IF(R59&gt;0,S59*資金模擬!$B$7/R59,0)</f>
        <v/>
      </c>
      <c r="Z59" s="2">
        <f>IF(OR(Z58=1,R59&lt;=資金模擬!$B$10),1,0)</f>
        <v/>
      </c>
    </row>
    <row r="60">
      <c r="A60" s="2" t="n">
        <v>58</v>
      </c>
      <c r="B60" s="7" t="n">
        <v>46270.58333333334</v>
      </c>
      <c r="C60" s="2" t="inlineStr">
        <is>
          <t>出場</t>
        </is>
      </c>
      <c r="D60" s="2" t="n">
        <v>29</v>
      </c>
      <c r="E60" s="2" t="inlineStr">
        <is>
          <t>NOM_USDT_PERP</t>
        </is>
      </c>
      <c r="F60" s="2" t="inlineStr">
        <is>
          <t>做空</t>
        </is>
      </c>
      <c r="G60" s="17" t="n">
        <v>0.002085</v>
      </c>
      <c r="H60" s="17" t="n">
        <v>0.0020016</v>
      </c>
      <c r="I60" s="17" t="n">
        <v>0.00218925</v>
      </c>
      <c r="J60" s="17" t="n">
        <v>0.0020016</v>
      </c>
      <c r="K60" s="2" t="inlineStr">
        <is>
          <t>止盈</t>
        </is>
      </c>
      <c r="L60" s="5">
        <f>交易明細!K30</f>
        <v/>
      </c>
      <c r="M60" s="16">
        <f>M59</f>
        <v/>
      </c>
      <c r="N60" s="2">
        <f>N59</f>
        <v/>
      </c>
      <c r="O60" s="16">
        <f>O59</f>
        <v/>
      </c>
      <c r="P60" s="4">
        <f>交易明細!L30</f>
        <v/>
      </c>
      <c r="Q60" s="10">
        <f>IF(N60="已下單",O60*P60,0)</f>
        <v/>
      </c>
      <c r="R60" s="10">
        <f>R59+Q60</f>
        <v/>
      </c>
      <c r="S60" s="16">
        <f>S59-IF(N60="已下單",M60,0)</f>
        <v/>
      </c>
      <c r="T60" s="16">
        <f>R60-S60</f>
        <v/>
      </c>
      <c r="U60" s="2">
        <f>U59-IF(N60="已下單",1,0)</f>
        <v/>
      </c>
      <c r="V60" s="16">
        <f>IF(資金模擬!$B$9=2,MAX(R60,0),MAX(V59,FLOOR(MAX(R60,0),資金模擬!$B$6)))</f>
        <v/>
      </c>
      <c r="W60" s="10">
        <f>MAX(W59,R60)</f>
        <v/>
      </c>
      <c r="X60" s="4">
        <f>IF(W60&gt;0,R60/W60-1,-1)</f>
        <v/>
      </c>
      <c r="Y60" s="16">
        <f>IF(R60&gt;0,S60*資金模擬!$B$7/R60,0)</f>
        <v/>
      </c>
      <c r="Z60" s="2">
        <f>IF(OR(Z59=1,R60&lt;=資金模擬!$B$10),1,0)</f>
        <v/>
      </c>
    </row>
    <row r="61">
      <c r="A61" s="2" t="n">
        <v>59</v>
      </c>
      <c r="B61" s="7" t="n">
        <v>46270.60069444445</v>
      </c>
      <c r="C61" s="2" t="inlineStr">
        <is>
          <t>進場</t>
        </is>
      </c>
      <c r="D61" s="2" t="n">
        <v>30</v>
      </c>
      <c r="E61" s="2" t="inlineStr">
        <is>
          <t>B_USDT_PERP</t>
        </is>
      </c>
      <c r="F61" s="2" t="inlineStr">
        <is>
          <t>做空</t>
        </is>
      </c>
      <c r="G61" s="17" t="n">
        <v>0.2168</v>
      </c>
      <c r="H61" s="17" t="n">
        <v>0.208128</v>
      </c>
      <c r="I61" s="17" t="n">
        <v>0.22764</v>
      </c>
      <c r="J61" s="17" t="n"/>
      <c r="K61" s="2" t="n"/>
      <c r="L61" s="5" t="n"/>
      <c r="M61" s="16">
        <f>資金模擬!$B$5*V60</f>
        <v/>
      </c>
      <c r="N61" s="2">
        <f>IF(Z60=1,"已停止",IF(T60&gt;=M61,"已下單","資金不足略過"))</f>
        <v/>
      </c>
      <c r="O61" s="16">
        <f>IF(N61="已下單",M61*資金模擬!$B$7,0)</f>
        <v/>
      </c>
      <c r="P61" s="4" t="n"/>
      <c r="Q61" s="10" t="n">
        <v>0</v>
      </c>
      <c r="R61" s="10">
        <f>R60+Q61</f>
        <v/>
      </c>
      <c r="S61" s="16">
        <f>S60+IF(N61="已下單",M61,0)</f>
        <v/>
      </c>
      <c r="T61" s="16">
        <f>R61-S61</f>
        <v/>
      </c>
      <c r="U61" s="2">
        <f>U60+IF(N61="已下單",1,0)</f>
        <v/>
      </c>
      <c r="V61" s="16">
        <f>IF(資金模擬!$B$9=2,MAX(R61,0),MAX(V60,FLOOR(MAX(R61,0),資金模擬!$B$6)))</f>
        <v/>
      </c>
      <c r="W61" s="10">
        <f>MAX(W60,R61)</f>
        <v/>
      </c>
      <c r="X61" s="4">
        <f>IF(W61&gt;0,R61/W61-1,-1)</f>
        <v/>
      </c>
      <c r="Y61" s="16">
        <f>IF(R61&gt;0,S61*資金模擬!$B$7/R61,0)</f>
        <v/>
      </c>
      <c r="Z61" s="2">
        <f>IF(OR(Z60=1,R61&lt;=資金模擬!$B$10),1,0)</f>
        <v/>
      </c>
    </row>
    <row r="62">
      <c r="A62" s="2" t="n">
        <v>60</v>
      </c>
      <c r="B62" s="7" t="n">
        <v>46270.60416666666</v>
      </c>
      <c r="C62" s="2" t="inlineStr">
        <is>
          <t>出場</t>
        </is>
      </c>
      <c r="D62" s="2" t="n">
        <v>30</v>
      </c>
      <c r="E62" s="2" t="inlineStr">
        <is>
          <t>B_USDT_PERP</t>
        </is>
      </c>
      <c r="F62" s="2" t="inlineStr">
        <is>
          <t>做空</t>
        </is>
      </c>
      <c r="G62" s="17" t="n">
        <v>0.2168</v>
      </c>
      <c r="H62" s="17" t="n">
        <v>0.208128</v>
      </c>
      <c r="I62" s="17" t="n">
        <v>0.22764</v>
      </c>
      <c r="J62" s="17" t="n">
        <v>0.208128</v>
      </c>
      <c r="K62" s="2" t="inlineStr">
        <is>
          <t>止盈</t>
        </is>
      </c>
      <c r="L62" s="5">
        <f>交易明細!K31</f>
        <v/>
      </c>
      <c r="M62" s="16">
        <f>M61</f>
        <v/>
      </c>
      <c r="N62" s="2">
        <f>N61</f>
        <v/>
      </c>
      <c r="O62" s="16">
        <f>O61</f>
        <v/>
      </c>
      <c r="P62" s="4">
        <f>交易明細!L31</f>
        <v/>
      </c>
      <c r="Q62" s="10">
        <f>IF(N62="已下單",O62*P62,0)</f>
        <v/>
      </c>
      <c r="R62" s="10">
        <f>R61+Q62</f>
        <v/>
      </c>
      <c r="S62" s="16">
        <f>S61-IF(N62="已下單",M62,0)</f>
        <v/>
      </c>
      <c r="T62" s="16">
        <f>R62-S62</f>
        <v/>
      </c>
      <c r="U62" s="2">
        <f>U61-IF(N62="已下單",1,0)</f>
        <v/>
      </c>
      <c r="V62" s="16">
        <f>IF(資金模擬!$B$9=2,MAX(R62,0),MAX(V61,FLOOR(MAX(R62,0),資金模擬!$B$6)))</f>
        <v/>
      </c>
      <c r="W62" s="10">
        <f>MAX(W61,R62)</f>
        <v/>
      </c>
      <c r="X62" s="4">
        <f>IF(W62&gt;0,R62/W62-1,-1)</f>
        <v/>
      </c>
      <c r="Y62" s="16">
        <f>IF(R62&gt;0,S62*資金模擬!$B$7/R62,0)</f>
        <v/>
      </c>
      <c r="Z62" s="2">
        <f>IF(OR(Z61=1,R62&lt;=資金模擬!$B$10),1,0)</f>
        <v/>
      </c>
    </row>
    <row r="63">
      <c r="A63" s="2" t="n">
        <v>61</v>
      </c>
      <c r="B63" s="7" t="n">
        <v>46270.61805555555</v>
      </c>
      <c r="C63" s="2" t="inlineStr">
        <is>
          <t>進場</t>
        </is>
      </c>
      <c r="D63" s="2" t="n">
        <v>31</v>
      </c>
      <c r="E63" s="2" t="inlineStr">
        <is>
          <t>NAORIS_USDT_PERP</t>
        </is>
      </c>
      <c r="F63" s="2" t="inlineStr">
        <is>
          <t>做空</t>
        </is>
      </c>
      <c r="G63" s="17" t="n">
        <v>0.03141</v>
      </c>
      <c r="H63" s="17" t="n">
        <v>0.0301536</v>
      </c>
      <c r="I63" s="17" t="n">
        <v>0.0329805</v>
      </c>
      <c r="J63" s="17" t="n"/>
      <c r="K63" s="2" t="n"/>
      <c r="L63" s="5" t="n"/>
      <c r="M63" s="16">
        <f>資金模擬!$B$5*V62</f>
        <v/>
      </c>
      <c r="N63" s="2">
        <f>IF(Z62=1,"已停止",IF(T62&gt;=M63,"已下單","資金不足略過"))</f>
        <v/>
      </c>
      <c r="O63" s="16">
        <f>IF(N63="已下單",M63*資金模擬!$B$7,0)</f>
        <v/>
      </c>
      <c r="P63" s="4" t="n"/>
      <c r="Q63" s="10" t="n">
        <v>0</v>
      </c>
      <c r="R63" s="10">
        <f>R62+Q63</f>
        <v/>
      </c>
      <c r="S63" s="16">
        <f>S62+IF(N63="已下單",M63,0)</f>
        <v/>
      </c>
      <c r="T63" s="16">
        <f>R63-S63</f>
        <v/>
      </c>
      <c r="U63" s="2">
        <f>U62+IF(N63="已下單",1,0)</f>
        <v/>
      </c>
      <c r="V63" s="16">
        <f>IF(資金模擬!$B$9=2,MAX(R63,0),MAX(V62,FLOOR(MAX(R63,0),資金模擬!$B$6)))</f>
        <v/>
      </c>
      <c r="W63" s="10">
        <f>MAX(W62,R63)</f>
        <v/>
      </c>
      <c r="X63" s="4">
        <f>IF(W63&gt;0,R63/W63-1,-1)</f>
        <v/>
      </c>
      <c r="Y63" s="16">
        <f>IF(R63&gt;0,S63*資金模擬!$B$7/R63,0)</f>
        <v/>
      </c>
      <c r="Z63" s="2">
        <f>IF(OR(Z62=1,R63&lt;=資金模擬!$B$10),1,0)</f>
        <v/>
      </c>
    </row>
    <row r="64">
      <c r="A64" s="2" t="n">
        <v>62</v>
      </c>
      <c r="B64" s="7" t="n">
        <v>46270.63194444445</v>
      </c>
      <c r="C64" s="2" t="inlineStr">
        <is>
          <t>出場</t>
        </is>
      </c>
      <c r="D64" s="2" t="n">
        <v>31</v>
      </c>
      <c r="E64" s="2" t="inlineStr">
        <is>
          <t>NAORIS_USDT_PERP</t>
        </is>
      </c>
      <c r="F64" s="2" t="inlineStr">
        <is>
          <t>做空</t>
        </is>
      </c>
      <c r="G64" s="17" t="n">
        <v>0.03141</v>
      </c>
      <c r="H64" s="17" t="n">
        <v>0.0301536</v>
      </c>
      <c r="I64" s="17" t="n">
        <v>0.0329805</v>
      </c>
      <c r="J64" s="17" t="n">
        <v>0.0301536</v>
      </c>
      <c r="K64" s="2" t="inlineStr">
        <is>
          <t>止盈</t>
        </is>
      </c>
      <c r="L64" s="5">
        <f>交易明細!K32</f>
        <v/>
      </c>
      <c r="M64" s="16">
        <f>M63</f>
        <v/>
      </c>
      <c r="N64" s="2">
        <f>N63</f>
        <v/>
      </c>
      <c r="O64" s="16">
        <f>O63</f>
        <v/>
      </c>
      <c r="P64" s="4">
        <f>交易明細!L32</f>
        <v/>
      </c>
      <c r="Q64" s="10">
        <f>IF(N64="已下單",O64*P64,0)</f>
        <v/>
      </c>
      <c r="R64" s="10">
        <f>R63+Q64</f>
        <v/>
      </c>
      <c r="S64" s="16">
        <f>S63-IF(N64="已下單",M64,0)</f>
        <v/>
      </c>
      <c r="T64" s="16">
        <f>R64-S64</f>
        <v/>
      </c>
      <c r="U64" s="2">
        <f>U63-IF(N64="已下單",1,0)</f>
        <v/>
      </c>
      <c r="V64" s="16">
        <f>IF(資金模擬!$B$9=2,MAX(R64,0),MAX(V63,FLOOR(MAX(R64,0),資金模擬!$B$6)))</f>
        <v/>
      </c>
      <c r="W64" s="10">
        <f>MAX(W63,R64)</f>
        <v/>
      </c>
      <c r="X64" s="4">
        <f>IF(W64&gt;0,R64/W64-1,-1)</f>
        <v/>
      </c>
      <c r="Y64" s="16">
        <f>IF(R64&gt;0,S64*資金模擬!$B$7/R64,0)</f>
        <v/>
      </c>
      <c r="Z64" s="2">
        <f>IF(OR(Z63=1,R64&lt;=資金模擬!$B$10),1,0)</f>
        <v/>
      </c>
    </row>
    <row r="65">
      <c r="A65" s="2" t="n">
        <v>63</v>
      </c>
      <c r="B65" s="7" t="n">
        <v>46270.63194444445</v>
      </c>
      <c r="C65" s="2" t="inlineStr">
        <is>
          <t>進場</t>
        </is>
      </c>
      <c r="D65" s="2" t="n">
        <v>32</v>
      </c>
      <c r="E65" s="2" t="inlineStr">
        <is>
          <t>TRADOOR_USDT_PERP</t>
        </is>
      </c>
      <c r="F65" s="2" t="inlineStr">
        <is>
          <t>做空</t>
        </is>
      </c>
      <c r="G65" s="17" t="n">
        <v>0.7411</v>
      </c>
      <c r="H65" s="17" t="n">
        <v>0.711456</v>
      </c>
      <c r="I65" s="17" t="n">
        <v>0.778155</v>
      </c>
      <c r="J65" s="17" t="n"/>
      <c r="K65" s="2" t="n"/>
      <c r="L65" s="5" t="n"/>
      <c r="M65" s="16">
        <f>資金模擬!$B$5*V64</f>
        <v/>
      </c>
      <c r="N65" s="2">
        <f>IF(Z64=1,"已停止",IF(T64&gt;=M65,"已下單","資金不足略過"))</f>
        <v/>
      </c>
      <c r="O65" s="16">
        <f>IF(N65="已下單",M65*資金模擬!$B$7,0)</f>
        <v/>
      </c>
      <c r="P65" s="4" t="n"/>
      <c r="Q65" s="10" t="n">
        <v>0</v>
      </c>
      <c r="R65" s="10">
        <f>R64+Q65</f>
        <v/>
      </c>
      <c r="S65" s="16">
        <f>S64+IF(N65="已下單",M65,0)</f>
        <v/>
      </c>
      <c r="T65" s="16">
        <f>R65-S65</f>
        <v/>
      </c>
      <c r="U65" s="2">
        <f>U64+IF(N65="已下單",1,0)</f>
        <v/>
      </c>
      <c r="V65" s="16">
        <f>IF(資金模擬!$B$9=2,MAX(R65,0),MAX(V64,FLOOR(MAX(R65,0),資金模擬!$B$6)))</f>
        <v/>
      </c>
      <c r="W65" s="10">
        <f>MAX(W64,R65)</f>
        <v/>
      </c>
      <c r="X65" s="4">
        <f>IF(W65&gt;0,R65/W65-1,-1)</f>
        <v/>
      </c>
      <c r="Y65" s="16">
        <f>IF(R65&gt;0,S65*資金模擬!$B$7/R65,0)</f>
        <v/>
      </c>
      <c r="Z65" s="2">
        <f>IF(OR(Z64=1,R65&lt;=資金模擬!$B$10),1,0)</f>
        <v/>
      </c>
    </row>
    <row r="66">
      <c r="A66" s="2" t="n">
        <v>64</v>
      </c>
      <c r="B66" s="7" t="n">
        <v>46270.63541666666</v>
      </c>
      <c r="C66" s="2" t="inlineStr">
        <is>
          <t>出場</t>
        </is>
      </c>
      <c r="D66" s="2" t="n">
        <v>32</v>
      </c>
      <c r="E66" s="2" t="inlineStr">
        <is>
          <t>TRADOOR_USDT_PERP</t>
        </is>
      </c>
      <c r="F66" s="2" t="inlineStr">
        <is>
          <t>做空</t>
        </is>
      </c>
      <c r="G66" s="17" t="n">
        <v>0.7411</v>
      </c>
      <c r="H66" s="17" t="n">
        <v>0.711456</v>
      </c>
      <c r="I66" s="17" t="n">
        <v>0.778155</v>
      </c>
      <c r="J66" s="17" t="n">
        <v>0.778155</v>
      </c>
      <c r="K66" s="2" t="inlineStr">
        <is>
          <t>止損</t>
        </is>
      </c>
      <c r="L66" s="5">
        <f>交易明細!K33</f>
        <v/>
      </c>
      <c r="M66" s="16">
        <f>M65</f>
        <v/>
      </c>
      <c r="N66" s="2">
        <f>N65</f>
        <v/>
      </c>
      <c r="O66" s="16">
        <f>O65</f>
        <v/>
      </c>
      <c r="P66" s="4">
        <f>交易明細!L33</f>
        <v/>
      </c>
      <c r="Q66" s="10">
        <f>IF(N66="已下單",O66*P66,0)</f>
        <v/>
      </c>
      <c r="R66" s="10">
        <f>R65+Q66</f>
        <v/>
      </c>
      <c r="S66" s="16">
        <f>S65-IF(N66="已下單",M66,0)</f>
        <v/>
      </c>
      <c r="T66" s="16">
        <f>R66-S66</f>
        <v/>
      </c>
      <c r="U66" s="2">
        <f>U65-IF(N66="已下單",1,0)</f>
        <v/>
      </c>
      <c r="V66" s="16">
        <f>IF(資金模擬!$B$9=2,MAX(R66,0),MAX(V65,FLOOR(MAX(R66,0),資金模擬!$B$6)))</f>
        <v/>
      </c>
      <c r="W66" s="10">
        <f>MAX(W65,R66)</f>
        <v/>
      </c>
      <c r="X66" s="4">
        <f>IF(W66&gt;0,R66/W66-1,-1)</f>
        <v/>
      </c>
      <c r="Y66" s="16">
        <f>IF(R66&gt;0,S66*資金模擬!$B$7/R66,0)</f>
        <v/>
      </c>
      <c r="Z66" s="2">
        <f>IF(OR(Z65=1,R66&lt;=資金模擬!$B$10),1,0)</f>
        <v/>
      </c>
    </row>
    <row r="67">
      <c r="A67" s="2" t="n">
        <v>65</v>
      </c>
      <c r="B67" s="7" t="n">
        <v>46270.64583333334</v>
      </c>
      <c r="C67" s="2" t="inlineStr">
        <is>
          <t>進場</t>
        </is>
      </c>
      <c r="D67" s="2" t="n">
        <v>33</v>
      </c>
      <c r="E67" s="2" t="inlineStr">
        <is>
          <t>B_USDT_PERP</t>
        </is>
      </c>
      <c r="F67" s="2" t="inlineStr">
        <is>
          <t>做空</t>
        </is>
      </c>
      <c r="G67" s="17" t="n">
        <v>0.1992</v>
      </c>
      <c r="H67" s="17" t="n">
        <v>0.191232</v>
      </c>
      <c r="I67" s="17" t="n">
        <v>0.20916</v>
      </c>
      <c r="J67" s="17" t="n"/>
      <c r="K67" s="2" t="n"/>
      <c r="L67" s="5" t="n"/>
      <c r="M67" s="16">
        <f>資金模擬!$B$5*V66</f>
        <v/>
      </c>
      <c r="N67" s="2">
        <f>IF(Z66=1,"已停止",IF(T66&gt;=M67,"已下單","資金不足略過"))</f>
        <v/>
      </c>
      <c r="O67" s="16">
        <f>IF(N67="已下單",M67*資金模擬!$B$7,0)</f>
        <v/>
      </c>
      <c r="P67" s="4" t="n"/>
      <c r="Q67" s="10" t="n">
        <v>0</v>
      </c>
      <c r="R67" s="10">
        <f>R66+Q67</f>
        <v/>
      </c>
      <c r="S67" s="16">
        <f>S66+IF(N67="已下單",M67,0)</f>
        <v/>
      </c>
      <c r="T67" s="16">
        <f>R67-S67</f>
        <v/>
      </c>
      <c r="U67" s="2">
        <f>U66+IF(N67="已下單",1,0)</f>
        <v/>
      </c>
      <c r="V67" s="16">
        <f>IF(資金模擬!$B$9=2,MAX(R67,0),MAX(V66,FLOOR(MAX(R67,0),資金模擬!$B$6)))</f>
        <v/>
      </c>
      <c r="W67" s="10">
        <f>MAX(W66,R67)</f>
        <v/>
      </c>
      <c r="X67" s="4">
        <f>IF(W67&gt;0,R67/W67-1,-1)</f>
        <v/>
      </c>
      <c r="Y67" s="16">
        <f>IF(R67&gt;0,S67*資金模擬!$B$7/R67,0)</f>
        <v/>
      </c>
      <c r="Z67" s="2">
        <f>IF(OR(Z66=1,R67&lt;=資金模擬!$B$10),1,0)</f>
        <v/>
      </c>
    </row>
    <row r="68">
      <c r="A68" s="2" t="n">
        <v>66</v>
      </c>
      <c r="B68" s="7" t="n">
        <v>46270.73611111111</v>
      </c>
      <c r="C68" s="2" t="inlineStr">
        <is>
          <t>出場</t>
        </is>
      </c>
      <c r="D68" s="2" t="n">
        <v>33</v>
      </c>
      <c r="E68" s="2" t="inlineStr">
        <is>
          <t>B_USDT_PERP</t>
        </is>
      </c>
      <c r="F68" s="2" t="inlineStr">
        <is>
          <t>做空</t>
        </is>
      </c>
      <c r="G68" s="17" t="n">
        <v>0.1992</v>
      </c>
      <c r="H68" s="17" t="n">
        <v>0.191232</v>
      </c>
      <c r="I68" s="17" t="n">
        <v>0.20916</v>
      </c>
      <c r="J68" s="17" t="n">
        <v>0.191232</v>
      </c>
      <c r="K68" s="2" t="inlineStr">
        <is>
          <t>止盈</t>
        </is>
      </c>
      <c r="L68" s="5">
        <f>交易明細!K34</f>
        <v/>
      </c>
      <c r="M68" s="16">
        <f>M67</f>
        <v/>
      </c>
      <c r="N68" s="2">
        <f>N67</f>
        <v/>
      </c>
      <c r="O68" s="16">
        <f>O67</f>
        <v/>
      </c>
      <c r="P68" s="4">
        <f>交易明細!L34</f>
        <v/>
      </c>
      <c r="Q68" s="10">
        <f>IF(N68="已下單",O68*P68,0)</f>
        <v/>
      </c>
      <c r="R68" s="10">
        <f>R67+Q68</f>
        <v/>
      </c>
      <c r="S68" s="16">
        <f>S67-IF(N68="已下單",M68,0)</f>
        <v/>
      </c>
      <c r="T68" s="16">
        <f>R68-S68</f>
        <v/>
      </c>
      <c r="U68" s="2">
        <f>U67-IF(N68="已下單",1,0)</f>
        <v/>
      </c>
      <c r="V68" s="16">
        <f>IF(資金模擬!$B$9=2,MAX(R68,0),MAX(V67,FLOOR(MAX(R68,0),資金模擬!$B$6)))</f>
        <v/>
      </c>
      <c r="W68" s="10">
        <f>MAX(W67,R68)</f>
        <v/>
      </c>
      <c r="X68" s="4">
        <f>IF(W68&gt;0,R68/W68-1,-1)</f>
        <v/>
      </c>
      <c r="Y68" s="16">
        <f>IF(R68&gt;0,S68*資金模擬!$B$7/R68,0)</f>
        <v/>
      </c>
      <c r="Z68" s="2">
        <f>IF(OR(Z67=1,R68&lt;=資金模擬!$B$10),1,0)</f>
        <v/>
      </c>
    </row>
    <row r="69">
      <c r="A69" s="2" t="n">
        <v>67</v>
      </c>
      <c r="B69" s="7" t="n">
        <v>46270.75694444445</v>
      </c>
      <c r="C69" s="2" t="inlineStr">
        <is>
          <t>進場</t>
        </is>
      </c>
      <c r="D69" s="2" t="n">
        <v>34</v>
      </c>
      <c r="E69" s="2" t="inlineStr">
        <is>
          <t>COLLECT_USDT_PERP</t>
        </is>
      </c>
      <c r="F69" s="2" t="inlineStr">
        <is>
          <t>做空</t>
        </is>
      </c>
      <c r="G69" s="17" t="n">
        <v>0.09433</v>
      </c>
      <c r="H69" s="17" t="n">
        <v>0.09055679999999999</v>
      </c>
      <c r="I69" s="17" t="n">
        <v>0.0990465</v>
      </c>
      <c r="J69" s="17" t="n"/>
      <c r="K69" s="2" t="n"/>
      <c r="L69" s="5" t="n"/>
      <c r="M69" s="16">
        <f>資金模擬!$B$5*V68</f>
        <v/>
      </c>
      <c r="N69" s="2">
        <f>IF(Z68=1,"已停止",IF(T68&gt;=M69,"已下單","資金不足略過"))</f>
        <v/>
      </c>
      <c r="O69" s="16">
        <f>IF(N69="已下單",M69*資金模擬!$B$7,0)</f>
        <v/>
      </c>
      <c r="P69" s="4" t="n"/>
      <c r="Q69" s="10" t="n">
        <v>0</v>
      </c>
      <c r="R69" s="10">
        <f>R68+Q69</f>
        <v/>
      </c>
      <c r="S69" s="16">
        <f>S68+IF(N69="已下單",M69,0)</f>
        <v/>
      </c>
      <c r="T69" s="16">
        <f>R69-S69</f>
        <v/>
      </c>
      <c r="U69" s="2">
        <f>U68+IF(N69="已下單",1,0)</f>
        <v/>
      </c>
      <c r="V69" s="16">
        <f>IF(資金模擬!$B$9=2,MAX(R69,0),MAX(V68,FLOOR(MAX(R69,0),資金模擬!$B$6)))</f>
        <v/>
      </c>
      <c r="W69" s="10">
        <f>MAX(W68,R69)</f>
        <v/>
      </c>
      <c r="X69" s="4">
        <f>IF(W69&gt;0,R69/W69-1,-1)</f>
        <v/>
      </c>
      <c r="Y69" s="16">
        <f>IF(R69&gt;0,S69*資金模擬!$B$7/R69,0)</f>
        <v/>
      </c>
      <c r="Z69" s="2">
        <f>IF(OR(Z68=1,R69&lt;=資金模擬!$B$10),1,0)</f>
        <v/>
      </c>
    </row>
    <row r="70">
      <c r="A70" s="2" t="n">
        <v>68</v>
      </c>
      <c r="B70" s="7" t="n">
        <v>46270.76041666666</v>
      </c>
      <c r="C70" s="2" t="inlineStr">
        <is>
          <t>出場</t>
        </is>
      </c>
      <c r="D70" s="2" t="n">
        <v>34</v>
      </c>
      <c r="E70" s="2" t="inlineStr">
        <is>
          <t>COLLECT_USDT_PERP</t>
        </is>
      </c>
      <c r="F70" s="2" t="inlineStr">
        <is>
          <t>做空</t>
        </is>
      </c>
      <c r="G70" s="17" t="n">
        <v>0.09433</v>
      </c>
      <c r="H70" s="17" t="n">
        <v>0.09055679999999999</v>
      </c>
      <c r="I70" s="17" t="n">
        <v>0.0990465</v>
      </c>
      <c r="J70" s="17" t="n">
        <v>0.09055679999999999</v>
      </c>
      <c r="K70" s="2" t="inlineStr">
        <is>
          <t>止盈</t>
        </is>
      </c>
      <c r="L70" s="5">
        <f>交易明細!K35</f>
        <v/>
      </c>
      <c r="M70" s="16">
        <f>M69</f>
        <v/>
      </c>
      <c r="N70" s="2">
        <f>N69</f>
        <v/>
      </c>
      <c r="O70" s="16">
        <f>O69</f>
        <v/>
      </c>
      <c r="P70" s="4">
        <f>交易明細!L35</f>
        <v/>
      </c>
      <c r="Q70" s="10">
        <f>IF(N70="已下單",O70*P70,0)</f>
        <v/>
      </c>
      <c r="R70" s="10">
        <f>R69+Q70</f>
        <v/>
      </c>
      <c r="S70" s="16">
        <f>S69-IF(N70="已下單",M70,0)</f>
        <v/>
      </c>
      <c r="T70" s="16">
        <f>R70-S70</f>
        <v/>
      </c>
      <c r="U70" s="2">
        <f>U69-IF(N70="已下單",1,0)</f>
        <v/>
      </c>
      <c r="V70" s="16">
        <f>IF(資金模擬!$B$9=2,MAX(R70,0),MAX(V69,FLOOR(MAX(R70,0),資金模擬!$B$6)))</f>
        <v/>
      </c>
      <c r="W70" s="10">
        <f>MAX(W69,R70)</f>
        <v/>
      </c>
      <c r="X70" s="4">
        <f>IF(W70&gt;0,R70/W70-1,-1)</f>
        <v/>
      </c>
      <c r="Y70" s="16">
        <f>IF(R70&gt;0,S70*資金模擬!$B$7/R70,0)</f>
        <v/>
      </c>
      <c r="Z70" s="2">
        <f>IF(OR(Z69=1,R70&lt;=資金模擬!$B$10),1,0)</f>
        <v/>
      </c>
    </row>
    <row r="71">
      <c r="A71" s="2" t="n">
        <v>69</v>
      </c>
      <c r="B71" s="7" t="n">
        <v>46271.05902777778</v>
      </c>
      <c r="C71" s="2" t="inlineStr">
        <is>
          <t>進場</t>
        </is>
      </c>
      <c r="D71" s="2" t="n">
        <v>35</v>
      </c>
      <c r="E71" s="2" t="inlineStr">
        <is>
          <t>MOODENG_USDT_PERP</t>
        </is>
      </c>
      <c r="F71" s="2" t="inlineStr">
        <is>
          <t>做空</t>
        </is>
      </c>
      <c r="G71" s="17" t="n">
        <v>0.04783</v>
      </c>
      <c r="H71" s="17" t="n">
        <v>0.04591679999999999</v>
      </c>
      <c r="I71" s="17" t="n">
        <v>0.0502215</v>
      </c>
      <c r="J71" s="17" t="n"/>
      <c r="K71" s="2" t="n"/>
      <c r="L71" s="5" t="n"/>
      <c r="M71" s="16">
        <f>資金模擬!$B$5*V70</f>
        <v/>
      </c>
      <c r="N71" s="2">
        <f>IF(Z70=1,"已停止",IF(T70&gt;=M71,"已下單","資金不足略過"))</f>
        <v/>
      </c>
      <c r="O71" s="16">
        <f>IF(N71="已下單",M71*資金模擬!$B$7,0)</f>
        <v/>
      </c>
      <c r="P71" s="4" t="n"/>
      <c r="Q71" s="10" t="n">
        <v>0</v>
      </c>
      <c r="R71" s="10">
        <f>R70+Q71</f>
        <v/>
      </c>
      <c r="S71" s="16">
        <f>S70+IF(N71="已下單",M71,0)</f>
        <v/>
      </c>
      <c r="T71" s="16">
        <f>R71-S71</f>
        <v/>
      </c>
      <c r="U71" s="2">
        <f>U70+IF(N71="已下單",1,0)</f>
        <v/>
      </c>
      <c r="V71" s="16">
        <f>IF(資金模擬!$B$9=2,MAX(R71,0),MAX(V70,FLOOR(MAX(R71,0),資金模擬!$B$6)))</f>
        <v/>
      </c>
      <c r="W71" s="10">
        <f>MAX(W70,R71)</f>
        <v/>
      </c>
      <c r="X71" s="4">
        <f>IF(W71&gt;0,R71/W71-1,-1)</f>
        <v/>
      </c>
      <c r="Y71" s="16">
        <f>IF(R71&gt;0,S71*資金模擬!$B$7/R71,0)</f>
        <v/>
      </c>
      <c r="Z71" s="2">
        <f>IF(OR(Z70=1,R71&lt;=資金模擬!$B$10),1,0)</f>
        <v/>
      </c>
    </row>
    <row r="72">
      <c r="A72" s="2" t="n">
        <v>70</v>
      </c>
      <c r="B72" s="7" t="n">
        <v>46271.06944444445</v>
      </c>
      <c r="C72" s="2" t="inlineStr">
        <is>
          <t>進場</t>
        </is>
      </c>
      <c r="D72" s="2" t="n">
        <v>36</v>
      </c>
      <c r="E72" s="2" t="inlineStr">
        <is>
          <t>SUSHI_USDT_PERP</t>
        </is>
      </c>
      <c r="F72" s="2" t="inlineStr">
        <is>
          <t>做空</t>
        </is>
      </c>
      <c r="G72" s="17" t="n">
        <v>0.2401</v>
      </c>
      <c r="H72" s="17" t="n">
        <v>0.230496</v>
      </c>
      <c r="I72" s="17" t="n">
        <v>0.252105</v>
      </c>
      <c r="J72" s="17" t="n"/>
      <c r="K72" s="2" t="n"/>
      <c r="L72" s="5" t="n"/>
      <c r="M72" s="16">
        <f>資金模擬!$B$5*V71</f>
        <v/>
      </c>
      <c r="N72" s="2">
        <f>IF(Z71=1,"已停止",IF(T71&gt;=M72,"已下單","資金不足略過"))</f>
        <v/>
      </c>
      <c r="O72" s="16">
        <f>IF(N72="已下單",M72*資金模擬!$B$7,0)</f>
        <v/>
      </c>
      <c r="P72" s="4" t="n"/>
      <c r="Q72" s="10" t="n">
        <v>0</v>
      </c>
      <c r="R72" s="10">
        <f>R71+Q72</f>
        <v/>
      </c>
      <c r="S72" s="16">
        <f>S71+IF(N72="已下單",M72,0)</f>
        <v/>
      </c>
      <c r="T72" s="16">
        <f>R72-S72</f>
        <v/>
      </c>
      <c r="U72" s="2">
        <f>U71+IF(N72="已下單",1,0)</f>
        <v/>
      </c>
      <c r="V72" s="16">
        <f>IF(資金模擬!$B$9=2,MAX(R72,0),MAX(V71,FLOOR(MAX(R72,0),資金模擬!$B$6)))</f>
        <v/>
      </c>
      <c r="W72" s="10">
        <f>MAX(W71,R72)</f>
        <v/>
      </c>
      <c r="X72" s="4">
        <f>IF(W72&gt;0,R72/W72-1,-1)</f>
        <v/>
      </c>
      <c r="Y72" s="16">
        <f>IF(R72&gt;0,S72*資金模擬!$B$7/R72,0)</f>
        <v/>
      </c>
      <c r="Z72" s="2">
        <f>IF(OR(Z71=1,R72&lt;=資金模擬!$B$10),1,0)</f>
        <v/>
      </c>
    </row>
    <row r="73">
      <c r="A73" s="2" t="n">
        <v>71</v>
      </c>
      <c r="B73" s="7" t="n">
        <v>46271.07291666666</v>
      </c>
      <c r="C73" s="2" t="inlineStr">
        <is>
          <t>出場</t>
        </is>
      </c>
      <c r="D73" s="2" t="n">
        <v>35</v>
      </c>
      <c r="E73" s="2" t="inlineStr">
        <is>
          <t>MOODENG_USDT_PERP</t>
        </is>
      </c>
      <c r="F73" s="2" t="inlineStr">
        <is>
          <t>做空</t>
        </is>
      </c>
      <c r="G73" s="17" t="n">
        <v>0.04783</v>
      </c>
      <c r="H73" s="17" t="n">
        <v>0.04591679999999999</v>
      </c>
      <c r="I73" s="17" t="n">
        <v>0.0502215</v>
      </c>
      <c r="J73" s="17" t="n">
        <v>0.04591679999999999</v>
      </c>
      <c r="K73" s="2" t="inlineStr">
        <is>
          <t>止盈</t>
        </is>
      </c>
      <c r="L73" s="5">
        <f>交易明細!K36</f>
        <v/>
      </c>
      <c r="M73" s="16">
        <f>M71</f>
        <v/>
      </c>
      <c r="N73" s="2">
        <f>N71</f>
        <v/>
      </c>
      <c r="O73" s="16">
        <f>O71</f>
        <v/>
      </c>
      <c r="P73" s="4">
        <f>交易明細!L36</f>
        <v/>
      </c>
      <c r="Q73" s="10">
        <f>IF(N73="已下單",O73*P73,0)</f>
        <v/>
      </c>
      <c r="R73" s="10">
        <f>R72+Q73</f>
        <v/>
      </c>
      <c r="S73" s="16">
        <f>S72-IF(N73="已下單",M73,0)</f>
        <v/>
      </c>
      <c r="T73" s="16">
        <f>R73-S73</f>
        <v/>
      </c>
      <c r="U73" s="2">
        <f>U72-IF(N73="已下單",1,0)</f>
        <v/>
      </c>
      <c r="V73" s="16">
        <f>IF(資金模擬!$B$9=2,MAX(R73,0),MAX(V72,FLOOR(MAX(R73,0),資金模擬!$B$6)))</f>
        <v/>
      </c>
      <c r="W73" s="10">
        <f>MAX(W72,R73)</f>
        <v/>
      </c>
      <c r="X73" s="4">
        <f>IF(W73&gt;0,R73/W73-1,-1)</f>
        <v/>
      </c>
      <c r="Y73" s="16">
        <f>IF(R73&gt;0,S73*資金模擬!$B$7/R73,0)</f>
        <v/>
      </c>
      <c r="Z73" s="2">
        <f>IF(OR(Z72=1,R73&lt;=資金模擬!$B$10),1,0)</f>
        <v/>
      </c>
    </row>
    <row r="74">
      <c r="A74" s="2" t="n">
        <v>72</v>
      </c>
      <c r="B74" s="7" t="n">
        <v>46271.08333333334</v>
      </c>
      <c r="C74" s="2" t="inlineStr">
        <is>
          <t>出場</t>
        </is>
      </c>
      <c r="D74" s="2" t="n">
        <v>36</v>
      </c>
      <c r="E74" s="2" t="inlineStr">
        <is>
          <t>SUSHI_USDT_PERP</t>
        </is>
      </c>
      <c r="F74" s="2" t="inlineStr">
        <is>
          <t>做空</t>
        </is>
      </c>
      <c r="G74" s="17" t="n">
        <v>0.2401</v>
      </c>
      <c r="H74" s="17" t="n">
        <v>0.230496</v>
      </c>
      <c r="I74" s="17" t="n">
        <v>0.252105</v>
      </c>
      <c r="J74" s="17" t="n">
        <v>0.252105</v>
      </c>
      <c r="K74" s="2" t="inlineStr">
        <is>
          <t>止損</t>
        </is>
      </c>
      <c r="L74" s="5">
        <f>交易明細!K37</f>
        <v/>
      </c>
      <c r="M74" s="16">
        <f>M72</f>
        <v/>
      </c>
      <c r="N74" s="2">
        <f>N72</f>
        <v/>
      </c>
      <c r="O74" s="16">
        <f>O72</f>
        <v/>
      </c>
      <c r="P74" s="4">
        <f>交易明細!L37</f>
        <v/>
      </c>
      <c r="Q74" s="10">
        <f>IF(N74="已下單",O74*P74,0)</f>
        <v/>
      </c>
      <c r="R74" s="10">
        <f>R73+Q74</f>
        <v/>
      </c>
      <c r="S74" s="16">
        <f>S73-IF(N74="已下單",M74,0)</f>
        <v/>
      </c>
      <c r="T74" s="16">
        <f>R74-S74</f>
        <v/>
      </c>
      <c r="U74" s="2">
        <f>U73-IF(N74="已下單",1,0)</f>
        <v/>
      </c>
      <c r="V74" s="16">
        <f>IF(資金模擬!$B$9=2,MAX(R74,0),MAX(V73,FLOOR(MAX(R74,0),資金模擬!$B$6)))</f>
        <v/>
      </c>
      <c r="W74" s="10">
        <f>MAX(W73,R74)</f>
        <v/>
      </c>
      <c r="X74" s="4">
        <f>IF(W74&gt;0,R74/W74-1,-1)</f>
        <v/>
      </c>
      <c r="Y74" s="16">
        <f>IF(R74&gt;0,S74*資金模擬!$B$7/R74,0)</f>
        <v/>
      </c>
      <c r="Z74" s="2">
        <f>IF(OR(Z73=1,R74&lt;=資金模擬!$B$10),1,0)</f>
        <v/>
      </c>
    </row>
    <row r="75">
      <c r="A75" s="2" t="n">
        <v>73</v>
      </c>
      <c r="B75" s="7" t="n">
        <v>46271.14236111111</v>
      </c>
      <c r="C75" s="2" t="inlineStr">
        <is>
          <t>進場</t>
        </is>
      </c>
      <c r="D75" s="2" t="n">
        <v>37</v>
      </c>
      <c r="E75" s="2" t="inlineStr">
        <is>
          <t>SUSHI_USDT_PERP</t>
        </is>
      </c>
      <c r="F75" s="2" t="inlineStr">
        <is>
          <t>做空</t>
        </is>
      </c>
      <c r="G75" s="17" t="n">
        <v>0.2775</v>
      </c>
      <c r="H75" s="17" t="n">
        <v>0.2664</v>
      </c>
      <c r="I75" s="17" t="n">
        <v>0.2913750000000001</v>
      </c>
      <c r="J75" s="17" t="n"/>
      <c r="K75" s="2" t="n"/>
      <c r="L75" s="5" t="n"/>
      <c r="M75" s="16">
        <f>資金模擬!$B$5*V74</f>
        <v/>
      </c>
      <c r="N75" s="2">
        <f>IF(Z74=1,"已停止",IF(T74&gt;=M75,"已下單","資金不足略過"))</f>
        <v/>
      </c>
      <c r="O75" s="16">
        <f>IF(N75="已下單",M75*資金模擬!$B$7,0)</f>
        <v/>
      </c>
      <c r="P75" s="4" t="n"/>
      <c r="Q75" s="10" t="n">
        <v>0</v>
      </c>
      <c r="R75" s="10">
        <f>R74+Q75</f>
        <v/>
      </c>
      <c r="S75" s="16">
        <f>S74+IF(N75="已下單",M75,0)</f>
        <v/>
      </c>
      <c r="T75" s="16">
        <f>R75-S75</f>
        <v/>
      </c>
      <c r="U75" s="2">
        <f>U74+IF(N75="已下單",1,0)</f>
        <v/>
      </c>
      <c r="V75" s="16">
        <f>IF(資金模擬!$B$9=2,MAX(R75,0),MAX(V74,FLOOR(MAX(R75,0),資金模擬!$B$6)))</f>
        <v/>
      </c>
      <c r="W75" s="10">
        <f>MAX(W74,R75)</f>
        <v/>
      </c>
      <c r="X75" s="4">
        <f>IF(W75&gt;0,R75/W75-1,-1)</f>
        <v/>
      </c>
      <c r="Y75" s="16">
        <f>IF(R75&gt;0,S75*資金模擬!$B$7/R75,0)</f>
        <v/>
      </c>
      <c r="Z75" s="2">
        <f>IF(OR(Z74=1,R75&lt;=資金模擬!$B$10),1,0)</f>
        <v/>
      </c>
    </row>
    <row r="76">
      <c r="A76" s="2" t="n">
        <v>74</v>
      </c>
      <c r="B76" s="7" t="n">
        <v>46271.15277777778</v>
      </c>
      <c r="C76" s="2" t="inlineStr">
        <is>
          <t>出場</t>
        </is>
      </c>
      <c r="D76" s="2" t="n">
        <v>37</v>
      </c>
      <c r="E76" s="2" t="inlineStr">
        <is>
          <t>SUSHI_USDT_PERP</t>
        </is>
      </c>
      <c r="F76" s="2" t="inlineStr">
        <is>
          <t>做空</t>
        </is>
      </c>
      <c r="G76" s="17" t="n">
        <v>0.2775</v>
      </c>
      <c r="H76" s="17" t="n">
        <v>0.2664</v>
      </c>
      <c r="I76" s="17" t="n">
        <v>0.2913750000000001</v>
      </c>
      <c r="J76" s="17" t="n">
        <v>0.2664</v>
      </c>
      <c r="K76" s="2" t="inlineStr">
        <is>
          <t>止盈</t>
        </is>
      </c>
      <c r="L76" s="5">
        <f>交易明細!K38</f>
        <v/>
      </c>
      <c r="M76" s="16">
        <f>M75</f>
        <v/>
      </c>
      <c r="N76" s="2">
        <f>N75</f>
        <v/>
      </c>
      <c r="O76" s="16">
        <f>O75</f>
        <v/>
      </c>
      <c r="P76" s="4">
        <f>交易明細!L38</f>
        <v/>
      </c>
      <c r="Q76" s="10">
        <f>IF(N76="已下單",O76*P76,0)</f>
        <v/>
      </c>
      <c r="R76" s="10">
        <f>R75+Q76</f>
        <v/>
      </c>
      <c r="S76" s="16">
        <f>S75-IF(N76="已下單",M76,0)</f>
        <v/>
      </c>
      <c r="T76" s="16">
        <f>R76-S76</f>
        <v/>
      </c>
      <c r="U76" s="2">
        <f>U75-IF(N76="已下單",1,0)</f>
        <v/>
      </c>
      <c r="V76" s="16">
        <f>IF(資金模擬!$B$9=2,MAX(R76,0),MAX(V75,FLOOR(MAX(R76,0),資金模擬!$B$6)))</f>
        <v/>
      </c>
      <c r="W76" s="10">
        <f>MAX(W75,R76)</f>
        <v/>
      </c>
      <c r="X76" s="4">
        <f>IF(W76&gt;0,R76/W76-1,-1)</f>
        <v/>
      </c>
      <c r="Y76" s="16">
        <f>IF(R76&gt;0,S76*資金模擬!$B$7/R76,0)</f>
        <v/>
      </c>
      <c r="Z76" s="2">
        <f>IF(OR(Z75=1,R76&lt;=資金模擬!$B$10),1,0)</f>
        <v/>
      </c>
    </row>
    <row r="77">
      <c r="A77" s="2" t="n">
        <v>75</v>
      </c>
      <c r="B77" s="7" t="n">
        <v>46271.47916666666</v>
      </c>
      <c r="C77" s="2" t="inlineStr">
        <is>
          <t>進場</t>
        </is>
      </c>
      <c r="D77" s="2" t="n">
        <v>38</v>
      </c>
      <c r="E77" s="2" t="inlineStr">
        <is>
          <t>RAY_USDT_PERP</t>
        </is>
      </c>
      <c r="F77" s="2" t="inlineStr">
        <is>
          <t>做空</t>
        </is>
      </c>
      <c r="G77" s="17" t="n">
        <v>1.109</v>
      </c>
      <c r="H77" s="17" t="n">
        <v>1.06464</v>
      </c>
      <c r="I77" s="17" t="n">
        <v>1.16445</v>
      </c>
      <c r="J77" s="17" t="n"/>
      <c r="K77" s="2" t="n"/>
      <c r="L77" s="5" t="n"/>
      <c r="M77" s="16">
        <f>資金模擬!$B$5*V76</f>
        <v/>
      </c>
      <c r="N77" s="2">
        <f>IF(Z76=1,"已停止",IF(T76&gt;=M77,"已下單","資金不足略過"))</f>
        <v/>
      </c>
      <c r="O77" s="16">
        <f>IF(N77="已下單",M77*資金模擬!$B$7,0)</f>
        <v/>
      </c>
      <c r="P77" s="4" t="n"/>
      <c r="Q77" s="10" t="n">
        <v>0</v>
      </c>
      <c r="R77" s="10">
        <f>R76+Q77</f>
        <v/>
      </c>
      <c r="S77" s="16">
        <f>S76+IF(N77="已下單",M77,0)</f>
        <v/>
      </c>
      <c r="T77" s="16">
        <f>R77-S77</f>
        <v/>
      </c>
      <c r="U77" s="2">
        <f>U76+IF(N77="已下單",1,0)</f>
        <v/>
      </c>
      <c r="V77" s="16">
        <f>IF(資金模擬!$B$9=2,MAX(R77,0),MAX(V76,FLOOR(MAX(R77,0),資金模擬!$B$6)))</f>
        <v/>
      </c>
      <c r="W77" s="10">
        <f>MAX(W76,R77)</f>
        <v/>
      </c>
      <c r="X77" s="4">
        <f>IF(W77&gt;0,R77/W77-1,-1)</f>
        <v/>
      </c>
      <c r="Y77" s="16">
        <f>IF(R77&gt;0,S77*資金模擬!$B$7/R77,0)</f>
        <v/>
      </c>
      <c r="Z77" s="2">
        <f>IF(OR(Z76=1,R77&lt;=資金模擬!$B$10),1,0)</f>
        <v/>
      </c>
    </row>
    <row r="78">
      <c r="A78" s="2" t="n">
        <v>76</v>
      </c>
      <c r="B78" s="7" t="n">
        <v>46271.49305555555</v>
      </c>
      <c r="C78" s="2" t="inlineStr">
        <is>
          <t>出場</t>
        </is>
      </c>
      <c r="D78" s="2" t="n">
        <v>38</v>
      </c>
      <c r="E78" s="2" t="inlineStr">
        <is>
          <t>RAY_USDT_PERP</t>
        </is>
      </c>
      <c r="F78" s="2" t="inlineStr">
        <is>
          <t>做空</t>
        </is>
      </c>
      <c r="G78" s="17" t="n">
        <v>1.109</v>
      </c>
      <c r="H78" s="17" t="n">
        <v>1.06464</v>
      </c>
      <c r="I78" s="17" t="n">
        <v>1.16445</v>
      </c>
      <c r="J78" s="17" t="n">
        <v>1.16445</v>
      </c>
      <c r="K78" s="2" t="inlineStr">
        <is>
          <t>止損</t>
        </is>
      </c>
      <c r="L78" s="5">
        <f>交易明細!K39</f>
        <v/>
      </c>
      <c r="M78" s="16">
        <f>M77</f>
        <v/>
      </c>
      <c r="N78" s="2">
        <f>N77</f>
        <v/>
      </c>
      <c r="O78" s="16">
        <f>O77</f>
        <v/>
      </c>
      <c r="P78" s="4">
        <f>交易明細!L39</f>
        <v/>
      </c>
      <c r="Q78" s="10">
        <f>IF(N78="已下單",O78*P78,0)</f>
        <v/>
      </c>
      <c r="R78" s="10">
        <f>R77+Q78</f>
        <v/>
      </c>
      <c r="S78" s="16">
        <f>S77-IF(N78="已下單",M78,0)</f>
        <v/>
      </c>
      <c r="T78" s="16">
        <f>R78-S78</f>
        <v/>
      </c>
      <c r="U78" s="2">
        <f>U77-IF(N78="已下單",1,0)</f>
        <v/>
      </c>
      <c r="V78" s="16">
        <f>IF(資金模擬!$B$9=2,MAX(R78,0),MAX(V77,FLOOR(MAX(R78,0),資金模擬!$B$6)))</f>
        <v/>
      </c>
      <c r="W78" s="10">
        <f>MAX(W77,R78)</f>
        <v/>
      </c>
      <c r="X78" s="4">
        <f>IF(W78&gt;0,R78/W78-1,-1)</f>
        <v/>
      </c>
      <c r="Y78" s="16">
        <f>IF(R78&gt;0,S78*資金模擬!$B$7/R78,0)</f>
        <v/>
      </c>
      <c r="Z78" s="2">
        <f>IF(OR(Z77=1,R78&lt;=資金模擬!$B$10),1,0)</f>
        <v/>
      </c>
    </row>
    <row r="79">
      <c r="A79" s="2" t="n">
        <v>77</v>
      </c>
      <c r="B79" s="7" t="n">
        <v>46271.53819444445</v>
      </c>
      <c r="C79" s="2" t="inlineStr">
        <is>
          <t>進場</t>
        </is>
      </c>
      <c r="D79" s="2" t="n">
        <v>39</v>
      </c>
      <c r="E79" s="2" t="inlineStr">
        <is>
          <t>RAY_USDT_PERP</t>
        </is>
      </c>
      <c r="F79" s="2" t="inlineStr">
        <is>
          <t>做空</t>
        </is>
      </c>
      <c r="G79" s="17" t="n">
        <v>1.154</v>
      </c>
      <c r="H79" s="17" t="n">
        <v>1.10784</v>
      </c>
      <c r="I79" s="17" t="n">
        <v>1.2117</v>
      </c>
      <c r="J79" s="17" t="n"/>
      <c r="K79" s="2" t="n"/>
      <c r="L79" s="5" t="n"/>
      <c r="M79" s="16">
        <f>資金模擬!$B$5*V78</f>
        <v/>
      </c>
      <c r="N79" s="2">
        <f>IF(Z78=1,"已停止",IF(T78&gt;=M79,"已下單","資金不足略過"))</f>
        <v/>
      </c>
      <c r="O79" s="16">
        <f>IF(N79="已下單",M79*資金模擬!$B$7,0)</f>
        <v/>
      </c>
      <c r="P79" s="4" t="n"/>
      <c r="Q79" s="10" t="n">
        <v>0</v>
      </c>
      <c r="R79" s="10">
        <f>R78+Q79</f>
        <v/>
      </c>
      <c r="S79" s="16">
        <f>S78+IF(N79="已下單",M79,0)</f>
        <v/>
      </c>
      <c r="T79" s="16">
        <f>R79-S79</f>
        <v/>
      </c>
      <c r="U79" s="2">
        <f>U78+IF(N79="已下單",1,0)</f>
        <v/>
      </c>
      <c r="V79" s="16">
        <f>IF(資金模擬!$B$9=2,MAX(R79,0),MAX(V78,FLOOR(MAX(R79,0),資金模擬!$B$6)))</f>
        <v/>
      </c>
      <c r="W79" s="10">
        <f>MAX(W78,R79)</f>
        <v/>
      </c>
      <c r="X79" s="4">
        <f>IF(W79&gt;0,R79/W79-1,-1)</f>
        <v/>
      </c>
      <c r="Y79" s="16">
        <f>IF(R79&gt;0,S79*資金模擬!$B$7/R79,0)</f>
        <v/>
      </c>
      <c r="Z79" s="2">
        <f>IF(OR(Z78=1,R79&lt;=資金模擬!$B$10),1,0)</f>
        <v/>
      </c>
    </row>
    <row r="80">
      <c r="A80" s="2" t="n">
        <v>78</v>
      </c>
      <c r="B80" s="7" t="n">
        <v>46271.60763888889</v>
      </c>
      <c r="C80" s="2" t="inlineStr">
        <is>
          <t>出場</t>
        </is>
      </c>
      <c r="D80" s="2" t="n">
        <v>39</v>
      </c>
      <c r="E80" s="2" t="inlineStr">
        <is>
          <t>RAY_USDT_PERP</t>
        </is>
      </c>
      <c r="F80" s="2" t="inlineStr">
        <is>
          <t>做空</t>
        </is>
      </c>
      <c r="G80" s="17" t="n">
        <v>1.154</v>
      </c>
      <c r="H80" s="17" t="n">
        <v>1.10784</v>
      </c>
      <c r="I80" s="17" t="n">
        <v>1.2117</v>
      </c>
      <c r="J80" s="17" t="n">
        <v>1.10784</v>
      </c>
      <c r="K80" s="2" t="inlineStr">
        <is>
          <t>止盈</t>
        </is>
      </c>
      <c r="L80" s="5">
        <f>交易明細!K40</f>
        <v/>
      </c>
      <c r="M80" s="16">
        <f>M79</f>
        <v/>
      </c>
      <c r="N80" s="2">
        <f>N79</f>
        <v/>
      </c>
      <c r="O80" s="16">
        <f>O79</f>
        <v/>
      </c>
      <c r="P80" s="4">
        <f>交易明細!L40</f>
        <v/>
      </c>
      <c r="Q80" s="10">
        <f>IF(N80="已下單",O80*P80,0)</f>
        <v/>
      </c>
      <c r="R80" s="10">
        <f>R79+Q80</f>
        <v/>
      </c>
      <c r="S80" s="16">
        <f>S79-IF(N80="已下單",M80,0)</f>
        <v/>
      </c>
      <c r="T80" s="16">
        <f>R80-S80</f>
        <v/>
      </c>
      <c r="U80" s="2">
        <f>U79-IF(N80="已下單",1,0)</f>
        <v/>
      </c>
      <c r="V80" s="16">
        <f>IF(資金模擬!$B$9=2,MAX(R80,0),MAX(V79,FLOOR(MAX(R80,0),資金模擬!$B$6)))</f>
        <v/>
      </c>
      <c r="W80" s="10">
        <f>MAX(W79,R80)</f>
        <v/>
      </c>
      <c r="X80" s="4">
        <f>IF(W80&gt;0,R80/W80-1,-1)</f>
        <v/>
      </c>
      <c r="Y80" s="16">
        <f>IF(R80&gt;0,S80*資金模擬!$B$7/R80,0)</f>
        <v/>
      </c>
      <c r="Z80" s="2">
        <f>IF(OR(Z79=1,R80&lt;=資金模擬!$B$10),1,0)</f>
        <v/>
      </c>
    </row>
    <row r="81">
      <c r="A81" s="2" t="n">
        <v>79</v>
      </c>
      <c r="B81" s="7" t="n">
        <v>46271.69444444445</v>
      </c>
      <c r="C81" s="2" t="inlineStr">
        <is>
          <t>進場</t>
        </is>
      </c>
      <c r="D81" s="2" t="n">
        <v>40</v>
      </c>
      <c r="E81" s="2" t="inlineStr">
        <is>
          <t>SOLV_USDT_PERP</t>
        </is>
      </c>
      <c r="F81" s="2" t="inlineStr">
        <is>
          <t>做空</t>
        </is>
      </c>
      <c r="G81" s="17" t="n">
        <v>0.00374</v>
      </c>
      <c r="H81" s="17" t="n">
        <v>0.0035904</v>
      </c>
      <c r="I81" s="17" t="n">
        <v>0.003927</v>
      </c>
      <c r="J81" s="17" t="n"/>
      <c r="K81" s="2" t="n"/>
      <c r="L81" s="5" t="n"/>
      <c r="M81" s="16">
        <f>資金模擬!$B$5*V80</f>
        <v/>
      </c>
      <c r="N81" s="2">
        <f>IF(Z80=1,"已停止",IF(T80&gt;=M81,"已下單","資金不足略過"))</f>
        <v/>
      </c>
      <c r="O81" s="16">
        <f>IF(N81="已下單",M81*資金模擬!$B$7,0)</f>
        <v/>
      </c>
      <c r="P81" s="4" t="n"/>
      <c r="Q81" s="10" t="n">
        <v>0</v>
      </c>
      <c r="R81" s="10">
        <f>R80+Q81</f>
        <v/>
      </c>
      <c r="S81" s="16">
        <f>S80+IF(N81="已下單",M81,0)</f>
        <v/>
      </c>
      <c r="T81" s="16">
        <f>R81-S81</f>
        <v/>
      </c>
      <c r="U81" s="2">
        <f>U80+IF(N81="已下單",1,0)</f>
        <v/>
      </c>
      <c r="V81" s="16">
        <f>IF(資金模擬!$B$9=2,MAX(R81,0),MAX(V80,FLOOR(MAX(R81,0),資金模擬!$B$6)))</f>
        <v/>
      </c>
      <c r="W81" s="10">
        <f>MAX(W80,R81)</f>
        <v/>
      </c>
      <c r="X81" s="4">
        <f>IF(W81&gt;0,R81/W81-1,-1)</f>
        <v/>
      </c>
      <c r="Y81" s="16">
        <f>IF(R81&gt;0,S81*資金模擬!$B$7/R81,0)</f>
        <v/>
      </c>
      <c r="Z81" s="2">
        <f>IF(OR(Z80=1,R81&lt;=資金模擬!$B$10),1,0)</f>
        <v/>
      </c>
    </row>
    <row r="82">
      <c r="A82" s="2" t="n">
        <v>80</v>
      </c>
      <c r="B82" s="7" t="n">
        <v>46271.71527777778</v>
      </c>
      <c r="C82" s="2" t="inlineStr">
        <is>
          <t>出場</t>
        </is>
      </c>
      <c r="D82" s="2" t="n">
        <v>40</v>
      </c>
      <c r="E82" s="2" t="inlineStr">
        <is>
          <t>SOLV_USDT_PERP</t>
        </is>
      </c>
      <c r="F82" s="2" t="inlineStr">
        <is>
          <t>做空</t>
        </is>
      </c>
      <c r="G82" s="17" t="n">
        <v>0.00374</v>
      </c>
      <c r="H82" s="17" t="n">
        <v>0.0035904</v>
      </c>
      <c r="I82" s="17" t="n">
        <v>0.003927</v>
      </c>
      <c r="J82" s="17" t="n">
        <v>0.003927</v>
      </c>
      <c r="K82" s="2" t="inlineStr">
        <is>
          <t>止損</t>
        </is>
      </c>
      <c r="L82" s="5">
        <f>交易明細!K41</f>
        <v/>
      </c>
      <c r="M82" s="16">
        <f>M81</f>
        <v/>
      </c>
      <c r="N82" s="2">
        <f>N81</f>
        <v/>
      </c>
      <c r="O82" s="16">
        <f>O81</f>
        <v/>
      </c>
      <c r="P82" s="4">
        <f>交易明細!L41</f>
        <v/>
      </c>
      <c r="Q82" s="10">
        <f>IF(N82="已下單",O82*P82,0)</f>
        <v/>
      </c>
      <c r="R82" s="10">
        <f>R81+Q82</f>
        <v/>
      </c>
      <c r="S82" s="16">
        <f>S81-IF(N82="已下單",M82,0)</f>
        <v/>
      </c>
      <c r="T82" s="16">
        <f>R82-S82</f>
        <v/>
      </c>
      <c r="U82" s="2">
        <f>U81-IF(N82="已下單",1,0)</f>
        <v/>
      </c>
      <c r="V82" s="16">
        <f>IF(資金模擬!$B$9=2,MAX(R82,0),MAX(V81,FLOOR(MAX(R82,0),資金模擬!$B$6)))</f>
        <v/>
      </c>
      <c r="W82" s="10">
        <f>MAX(W81,R82)</f>
        <v/>
      </c>
      <c r="X82" s="4">
        <f>IF(W82&gt;0,R82/W82-1,-1)</f>
        <v/>
      </c>
      <c r="Y82" s="16">
        <f>IF(R82&gt;0,S82*資金模擬!$B$7/R82,0)</f>
        <v/>
      </c>
      <c r="Z82" s="2">
        <f>IF(OR(Z81=1,R82&lt;=資金模擬!$B$10),1,0)</f>
        <v/>
      </c>
    </row>
    <row r="83">
      <c r="A83" s="2" t="n">
        <v>81</v>
      </c>
      <c r="B83" s="7" t="n">
        <v>46271.77083333334</v>
      </c>
      <c r="C83" s="2" t="inlineStr">
        <is>
          <t>進場</t>
        </is>
      </c>
      <c r="D83" s="2" t="n">
        <v>41</v>
      </c>
      <c r="E83" s="2" t="inlineStr">
        <is>
          <t>COTI_USDT_PERP</t>
        </is>
      </c>
      <c r="F83" s="2" t="inlineStr">
        <is>
          <t>做空</t>
        </is>
      </c>
      <c r="G83" s="17" t="n">
        <v>0.01845</v>
      </c>
      <c r="H83" s="17" t="n">
        <v>0.017712</v>
      </c>
      <c r="I83" s="17" t="n">
        <v>0.0193725</v>
      </c>
      <c r="J83" s="17" t="n"/>
      <c r="K83" s="2" t="n"/>
      <c r="L83" s="5" t="n"/>
      <c r="M83" s="16">
        <f>資金模擬!$B$5*V82</f>
        <v/>
      </c>
      <c r="N83" s="2">
        <f>IF(Z82=1,"已停止",IF(T82&gt;=M83,"已下單","資金不足略過"))</f>
        <v/>
      </c>
      <c r="O83" s="16">
        <f>IF(N83="已下單",M83*資金模擬!$B$7,0)</f>
        <v/>
      </c>
      <c r="P83" s="4" t="n"/>
      <c r="Q83" s="10" t="n">
        <v>0</v>
      </c>
      <c r="R83" s="10">
        <f>R82+Q83</f>
        <v/>
      </c>
      <c r="S83" s="16">
        <f>S82+IF(N83="已下單",M83,0)</f>
        <v/>
      </c>
      <c r="T83" s="16">
        <f>R83-S83</f>
        <v/>
      </c>
      <c r="U83" s="2">
        <f>U82+IF(N83="已下單",1,0)</f>
        <v/>
      </c>
      <c r="V83" s="16">
        <f>IF(資金模擬!$B$9=2,MAX(R83,0),MAX(V82,FLOOR(MAX(R83,0),資金模擬!$B$6)))</f>
        <v/>
      </c>
      <c r="W83" s="10">
        <f>MAX(W82,R83)</f>
        <v/>
      </c>
      <c r="X83" s="4">
        <f>IF(W83&gt;0,R83/W83-1,-1)</f>
        <v/>
      </c>
      <c r="Y83" s="16">
        <f>IF(R83&gt;0,S83*資金模擬!$B$7/R83,0)</f>
        <v/>
      </c>
      <c r="Z83" s="2">
        <f>IF(OR(Z82=1,R83&lt;=資金模擬!$B$10),1,0)</f>
        <v/>
      </c>
    </row>
    <row r="84">
      <c r="A84" s="2" t="n">
        <v>82</v>
      </c>
      <c r="B84" s="7" t="n">
        <v>46271.77777777778</v>
      </c>
      <c r="C84" s="2" t="inlineStr">
        <is>
          <t>進場</t>
        </is>
      </c>
      <c r="D84" s="2" t="n">
        <v>42</v>
      </c>
      <c r="E84" s="2" t="inlineStr">
        <is>
          <t>NAORIS_USDT_PERP</t>
        </is>
      </c>
      <c r="F84" s="2" t="inlineStr">
        <is>
          <t>做空</t>
        </is>
      </c>
      <c r="G84" s="17" t="n">
        <v>0.03484</v>
      </c>
      <c r="H84" s="17" t="n">
        <v>0.0334464</v>
      </c>
      <c r="I84" s="17" t="n">
        <v>0.036582</v>
      </c>
      <c r="J84" s="17" t="n"/>
      <c r="K84" s="2" t="n"/>
      <c r="L84" s="5" t="n"/>
      <c r="M84" s="16">
        <f>資金模擬!$B$5*V83</f>
        <v/>
      </c>
      <c r="N84" s="2">
        <f>IF(Z83=1,"已停止",IF(T83&gt;=M84,"已下單","資金不足略過"))</f>
        <v/>
      </c>
      <c r="O84" s="16">
        <f>IF(N84="已下單",M84*資金模擬!$B$7,0)</f>
        <v/>
      </c>
      <c r="P84" s="4" t="n"/>
      <c r="Q84" s="10" t="n">
        <v>0</v>
      </c>
      <c r="R84" s="10">
        <f>R83+Q84</f>
        <v/>
      </c>
      <c r="S84" s="16">
        <f>S83+IF(N84="已下單",M84,0)</f>
        <v/>
      </c>
      <c r="T84" s="16">
        <f>R84-S84</f>
        <v/>
      </c>
      <c r="U84" s="2">
        <f>U83+IF(N84="已下單",1,0)</f>
        <v/>
      </c>
      <c r="V84" s="16">
        <f>IF(資金模擬!$B$9=2,MAX(R84,0),MAX(V83,FLOOR(MAX(R84,0),資金模擬!$B$6)))</f>
        <v/>
      </c>
      <c r="W84" s="10">
        <f>MAX(W83,R84)</f>
        <v/>
      </c>
      <c r="X84" s="4">
        <f>IF(W84&gt;0,R84/W84-1,-1)</f>
        <v/>
      </c>
      <c r="Y84" s="16">
        <f>IF(R84&gt;0,S84*資金模擬!$B$7/R84,0)</f>
        <v/>
      </c>
      <c r="Z84" s="2">
        <f>IF(OR(Z83=1,R84&lt;=資金模擬!$B$10),1,0)</f>
        <v/>
      </c>
    </row>
    <row r="85">
      <c r="A85" s="2" t="n">
        <v>83</v>
      </c>
      <c r="B85" s="7" t="n">
        <v>46271.8125</v>
      </c>
      <c r="C85" s="2" t="inlineStr">
        <is>
          <t>出場</t>
        </is>
      </c>
      <c r="D85" s="2" t="n">
        <v>41</v>
      </c>
      <c r="E85" s="2" t="inlineStr">
        <is>
          <t>COTI_USDT_PERP</t>
        </is>
      </c>
      <c r="F85" s="2" t="inlineStr">
        <is>
          <t>做空</t>
        </is>
      </c>
      <c r="G85" s="17" t="n">
        <v>0.01845</v>
      </c>
      <c r="H85" s="17" t="n">
        <v>0.017712</v>
      </c>
      <c r="I85" s="17" t="n">
        <v>0.0193725</v>
      </c>
      <c r="J85" s="17" t="n">
        <v>0.017712</v>
      </c>
      <c r="K85" s="2" t="inlineStr">
        <is>
          <t>止盈</t>
        </is>
      </c>
      <c r="L85" s="5">
        <f>交易明細!K42</f>
        <v/>
      </c>
      <c r="M85" s="16">
        <f>M83</f>
        <v/>
      </c>
      <c r="N85" s="2">
        <f>N83</f>
        <v/>
      </c>
      <c r="O85" s="16">
        <f>O83</f>
        <v/>
      </c>
      <c r="P85" s="4">
        <f>交易明細!L42</f>
        <v/>
      </c>
      <c r="Q85" s="10">
        <f>IF(N85="已下單",O85*P85,0)</f>
        <v/>
      </c>
      <c r="R85" s="10">
        <f>R84+Q85</f>
        <v/>
      </c>
      <c r="S85" s="16">
        <f>S84-IF(N85="已下單",M85,0)</f>
        <v/>
      </c>
      <c r="T85" s="16">
        <f>R85-S85</f>
        <v/>
      </c>
      <c r="U85" s="2">
        <f>U84-IF(N85="已下單",1,0)</f>
        <v/>
      </c>
      <c r="V85" s="16">
        <f>IF(資金模擬!$B$9=2,MAX(R85,0),MAX(V84,FLOOR(MAX(R85,0),資金模擬!$B$6)))</f>
        <v/>
      </c>
      <c r="W85" s="10">
        <f>MAX(W84,R85)</f>
        <v/>
      </c>
      <c r="X85" s="4">
        <f>IF(W85&gt;0,R85/W85-1,-1)</f>
        <v/>
      </c>
      <c r="Y85" s="16">
        <f>IF(R85&gt;0,S85*資金模擬!$B$7/R85,0)</f>
        <v/>
      </c>
      <c r="Z85" s="2">
        <f>IF(OR(Z84=1,R85&lt;=資金模擬!$B$10),1,0)</f>
        <v/>
      </c>
    </row>
    <row r="86">
      <c r="A86" s="2" t="n">
        <v>84</v>
      </c>
      <c r="B86" s="7" t="n">
        <v>46271.84027777778</v>
      </c>
      <c r="C86" s="2" t="inlineStr">
        <is>
          <t>出場</t>
        </is>
      </c>
      <c r="D86" s="2" t="n">
        <v>42</v>
      </c>
      <c r="E86" s="2" t="inlineStr">
        <is>
          <t>NAORIS_USDT_PERP</t>
        </is>
      </c>
      <c r="F86" s="2" t="inlineStr">
        <is>
          <t>做空</t>
        </is>
      </c>
      <c r="G86" s="17" t="n">
        <v>0.03484</v>
      </c>
      <c r="H86" s="17" t="n">
        <v>0.0334464</v>
      </c>
      <c r="I86" s="17" t="n">
        <v>0.036582</v>
      </c>
      <c r="J86" s="17" t="n">
        <v>0.036582</v>
      </c>
      <c r="K86" s="2" t="inlineStr">
        <is>
          <t>止損</t>
        </is>
      </c>
      <c r="L86" s="5">
        <f>交易明細!K43</f>
        <v/>
      </c>
      <c r="M86" s="16">
        <f>M84</f>
        <v/>
      </c>
      <c r="N86" s="2">
        <f>N84</f>
        <v/>
      </c>
      <c r="O86" s="16">
        <f>O84</f>
        <v/>
      </c>
      <c r="P86" s="4">
        <f>交易明細!L43</f>
        <v/>
      </c>
      <c r="Q86" s="10">
        <f>IF(N86="已下單",O86*P86,0)</f>
        <v/>
      </c>
      <c r="R86" s="10">
        <f>R85+Q86</f>
        <v/>
      </c>
      <c r="S86" s="16">
        <f>S85-IF(N86="已下單",M86,0)</f>
        <v/>
      </c>
      <c r="T86" s="16">
        <f>R86-S86</f>
        <v/>
      </c>
      <c r="U86" s="2">
        <f>U85-IF(N86="已下單",1,0)</f>
        <v/>
      </c>
      <c r="V86" s="16">
        <f>IF(資金模擬!$B$9=2,MAX(R86,0),MAX(V85,FLOOR(MAX(R86,0),資金模擬!$B$6)))</f>
        <v/>
      </c>
      <c r="W86" s="10">
        <f>MAX(W85,R86)</f>
        <v/>
      </c>
      <c r="X86" s="4">
        <f>IF(W86&gt;0,R86/W86-1,-1)</f>
        <v/>
      </c>
      <c r="Y86" s="16">
        <f>IF(R86&gt;0,S86*資金模擬!$B$7/R86,0)</f>
        <v/>
      </c>
      <c r="Z86" s="2">
        <f>IF(OR(Z85=1,R86&lt;=資金模擬!$B$10),1,0)</f>
        <v/>
      </c>
    </row>
    <row r="87">
      <c r="A87" s="2" t="n">
        <v>85</v>
      </c>
      <c r="B87" s="7" t="n">
        <v>46272</v>
      </c>
      <c r="C87" s="2" t="inlineStr">
        <is>
          <t>進場</t>
        </is>
      </c>
      <c r="D87" s="2" t="n">
        <v>43</v>
      </c>
      <c r="E87" s="2" t="inlineStr">
        <is>
          <t>LAYER_USDT_PERP</t>
        </is>
      </c>
      <c r="F87" s="2" t="inlineStr">
        <is>
          <t>做空</t>
        </is>
      </c>
      <c r="G87" s="17" t="n">
        <v>0.0881</v>
      </c>
      <c r="H87" s="17" t="n">
        <v>0.084576</v>
      </c>
      <c r="I87" s="17" t="n">
        <v>0.092505</v>
      </c>
      <c r="J87" s="17" t="n"/>
      <c r="K87" s="2" t="n"/>
      <c r="L87" s="5" t="n"/>
      <c r="M87" s="16">
        <f>資金模擬!$B$5*V86</f>
        <v/>
      </c>
      <c r="N87" s="2">
        <f>IF(Z86=1,"已停止",IF(T86&gt;=M87,"已下單","資金不足略過"))</f>
        <v/>
      </c>
      <c r="O87" s="16">
        <f>IF(N87="已下單",M87*資金模擬!$B$7,0)</f>
        <v/>
      </c>
      <c r="P87" s="4" t="n"/>
      <c r="Q87" s="10" t="n">
        <v>0</v>
      </c>
      <c r="R87" s="10">
        <f>R86+Q87</f>
        <v/>
      </c>
      <c r="S87" s="16">
        <f>S86+IF(N87="已下單",M87,0)</f>
        <v/>
      </c>
      <c r="T87" s="16">
        <f>R87-S87</f>
        <v/>
      </c>
      <c r="U87" s="2">
        <f>U86+IF(N87="已下單",1,0)</f>
        <v/>
      </c>
      <c r="V87" s="16">
        <f>IF(資金模擬!$B$9=2,MAX(R87,0),MAX(V86,FLOOR(MAX(R87,0),資金模擬!$B$6)))</f>
        <v/>
      </c>
      <c r="W87" s="10">
        <f>MAX(W86,R87)</f>
        <v/>
      </c>
      <c r="X87" s="4">
        <f>IF(W87&gt;0,R87/W87-1,-1)</f>
        <v/>
      </c>
      <c r="Y87" s="16">
        <f>IF(R87&gt;0,S87*資金模擬!$B$7/R87,0)</f>
        <v/>
      </c>
      <c r="Z87" s="2">
        <f>IF(OR(Z86=1,R87&lt;=資金模擬!$B$10),1,0)</f>
        <v/>
      </c>
    </row>
    <row r="88">
      <c r="A88" s="2" t="n">
        <v>86</v>
      </c>
      <c r="B88" s="7" t="n">
        <v>46272.01041666666</v>
      </c>
      <c r="C88" s="2" t="inlineStr">
        <is>
          <t>出場</t>
        </is>
      </c>
      <c r="D88" s="2" t="n">
        <v>43</v>
      </c>
      <c r="E88" s="2" t="inlineStr">
        <is>
          <t>LAYER_USDT_PERP</t>
        </is>
      </c>
      <c r="F88" s="2" t="inlineStr">
        <is>
          <t>做空</t>
        </is>
      </c>
      <c r="G88" s="17" t="n">
        <v>0.0881</v>
      </c>
      <c r="H88" s="17" t="n">
        <v>0.084576</v>
      </c>
      <c r="I88" s="17" t="n">
        <v>0.092505</v>
      </c>
      <c r="J88" s="17" t="n">
        <v>0.084576</v>
      </c>
      <c r="K88" s="2" t="inlineStr">
        <is>
          <t>止盈</t>
        </is>
      </c>
      <c r="L88" s="5">
        <f>交易明細!K44</f>
        <v/>
      </c>
      <c r="M88" s="16">
        <f>M87</f>
        <v/>
      </c>
      <c r="N88" s="2">
        <f>N87</f>
        <v/>
      </c>
      <c r="O88" s="16">
        <f>O87</f>
        <v/>
      </c>
      <c r="P88" s="4">
        <f>交易明細!L44</f>
        <v/>
      </c>
      <c r="Q88" s="10">
        <f>IF(N88="已下單",O88*P88,0)</f>
        <v/>
      </c>
      <c r="R88" s="10">
        <f>R87+Q88</f>
        <v/>
      </c>
      <c r="S88" s="16">
        <f>S87-IF(N88="已下單",M88,0)</f>
        <v/>
      </c>
      <c r="T88" s="16">
        <f>R88-S88</f>
        <v/>
      </c>
      <c r="U88" s="2">
        <f>U87-IF(N88="已下單",1,0)</f>
        <v/>
      </c>
      <c r="V88" s="16">
        <f>IF(資金模擬!$B$9=2,MAX(R88,0),MAX(V87,FLOOR(MAX(R88,0),資金模擬!$B$6)))</f>
        <v/>
      </c>
      <c r="W88" s="10">
        <f>MAX(W87,R88)</f>
        <v/>
      </c>
      <c r="X88" s="4">
        <f>IF(W88&gt;0,R88/W88-1,-1)</f>
        <v/>
      </c>
      <c r="Y88" s="16">
        <f>IF(R88&gt;0,S88*資金模擬!$B$7/R88,0)</f>
        <v/>
      </c>
      <c r="Z88" s="2">
        <f>IF(OR(Z87=1,R88&lt;=資金模擬!$B$10),1,0)</f>
        <v/>
      </c>
    </row>
    <row r="89">
      <c r="A89" s="2" t="n">
        <v>87</v>
      </c>
      <c r="B89" s="7" t="n">
        <v>46272.40972222222</v>
      </c>
      <c r="C89" s="2" t="inlineStr">
        <is>
          <t>進場</t>
        </is>
      </c>
      <c r="D89" s="2" t="n">
        <v>44</v>
      </c>
      <c r="E89" s="2" t="inlineStr">
        <is>
          <t>ORCA_USDT_PERP</t>
        </is>
      </c>
      <c r="F89" s="2" t="inlineStr">
        <is>
          <t>做空</t>
        </is>
      </c>
      <c r="G89" s="17" t="n">
        <v>1.642</v>
      </c>
      <c r="H89" s="17" t="n">
        <v>1.57632</v>
      </c>
      <c r="I89" s="17" t="n">
        <v>1.7241</v>
      </c>
      <c r="J89" s="17" t="n"/>
      <c r="K89" s="2" t="n"/>
      <c r="L89" s="5" t="n"/>
      <c r="M89" s="16">
        <f>資金模擬!$B$5*V88</f>
        <v/>
      </c>
      <c r="N89" s="2">
        <f>IF(Z88=1,"已停止",IF(T88&gt;=M89,"已下單","資金不足略過"))</f>
        <v/>
      </c>
      <c r="O89" s="16">
        <f>IF(N89="已下單",M89*資金模擬!$B$7,0)</f>
        <v/>
      </c>
      <c r="P89" s="4" t="n"/>
      <c r="Q89" s="10" t="n">
        <v>0</v>
      </c>
      <c r="R89" s="10">
        <f>R88+Q89</f>
        <v/>
      </c>
      <c r="S89" s="16">
        <f>S88+IF(N89="已下單",M89,0)</f>
        <v/>
      </c>
      <c r="T89" s="16">
        <f>R89-S89</f>
        <v/>
      </c>
      <c r="U89" s="2">
        <f>U88+IF(N89="已下單",1,0)</f>
        <v/>
      </c>
      <c r="V89" s="16">
        <f>IF(資金模擬!$B$9=2,MAX(R89,0),MAX(V88,FLOOR(MAX(R89,0),資金模擬!$B$6)))</f>
        <v/>
      </c>
      <c r="W89" s="10">
        <f>MAX(W88,R89)</f>
        <v/>
      </c>
      <c r="X89" s="4">
        <f>IF(W89&gt;0,R89/W89-1,-1)</f>
        <v/>
      </c>
      <c r="Y89" s="16">
        <f>IF(R89&gt;0,S89*資金模擬!$B$7/R89,0)</f>
        <v/>
      </c>
      <c r="Z89" s="2">
        <f>IF(OR(Z88=1,R89&lt;=資金模擬!$B$10),1,0)</f>
        <v/>
      </c>
    </row>
    <row r="90">
      <c r="A90" s="2" t="n">
        <v>88</v>
      </c>
      <c r="B90" s="7" t="n">
        <v>46272.47916666666</v>
      </c>
      <c r="C90" s="2" t="inlineStr">
        <is>
          <t>進場</t>
        </is>
      </c>
      <c r="D90" s="2" t="n">
        <v>45</v>
      </c>
      <c r="E90" s="2" t="inlineStr">
        <is>
          <t>CFG_USDT_PERP</t>
        </is>
      </c>
      <c r="F90" s="2" t="inlineStr">
        <is>
          <t>做空</t>
        </is>
      </c>
      <c r="G90" s="17" t="n">
        <v>0.1336</v>
      </c>
      <c r="H90" s="17" t="n">
        <v>0.128256</v>
      </c>
      <c r="I90" s="17" t="n">
        <v>0.14028</v>
      </c>
      <c r="J90" s="17" t="n"/>
      <c r="K90" s="2" t="n"/>
      <c r="L90" s="5" t="n"/>
      <c r="M90" s="16">
        <f>資金模擬!$B$5*V89</f>
        <v/>
      </c>
      <c r="N90" s="2">
        <f>IF(Z89=1,"已停止",IF(T89&gt;=M90,"已下單","資金不足略過"))</f>
        <v/>
      </c>
      <c r="O90" s="16">
        <f>IF(N90="已下單",M90*資金模擬!$B$7,0)</f>
        <v/>
      </c>
      <c r="P90" s="4" t="n"/>
      <c r="Q90" s="10" t="n">
        <v>0</v>
      </c>
      <c r="R90" s="10">
        <f>R89+Q90</f>
        <v/>
      </c>
      <c r="S90" s="16">
        <f>S89+IF(N90="已下單",M90,0)</f>
        <v/>
      </c>
      <c r="T90" s="16">
        <f>R90-S90</f>
        <v/>
      </c>
      <c r="U90" s="2">
        <f>U89+IF(N90="已下單",1,0)</f>
        <v/>
      </c>
      <c r="V90" s="16">
        <f>IF(資金模擬!$B$9=2,MAX(R90,0),MAX(V89,FLOOR(MAX(R90,0),資金模擬!$B$6)))</f>
        <v/>
      </c>
      <c r="W90" s="10">
        <f>MAX(W89,R90)</f>
        <v/>
      </c>
      <c r="X90" s="4">
        <f>IF(W90&gt;0,R90/W90-1,-1)</f>
        <v/>
      </c>
      <c r="Y90" s="16">
        <f>IF(R90&gt;0,S90*資金模擬!$B$7/R90,0)</f>
        <v/>
      </c>
      <c r="Z90" s="2">
        <f>IF(OR(Z89=1,R90&lt;=資金模擬!$B$10),1,0)</f>
        <v/>
      </c>
    </row>
    <row r="91">
      <c r="A91" s="2" t="n">
        <v>89</v>
      </c>
      <c r="B91" s="7" t="n">
        <v>46272.48611111111</v>
      </c>
      <c r="C91" s="2" t="inlineStr">
        <is>
          <t>出場</t>
        </is>
      </c>
      <c r="D91" s="2" t="n">
        <v>44</v>
      </c>
      <c r="E91" s="2" t="inlineStr">
        <is>
          <t>ORCA_USDT_PERP</t>
        </is>
      </c>
      <c r="F91" s="2" t="inlineStr">
        <is>
          <t>做空</t>
        </is>
      </c>
      <c r="G91" s="17" t="n">
        <v>1.642</v>
      </c>
      <c r="H91" s="17" t="n">
        <v>1.57632</v>
      </c>
      <c r="I91" s="17" t="n">
        <v>1.7241</v>
      </c>
      <c r="J91" s="17" t="n">
        <v>1.57632</v>
      </c>
      <c r="K91" s="2" t="inlineStr">
        <is>
          <t>止盈</t>
        </is>
      </c>
      <c r="L91" s="5">
        <f>交易明細!K45</f>
        <v/>
      </c>
      <c r="M91" s="16">
        <f>M89</f>
        <v/>
      </c>
      <c r="N91" s="2">
        <f>N89</f>
        <v/>
      </c>
      <c r="O91" s="16">
        <f>O89</f>
        <v/>
      </c>
      <c r="P91" s="4">
        <f>交易明細!L45</f>
        <v/>
      </c>
      <c r="Q91" s="10">
        <f>IF(N91="已下單",O91*P91,0)</f>
        <v/>
      </c>
      <c r="R91" s="10">
        <f>R90+Q91</f>
        <v/>
      </c>
      <c r="S91" s="16">
        <f>S90-IF(N91="已下單",M91,0)</f>
        <v/>
      </c>
      <c r="T91" s="16">
        <f>R91-S91</f>
        <v/>
      </c>
      <c r="U91" s="2">
        <f>U90-IF(N91="已下單",1,0)</f>
        <v/>
      </c>
      <c r="V91" s="16">
        <f>IF(資金模擬!$B$9=2,MAX(R91,0),MAX(V90,FLOOR(MAX(R91,0),資金模擬!$B$6)))</f>
        <v/>
      </c>
      <c r="W91" s="10">
        <f>MAX(W90,R91)</f>
        <v/>
      </c>
      <c r="X91" s="4">
        <f>IF(W91&gt;0,R91/W91-1,-1)</f>
        <v/>
      </c>
      <c r="Y91" s="16">
        <f>IF(R91&gt;0,S91*資金模擬!$B$7/R91,0)</f>
        <v/>
      </c>
      <c r="Z91" s="2">
        <f>IF(OR(Z90=1,R91&lt;=資金模擬!$B$10),1,0)</f>
        <v/>
      </c>
    </row>
    <row r="92">
      <c r="A92" s="2" t="n">
        <v>90</v>
      </c>
      <c r="B92" s="7" t="n">
        <v>46272.49305555555</v>
      </c>
      <c r="C92" s="2" t="inlineStr">
        <is>
          <t>出場</t>
        </is>
      </c>
      <c r="D92" s="2" t="n">
        <v>45</v>
      </c>
      <c r="E92" s="2" t="inlineStr">
        <is>
          <t>CFG_USDT_PERP</t>
        </is>
      </c>
      <c r="F92" s="2" t="inlineStr">
        <is>
          <t>做空</t>
        </is>
      </c>
      <c r="G92" s="17" t="n">
        <v>0.1336</v>
      </c>
      <c r="H92" s="17" t="n">
        <v>0.128256</v>
      </c>
      <c r="I92" s="17" t="n">
        <v>0.14028</v>
      </c>
      <c r="J92" s="17" t="n">
        <v>0.128256</v>
      </c>
      <c r="K92" s="2" t="inlineStr">
        <is>
          <t>止盈</t>
        </is>
      </c>
      <c r="L92" s="5">
        <f>交易明細!K46</f>
        <v/>
      </c>
      <c r="M92" s="16">
        <f>M90</f>
        <v/>
      </c>
      <c r="N92" s="2">
        <f>N90</f>
        <v/>
      </c>
      <c r="O92" s="16">
        <f>O90</f>
        <v/>
      </c>
      <c r="P92" s="4">
        <f>交易明細!L46</f>
        <v/>
      </c>
      <c r="Q92" s="10">
        <f>IF(N92="已下單",O92*P92,0)</f>
        <v/>
      </c>
      <c r="R92" s="10">
        <f>R91+Q92</f>
        <v/>
      </c>
      <c r="S92" s="16">
        <f>S91-IF(N92="已下單",M92,0)</f>
        <v/>
      </c>
      <c r="T92" s="16">
        <f>R92-S92</f>
        <v/>
      </c>
      <c r="U92" s="2">
        <f>U91-IF(N92="已下單",1,0)</f>
        <v/>
      </c>
      <c r="V92" s="16">
        <f>IF(資金模擬!$B$9=2,MAX(R92,0),MAX(V91,FLOOR(MAX(R92,0),資金模擬!$B$6)))</f>
        <v/>
      </c>
      <c r="W92" s="10">
        <f>MAX(W91,R92)</f>
        <v/>
      </c>
      <c r="X92" s="4">
        <f>IF(W92&gt;0,R92/W92-1,-1)</f>
        <v/>
      </c>
      <c r="Y92" s="16">
        <f>IF(R92&gt;0,S92*資金模擬!$B$7/R92,0)</f>
        <v/>
      </c>
      <c r="Z92" s="2">
        <f>IF(OR(Z91=1,R92&lt;=資金模擬!$B$10),1,0)</f>
        <v/>
      </c>
    </row>
    <row r="93">
      <c r="A93" s="2" t="n">
        <v>91</v>
      </c>
      <c r="B93" s="7" t="n">
        <v>46272.61458333334</v>
      </c>
      <c r="C93" s="2" t="inlineStr">
        <is>
          <t>進場</t>
        </is>
      </c>
      <c r="D93" s="2" t="n">
        <v>46</v>
      </c>
      <c r="E93" s="2" t="inlineStr">
        <is>
          <t>IOST_USDT_PERP</t>
        </is>
      </c>
      <c r="F93" s="2" t="inlineStr">
        <is>
          <t>做空</t>
        </is>
      </c>
      <c r="G93" s="17" t="n">
        <v>0.000892</v>
      </c>
      <c r="H93" s="17" t="n">
        <v>0.0008563199999999999</v>
      </c>
      <c r="I93" s="17" t="n">
        <v>0.0009366</v>
      </c>
      <c r="J93" s="17" t="n"/>
      <c r="K93" s="2" t="n"/>
      <c r="L93" s="5" t="n"/>
      <c r="M93" s="16">
        <f>資金模擬!$B$5*V92</f>
        <v/>
      </c>
      <c r="N93" s="2">
        <f>IF(Z92=1,"已停止",IF(T92&gt;=M93,"已下單","資金不足略過"))</f>
        <v/>
      </c>
      <c r="O93" s="16">
        <f>IF(N93="已下單",M93*資金模擬!$B$7,0)</f>
        <v/>
      </c>
      <c r="P93" s="4" t="n"/>
      <c r="Q93" s="10" t="n">
        <v>0</v>
      </c>
      <c r="R93" s="10">
        <f>R92+Q93</f>
        <v/>
      </c>
      <c r="S93" s="16">
        <f>S92+IF(N93="已下單",M93,0)</f>
        <v/>
      </c>
      <c r="T93" s="16">
        <f>R93-S93</f>
        <v/>
      </c>
      <c r="U93" s="2">
        <f>U92+IF(N93="已下單",1,0)</f>
        <v/>
      </c>
      <c r="V93" s="16">
        <f>IF(資金模擬!$B$9=2,MAX(R93,0),MAX(V92,FLOOR(MAX(R93,0),資金模擬!$B$6)))</f>
        <v/>
      </c>
      <c r="W93" s="10">
        <f>MAX(W92,R93)</f>
        <v/>
      </c>
      <c r="X93" s="4">
        <f>IF(W93&gt;0,R93/W93-1,-1)</f>
        <v/>
      </c>
      <c r="Y93" s="16">
        <f>IF(R93&gt;0,S93*資金模擬!$B$7/R93,0)</f>
        <v/>
      </c>
      <c r="Z93" s="2">
        <f>IF(OR(Z92=1,R93&lt;=資金模擬!$B$10),1,0)</f>
        <v/>
      </c>
    </row>
    <row r="94">
      <c r="A94" s="2" t="n">
        <v>92</v>
      </c>
      <c r="B94" s="7" t="n">
        <v>46272.62152777778</v>
      </c>
      <c r="C94" s="2" t="inlineStr">
        <is>
          <t>出場</t>
        </is>
      </c>
      <c r="D94" s="2" t="n">
        <v>46</v>
      </c>
      <c r="E94" s="2" t="inlineStr">
        <is>
          <t>IOST_USDT_PERP</t>
        </is>
      </c>
      <c r="F94" s="2" t="inlineStr">
        <is>
          <t>做空</t>
        </is>
      </c>
      <c r="G94" s="17" t="n">
        <v>0.000892</v>
      </c>
      <c r="H94" s="17" t="n">
        <v>0.0008563199999999999</v>
      </c>
      <c r="I94" s="17" t="n">
        <v>0.0009366</v>
      </c>
      <c r="J94" s="17" t="n">
        <v>0.0008563199999999999</v>
      </c>
      <c r="K94" s="2" t="inlineStr">
        <is>
          <t>止盈</t>
        </is>
      </c>
      <c r="L94" s="5">
        <f>交易明細!K47</f>
        <v/>
      </c>
      <c r="M94" s="16">
        <f>M93</f>
        <v/>
      </c>
      <c r="N94" s="2">
        <f>N93</f>
        <v/>
      </c>
      <c r="O94" s="16">
        <f>O93</f>
        <v/>
      </c>
      <c r="P94" s="4">
        <f>交易明細!L47</f>
        <v/>
      </c>
      <c r="Q94" s="10">
        <f>IF(N94="已下單",O94*P94,0)</f>
        <v/>
      </c>
      <c r="R94" s="10">
        <f>R93+Q94</f>
        <v/>
      </c>
      <c r="S94" s="16">
        <f>S93-IF(N94="已下單",M94,0)</f>
        <v/>
      </c>
      <c r="T94" s="16">
        <f>R94-S94</f>
        <v/>
      </c>
      <c r="U94" s="2">
        <f>U93-IF(N94="已下單",1,0)</f>
        <v/>
      </c>
      <c r="V94" s="16">
        <f>IF(資金模擬!$B$9=2,MAX(R94,0),MAX(V93,FLOOR(MAX(R94,0),資金模擬!$B$6)))</f>
        <v/>
      </c>
      <c r="W94" s="10">
        <f>MAX(W93,R94)</f>
        <v/>
      </c>
      <c r="X94" s="4">
        <f>IF(W94&gt;0,R94/W94-1,-1)</f>
        <v/>
      </c>
      <c r="Y94" s="16">
        <f>IF(R94&gt;0,S94*資金模擬!$B$7/R94,0)</f>
        <v/>
      </c>
      <c r="Z94" s="2">
        <f>IF(OR(Z93=1,R94&lt;=資金模擬!$B$10),1,0)</f>
        <v/>
      </c>
    </row>
    <row r="95">
      <c r="A95" s="2" t="n">
        <v>93</v>
      </c>
      <c r="B95" s="7" t="n">
        <v>46272.72569444445</v>
      </c>
      <c r="C95" s="2" t="inlineStr">
        <is>
          <t>進場</t>
        </is>
      </c>
      <c r="D95" s="2" t="n">
        <v>47</v>
      </c>
      <c r="E95" s="2" t="inlineStr">
        <is>
          <t>CAP_USDT_PERP</t>
        </is>
      </c>
      <c r="F95" s="2" t="inlineStr">
        <is>
          <t>做空</t>
        </is>
      </c>
      <c r="G95" s="17" t="n">
        <v>0.04997</v>
      </c>
      <c r="H95" s="17" t="n">
        <v>0.0479712</v>
      </c>
      <c r="I95" s="17" t="n">
        <v>0.0524685</v>
      </c>
      <c r="J95" s="17" t="n"/>
      <c r="K95" s="2" t="n"/>
      <c r="L95" s="5" t="n"/>
      <c r="M95" s="16">
        <f>資金模擬!$B$5*V94</f>
        <v/>
      </c>
      <c r="N95" s="2">
        <f>IF(Z94=1,"已停止",IF(T94&gt;=M95,"已下單","資金不足略過"))</f>
        <v/>
      </c>
      <c r="O95" s="16">
        <f>IF(N95="已下單",M95*資金模擬!$B$7,0)</f>
        <v/>
      </c>
      <c r="P95" s="4" t="n"/>
      <c r="Q95" s="10" t="n">
        <v>0</v>
      </c>
      <c r="R95" s="10">
        <f>R94+Q95</f>
        <v/>
      </c>
      <c r="S95" s="16">
        <f>S94+IF(N95="已下單",M95,0)</f>
        <v/>
      </c>
      <c r="T95" s="16">
        <f>R95-S95</f>
        <v/>
      </c>
      <c r="U95" s="2">
        <f>U94+IF(N95="已下單",1,0)</f>
        <v/>
      </c>
      <c r="V95" s="16">
        <f>IF(資金模擬!$B$9=2,MAX(R95,0),MAX(V94,FLOOR(MAX(R95,0),資金模擬!$B$6)))</f>
        <v/>
      </c>
      <c r="W95" s="10">
        <f>MAX(W94,R95)</f>
        <v/>
      </c>
      <c r="X95" s="4">
        <f>IF(W95&gt;0,R95/W95-1,-1)</f>
        <v/>
      </c>
      <c r="Y95" s="16">
        <f>IF(R95&gt;0,S95*資金模擬!$B$7/R95,0)</f>
        <v/>
      </c>
      <c r="Z95" s="2">
        <f>IF(OR(Z94=1,R95&lt;=資金模擬!$B$10),1,0)</f>
        <v/>
      </c>
    </row>
    <row r="96">
      <c r="A96" s="2" t="n">
        <v>94</v>
      </c>
      <c r="B96" s="7" t="n">
        <v>46272.78125</v>
      </c>
      <c r="C96" s="2" t="inlineStr">
        <is>
          <t>進場</t>
        </is>
      </c>
      <c r="D96" s="2" t="n">
        <v>48</v>
      </c>
      <c r="E96" s="2" t="inlineStr">
        <is>
          <t>4_USDT_PERP</t>
        </is>
      </c>
      <c r="F96" s="2" t="inlineStr">
        <is>
          <t>做空</t>
        </is>
      </c>
      <c r="G96" s="17" t="n">
        <v>0.02664</v>
      </c>
      <c r="H96" s="17" t="n">
        <v>0.0255744</v>
      </c>
      <c r="I96" s="17" t="n">
        <v>0.027972</v>
      </c>
      <c r="J96" s="17" t="n"/>
      <c r="K96" s="2" t="n"/>
      <c r="L96" s="5" t="n"/>
      <c r="M96" s="16">
        <f>資金模擬!$B$5*V95</f>
        <v/>
      </c>
      <c r="N96" s="2">
        <f>IF(Z95=1,"已停止",IF(T95&gt;=M96,"已下單","資金不足略過"))</f>
        <v/>
      </c>
      <c r="O96" s="16">
        <f>IF(N96="已下單",M96*資金模擬!$B$7,0)</f>
        <v/>
      </c>
      <c r="P96" s="4" t="n"/>
      <c r="Q96" s="10" t="n">
        <v>0</v>
      </c>
      <c r="R96" s="10">
        <f>R95+Q96</f>
        <v/>
      </c>
      <c r="S96" s="16">
        <f>S95+IF(N96="已下單",M96,0)</f>
        <v/>
      </c>
      <c r="T96" s="16">
        <f>R96-S96</f>
        <v/>
      </c>
      <c r="U96" s="2">
        <f>U95+IF(N96="已下單",1,0)</f>
        <v/>
      </c>
      <c r="V96" s="16">
        <f>IF(資金模擬!$B$9=2,MAX(R96,0),MAX(V95,FLOOR(MAX(R96,0),資金模擬!$B$6)))</f>
        <v/>
      </c>
      <c r="W96" s="10">
        <f>MAX(W95,R96)</f>
        <v/>
      </c>
      <c r="X96" s="4">
        <f>IF(W96&gt;0,R96/W96-1,-1)</f>
        <v/>
      </c>
      <c r="Y96" s="16">
        <f>IF(R96&gt;0,S96*資金模擬!$B$7/R96,0)</f>
        <v/>
      </c>
      <c r="Z96" s="2">
        <f>IF(OR(Z95=1,R96&lt;=資金模擬!$B$10),1,0)</f>
        <v/>
      </c>
    </row>
    <row r="97">
      <c r="A97" s="2" t="n">
        <v>95</v>
      </c>
      <c r="B97" s="7" t="n">
        <v>46272.79513888889</v>
      </c>
      <c r="C97" s="2" t="inlineStr">
        <is>
          <t>出場</t>
        </is>
      </c>
      <c r="D97" s="2" t="n">
        <v>47</v>
      </c>
      <c r="E97" s="2" t="inlineStr">
        <is>
          <t>CAP_USDT_PERP</t>
        </is>
      </c>
      <c r="F97" s="2" t="inlineStr">
        <is>
          <t>做空</t>
        </is>
      </c>
      <c r="G97" s="17" t="n">
        <v>0.04997</v>
      </c>
      <c r="H97" s="17" t="n">
        <v>0.0479712</v>
      </c>
      <c r="I97" s="17" t="n">
        <v>0.0524685</v>
      </c>
      <c r="J97" s="17" t="n">
        <v>0.0479712</v>
      </c>
      <c r="K97" s="2" t="inlineStr">
        <is>
          <t>止盈</t>
        </is>
      </c>
      <c r="L97" s="5">
        <f>交易明細!K48</f>
        <v/>
      </c>
      <c r="M97" s="16">
        <f>M95</f>
        <v/>
      </c>
      <c r="N97" s="2">
        <f>N95</f>
        <v/>
      </c>
      <c r="O97" s="16">
        <f>O95</f>
        <v/>
      </c>
      <c r="P97" s="4">
        <f>交易明細!L48</f>
        <v/>
      </c>
      <c r="Q97" s="10">
        <f>IF(N97="已下單",O97*P97,0)</f>
        <v/>
      </c>
      <c r="R97" s="10">
        <f>R96+Q97</f>
        <v/>
      </c>
      <c r="S97" s="16">
        <f>S96-IF(N97="已下單",M97,0)</f>
        <v/>
      </c>
      <c r="T97" s="16">
        <f>R97-S97</f>
        <v/>
      </c>
      <c r="U97" s="2">
        <f>U96-IF(N97="已下單",1,0)</f>
        <v/>
      </c>
      <c r="V97" s="16">
        <f>IF(資金模擬!$B$9=2,MAX(R97,0),MAX(V96,FLOOR(MAX(R97,0),資金模擬!$B$6)))</f>
        <v/>
      </c>
      <c r="W97" s="10">
        <f>MAX(W96,R97)</f>
        <v/>
      </c>
      <c r="X97" s="4">
        <f>IF(W97&gt;0,R97/W97-1,-1)</f>
        <v/>
      </c>
      <c r="Y97" s="16">
        <f>IF(R97&gt;0,S97*資金模擬!$B$7/R97,0)</f>
        <v/>
      </c>
      <c r="Z97" s="2">
        <f>IF(OR(Z96=1,R97&lt;=資金模擬!$B$10),1,0)</f>
        <v/>
      </c>
    </row>
    <row r="98">
      <c r="A98" s="2" t="n">
        <v>96</v>
      </c>
      <c r="B98" s="7" t="n">
        <v>46272.79513888889</v>
      </c>
      <c r="C98" s="2" t="inlineStr">
        <is>
          <t>出場</t>
        </is>
      </c>
      <c r="D98" s="2" t="n">
        <v>48</v>
      </c>
      <c r="E98" s="2" t="inlineStr">
        <is>
          <t>4_USDT_PERP</t>
        </is>
      </c>
      <c r="F98" s="2" t="inlineStr">
        <is>
          <t>做空</t>
        </is>
      </c>
      <c r="G98" s="17" t="n">
        <v>0.02664</v>
      </c>
      <c r="H98" s="17" t="n">
        <v>0.0255744</v>
      </c>
      <c r="I98" s="17" t="n">
        <v>0.027972</v>
      </c>
      <c r="J98" s="17" t="n">
        <v>0.0255744</v>
      </c>
      <c r="K98" s="2" t="inlineStr">
        <is>
          <t>止盈</t>
        </is>
      </c>
      <c r="L98" s="5">
        <f>交易明細!K49</f>
        <v/>
      </c>
      <c r="M98" s="16">
        <f>M96</f>
        <v/>
      </c>
      <c r="N98" s="2">
        <f>N96</f>
        <v/>
      </c>
      <c r="O98" s="16">
        <f>O96</f>
        <v/>
      </c>
      <c r="P98" s="4">
        <f>交易明細!L49</f>
        <v/>
      </c>
      <c r="Q98" s="10">
        <f>IF(N98="已下單",O98*P98,0)</f>
        <v/>
      </c>
      <c r="R98" s="10">
        <f>R97+Q98</f>
        <v/>
      </c>
      <c r="S98" s="16">
        <f>S97-IF(N98="已下單",M98,0)</f>
        <v/>
      </c>
      <c r="T98" s="16">
        <f>R98-S98</f>
        <v/>
      </c>
      <c r="U98" s="2">
        <f>U97-IF(N98="已下單",1,0)</f>
        <v/>
      </c>
      <c r="V98" s="16">
        <f>IF(資金模擬!$B$9=2,MAX(R98,0),MAX(V97,FLOOR(MAX(R98,0),資金模擬!$B$6)))</f>
        <v/>
      </c>
      <c r="W98" s="10">
        <f>MAX(W97,R98)</f>
        <v/>
      </c>
      <c r="X98" s="4">
        <f>IF(W98&gt;0,R98/W98-1,-1)</f>
        <v/>
      </c>
      <c r="Y98" s="16">
        <f>IF(R98&gt;0,S98*資金模擬!$B$7/R98,0)</f>
        <v/>
      </c>
      <c r="Z98" s="2">
        <f>IF(OR(Z97=1,R98&lt;=資金模擬!$B$10),1,0)</f>
        <v/>
      </c>
    </row>
    <row r="99">
      <c r="A99" s="2" t="n">
        <v>97</v>
      </c>
      <c r="B99" s="7" t="n">
        <v>46272.83680555555</v>
      </c>
      <c r="C99" s="2" t="inlineStr">
        <is>
          <t>進場</t>
        </is>
      </c>
      <c r="D99" s="2" t="n">
        <v>49</v>
      </c>
      <c r="E99" s="2" t="inlineStr">
        <is>
          <t>LUNA2_USDT_PERP</t>
        </is>
      </c>
      <c r="F99" s="2" t="inlineStr">
        <is>
          <t>做空</t>
        </is>
      </c>
      <c r="G99" s="17" t="n">
        <v>0.05437</v>
      </c>
      <c r="H99" s="17" t="n">
        <v>0.0521952</v>
      </c>
      <c r="I99" s="17" t="n">
        <v>0.05708850000000001</v>
      </c>
      <c r="J99" s="17" t="n"/>
      <c r="K99" s="2" t="n"/>
      <c r="L99" s="5" t="n"/>
      <c r="M99" s="16">
        <f>資金模擬!$B$5*V98</f>
        <v/>
      </c>
      <c r="N99" s="2">
        <f>IF(Z98=1,"已停止",IF(T98&gt;=M99,"已下單","資金不足略過"))</f>
        <v/>
      </c>
      <c r="O99" s="16">
        <f>IF(N99="已下單",M99*資金模擬!$B$7,0)</f>
        <v/>
      </c>
      <c r="P99" s="4" t="n"/>
      <c r="Q99" s="10" t="n">
        <v>0</v>
      </c>
      <c r="R99" s="10">
        <f>R98+Q99</f>
        <v/>
      </c>
      <c r="S99" s="16">
        <f>S98+IF(N99="已下單",M99,0)</f>
        <v/>
      </c>
      <c r="T99" s="16">
        <f>R99-S99</f>
        <v/>
      </c>
      <c r="U99" s="2">
        <f>U98+IF(N99="已下單",1,0)</f>
        <v/>
      </c>
      <c r="V99" s="16">
        <f>IF(資金模擬!$B$9=2,MAX(R99,0),MAX(V98,FLOOR(MAX(R99,0),資金模擬!$B$6)))</f>
        <v/>
      </c>
      <c r="W99" s="10">
        <f>MAX(W98,R99)</f>
        <v/>
      </c>
      <c r="X99" s="4">
        <f>IF(W99&gt;0,R99/W99-1,-1)</f>
        <v/>
      </c>
      <c r="Y99" s="16">
        <f>IF(R99&gt;0,S99*資金模擬!$B$7/R99,0)</f>
        <v/>
      </c>
      <c r="Z99" s="2">
        <f>IF(OR(Z98=1,R99&lt;=資金模擬!$B$10),1,0)</f>
        <v/>
      </c>
    </row>
    <row r="100">
      <c r="A100" s="2" t="n">
        <v>98</v>
      </c>
      <c r="B100" s="7" t="n">
        <v>46272.85763888889</v>
      </c>
      <c r="C100" s="2" t="inlineStr">
        <is>
          <t>出場</t>
        </is>
      </c>
      <c r="D100" s="2" t="n">
        <v>49</v>
      </c>
      <c r="E100" s="2" t="inlineStr">
        <is>
          <t>LUNA2_USDT_PERP</t>
        </is>
      </c>
      <c r="F100" s="2" t="inlineStr">
        <is>
          <t>做空</t>
        </is>
      </c>
      <c r="G100" s="17" t="n">
        <v>0.05437</v>
      </c>
      <c r="H100" s="17" t="n">
        <v>0.0521952</v>
      </c>
      <c r="I100" s="17" t="n">
        <v>0.05708850000000001</v>
      </c>
      <c r="J100" s="17" t="n">
        <v>0.0521952</v>
      </c>
      <c r="K100" s="2" t="inlineStr">
        <is>
          <t>止盈</t>
        </is>
      </c>
      <c r="L100" s="5">
        <f>交易明細!K50</f>
        <v/>
      </c>
      <c r="M100" s="16">
        <f>M99</f>
        <v/>
      </c>
      <c r="N100" s="2">
        <f>N99</f>
        <v/>
      </c>
      <c r="O100" s="16">
        <f>O99</f>
        <v/>
      </c>
      <c r="P100" s="4">
        <f>交易明細!L50</f>
        <v/>
      </c>
      <c r="Q100" s="10">
        <f>IF(N100="已下單",O100*P100,0)</f>
        <v/>
      </c>
      <c r="R100" s="10">
        <f>R99+Q100</f>
        <v/>
      </c>
      <c r="S100" s="16">
        <f>S99-IF(N100="已下單",M100,0)</f>
        <v/>
      </c>
      <c r="T100" s="16">
        <f>R100-S100</f>
        <v/>
      </c>
      <c r="U100" s="2">
        <f>U99-IF(N100="已下單",1,0)</f>
        <v/>
      </c>
      <c r="V100" s="16">
        <f>IF(資金模擬!$B$9=2,MAX(R100,0),MAX(V99,FLOOR(MAX(R100,0),資金模擬!$B$6)))</f>
        <v/>
      </c>
      <c r="W100" s="10">
        <f>MAX(W99,R100)</f>
        <v/>
      </c>
      <c r="X100" s="4">
        <f>IF(W100&gt;0,R100/W100-1,-1)</f>
        <v/>
      </c>
      <c r="Y100" s="16">
        <f>IF(R100&gt;0,S100*資金模擬!$B$7/R100,0)</f>
        <v/>
      </c>
      <c r="Z100" s="2">
        <f>IF(OR(Z99=1,R100&lt;=資金模擬!$B$10),1,0)</f>
        <v/>
      </c>
    </row>
    <row r="101">
      <c r="A101" s="2" t="n">
        <v>99</v>
      </c>
      <c r="B101" s="7" t="n">
        <v>46272.91319444445</v>
      </c>
      <c r="C101" s="2" t="inlineStr">
        <is>
          <t>進場</t>
        </is>
      </c>
      <c r="D101" s="2" t="n">
        <v>50</v>
      </c>
      <c r="E101" s="2" t="inlineStr">
        <is>
          <t>PIEVERSE_USDT_PERP</t>
        </is>
      </c>
      <c r="F101" s="2" t="inlineStr">
        <is>
          <t>做空</t>
        </is>
      </c>
      <c r="G101" s="17" t="n">
        <v>1.3018</v>
      </c>
      <c r="H101" s="17" t="n">
        <v>1.249728</v>
      </c>
      <c r="I101" s="17" t="n">
        <v>1.36689</v>
      </c>
      <c r="J101" s="17" t="n"/>
      <c r="K101" s="2" t="n"/>
      <c r="L101" s="5" t="n"/>
      <c r="M101" s="16">
        <f>資金模擬!$B$5*V100</f>
        <v/>
      </c>
      <c r="N101" s="2">
        <f>IF(Z100=1,"已停止",IF(T100&gt;=M101,"已下單","資金不足略過"))</f>
        <v/>
      </c>
      <c r="O101" s="16">
        <f>IF(N101="已下單",M101*資金模擬!$B$7,0)</f>
        <v/>
      </c>
      <c r="P101" s="4" t="n"/>
      <c r="Q101" s="10" t="n">
        <v>0</v>
      </c>
      <c r="R101" s="10">
        <f>R100+Q101</f>
        <v/>
      </c>
      <c r="S101" s="16">
        <f>S100+IF(N101="已下單",M101,0)</f>
        <v/>
      </c>
      <c r="T101" s="16">
        <f>R101-S101</f>
        <v/>
      </c>
      <c r="U101" s="2">
        <f>U100+IF(N101="已下單",1,0)</f>
        <v/>
      </c>
      <c r="V101" s="16">
        <f>IF(資金模擬!$B$9=2,MAX(R101,0),MAX(V100,FLOOR(MAX(R101,0),資金模擬!$B$6)))</f>
        <v/>
      </c>
      <c r="W101" s="10">
        <f>MAX(W100,R101)</f>
        <v/>
      </c>
      <c r="X101" s="4">
        <f>IF(W101&gt;0,R101/W101-1,-1)</f>
        <v/>
      </c>
      <c r="Y101" s="16">
        <f>IF(R101&gt;0,S101*資金模擬!$B$7/R101,0)</f>
        <v/>
      </c>
      <c r="Z101" s="2">
        <f>IF(OR(Z100=1,R101&lt;=資金模擬!$B$10),1,0)</f>
        <v/>
      </c>
    </row>
    <row r="102">
      <c r="A102" s="2" t="n">
        <v>100</v>
      </c>
      <c r="B102" s="7" t="n">
        <v>46272.96527777778</v>
      </c>
      <c r="C102" s="2" t="inlineStr">
        <is>
          <t>出場</t>
        </is>
      </c>
      <c r="D102" s="2" t="n">
        <v>50</v>
      </c>
      <c r="E102" s="2" t="inlineStr">
        <is>
          <t>PIEVERSE_USDT_PERP</t>
        </is>
      </c>
      <c r="F102" s="2" t="inlineStr">
        <is>
          <t>做空</t>
        </is>
      </c>
      <c r="G102" s="17" t="n">
        <v>1.3018</v>
      </c>
      <c r="H102" s="17" t="n">
        <v>1.249728</v>
      </c>
      <c r="I102" s="17" t="n">
        <v>1.36689</v>
      </c>
      <c r="J102" s="17" t="n">
        <v>1.249728</v>
      </c>
      <c r="K102" s="2" t="inlineStr">
        <is>
          <t>止盈</t>
        </is>
      </c>
      <c r="L102" s="5">
        <f>交易明細!K51</f>
        <v/>
      </c>
      <c r="M102" s="16">
        <f>M101</f>
        <v/>
      </c>
      <c r="N102" s="2">
        <f>N101</f>
        <v/>
      </c>
      <c r="O102" s="16">
        <f>O101</f>
        <v/>
      </c>
      <c r="P102" s="4">
        <f>交易明細!L51</f>
        <v/>
      </c>
      <c r="Q102" s="10">
        <f>IF(N102="已下單",O102*P102,0)</f>
        <v/>
      </c>
      <c r="R102" s="10">
        <f>R101+Q102</f>
        <v/>
      </c>
      <c r="S102" s="16">
        <f>S101-IF(N102="已下單",M102,0)</f>
        <v/>
      </c>
      <c r="T102" s="16">
        <f>R102-S102</f>
        <v/>
      </c>
      <c r="U102" s="2">
        <f>U101-IF(N102="已下單",1,0)</f>
        <v/>
      </c>
      <c r="V102" s="16">
        <f>IF(資金模擬!$B$9=2,MAX(R102,0),MAX(V101,FLOOR(MAX(R102,0),資金模擬!$B$6)))</f>
        <v/>
      </c>
      <c r="W102" s="10">
        <f>MAX(W101,R102)</f>
        <v/>
      </c>
      <c r="X102" s="4">
        <f>IF(W102&gt;0,R102/W102-1,-1)</f>
        <v/>
      </c>
      <c r="Y102" s="16">
        <f>IF(R102&gt;0,S102*資金模擬!$B$7/R102,0)</f>
        <v/>
      </c>
      <c r="Z102" s="2">
        <f>IF(OR(Z101=1,R102&lt;=資金模擬!$B$10),1,0)</f>
        <v/>
      </c>
    </row>
    <row r="103">
      <c r="A103" s="2" t="n">
        <v>101</v>
      </c>
      <c r="B103" s="7" t="n">
        <v>46273.6875</v>
      </c>
      <c r="C103" s="2" t="inlineStr">
        <is>
          <t>進場</t>
        </is>
      </c>
      <c r="D103" s="2" t="n">
        <v>51</v>
      </c>
      <c r="E103" s="2" t="inlineStr">
        <is>
          <t>HAEDAL_USDT_PERP</t>
        </is>
      </c>
      <c r="F103" s="2" t="inlineStr">
        <is>
          <t>做空</t>
        </is>
      </c>
      <c r="G103" s="17" t="n">
        <v>0.02249</v>
      </c>
      <c r="H103" s="17" t="n">
        <v>0.0215904</v>
      </c>
      <c r="I103" s="17" t="n">
        <v>0.0236145</v>
      </c>
      <c r="J103" s="17" t="n"/>
      <c r="K103" s="2" t="n"/>
      <c r="L103" s="5" t="n"/>
      <c r="M103" s="16">
        <f>資金模擬!$B$5*V102</f>
        <v/>
      </c>
      <c r="N103" s="2">
        <f>IF(Z102=1,"已停止",IF(T102&gt;=M103,"已下單","資金不足略過"))</f>
        <v/>
      </c>
      <c r="O103" s="16">
        <f>IF(N103="已下單",M103*資金模擬!$B$7,0)</f>
        <v/>
      </c>
      <c r="P103" s="4" t="n"/>
      <c r="Q103" s="10" t="n">
        <v>0</v>
      </c>
      <c r="R103" s="10">
        <f>R102+Q103</f>
        <v/>
      </c>
      <c r="S103" s="16">
        <f>S102+IF(N103="已下單",M103,0)</f>
        <v/>
      </c>
      <c r="T103" s="16">
        <f>R103-S103</f>
        <v/>
      </c>
      <c r="U103" s="2">
        <f>U102+IF(N103="已下單",1,0)</f>
        <v/>
      </c>
      <c r="V103" s="16">
        <f>IF(資金模擬!$B$9=2,MAX(R103,0),MAX(V102,FLOOR(MAX(R103,0),資金模擬!$B$6)))</f>
        <v/>
      </c>
      <c r="W103" s="10">
        <f>MAX(W102,R103)</f>
        <v/>
      </c>
      <c r="X103" s="4">
        <f>IF(W103&gt;0,R103/W103-1,-1)</f>
        <v/>
      </c>
      <c r="Y103" s="16">
        <f>IF(R103&gt;0,S103*資金模擬!$B$7/R103,0)</f>
        <v/>
      </c>
      <c r="Z103" s="2">
        <f>IF(OR(Z102=1,R103&lt;=資金模擬!$B$10),1,0)</f>
        <v/>
      </c>
    </row>
    <row r="104">
      <c r="A104" s="2" t="n">
        <v>102</v>
      </c>
      <c r="B104" s="7" t="n">
        <v>46273.72916666666</v>
      </c>
      <c r="C104" s="2" t="inlineStr">
        <is>
          <t>出場</t>
        </is>
      </c>
      <c r="D104" s="2" t="n">
        <v>51</v>
      </c>
      <c r="E104" s="2" t="inlineStr">
        <is>
          <t>HAEDAL_USDT_PERP</t>
        </is>
      </c>
      <c r="F104" s="2" t="inlineStr">
        <is>
          <t>做空</t>
        </is>
      </c>
      <c r="G104" s="17" t="n">
        <v>0.02249</v>
      </c>
      <c r="H104" s="17" t="n">
        <v>0.0215904</v>
      </c>
      <c r="I104" s="17" t="n">
        <v>0.0236145</v>
      </c>
      <c r="J104" s="17" t="n">
        <v>0.0215904</v>
      </c>
      <c r="K104" s="2" t="inlineStr">
        <is>
          <t>止盈</t>
        </is>
      </c>
      <c r="L104" s="5">
        <f>交易明細!K52</f>
        <v/>
      </c>
      <c r="M104" s="16">
        <f>M103</f>
        <v/>
      </c>
      <c r="N104" s="2">
        <f>N103</f>
        <v/>
      </c>
      <c r="O104" s="16">
        <f>O103</f>
        <v/>
      </c>
      <c r="P104" s="4">
        <f>交易明細!L52</f>
        <v/>
      </c>
      <c r="Q104" s="10">
        <f>IF(N104="已下單",O104*P104,0)</f>
        <v/>
      </c>
      <c r="R104" s="10">
        <f>R103+Q104</f>
        <v/>
      </c>
      <c r="S104" s="16">
        <f>S103-IF(N104="已下單",M104,0)</f>
        <v/>
      </c>
      <c r="T104" s="16">
        <f>R104-S104</f>
        <v/>
      </c>
      <c r="U104" s="2">
        <f>U103-IF(N104="已下單",1,0)</f>
        <v/>
      </c>
      <c r="V104" s="16">
        <f>IF(資金模擬!$B$9=2,MAX(R104,0),MAX(V103,FLOOR(MAX(R104,0),資金模擬!$B$6)))</f>
        <v/>
      </c>
      <c r="W104" s="10">
        <f>MAX(W103,R104)</f>
        <v/>
      </c>
      <c r="X104" s="4">
        <f>IF(W104&gt;0,R104/W104-1,-1)</f>
        <v/>
      </c>
      <c r="Y104" s="16">
        <f>IF(R104&gt;0,S104*資金模擬!$B$7/R104,0)</f>
        <v/>
      </c>
      <c r="Z104" s="2">
        <f>IF(OR(Z103=1,R104&lt;=資金模擬!$B$10),1,0)</f>
        <v/>
      </c>
    </row>
    <row r="105">
      <c r="A105" s="2" t="n">
        <v>103</v>
      </c>
      <c r="B105" s="7" t="n">
        <v>46273.75347222222</v>
      </c>
      <c r="C105" s="2" t="inlineStr">
        <is>
          <t>進場</t>
        </is>
      </c>
      <c r="D105" s="2" t="n">
        <v>52</v>
      </c>
      <c r="E105" s="2" t="inlineStr">
        <is>
          <t>ON_USDT_PERP</t>
        </is>
      </c>
      <c r="F105" s="2" t="inlineStr">
        <is>
          <t>做空</t>
        </is>
      </c>
      <c r="G105" s="17" t="n">
        <v>0.211</v>
      </c>
      <c r="H105" s="17" t="n">
        <v>0.20256</v>
      </c>
      <c r="I105" s="17" t="n">
        <v>0.22155</v>
      </c>
      <c r="J105" s="17" t="n"/>
      <c r="K105" s="2" t="n"/>
      <c r="L105" s="5" t="n"/>
      <c r="M105" s="16">
        <f>資金模擬!$B$5*V104</f>
        <v/>
      </c>
      <c r="N105" s="2">
        <f>IF(Z104=1,"已停止",IF(T104&gt;=M105,"已下單","資金不足略過"))</f>
        <v/>
      </c>
      <c r="O105" s="16">
        <f>IF(N105="已下單",M105*資金模擬!$B$7,0)</f>
        <v/>
      </c>
      <c r="P105" s="4" t="n"/>
      <c r="Q105" s="10" t="n">
        <v>0</v>
      </c>
      <c r="R105" s="10">
        <f>R104+Q105</f>
        <v/>
      </c>
      <c r="S105" s="16">
        <f>S104+IF(N105="已下單",M105,0)</f>
        <v/>
      </c>
      <c r="T105" s="16">
        <f>R105-S105</f>
        <v/>
      </c>
      <c r="U105" s="2">
        <f>U104+IF(N105="已下單",1,0)</f>
        <v/>
      </c>
      <c r="V105" s="16">
        <f>IF(資金模擬!$B$9=2,MAX(R105,0),MAX(V104,FLOOR(MAX(R105,0),資金模擬!$B$6)))</f>
        <v/>
      </c>
      <c r="W105" s="10">
        <f>MAX(W104,R105)</f>
        <v/>
      </c>
      <c r="X105" s="4">
        <f>IF(W105&gt;0,R105/W105-1,-1)</f>
        <v/>
      </c>
      <c r="Y105" s="16">
        <f>IF(R105&gt;0,S105*資金模擬!$B$7/R105,0)</f>
        <v/>
      </c>
      <c r="Z105" s="2">
        <f>IF(OR(Z104=1,R105&lt;=資金模擬!$B$10),1,0)</f>
        <v/>
      </c>
    </row>
    <row r="106">
      <c r="A106" s="2" t="n">
        <v>104</v>
      </c>
      <c r="B106" s="7" t="n">
        <v>46273.76388888889</v>
      </c>
      <c r="C106" s="2" t="inlineStr">
        <is>
          <t>出場</t>
        </is>
      </c>
      <c r="D106" s="2" t="n">
        <v>52</v>
      </c>
      <c r="E106" s="2" t="inlineStr">
        <is>
          <t>ON_USDT_PERP</t>
        </is>
      </c>
      <c r="F106" s="2" t="inlineStr">
        <is>
          <t>做空</t>
        </is>
      </c>
      <c r="G106" s="17" t="n">
        <v>0.211</v>
      </c>
      <c r="H106" s="17" t="n">
        <v>0.20256</v>
      </c>
      <c r="I106" s="17" t="n">
        <v>0.22155</v>
      </c>
      <c r="J106" s="17" t="n">
        <v>0.20256</v>
      </c>
      <c r="K106" s="2" t="inlineStr">
        <is>
          <t>止盈</t>
        </is>
      </c>
      <c r="L106" s="5">
        <f>交易明細!K53</f>
        <v/>
      </c>
      <c r="M106" s="16">
        <f>M105</f>
        <v/>
      </c>
      <c r="N106" s="2">
        <f>N105</f>
        <v/>
      </c>
      <c r="O106" s="16">
        <f>O105</f>
        <v/>
      </c>
      <c r="P106" s="4">
        <f>交易明細!L53</f>
        <v/>
      </c>
      <c r="Q106" s="10">
        <f>IF(N106="已下單",O106*P106,0)</f>
        <v/>
      </c>
      <c r="R106" s="10">
        <f>R105+Q106</f>
        <v/>
      </c>
      <c r="S106" s="16">
        <f>S105-IF(N106="已下單",M106,0)</f>
        <v/>
      </c>
      <c r="T106" s="16">
        <f>R106-S106</f>
        <v/>
      </c>
      <c r="U106" s="2">
        <f>U105-IF(N106="已下單",1,0)</f>
        <v/>
      </c>
      <c r="V106" s="16">
        <f>IF(資金模擬!$B$9=2,MAX(R106,0),MAX(V105,FLOOR(MAX(R106,0),資金模擬!$B$6)))</f>
        <v/>
      </c>
      <c r="W106" s="10">
        <f>MAX(W105,R106)</f>
        <v/>
      </c>
      <c r="X106" s="4">
        <f>IF(W106&gt;0,R106/W106-1,-1)</f>
        <v/>
      </c>
      <c r="Y106" s="16">
        <f>IF(R106&gt;0,S106*資金模擬!$B$7/R106,0)</f>
        <v/>
      </c>
      <c r="Z106" s="2">
        <f>IF(OR(Z105=1,R106&lt;=資金模擬!$B$10),1,0)</f>
        <v/>
      </c>
    </row>
    <row r="107">
      <c r="A107" s="2" t="n">
        <v>105</v>
      </c>
      <c r="B107" s="7" t="n">
        <v>46274.48611111111</v>
      </c>
      <c r="C107" s="2" t="inlineStr">
        <is>
          <t>進場</t>
        </is>
      </c>
      <c r="D107" s="2" t="n">
        <v>53</v>
      </c>
      <c r="E107" s="2" t="inlineStr">
        <is>
          <t>KAT_USDT_PERP</t>
        </is>
      </c>
      <c r="F107" s="2" t="inlineStr">
        <is>
          <t>做空</t>
        </is>
      </c>
      <c r="G107" s="17" t="n">
        <v>0.006139</v>
      </c>
      <c r="H107" s="17" t="n">
        <v>0.00589344</v>
      </c>
      <c r="I107" s="17" t="n">
        <v>0.006445950000000001</v>
      </c>
      <c r="J107" s="17" t="n"/>
      <c r="K107" s="2" t="n"/>
      <c r="L107" s="5" t="n"/>
      <c r="M107" s="16">
        <f>資金模擬!$B$5*V106</f>
        <v/>
      </c>
      <c r="N107" s="2">
        <f>IF(Z106=1,"已停止",IF(T106&gt;=M107,"已下單","資金不足略過"))</f>
        <v/>
      </c>
      <c r="O107" s="16">
        <f>IF(N107="已下單",M107*資金模擬!$B$7,0)</f>
        <v/>
      </c>
      <c r="P107" s="4" t="n"/>
      <c r="Q107" s="10" t="n">
        <v>0</v>
      </c>
      <c r="R107" s="10">
        <f>R106+Q107</f>
        <v/>
      </c>
      <c r="S107" s="16">
        <f>S106+IF(N107="已下單",M107,0)</f>
        <v/>
      </c>
      <c r="T107" s="16">
        <f>R107-S107</f>
        <v/>
      </c>
      <c r="U107" s="2">
        <f>U106+IF(N107="已下單",1,0)</f>
        <v/>
      </c>
      <c r="V107" s="16">
        <f>IF(資金模擬!$B$9=2,MAX(R107,0),MAX(V106,FLOOR(MAX(R107,0),資金模擬!$B$6)))</f>
        <v/>
      </c>
      <c r="W107" s="10">
        <f>MAX(W106,R107)</f>
        <v/>
      </c>
      <c r="X107" s="4">
        <f>IF(W107&gt;0,R107/W107-1,-1)</f>
        <v/>
      </c>
      <c r="Y107" s="16">
        <f>IF(R107&gt;0,S107*資金模擬!$B$7/R107,0)</f>
        <v/>
      </c>
      <c r="Z107" s="2">
        <f>IF(OR(Z106=1,R107&lt;=資金模擬!$B$10),1,0)</f>
        <v/>
      </c>
    </row>
    <row r="108">
      <c r="A108" s="2" t="n">
        <v>106</v>
      </c>
      <c r="B108" s="7" t="n">
        <v>46274.50347222222</v>
      </c>
      <c r="C108" s="2" t="inlineStr">
        <is>
          <t>出場</t>
        </is>
      </c>
      <c r="D108" s="2" t="n">
        <v>53</v>
      </c>
      <c r="E108" s="2" t="inlineStr">
        <is>
          <t>KAT_USDT_PERP</t>
        </is>
      </c>
      <c r="F108" s="2" t="inlineStr">
        <is>
          <t>做空</t>
        </is>
      </c>
      <c r="G108" s="17" t="n">
        <v>0.006139</v>
      </c>
      <c r="H108" s="17" t="n">
        <v>0.00589344</v>
      </c>
      <c r="I108" s="17" t="n">
        <v>0.006445950000000001</v>
      </c>
      <c r="J108" s="17" t="n">
        <v>0.00589344</v>
      </c>
      <c r="K108" s="2" t="inlineStr">
        <is>
          <t>止盈</t>
        </is>
      </c>
      <c r="L108" s="5">
        <f>交易明細!K54</f>
        <v/>
      </c>
      <c r="M108" s="16">
        <f>M107</f>
        <v/>
      </c>
      <c r="N108" s="2">
        <f>N107</f>
        <v/>
      </c>
      <c r="O108" s="16">
        <f>O107</f>
        <v/>
      </c>
      <c r="P108" s="4">
        <f>交易明細!L54</f>
        <v/>
      </c>
      <c r="Q108" s="10">
        <f>IF(N108="已下單",O108*P108,0)</f>
        <v/>
      </c>
      <c r="R108" s="10">
        <f>R107+Q108</f>
        <v/>
      </c>
      <c r="S108" s="16">
        <f>S107-IF(N108="已下單",M108,0)</f>
        <v/>
      </c>
      <c r="T108" s="16">
        <f>R108-S108</f>
        <v/>
      </c>
      <c r="U108" s="2">
        <f>U107-IF(N108="已下單",1,0)</f>
        <v/>
      </c>
      <c r="V108" s="16">
        <f>IF(資金模擬!$B$9=2,MAX(R108,0),MAX(V107,FLOOR(MAX(R108,0),資金模擬!$B$6)))</f>
        <v/>
      </c>
      <c r="W108" s="10">
        <f>MAX(W107,R108)</f>
        <v/>
      </c>
      <c r="X108" s="4">
        <f>IF(W108&gt;0,R108/W108-1,-1)</f>
        <v/>
      </c>
      <c r="Y108" s="16">
        <f>IF(R108&gt;0,S108*資金模擬!$B$7/R108,0)</f>
        <v/>
      </c>
      <c r="Z108" s="2">
        <f>IF(OR(Z107=1,R108&lt;=資金模擬!$B$10),1,0)</f>
        <v/>
      </c>
    </row>
    <row r="109">
      <c r="A109" s="2" t="n">
        <v>107</v>
      </c>
      <c r="B109" s="7" t="n">
        <v>46274.51388888889</v>
      </c>
      <c r="C109" s="2" t="inlineStr">
        <is>
          <t>進場</t>
        </is>
      </c>
      <c r="D109" s="2" t="n">
        <v>54</v>
      </c>
      <c r="E109" s="2" t="inlineStr">
        <is>
          <t>PROS_USDT_PERP</t>
        </is>
      </c>
      <c r="F109" s="2" t="inlineStr">
        <is>
          <t>做空</t>
        </is>
      </c>
      <c r="G109" s="17" t="n">
        <v>0.5004999999999999</v>
      </c>
      <c r="H109" s="17" t="n">
        <v>0.4804799999999999</v>
      </c>
      <c r="I109" s="17" t="n">
        <v>0.525525</v>
      </c>
      <c r="J109" s="17" t="n"/>
      <c r="K109" s="2" t="n"/>
      <c r="L109" s="5" t="n"/>
      <c r="M109" s="16">
        <f>資金模擬!$B$5*V108</f>
        <v/>
      </c>
      <c r="N109" s="2">
        <f>IF(Z108=1,"已停止",IF(T108&gt;=M109,"已下單","資金不足略過"))</f>
        <v/>
      </c>
      <c r="O109" s="16">
        <f>IF(N109="已下單",M109*資金模擬!$B$7,0)</f>
        <v/>
      </c>
      <c r="P109" s="4" t="n"/>
      <c r="Q109" s="10" t="n">
        <v>0</v>
      </c>
      <c r="R109" s="10">
        <f>R108+Q109</f>
        <v/>
      </c>
      <c r="S109" s="16">
        <f>S108+IF(N109="已下單",M109,0)</f>
        <v/>
      </c>
      <c r="T109" s="16">
        <f>R109-S109</f>
        <v/>
      </c>
      <c r="U109" s="2">
        <f>U108+IF(N109="已下單",1,0)</f>
        <v/>
      </c>
      <c r="V109" s="16">
        <f>IF(資金模擬!$B$9=2,MAX(R109,0),MAX(V108,FLOOR(MAX(R109,0),資金模擬!$B$6)))</f>
        <v/>
      </c>
      <c r="W109" s="10">
        <f>MAX(W108,R109)</f>
        <v/>
      </c>
      <c r="X109" s="4">
        <f>IF(W109&gt;0,R109/W109-1,-1)</f>
        <v/>
      </c>
      <c r="Y109" s="16">
        <f>IF(R109&gt;0,S109*資金模擬!$B$7/R109,0)</f>
        <v/>
      </c>
      <c r="Z109" s="2">
        <f>IF(OR(Z108=1,R109&lt;=資金模擬!$B$10),1,0)</f>
        <v/>
      </c>
    </row>
    <row r="110">
      <c r="A110" s="2" t="n">
        <v>108</v>
      </c>
      <c r="B110" s="7" t="n">
        <v>46274.53125</v>
      </c>
      <c r="C110" s="2" t="inlineStr">
        <is>
          <t>出場</t>
        </is>
      </c>
      <c r="D110" s="2" t="n">
        <v>54</v>
      </c>
      <c r="E110" s="2" t="inlineStr">
        <is>
          <t>PROS_USDT_PERP</t>
        </is>
      </c>
      <c r="F110" s="2" t="inlineStr">
        <is>
          <t>做空</t>
        </is>
      </c>
      <c r="G110" s="17" t="n">
        <v>0.5004999999999999</v>
      </c>
      <c r="H110" s="17" t="n">
        <v>0.4804799999999999</v>
      </c>
      <c r="I110" s="17" t="n">
        <v>0.525525</v>
      </c>
      <c r="J110" s="17" t="n">
        <v>0.525525</v>
      </c>
      <c r="K110" s="2" t="inlineStr">
        <is>
          <t>止損</t>
        </is>
      </c>
      <c r="L110" s="5">
        <f>交易明細!K55</f>
        <v/>
      </c>
      <c r="M110" s="16">
        <f>M109</f>
        <v/>
      </c>
      <c r="N110" s="2">
        <f>N109</f>
        <v/>
      </c>
      <c r="O110" s="16">
        <f>O109</f>
        <v/>
      </c>
      <c r="P110" s="4">
        <f>交易明細!L55</f>
        <v/>
      </c>
      <c r="Q110" s="10">
        <f>IF(N110="已下單",O110*P110,0)</f>
        <v/>
      </c>
      <c r="R110" s="10">
        <f>R109+Q110</f>
        <v/>
      </c>
      <c r="S110" s="16">
        <f>S109-IF(N110="已下單",M110,0)</f>
        <v/>
      </c>
      <c r="T110" s="16">
        <f>R110-S110</f>
        <v/>
      </c>
      <c r="U110" s="2">
        <f>U109-IF(N110="已下單",1,0)</f>
        <v/>
      </c>
      <c r="V110" s="16">
        <f>IF(資金模擬!$B$9=2,MAX(R110,0),MAX(V109,FLOOR(MAX(R110,0),資金模擬!$B$6)))</f>
        <v/>
      </c>
      <c r="W110" s="10">
        <f>MAX(W109,R110)</f>
        <v/>
      </c>
      <c r="X110" s="4">
        <f>IF(W110&gt;0,R110/W110-1,-1)</f>
        <v/>
      </c>
      <c r="Y110" s="16">
        <f>IF(R110&gt;0,S110*資金模擬!$B$7/R110,0)</f>
        <v/>
      </c>
      <c r="Z110" s="2">
        <f>IF(OR(Z109=1,R110&lt;=資金模擬!$B$10),1,0)</f>
        <v/>
      </c>
    </row>
    <row r="111">
      <c r="A111" s="2" t="n">
        <v>109</v>
      </c>
      <c r="B111" s="7" t="n">
        <v>46275.03472222222</v>
      </c>
      <c r="C111" s="2" t="inlineStr">
        <is>
          <t>進場</t>
        </is>
      </c>
      <c r="D111" s="2" t="n">
        <v>55</v>
      </c>
      <c r="E111" s="2" t="inlineStr">
        <is>
          <t>PHA_USDT_PERP</t>
        </is>
      </c>
      <c r="F111" s="2" t="inlineStr">
        <is>
          <t>做空</t>
        </is>
      </c>
      <c r="G111" s="17" t="n">
        <v>0.03342</v>
      </c>
      <c r="H111" s="17" t="n">
        <v>0.0320832</v>
      </c>
      <c r="I111" s="17" t="n">
        <v>0.035091</v>
      </c>
      <c r="J111" s="17" t="n"/>
      <c r="K111" s="2" t="n"/>
      <c r="L111" s="5" t="n"/>
      <c r="M111" s="16">
        <f>資金模擬!$B$5*V110</f>
        <v/>
      </c>
      <c r="N111" s="2">
        <f>IF(Z110=1,"已停止",IF(T110&gt;=M111,"已下單","資金不足略過"))</f>
        <v/>
      </c>
      <c r="O111" s="16">
        <f>IF(N111="已下單",M111*資金模擬!$B$7,0)</f>
        <v/>
      </c>
      <c r="P111" s="4" t="n"/>
      <c r="Q111" s="10" t="n">
        <v>0</v>
      </c>
      <c r="R111" s="10">
        <f>R110+Q111</f>
        <v/>
      </c>
      <c r="S111" s="16">
        <f>S110+IF(N111="已下單",M111,0)</f>
        <v/>
      </c>
      <c r="T111" s="16">
        <f>R111-S111</f>
        <v/>
      </c>
      <c r="U111" s="2">
        <f>U110+IF(N111="已下單",1,0)</f>
        <v/>
      </c>
      <c r="V111" s="16">
        <f>IF(資金模擬!$B$9=2,MAX(R111,0),MAX(V110,FLOOR(MAX(R111,0),資金模擬!$B$6)))</f>
        <v/>
      </c>
      <c r="W111" s="10">
        <f>MAX(W110,R111)</f>
        <v/>
      </c>
      <c r="X111" s="4">
        <f>IF(W111&gt;0,R111/W111-1,-1)</f>
        <v/>
      </c>
      <c r="Y111" s="16">
        <f>IF(R111&gt;0,S111*資金模擬!$B$7/R111,0)</f>
        <v/>
      </c>
      <c r="Z111" s="2">
        <f>IF(OR(Z110=1,R111&lt;=資金模擬!$B$10),1,0)</f>
        <v/>
      </c>
    </row>
    <row r="112">
      <c r="A112" s="2" t="n">
        <v>110</v>
      </c>
      <c r="B112" s="7" t="n">
        <v>46275.04861111111</v>
      </c>
      <c r="C112" s="2" t="inlineStr">
        <is>
          <t>出場</t>
        </is>
      </c>
      <c r="D112" s="2" t="n">
        <v>55</v>
      </c>
      <c r="E112" s="2" t="inlineStr">
        <is>
          <t>PHA_USDT_PERP</t>
        </is>
      </c>
      <c r="F112" s="2" t="inlineStr">
        <is>
          <t>做空</t>
        </is>
      </c>
      <c r="G112" s="17" t="n">
        <v>0.03342</v>
      </c>
      <c r="H112" s="17" t="n">
        <v>0.0320832</v>
      </c>
      <c r="I112" s="17" t="n">
        <v>0.035091</v>
      </c>
      <c r="J112" s="17" t="n">
        <v>0.0320832</v>
      </c>
      <c r="K112" s="2" t="inlineStr">
        <is>
          <t>止盈</t>
        </is>
      </c>
      <c r="L112" s="5">
        <f>交易明細!K56</f>
        <v/>
      </c>
      <c r="M112" s="16">
        <f>M111</f>
        <v/>
      </c>
      <c r="N112" s="2">
        <f>N111</f>
        <v/>
      </c>
      <c r="O112" s="16">
        <f>O111</f>
        <v/>
      </c>
      <c r="P112" s="4">
        <f>交易明細!L56</f>
        <v/>
      </c>
      <c r="Q112" s="10">
        <f>IF(N112="已下單",O112*P112,0)</f>
        <v/>
      </c>
      <c r="R112" s="10">
        <f>R111+Q112</f>
        <v/>
      </c>
      <c r="S112" s="16">
        <f>S111-IF(N112="已下單",M112,0)</f>
        <v/>
      </c>
      <c r="T112" s="16">
        <f>R112-S112</f>
        <v/>
      </c>
      <c r="U112" s="2">
        <f>U111-IF(N112="已下單",1,0)</f>
        <v/>
      </c>
      <c r="V112" s="16">
        <f>IF(資金模擬!$B$9=2,MAX(R112,0),MAX(V111,FLOOR(MAX(R112,0),資金模擬!$B$6)))</f>
        <v/>
      </c>
      <c r="W112" s="10">
        <f>MAX(W111,R112)</f>
        <v/>
      </c>
      <c r="X112" s="4">
        <f>IF(W112&gt;0,R112/W112-1,-1)</f>
        <v/>
      </c>
      <c r="Y112" s="16">
        <f>IF(R112&gt;0,S112*資金模擬!$B$7/R112,0)</f>
        <v/>
      </c>
      <c r="Z112" s="2">
        <f>IF(OR(Z111=1,R112&lt;=資金模擬!$B$10),1,0)</f>
        <v/>
      </c>
    </row>
    <row r="113">
      <c r="A113" s="2" t="n">
        <v>111</v>
      </c>
      <c r="B113" s="7" t="n">
        <v>46275.54513888889</v>
      </c>
      <c r="C113" s="2" t="inlineStr">
        <is>
          <t>進場</t>
        </is>
      </c>
      <c r="D113" s="2" t="n">
        <v>56</v>
      </c>
      <c r="E113" s="2" t="inlineStr">
        <is>
          <t>REZ_USDT_PERP</t>
        </is>
      </c>
      <c r="F113" s="2" t="inlineStr">
        <is>
          <t>做空</t>
        </is>
      </c>
      <c r="G113" s="17" t="n">
        <v>0.00362</v>
      </c>
      <c r="H113" s="17" t="n">
        <v>0.0034752</v>
      </c>
      <c r="I113" s="17" t="n">
        <v>0.003801</v>
      </c>
      <c r="J113" s="17" t="n"/>
      <c r="K113" s="2" t="n"/>
      <c r="L113" s="5" t="n"/>
      <c r="M113" s="16">
        <f>資金模擬!$B$5*V112</f>
        <v/>
      </c>
      <c r="N113" s="2">
        <f>IF(Z112=1,"已停止",IF(T112&gt;=M113,"已下單","資金不足略過"))</f>
        <v/>
      </c>
      <c r="O113" s="16">
        <f>IF(N113="已下單",M113*資金模擬!$B$7,0)</f>
        <v/>
      </c>
      <c r="P113" s="4" t="n"/>
      <c r="Q113" s="10" t="n">
        <v>0</v>
      </c>
      <c r="R113" s="10">
        <f>R112+Q113</f>
        <v/>
      </c>
      <c r="S113" s="16">
        <f>S112+IF(N113="已下單",M113,0)</f>
        <v/>
      </c>
      <c r="T113" s="16">
        <f>R113-S113</f>
        <v/>
      </c>
      <c r="U113" s="2">
        <f>U112+IF(N113="已下單",1,0)</f>
        <v/>
      </c>
      <c r="V113" s="16">
        <f>IF(資金模擬!$B$9=2,MAX(R113,0),MAX(V112,FLOOR(MAX(R113,0),資金模擬!$B$6)))</f>
        <v/>
      </c>
      <c r="W113" s="10">
        <f>MAX(W112,R113)</f>
        <v/>
      </c>
      <c r="X113" s="4">
        <f>IF(W113&gt;0,R113/W113-1,-1)</f>
        <v/>
      </c>
      <c r="Y113" s="16">
        <f>IF(R113&gt;0,S113*資金模擬!$B$7/R113,0)</f>
        <v/>
      </c>
      <c r="Z113" s="2">
        <f>IF(OR(Z112=1,R113&lt;=資金模擬!$B$10),1,0)</f>
        <v/>
      </c>
    </row>
    <row r="114">
      <c r="A114" s="2" t="n">
        <v>112</v>
      </c>
      <c r="B114" s="7" t="n">
        <v>46275.55555555555</v>
      </c>
      <c r="C114" s="2" t="inlineStr">
        <is>
          <t>出場</t>
        </is>
      </c>
      <c r="D114" s="2" t="n">
        <v>56</v>
      </c>
      <c r="E114" s="2" t="inlineStr">
        <is>
          <t>REZ_USDT_PERP</t>
        </is>
      </c>
      <c r="F114" s="2" t="inlineStr">
        <is>
          <t>做空</t>
        </is>
      </c>
      <c r="G114" s="17" t="n">
        <v>0.00362</v>
      </c>
      <c r="H114" s="17" t="n">
        <v>0.0034752</v>
      </c>
      <c r="I114" s="17" t="n">
        <v>0.003801</v>
      </c>
      <c r="J114" s="17" t="n">
        <v>0.003801</v>
      </c>
      <c r="K114" s="2" t="inlineStr">
        <is>
          <t>止損</t>
        </is>
      </c>
      <c r="L114" s="5">
        <f>交易明細!K57</f>
        <v/>
      </c>
      <c r="M114" s="16">
        <f>M113</f>
        <v/>
      </c>
      <c r="N114" s="2">
        <f>N113</f>
        <v/>
      </c>
      <c r="O114" s="16">
        <f>O113</f>
        <v/>
      </c>
      <c r="P114" s="4">
        <f>交易明細!L57</f>
        <v/>
      </c>
      <c r="Q114" s="10">
        <f>IF(N114="已下單",O114*P114,0)</f>
        <v/>
      </c>
      <c r="R114" s="10">
        <f>R113+Q114</f>
        <v/>
      </c>
      <c r="S114" s="16">
        <f>S113-IF(N114="已下單",M114,0)</f>
        <v/>
      </c>
      <c r="T114" s="16">
        <f>R114-S114</f>
        <v/>
      </c>
      <c r="U114" s="2">
        <f>U113-IF(N114="已下單",1,0)</f>
        <v/>
      </c>
      <c r="V114" s="16">
        <f>IF(資金模擬!$B$9=2,MAX(R114,0),MAX(V113,FLOOR(MAX(R114,0),資金模擬!$B$6)))</f>
        <v/>
      </c>
      <c r="W114" s="10">
        <f>MAX(W113,R114)</f>
        <v/>
      </c>
      <c r="X114" s="4">
        <f>IF(W114&gt;0,R114/W114-1,-1)</f>
        <v/>
      </c>
      <c r="Y114" s="16">
        <f>IF(R114&gt;0,S114*資金模擬!$B$7/R114,0)</f>
        <v/>
      </c>
      <c r="Z114" s="2">
        <f>IF(OR(Z113=1,R114&lt;=資金模擬!$B$10),1,0)</f>
        <v/>
      </c>
    </row>
    <row r="115">
      <c r="A115" s="2" t="n">
        <v>113</v>
      </c>
      <c r="B115" s="7" t="n">
        <v>46275.63541666666</v>
      </c>
      <c r="C115" s="2" t="inlineStr">
        <is>
          <t>進場</t>
        </is>
      </c>
      <c r="D115" s="2" t="n">
        <v>57</v>
      </c>
      <c r="E115" s="2" t="inlineStr">
        <is>
          <t>ANIME_USDT_PERP</t>
        </is>
      </c>
      <c r="F115" s="2" t="inlineStr">
        <is>
          <t>做空</t>
        </is>
      </c>
      <c r="G115" s="17" t="n">
        <v>0.003552</v>
      </c>
      <c r="H115" s="17" t="n">
        <v>0.00340992</v>
      </c>
      <c r="I115" s="17" t="n">
        <v>0.0037296</v>
      </c>
      <c r="J115" s="17" t="n"/>
      <c r="K115" s="2" t="n"/>
      <c r="L115" s="5" t="n"/>
      <c r="M115" s="16">
        <f>資金模擬!$B$5*V114</f>
        <v/>
      </c>
      <c r="N115" s="2">
        <f>IF(Z114=1,"已停止",IF(T114&gt;=M115,"已下單","資金不足略過"))</f>
        <v/>
      </c>
      <c r="O115" s="16">
        <f>IF(N115="已下單",M115*資金模擬!$B$7,0)</f>
        <v/>
      </c>
      <c r="P115" s="4" t="n"/>
      <c r="Q115" s="10" t="n">
        <v>0</v>
      </c>
      <c r="R115" s="10">
        <f>R114+Q115</f>
        <v/>
      </c>
      <c r="S115" s="16">
        <f>S114+IF(N115="已下單",M115,0)</f>
        <v/>
      </c>
      <c r="T115" s="16">
        <f>R115-S115</f>
        <v/>
      </c>
      <c r="U115" s="2">
        <f>U114+IF(N115="已下單",1,0)</f>
        <v/>
      </c>
      <c r="V115" s="16">
        <f>IF(資金模擬!$B$9=2,MAX(R115,0),MAX(V114,FLOOR(MAX(R115,0),資金模擬!$B$6)))</f>
        <v/>
      </c>
      <c r="W115" s="10">
        <f>MAX(W114,R115)</f>
        <v/>
      </c>
      <c r="X115" s="4">
        <f>IF(W115&gt;0,R115/W115-1,-1)</f>
        <v/>
      </c>
      <c r="Y115" s="16">
        <f>IF(R115&gt;0,S115*資金模擬!$B$7/R115,0)</f>
        <v/>
      </c>
      <c r="Z115" s="2">
        <f>IF(OR(Z114=1,R115&lt;=資金模擬!$B$10),1,0)</f>
        <v/>
      </c>
    </row>
    <row r="116">
      <c r="A116" s="2" t="n">
        <v>114</v>
      </c>
      <c r="B116" s="7" t="n">
        <v>46275.64583333334</v>
      </c>
      <c r="C116" s="2" t="inlineStr">
        <is>
          <t>出場</t>
        </is>
      </c>
      <c r="D116" s="2" t="n">
        <v>57</v>
      </c>
      <c r="E116" s="2" t="inlineStr">
        <is>
          <t>ANIME_USDT_PERP</t>
        </is>
      </c>
      <c r="F116" s="2" t="inlineStr">
        <is>
          <t>做空</t>
        </is>
      </c>
      <c r="G116" s="17" t="n">
        <v>0.003552</v>
      </c>
      <c r="H116" s="17" t="n">
        <v>0.00340992</v>
      </c>
      <c r="I116" s="17" t="n">
        <v>0.0037296</v>
      </c>
      <c r="J116" s="17" t="n">
        <v>0.00340992</v>
      </c>
      <c r="K116" s="2" t="inlineStr">
        <is>
          <t>止盈</t>
        </is>
      </c>
      <c r="L116" s="5">
        <f>交易明細!K58</f>
        <v/>
      </c>
      <c r="M116" s="16">
        <f>M115</f>
        <v/>
      </c>
      <c r="N116" s="2">
        <f>N115</f>
        <v/>
      </c>
      <c r="O116" s="16">
        <f>O115</f>
        <v/>
      </c>
      <c r="P116" s="4">
        <f>交易明細!L58</f>
        <v/>
      </c>
      <c r="Q116" s="10">
        <f>IF(N116="已下單",O116*P116,0)</f>
        <v/>
      </c>
      <c r="R116" s="10">
        <f>R115+Q116</f>
        <v/>
      </c>
      <c r="S116" s="16">
        <f>S115-IF(N116="已下單",M116,0)</f>
        <v/>
      </c>
      <c r="T116" s="16">
        <f>R116-S116</f>
        <v/>
      </c>
      <c r="U116" s="2">
        <f>U115-IF(N116="已下單",1,0)</f>
        <v/>
      </c>
      <c r="V116" s="16">
        <f>IF(資金模擬!$B$9=2,MAX(R116,0),MAX(V115,FLOOR(MAX(R116,0),資金模擬!$B$6)))</f>
        <v/>
      </c>
      <c r="W116" s="10">
        <f>MAX(W115,R116)</f>
        <v/>
      </c>
      <c r="X116" s="4">
        <f>IF(W116&gt;0,R116/W116-1,-1)</f>
        <v/>
      </c>
      <c r="Y116" s="16">
        <f>IF(R116&gt;0,S116*資金模擬!$B$7/R116,0)</f>
        <v/>
      </c>
      <c r="Z116" s="2">
        <f>IF(OR(Z115=1,R116&lt;=資金模擬!$B$10),1,0)</f>
        <v/>
      </c>
    </row>
    <row r="117">
      <c r="A117" s="2" t="n">
        <v>115</v>
      </c>
      <c r="B117" s="7" t="n">
        <v>46276.02430555555</v>
      </c>
      <c r="C117" s="2" t="inlineStr">
        <is>
          <t>進場</t>
        </is>
      </c>
      <c r="D117" s="2" t="n">
        <v>58</v>
      </c>
      <c r="E117" s="2" t="inlineStr">
        <is>
          <t>SAGA_USDT_PERP</t>
        </is>
      </c>
      <c r="F117" s="2" t="inlineStr">
        <is>
          <t>做空</t>
        </is>
      </c>
      <c r="G117" s="17" t="n">
        <v>0.01776</v>
      </c>
      <c r="H117" s="17" t="n">
        <v>0.0170496</v>
      </c>
      <c r="I117" s="17" t="n">
        <v>0.018648</v>
      </c>
      <c r="J117" s="17" t="n"/>
      <c r="K117" s="2" t="n"/>
      <c r="L117" s="5" t="n"/>
      <c r="M117" s="16">
        <f>資金模擬!$B$5*V116</f>
        <v/>
      </c>
      <c r="N117" s="2">
        <f>IF(Z116=1,"已停止",IF(T116&gt;=M117,"已下單","資金不足略過"))</f>
        <v/>
      </c>
      <c r="O117" s="16">
        <f>IF(N117="已下單",M117*資金模擬!$B$7,0)</f>
        <v/>
      </c>
      <c r="P117" s="4" t="n"/>
      <c r="Q117" s="10" t="n">
        <v>0</v>
      </c>
      <c r="R117" s="10">
        <f>R116+Q117</f>
        <v/>
      </c>
      <c r="S117" s="16">
        <f>S116+IF(N117="已下單",M117,0)</f>
        <v/>
      </c>
      <c r="T117" s="16">
        <f>R117-S117</f>
        <v/>
      </c>
      <c r="U117" s="2">
        <f>U116+IF(N117="已下單",1,0)</f>
        <v/>
      </c>
      <c r="V117" s="16">
        <f>IF(資金模擬!$B$9=2,MAX(R117,0),MAX(V116,FLOOR(MAX(R117,0),資金模擬!$B$6)))</f>
        <v/>
      </c>
      <c r="W117" s="10">
        <f>MAX(W116,R117)</f>
        <v/>
      </c>
      <c r="X117" s="4">
        <f>IF(W117&gt;0,R117/W117-1,-1)</f>
        <v/>
      </c>
      <c r="Y117" s="16">
        <f>IF(R117&gt;0,S117*資金模擬!$B$7/R117,0)</f>
        <v/>
      </c>
      <c r="Z117" s="2">
        <f>IF(OR(Z116=1,R117&lt;=資金模擬!$B$10),1,0)</f>
        <v/>
      </c>
    </row>
    <row r="118">
      <c r="A118" s="2" t="n">
        <v>116</v>
      </c>
      <c r="B118" s="7" t="n">
        <v>46276.07638888889</v>
      </c>
      <c r="C118" s="2" t="inlineStr">
        <is>
          <t>出場</t>
        </is>
      </c>
      <c r="D118" s="2" t="n">
        <v>58</v>
      </c>
      <c r="E118" s="2" t="inlineStr">
        <is>
          <t>SAGA_USDT_PERP</t>
        </is>
      </c>
      <c r="F118" s="2" t="inlineStr">
        <is>
          <t>做空</t>
        </is>
      </c>
      <c r="G118" s="17" t="n">
        <v>0.01776</v>
      </c>
      <c r="H118" s="17" t="n">
        <v>0.0170496</v>
      </c>
      <c r="I118" s="17" t="n">
        <v>0.018648</v>
      </c>
      <c r="J118" s="17" t="n">
        <v>0.0170496</v>
      </c>
      <c r="K118" s="2" t="inlineStr">
        <is>
          <t>止盈</t>
        </is>
      </c>
      <c r="L118" s="5">
        <f>交易明細!K59</f>
        <v/>
      </c>
      <c r="M118" s="16">
        <f>M117</f>
        <v/>
      </c>
      <c r="N118" s="2">
        <f>N117</f>
        <v/>
      </c>
      <c r="O118" s="16">
        <f>O117</f>
        <v/>
      </c>
      <c r="P118" s="4">
        <f>交易明細!L59</f>
        <v/>
      </c>
      <c r="Q118" s="10">
        <f>IF(N118="已下單",O118*P118,0)</f>
        <v/>
      </c>
      <c r="R118" s="10">
        <f>R117+Q118</f>
        <v/>
      </c>
      <c r="S118" s="16">
        <f>S117-IF(N118="已下單",M118,0)</f>
        <v/>
      </c>
      <c r="T118" s="16">
        <f>R118-S118</f>
        <v/>
      </c>
      <c r="U118" s="2">
        <f>U117-IF(N118="已下單",1,0)</f>
        <v/>
      </c>
      <c r="V118" s="16">
        <f>IF(資金模擬!$B$9=2,MAX(R118,0),MAX(V117,FLOOR(MAX(R118,0),資金模擬!$B$6)))</f>
        <v/>
      </c>
      <c r="W118" s="10">
        <f>MAX(W117,R118)</f>
        <v/>
      </c>
      <c r="X118" s="4">
        <f>IF(W118&gt;0,R118/W118-1,-1)</f>
        <v/>
      </c>
      <c r="Y118" s="16">
        <f>IF(R118&gt;0,S118*資金模擬!$B$7/R118,0)</f>
        <v/>
      </c>
      <c r="Z118" s="2">
        <f>IF(OR(Z117=1,R118&lt;=資金模擬!$B$10),1,0)</f>
        <v/>
      </c>
    </row>
    <row r="119">
      <c r="A119" s="2" t="n">
        <v>117</v>
      </c>
      <c r="B119" s="7" t="n">
        <v>46276.14236111111</v>
      </c>
      <c r="C119" s="2" t="inlineStr">
        <is>
          <t>進場</t>
        </is>
      </c>
      <c r="D119" s="2" t="n">
        <v>59</v>
      </c>
      <c r="E119" s="2" t="inlineStr">
        <is>
          <t>哈基米_USDT_PERP</t>
        </is>
      </c>
      <c r="F119" s="2" t="inlineStr">
        <is>
          <t>做空</t>
        </is>
      </c>
      <c r="G119" s="17" t="n">
        <v>0.03622</v>
      </c>
      <c r="H119" s="17" t="n">
        <v>0.0347712</v>
      </c>
      <c r="I119" s="17" t="n">
        <v>0.038031</v>
      </c>
      <c r="J119" s="17" t="n"/>
      <c r="K119" s="2" t="n"/>
      <c r="L119" s="5" t="n"/>
      <c r="M119" s="16">
        <f>資金模擬!$B$5*V118</f>
        <v/>
      </c>
      <c r="N119" s="2">
        <f>IF(Z118=1,"已停止",IF(T118&gt;=M119,"已下單","資金不足略過"))</f>
        <v/>
      </c>
      <c r="O119" s="16">
        <f>IF(N119="已下單",M119*資金模擬!$B$7,0)</f>
        <v/>
      </c>
      <c r="P119" s="4" t="n"/>
      <c r="Q119" s="10" t="n">
        <v>0</v>
      </c>
      <c r="R119" s="10">
        <f>R118+Q119</f>
        <v/>
      </c>
      <c r="S119" s="16">
        <f>S118+IF(N119="已下單",M119,0)</f>
        <v/>
      </c>
      <c r="T119" s="16">
        <f>R119-S119</f>
        <v/>
      </c>
      <c r="U119" s="2">
        <f>U118+IF(N119="已下單",1,0)</f>
        <v/>
      </c>
      <c r="V119" s="16">
        <f>IF(資金模擬!$B$9=2,MAX(R119,0),MAX(V118,FLOOR(MAX(R119,0),資金模擬!$B$6)))</f>
        <v/>
      </c>
      <c r="W119" s="10">
        <f>MAX(W118,R119)</f>
        <v/>
      </c>
      <c r="X119" s="4">
        <f>IF(W119&gt;0,R119/W119-1,-1)</f>
        <v/>
      </c>
      <c r="Y119" s="16">
        <f>IF(R119&gt;0,S119*資金模擬!$B$7/R119,0)</f>
        <v/>
      </c>
      <c r="Z119" s="2">
        <f>IF(OR(Z118=1,R119&lt;=資金模擬!$B$10),1,0)</f>
        <v/>
      </c>
    </row>
    <row r="120">
      <c r="A120" s="2" t="n">
        <v>118</v>
      </c>
      <c r="B120" s="7" t="n">
        <v>46276.15625</v>
      </c>
      <c r="C120" s="2" t="inlineStr">
        <is>
          <t>出場</t>
        </is>
      </c>
      <c r="D120" s="2" t="n">
        <v>59</v>
      </c>
      <c r="E120" s="2" t="inlineStr">
        <is>
          <t>哈基米_USDT_PERP</t>
        </is>
      </c>
      <c r="F120" s="2" t="inlineStr">
        <is>
          <t>做空</t>
        </is>
      </c>
      <c r="G120" s="17" t="n">
        <v>0.03622</v>
      </c>
      <c r="H120" s="17" t="n">
        <v>0.0347712</v>
      </c>
      <c r="I120" s="17" t="n">
        <v>0.038031</v>
      </c>
      <c r="J120" s="17" t="n">
        <v>0.038031</v>
      </c>
      <c r="K120" s="2" t="inlineStr">
        <is>
          <t>止損</t>
        </is>
      </c>
      <c r="L120" s="5">
        <f>交易明細!K60</f>
        <v/>
      </c>
      <c r="M120" s="16">
        <f>M119</f>
        <v/>
      </c>
      <c r="N120" s="2">
        <f>N119</f>
        <v/>
      </c>
      <c r="O120" s="16">
        <f>O119</f>
        <v/>
      </c>
      <c r="P120" s="4">
        <f>交易明細!L60</f>
        <v/>
      </c>
      <c r="Q120" s="10">
        <f>IF(N120="已下單",O120*P120,0)</f>
        <v/>
      </c>
      <c r="R120" s="10">
        <f>R119+Q120</f>
        <v/>
      </c>
      <c r="S120" s="16">
        <f>S119-IF(N120="已下單",M120,0)</f>
        <v/>
      </c>
      <c r="T120" s="16">
        <f>R120-S120</f>
        <v/>
      </c>
      <c r="U120" s="2">
        <f>U119-IF(N120="已下單",1,0)</f>
        <v/>
      </c>
      <c r="V120" s="16">
        <f>IF(資金模擬!$B$9=2,MAX(R120,0),MAX(V119,FLOOR(MAX(R120,0),資金模擬!$B$6)))</f>
        <v/>
      </c>
      <c r="W120" s="10">
        <f>MAX(W119,R120)</f>
        <v/>
      </c>
      <c r="X120" s="4">
        <f>IF(W120&gt;0,R120/W120-1,-1)</f>
        <v/>
      </c>
      <c r="Y120" s="16">
        <f>IF(R120&gt;0,S120*資金模擬!$B$7/R120,0)</f>
        <v/>
      </c>
      <c r="Z120" s="2">
        <f>IF(OR(Z119=1,R120&lt;=資金模擬!$B$10),1,0)</f>
        <v/>
      </c>
    </row>
    <row r="121">
      <c r="A121" s="2" t="n">
        <v>119</v>
      </c>
      <c r="B121" s="7" t="n">
        <v>46276.31944444445</v>
      </c>
      <c r="C121" s="2" t="inlineStr">
        <is>
          <t>進場</t>
        </is>
      </c>
      <c r="D121" s="2" t="n">
        <v>60</v>
      </c>
      <c r="E121" s="2" t="inlineStr">
        <is>
          <t>我踏马来了_USDT_PERP</t>
        </is>
      </c>
      <c r="F121" s="2" t="inlineStr">
        <is>
          <t>做空</t>
        </is>
      </c>
      <c r="G121" s="17" t="n">
        <v>0.012087</v>
      </c>
      <c r="H121" s="17" t="n">
        <v>0.01160352</v>
      </c>
      <c r="I121" s="17" t="n">
        <v>0.01269135</v>
      </c>
      <c r="J121" s="17" t="n"/>
      <c r="K121" s="2" t="n"/>
      <c r="L121" s="5" t="n"/>
      <c r="M121" s="16">
        <f>資金模擬!$B$5*V120</f>
        <v/>
      </c>
      <c r="N121" s="2">
        <f>IF(Z120=1,"已停止",IF(T120&gt;=M121,"已下單","資金不足略過"))</f>
        <v/>
      </c>
      <c r="O121" s="16">
        <f>IF(N121="已下單",M121*資金模擬!$B$7,0)</f>
        <v/>
      </c>
      <c r="P121" s="4" t="n"/>
      <c r="Q121" s="10" t="n">
        <v>0</v>
      </c>
      <c r="R121" s="10">
        <f>R120+Q121</f>
        <v/>
      </c>
      <c r="S121" s="16">
        <f>S120+IF(N121="已下單",M121,0)</f>
        <v/>
      </c>
      <c r="T121" s="16">
        <f>R121-S121</f>
        <v/>
      </c>
      <c r="U121" s="2">
        <f>U120+IF(N121="已下單",1,0)</f>
        <v/>
      </c>
      <c r="V121" s="16">
        <f>IF(資金模擬!$B$9=2,MAX(R121,0),MAX(V120,FLOOR(MAX(R121,0),資金模擬!$B$6)))</f>
        <v/>
      </c>
      <c r="W121" s="10">
        <f>MAX(W120,R121)</f>
        <v/>
      </c>
      <c r="X121" s="4">
        <f>IF(W121&gt;0,R121/W121-1,-1)</f>
        <v/>
      </c>
      <c r="Y121" s="16">
        <f>IF(R121&gt;0,S121*資金模擬!$B$7/R121,0)</f>
        <v/>
      </c>
      <c r="Z121" s="2">
        <f>IF(OR(Z120=1,R121&lt;=資金模擬!$B$10),1,0)</f>
        <v/>
      </c>
    </row>
    <row r="122">
      <c r="A122" s="2" t="n">
        <v>120</v>
      </c>
      <c r="B122" s="7" t="n">
        <v>46276.44097222222</v>
      </c>
      <c r="C122" s="2" t="inlineStr">
        <is>
          <t>出場</t>
        </is>
      </c>
      <c r="D122" s="2" t="n">
        <v>60</v>
      </c>
      <c r="E122" s="2" t="inlineStr">
        <is>
          <t>我踏马来了_USDT_PERP</t>
        </is>
      </c>
      <c r="F122" s="2" t="inlineStr">
        <is>
          <t>做空</t>
        </is>
      </c>
      <c r="G122" s="17" t="n">
        <v>0.012087</v>
      </c>
      <c r="H122" s="17" t="n">
        <v>0.01160352</v>
      </c>
      <c r="I122" s="17" t="n">
        <v>0.01269135</v>
      </c>
      <c r="J122" s="17" t="n">
        <v>0.01269135</v>
      </c>
      <c r="K122" s="2" t="inlineStr">
        <is>
          <t>止損</t>
        </is>
      </c>
      <c r="L122" s="5">
        <f>交易明細!K61</f>
        <v/>
      </c>
      <c r="M122" s="16">
        <f>M121</f>
        <v/>
      </c>
      <c r="N122" s="2">
        <f>N121</f>
        <v/>
      </c>
      <c r="O122" s="16">
        <f>O121</f>
        <v/>
      </c>
      <c r="P122" s="4">
        <f>交易明細!L61</f>
        <v/>
      </c>
      <c r="Q122" s="10">
        <f>IF(N122="已下單",O122*P122,0)</f>
        <v/>
      </c>
      <c r="R122" s="10">
        <f>R121+Q122</f>
        <v/>
      </c>
      <c r="S122" s="16">
        <f>S121-IF(N122="已下單",M122,0)</f>
        <v/>
      </c>
      <c r="T122" s="16">
        <f>R122-S122</f>
        <v/>
      </c>
      <c r="U122" s="2">
        <f>U121-IF(N122="已下單",1,0)</f>
        <v/>
      </c>
      <c r="V122" s="16">
        <f>IF(資金模擬!$B$9=2,MAX(R122,0),MAX(V121,FLOOR(MAX(R122,0),資金模擬!$B$6)))</f>
        <v/>
      </c>
      <c r="W122" s="10">
        <f>MAX(W121,R122)</f>
        <v/>
      </c>
      <c r="X122" s="4">
        <f>IF(W122&gt;0,R122/W122-1,-1)</f>
        <v/>
      </c>
      <c r="Y122" s="16">
        <f>IF(R122&gt;0,S122*資金模擬!$B$7/R122,0)</f>
        <v/>
      </c>
      <c r="Z122" s="2">
        <f>IF(OR(Z121=1,R122&lt;=資金模擬!$B$10),1,0)</f>
        <v/>
      </c>
    </row>
    <row r="123">
      <c r="A123" s="2" t="n">
        <v>121</v>
      </c>
      <c r="B123" s="7" t="n">
        <v>46276.48958333334</v>
      </c>
      <c r="C123" s="2" t="inlineStr">
        <is>
          <t>進場</t>
        </is>
      </c>
      <c r="D123" s="2" t="n">
        <v>61</v>
      </c>
      <c r="E123" s="2" t="inlineStr">
        <is>
          <t>哈基米_USDT_PERP</t>
        </is>
      </c>
      <c r="F123" s="2" t="inlineStr">
        <is>
          <t>做空</t>
        </is>
      </c>
      <c r="G123" s="17" t="n">
        <v>0.0411</v>
      </c>
      <c r="H123" s="17" t="n">
        <v>0.039456</v>
      </c>
      <c r="I123" s="17" t="n">
        <v>0.043155</v>
      </c>
      <c r="J123" s="17" t="n"/>
      <c r="K123" s="2" t="n"/>
      <c r="L123" s="5" t="n"/>
      <c r="M123" s="16">
        <f>資金模擬!$B$5*V122</f>
        <v/>
      </c>
      <c r="N123" s="2">
        <f>IF(Z122=1,"已停止",IF(T122&gt;=M123,"已下單","資金不足略過"))</f>
        <v/>
      </c>
      <c r="O123" s="16">
        <f>IF(N123="已下單",M123*資金模擬!$B$7,0)</f>
        <v/>
      </c>
      <c r="P123" s="4" t="n"/>
      <c r="Q123" s="10" t="n">
        <v>0</v>
      </c>
      <c r="R123" s="10">
        <f>R122+Q123</f>
        <v/>
      </c>
      <c r="S123" s="16">
        <f>S122+IF(N123="已下單",M123,0)</f>
        <v/>
      </c>
      <c r="T123" s="16">
        <f>R123-S123</f>
        <v/>
      </c>
      <c r="U123" s="2">
        <f>U122+IF(N123="已下單",1,0)</f>
        <v/>
      </c>
      <c r="V123" s="16">
        <f>IF(資金模擬!$B$9=2,MAX(R123,0),MAX(V122,FLOOR(MAX(R123,0),資金模擬!$B$6)))</f>
        <v/>
      </c>
      <c r="W123" s="10">
        <f>MAX(W122,R123)</f>
        <v/>
      </c>
      <c r="X123" s="4">
        <f>IF(W123&gt;0,R123/W123-1,-1)</f>
        <v/>
      </c>
      <c r="Y123" s="16">
        <f>IF(R123&gt;0,S123*資金模擬!$B$7/R123,0)</f>
        <v/>
      </c>
      <c r="Z123" s="2">
        <f>IF(OR(Z122=1,R123&lt;=資金模擬!$B$10),1,0)</f>
        <v/>
      </c>
    </row>
    <row r="124">
      <c r="A124" s="2" t="n">
        <v>122</v>
      </c>
      <c r="B124" s="7" t="n">
        <v>46276.50347222222</v>
      </c>
      <c r="C124" s="2" t="inlineStr">
        <is>
          <t>出場</t>
        </is>
      </c>
      <c r="D124" s="2" t="n">
        <v>61</v>
      </c>
      <c r="E124" s="2" t="inlineStr">
        <is>
          <t>哈基米_USDT_PERP</t>
        </is>
      </c>
      <c r="F124" s="2" t="inlineStr">
        <is>
          <t>做空</t>
        </is>
      </c>
      <c r="G124" s="17" t="n">
        <v>0.0411</v>
      </c>
      <c r="H124" s="17" t="n">
        <v>0.039456</v>
      </c>
      <c r="I124" s="17" t="n">
        <v>0.043155</v>
      </c>
      <c r="J124" s="17" t="n">
        <v>0.039456</v>
      </c>
      <c r="K124" s="2" t="inlineStr">
        <is>
          <t>止盈</t>
        </is>
      </c>
      <c r="L124" s="5">
        <f>交易明細!K62</f>
        <v/>
      </c>
      <c r="M124" s="16">
        <f>M123</f>
        <v/>
      </c>
      <c r="N124" s="2">
        <f>N123</f>
        <v/>
      </c>
      <c r="O124" s="16">
        <f>O123</f>
        <v/>
      </c>
      <c r="P124" s="4">
        <f>交易明細!L62</f>
        <v/>
      </c>
      <c r="Q124" s="10">
        <f>IF(N124="已下單",O124*P124,0)</f>
        <v/>
      </c>
      <c r="R124" s="10">
        <f>R123+Q124</f>
        <v/>
      </c>
      <c r="S124" s="16">
        <f>S123-IF(N124="已下單",M124,0)</f>
        <v/>
      </c>
      <c r="T124" s="16">
        <f>R124-S124</f>
        <v/>
      </c>
      <c r="U124" s="2">
        <f>U123-IF(N124="已下單",1,0)</f>
        <v/>
      </c>
      <c r="V124" s="16">
        <f>IF(資金模擬!$B$9=2,MAX(R124,0),MAX(V123,FLOOR(MAX(R124,0),資金模擬!$B$6)))</f>
        <v/>
      </c>
      <c r="W124" s="10">
        <f>MAX(W123,R124)</f>
        <v/>
      </c>
      <c r="X124" s="4">
        <f>IF(W124&gt;0,R124/W124-1,-1)</f>
        <v/>
      </c>
      <c r="Y124" s="16">
        <f>IF(R124&gt;0,S124*資金模擬!$B$7/R124,0)</f>
        <v/>
      </c>
      <c r="Z124" s="2">
        <f>IF(OR(Z123=1,R124&lt;=資金模擬!$B$10),1,0)</f>
        <v/>
      </c>
    </row>
    <row r="125">
      <c r="A125" s="2" t="n">
        <v>123</v>
      </c>
      <c r="B125" s="7" t="n">
        <v>46276.54513888889</v>
      </c>
      <c r="C125" s="2" t="inlineStr">
        <is>
          <t>進場</t>
        </is>
      </c>
      <c r="D125" s="2" t="n">
        <v>62</v>
      </c>
      <c r="E125" s="2" t="inlineStr">
        <is>
          <t>哈基米_USDT_PERP</t>
        </is>
      </c>
      <c r="F125" s="2" t="inlineStr">
        <is>
          <t>做空</t>
        </is>
      </c>
      <c r="G125" s="17" t="n">
        <v>0.04118</v>
      </c>
      <c r="H125" s="17" t="n">
        <v>0.0395328</v>
      </c>
      <c r="I125" s="17" t="n">
        <v>0.04323900000000001</v>
      </c>
      <c r="J125" s="17" t="n"/>
      <c r="K125" s="2" t="n"/>
      <c r="L125" s="5" t="n"/>
      <c r="M125" s="16">
        <f>資金模擬!$B$5*V124</f>
        <v/>
      </c>
      <c r="N125" s="2">
        <f>IF(Z124=1,"已停止",IF(T124&gt;=M125,"已下單","資金不足略過"))</f>
        <v/>
      </c>
      <c r="O125" s="16">
        <f>IF(N125="已下單",M125*資金模擬!$B$7,0)</f>
        <v/>
      </c>
      <c r="P125" s="4" t="n"/>
      <c r="Q125" s="10" t="n">
        <v>0</v>
      </c>
      <c r="R125" s="10">
        <f>R124+Q125</f>
        <v/>
      </c>
      <c r="S125" s="16">
        <f>S124+IF(N125="已下單",M125,0)</f>
        <v/>
      </c>
      <c r="T125" s="16">
        <f>R125-S125</f>
        <v/>
      </c>
      <c r="U125" s="2">
        <f>U124+IF(N125="已下單",1,0)</f>
        <v/>
      </c>
      <c r="V125" s="16">
        <f>IF(資金模擬!$B$9=2,MAX(R125,0),MAX(V124,FLOOR(MAX(R125,0),資金模擬!$B$6)))</f>
        <v/>
      </c>
      <c r="W125" s="10">
        <f>MAX(W124,R125)</f>
        <v/>
      </c>
      <c r="X125" s="4">
        <f>IF(W125&gt;0,R125/W125-1,-1)</f>
        <v/>
      </c>
      <c r="Y125" s="16">
        <f>IF(R125&gt;0,S125*資金模擬!$B$7/R125,0)</f>
        <v/>
      </c>
      <c r="Z125" s="2">
        <f>IF(OR(Z124=1,R125&lt;=資金模擬!$B$10),1,0)</f>
        <v/>
      </c>
    </row>
    <row r="126">
      <c r="A126" s="2" t="n">
        <v>124</v>
      </c>
      <c r="B126" s="7" t="n">
        <v>46276.55208333334</v>
      </c>
      <c r="C126" s="2" t="inlineStr">
        <is>
          <t>出場</t>
        </is>
      </c>
      <c r="D126" s="2" t="n">
        <v>62</v>
      </c>
      <c r="E126" s="2" t="inlineStr">
        <is>
          <t>哈基米_USDT_PERP</t>
        </is>
      </c>
      <c r="F126" s="2" t="inlineStr">
        <is>
          <t>做空</t>
        </is>
      </c>
      <c r="G126" s="17" t="n">
        <v>0.04118</v>
      </c>
      <c r="H126" s="17" t="n">
        <v>0.0395328</v>
      </c>
      <c r="I126" s="17" t="n">
        <v>0.04323900000000001</v>
      </c>
      <c r="J126" s="17" t="n">
        <v>0.0395328</v>
      </c>
      <c r="K126" s="2" t="inlineStr">
        <is>
          <t>止盈</t>
        </is>
      </c>
      <c r="L126" s="5">
        <f>交易明細!K63</f>
        <v/>
      </c>
      <c r="M126" s="16">
        <f>M125</f>
        <v/>
      </c>
      <c r="N126" s="2">
        <f>N125</f>
        <v/>
      </c>
      <c r="O126" s="16">
        <f>O125</f>
        <v/>
      </c>
      <c r="P126" s="4">
        <f>交易明細!L63</f>
        <v/>
      </c>
      <c r="Q126" s="10">
        <f>IF(N126="已下單",O126*P126,0)</f>
        <v/>
      </c>
      <c r="R126" s="10">
        <f>R125+Q126</f>
        <v/>
      </c>
      <c r="S126" s="16">
        <f>S125-IF(N126="已下單",M126,0)</f>
        <v/>
      </c>
      <c r="T126" s="16">
        <f>R126-S126</f>
        <v/>
      </c>
      <c r="U126" s="2">
        <f>U125-IF(N126="已下單",1,0)</f>
        <v/>
      </c>
      <c r="V126" s="16">
        <f>IF(資金模擬!$B$9=2,MAX(R126,0),MAX(V125,FLOOR(MAX(R126,0),資金模擬!$B$6)))</f>
        <v/>
      </c>
      <c r="W126" s="10">
        <f>MAX(W125,R126)</f>
        <v/>
      </c>
      <c r="X126" s="4">
        <f>IF(W126&gt;0,R126/W126-1,-1)</f>
        <v/>
      </c>
      <c r="Y126" s="16">
        <f>IF(R126&gt;0,S126*資金模擬!$B$7/R126,0)</f>
        <v/>
      </c>
      <c r="Z126" s="2">
        <f>IF(OR(Z125=1,R126&lt;=資金模擬!$B$10),1,0)</f>
        <v/>
      </c>
    </row>
    <row r="127">
      <c r="A127" s="2" t="n">
        <v>125</v>
      </c>
      <c r="B127" s="7" t="n">
        <v>46276.76388888889</v>
      </c>
      <c r="C127" s="2" t="inlineStr">
        <is>
          <t>進場</t>
        </is>
      </c>
      <c r="D127" s="2" t="n">
        <v>63</v>
      </c>
      <c r="E127" s="2" t="inlineStr">
        <is>
          <t>LAB_USDT_PERP</t>
        </is>
      </c>
      <c r="F127" s="2" t="inlineStr">
        <is>
          <t>做空</t>
        </is>
      </c>
      <c r="G127" s="17" t="n">
        <v>0.05873</v>
      </c>
      <c r="H127" s="17" t="n">
        <v>0.05638079999999999</v>
      </c>
      <c r="I127" s="17" t="n">
        <v>0.0616665</v>
      </c>
      <c r="J127" s="17" t="n"/>
      <c r="K127" s="2" t="n"/>
      <c r="L127" s="5" t="n"/>
      <c r="M127" s="16">
        <f>資金模擬!$B$5*V126</f>
        <v/>
      </c>
      <c r="N127" s="2">
        <f>IF(Z126=1,"已停止",IF(T126&gt;=M127,"已下單","資金不足略過"))</f>
        <v/>
      </c>
      <c r="O127" s="16">
        <f>IF(N127="已下單",M127*資金模擬!$B$7,0)</f>
        <v/>
      </c>
      <c r="P127" s="4" t="n"/>
      <c r="Q127" s="10" t="n">
        <v>0</v>
      </c>
      <c r="R127" s="10">
        <f>R126+Q127</f>
        <v/>
      </c>
      <c r="S127" s="16">
        <f>S126+IF(N127="已下單",M127,0)</f>
        <v/>
      </c>
      <c r="T127" s="16">
        <f>R127-S127</f>
        <v/>
      </c>
      <c r="U127" s="2">
        <f>U126+IF(N127="已下單",1,0)</f>
        <v/>
      </c>
      <c r="V127" s="16">
        <f>IF(資金模擬!$B$9=2,MAX(R127,0),MAX(V126,FLOOR(MAX(R127,0),資金模擬!$B$6)))</f>
        <v/>
      </c>
      <c r="W127" s="10">
        <f>MAX(W126,R127)</f>
        <v/>
      </c>
      <c r="X127" s="4">
        <f>IF(W127&gt;0,R127/W127-1,-1)</f>
        <v/>
      </c>
      <c r="Y127" s="16">
        <f>IF(R127&gt;0,S127*資金模擬!$B$7/R127,0)</f>
        <v/>
      </c>
      <c r="Z127" s="2">
        <f>IF(OR(Z126=1,R127&lt;=資金模擬!$B$10),1,0)</f>
        <v/>
      </c>
    </row>
    <row r="128">
      <c r="A128" s="2" t="n">
        <v>126</v>
      </c>
      <c r="B128" s="7" t="n">
        <v>46276.78125</v>
      </c>
      <c r="C128" s="2" t="inlineStr">
        <is>
          <t>出場</t>
        </is>
      </c>
      <c r="D128" s="2" t="n">
        <v>63</v>
      </c>
      <c r="E128" s="2" t="inlineStr">
        <is>
          <t>LAB_USDT_PERP</t>
        </is>
      </c>
      <c r="F128" s="2" t="inlineStr">
        <is>
          <t>做空</t>
        </is>
      </c>
      <c r="G128" s="17" t="n">
        <v>0.05873</v>
      </c>
      <c r="H128" s="17" t="n">
        <v>0.05638079999999999</v>
      </c>
      <c r="I128" s="17" t="n">
        <v>0.0616665</v>
      </c>
      <c r="J128" s="17" t="n">
        <v>0.0616665</v>
      </c>
      <c r="K128" s="2" t="inlineStr">
        <is>
          <t>止損</t>
        </is>
      </c>
      <c r="L128" s="5">
        <f>交易明細!K64</f>
        <v/>
      </c>
      <c r="M128" s="16">
        <f>M127</f>
        <v/>
      </c>
      <c r="N128" s="2">
        <f>N127</f>
        <v/>
      </c>
      <c r="O128" s="16">
        <f>O127</f>
        <v/>
      </c>
      <c r="P128" s="4">
        <f>交易明細!L64</f>
        <v/>
      </c>
      <c r="Q128" s="10">
        <f>IF(N128="已下單",O128*P128,0)</f>
        <v/>
      </c>
      <c r="R128" s="10">
        <f>R127+Q128</f>
        <v/>
      </c>
      <c r="S128" s="16">
        <f>S127-IF(N128="已下單",M128,0)</f>
        <v/>
      </c>
      <c r="T128" s="16">
        <f>R128-S128</f>
        <v/>
      </c>
      <c r="U128" s="2">
        <f>U127-IF(N128="已下單",1,0)</f>
        <v/>
      </c>
      <c r="V128" s="16">
        <f>IF(資金模擬!$B$9=2,MAX(R128,0),MAX(V127,FLOOR(MAX(R128,0),資金模擬!$B$6)))</f>
        <v/>
      </c>
      <c r="W128" s="10">
        <f>MAX(W127,R128)</f>
        <v/>
      </c>
      <c r="X128" s="4">
        <f>IF(W128&gt;0,R128/W128-1,-1)</f>
        <v/>
      </c>
      <c r="Y128" s="16">
        <f>IF(R128&gt;0,S128*資金模擬!$B$7/R128,0)</f>
        <v/>
      </c>
      <c r="Z128" s="2">
        <f>IF(OR(Z127=1,R128&lt;=資金模擬!$B$10),1,0)</f>
        <v/>
      </c>
    </row>
    <row r="129">
      <c r="A129" s="2" t="n">
        <v>127</v>
      </c>
      <c r="B129" s="7" t="n">
        <v>46276.92013888889</v>
      </c>
      <c r="C129" s="2" t="inlineStr">
        <is>
          <t>進場</t>
        </is>
      </c>
      <c r="D129" s="2" t="n">
        <v>64</v>
      </c>
      <c r="E129" s="2" t="inlineStr">
        <is>
          <t>CASHCAT_USDT_PERP</t>
        </is>
      </c>
      <c r="F129" s="2" t="inlineStr">
        <is>
          <t>做空</t>
        </is>
      </c>
      <c r="G129" s="17" t="n">
        <v>0.1886</v>
      </c>
      <c r="H129" s="17" t="n">
        <v>0.181056</v>
      </c>
      <c r="I129" s="17" t="n">
        <v>0.19803</v>
      </c>
      <c r="J129" s="17" t="n"/>
      <c r="K129" s="2" t="n"/>
      <c r="L129" s="5" t="n"/>
      <c r="M129" s="16">
        <f>資金模擬!$B$5*V128</f>
        <v/>
      </c>
      <c r="N129" s="2">
        <f>IF(Z128=1,"已停止",IF(T128&gt;=M129,"已下單","資金不足略過"))</f>
        <v/>
      </c>
      <c r="O129" s="16">
        <f>IF(N129="已下單",M129*資金模擬!$B$7,0)</f>
        <v/>
      </c>
      <c r="P129" s="4" t="n"/>
      <c r="Q129" s="10" t="n">
        <v>0</v>
      </c>
      <c r="R129" s="10">
        <f>R128+Q129</f>
        <v/>
      </c>
      <c r="S129" s="16">
        <f>S128+IF(N129="已下單",M129,0)</f>
        <v/>
      </c>
      <c r="T129" s="16">
        <f>R129-S129</f>
        <v/>
      </c>
      <c r="U129" s="2">
        <f>U128+IF(N129="已下單",1,0)</f>
        <v/>
      </c>
      <c r="V129" s="16">
        <f>IF(資金模擬!$B$9=2,MAX(R129,0),MAX(V128,FLOOR(MAX(R129,0),資金模擬!$B$6)))</f>
        <v/>
      </c>
      <c r="W129" s="10">
        <f>MAX(W128,R129)</f>
        <v/>
      </c>
      <c r="X129" s="4">
        <f>IF(W129&gt;0,R129/W129-1,-1)</f>
        <v/>
      </c>
      <c r="Y129" s="16">
        <f>IF(R129&gt;0,S129*資金模擬!$B$7/R129,0)</f>
        <v/>
      </c>
      <c r="Z129" s="2">
        <f>IF(OR(Z128=1,R129&lt;=資金模擬!$B$10),1,0)</f>
        <v/>
      </c>
    </row>
    <row r="130">
      <c r="A130" s="2" t="n">
        <v>128</v>
      </c>
      <c r="B130" s="7" t="n">
        <v>46276.97222222222</v>
      </c>
      <c r="C130" s="2" t="inlineStr">
        <is>
          <t>進場</t>
        </is>
      </c>
      <c r="D130" s="2" t="n">
        <v>65</v>
      </c>
      <c r="E130" s="2" t="inlineStr">
        <is>
          <t>BLUR_USDT_PERP</t>
        </is>
      </c>
      <c r="F130" s="2" t="inlineStr">
        <is>
          <t>做空</t>
        </is>
      </c>
      <c r="G130" s="17" t="n">
        <v>0.02085</v>
      </c>
      <c r="H130" s="17" t="n">
        <v>0.020016</v>
      </c>
      <c r="I130" s="17" t="n">
        <v>0.0218925</v>
      </c>
      <c r="J130" s="17" t="n"/>
      <c r="K130" s="2" t="n"/>
      <c r="L130" s="5" t="n"/>
      <c r="M130" s="16">
        <f>資金模擬!$B$5*V129</f>
        <v/>
      </c>
      <c r="N130" s="2">
        <f>IF(Z129=1,"已停止",IF(T129&gt;=M130,"已下單","資金不足略過"))</f>
        <v/>
      </c>
      <c r="O130" s="16">
        <f>IF(N130="已下單",M130*資金模擬!$B$7,0)</f>
        <v/>
      </c>
      <c r="P130" s="4" t="n"/>
      <c r="Q130" s="10" t="n">
        <v>0</v>
      </c>
      <c r="R130" s="10">
        <f>R129+Q130</f>
        <v/>
      </c>
      <c r="S130" s="16">
        <f>S129+IF(N130="已下單",M130,0)</f>
        <v/>
      </c>
      <c r="T130" s="16">
        <f>R130-S130</f>
        <v/>
      </c>
      <c r="U130" s="2">
        <f>U129+IF(N130="已下單",1,0)</f>
        <v/>
      </c>
      <c r="V130" s="16">
        <f>IF(資金模擬!$B$9=2,MAX(R130,0),MAX(V129,FLOOR(MAX(R130,0),資金模擬!$B$6)))</f>
        <v/>
      </c>
      <c r="W130" s="10">
        <f>MAX(W129,R130)</f>
        <v/>
      </c>
      <c r="X130" s="4">
        <f>IF(W130&gt;0,R130/W130-1,-1)</f>
        <v/>
      </c>
      <c r="Y130" s="16">
        <f>IF(R130&gt;0,S130*資金模擬!$B$7/R130,0)</f>
        <v/>
      </c>
      <c r="Z130" s="2">
        <f>IF(OR(Z129=1,R130&lt;=資金模擬!$B$10),1,0)</f>
        <v/>
      </c>
    </row>
    <row r="131">
      <c r="A131" s="2" t="n">
        <v>129</v>
      </c>
      <c r="B131" s="7" t="n">
        <v>46276.98263888889</v>
      </c>
      <c r="C131" s="2" t="inlineStr">
        <is>
          <t>出場</t>
        </is>
      </c>
      <c r="D131" s="2" t="n">
        <v>65</v>
      </c>
      <c r="E131" s="2" t="inlineStr">
        <is>
          <t>BLUR_USDT_PERP</t>
        </is>
      </c>
      <c r="F131" s="2" t="inlineStr">
        <is>
          <t>做空</t>
        </is>
      </c>
      <c r="G131" s="17" t="n">
        <v>0.02085</v>
      </c>
      <c r="H131" s="17" t="n">
        <v>0.020016</v>
      </c>
      <c r="I131" s="17" t="n">
        <v>0.0218925</v>
      </c>
      <c r="J131" s="17" t="n">
        <v>0.020016</v>
      </c>
      <c r="K131" s="2" t="inlineStr">
        <is>
          <t>止盈</t>
        </is>
      </c>
      <c r="L131" s="5">
        <f>交易明細!K66</f>
        <v/>
      </c>
      <c r="M131" s="16">
        <f>M130</f>
        <v/>
      </c>
      <c r="N131" s="2">
        <f>N130</f>
        <v/>
      </c>
      <c r="O131" s="16">
        <f>O130</f>
        <v/>
      </c>
      <c r="P131" s="4">
        <f>交易明細!L66</f>
        <v/>
      </c>
      <c r="Q131" s="10">
        <f>IF(N131="已下單",O131*P131,0)</f>
        <v/>
      </c>
      <c r="R131" s="10">
        <f>R130+Q131</f>
        <v/>
      </c>
      <c r="S131" s="16">
        <f>S130-IF(N131="已下單",M131,0)</f>
        <v/>
      </c>
      <c r="T131" s="16">
        <f>R131-S131</f>
        <v/>
      </c>
      <c r="U131" s="2">
        <f>U130-IF(N131="已下單",1,0)</f>
        <v/>
      </c>
      <c r="V131" s="16">
        <f>IF(資金模擬!$B$9=2,MAX(R131,0),MAX(V130,FLOOR(MAX(R131,0),資金模擬!$B$6)))</f>
        <v/>
      </c>
      <c r="W131" s="10">
        <f>MAX(W130,R131)</f>
        <v/>
      </c>
      <c r="X131" s="4">
        <f>IF(W131&gt;0,R131/W131-1,-1)</f>
        <v/>
      </c>
      <c r="Y131" s="16">
        <f>IF(R131&gt;0,S131*資金模擬!$B$7/R131,0)</f>
        <v/>
      </c>
      <c r="Z131" s="2">
        <f>IF(OR(Z130=1,R131&lt;=資金模擬!$B$10),1,0)</f>
        <v/>
      </c>
    </row>
    <row r="132">
      <c r="A132" s="2" t="n">
        <v>130</v>
      </c>
      <c r="B132" s="7" t="n">
        <v>46276.99652777778</v>
      </c>
      <c r="C132" s="2" t="inlineStr">
        <is>
          <t>出場</t>
        </is>
      </c>
      <c r="D132" s="2" t="n">
        <v>64</v>
      </c>
      <c r="E132" s="2" t="inlineStr">
        <is>
          <t>CASHCAT_USDT_PERP</t>
        </is>
      </c>
      <c r="F132" s="2" t="inlineStr">
        <is>
          <t>做空</t>
        </is>
      </c>
      <c r="G132" s="17" t="n">
        <v>0.1886</v>
      </c>
      <c r="H132" s="17" t="n">
        <v>0.181056</v>
      </c>
      <c r="I132" s="17" t="n">
        <v>0.19803</v>
      </c>
      <c r="J132" s="17" t="n">
        <v>0.181056</v>
      </c>
      <c r="K132" s="2" t="inlineStr">
        <is>
          <t>止盈</t>
        </is>
      </c>
      <c r="L132" s="5">
        <f>交易明細!K65</f>
        <v/>
      </c>
      <c r="M132" s="16">
        <f>M129</f>
        <v/>
      </c>
      <c r="N132" s="2">
        <f>N129</f>
        <v/>
      </c>
      <c r="O132" s="16">
        <f>O129</f>
        <v/>
      </c>
      <c r="P132" s="4">
        <f>交易明細!L65</f>
        <v/>
      </c>
      <c r="Q132" s="10">
        <f>IF(N132="已下單",O132*P132,0)</f>
        <v/>
      </c>
      <c r="R132" s="10">
        <f>R131+Q132</f>
        <v/>
      </c>
      <c r="S132" s="16">
        <f>S131-IF(N132="已下單",M132,0)</f>
        <v/>
      </c>
      <c r="T132" s="16">
        <f>R132-S132</f>
        <v/>
      </c>
      <c r="U132" s="2">
        <f>U131-IF(N132="已下單",1,0)</f>
        <v/>
      </c>
      <c r="V132" s="16">
        <f>IF(資金模擬!$B$9=2,MAX(R132,0),MAX(V131,FLOOR(MAX(R132,0),資金模擬!$B$6)))</f>
        <v/>
      </c>
      <c r="W132" s="10">
        <f>MAX(W131,R132)</f>
        <v/>
      </c>
      <c r="X132" s="4">
        <f>IF(W132&gt;0,R132/W132-1,-1)</f>
        <v/>
      </c>
      <c r="Y132" s="16">
        <f>IF(R132&gt;0,S132*資金模擬!$B$7/R132,0)</f>
        <v/>
      </c>
      <c r="Z132" s="2">
        <f>IF(OR(Z131=1,R132&lt;=資金模擬!$B$10),1,0)</f>
        <v/>
      </c>
    </row>
    <row r="133">
      <c r="A133" s="2" t="n">
        <v>131</v>
      </c>
      <c r="B133" s="7" t="n">
        <v>46277.30208333334</v>
      </c>
      <c r="C133" s="2" t="inlineStr">
        <is>
          <t>進場</t>
        </is>
      </c>
      <c r="D133" s="2" t="n">
        <v>66</v>
      </c>
      <c r="E133" s="2" t="inlineStr">
        <is>
          <t>CYS_USDT_PERP</t>
        </is>
      </c>
      <c r="F133" s="2" t="inlineStr">
        <is>
          <t>做空</t>
        </is>
      </c>
      <c r="G133" s="17" t="n">
        <v>0.1593</v>
      </c>
      <c r="H133" s="17" t="n">
        <v>0.152928</v>
      </c>
      <c r="I133" s="17" t="n">
        <v>0.167265</v>
      </c>
      <c r="J133" s="17" t="n"/>
      <c r="K133" s="2" t="n"/>
      <c r="L133" s="5" t="n"/>
      <c r="M133" s="16">
        <f>資金模擬!$B$5*V132</f>
        <v/>
      </c>
      <c r="N133" s="2">
        <f>IF(Z132=1,"已停止",IF(T132&gt;=M133,"已下單","資金不足略過"))</f>
        <v/>
      </c>
      <c r="O133" s="16">
        <f>IF(N133="已下單",M133*資金模擬!$B$7,0)</f>
        <v/>
      </c>
      <c r="P133" s="4" t="n"/>
      <c r="Q133" s="10" t="n">
        <v>0</v>
      </c>
      <c r="R133" s="10">
        <f>R132+Q133</f>
        <v/>
      </c>
      <c r="S133" s="16">
        <f>S132+IF(N133="已下單",M133,0)</f>
        <v/>
      </c>
      <c r="T133" s="16">
        <f>R133-S133</f>
        <v/>
      </c>
      <c r="U133" s="2">
        <f>U132+IF(N133="已下單",1,0)</f>
        <v/>
      </c>
      <c r="V133" s="16">
        <f>IF(資金模擬!$B$9=2,MAX(R133,0),MAX(V132,FLOOR(MAX(R133,0),資金模擬!$B$6)))</f>
        <v/>
      </c>
      <c r="W133" s="10">
        <f>MAX(W132,R133)</f>
        <v/>
      </c>
      <c r="X133" s="4">
        <f>IF(W133&gt;0,R133/W133-1,-1)</f>
        <v/>
      </c>
      <c r="Y133" s="16">
        <f>IF(R133&gt;0,S133*資金模擬!$B$7/R133,0)</f>
        <v/>
      </c>
      <c r="Z133" s="2">
        <f>IF(OR(Z132=1,R133&lt;=資金模擬!$B$10),1,0)</f>
        <v/>
      </c>
    </row>
    <row r="134">
      <c r="A134" s="2" t="n">
        <v>132</v>
      </c>
      <c r="B134" s="7" t="n">
        <v>46277.31944444445</v>
      </c>
      <c r="C134" s="2" t="inlineStr">
        <is>
          <t>出場</t>
        </is>
      </c>
      <c r="D134" s="2" t="n">
        <v>66</v>
      </c>
      <c r="E134" s="2" t="inlineStr">
        <is>
          <t>CYS_USDT_PERP</t>
        </is>
      </c>
      <c r="F134" s="2" t="inlineStr">
        <is>
          <t>做空</t>
        </is>
      </c>
      <c r="G134" s="17" t="n">
        <v>0.1593</v>
      </c>
      <c r="H134" s="17" t="n">
        <v>0.152928</v>
      </c>
      <c r="I134" s="17" t="n">
        <v>0.167265</v>
      </c>
      <c r="J134" s="17" t="n">
        <v>0.152928</v>
      </c>
      <c r="K134" s="2" t="inlineStr">
        <is>
          <t>止盈</t>
        </is>
      </c>
      <c r="L134" s="5">
        <f>交易明細!K67</f>
        <v/>
      </c>
      <c r="M134" s="16">
        <f>M133</f>
        <v/>
      </c>
      <c r="N134" s="2">
        <f>N133</f>
        <v/>
      </c>
      <c r="O134" s="16">
        <f>O133</f>
        <v/>
      </c>
      <c r="P134" s="4">
        <f>交易明細!L67</f>
        <v/>
      </c>
      <c r="Q134" s="10">
        <f>IF(N134="已下單",O134*P134,0)</f>
        <v/>
      </c>
      <c r="R134" s="10">
        <f>R133+Q134</f>
        <v/>
      </c>
      <c r="S134" s="16">
        <f>S133-IF(N134="已下單",M134,0)</f>
        <v/>
      </c>
      <c r="T134" s="16">
        <f>R134-S134</f>
        <v/>
      </c>
      <c r="U134" s="2">
        <f>U133-IF(N134="已下單",1,0)</f>
        <v/>
      </c>
      <c r="V134" s="16">
        <f>IF(資金模擬!$B$9=2,MAX(R134,0),MAX(V133,FLOOR(MAX(R134,0),資金模擬!$B$6)))</f>
        <v/>
      </c>
      <c r="W134" s="10">
        <f>MAX(W133,R134)</f>
        <v/>
      </c>
      <c r="X134" s="4">
        <f>IF(W134&gt;0,R134/W134-1,-1)</f>
        <v/>
      </c>
      <c r="Y134" s="16">
        <f>IF(R134&gt;0,S134*資金模擬!$B$7/R134,0)</f>
        <v/>
      </c>
      <c r="Z134" s="2">
        <f>IF(OR(Z133=1,R134&lt;=資金模擬!$B$10),1,0)</f>
        <v/>
      </c>
    </row>
    <row r="135">
      <c r="A135" s="2" t="n">
        <v>133</v>
      </c>
      <c r="B135" s="7" t="n">
        <v>46277.34722222222</v>
      </c>
      <c r="C135" s="2" t="inlineStr">
        <is>
          <t>進場</t>
        </is>
      </c>
      <c r="D135" s="2" t="n">
        <v>67</v>
      </c>
      <c r="E135" s="2" t="inlineStr">
        <is>
          <t>TREE_USDT_PERP</t>
        </is>
      </c>
      <c r="F135" s="2" t="inlineStr">
        <is>
          <t>做空</t>
        </is>
      </c>
      <c r="G135" s="17" t="n">
        <v>0.04535</v>
      </c>
      <c r="H135" s="17" t="n">
        <v>0.043536</v>
      </c>
      <c r="I135" s="17" t="n">
        <v>0.0476175</v>
      </c>
      <c r="J135" s="17" t="n"/>
      <c r="K135" s="2" t="n"/>
      <c r="L135" s="5" t="n"/>
      <c r="M135" s="16">
        <f>資金模擬!$B$5*V134</f>
        <v/>
      </c>
      <c r="N135" s="2">
        <f>IF(Z134=1,"已停止",IF(T134&gt;=M135,"已下單","資金不足略過"))</f>
        <v/>
      </c>
      <c r="O135" s="16">
        <f>IF(N135="已下單",M135*資金模擬!$B$7,0)</f>
        <v/>
      </c>
      <c r="P135" s="4" t="n"/>
      <c r="Q135" s="10" t="n">
        <v>0</v>
      </c>
      <c r="R135" s="10">
        <f>R134+Q135</f>
        <v/>
      </c>
      <c r="S135" s="16">
        <f>S134+IF(N135="已下單",M135,0)</f>
        <v/>
      </c>
      <c r="T135" s="16">
        <f>R135-S135</f>
        <v/>
      </c>
      <c r="U135" s="2">
        <f>U134+IF(N135="已下單",1,0)</f>
        <v/>
      </c>
      <c r="V135" s="16">
        <f>IF(資金模擬!$B$9=2,MAX(R135,0),MAX(V134,FLOOR(MAX(R135,0),資金模擬!$B$6)))</f>
        <v/>
      </c>
      <c r="W135" s="10">
        <f>MAX(W134,R135)</f>
        <v/>
      </c>
      <c r="X135" s="4">
        <f>IF(W135&gt;0,R135/W135-1,-1)</f>
        <v/>
      </c>
      <c r="Y135" s="16">
        <f>IF(R135&gt;0,S135*資金模擬!$B$7/R135,0)</f>
        <v/>
      </c>
      <c r="Z135" s="2">
        <f>IF(OR(Z134=1,R135&lt;=資金模擬!$B$10),1,0)</f>
        <v/>
      </c>
    </row>
    <row r="136">
      <c r="A136" s="2" t="n">
        <v>134</v>
      </c>
      <c r="B136" s="7" t="n">
        <v>46277.35069444445</v>
      </c>
      <c r="C136" s="2" t="inlineStr">
        <is>
          <t>出場</t>
        </is>
      </c>
      <c r="D136" s="2" t="n">
        <v>67</v>
      </c>
      <c r="E136" s="2" t="inlineStr">
        <is>
          <t>TREE_USDT_PERP</t>
        </is>
      </c>
      <c r="F136" s="2" t="inlineStr">
        <is>
          <t>做空</t>
        </is>
      </c>
      <c r="G136" s="17" t="n">
        <v>0.04535</v>
      </c>
      <c r="H136" s="17" t="n">
        <v>0.043536</v>
      </c>
      <c r="I136" s="17" t="n">
        <v>0.0476175</v>
      </c>
      <c r="J136" s="17" t="n">
        <v>0.043536</v>
      </c>
      <c r="K136" s="2" t="inlineStr">
        <is>
          <t>止盈</t>
        </is>
      </c>
      <c r="L136" s="5">
        <f>交易明細!K68</f>
        <v/>
      </c>
      <c r="M136" s="16">
        <f>M135</f>
        <v/>
      </c>
      <c r="N136" s="2">
        <f>N135</f>
        <v/>
      </c>
      <c r="O136" s="16">
        <f>O135</f>
        <v/>
      </c>
      <c r="P136" s="4">
        <f>交易明細!L68</f>
        <v/>
      </c>
      <c r="Q136" s="10">
        <f>IF(N136="已下單",O136*P136,0)</f>
        <v/>
      </c>
      <c r="R136" s="10">
        <f>R135+Q136</f>
        <v/>
      </c>
      <c r="S136" s="16">
        <f>S135-IF(N136="已下單",M136,0)</f>
        <v/>
      </c>
      <c r="T136" s="16">
        <f>R136-S136</f>
        <v/>
      </c>
      <c r="U136" s="2">
        <f>U135-IF(N136="已下單",1,0)</f>
        <v/>
      </c>
      <c r="V136" s="16">
        <f>IF(資金模擬!$B$9=2,MAX(R136,0),MAX(V135,FLOOR(MAX(R136,0),資金模擬!$B$6)))</f>
        <v/>
      </c>
      <c r="W136" s="10">
        <f>MAX(W135,R136)</f>
        <v/>
      </c>
      <c r="X136" s="4">
        <f>IF(W136&gt;0,R136/W136-1,-1)</f>
        <v/>
      </c>
      <c r="Y136" s="16">
        <f>IF(R136&gt;0,S136*資金模擬!$B$7/R136,0)</f>
        <v/>
      </c>
      <c r="Z136" s="2">
        <f>IF(OR(Z135=1,R136&lt;=資金模擬!$B$10),1,0)</f>
        <v/>
      </c>
    </row>
    <row r="137">
      <c r="A137" s="2" t="n">
        <v>135</v>
      </c>
      <c r="B137" s="7" t="n">
        <v>46277.55208333334</v>
      </c>
      <c r="C137" s="2" t="inlineStr">
        <is>
          <t>進場</t>
        </is>
      </c>
      <c r="D137" s="2" t="n">
        <v>68</v>
      </c>
      <c r="E137" s="2" t="inlineStr">
        <is>
          <t>我踏马来了_USDT_PERP</t>
        </is>
      </c>
      <c r="F137" s="2" t="inlineStr">
        <is>
          <t>做空</t>
        </is>
      </c>
      <c r="G137" s="17" t="n">
        <v>0.015</v>
      </c>
      <c r="H137" s="17" t="n">
        <v>0.0144</v>
      </c>
      <c r="I137" s="17" t="n">
        <v>0.01575</v>
      </c>
      <c r="J137" s="17" t="n"/>
      <c r="K137" s="2" t="n"/>
      <c r="L137" s="5" t="n"/>
      <c r="M137" s="16">
        <f>資金模擬!$B$5*V136</f>
        <v/>
      </c>
      <c r="N137" s="2">
        <f>IF(Z136=1,"已停止",IF(T136&gt;=M137,"已下單","資金不足略過"))</f>
        <v/>
      </c>
      <c r="O137" s="16">
        <f>IF(N137="已下單",M137*資金模擬!$B$7,0)</f>
        <v/>
      </c>
      <c r="P137" s="4" t="n"/>
      <c r="Q137" s="10" t="n">
        <v>0</v>
      </c>
      <c r="R137" s="10">
        <f>R136+Q137</f>
        <v/>
      </c>
      <c r="S137" s="16">
        <f>S136+IF(N137="已下單",M137,0)</f>
        <v/>
      </c>
      <c r="T137" s="16">
        <f>R137-S137</f>
        <v/>
      </c>
      <c r="U137" s="2">
        <f>U136+IF(N137="已下單",1,0)</f>
        <v/>
      </c>
      <c r="V137" s="16">
        <f>IF(資金模擬!$B$9=2,MAX(R137,0),MAX(V136,FLOOR(MAX(R137,0),資金模擬!$B$6)))</f>
        <v/>
      </c>
      <c r="W137" s="10">
        <f>MAX(W136,R137)</f>
        <v/>
      </c>
      <c r="X137" s="4">
        <f>IF(W137&gt;0,R137/W137-1,-1)</f>
        <v/>
      </c>
      <c r="Y137" s="16">
        <f>IF(R137&gt;0,S137*資金模擬!$B$7/R137,0)</f>
        <v/>
      </c>
      <c r="Z137" s="2">
        <f>IF(OR(Z136=1,R137&lt;=資金模擬!$B$10),1,0)</f>
        <v/>
      </c>
    </row>
    <row r="138">
      <c r="A138" s="2" t="n">
        <v>136</v>
      </c>
      <c r="B138" s="7" t="n">
        <v>46277.55555555555</v>
      </c>
      <c r="C138" s="2" t="inlineStr">
        <is>
          <t>出場</t>
        </is>
      </c>
      <c r="D138" s="2" t="n">
        <v>68</v>
      </c>
      <c r="E138" s="2" t="inlineStr">
        <is>
          <t>我踏马来了_USDT_PERP</t>
        </is>
      </c>
      <c r="F138" s="2" t="inlineStr">
        <is>
          <t>做空</t>
        </is>
      </c>
      <c r="G138" s="17" t="n">
        <v>0.015</v>
      </c>
      <c r="H138" s="17" t="n">
        <v>0.0144</v>
      </c>
      <c r="I138" s="17" t="n">
        <v>0.01575</v>
      </c>
      <c r="J138" s="17" t="n">
        <v>0.0144</v>
      </c>
      <c r="K138" s="2" t="inlineStr">
        <is>
          <t>止盈</t>
        </is>
      </c>
      <c r="L138" s="5">
        <f>交易明細!K69</f>
        <v/>
      </c>
      <c r="M138" s="16">
        <f>M137</f>
        <v/>
      </c>
      <c r="N138" s="2">
        <f>N137</f>
        <v/>
      </c>
      <c r="O138" s="16">
        <f>O137</f>
        <v/>
      </c>
      <c r="P138" s="4">
        <f>交易明細!L69</f>
        <v/>
      </c>
      <c r="Q138" s="10">
        <f>IF(N138="已下單",O138*P138,0)</f>
        <v/>
      </c>
      <c r="R138" s="10">
        <f>R137+Q138</f>
        <v/>
      </c>
      <c r="S138" s="16">
        <f>S137-IF(N138="已下單",M138,0)</f>
        <v/>
      </c>
      <c r="T138" s="16">
        <f>R138-S138</f>
        <v/>
      </c>
      <c r="U138" s="2">
        <f>U137-IF(N138="已下單",1,0)</f>
        <v/>
      </c>
      <c r="V138" s="16">
        <f>IF(資金模擬!$B$9=2,MAX(R138,0),MAX(V137,FLOOR(MAX(R138,0),資金模擬!$B$6)))</f>
        <v/>
      </c>
      <c r="W138" s="10">
        <f>MAX(W137,R138)</f>
        <v/>
      </c>
      <c r="X138" s="4">
        <f>IF(W138&gt;0,R138/W138-1,-1)</f>
        <v/>
      </c>
      <c r="Y138" s="16">
        <f>IF(R138&gt;0,S138*資金模擬!$B$7/R138,0)</f>
        <v/>
      </c>
      <c r="Z138" s="2">
        <f>IF(OR(Z137=1,R138&lt;=資金模擬!$B$10),1,0)</f>
        <v/>
      </c>
    </row>
    <row r="139">
      <c r="A139" s="2" t="n">
        <v>137</v>
      </c>
      <c r="B139" s="7" t="n">
        <v>46277.64236111111</v>
      </c>
      <c r="C139" s="2" t="inlineStr">
        <is>
          <t>進場</t>
        </is>
      </c>
      <c r="D139" s="2" t="n">
        <v>69</v>
      </c>
      <c r="E139" s="2" t="inlineStr">
        <is>
          <t>GRIFFAIN_USDT_PERP</t>
        </is>
      </c>
      <c r="F139" s="2" t="inlineStr">
        <is>
          <t>做空</t>
        </is>
      </c>
      <c r="G139" s="17" t="n">
        <v>0.01287</v>
      </c>
      <c r="H139" s="17" t="n">
        <v>0.0123552</v>
      </c>
      <c r="I139" s="17" t="n">
        <v>0.0135135</v>
      </c>
      <c r="J139" s="17" t="n"/>
      <c r="K139" s="2" t="n"/>
      <c r="L139" s="5" t="n"/>
      <c r="M139" s="16">
        <f>資金模擬!$B$5*V138</f>
        <v/>
      </c>
      <c r="N139" s="2">
        <f>IF(Z138=1,"已停止",IF(T138&gt;=M139,"已下單","資金不足略過"))</f>
        <v/>
      </c>
      <c r="O139" s="16">
        <f>IF(N139="已下單",M139*資金模擬!$B$7,0)</f>
        <v/>
      </c>
      <c r="P139" s="4" t="n"/>
      <c r="Q139" s="10" t="n">
        <v>0</v>
      </c>
      <c r="R139" s="10">
        <f>R138+Q139</f>
        <v/>
      </c>
      <c r="S139" s="16">
        <f>S138+IF(N139="已下單",M139,0)</f>
        <v/>
      </c>
      <c r="T139" s="16">
        <f>R139-S139</f>
        <v/>
      </c>
      <c r="U139" s="2">
        <f>U138+IF(N139="已下單",1,0)</f>
        <v/>
      </c>
      <c r="V139" s="16">
        <f>IF(資金模擬!$B$9=2,MAX(R139,0),MAX(V138,FLOOR(MAX(R139,0),資金模擬!$B$6)))</f>
        <v/>
      </c>
      <c r="W139" s="10">
        <f>MAX(W138,R139)</f>
        <v/>
      </c>
      <c r="X139" s="4">
        <f>IF(W139&gt;0,R139/W139-1,-1)</f>
        <v/>
      </c>
      <c r="Y139" s="16">
        <f>IF(R139&gt;0,S139*資金模擬!$B$7/R139,0)</f>
        <v/>
      </c>
      <c r="Z139" s="2">
        <f>IF(OR(Z138=1,R139&lt;=資金模擬!$B$10),1,0)</f>
        <v/>
      </c>
    </row>
    <row r="140">
      <c r="A140" s="2" t="n">
        <v>138</v>
      </c>
      <c r="B140" s="7" t="n">
        <v>46277.68402777778</v>
      </c>
      <c r="C140" s="2" t="inlineStr">
        <is>
          <t>出場</t>
        </is>
      </c>
      <c r="D140" s="2" t="n">
        <v>69</v>
      </c>
      <c r="E140" s="2" t="inlineStr">
        <is>
          <t>GRIFFAIN_USDT_PERP</t>
        </is>
      </c>
      <c r="F140" s="2" t="inlineStr">
        <is>
          <t>做空</t>
        </is>
      </c>
      <c r="G140" s="17" t="n">
        <v>0.01287</v>
      </c>
      <c r="H140" s="17" t="n">
        <v>0.0123552</v>
      </c>
      <c r="I140" s="17" t="n">
        <v>0.0135135</v>
      </c>
      <c r="J140" s="17" t="n">
        <v>0.0135135</v>
      </c>
      <c r="K140" s="2" t="inlineStr">
        <is>
          <t>止損</t>
        </is>
      </c>
      <c r="L140" s="5">
        <f>交易明細!K70</f>
        <v/>
      </c>
      <c r="M140" s="16">
        <f>M139</f>
        <v/>
      </c>
      <c r="N140" s="2">
        <f>N139</f>
        <v/>
      </c>
      <c r="O140" s="16">
        <f>O139</f>
        <v/>
      </c>
      <c r="P140" s="4">
        <f>交易明細!L70</f>
        <v/>
      </c>
      <c r="Q140" s="10">
        <f>IF(N140="已下單",O140*P140,0)</f>
        <v/>
      </c>
      <c r="R140" s="10">
        <f>R139+Q140</f>
        <v/>
      </c>
      <c r="S140" s="16">
        <f>S139-IF(N140="已下單",M140,0)</f>
        <v/>
      </c>
      <c r="T140" s="16">
        <f>R140-S140</f>
        <v/>
      </c>
      <c r="U140" s="2">
        <f>U139-IF(N140="已下單",1,0)</f>
        <v/>
      </c>
      <c r="V140" s="16">
        <f>IF(資金模擬!$B$9=2,MAX(R140,0),MAX(V139,FLOOR(MAX(R140,0),資金模擬!$B$6)))</f>
        <v/>
      </c>
      <c r="W140" s="10">
        <f>MAX(W139,R140)</f>
        <v/>
      </c>
      <c r="X140" s="4">
        <f>IF(W140&gt;0,R140/W140-1,-1)</f>
        <v/>
      </c>
      <c r="Y140" s="16">
        <f>IF(R140&gt;0,S140*資金模擬!$B$7/R140,0)</f>
        <v/>
      </c>
      <c r="Z140" s="2">
        <f>IF(OR(Z139=1,R140&lt;=資金模擬!$B$10),1,0)</f>
        <v/>
      </c>
    </row>
    <row r="141">
      <c r="A141" s="2" t="n">
        <v>139</v>
      </c>
      <c r="B141" s="7" t="n">
        <v>46277.83333333334</v>
      </c>
      <c r="C141" s="2" t="inlineStr">
        <is>
          <t>進場</t>
        </is>
      </c>
      <c r="D141" s="2" t="n">
        <v>70</v>
      </c>
      <c r="E141" s="2" t="inlineStr">
        <is>
          <t>TA_USDT_PERP</t>
        </is>
      </c>
      <c r="F141" s="2" t="inlineStr">
        <is>
          <t>做空</t>
        </is>
      </c>
      <c r="G141" s="17" t="n">
        <v>0.06008</v>
      </c>
      <c r="H141" s="17" t="n">
        <v>0.0576768</v>
      </c>
      <c r="I141" s="17" t="n">
        <v>0.063084</v>
      </c>
      <c r="J141" s="17" t="n"/>
      <c r="K141" s="2" t="n"/>
      <c r="L141" s="5" t="n"/>
      <c r="M141" s="16">
        <f>資金模擬!$B$5*V140</f>
        <v/>
      </c>
      <c r="N141" s="2">
        <f>IF(Z140=1,"已停止",IF(T140&gt;=M141,"已下單","資金不足略過"))</f>
        <v/>
      </c>
      <c r="O141" s="16">
        <f>IF(N141="已下單",M141*資金模擬!$B$7,0)</f>
        <v/>
      </c>
      <c r="P141" s="4" t="n"/>
      <c r="Q141" s="10" t="n">
        <v>0</v>
      </c>
      <c r="R141" s="10">
        <f>R140+Q141</f>
        <v/>
      </c>
      <c r="S141" s="16">
        <f>S140+IF(N141="已下單",M141,0)</f>
        <v/>
      </c>
      <c r="T141" s="16">
        <f>R141-S141</f>
        <v/>
      </c>
      <c r="U141" s="2">
        <f>U140+IF(N141="已下單",1,0)</f>
        <v/>
      </c>
      <c r="V141" s="16">
        <f>IF(資金模擬!$B$9=2,MAX(R141,0),MAX(V140,FLOOR(MAX(R141,0),資金模擬!$B$6)))</f>
        <v/>
      </c>
      <c r="W141" s="10">
        <f>MAX(W140,R141)</f>
        <v/>
      </c>
      <c r="X141" s="4">
        <f>IF(W141&gt;0,R141/W141-1,-1)</f>
        <v/>
      </c>
      <c r="Y141" s="16">
        <f>IF(R141&gt;0,S141*資金模擬!$B$7/R141,0)</f>
        <v/>
      </c>
      <c r="Z141" s="2">
        <f>IF(OR(Z140=1,R141&lt;=資金模擬!$B$10),1,0)</f>
        <v/>
      </c>
    </row>
    <row r="142">
      <c r="A142" s="2" t="n">
        <v>140</v>
      </c>
      <c r="B142" s="7" t="n">
        <v>46278.14236111111</v>
      </c>
      <c r="C142" s="2" t="inlineStr">
        <is>
          <t>出場</t>
        </is>
      </c>
      <c r="D142" s="2" t="n">
        <v>70</v>
      </c>
      <c r="E142" s="2" t="inlineStr">
        <is>
          <t>TA_USDT_PERP</t>
        </is>
      </c>
      <c r="F142" s="2" t="inlineStr">
        <is>
          <t>做空</t>
        </is>
      </c>
      <c r="G142" s="17" t="n">
        <v>0.06008</v>
      </c>
      <c r="H142" s="17" t="n">
        <v>0.0576768</v>
      </c>
      <c r="I142" s="17" t="n">
        <v>0.063084</v>
      </c>
      <c r="J142" s="17" t="n">
        <v>0.0576768</v>
      </c>
      <c r="K142" s="2" t="inlineStr">
        <is>
          <t>止盈</t>
        </is>
      </c>
      <c r="L142" s="5">
        <f>交易明細!K71</f>
        <v/>
      </c>
      <c r="M142" s="16">
        <f>M141</f>
        <v/>
      </c>
      <c r="N142" s="2">
        <f>N141</f>
        <v/>
      </c>
      <c r="O142" s="16">
        <f>O141</f>
        <v/>
      </c>
      <c r="P142" s="4">
        <f>交易明細!L71</f>
        <v/>
      </c>
      <c r="Q142" s="10">
        <f>IF(N142="已下單",O142*P142,0)</f>
        <v/>
      </c>
      <c r="R142" s="10">
        <f>R141+Q142</f>
        <v/>
      </c>
      <c r="S142" s="16">
        <f>S141-IF(N142="已下單",M142,0)</f>
        <v/>
      </c>
      <c r="T142" s="16">
        <f>R142-S142</f>
        <v/>
      </c>
      <c r="U142" s="2">
        <f>U141-IF(N142="已下單",1,0)</f>
        <v/>
      </c>
      <c r="V142" s="16">
        <f>IF(資金模擬!$B$9=2,MAX(R142,0),MAX(V141,FLOOR(MAX(R142,0),資金模擬!$B$6)))</f>
        <v/>
      </c>
      <c r="W142" s="10">
        <f>MAX(W141,R142)</f>
        <v/>
      </c>
      <c r="X142" s="4">
        <f>IF(W142&gt;0,R142/W142-1,-1)</f>
        <v/>
      </c>
      <c r="Y142" s="16">
        <f>IF(R142&gt;0,S142*資金模擬!$B$7/R142,0)</f>
        <v/>
      </c>
      <c r="Z142" s="2">
        <f>IF(OR(Z141=1,R142&lt;=資金模擬!$B$10),1,0)</f>
        <v/>
      </c>
    </row>
    <row r="143">
      <c r="A143" s="2" t="n">
        <v>141</v>
      </c>
      <c r="B143" s="7" t="n">
        <v>46278.34027777778</v>
      </c>
      <c r="C143" s="2" t="inlineStr">
        <is>
          <t>進場</t>
        </is>
      </c>
      <c r="D143" s="2" t="n">
        <v>71</v>
      </c>
      <c r="E143" s="2" t="inlineStr">
        <is>
          <t>POWR_USDT_PERP</t>
        </is>
      </c>
      <c r="F143" s="2" t="inlineStr">
        <is>
          <t>做空</t>
        </is>
      </c>
      <c r="G143" s="17" t="n">
        <v>0.06576</v>
      </c>
      <c r="H143" s="17" t="n">
        <v>0.06312959999999999</v>
      </c>
      <c r="I143" s="17" t="n">
        <v>0.069048</v>
      </c>
      <c r="J143" s="17" t="n"/>
      <c r="K143" s="2" t="n"/>
      <c r="L143" s="5" t="n"/>
      <c r="M143" s="16">
        <f>資金模擬!$B$5*V142</f>
        <v/>
      </c>
      <c r="N143" s="2">
        <f>IF(Z142=1,"已停止",IF(T142&gt;=M143,"已下單","資金不足略過"))</f>
        <v/>
      </c>
      <c r="O143" s="16">
        <f>IF(N143="已下單",M143*資金模擬!$B$7,0)</f>
        <v/>
      </c>
      <c r="P143" s="4" t="n"/>
      <c r="Q143" s="10" t="n">
        <v>0</v>
      </c>
      <c r="R143" s="10">
        <f>R142+Q143</f>
        <v/>
      </c>
      <c r="S143" s="16">
        <f>S142+IF(N143="已下單",M143,0)</f>
        <v/>
      </c>
      <c r="T143" s="16">
        <f>R143-S143</f>
        <v/>
      </c>
      <c r="U143" s="2">
        <f>U142+IF(N143="已下單",1,0)</f>
        <v/>
      </c>
      <c r="V143" s="16">
        <f>IF(資金模擬!$B$9=2,MAX(R143,0),MAX(V142,FLOOR(MAX(R143,0),資金模擬!$B$6)))</f>
        <v/>
      </c>
      <c r="W143" s="10">
        <f>MAX(W142,R143)</f>
        <v/>
      </c>
      <c r="X143" s="4">
        <f>IF(W143&gt;0,R143/W143-1,-1)</f>
        <v/>
      </c>
      <c r="Y143" s="16">
        <f>IF(R143&gt;0,S143*資金模擬!$B$7/R143,0)</f>
        <v/>
      </c>
      <c r="Z143" s="2">
        <f>IF(OR(Z142=1,R143&lt;=資金模擬!$B$10),1,0)</f>
        <v/>
      </c>
    </row>
    <row r="144">
      <c r="A144" s="2" t="n">
        <v>142</v>
      </c>
      <c r="B144" s="7" t="n">
        <v>46278.34375</v>
      </c>
      <c r="C144" s="2" t="inlineStr">
        <is>
          <t>出場</t>
        </is>
      </c>
      <c r="D144" s="2" t="n">
        <v>71</v>
      </c>
      <c r="E144" s="2" t="inlineStr">
        <is>
          <t>POWR_USDT_PERP</t>
        </is>
      </c>
      <c r="F144" s="2" t="inlineStr">
        <is>
          <t>做空</t>
        </is>
      </c>
      <c r="G144" s="17" t="n">
        <v>0.06576</v>
      </c>
      <c r="H144" s="17" t="n">
        <v>0.06312959999999999</v>
      </c>
      <c r="I144" s="17" t="n">
        <v>0.069048</v>
      </c>
      <c r="J144" s="17" t="n">
        <v>0.069048</v>
      </c>
      <c r="K144" s="2" t="inlineStr">
        <is>
          <t>止損</t>
        </is>
      </c>
      <c r="L144" s="5">
        <f>交易明細!K72</f>
        <v/>
      </c>
      <c r="M144" s="16">
        <f>M143</f>
        <v/>
      </c>
      <c r="N144" s="2">
        <f>N143</f>
        <v/>
      </c>
      <c r="O144" s="16">
        <f>O143</f>
        <v/>
      </c>
      <c r="P144" s="4">
        <f>交易明細!L72</f>
        <v/>
      </c>
      <c r="Q144" s="10">
        <f>IF(N144="已下單",O144*P144,0)</f>
        <v/>
      </c>
      <c r="R144" s="10">
        <f>R143+Q144</f>
        <v/>
      </c>
      <c r="S144" s="16">
        <f>S143-IF(N144="已下單",M144,0)</f>
        <v/>
      </c>
      <c r="T144" s="16">
        <f>R144-S144</f>
        <v/>
      </c>
      <c r="U144" s="2">
        <f>U143-IF(N144="已下單",1,0)</f>
        <v/>
      </c>
      <c r="V144" s="16">
        <f>IF(資金模擬!$B$9=2,MAX(R144,0),MAX(V143,FLOOR(MAX(R144,0),資金模擬!$B$6)))</f>
        <v/>
      </c>
      <c r="W144" s="10">
        <f>MAX(W143,R144)</f>
        <v/>
      </c>
      <c r="X144" s="4">
        <f>IF(W144&gt;0,R144/W144-1,-1)</f>
        <v/>
      </c>
      <c r="Y144" s="16">
        <f>IF(R144&gt;0,S144*資金模擬!$B$7/R144,0)</f>
        <v/>
      </c>
      <c r="Z144" s="2">
        <f>IF(OR(Z143=1,R144&lt;=資金模擬!$B$10),1,0)</f>
        <v/>
      </c>
    </row>
    <row r="145">
      <c r="A145" s="2" t="n">
        <v>143</v>
      </c>
      <c r="B145" s="7" t="n">
        <v>46278.39583333334</v>
      </c>
      <c r="C145" s="2" t="inlineStr">
        <is>
          <t>進場</t>
        </is>
      </c>
      <c r="D145" s="2" t="n">
        <v>72</v>
      </c>
      <c r="E145" s="2" t="inlineStr">
        <is>
          <t>POWR_USDT_PERP</t>
        </is>
      </c>
      <c r="F145" s="2" t="inlineStr">
        <is>
          <t>做空</t>
        </is>
      </c>
      <c r="G145" s="17" t="n">
        <v>0.0824</v>
      </c>
      <c r="H145" s="17" t="n">
        <v>0.07910399999999999</v>
      </c>
      <c r="I145" s="17" t="n">
        <v>0.08652</v>
      </c>
      <c r="J145" s="17" t="n"/>
      <c r="K145" s="2" t="n"/>
      <c r="L145" s="5" t="n"/>
      <c r="M145" s="16">
        <f>資金模擬!$B$5*V144</f>
        <v/>
      </c>
      <c r="N145" s="2">
        <f>IF(Z144=1,"已停止",IF(T144&gt;=M145,"已下單","資金不足略過"))</f>
        <v/>
      </c>
      <c r="O145" s="16">
        <f>IF(N145="已下單",M145*資金模擬!$B$7,0)</f>
        <v/>
      </c>
      <c r="P145" s="4" t="n"/>
      <c r="Q145" s="10" t="n">
        <v>0</v>
      </c>
      <c r="R145" s="10">
        <f>R144+Q145</f>
        <v/>
      </c>
      <c r="S145" s="16">
        <f>S144+IF(N145="已下單",M145,0)</f>
        <v/>
      </c>
      <c r="T145" s="16">
        <f>R145-S145</f>
        <v/>
      </c>
      <c r="U145" s="2">
        <f>U144+IF(N145="已下單",1,0)</f>
        <v/>
      </c>
      <c r="V145" s="16">
        <f>IF(資金模擬!$B$9=2,MAX(R145,0),MAX(V144,FLOOR(MAX(R145,0),資金模擬!$B$6)))</f>
        <v/>
      </c>
      <c r="W145" s="10">
        <f>MAX(W144,R145)</f>
        <v/>
      </c>
      <c r="X145" s="4">
        <f>IF(W145&gt;0,R145/W145-1,-1)</f>
        <v/>
      </c>
      <c r="Y145" s="16">
        <f>IF(R145&gt;0,S145*資金模擬!$B$7/R145,0)</f>
        <v/>
      </c>
      <c r="Z145" s="2">
        <f>IF(OR(Z144=1,R145&lt;=資金模擬!$B$10),1,0)</f>
        <v/>
      </c>
    </row>
    <row r="146">
      <c r="A146" s="2" t="n">
        <v>144</v>
      </c>
      <c r="B146" s="7" t="n">
        <v>46278.40277777778</v>
      </c>
      <c r="C146" s="2" t="inlineStr">
        <is>
          <t>出場</t>
        </is>
      </c>
      <c r="D146" s="2" t="n">
        <v>72</v>
      </c>
      <c r="E146" s="2" t="inlineStr">
        <is>
          <t>POWR_USDT_PERP</t>
        </is>
      </c>
      <c r="F146" s="2" t="inlineStr">
        <is>
          <t>做空</t>
        </is>
      </c>
      <c r="G146" s="17" t="n">
        <v>0.0824</v>
      </c>
      <c r="H146" s="17" t="n">
        <v>0.07910399999999999</v>
      </c>
      <c r="I146" s="17" t="n">
        <v>0.08652</v>
      </c>
      <c r="J146" s="17" t="n">
        <v>0.07910399999999999</v>
      </c>
      <c r="K146" s="2" t="inlineStr">
        <is>
          <t>止盈</t>
        </is>
      </c>
      <c r="L146" s="5">
        <f>交易明細!K73</f>
        <v/>
      </c>
      <c r="M146" s="16">
        <f>M145</f>
        <v/>
      </c>
      <c r="N146" s="2">
        <f>N145</f>
        <v/>
      </c>
      <c r="O146" s="16">
        <f>O145</f>
        <v/>
      </c>
      <c r="P146" s="4">
        <f>交易明細!L73</f>
        <v/>
      </c>
      <c r="Q146" s="10">
        <f>IF(N146="已下單",O146*P146,0)</f>
        <v/>
      </c>
      <c r="R146" s="10">
        <f>R145+Q146</f>
        <v/>
      </c>
      <c r="S146" s="16">
        <f>S145-IF(N146="已下單",M146,0)</f>
        <v/>
      </c>
      <c r="T146" s="16">
        <f>R146-S146</f>
        <v/>
      </c>
      <c r="U146" s="2">
        <f>U145-IF(N146="已下單",1,0)</f>
        <v/>
      </c>
      <c r="V146" s="16">
        <f>IF(資金模擬!$B$9=2,MAX(R146,0),MAX(V145,FLOOR(MAX(R146,0),資金模擬!$B$6)))</f>
        <v/>
      </c>
      <c r="W146" s="10">
        <f>MAX(W145,R146)</f>
        <v/>
      </c>
      <c r="X146" s="4">
        <f>IF(W146&gt;0,R146/W146-1,-1)</f>
        <v/>
      </c>
      <c r="Y146" s="16">
        <f>IF(R146&gt;0,S146*資金模擬!$B$7/R146,0)</f>
        <v/>
      </c>
      <c r="Z146" s="2">
        <f>IF(OR(Z145=1,R146&lt;=資金模擬!$B$10),1,0)</f>
        <v/>
      </c>
    </row>
    <row r="147">
      <c r="A147" s="2" t="n">
        <v>145</v>
      </c>
      <c r="B147" s="7" t="n">
        <v>46278.45138888889</v>
      </c>
      <c r="C147" s="2" t="inlineStr">
        <is>
          <t>進場</t>
        </is>
      </c>
      <c r="D147" s="2" t="n">
        <v>73</v>
      </c>
      <c r="E147" s="2" t="inlineStr">
        <is>
          <t>POWR_USDT_PERP</t>
        </is>
      </c>
      <c r="F147" s="2" t="inlineStr">
        <is>
          <t>做空</t>
        </is>
      </c>
      <c r="G147" s="17" t="n">
        <v>0.08243</v>
      </c>
      <c r="H147" s="17" t="n">
        <v>0.0791328</v>
      </c>
      <c r="I147" s="17" t="n">
        <v>0.0865515</v>
      </c>
      <c r="J147" s="17" t="n"/>
      <c r="K147" s="2" t="n"/>
      <c r="L147" s="5" t="n"/>
      <c r="M147" s="16">
        <f>資金模擬!$B$5*V146</f>
        <v/>
      </c>
      <c r="N147" s="2">
        <f>IF(Z146=1,"已停止",IF(T146&gt;=M147,"已下單","資金不足略過"))</f>
        <v/>
      </c>
      <c r="O147" s="16">
        <f>IF(N147="已下單",M147*資金模擬!$B$7,0)</f>
        <v/>
      </c>
      <c r="P147" s="4" t="n"/>
      <c r="Q147" s="10" t="n">
        <v>0</v>
      </c>
      <c r="R147" s="10">
        <f>R146+Q147</f>
        <v/>
      </c>
      <c r="S147" s="16">
        <f>S146+IF(N147="已下單",M147,0)</f>
        <v/>
      </c>
      <c r="T147" s="16">
        <f>R147-S147</f>
        <v/>
      </c>
      <c r="U147" s="2">
        <f>U146+IF(N147="已下單",1,0)</f>
        <v/>
      </c>
      <c r="V147" s="16">
        <f>IF(資金模擬!$B$9=2,MAX(R147,0),MAX(V146,FLOOR(MAX(R147,0),資金模擬!$B$6)))</f>
        <v/>
      </c>
      <c r="W147" s="10">
        <f>MAX(W146,R147)</f>
        <v/>
      </c>
      <c r="X147" s="4">
        <f>IF(W147&gt;0,R147/W147-1,-1)</f>
        <v/>
      </c>
      <c r="Y147" s="16">
        <f>IF(R147&gt;0,S147*資金模擬!$B$7/R147,0)</f>
        <v/>
      </c>
      <c r="Z147" s="2">
        <f>IF(OR(Z146=1,R147&lt;=資金模擬!$B$10),1,0)</f>
        <v/>
      </c>
    </row>
    <row r="148">
      <c r="A148" s="2" t="n">
        <v>146</v>
      </c>
      <c r="B148" s="7" t="n">
        <v>46278.45486111111</v>
      </c>
      <c r="C148" s="2" t="inlineStr">
        <is>
          <t>出場</t>
        </is>
      </c>
      <c r="D148" s="2" t="n">
        <v>73</v>
      </c>
      <c r="E148" s="2" t="inlineStr">
        <is>
          <t>POWR_USDT_PERP</t>
        </is>
      </c>
      <c r="F148" s="2" t="inlineStr">
        <is>
          <t>做空</t>
        </is>
      </c>
      <c r="G148" s="17" t="n">
        <v>0.08243</v>
      </c>
      <c r="H148" s="17" t="n">
        <v>0.0791328</v>
      </c>
      <c r="I148" s="17" t="n">
        <v>0.0865515</v>
      </c>
      <c r="J148" s="17" t="n">
        <v>0.0791328</v>
      </c>
      <c r="K148" s="2" t="inlineStr">
        <is>
          <t>止盈</t>
        </is>
      </c>
      <c r="L148" s="5">
        <f>交易明細!K74</f>
        <v/>
      </c>
      <c r="M148" s="16">
        <f>M147</f>
        <v/>
      </c>
      <c r="N148" s="2">
        <f>N147</f>
        <v/>
      </c>
      <c r="O148" s="16">
        <f>O147</f>
        <v/>
      </c>
      <c r="P148" s="4">
        <f>交易明細!L74</f>
        <v/>
      </c>
      <c r="Q148" s="10">
        <f>IF(N148="已下單",O148*P148,0)</f>
        <v/>
      </c>
      <c r="R148" s="10">
        <f>R147+Q148</f>
        <v/>
      </c>
      <c r="S148" s="16">
        <f>S147-IF(N148="已下單",M148,0)</f>
        <v/>
      </c>
      <c r="T148" s="16">
        <f>R148-S148</f>
        <v/>
      </c>
      <c r="U148" s="2">
        <f>U147-IF(N148="已下單",1,0)</f>
        <v/>
      </c>
      <c r="V148" s="16">
        <f>IF(資金模擬!$B$9=2,MAX(R148,0),MAX(V147,FLOOR(MAX(R148,0),資金模擬!$B$6)))</f>
        <v/>
      </c>
      <c r="W148" s="10">
        <f>MAX(W147,R148)</f>
        <v/>
      </c>
      <c r="X148" s="4">
        <f>IF(W148&gt;0,R148/W148-1,-1)</f>
        <v/>
      </c>
      <c r="Y148" s="16">
        <f>IF(R148&gt;0,S148*資金模擬!$B$7/R148,0)</f>
        <v/>
      </c>
      <c r="Z148" s="2">
        <f>IF(OR(Z147=1,R148&lt;=資金模擬!$B$10),1,0)</f>
        <v/>
      </c>
    </row>
    <row r="149">
      <c r="A149" s="2" t="n">
        <v>147</v>
      </c>
      <c r="B149" s="7" t="n">
        <v>46278.60069444445</v>
      </c>
      <c r="C149" s="2" t="inlineStr">
        <is>
          <t>進場</t>
        </is>
      </c>
      <c r="D149" s="2" t="n">
        <v>74</v>
      </c>
      <c r="E149" s="2" t="inlineStr">
        <is>
          <t>CTR_USDT_PERP</t>
        </is>
      </c>
      <c r="F149" s="2" t="inlineStr">
        <is>
          <t>做空</t>
        </is>
      </c>
      <c r="G149" s="17" t="n">
        <v>0.01166</v>
      </c>
      <c r="H149" s="17" t="n">
        <v>0.0111936</v>
      </c>
      <c r="I149" s="17" t="n">
        <v>0.012243</v>
      </c>
      <c r="J149" s="17" t="n"/>
      <c r="K149" s="2" t="n"/>
      <c r="L149" s="5" t="n"/>
      <c r="M149" s="16">
        <f>資金模擬!$B$5*V148</f>
        <v/>
      </c>
      <c r="N149" s="2">
        <f>IF(Z148=1,"已停止",IF(T148&gt;=M149,"已下單","資金不足略過"))</f>
        <v/>
      </c>
      <c r="O149" s="16">
        <f>IF(N149="已下單",M149*資金模擬!$B$7,0)</f>
        <v/>
      </c>
      <c r="P149" s="4" t="n"/>
      <c r="Q149" s="10" t="n">
        <v>0</v>
      </c>
      <c r="R149" s="10">
        <f>R148+Q149</f>
        <v/>
      </c>
      <c r="S149" s="16">
        <f>S148+IF(N149="已下單",M149,0)</f>
        <v/>
      </c>
      <c r="T149" s="16">
        <f>R149-S149</f>
        <v/>
      </c>
      <c r="U149" s="2">
        <f>U148+IF(N149="已下單",1,0)</f>
        <v/>
      </c>
      <c r="V149" s="16">
        <f>IF(資金模擬!$B$9=2,MAX(R149,0),MAX(V148,FLOOR(MAX(R149,0),資金模擬!$B$6)))</f>
        <v/>
      </c>
      <c r="W149" s="10">
        <f>MAX(W148,R149)</f>
        <v/>
      </c>
      <c r="X149" s="4">
        <f>IF(W149&gt;0,R149/W149-1,-1)</f>
        <v/>
      </c>
      <c r="Y149" s="16">
        <f>IF(R149&gt;0,S149*資金模擬!$B$7/R149,0)</f>
        <v/>
      </c>
      <c r="Z149" s="2">
        <f>IF(OR(Z148=1,R149&lt;=資金模擬!$B$10),1,0)</f>
        <v/>
      </c>
    </row>
    <row r="150">
      <c r="A150" s="2" t="n">
        <v>148</v>
      </c>
      <c r="B150" s="7" t="n">
        <v>46278.60416666666</v>
      </c>
      <c r="C150" s="2" t="inlineStr">
        <is>
          <t>出場</t>
        </is>
      </c>
      <c r="D150" s="2" t="n">
        <v>74</v>
      </c>
      <c r="E150" s="2" t="inlineStr">
        <is>
          <t>CTR_USDT_PERP</t>
        </is>
      </c>
      <c r="F150" s="2" t="inlineStr">
        <is>
          <t>做空</t>
        </is>
      </c>
      <c r="G150" s="17" t="n">
        <v>0.01166</v>
      </c>
      <c r="H150" s="17" t="n">
        <v>0.0111936</v>
      </c>
      <c r="I150" s="17" t="n">
        <v>0.012243</v>
      </c>
      <c r="J150" s="17" t="n">
        <v>0.0111936</v>
      </c>
      <c r="K150" s="2" t="inlineStr">
        <is>
          <t>止盈</t>
        </is>
      </c>
      <c r="L150" s="5">
        <f>交易明細!K75</f>
        <v/>
      </c>
      <c r="M150" s="16">
        <f>M149</f>
        <v/>
      </c>
      <c r="N150" s="2">
        <f>N149</f>
        <v/>
      </c>
      <c r="O150" s="16">
        <f>O149</f>
        <v/>
      </c>
      <c r="P150" s="4">
        <f>交易明細!L75</f>
        <v/>
      </c>
      <c r="Q150" s="10">
        <f>IF(N150="已下單",O150*P150,0)</f>
        <v/>
      </c>
      <c r="R150" s="10">
        <f>R149+Q150</f>
        <v/>
      </c>
      <c r="S150" s="16">
        <f>S149-IF(N150="已下單",M150,0)</f>
        <v/>
      </c>
      <c r="T150" s="16">
        <f>R150-S150</f>
        <v/>
      </c>
      <c r="U150" s="2">
        <f>U149-IF(N150="已下單",1,0)</f>
        <v/>
      </c>
      <c r="V150" s="16">
        <f>IF(資金模擬!$B$9=2,MAX(R150,0),MAX(V149,FLOOR(MAX(R150,0),資金模擬!$B$6)))</f>
        <v/>
      </c>
      <c r="W150" s="10">
        <f>MAX(W149,R150)</f>
        <v/>
      </c>
      <c r="X150" s="4">
        <f>IF(W150&gt;0,R150/W150-1,-1)</f>
        <v/>
      </c>
      <c r="Y150" s="16">
        <f>IF(R150&gt;0,S150*資金模擬!$B$7/R150,0)</f>
        <v/>
      </c>
      <c r="Z150" s="2">
        <f>IF(OR(Z149=1,R150&lt;=資金模擬!$B$10),1,0)</f>
        <v/>
      </c>
    </row>
    <row r="151">
      <c r="A151" s="2" t="n">
        <v>149</v>
      </c>
      <c r="B151" s="7" t="n">
        <v>46278.68055555555</v>
      </c>
      <c r="C151" s="2" t="inlineStr">
        <is>
          <t>進場</t>
        </is>
      </c>
      <c r="D151" s="2" t="n">
        <v>75</v>
      </c>
      <c r="E151" s="2" t="inlineStr">
        <is>
          <t>REZ_USDT_PERP</t>
        </is>
      </c>
      <c r="F151" s="2" t="inlineStr">
        <is>
          <t>做空</t>
        </is>
      </c>
      <c r="G151" s="17" t="n">
        <v>0.003949</v>
      </c>
      <c r="H151" s="17" t="n">
        <v>0.00379104</v>
      </c>
      <c r="I151" s="17" t="n">
        <v>0.00414645</v>
      </c>
      <c r="J151" s="17" t="n"/>
      <c r="K151" s="2" t="n"/>
      <c r="L151" s="5" t="n"/>
      <c r="M151" s="16">
        <f>資金模擬!$B$5*V150</f>
        <v/>
      </c>
      <c r="N151" s="2">
        <f>IF(Z150=1,"已停止",IF(T150&gt;=M151,"已下單","資金不足略過"))</f>
        <v/>
      </c>
      <c r="O151" s="16">
        <f>IF(N151="已下單",M151*資金模擬!$B$7,0)</f>
        <v/>
      </c>
      <c r="P151" s="4" t="n"/>
      <c r="Q151" s="10" t="n">
        <v>0</v>
      </c>
      <c r="R151" s="10">
        <f>R150+Q151</f>
        <v/>
      </c>
      <c r="S151" s="16">
        <f>S150+IF(N151="已下單",M151,0)</f>
        <v/>
      </c>
      <c r="T151" s="16">
        <f>R151-S151</f>
        <v/>
      </c>
      <c r="U151" s="2">
        <f>U150+IF(N151="已下單",1,0)</f>
        <v/>
      </c>
      <c r="V151" s="16">
        <f>IF(資金模擬!$B$9=2,MAX(R151,0),MAX(V150,FLOOR(MAX(R151,0),資金模擬!$B$6)))</f>
        <v/>
      </c>
      <c r="W151" s="10">
        <f>MAX(W150,R151)</f>
        <v/>
      </c>
      <c r="X151" s="4">
        <f>IF(W151&gt;0,R151/W151-1,-1)</f>
        <v/>
      </c>
      <c r="Y151" s="16">
        <f>IF(R151&gt;0,S151*資金模擬!$B$7/R151,0)</f>
        <v/>
      </c>
      <c r="Z151" s="2">
        <f>IF(OR(Z150=1,R151&lt;=資金模擬!$B$10),1,0)</f>
        <v/>
      </c>
    </row>
    <row r="152">
      <c r="A152" s="2" t="n">
        <v>150</v>
      </c>
      <c r="B152" s="7" t="n">
        <v>46278.69791666666</v>
      </c>
      <c r="C152" s="2" t="inlineStr">
        <is>
          <t>出場</t>
        </is>
      </c>
      <c r="D152" s="2" t="n">
        <v>75</v>
      </c>
      <c r="E152" s="2" t="inlineStr">
        <is>
          <t>REZ_USDT_PERP</t>
        </is>
      </c>
      <c r="F152" s="2" t="inlineStr">
        <is>
          <t>做空</t>
        </is>
      </c>
      <c r="G152" s="17" t="n">
        <v>0.003949</v>
      </c>
      <c r="H152" s="17" t="n">
        <v>0.00379104</v>
      </c>
      <c r="I152" s="17" t="n">
        <v>0.00414645</v>
      </c>
      <c r="J152" s="17" t="n">
        <v>0.00379104</v>
      </c>
      <c r="K152" s="2" t="inlineStr">
        <is>
          <t>止盈</t>
        </is>
      </c>
      <c r="L152" s="5">
        <f>交易明細!K76</f>
        <v/>
      </c>
      <c r="M152" s="16">
        <f>M151</f>
        <v/>
      </c>
      <c r="N152" s="2">
        <f>N151</f>
        <v/>
      </c>
      <c r="O152" s="16">
        <f>O151</f>
        <v/>
      </c>
      <c r="P152" s="4">
        <f>交易明細!L76</f>
        <v/>
      </c>
      <c r="Q152" s="10">
        <f>IF(N152="已下單",O152*P152,0)</f>
        <v/>
      </c>
      <c r="R152" s="10">
        <f>R151+Q152</f>
        <v/>
      </c>
      <c r="S152" s="16">
        <f>S151-IF(N152="已下單",M152,0)</f>
        <v/>
      </c>
      <c r="T152" s="16">
        <f>R152-S152</f>
        <v/>
      </c>
      <c r="U152" s="2">
        <f>U151-IF(N152="已下單",1,0)</f>
        <v/>
      </c>
      <c r="V152" s="16">
        <f>IF(資金模擬!$B$9=2,MAX(R152,0),MAX(V151,FLOOR(MAX(R152,0),資金模擬!$B$6)))</f>
        <v/>
      </c>
      <c r="W152" s="10">
        <f>MAX(W151,R152)</f>
        <v/>
      </c>
      <c r="X152" s="4">
        <f>IF(W152&gt;0,R152/W152-1,-1)</f>
        <v/>
      </c>
      <c r="Y152" s="16">
        <f>IF(R152&gt;0,S152*資金模擬!$B$7/R152,0)</f>
        <v/>
      </c>
      <c r="Z152" s="2">
        <f>IF(OR(Z151=1,R152&lt;=資金模擬!$B$10),1,0)</f>
        <v/>
      </c>
    </row>
    <row r="153">
      <c r="A153" s="2" t="n">
        <v>151</v>
      </c>
      <c r="B153" s="7" t="n">
        <v>46278.85069444445</v>
      </c>
      <c r="C153" s="2" t="inlineStr">
        <is>
          <t>進場</t>
        </is>
      </c>
      <c r="D153" s="2" t="n">
        <v>76</v>
      </c>
      <c r="E153" s="2" t="inlineStr">
        <is>
          <t>BTW_USDT_PERP</t>
        </is>
      </c>
      <c r="F153" s="2" t="inlineStr">
        <is>
          <t>做空</t>
        </is>
      </c>
      <c r="G153" s="17" t="n">
        <v>0.699394</v>
      </c>
      <c r="H153" s="17" t="n">
        <v>0.6714182399999999</v>
      </c>
      <c r="I153" s="17" t="n">
        <v>0.7343637</v>
      </c>
      <c r="J153" s="17" t="n"/>
      <c r="K153" s="2" t="n"/>
      <c r="L153" s="5" t="n"/>
      <c r="M153" s="16">
        <f>資金模擬!$B$5*V152</f>
        <v/>
      </c>
      <c r="N153" s="2">
        <f>IF(Z152=1,"已停止",IF(T152&gt;=M153,"已下單","資金不足略過"))</f>
        <v/>
      </c>
      <c r="O153" s="16">
        <f>IF(N153="已下單",M153*資金模擬!$B$7,0)</f>
        <v/>
      </c>
      <c r="P153" s="4" t="n"/>
      <c r="Q153" s="10" t="n">
        <v>0</v>
      </c>
      <c r="R153" s="10">
        <f>R152+Q153</f>
        <v/>
      </c>
      <c r="S153" s="16">
        <f>S152+IF(N153="已下單",M153,0)</f>
        <v/>
      </c>
      <c r="T153" s="16">
        <f>R153-S153</f>
        <v/>
      </c>
      <c r="U153" s="2">
        <f>U152+IF(N153="已下單",1,0)</f>
        <v/>
      </c>
      <c r="V153" s="16">
        <f>IF(資金模擬!$B$9=2,MAX(R153,0),MAX(V152,FLOOR(MAX(R153,0),資金模擬!$B$6)))</f>
        <v/>
      </c>
      <c r="W153" s="10">
        <f>MAX(W152,R153)</f>
        <v/>
      </c>
      <c r="X153" s="4">
        <f>IF(W153&gt;0,R153/W153-1,-1)</f>
        <v/>
      </c>
      <c r="Y153" s="16">
        <f>IF(R153&gt;0,S153*資金模擬!$B$7/R153,0)</f>
        <v/>
      </c>
      <c r="Z153" s="2">
        <f>IF(OR(Z152=1,R153&lt;=資金模擬!$B$10),1,0)</f>
        <v/>
      </c>
    </row>
    <row r="154">
      <c r="A154" s="2" t="n">
        <v>152</v>
      </c>
      <c r="B154" s="7" t="n">
        <v>46278.86805555555</v>
      </c>
      <c r="C154" s="2" t="inlineStr">
        <is>
          <t>出場</t>
        </is>
      </c>
      <c r="D154" s="2" t="n">
        <v>76</v>
      </c>
      <c r="E154" s="2" t="inlineStr">
        <is>
          <t>BTW_USDT_PERP</t>
        </is>
      </c>
      <c r="F154" s="2" t="inlineStr">
        <is>
          <t>做空</t>
        </is>
      </c>
      <c r="G154" s="17" t="n">
        <v>0.699394</v>
      </c>
      <c r="H154" s="17" t="n">
        <v>0.6714182399999999</v>
      </c>
      <c r="I154" s="17" t="n">
        <v>0.7343637</v>
      </c>
      <c r="J154" s="17" t="n">
        <v>0.6714182399999999</v>
      </c>
      <c r="K154" s="2" t="inlineStr">
        <is>
          <t>止盈</t>
        </is>
      </c>
      <c r="L154" s="5">
        <f>交易明細!K77</f>
        <v/>
      </c>
      <c r="M154" s="16">
        <f>M153</f>
        <v/>
      </c>
      <c r="N154" s="2">
        <f>N153</f>
        <v/>
      </c>
      <c r="O154" s="16">
        <f>O153</f>
        <v/>
      </c>
      <c r="P154" s="4">
        <f>交易明細!L77</f>
        <v/>
      </c>
      <c r="Q154" s="10">
        <f>IF(N154="已下單",O154*P154,0)</f>
        <v/>
      </c>
      <c r="R154" s="10">
        <f>R153+Q154</f>
        <v/>
      </c>
      <c r="S154" s="16">
        <f>S153-IF(N154="已下單",M154,0)</f>
        <v/>
      </c>
      <c r="T154" s="16">
        <f>R154-S154</f>
        <v/>
      </c>
      <c r="U154" s="2">
        <f>U153-IF(N154="已下單",1,0)</f>
        <v/>
      </c>
      <c r="V154" s="16">
        <f>IF(資金模擬!$B$9=2,MAX(R154,0),MAX(V153,FLOOR(MAX(R154,0),資金模擬!$B$6)))</f>
        <v/>
      </c>
      <c r="W154" s="10">
        <f>MAX(W153,R154)</f>
        <v/>
      </c>
      <c r="X154" s="4">
        <f>IF(W154&gt;0,R154/W154-1,-1)</f>
        <v/>
      </c>
      <c r="Y154" s="16">
        <f>IF(R154&gt;0,S154*資金模擬!$B$7/R154,0)</f>
        <v/>
      </c>
      <c r="Z154" s="2">
        <f>IF(OR(Z153=1,R154&lt;=資金模擬!$B$10),1,0)</f>
        <v/>
      </c>
    </row>
    <row r="155">
      <c r="A155" s="2" t="n">
        <v>153</v>
      </c>
      <c r="B155" s="7" t="n">
        <v>46279.09375</v>
      </c>
      <c r="C155" s="2" t="inlineStr">
        <is>
          <t>進場</t>
        </is>
      </c>
      <c r="D155" s="2" t="n">
        <v>77</v>
      </c>
      <c r="E155" s="2" t="inlineStr">
        <is>
          <t>MAGMA_USDT_PERP</t>
        </is>
      </c>
      <c r="F155" s="2" t="inlineStr">
        <is>
          <t>做空</t>
        </is>
      </c>
      <c r="G155" s="17" t="n">
        <v>0.26632</v>
      </c>
      <c r="H155" s="17" t="n">
        <v>0.2556672</v>
      </c>
      <c r="I155" s="17" t="n">
        <v>0.279636</v>
      </c>
      <c r="J155" s="17" t="n"/>
      <c r="K155" s="2" t="n"/>
      <c r="L155" s="5" t="n"/>
      <c r="M155" s="16">
        <f>資金模擬!$B$5*V154</f>
        <v/>
      </c>
      <c r="N155" s="2">
        <f>IF(Z154=1,"已停止",IF(T154&gt;=M155,"已下單","資金不足略過"))</f>
        <v/>
      </c>
      <c r="O155" s="16">
        <f>IF(N155="已下單",M155*資金模擬!$B$7,0)</f>
        <v/>
      </c>
      <c r="P155" s="4" t="n"/>
      <c r="Q155" s="10" t="n">
        <v>0</v>
      </c>
      <c r="R155" s="10">
        <f>R154+Q155</f>
        <v/>
      </c>
      <c r="S155" s="16">
        <f>S154+IF(N155="已下單",M155,0)</f>
        <v/>
      </c>
      <c r="T155" s="16">
        <f>R155-S155</f>
        <v/>
      </c>
      <c r="U155" s="2">
        <f>U154+IF(N155="已下單",1,0)</f>
        <v/>
      </c>
      <c r="V155" s="16">
        <f>IF(資金模擬!$B$9=2,MAX(R155,0),MAX(V154,FLOOR(MAX(R155,0),資金模擬!$B$6)))</f>
        <v/>
      </c>
      <c r="W155" s="10">
        <f>MAX(W154,R155)</f>
        <v/>
      </c>
      <c r="X155" s="4">
        <f>IF(W155&gt;0,R155/W155-1,-1)</f>
        <v/>
      </c>
      <c r="Y155" s="16">
        <f>IF(R155&gt;0,S155*資金模擬!$B$7/R155,0)</f>
        <v/>
      </c>
      <c r="Z155" s="2">
        <f>IF(OR(Z154=1,R155&lt;=資金模擬!$B$10),1,0)</f>
        <v/>
      </c>
    </row>
    <row r="156">
      <c r="A156" s="2" t="n">
        <v>154</v>
      </c>
      <c r="B156" s="7" t="n">
        <v>46279.10763888889</v>
      </c>
      <c r="C156" s="2" t="inlineStr">
        <is>
          <t>出場</t>
        </is>
      </c>
      <c r="D156" s="2" t="n">
        <v>77</v>
      </c>
      <c r="E156" s="2" t="inlineStr">
        <is>
          <t>MAGMA_USDT_PERP</t>
        </is>
      </c>
      <c r="F156" s="2" t="inlineStr">
        <is>
          <t>做空</t>
        </is>
      </c>
      <c r="G156" s="17" t="n">
        <v>0.26632</v>
      </c>
      <c r="H156" s="17" t="n">
        <v>0.2556672</v>
      </c>
      <c r="I156" s="17" t="n">
        <v>0.279636</v>
      </c>
      <c r="J156" s="17" t="n">
        <v>0.279636</v>
      </c>
      <c r="K156" s="2" t="inlineStr">
        <is>
          <t>止損</t>
        </is>
      </c>
      <c r="L156" s="5">
        <f>交易明細!K78</f>
        <v/>
      </c>
      <c r="M156" s="16">
        <f>M155</f>
        <v/>
      </c>
      <c r="N156" s="2">
        <f>N155</f>
        <v/>
      </c>
      <c r="O156" s="16">
        <f>O155</f>
        <v/>
      </c>
      <c r="P156" s="4">
        <f>交易明細!L78</f>
        <v/>
      </c>
      <c r="Q156" s="10">
        <f>IF(N156="已下單",O156*P156,0)</f>
        <v/>
      </c>
      <c r="R156" s="10">
        <f>R155+Q156</f>
        <v/>
      </c>
      <c r="S156" s="16">
        <f>S155-IF(N156="已下單",M156,0)</f>
        <v/>
      </c>
      <c r="T156" s="16">
        <f>R156-S156</f>
        <v/>
      </c>
      <c r="U156" s="2">
        <f>U155-IF(N156="已下單",1,0)</f>
        <v/>
      </c>
      <c r="V156" s="16">
        <f>IF(資金模擬!$B$9=2,MAX(R156,0),MAX(V155,FLOOR(MAX(R156,0),資金模擬!$B$6)))</f>
        <v/>
      </c>
      <c r="W156" s="10">
        <f>MAX(W155,R156)</f>
        <v/>
      </c>
      <c r="X156" s="4">
        <f>IF(W156&gt;0,R156/W156-1,-1)</f>
        <v/>
      </c>
      <c r="Y156" s="16">
        <f>IF(R156&gt;0,S156*資金模擬!$B$7/R156,0)</f>
        <v/>
      </c>
      <c r="Z156" s="2">
        <f>IF(OR(Z155=1,R156&lt;=資金模擬!$B$10),1,0)</f>
        <v/>
      </c>
    </row>
    <row r="157">
      <c r="A157" s="2" t="n">
        <v>155</v>
      </c>
      <c r="B157" s="7" t="n">
        <v>46279.49652777778</v>
      </c>
      <c r="C157" s="2" t="inlineStr">
        <is>
          <t>進場</t>
        </is>
      </c>
      <c r="D157" s="2" t="n">
        <v>78</v>
      </c>
      <c r="E157" s="2" t="inlineStr">
        <is>
          <t>BR_USDT_PERP</t>
        </is>
      </c>
      <c r="F157" s="2" t="inlineStr">
        <is>
          <t>做空</t>
        </is>
      </c>
      <c r="G157" s="17" t="n">
        <v>0.36686</v>
      </c>
      <c r="H157" s="17" t="n">
        <v>0.3521856</v>
      </c>
      <c r="I157" s="17" t="n">
        <v>0.385203</v>
      </c>
      <c r="J157" s="17" t="n"/>
      <c r="K157" s="2" t="n"/>
      <c r="L157" s="5" t="n"/>
      <c r="M157" s="16">
        <f>資金模擬!$B$5*V156</f>
        <v/>
      </c>
      <c r="N157" s="2">
        <f>IF(Z156=1,"已停止",IF(T156&gt;=M157,"已下單","資金不足略過"))</f>
        <v/>
      </c>
      <c r="O157" s="16">
        <f>IF(N157="已下單",M157*資金模擬!$B$7,0)</f>
        <v/>
      </c>
      <c r="P157" s="4" t="n"/>
      <c r="Q157" s="10" t="n">
        <v>0</v>
      </c>
      <c r="R157" s="10">
        <f>R156+Q157</f>
        <v/>
      </c>
      <c r="S157" s="16">
        <f>S156+IF(N157="已下單",M157,0)</f>
        <v/>
      </c>
      <c r="T157" s="16">
        <f>R157-S157</f>
        <v/>
      </c>
      <c r="U157" s="2">
        <f>U156+IF(N157="已下單",1,0)</f>
        <v/>
      </c>
      <c r="V157" s="16">
        <f>IF(資金模擬!$B$9=2,MAX(R157,0),MAX(V156,FLOOR(MAX(R157,0),資金模擬!$B$6)))</f>
        <v/>
      </c>
      <c r="W157" s="10">
        <f>MAX(W156,R157)</f>
        <v/>
      </c>
      <c r="X157" s="4">
        <f>IF(W157&gt;0,R157/W157-1,-1)</f>
        <v/>
      </c>
      <c r="Y157" s="16">
        <f>IF(R157&gt;0,S157*資金模擬!$B$7/R157,0)</f>
        <v/>
      </c>
      <c r="Z157" s="2">
        <f>IF(OR(Z156=1,R157&lt;=資金模擬!$B$10),1,0)</f>
        <v/>
      </c>
    </row>
    <row r="158">
      <c r="A158" s="2" t="n">
        <v>156</v>
      </c>
      <c r="B158" s="7" t="n">
        <v>46279.5</v>
      </c>
      <c r="C158" s="2" t="inlineStr">
        <is>
          <t>出場</t>
        </is>
      </c>
      <c r="D158" s="2" t="n">
        <v>78</v>
      </c>
      <c r="E158" s="2" t="inlineStr">
        <is>
          <t>BR_USDT_PERP</t>
        </is>
      </c>
      <c r="F158" s="2" t="inlineStr">
        <is>
          <t>做空</t>
        </is>
      </c>
      <c r="G158" s="17" t="n">
        <v>0.36686</v>
      </c>
      <c r="H158" s="17" t="n">
        <v>0.3521856</v>
      </c>
      <c r="I158" s="17" t="n">
        <v>0.385203</v>
      </c>
      <c r="J158" s="17" t="n">
        <v>0.385203</v>
      </c>
      <c r="K158" s="2" t="inlineStr">
        <is>
          <t>止損</t>
        </is>
      </c>
      <c r="L158" s="5">
        <f>交易明細!K79</f>
        <v/>
      </c>
      <c r="M158" s="16">
        <f>M157</f>
        <v/>
      </c>
      <c r="N158" s="2">
        <f>N157</f>
        <v/>
      </c>
      <c r="O158" s="16">
        <f>O157</f>
        <v/>
      </c>
      <c r="P158" s="4">
        <f>交易明細!L79</f>
        <v/>
      </c>
      <c r="Q158" s="10">
        <f>IF(N158="已下單",O158*P158,0)</f>
        <v/>
      </c>
      <c r="R158" s="10">
        <f>R157+Q158</f>
        <v/>
      </c>
      <c r="S158" s="16">
        <f>S157-IF(N158="已下單",M158,0)</f>
        <v/>
      </c>
      <c r="T158" s="16">
        <f>R158-S158</f>
        <v/>
      </c>
      <c r="U158" s="2">
        <f>U157-IF(N158="已下單",1,0)</f>
        <v/>
      </c>
      <c r="V158" s="16">
        <f>IF(資金模擬!$B$9=2,MAX(R158,0),MAX(V157,FLOOR(MAX(R158,0),資金模擬!$B$6)))</f>
        <v/>
      </c>
      <c r="W158" s="10">
        <f>MAX(W157,R158)</f>
        <v/>
      </c>
      <c r="X158" s="4">
        <f>IF(W158&gt;0,R158/W158-1,-1)</f>
        <v/>
      </c>
      <c r="Y158" s="16">
        <f>IF(R158&gt;0,S158*資金模擬!$B$7/R158,0)</f>
        <v/>
      </c>
      <c r="Z158" s="2">
        <f>IF(OR(Z157=1,R158&lt;=資金模擬!$B$10),1,0)</f>
        <v/>
      </c>
    </row>
    <row r="159">
      <c r="A159" s="2" t="n">
        <v>157</v>
      </c>
      <c r="B159" s="7" t="n">
        <v>46279.57638888889</v>
      </c>
      <c r="C159" s="2" t="inlineStr">
        <is>
          <t>進場</t>
        </is>
      </c>
      <c r="D159" s="2" t="n">
        <v>79</v>
      </c>
      <c r="E159" s="2" t="inlineStr">
        <is>
          <t>AIN_USDT_PERP</t>
        </is>
      </c>
      <c r="F159" s="2" t="inlineStr">
        <is>
          <t>做空</t>
        </is>
      </c>
      <c r="G159" s="17" t="n">
        <v>0.10972</v>
      </c>
      <c r="H159" s="17" t="n">
        <v>0.1053312</v>
      </c>
      <c r="I159" s="17" t="n">
        <v>0.115206</v>
      </c>
      <c r="J159" s="17" t="n"/>
      <c r="K159" s="2" t="n"/>
      <c r="L159" s="5" t="n"/>
      <c r="M159" s="16">
        <f>資金模擬!$B$5*V158</f>
        <v/>
      </c>
      <c r="N159" s="2">
        <f>IF(Z158=1,"已停止",IF(T158&gt;=M159,"已下單","資金不足略過"))</f>
        <v/>
      </c>
      <c r="O159" s="16">
        <f>IF(N159="已下單",M159*資金模擬!$B$7,0)</f>
        <v/>
      </c>
      <c r="P159" s="4" t="n"/>
      <c r="Q159" s="10" t="n">
        <v>0</v>
      </c>
      <c r="R159" s="10">
        <f>R158+Q159</f>
        <v/>
      </c>
      <c r="S159" s="16">
        <f>S158+IF(N159="已下單",M159,0)</f>
        <v/>
      </c>
      <c r="T159" s="16">
        <f>R159-S159</f>
        <v/>
      </c>
      <c r="U159" s="2">
        <f>U158+IF(N159="已下單",1,0)</f>
        <v/>
      </c>
      <c r="V159" s="16">
        <f>IF(資金模擬!$B$9=2,MAX(R159,0),MAX(V158,FLOOR(MAX(R159,0),資金模擬!$B$6)))</f>
        <v/>
      </c>
      <c r="W159" s="10">
        <f>MAX(W158,R159)</f>
        <v/>
      </c>
      <c r="X159" s="4">
        <f>IF(W159&gt;0,R159/W159-1,-1)</f>
        <v/>
      </c>
      <c r="Y159" s="16">
        <f>IF(R159&gt;0,S159*資金模擬!$B$7/R159,0)</f>
        <v/>
      </c>
      <c r="Z159" s="2">
        <f>IF(OR(Z158=1,R159&lt;=資金模擬!$B$10),1,0)</f>
        <v/>
      </c>
    </row>
    <row r="160">
      <c r="A160" s="2" t="n">
        <v>158</v>
      </c>
      <c r="B160" s="7" t="n">
        <v>46279.58333333334</v>
      </c>
      <c r="C160" s="2" t="inlineStr">
        <is>
          <t>出場</t>
        </is>
      </c>
      <c r="D160" s="2" t="n">
        <v>79</v>
      </c>
      <c r="E160" s="2" t="inlineStr">
        <is>
          <t>AIN_USDT_PERP</t>
        </is>
      </c>
      <c r="F160" s="2" t="inlineStr">
        <is>
          <t>做空</t>
        </is>
      </c>
      <c r="G160" s="17" t="n">
        <v>0.10972</v>
      </c>
      <c r="H160" s="17" t="n">
        <v>0.1053312</v>
      </c>
      <c r="I160" s="17" t="n">
        <v>0.115206</v>
      </c>
      <c r="J160" s="17" t="n">
        <v>0.1053312</v>
      </c>
      <c r="K160" s="2" t="inlineStr">
        <is>
          <t>止盈</t>
        </is>
      </c>
      <c r="L160" s="5">
        <f>交易明細!K80</f>
        <v/>
      </c>
      <c r="M160" s="16">
        <f>M159</f>
        <v/>
      </c>
      <c r="N160" s="2">
        <f>N159</f>
        <v/>
      </c>
      <c r="O160" s="16">
        <f>O159</f>
        <v/>
      </c>
      <c r="P160" s="4">
        <f>交易明細!L80</f>
        <v/>
      </c>
      <c r="Q160" s="10">
        <f>IF(N160="已下單",O160*P160,0)</f>
        <v/>
      </c>
      <c r="R160" s="10">
        <f>R159+Q160</f>
        <v/>
      </c>
      <c r="S160" s="16">
        <f>S159-IF(N160="已下單",M160,0)</f>
        <v/>
      </c>
      <c r="T160" s="16">
        <f>R160-S160</f>
        <v/>
      </c>
      <c r="U160" s="2">
        <f>U159-IF(N160="已下單",1,0)</f>
        <v/>
      </c>
      <c r="V160" s="16">
        <f>IF(資金模擬!$B$9=2,MAX(R160,0),MAX(V159,FLOOR(MAX(R160,0),資金模擬!$B$6)))</f>
        <v/>
      </c>
      <c r="W160" s="10">
        <f>MAX(W159,R160)</f>
        <v/>
      </c>
      <c r="X160" s="4">
        <f>IF(W160&gt;0,R160/W160-1,-1)</f>
        <v/>
      </c>
      <c r="Y160" s="16">
        <f>IF(R160&gt;0,S160*資金模擬!$B$7/R160,0)</f>
        <v/>
      </c>
      <c r="Z160" s="2">
        <f>IF(OR(Z159=1,R160&lt;=資金模擬!$B$10),1,0)</f>
        <v/>
      </c>
    </row>
    <row r="161">
      <c r="A161" s="2" t="n">
        <v>159</v>
      </c>
      <c r="B161" s="7" t="n">
        <v>46279.60416666666</v>
      </c>
      <c r="C161" s="2" t="inlineStr">
        <is>
          <t>進場</t>
        </is>
      </c>
      <c r="D161" s="2" t="n">
        <v>80</v>
      </c>
      <c r="E161" s="2" t="inlineStr">
        <is>
          <t>XPIN_USDT_PERP</t>
        </is>
      </c>
      <c r="F161" s="2" t="inlineStr">
        <is>
          <t>做空</t>
        </is>
      </c>
      <c r="G161" s="17" t="n">
        <v>0.000886</v>
      </c>
      <c r="H161" s="17" t="n">
        <v>0.0008505599999999999</v>
      </c>
      <c r="I161" s="17" t="n">
        <v>0.0009303</v>
      </c>
      <c r="J161" s="17" t="n"/>
      <c r="K161" s="2" t="n"/>
      <c r="L161" s="5" t="n"/>
      <c r="M161" s="16">
        <f>資金模擬!$B$5*V160</f>
        <v/>
      </c>
      <c r="N161" s="2">
        <f>IF(Z160=1,"已停止",IF(T160&gt;=M161,"已下單","資金不足略過"))</f>
        <v/>
      </c>
      <c r="O161" s="16">
        <f>IF(N161="已下單",M161*資金模擬!$B$7,0)</f>
        <v/>
      </c>
      <c r="P161" s="4" t="n"/>
      <c r="Q161" s="10" t="n">
        <v>0</v>
      </c>
      <c r="R161" s="10">
        <f>R160+Q161</f>
        <v/>
      </c>
      <c r="S161" s="16">
        <f>S160+IF(N161="已下單",M161,0)</f>
        <v/>
      </c>
      <c r="T161" s="16">
        <f>R161-S161</f>
        <v/>
      </c>
      <c r="U161" s="2">
        <f>U160+IF(N161="已下單",1,0)</f>
        <v/>
      </c>
      <c r="V161" s="16">
        <f>IF(資金模擬!$B$9=2,MAX(R161,0),MAX(V160,FLOOR(MAX(R161,0),資金模擬!$B$6)))</f>
        <v/>
      </c>
      <c r="W161" s="10">
        <f>MAX(W160,R161)</f>
        <v/>
      </c>
      <c r="X161" s="4">
        <f>IF(W161&gt;0,R161/W161-1,-1)</f>
        <v/>
      </c>
      <c r="Y161" s="16">
        <f>IF(R161&gt;0,S161*資金模擬!$B$7/R161,0)</f>
        <v/>
      </c>
      <c r="Z161" s="2">
        <f>IF(OR(Z160=1,R161&lt;=資金模擬!$B$10),1,0)</f>
        <v/>
      </c>
    </row>
    <row r="162">
      <c r="A162" s="2" t="n">
        <v>160</v>
      </c>
      <c r="B162" s="7" t="n">
        <v>46279.60763888889</v>
      </c>
      <c r="C162" s="2" t="inlineStr">
        <is>
          <t>出場</t>
        </is>
      </c>
      <c r="D162" s="2" t="n">
        <v>80</v>
      </c>
      <c r="E162" s="2" t="inlineStr">
        <is>
          <t>XPIN_USDT_PERP</t>
        </is>
      </c>
      <c r="F162" s="2" t="inlineStr">
        <is>
          <t>做空</t>
        </is>
      </c>
      <c r="G162" s="17" t="n">
        <v>0.000886</v>
      </c>
      <c r="H162" s="17" t="n">
        <v>0.0008505599999999999</v>
      </c>
      <c r="I162" s="17" t="n">
        <v>0.0009303</v>
      </c>
      <c r="J162" s="17" t="n">
        <v>0.0009303</v>
      </c>
      <c r="K162" s="2" t="inlineStr">
        <is>
          <t>止損</t>
        </is>
      </c>
      <c r="L162" s="5">
        <f>交易明細!K81</f>
        <v/>
      </c>
      <c r="M162" s="16">
        <f>M161</f>
        <v/>
      </c>
      <c r="N162" s="2">
        <f>N161</f>
        <v/>
      </c>
      <c r="O162" s="16">
        <f>O161</f>
        <v/>
      </c>
      <c r="P162" s="4">
        <f>交易明細!L81</f>
        <v/>
      </c>
      <c r="Q162" s="10">
        <f>IF(N162="已下單",O162*P162,0)</f>
        <v/>
      </c>
      <c r="R162" s="10">
        <f>R161+Q162</f>
        <v/>
      </c>
      <c r="S162" s="16">
        <f>S161-IF(N162="已下單",M162,0)</f>
        <v/>
      </c>
      <c r="T162" s="16">
        <f>R162-S162</f>
        <v/>
      </c>
      <c r="U162" s="2">
        <f>U161-IF(N162="已下單",1,0)</f>
        <v/>
      </c>
      <c r="V162" s="16">
        <f>IF(資金模擬!$B$9=2,MAX(R162,0),MAX(V161,FLOOR(MAX(R162,0),資金模擬!$B$6)))</f>
        <v/>
      </c>
      <c r="W162" s="10">
        <f>MAX(W161,R162)</f>
        <v/>
      </c>
      <c r="X162" s="4">
        <f>IF(W162&gt;0,R162/W162-1,-1)</f>
        <v/>
      </c>
      <c r="Y162" s="16">
        <f>IF(R162&gt;0,S162*資金模擬!$B$7/R162,0)</f>
        <v/>
      </c>
      <c r="Z162" s="2">
        <f>IF(OR(Z161=1,R162&lt;=資金模擬!$B$10),1,0)</f>
        <v/>
      </c>
    </row>
    <row r="163">
      <c r="A163" s="2" t="n">
        <v>161</v>
      </c>
      <c r="B163" s="7" t="n">
        <v>46279.625</v>
      </c>
      <c r="C163" s="2" t="inlineStr">
        <is>
          <t>進場</t>
        </is>
      </c>
      <c r="D163" s="2" t="n">
        <v>81</v>
      </c>
      <c r="E163" s="2" t="inlineStr">
        <is>
          <t>AIN_USDT_PERP</t>
        </is>
      </c>
      <c r="F163" s="2" t="inlineStr">
        <is>
          <t>做空</t>
        </is>
      </c>
      <c r="G163" s="17" t="n">
        <v>0.10454</v>
      </c>
      <c r="H163" s="17" t="n">
        <v>0.1003584</v>
      </c>
      <c r="I163" s="17" t="n">
        <v>0.109767</v>
      </c>
      <c r="J163" s="17" t="n"/>
      <c r="K163" s="2" t="n"/>
      <c r="L163" s="5" t="n"/>
      <c r="M163" s="16">
        <f>資金模擬!$B$5*V162</f>
        <v/>
      </c>
      <c r="N163" s="2">
        <f>IF(Z162=1,"已停止",IF(T162&gt;=M163,"已下單","資金不足略過"))</f>
        <v/>
      </c>
      <c r="O163" s="16">
        <f>IF(N163="已下單",M163*資金模擬!$B$7,0)</f>
        <v/>
      </c>
      <c r="P163" s="4" t="n"/>
      <c r="Q163" s="10" t="n">
        <v>0</v>
      </c>
      <c r="R163" s="10">
        <f>R162+Q163</f>
        <v/>
      </c>
      <c r="S163" s="16">
        <f>S162+IF(N163="已下單",M163,0)</f>
        <v/>
      </c>
      <c r="T163" s="16">
        <f>R163-S163</f>
        <v/>
      </c>
      <c r="U163" s="2">
        <f>U162+IF(N163="已下單",1,0)</f>
        <v/>
      </c>
      <c r="V163" s="16">
        <f>IF(資金模擬!$B$9=2,MAX(R163,0),MAX(V162,FLOOR(MAX(R163,0),資金模擬!$B$6)))</f>
        <v/>
      </c>
      <c r="W163" s="10">
        <f>MAX(W162,R163)</f>
        <v/>
      </c>
      <c r="X163" s="4">
        <f>IF(W163&gt;0,R163/W163-1,-1)</f>
        <v/>
      </c>
      <c r="Y163" s="16">
        <f>IF(R163&gt;0,S163*資金模擬!$B$7/R163,0)</f>
        <v/>
      </c>
      <c r="Z163" s="2">
        <f>IF(OR(Z162=1,R163&lt;=資金模擬!$B$10),1,0)</f>
        <v/>
      </c>
    </row>
    <row r="164">
      <c r="A164" s="2" t="n">
        <v>162</v>
      </c>
      <c r="B164" s="7" t="n">
        <v>46279.64583333334</v>
      </c>
      <c r="C164" s="2" t="inlineStr">
        <is>
          <t>出場</t>
        </is>
      </c>
      <c r="D164" s="2" t="n">
        <v>81</v>
      </c>
      <c r="E164" s="2" t="inlineStr">
        <is>
          <t>AIN_USDT_PERP</t>
        </is>
      </c>
      <c r="F164" s="2" t="inlineStr">
        <is>
          <t>做空</t>
        </is>
      </c>
      <c r="G164" s="17" t="n">
        <v>0.10454</v>
      </c>
      <c r="H164" s="17" t="n">
        <v>0.1003584</v>
      </c>
      <c r="I164" s="17" t="n">
        <v>0.109767</v>
      </c>
      <c r="J164" s="17" t="n">
        <v>0.1003584</v>
      </c>
      <c r="K164" s="2" t="inlineStr">
        <is>
          <t>止盈</t>
        </is>
      </c>
      <c r="L164" s="5">
        <f>交易明細!K82</f>
        <v/>
      </c>
      <c r="M164" s="16">
        <f>M163</f>
        <v/>
      </c>
      <c r="N164" s="2">
        <f>N163</f>
        <v/>
      </c>
      <c r="O164" s="16">
        <f>O163</f>
        <v/>
      </c>
      <c r="P164" s="4">
        <f>交易明細!L82</f>
        <v/>
      </c>
      <c r="Q164" s="10">
        <f>IF(N164="已下單",O164*P164,0)</f>
        <v/>
      </c>
      <c r="R164" s="10">
        <f>R163+Q164</f>
        <v/>
      </c>
      <c r="S164" s="16">
        <f>S163-IF(N164="已下單",M164,0)</f>
        <v/>
      </c>
      <c r="T164" s="16">
        <f>R164-S164</f>
        <v/>
      </c>
      <c r="U164" s="2">
        <f>U163-IF(N164="已下單",1,0)</f>
        <v/>
      </c>
      <c r="V164" s="16">
        <f>IF(資金模擬!$B$9=2,MAX(R164,0),MAX(V163,FLOOR(MAX(R164,0),資金模擬!$B$6)))</f>
        <v/>
      </c>
      <c r="W164" s="10">
        <f>MAX(W163,R164)</f>
        <v/>
      </c>
      <c r="X164" s="4">
        <f>IF(W164&gt;0,R164/W164-1,-1)</f>
        <v/>
      </c>
      <c r="Y164" s="16">
        <f>IF(R164&gt;0,S164*資金模擬!$B$7/R164,0)</f>
        <v/>
      </c>
      <c r="Z164" s="2">
        <f>IF(OR(Z163=1,R164&lt;=資金模擬!$B$10),1,0)</f>
        <v/>
      </c>
    </row>
    <row r="165">
      <c r="A165" s="2" t="n">
        <v>163</v>
      </c>
      <c r="B165" s="7" t="n">
        <v>46279.85069444445</v>
      </c>
      <c r="C165" s="2" t="inlineStr">
        <is>
          <t>進場</t>
        </is>
      </c>
      <c r="D165" s="2" t="n">
        <v>82</v>
      </c>
      <c r="E165" s="2" t="inlineStr">
        <is>
          <t>CAP_USDT_PERP</t>
        </is>
      </c>
      <c r="F165" s="2" t="inlineStr">
        <is>
          <t>做空</t>
        </is>
      </c>
      <c r="G165" s="17" t="n">
        <v>0.06824</v>
      </c>
      <c r="H165" s="17" t="n">
        <v>0.0655104</v>
      </c>
      <c r="I165" s="17" t="n">
        <v>0.07165199999999999</v>
      </c>
      <c r="J165" s="17" t="n"/>
      <c r="K165" s="2" t="n"/>
      <c r="L165" s="5" t="n"/>
      <c r="M165" s="16">
        <f>資金模擬!$B$5*V164</f>
        <v/>
      </c>
      <c r="N165" s="2">
        <f>IF(Z164=1,"已停止",IF(T164&gt;=M165,"已下單","資金不足略過"))</f>
        <v/>
      </c>
      <c r="O165" s="16">
        <f>IF(N165="已下單",M165*資金模擬!$B$7,0)</f>
        <v/>
      </c>
      <c r="P165" s="4" t="n"/>
      <c r="Q165" s="10" t="n">
        <v>0</v>
      </c>
      <c r="R165" s="10">
        <f>R164+Q165</f>
        <v/>
      </c>
      <c r="S165" s="16">
        <f>S164+IF(N165="已下單",M165,0)</f>
        <v/>
      </c>
      <c r="T165" s="16">
        <f>R165-S165</f>
        <v/>
      </c>
      <c r="U165" s="2">
        <f>U164+IF(N165="已下單",1,0)</f>
        <v/>
      </c>
      <c r="V165" s="16">
        <f>IF(資金模擬!$B$9=2,MAX(R165,0),MAX(V164,FLOOR(MAX(R165,0),資金模擬!$B$6)))</f>
        <v/>
      </c>
      <c r="W165" s="10">
        <f>MAX(W164,R165)</f>
        <v/>
      </c>
      <c r="X165" s="4">
        <f>IF(W165&gt;0,R165/W165-1,-1)</f>
        <v/>
      </c>
      <c r="Y165" s="16">
        <f>IF(R165&gt;0,S165*資金模擬!$B$7/R165,0)</f>
        <v/>
      </c>
      <c r="Z165" s="2">
        <f>IF(OR(Z164=1,R165&lt;=資金模擬!$B$10),1,0)</f>
        <v/>
      </c>
    </row>
    <row r="166">
      <c r="A166" s="2" t="n">
        <v>164</v>
      </c>
      <c r="B166" s="7" t="n">
        <v>46279.85416666666</v>
      </c>
      <c r="C166" s="2" t="inlineStr">
        <is>
          <t>出場</t>
        </is>
      </c>
      <c r="D166" s="2" t="n">
        <v>82</v>
      </c>
      <c r="E166" s="2" t="inlineStr">
        <is>
          <t>CAP_USDT_PERP</t>
        </is>
      </c>
      <c r="F166" s="2" t="inlineStr">
        <is>
          <t>做空</t>
        </is>
      </c>
      <c r="G166" s="17" t="n">
        <v>0.06824</v>
      </c>
      <c r="H166" s="17" t="n">
        <v>0.0655104</v>
      </c>
      <c r="I166" s="17" t="n">
        <v>0.07165199999999999</v>
      </c>
      <c r="J166" s="17" t="n">
        <v>0.0655104</v>
      </c>
      <c r="K166" s="2" t="inlineStr">
        <is>
          <t>止盈</t>
        </is>
      </c>
      <c r="L166" s="5">
        <f>交易明細!K83</f>
        <v/>
      </c>
      <c r="M166" s="16">
        <f>M165</f>
        <v/>
      </c>
      <c r="N166" s="2">
        <f>N165</f>
        <v/>
      </c>
      <c r="O166" s="16">
        <f>O165</f>
        <v/>
      </c>
      <c r="P166" s="4">
        <f>交易明細!L83</f>
        <v/>
      </c>
      <c r="Q166" s="10">
        <f>IF(N166="已下單",O166*P166,0)</f>
        <v/>
      </c>
      <c r="R166" s="10">
        <f>R165+Q166</f>
        <v/>
      </c>
      <c r="S166" s="16">
        <f>S165-IF(N166="已下單",M166,0)</f>
        <v/>
      </c>
      <c r="T166" s="16">
        <f>R166-S166</f>
        <v/>
      </c>
      <c r="U166" s="2">
        <f>U165-IF(N166="已下單",1,0)</f>
        <v/>
      </c>
      <c r="V166" s="16">
        <f>IF(資金模擬!$B$9=2,MAX(R166,0),MAX(V165,FLOOR(MAX(R166,0),資金模擬!$B$6)))</f>
        <v/>
      </c>
      <c r="W166" s="10">
        <f>MAX(W165,R166)</f>
        <v/>
      </c>
      <c r="X166" s="4">
        <f>IF(W166&gt;0,R166/W166-1,-1)</f>
        <v/>
      </c>
      <c r="Y166" s="16">
        <f>IF(R166&gt;0,S166*資金模擬!$B$7/R166,0)</f>
        <v/>
      </c>
      <c r="Z166" s="2">
        <f>IF(OR(Z165=1,R166&lt;=資金模擬!$B$10),1,0)</f>
        <v/>
      </c>
    </row>
    <row r="167">
      <c r="A167" s="2" t="n">
        <v>165</v>
      </c>
      <c r="B167" s="7" t="n">
        <v>46280.02083333334</v>
      </c>
      <c r="C167" s="2" t="inlineStr">
        <is>
          <t>進場</t>
        </is>
      </c>
      <c r="D167" s="2" t="n">
        <v>83</v>
      </c>
      <c r="E167" s="2" t="inlineStr">
        <is>
          <t>HEMI_USDT_PERP</t>
        </is>
      </c>
      <c r="F167" s="2" t="inlineStr">
        <is>
          <t>做空</t>
        </is>
      </c>
      <c r="G167" s="17" t="n">
        <v>0.00705</v>
      </c>
      <c r="H167" s="17" t="n">
        <v>0.006768</v>
      </c>
      <c r="I167" s="17" t="n">
        <v>0.0074025</v>
      </c>
      <c r="J167" s="17" t="n"/>
      <c r="K167" s="2" t="n"/>
      <c r="L167" s="5" t="n"/>
      <c r="M167" s="16">
        <f>資金模擬!$B$5*V166</f>
        <v/>
      </c>
      <c r="N167" s="2">
        <f>IF(Z166=1,"已停止",IF(T166&gt;=M167,"已下單","資金不足略過"))</f>
        <v/>
      </c>
      <c r="O167" s="16">
        <f>IF(N167="已下單",M167*資金模擬!$B$7,0)</f>
        <v/>
      </c>
      <c r="P167" s="4" t="n"/>
      <c r="Q167" s="10" t="n">
        <v>0</v>
      </c>
      <c r="R167" s="10">
        <f>R166+Q167</f>
        <v/>
      </c>
      <c r="S167" s="16">
        <f>S166+IF(N167="已下單",M167,0)</f>
        <v/>
      </c>
      <c r="T167" s="16">
        <f>R167-S167</f>
        <v/>
      </c>
      <c r="U167" s="2">
        <f>U166+IF(N167="已下單",1,0)</f>
        <v/>
      </c>
      <c r="V167" s="16">
        <f>IF(資金模擬!$B$9=2,MAX(R167,0),MAX(V166,FLOOR(MAX(R167,0),資金模擬!$B$6)))</f>
        <v/>
      </c>
      <c r="W167" s="10">
        <f>MAX(W166,R167)</f>
        <v/>
      </c>
      <c r="X167" s="4">
        <f>IF(W167&gt;0,R167/W167-1,-1)</f>
        <v/>
      </c>
      <c r="Y167" s="16">
        <f>IF(R167&gt;0,S167*資金模擬!$B$7/R167,0)</f>
        <v/>
      </c>
      <c r="Z167" s="2">
        <f>IF(OR(Z166=1,R167&lt;=資金模擬!$B$10),1,0)</f>
        <v/>
      </c>
    </row>
    <row r="168">
      <c r="A168" s="2" t="n">
        <v>166</v>
      </c>
      <c r="B168" s="7" t="n">
        <v>46280.02430555555</v>
      </c>
      <c r="C168" s="2" t="inlineStr">
        <is>
          <t>出場</t>
        </is>
      </c>
      <c r="D168" s="2" t="n">
        <v>83</v>
      </c>
      <c r="E168" s="2" t="inlineStr">
        <is>
          <t>HEMI_USDT_PERP</t>
        </is>
      </c>
      <c r="F168" s="2" t="inlineStr">
        <is>
          <t>做空</t>
        </is>
      </c>
      <c r="G168" s="17" t="n">
        <v>0.00705</v>
      </c>
      <c r="H168" s="17" t="n">
        <v>0.006768</v>
      </c>
      <c r="I168" s="17" t="n">
        <v>0.0074025</v>
      </c>
      <c r="J168" s="17" t="n">
        <v>0.006768</v>
      </c>
      <c r="K168" s="2" t="inlineStr">
        <is>
          <t>止盈</t>
        </is>
      </c>
      <c r="L168" s="5">
        <f>交易明細!K84</f>
        <v/>
      </c>
      <c r="M168" s="16">
        <f>M167</f>
        <v/>
      </c>
      <c r="N168" s="2">
        <f>N167</f>
        <v/>
      </c>
      <c r="O168" s="16">
        <f>O167</f>
        <v/>
      </c>
      <c r="P168" s="4">
        <f>交易明細!L84</f>
        <v/>
      </c>
      <c r="Q168" s="10">
        <f>IF(N168="已下單",O168*P168,0)</f>
        <v/>
      </c>
      <c r="R168" s="10">
        <f>R167+Q168</f>
        <v/>
      </c>
      <c r="S168" s="16">
        <f>S167-IF(N168="已下單",M168,0)</f>
        <v/>
      </c>
      <c r="T168" s="16">
        <f>R168-S168</f>
        <v/>
      </c>
      <c r="U168" s="2">
        <f>U167-IF(N168="已下單",1,0)</f>
        <v/>
      </c>
      <c r="V168" s="16">
        <f>IF(資金模擬!$B$9=2,MAX(R168,0),MAX(V167,FLOOR(MAX(R168,0),資金模擬!$B$6)))</f>
        <v/>
      </c>
      <c r="W168" s="10">
        <f>MAX(W167,R168)</f>
        <v/>
      </c>
      <c r="X168" s="4">
        <f>IF(W168&gt;0,R168/W168-1,-1)</f>
        <v/>
      </c>
      <c r="Y168" s="16">
        <f>IF(R168&gt;0,S168*資金模擬!$B$7/R168,0)</f>
        <v/>
      </c>
      <c r="Z168" s="2">
        <f>IF(OR(Z167=1,R168&lt;=資金模擬!$B$10),1,0)</f>
        <v/>
      </c>
    </row>
    <row r="169">
      <c r="A169" s="2" t="n">
        <v>167</v>
      </c>
      <c r="B169" s="7" t="n">
        <v>46280.37847222222</v>
      </c>
      <c r="C169" s="2" t="inlineStr">
        <is>
          <t>進場</t>
        </is>
      </c>
      <c r="D169" s="2" t="n">
        <v>84</v>
      </c>
      <c r="E169" s="2" t="inlineStr">
        <is>
          <t>ASTR_USDT_PERP</t>
        </is>
      </c>
      <c r="F169" s="2" t="inlineStr">
        <is>
          <t>做空</t>
        </is>
      </c>
      <c r="G169" s="17" t="n">
        <v>0.006865</v>
      </c>
      <c r="H169" s="17" t="n">
        <v>0.0065904</v>
      </c>
      <c r="I169" s="17" t="n">
        <v>0.00720825</v>
      </c>
      <c r="J169" s="17" t="n"/>
      <c r="K169" s="2" t="n"/>
      <c r="L169" s="5" t="n"/>
      <c r="M169" s="16">
        <f>資金模擬!$B$5*V168</f>
        <v/>
      </c>
      <c r="N169" s="2">
        <f>IF(Z168=1,"已停止",IF(T168&gt;=M169,"已下單","資金不足略過"))</f>
        <v/>
      </c>
      <c r="O169" s="16">
        <f>IF(N169="已下單",M169*資金模擬!$B$7,0)</f>
        <v/>
      </c>
      <c r="P169" s="4" t="n"/>
      <c r="Q169" s="10" t="n">
        <v>0</v>
      </c>
      <c r="R169" s="10">
        <f>R168+Q169</f>
        <v/>
      </c>
      <c r="S169" s="16">
        <f>S168+IF(N169="已下單",M169,0)</f>
        <v/>
      </c>
      <c r="T169" s="16">
        <f>R169-S169</f>
        <v/>
      </c>
      <c r="U169" s="2">
        <f>U168+IF(N169="已下單",1,0)</f>
        <v/>
      </c>
      <c r="V169" s="16">
        <f>IF(資金模擬!$B$9=2,MAX(R169,0),MAX(V168,FLOOR(MAX(R169,0),資金模擬!$B$6)))</f>
        <v/>
      </c>
      <c r="W169" s="10">
        <f>MAX(W168,R169)</f>
        <v/>
      </c>
      <c r="X169" s="4">
        <f>IF(W169&gt;0,R169/W169-1,-1)</f>
        <v/>
      </c>
      <c r="Y169" s="16">
        <f>IF(R169&gt;0,S169*資金模擬!$B$7/R169,0)</f>
        <v/>
      </c>
      <c r="Z169" s="2">
        <f>IF(OR(Z168=1,R169&lt;=資金模擬!$B$10),1,0)</f>
        <v/>
      </c>
    </row>
    <row r="170">
      <c r="A170" s="2" t="n">
        <v>168</v>
      </c>
      <c r="B170" s="7" t="n">
        <v>46280.38194444445</v>
      </c>
      <c r="C170" s="2" t="inlineStr">
        <is>
          <t>出場</t>
        </is>
      </c>
      <c r="D170" s="2" t="n">
        <v>84</v>
      </c>
      <c r="E170" s="2" t="inlineStr">
        <is>
          <t>ASTR_USDT_PERP</t>
        </is>
      </c>
      <c r="F170" s="2" t="inlineStr">
        <is>
          <t>做空</t>
        </is>
      </c>
      <c r="G170" s="17" t="n">
        <v>0.006865</v>
      </c>
      <c r="H170" s="17" t="n">
        <v>0.0065904</v>
      </c>
      <c r="I170" s="17" t="n">
        <v>0.00720825</v>
      </c>
      <c r="J170" s="17" t="n">
        <v>0.00720825</v>
      </c>
      <c r="K170" s="2" t="inlineStr">
        <is>
          <t>止損</t>
        </is>
      </c>
      <c r="L170" s="5">
        <f>交易明細!K85</f>
        <v/>
      </c>
      <c r="M170" s="16">
        <f>M169</f>
        <v/>
      </c>
      <c r="N170" s="2">
        <f>N169</f>
        <v/>
      </c>
      <c r="O170" s="16">
        <f>O169</f>
        <v/>
      </c>
      <c r="P170" s="4">
        <f>交易明細!L85</f>
        <v/>
      </c>
      <c r="Q170" s="10">
        <f>IF(N170="已下單",O170*P170,0)</f>
        <v/>
      </c>
      <c r="R170" s="10">
        <f>R169+Q170</f>
        <v/>
      </c>
      <c r="S170" s="16">
        <f>S169-IF(N170="已下單",M170,0)</f>
        <v/>
      </c>
      <c r="T170" s="16">
        <f>R170-S170</f>
        <v/>
      </c>
      <c r="U170" s="2">
        <f>U169-IF(N170="已下單",1,0)</f>
        <v/>
      </c>
      <c r="V170" s="16">
        <f>IF(資金模擬!$B$9=2,MAX(R170,0),MAX(V169,FLOOR(MAX(R170,0),資金模擬!$B$6)))</f>
        <v/>
      </c>
      <c r="W170" s="10">
        <f>MAX(W169,R170)</f>
        <v/>
      </c>
      <c r="X170" s="4">
        <f>IF(W170&gt;0,R170/W170-1,-1)</f>
        <v/>
      </c>
      <c r="Y170" s="16">
        <f>IF(R170&gt;0,S170*資金模擬!$B$7/R170,0)</f>
        <v/>
      </c>
      <c r="Z170" s="2">
        <f>IF(OR(Z169=1,R170&lt;=資金模擬!$B$10),1,0)</f>
        <v/>
      </c>
    </row>
    <row r="171">
      <c r="A171" s="2" t="n">
        <v>169</v>
      </c>
      <c r="B171" s="7" t="n">
        <v>46280.43055555555</v>
      </c>
      <c r="C171" s="2" t="inlineStr">
        <is>
          <t>進場</t>
        </is>
      </c>
      <c r="D171" s="2" t="n">
        <v>85</v>
      </c>
      <c r="E171" s="2" t="inlineStr">
        <is>
          <t>ASTR_USDT_PERP</t>
        </is>
      </c>
      <c r="F171" s="2" t="inlineStr">
        <is>
          <t>做空</t>
        </is>
      </c>
      <c r="G171" s="17" t="n">
        <v>0.007216</v>
      </c>
      <c r="H171" s="17" t="n">
        <v>0.00692736</v>
      </c>
      <c r="I171" s="17" t="n">
        <v>0.007576800000000001</v>
      </c>
      <c r="J171" s="17" t="n"/>
      <c r="K171" s="2" t="n"/>
      <c r="L171" s="5" t="n"/>
      <c r="M171" s="16">
        <f>資金模擬!$B$5*V170</f>
        <v/>
      </c>
      <c r="N171" s="2">
        <f>IF(Z170=1,"已停止",IF(T170&gt;=M171,"已下單","資金不足略過"))</f>
        <v/>
      </c>
      <c r="O171" s="16">
        <f>IF(N171="已下單",M171*資金模擬!$B$7,0)</f>
        <v/>
      </c>
      <c r="P171" s="4" t="n"/>
      <c r="Q171" s="10" t="n">
        <v>0</v>
      </c>
      <c r="R171" s="10">
        <f>R170+Q171</f>
        <v/>
      </c>
      <c r="S171" s="16">
        <f>S170+IF(N171="已下單",M171,0)</f>
        <v/>
      </c>
      <c r="T171" s="16">
        <f>R171-S171</f>
        <v/>
      </c>
      <c r="U171" s="2">
        <f>U170+IF(N171="已下單",1,0)</f>
        <v/>
      </c>
      <c r="V171" s="16">
        <f>IF(資金模擬!$B$9=2,MAX(R171,0),MAX(V170,FLOOR(MAX(R171,0),資金模擬!$B$6)))</f>
        <v/>
      </c>
      <c r="W171" s="10">
        <f>MAX(W170,R171)</f>
        <v/>
      </c>
      <c r="X171" s="4">
        <f>IF(W171&gt;0,R171/W171-1,-1)</f>
        <v/>
      </c>
      <c r="Y171" s="16">
        <f>IF(R171&gt;0,S171*資金模擬!$B$7/R171,0)</f>
        <v/>
      </c>
      <c r="Z171" s="2">
        <f>IF(OR(Z170=1,R171&lt;=資金模擬!$B$10),1,0)</f>
        <v/>
      </c>
    </row>
    <row r="172">
      <c r="A172" s="2" t="n">
        <v>170</v>
      </c>
      <c r="B172" s="7" t="n">
        <v>46280.43402777778</v>
      </c>
      <c r="C172" s="2" t="inlineStr">
        <is>
          <t>出場</t>
        </is>
      </c>
      <c r="D172" s="2" t="n">
        <v>85</v>
      </c>
      <c r="E172" s="2" t="inlineStr">
        <is>
          <t>ASTR_USDT_PERP</t>
        </is>
      </c>
      <c r="F172" s="2" t="inlineStr">
        <is>
          <t>做空</t>
        </is>
      </c>
      <c r="G172" s="17" t="n">
        <v>0.007216</v>
      </c>
      <c r="H172" s="17" t="n">
        <v>0.00692736</v>
      </c>
      <c r="I172" s="17" t="n">
        <v>0.007576800000000001</v>
      </c>
      <c r="J172" s="17" t="n">
        <v>0.007576800000000001</v>
      </c>
      <c r="K172" s="2" t="inlineStr">
        <is>
          <t>止損</t>
        </is>
      </c>
      <c r="L172" s="5">
        <f>交易明細!K86</f>
        <v/>
      </c>
      <c r="M172" s="16">
        <f>M171</f>
        <v/>
      </c>
      <c r="N172" s="2">
        <f>N171</f>
        <v/>
      </c>
      <c r="O172" s="16">
        <f>O171</f>
        <v/>
      </c>
      <c r="P172" s="4">
        <f>交易明細!L86</f>
        <v/>
      </c>
      <c r="Q172" s="10">
        <f>IF(N172="已下單",O172*P172,0)</f>
        <v/>
      </c>
      <c r="R172" s="10">
        <f>R171+Q172</f>
        <v/>
      </c>
      <c r="S172" s="16">
        <f>S171-IF(N172="已下單",M172,0)</f>
        <v/>
      </c>
      <c r="T172" s="16">
        <f>R172-S172</f>
        <v/>
      </c>
      <c r="U172" s="2">
        <f>U171-IF(N172="已下單",1,0)</f>
        <v/>
      </c>
      <c r="V172" s="16">
        <f>IF(資金模擬!$B$9=2,MAX(R172,0),MAX(V171,FLOOR(MAX(R172,0),資金模擬!$B$6)))</f>
        <v/>
      </c>
      <c r="W172" s="10">
        <f>MAX(W171,R172)</f>
        <v/>
      </c>
      <c r="X172" s="4">
        <f>IF(W172&gt;0,R172/W172-1,-1)</f>
        <v/>
      </c>
      <c r="Y172" s="16">
        <f>IF(R172&gt;0,S172*資金模擬!$B$7/R172,0)</f>
        <v/>
      </c>
      <c r="Z172" s="2">
        <f>IF(OR(Z171=1,R172&lt;=資金模擬!$B$10),1,0)</f>
        <v/>
      </c>
    </row>
    <row r="173">
      <c r="A173" s="2" t="n">
        <v>171</v>
      </c>
      <c r="B173" s="7" t="n">
        <v>46280.53472222222</v>
      </c>
      <c r="C173" s="2" t="inlineStr">
        <is>
          <t>進場</t>
        </is>
      </c>
      <c r="D173" s="2" t="n">
        <v>86</v>
      </c>
      <c r="E173" s="2" t="inlineStr">
        <is>
          <t>FF_USDT_PERP</t>
        </is>
      </c>
      <c r="F173" s="2" t="inlineStr">
        <is>
          <t>做空</t>
        </is>
      </c>
      <c r="G173" s="17" t="n">
        <v>0.15524</v>
      </c>
      <c r="H173" s="17" t="n">
        <v>0.1490304</v>
      </c>
      <c r="I173" s="17" t="n">
        <v>0.163002</v>
      </c>
      <c r="J173" s="17" t="n"/>
      <c r="K173" s="2" t="n"/>
      <c r="L173" s="5" t="n"/>
      <c r="M173" s="16">
        <f>資金模擬!$B$5*V172</f>
        <v/>
      </c>
      <c r="N173" s="2">
        <f>IF(Z172=1,"已停止",IF(T172&gt;=M173,"已下單","資金不足略過"))</f>
        <v/>
      </c>
      <c r="O173" s="16">
        <f>IF(N173="已下單",M173*資金模擬!$B$7,0)</f>
        <v/>
      </c>
      <c r="P173" s="4" t="n"/>
      <c r="Q173" s="10" t="n">
        <v>0</v>
      </c>
      <c r="R173" s="10">
        <f>R172+Q173</f>
        <v/>
      </c>
      <c r="S173" s="16">
        <f>S172+IF(N173="已下單",M173,0)</f>
        <v/>
      </c>
      <c r="T173" s="16">
        <f>R173-S173</f>
        <v/>
      </c>
      <c r="U173" s="2">
        <f>U172+IF(N173="已下單",1,0)</f>
        <v/>
      </c>
      <c r="V173" s="16">
        <f>IF(資金模擬!$B$9=2,MAX(R173,0),MAX(V172,FLOOR(MAX(R173,0),資金模擬!$B$6)))</f>
        <v/>
      </c>
      <c r="W173" s="10">
        <f>MAX(W172,R173)</f>
        <v/>
      </c>
      <c r="X173" s="4">
        <f>IF(W173&gt;0,R173/W173-1,-1)</f>
        <v/>
      </c>
      <c r="Y173" s="16">
        <f>IF(R173&gt;0,S173*資金模擬!$B$7/R173,0)</f>
        <v/>
      </c>
      <c r="Z173" s="2">
        <f>IF(OR(Z172=1,R173&lt;=資金模擬!$B$10),1,0)</f>
        <v/>
      </c>
    </row>
    <row r="174">
      <c r="A174" s="2" t="n">
        <v>172</v>
      </c>
      <c r="B174" s="7" t="n">
        <v>46280.53819444445</v>
      </c>
      <c r="C174" s="2" t="inlineStr">
        <is>
          <t>出場</t>
        </is>
      </c>
      <c r="D174" s="2" t="n">
        <v>86</v>
      </c>
      <c r="E174" s="2" t="inlineStr">
        <is>
          <t>FF_USDT_PERP</t>
        </is>
      </c>
      <c r="F174" s="2" t="inlineStr">
        <is>
          <t>做空</t>
        </is>
      </c>
      <c r="G174" s="17" t="n">
        <v>0.15524</v>
      </c>
      <c r="H174" s="17" t="n">
        <v>0.1490304</v>
      </c>
      <c r="I174" s="17" t="n">
        <v>0.163002</v>
      </c>
      <c r="J174" s="17" t="n">
        <v>0.1490304</v>
      </c>
      <c r="K174" s="2" t="inlineStr">
        <is>
          <t>止盈</t>
        </is>
      </c>
      <c r="L174" s="5">
        <f>交易明細!K87</f>
        <v/>
      </c>
      <c r="M174" s="16">
        <f>M173</f>
        <v/>
      </c>
      <c r="N174" s="2">
        <f>N173</f>
        <v/>
      </c>
      <c r="O174" s="16">
        <f>O173</f>
        <v/>
      </c>
      <c r="P174" s="4">
        <f>交易明細!L87</f>
        <v/>
      </c>
      <c r="Q174" s="10">
        <f>IF(N174="已下單",O174*P174,0)</f>
        <v/>
      </c>
      <c r="R174" s="10">
        <f>R173+Q174</f>
        <v/>
      </c>
      <c r="S174" s="16">
        <f>S173-IF(N174="已下單",M174,0)</f>
        <v/>
      </c>
      <c r="T174" s="16">
        <f>R174-S174</f>
        <v/>
      </c>
      <c r="U174" s="2">
        <f>U173-IF(N174="已下單",1,0)</f>
        <v/>
      </c>
      <c r="V174" s="16">
        <f>IF(資金模擬!$B$9=2,MAX(R174,0),MAX(V173,FLOOR(MAX(R174,0),資金模擬!$B$6)))</f>
        <v/>
      </c>
      <c r="W174" s="10">
        <f>MAX(W173,R174)</f>
        <v/>
      </c>
      <c r="X174" s="4">
        <f>IF(W174&gt;0,R174/W174-1,-1)</f>
        <v/>
      </c>
      <c r="Y174" s="16">
        <f>IF(R174&gt;0,S174*資金模擬!$B$7/R174,0)</f>
        <v/>
      </c>
      <c r="Z174" s="2">
        <f>IF(OR(Z173=1,R174&lt;=資金模擬!$B$10),1,0)</f>
        <v/>
      </c>
    </row>
    <row r="175">
      <c r="A175" s="2" t="n">
        <v>173</v>
      </c>
      <c r="B175" s="7" t="n">
        <v>46280.59375</v>
      </c>
      <c r="C175" s="2" t="inlineStr">
        <is>
          <t>進場</t>
        </is>
      </c>
      <c r="D175" s="2" t="n">
        <v>87</v>
      </c>
      <c r="E175" s="2" t="inlineStr">
        <is>
          <t>AXL_USDT_PERP</t>
        </is>
      </c>
      <c r="F175" s="2" t="inlineStr">
        <is>
          <t>做空</t>
        </is>
      </c>
      <c r="G175" s="17" t="n">
        <v>0.0529</v>
      </c>
      <c r="H175" s="17" t="n">
        <v>0.050784</v>
      </c>
      <c r="I175" s="17" t="n">
        <v>0.055545</v>
      </c>
      <c r="J175" s="17" t="n"/>
      <c r="K175" s="2" t="n"/>
      <c r="L175" s="5" t="n"/>
      <c r="M175" s="16">
        <f>資金模擬!$B$5*V174</f>
        <v/>
      </c>
      <c r="N175" s="2">
        <f>IF(Z174=1,"已停止",IF(T174&gt;=M175,"已下單","資金不足略過"))</f>
        <v/>
      </c>
      <c r="O175" s="16">
        <f>IF(N175="已下單",M175*資金模擬!$B$7,0)</f>
        <v/>
      </c>
      <c r="P175" s="4" t="n"/>
      <c r="Q175" s="10" t="n">
        <v>0</v>
      </c>
      <c r="R175" s="10">
        <f>R174+Q175</f>
        <v/>
      </c>
      <c r="S175" s="16">
        <f>S174+IF(N175="已下單",M175,0)</f>
        <v/>
      </c>
      <c r="T175" s="16">
        <f>R175-S175</f>
        <v/>
      </c>
      <c r="U175" s="2">
        <f>U174+IF(N175="已下單",1,0)</f>
        <v/>
      </c>
      <c r="V175" s="16">
        <f>IF(資金模擬!$B$9=2,MAX(R175,0),MAX(V174,FLOOR(MAX(R175,0),資金模擬!$B$6)))</f>
        <v/>
      </c>
      <c r="W175" s="10">
        <f>MAX(W174,R175)</f>
        <v/>
      </c>
      <c r="X175" s="4">
        <f>IF(W175&gt;0,R175/W175-1,-1)</f>
        <v/>
      </c>
      <c r="Y175" s="16">
        <f>IF(R175&gt;0,S175*資金模擬!$B$7/R175,0)</f>
        <v/>
      </c>
      <c r="Z175" s="2">
        <f>IF(OR(Z174=1,R175&lt;=資金模擬!$B$10),1,0)</f>
        <v/>
      </c>
    </row>
    <row r="176">
      <c r="A176" s="2" t="n">
        <v>174</v>
      </c>
      <c r="B176" s="7" t="n">
        <v>46280.59722222222</v>
      </c>
      <c r="C176" s="2" t="inlineStr">
        <is>
          <t>進場</t>
        </is>
      </c>
      <c r="D176" s="2" t="n">
        <v>88</v>
      </c>
      <c r="E176" s="2" t="inlineStr">
        <is>
          <t>CTR_USDT_PERP</t>
        </is>
      </c>
      <c r="F176" s="2" t="inlineStr">
        <is>
          <t>做空</t>
        </is>
      </c>
      <c r="G176" s="17" t="n">
        <v>0.01231</v>
      </c>
      <c r="H176" s="17" t="n">
        <v>0.0118176</v>
      </c>
      <c r="I176" s="17" t="n">
        <v>0.0129255</v>
      </c>
      <c r="J176" s="17" t="n"/>
      <c r="K176" s="2" t="n"/>
      <c r="L176" s="5" t="n"/>
      <c r="M176" s="16">
        <f>資金模擬!$B$5*V175</f>
        <v/>
      </c>
      <c r="N176" s="2">
        <f>IF(Z175=1,"已停止",IF(T175&gt;=M176,"已下單","資金不足略過"))</f>
        <v/>
      </c>
      <c r="O176" s="16">
        <f>IF(N176="已下單",M176*資金模擬!$B$7,0)</f>
        <v/>
      </c>
      <c r="P176" s="4" t="n"/>
      <c r="Q176" s="10" t="n">
        <v>0</v>
      </c>
      <c r="R176" s="10">
        <f>R175+Q176</f>
        <v/>
      </c>
      <c r="S176" s="16">
        <f>S175+IF(N176="已下單",M176,0)</f>
        <v/>
      </c>
      <c r="T176" s="16">
        <f>R176-S176</f>
        <v/>
      </c>
      <c r="U176" s="2">
        <f>U175+IF(N176="已下單",1,0)</f>
        <v/>
      </c>
      <c r="V176" s="16">
        <f>IF(資金模擬!$B$9=2,MAX(R176,0),MAX(V175,FLOOR(MAX(R176,0),資金模擬!$B$6)))</f>
        <v/>
      </c>
      <c r="W176" s="10">
        <f>MAX(W175,R176)</f>
        <v/>
      </c>
      <c r="X176" s="4">
        <f>IF(W176&gt;0,R176/W176-1,-1)</f>
        <v/>
      </c>
      <c r="Y176" s="16">
        <f>IF(R176&gt;0,S176*資金模擬!$B$7/R176,0)</f>
        <v/>
      </c>
      <c r="Z176" s="2">
        <f>IF(OR(Z175=1,R176&lt;=資金模擬!$B$10),1,0)</f>
        <v/>
      </c>
    </row>
    <row r="177">
      <c r="A177" s="2" t="n">
        <v>175</v>
      </c>
      <c r="B177" s="7" t="n">
        <v>46280.60069444445</v>
      </c>
      <c r="C177" s="2" t="inlineStr">
        <is>
          <t>出場</t>
        </is>
      </c>
      <c r="D177" s="2" t="n">
        <v>87</v>
      </c>
      <c r="E177" s="2" t="inlineStr">
        <is>
          <t>AXL_USDT_PERP</t>
        </is>
      </c>
      <c r="F177" s="2" t="inlineStr">
        <is>
          <t>做空</t>
        </is>
      </c>
      <c r="G177" s="17" t="n">
        <v>0.0529</v>
      </c>
      <c r="H177" s="17" t="n">
        <v>0.050784</v>
      </c>
      <c r="I177" s="17" t="n">
        <v>0.055545</v>
      </c>
      <c r="J177" s="17" t="n">
        <v>0.050784</v>
      </c>
      <c r="K177" s="2" t="inlineStr">
        <is>
          <t>止盈</t>
        </is>
      </c>
      <c r="L177" s="5">
        <f>交易明細!K88</f>
        <v/>
      </c>
      <c r="M177" s="16">
        <f>M175</f>
        <v/>
      </c>
      <c r="N177" s="2">
        <f>N175</f>
        <v/>
      </c>
      <c r="O177" s="16">
        <f>O175</f>
        <v/>
      </c>
      <c r="P177" s="4">
        <f>交易明細!L88</f>
        <v/>
      </c>
      <c r="Q177" s="10">
        <f>IF(N177="已下單",O177*P177,0)</f>
        <v/>
      </c>
      <c r="R177" s="10">
        <f>R176+Q177</f>
        <v/>
      </c>
      <c r="S177" s="16">
        <f>S176-IF(N177="已下單",M177,0)</f>
        <v/>
      </c>
      <c r="T177" s="16">
        <f>R177-S177</f>
        <v/>
      </c>
      <c r="U177" s="2">
        <f>U176-IF(N177="已下單",1,0)</f>
        <v/>
      </c>
      <c r="V177" s="16">
        <f>IF(資金模擬!$B$9=2,MAX(R177,0),MAX(V176,FLOOR(MAX(R177,0),資金模擬!$B$6)))</f>
        <v/>
      </c>
      <c r="W177" s="10">
        <f>MAX(W176,R177)</f>
        <v/>
      </c>
      <c r="X177" s="4">
        <f>IF(W177&gt;0,R177/W177-1,-1)</f>
        <v/>
      </c>
      <c r="Y177" s="16">
        <f>IF(R177&gt;0,S177*資金模擬!$B$7/R177,0)</f>
        <v/>
      </c>
      <c r="Z177" s="2">
        <f>IF(OR(Z176=1,R177&lt;=資金模擬!$B$10),1,0)</f>
        <v/>
      </c>
    </row>
    <row r="178">
      <c r="A178" s="2" t="n">
        <v>176</v>
      </c>
      <c r="B178" s="7" t="n">
        <v>46280.61111111111</v>
      </c>
      <c r="C178" s="2" t="inlineStr">
        <is>
          <t>出場</t>
        </is>
      </c>
      <c r="D178" s="2" t="n">
        <v>88</v>
      </c>
      <c r="E178" s="2" t="inlineStr">
        <is>
          <t>CTR_USDT_PERP</t>
        </is>
      </c>
      <c r="F178" s="2" t="inlineStr">
        <is>
          <t>做空</t>
        </is>
      </c>
      <c r="G178" s="17" t="n">
        <v>0.01231</v>
      </c>
      <c r="H178" s="17" t="n">
        <v>0.0118176</v>
      </c>
      <c r="I178" s="17" t="n">
        <v>0.0129255</v>
      </c>
      <c r="J178" s="17" t="n">
        <v>0.0118176</v>
      </c>
      <c r="K178" s="2" t="inlineStr">
        <is>
          <t>止盈</t>
        </is>
      </c>
      <c r="L178" s="5">
        <f>交易明細!K89</f>
        <v/>
      </c>
      <c r="M178" s="16">
        <f>M176</f>
        <v/>
      </c>
      <c r="N178" s="2">
        <f>N176</f>
        <v/>
      </c>
      <c r="O178" s="16">
        <f>O176</f>
        <v/>
      </c>
      <c r="P178" s="4">
        <f>交易明細!L89</f>
        <v/>
      </c>
      <c r="Q178" s="10">
        <f>IF(N178="已下單",O178*P178,0)</f>
        <v/>
      </c>
      <c r="R178" s="10">
        <f>R177+Q178</f>
        <v/>
      </c>
      <c r="S178" s="16">
        <f>S177-IF(N178="已下單",M178,0)</f>
        <v/>
      </c>
      <c r="T178" s="16">
        <f>R178-S178</f>
        <v/>
      </c>
      <c r="U178" s="2">
        <f>U177-IF(N178="已下單",1,0)</f>
        <v/>
      </c>
      <c r="V178" s="16">
        <f>IF(資金模擬!$B$9=2,MAX(R178,0),MAX(V177,FLOOR(MAX(R178,0),資金模擬!$B$6)))</f>
        <v/>
      </c>
      <c r="W178" s="10">
        <f>MAX(W177,R178)</f>
        <v/>
      </c>
      <c r="X178" s="4">
        <f>IF(W178&gt;0,R178/W178-1,-1)</f>
        <v/>
      </c>
      <c r="Y178" s="16">
        <f>IF(R178&gt;0,S178*資金模擬!$B$7/R178,0)</f>
        <v/>
      </c>
      <c r="Z178" s="2">
        <f>IF(OR(Z177=1,R178&lt;=資金模擬!$B$10),1,0)</f>
        <v/>
      </c>
    </row>
    <row r="179">
      <c r="A179" s="2" t="n">
        <v>177</v>
      </c>
      <c r="B179" s="7" t="n">
        <v>46280.82986111111</v>
      </c>
      <c r="C179" s="2" t="inlineStr">
        <is>
          <t>進場</t>
        </is>
      </c>
      <c r="D179" s="2" t="n">
        <v>89</v>
      </c>
      <c r="E179" s="2" t="inlineStr">
        <is>
          <t>IDOL_USDT_PERP</t>
        </is>
      </c>
      <c r="F179" s="2" t="inlineStr">
        <is>
          <t>做空</t>
        </is>
      </c>
      <c r="G179" s="17" t="n">
        <v>0.01197</v>
      </c>
      <c r="H179" s="17" t="n">
        <v>0.0114912</v>
      </c>
      <c r="I179" s="17" t="n">
        <v>0.0125685</v>
      </c>
      <c r="J179" s="17" t="n"/>
      <c r="K179" s="2" t="n"/>
      <c r="L179" s="5" t="n"/>
      <c r="M179" s="16">
        <f>資金模擬!$B$5*V178</f>
        <v/>
      </c>
      <c r="N179" s="2">
        <f>IF(Z178=1,"已停止",IF(T178&gt;=M179,"已下單","資金不足略過"))</f>
        <v/>
      </c>
      <c r="O179" s="16">
        <f>IF(N179="已下單",M179*資金模擬!$B$7,0)</f>
        <v/>
      </c>
      <c r="P179" s="4" t="n"/>
      <c r="Q179" s="10" t="n">
        <v>0</v>
      </c>
      <c r="R179" s="10">
        <f>R178+Q179</f>
        <v/>
      </c>
      <c r="S179" s="16">
        <f>S178+IF(N179="已下單",M179,0)</f>
        <v/>
      </c>
      <c r="T179" s="16">
        <f>R179-S179</f>
        <v/>
      </c>
      <c r="U179" s="2">
        <f>U178+IF(N179="已下單",1,0)</f>
        <v/>
      </c>
      <c r="V179" s="16">
        <f>IF(資金模擬!$B$9=2,MAX(R179,0),MAX(V178,FLOOR(MAX(R179,0),資金模擬!$B$6)))</f>
        <v/>
      </c>
      <c r="W179" s="10">
        <f>MAX(W178,R179)</f>
        <v/>
      </c>
      <c r="X179" s="4">
        <f>IF(W179&gt;0,R179/W179-1,-1)</f>
        <v/>
      </c>
      <c r="Y179" s="16">
        <f>IF(R179&gt;0,S179*資金模擬!$B$7/R179,0)</f>
        <v/>
      </c>
      <c r="Z179" s="2">
        <f>IF(OR(Z178=1,R179&lt;=資金模擬!$B$10),1,0)</f>
        <v/>
      </c>
    </row>
    <row r="180">
      <c r="A180" s="2" t="n">
        <v>178</v>
      </c>
      <c r="B180" s="7" t="n">
        <v>46280.83680555555</v>
      </c>
      <c r="C180" s="2" t="inlineStr">
        <is>
          <t>出場</t>
        </is>
      </c>
      <c r="D180" s="2" t="n">
        <v>89</v>
      </c>
      <c r="E180" s="2" t="inlineStr">
        <is>
          <t>IDOL_USDT_PERP</t>
        </is>
      </c>
      <c r="F180" s="2" t="inlineStr">
        <is>
          <t>做空</t>
        </is>
      </c>
      <c r="G180" s="17" t="n">
        <v>0.01197</v>
      </c>
      <c r="H180" s="17" t="n">
        <v>0.0114912</v>
      </c>
      <c r="I180" s="17" t="n">
        <v>0.0125685</v>
      </c>
      <c r="J180" s="17" t="n">
        <v>0.0114912</v>
      </c>
      <c r="K180" s="2" t="inlineStr">
        <is>
          <t>止盈</t>
        </is>
      </c>
      <c r="L180" s="5">
        <f>交易明細!K90</f>
        <v/>
      </c>
      <c r="M180" s="16">
        <f>M179</f>
        <v/>
      </c>
      <c r="N180" s="2">
        <f>N179</f>
        <v/>
      </c>
      <c r="O180" s="16">
        <f>O179</f>
        <v/>
      </c>
      <c r="P180" s="4">
        <f>交易明細!L90</f>
        <v/>
      </c>
      <c r="Q180" s="10">
        <f>IF(N180="已下單",O180*P180,0)</f>
        <v/>
      </c>
      <c r="R180" s="10">
        <f>R179+Q180</f>
        <v/>
      </c>
      <c r="S180" s="16">
        <f>S179-IF(N180="已下單",M180,0)</f>
        <v/>
      </c>
      <c r="T180" s="16">
        <f>R180-S180</f>
        <v/>
      </c>
      <c r="U180" s="2">
        <f>U179-IF(N180="已下單",1,0)</f>
        <v/>
      </c>
      <c r="V180" s="16">
        <f>IF(資金模擬!$B$9=2,MAX(R180,0),MAX(V179,FLOOR(MAX(R180,0),資金模擬!$B$6)))</f>
        <v/>
      </c>
      <c r="W180" s="10">
        <f>MAX(W179,R180)</f>
        <v/>
      </c>
      <c r="X180" s="4">
        <f>IF(W180&gt;0,R180/W180-1,-1)</f>
        <v/>
      </c>
      <c r="Y180" s="16">
        <f>IF(R180&gt;0,S180*資金模擬!$B$7/R180,0)</f>
        <v/>
      </c>
      <c r="Z180" s="2">
        <f>IF(OR(Z179=1,R180&lt;=資金模擬!$B$10),1,0)</f>
        <v/>
      </c>
    </row>
    <row r="181">
      <c r="A181" s="2" t="n">
        <v>179</v>
      </c>
      <c r="B181" s="7" t="n">
        <v>46280.88888888889</v>
      </c>
      <c r="C181" s="2" t="inlineStr">
        <is>
          <t>進場</t>
        </is>
      </c>
      <c r="D181" s="2" t="n">
        <v>90</v>
      </c>
      <c r="E181" s="2" t="inlineStr">
        <is>
          <t>IDOL_USDT_PERP</t>
        </is>
      </c>
      <c r="F181" s="2" t="inlineStr">
        <is>
          <t>做空</t>
        </is>
      </c>
      <c r="G181" s="17" t="n">
        <v>0.0114</v>
      </c>
      <c r="H181" s="17" t="n">
        <v>0.010944</v>
      </c>
      <c r="I181" s="17" t="n">
        <v>0.01197</v>
      </c>
      <c r="J181" s="17" t="n"/>
      <c r="K181" s="2" t="n"/>
      <c r="L181" s="5" t="n"/>
      <c r="M181" s="16">
        <f>資金模擬!$B$5*V180</f>
        <v/>
      </c>
      <c r="N181" s="2">
        <f>IF(Z180=1,"已停止",IF(T180&gt;=M181,"已下單","資金不足略過"))</f>
        <v/>
      </c>
      <c r="O181" s="16">
        <f>IF(N181="已下單",M181*資金模擬!$B$7,0)</f>
        <v/>
      </c>
      <c r="P181" s="4" t="n"/>
      <c r="Q181" s="10" t="n">
        <v>0</v>
      </c>
      <c r="R181" s="10">
        <f>R180+Q181</f>
        <v/>
      </c>
      <c r="S181" s="16">
        <f>S180+IF(N181="已下單",M181,0)</f>
        <v/>
      </c>
      <c r="T181" s="16">
        <f>R181-S181</f>
        <v/>
      </c>
      <c r="U181" s="2">
        <f>U180+IF(N181="已下單",1,0)</f>
        <v/>
      </c>
      <c r="V181" s="16">
        <f>IF(資金模擬!$B$9=2,MAX(R181,0),MAX(V180,FLOOR(MAX(R181,0),資金模擬!$B$6)))</f>
        <v/>
      </c>
      <c r="W181" s="10">
        <f>MAX(W180,R181)</f>
        <v/>
      </c>
      <c r="X181" s="4">
        <f>IF(W181&gt;0,R181/W181-1,-1)</f>
        <v/>
      </c>
      <c r="Y181" s="16">
        <f>IF(R181&gt;0,S181*資金模擬!$B$7/R181,0)</f>
        <v/>
      </c>
      <c r="Z181" s="2">
        <f>IF(OR(Z180=1,R181&lt;=資金模擬!$B$10),1,0)</f>
        <v/>
      </c>
    </row>
    <row r="182">
      <c r="A182" s="2" t="n">
        <v>180</v>
      </c>
      <c r="B182" s="7" t="n">
        <v>46280.89583333334</v>
      </c>
      <c r="C182" s="2" t="inlineStr">
        <is>
          <t>出場</t>
        </is>
      </c>
      <c r="D182" s="2" t="n">
        <v>90</v>
      </c>
      <c r="E182" s="2" t="inlineStr">
        <is>
          <t>IDOL_USDT_PERP</t>
        </is>
      </c>
      <c r="F182" s="2" t="inlineStr">
        <is>
          <t>做空</t>
        </is>
      </c>
      <c r="G182" s="17" t="n">
        <v>0.0114</v>
      </c>
      <c r="H182" s="17" t="n">
        <v>0.010944</v>
      </c>
      <c r="I182" s="17" t="n">
        <v>0.01197</v>
      </c>
      <c r="J182" s="17" t="n">
        <v>0.010944</v>
      </c>
      <c r="K182" s="2" t="inlineStr">
        <is>
          <t>止盈</t>
        </is>
      </c>
      <c r="L182" s="5">
        <f>交易明細!K91</f>
        <v/>
      </c>
      <c r="M182" s="16">
        <f>M181</f>
        <v/>
      </c>
      <c r="N182" s="2">
        <f>N181</f>
        <v/>
      </c>
      <c r="O182" s="16">
        <f>O181</f>
        <v/>
      </c>
      <c r="P182" s="4">
        <f>交易明細!L91</f>
        <v/>
      </c>
      <c r="Q182" s="10">
        <f>IF(N182="已下單",O182*P182,0)</f>
        <v/>
      </c>
      <c r="R182" s="10">
        <f>R181+Q182</f>
        <v/>
      </c>
      <c r="S182" s="16">
        <f>S181-IF(N182="已下單",M182,0)</f>
        <v/>
      </c>
      <c r="T182" s="16">
        <f>R182-S182</f>
        <v/>
      </c>
      <c r="U182" s="2">
        <f>U181-IF(N182="已下單",1,0)</f>
        <v/>
      </c>
      <c r="V182" s="16">
        <f>IF(資金模擬!$B$9=2,MAX(R182,0),MAX(V181,FLOOR(MAX(R182,0),資金模擬!$B$6)))</f>
        <v/>
      </c>
      <c r="W182" s="10">
        <f>MAX(W181,R182)</f>
        <v/>
      </c>
      <c r="X182" s="4">
        <f>IF(W182&gt;0,R182/W182-1,-1)</f>
        <v/>
      </c>
      <c r="Y182" s="16">
        <f>IF(R182&gt;0,S182*資金模擬!$B$7/R182,0)</f>
        <v/>
      </c>
      <c r="Z182" s="2">
        <f>IF(OR(Z181=1,R182&lt;=資金模擬!$B$10),1,0)</f>
        <v/>
      </c>
    </row>
    <row r="183">
      <c r="A183" s="2" t="n">
        <v>181</v>
      </c>
      <c r="B183" s="7" t="n">
        <v>46282.54166666666</v>
      </c>
      <c r="C183" s="2" t="inlineStr">
        <is>
          <t>進場</t>
        </is>
      </c>
      <c r="D183" s="2" t="n">
        <v>91</v>
      </c>
      <c r="E183" s="2" t="inlineStr">
        <is>
          <t>MOODENG_USDT_PERP</t>
        </is>
      </c>
      <c r="F183" s="2" t="inlineStr">
        <is>
          <t>做空</t>
        </is>
      </c>
      <c r="G183" s="17" t="n">
        <v>0.04393</v>
      </c>
      <c r="H183" s="17" t="n">
        <v>0.0421728</v>
      </c>
      <c r="I183" s="17" t="n">
        <v>0.0461265</v>
      </c>
      <c r="J183" s="17" t="n"/>
      <c r="K183" s="2" t="n"/>
      <c r="L183" s="5" t="n"/>
      <c r="M183" s="16">
        <f>資金模擬!$B$5*V182</f>
        <v/>
      </c>
      <c r="N183" s="2">
        <f>IF(Z182=1,"已停止",IF(T182&gt;=M183,"已下單","資金不足略過"))</f>
        <v/>
      </c>
      <c r="O183" s="16">
        <f>IF(N183="已下單",M183*資金模擬!$B$7,0)</f>
        <v/>
      </c>
      <c r="P183" s="4" t="n"/>
      <c r="Q183" s="10" t="n">
        <v>0</v>
      </c>
      <c r="R183" s="10">
        <f>R182+Q183</f>
        <v/>
      </c>
      <c r="S183" s="16">
        <f>S182+IF(N183="已下單",M183,0)</f>
        <v/>
      </c>
      <c r="T183" s="16">
        <f>R183-S183</f>
        <v/>
      </c>
      <c r="U183" s="2">
        <f>U182+IF(N183="已下單",1,0)</f>
        <v/>
      </c>
      <c r="V183" s="16">
        <f>IF(資金模擬!$B$9=2,MAX(R183,0),MAX(V182,FLOOR(MAX(R183,0),資金模擬!$B$6)))</f>
        <v/>
      </c>
      <c r="W183" s="10">
        <f>MAX(W182,R183)</f>
        <v/>
      </c>
      <c r="X183" s="4">
        <f>IF(W183&gt;0,R183/W183-1,-1)</f>
        <v/>
      </c>
      <c r="Y183" s="16">
        <f>IF(R183&gt;0,S183*資金模擬!$B$7/R183,0)</f>
        <v/>
      </c>
      <c r="Z183" s="2">
        <f>IF(OR(Z182=1,R183&lt;=資金模擬!$B$10),1,0)</f>
        <v/>
      </c>
    </row>
    <row r="184">
      <c r="A184" s="2" t="n">
        <v>182</v>
      </c>
      <c r="B184" s="7" t="n">
        <v>46282.55208333334</v>
      </c>
      <c r="C184" s="2" t="inlineStr">
        <is>
          <t>出場</t>
        </is>
      </c>
      <c r="D184" s="2" t="n">
        <v>91</v>
      </c>
      <c r="E184" s="2" t="inlineStr">
        <is>
          <t>MOODENG_USDT_PERP</t>
        </is>
      </c>
      <c r="F184" s="2" t="inlineStr">
        <is>
          <t>做空</t>
        </is>
      </c>
      <c r="G184" s="17" t="n">
        <v>0.04393</v>
      </c>
      <c r="H184" s="17" t="n">
        <v>0.0421728</v>
      </c>
      <c r="I184" s="17" t="n">
        <v>0.0461265</v>
      </c>
      <c r="J184" s="17" t="n">
        <v>0.0421728</v>
      </c>
      <c r="K184" s="2" t="inlineStr">
        <is>
          <t>止盈</t>
        </is>
      </c>
      <c r="L184" s="5">
        <f>交易明細!K92</f>
        <v/>
      </c>
      <c r="M184" s="16">
        <f>M183</f>
        <v/>
      </c>
      <c r="N184" s="2">
        <f>N183</f>
        <v/>
      </c>
      <c r="O184" s="16">
        <f>O183</f>
        <v/>
      </c>
      <c r="P184" s="4">
        <f>交易明細!L92</f>
        <v/>
      </c>
      <c r="Q184" s="10">
        <f>IF(N184="已下單",O184*P184,0)</f>
        <v/>
      </c>
      <c r="R184" s="10">
        <f>R183+Q184</f>
        <v/>
      </c>
      <c r="S184" s="16">
        <f>S183-IF(N184="已下單",M184,0)</f>
        <v/>
      </c>
      <c r="T184" s="16">
        <f>R184-S184</f>
        <v/>
      </c>
      <c r="U184" s="2">
        <f>U183-IF(N184="已下單",1,0)</f>
        <v/>
      </c>
      <c r="V184" s="16">
        <f>IF(資金模擬!$B$9=2,MAX(R184,0),MAX(V183,FLOOR(MAX(R184,0),資金模擬!$B$6)))</f>
        <v/>
      </c>
      <c r="W184" s="10">
        <f>MAX(W183,R184)</f>
        <v/>
      </c>
      <c r="X184" s="4">
        <f>IF(W184&gt;0,R184/W184-1,-1)</f>
        <v/>
      </c>
      <c r="Y184" s="16">
        <f>IF(R184&gt;0,S184*資金模擬!$B$7/R184,0)</f>
        <v/>
      </c>
      <c r="Z184" s="2">
        <f>IF(OR(Z183=1,R184&lt;=資金模擬!$B$10),1,0)</f>
        <v/>
      </c>
    </row>
    <row r="185">
      <c r="A185" s="2" t="n">
        <v>183</v>
      </c>
      <c r="B185" s="7" t="n">
        <v>46282.83333333334</v>
      </c>
      <c r="C185" s="2" t="inlineStr">
        <is>
          <t>進場</t>
        </is>
      </c>
      <c r="D185" s="2" t="n">
        <v>92</v>
      </c>
      <c r="E185" s="2" t="inlineStr">
        <is>
          <t>GENIUS_USDT_PERP</t>
        </is>
      </c>
      <c r="F185" s="2" t="inlineStr">
        <is>
          <t>做空</t>
        </is>
      </c>
      <c r="G185" s="17" t="n">
        <v>0.4164</v>
      </c>
      <c r="H185" s="17" t="n">
        <v>0.399744</v>
      </c>
      <c r="I185" s="17" t="n">
        <v>0.43722</v>
      </c>
      <c r="J185" s="17" t="n"/>
      <c r="K185" s="2" t="n"/>
      <c r="L185" s="5" t="n"/>
      <c r="M185" s="16">
        <f>資金模擬!$B$5*V184</f>
        <v/>
      </c>
      <c r="N185" s="2">
        <f>IF(Z184=1,"已停止",IF(T184&gt;=M185,"已下單","資金不足略過"))</f>
        <v/>
      </c>
      <c r="O185" s="16">
        <f>IF(N185="已下單",M185*資金模擬!$B$7,0)</f>
        <v/>
      </c>
      <c r="P185" s="4" t="n"/>
      <c r="Q185" s="10" t="n">
        <v>0</v>
      </c>
      <c r="R185" s="10">
        <f>R184+Q185</f>
        <v/>
      </c>
      <c r="S185" s="16">
        <f>S184+IF(N185="已下單",M185,0)</f>
        <v/>
      </c>
      <c r="T185" s="16">
        <f>R185-S185</f>
        <v/>
      </c>
      <c r="U185" s="2">
        <f>U184+IF(N185="已下單",1,0)</f>
        <v/>
      </c>
      <c r="V185" s="16">
        <f>IF(資金模擬!$B$9=2,MAX(R185,0),MAX(V184,FLOOR(MAX(R185,0),資金模擬!$B$6)))</f>
        <v/>
      </c>
      <c r="W185" s="10">
        <f>MAX(W184,R185)</f>
        <v/>
      </c>
      <c r="X185" s="4">
        <f>IF(W185&gt;0,R185/W185-1,-1)</f>
        <v/>
      </c>
      <c r="Y185" s="16">
        <f>IF(R185&gt;0,S185*資金模擬!$B$7/R185,0)</f>
        <v/>
      </c>
      <c r="Z185" s="2">
        <f>IF(OR(Z184=1,R185&lt;=資金模擬!$B$10),1,0)</f>
        <v/>
      </c>
    </row>
    <row r="186">
      <c r="A186" s="2" t="n">
        <v>184</v>
      </c>
      <c r="B186" s="7" t="n">
        <v>46282.83680555555</v>
      </c>
      <c r="C186" s="2" t="inlineStr">
        <is>
          <t>出場</t>
        </is>
      </c>
      <c r="D186" s="2" t="n">
        <v>92</v>
      </c>
      <c r="E186" s="2" t="inlineStr">
        <is>
          <t>GENIUS_USDT_PERP</t>
        </is>
      </c>
      <c r="F186" s="2" t="inlineStr">
        <is>
          <t>做空</t>
        </is>
      </c>
      <c r="G186" s="17" t="n">
        <v>0.4164</v>
      </c>
      <c r="H186" s="17" t="n">
        <v>0.399744</v>
      </c>
      <c r="I186" s="17" t="n">
        <v>0.43722</v>
      </c>
      <c r="J186" s="17" t="n">
        <v>0.399744</v>
      </c>
      <c r="K186" s="2" t="inlineStr">
        <is>
          <t>止盈</t>
        </is>
      </c>
      <c r="L186" s="5">
        <f>交易明細!K93</f>
        <v/>
      </c>
      <c r="M186" s="16">
        <f>M185</f>
        <v/>
      </c>
      <c r="N186" s="2">
        <f>N185</f>
        <v/>
      </c>
      <c r="O186" s="16">
        <f>O185</f>
        <v/>
      </c>
      <c r="P186" s="4">
        <f>交易明細!L93</f>
        <v/>
      </c>
      <c r="Q186" s="10">
        <f>IF(N186="已下單",O186*P186,0)</f>
        <v/>
      </c>
      <c r="R186" s="10">
        <f>R185+Q186</f>
        <v/>
      </c>
      <c r="S186" s="16">
        <f>S185-IF(N186="已下單",M186,0)</f>
        <v/>
      </c>
      <c r="T186" s="16">
        <f>R186-S186</f>
        <v/>
      </c>
      <c r="U186" s="2">
        <f>U185-IF(N186="已下單",1,0)</f>
        <v/>
      </c>
      <c r="V186" s="16">
        <f>IF(資金模擬!$B$9=2,MAX(R186,0),MAX(V185,FLOOR(MAX(R186,0),資金模擬!$B$6)))</f>
        <v/>
      </c>
      <c r="W186" s="10">
        <f>MAX(W185,R186)</f>
        <v/>
      </c>
      <c r="X186" s="4">
        <f>IF(W186&gt;0,R186/W186-1,-1)</f>
        <v/>
      </c>
      <c r="Y186" s="16">
        <f>IF(R186&gt;0,S186*資金模擬!$B$7/R186,0)</f>
        <v/>
      </c>
      <c r="Z186" s="2">
        <f>IF(OR(Z185=1,R186&lt;=資金模擬!$B$10),1,0)</f>
        <v/>
      </c>
    </row>
    <row r="187">
      <c r="A187" s="2" t="n">
        <v>185</v>
      </c>
      <c r="B187" s="7" t="n">
        <v>46283.08333333334</v>
      </c>
      <c r="C187" s="2" t="inlineStr">
        <is>
          <t>進場</t>
        </is>
      </c>
      <c r="D187" s="2" t="n">
        <v>93</v>
      </c>
      <c r="E187" s="2" t="inlineStr">
        <is>
          <t>CROSS_USDT_PERP</t>
        </is>
      </c>
      <c r="F187" s="2" t="inlineStr">
        <is>
          <t>做空</t>
        </is>
      </c>
      <c r="G187" s="17" t="n">
        <v>0.18272</v>
      </c>
      <c r="H187" s="17" t="n">
        <v>0.1754112</v>
      </c>
      <c r="I187" s="17" t="n">
        <v>0.191856</v>
      </c>
      <c r="J187" s="17" t="n"/>
      <c r="K187" s="2" t="n"/>
      <c r="L187" s="5" t="n"/>
      <c r="M187" s="16">
        <f>資金模擬!$B$5*V186</f>
        <v/>
      </c>
      <c r="N187" s="2">
        <f>IF(Z186=1,"已停止",IF(T186&gt;=M187,"已下單","資金不足略過"))</f>
        <v/>
      </c>
      <c r="O187" s="16">
        <f>IF(N187="已下單",M187*資金模擬!$B$7,0)</f>
        <v/>
      </c>
      <c r="P187" s="4" t="n"/>
      <c r="Q187" s="10" t="n">
        <v>0</v>
      </c>
      <c r="R187" s="10">
        <f>R186+Q187</f>
        <v/>
      </c>
      <c r="S187" s="16">
        <f>S186+IF(N187="已下單",M187,0)</f>
        <v/>
      </c>
      <c r="T187" s="16">
        <f>R187-S187</f>
        <v/>
      </c>
      <c r="U187" s="2">
        <f>U186+IF(N187="已下單",1,0)</f>
        <v/>
      </c>
      <c r="V187" s="16">
        <f>IF(資金模擬!$B$9=2,MAX(R187,0),MAX(V186,FLOOR(MAX(R187,0),資金模擬!$B$6)))</f>
        <v/>
      </c>
      <c r="W187" s="10">
        <f>MAX(W186,R187)</f>
        <v/>
      </c>
      <c r="X187" s="4">
        <f>IF(W187&gt;0,R187/W187-1,-1)</f>
        <v/>
      </c>
      <c r="Y187" s="16">
        <f>IF(R187&gt;0,S187*資金模擬!$B$7/R187,0)</f>
        <v/>
      </c>
      <c r="Z187" s="2">
        <f>IF(OR(Z186=1,R187&lt;=資金模擬!$B$10),1,0)</f>
        <v/>
      </c>
    </row>
    <row r="188">
      <c r="A188" s="2" t="n">
        <v>186</v>
      </c>
      <c r="B188" s="7" t="n">
        <v>46283.09375</v>
      </c>
      <c r="C188" s="2" t="inlineStr">
        <is>
          <t>出場</t>
        </is>
      </c>
      <c r="D188" s="2" t="n">
        <v>93</v>
      </c>
      <c r="E188" s="2" t="inlineStr">
        <is>
          <t>CROSS_USDT_PERP</t>
        </is>
      </c>
      <c r="F188" s="2" t="inlineStr">
        <is>
          <t>做空</t>
        </is>
      </c>
      <c r="G188" s="17" t="n">
        <v>0.18272</v>
      </c>
      <c r="H188" s="17" t="n">
        <v>0.1754112</v>
      </c>
      <c r="I188" s="17" t="n">
        <v>0.191856</v>
      </c>
      <c r="J188" s="17" t="n">
        <v>0.1754112</v>
      </c>
      <c r="K188" s="2" t="inlineStr">
        <is>
          <t>止盈</t>
        </is>
      </c>
      <c r="L188" s="5">
        <f>交易明細!K94</f>
        <v/>
      </c>
      <c r="M188" s="16">
        <f>M187</f>
        <v/>
      </c>
      <c r="N188" s="2">
        <f>N187</f>
        <v/>
      </c>
      <c r="O188" s="16">
        <f>O187</f>
        <v/>
      </c>
      <c r="P188" s="4">
        <f>交易明細!L94</f>
        <v/>
      </c>
      <c r="Q188" s="10">
        <f>IF(N188="已下單",O188*P188,0)</f>
        <v/>
      </c>
      <c r="R188" s="10">
        <f>R187+Q188</f>
        <v/>
      </c>
      <c r="S188" s="16">
        <f>S187-IF(N188="已下單",M188,0)</f>
        <v/>
      </c>
      <c r="T188" s="16">
        <f>R188-S188</f>
        <v/>
      </c>
      <c r="U188" s="2">
        <f>U187-IF(N188="已下單",1,0)</f>
        <v/>
      </c>
      <c r="V188" s="16">
        <f>IF(資金模擬!$B$9=2,MAX(R188,0),MAX(V187,FLOOR(MAX(R188,0),資金模擬!$B$6)))</f>
        <v/>
      </c>
      <c r="W188" s="10">
        <f>MAX(W187,R188)</f>
        <v/>
      </c>
      <c r="X188" s="4">
        <f>IF(W188&gt;0,R188/W188-1,-1)</f>
        <v/>
      </c>
      <c r="Y188" s="16">
        <f>IF(R188&gt;0,S188*資金模擬!$B$7/R188,0)</f>
        <v/>
      </c>
      <c r="Z188" s="2">
        <f>IF(OR(Z187=1,R188&lt;=資金模擬!$B$10),1,0)</f>
        <v/>
      </c>
    </row>
    <row r="189">
      <c r="A189" s="2" t="n">
        <v>187</v>
      </c>
      <c r="B189" s="7" t="n">
        <v>46283.35069444445</v>
      </c>
      <c r="C189" s="2" t="inlineStr">
        <is>
          <t>進場</t>
        </is>
      </c>
      <c r="D189" s="2" t="n">
        <v>94</v>
      </c>
      <c r="E189" s="2" t="inlineStr">
        <is>
          <t>DRIFT_USDT_PERP</t>
        </is>
      </c>
      <c r="F189" s="2" t="inlineStr">
        <is>
          <t>做空</t>
        </is>
      </c>
      <c r="G189" s="17" t="n">
        <v>0.01577</v>
      </c>
      <c r="H189" s="17" t="n">
        <v>0.0151392</v>
      </c>
      <c r="I189" s="17" t="n">
        <v>0.0165585</v>
      </c>
      <c r="J189" s="17" t="n"/>
      <c r="K189" s="2" t="n"/>
      <c r="L189" s="5" t="n"/>
      <c r="M189" s="16">
        <f>資金模擬!$B$5*V188</f>
        <v/>
      </c>
      <c r="N189" s="2">
        <f>IF(Z188=1,"已停止",IF(T188&gt;=M189,"已下單","資金不足略過"))</f>
        <v/>
      </c>
      <c r="O189" s="16">
        <f>IF(N189="已下單",M189*資金模擬!$B$7,0)</f>
        <v/>
      </c>
      <c r="P189" s="4" t="n"/>
      <c r="Q189" s="10" t="n">
        <v>0</v>
      </c>
      <c r="R189" s="10">
        <f>R188+Q189</f>
        <v/>
      </c>
      <c r="S189" s="16">
        <f>S188+IF(N189="已下單",M189,0)</f>
        <v/>
      </c>
      <c r="T189" s="16">
        <f>R189-S189</f>
        <v/>
      </c>
      <c r="U189" s="2">
        <f>U188+IF(N189="已下單",1,0)</f>
        <v/>
      </c>
      <c r="V189" s="16">
        <f>IF(資金模擬!$B$9=2,MAX(R189,0),MAX(V188,FLOOR(MAX(R189,0),資金模擬!$B$6)))</f>
        <v/>
      </c>
      <c r="W189" s="10">
        <f>MAX(W188,R189)</f>
        <v/>
      </c>
      <c r="X189" s="4">
        <f>IF(W189&gt;0,R189/W189-1,-1)</f>
        <v/>
      </c>
      <c r="Y189" s="16">
        <f>IF(R189&gt;0,S189*資金模擬!$B$7/R189,0)</f>
        <v/>
      </c>
      <c r="Z189" s="2">
        <f>IF(OR(Z188=1,R189&lt;=資金模擬!$B$10),1,0)</f>
        <v/>
      </c>
    </row>
    <row r="190">
      <c r="A190" s="2" t="n">
        <v>188</v>
      </c>
      <c r="B190" s="7" t="n">
        <v>46283.35416666666</v>
      </c>
      <c r="C190" s="2" t="inlineStr">
        <is>
          <t>出場</t>
        </is>
      </c>
      <c r="D190" s="2" t="n">
        <v>94</v>
      </c>
      <c r="E190" s="2" t="inlineStr">
        <is>
          <t>DRIFT_USDT_PERP</t>
        </is>
      </c>
      <c r="F190" s="2" t="inlineStr">
        <is>
          <t>做空</t>
        </is>
      </c>
      <c r="G190" s="17" t="n">
        <v>0.01577</v>
      </c>
      <c r="H190" s="17" t="n">
        <v>0.0151392</v>
      </c>
      <c r="I190" s="17" t="n">
        <v>0.0165585</v>
      </c>
      <c r="J190" s="17" t="n">
        <v>0.0151392</v>
      </c>
      <c r="K190" s="2" t="inlineStr">
        <is>
          <t>止盈</t>
        </is>
      </c>
      <c r="L190" s="5">
        <f>交易明細!K95</f>
        <v/>
      </c>
      <c r="M190" s="16">
        <f>M189</f>
        <v/>
      </c>
      <c r="N190" s="2">
        <f>N189</f>
        <v/>
      </c>
      <c r="O190" s="16">
        <f>O189</f>
        <v/>
      </c>
      <c r="P190" s="4">
        <f>交易明細!L95</f>
        <v/>
      </c>
      <c r="Q190" s="10">
        <f>IF(N190="已下單",O190*P190,0)</f>
        <v/>
      </c>
      <c r="R190" s="10">
        <f>R189+Q190</f>
        <v/>
      </c>
      <c r="S190" s="16">
        <f>S189-IF(N190="已下單",M190,0)</f>
        <v/>
      </c>
      <c r="T190" s="16">
        <f>R190-S190</f>
        <v/>
      </c>
      <c r="U190" s="2">
        <f>U189-IF(N190="已下單",1,0)</f>
        <v/>
      </c>
      <c r="V190" s="16">
        <f>IF(資金模擬!$B$9=2,MAX(R190,0),MAX(V189,FLOOR(MAX(R190,0),資金模擬!$B$6)))</f>
        <v/>
      </c>
      <c r="W190" s="10">
        <f>MAX(W189,R190)</f>
        <v/>
      </c>
      <c r="X190" s="4">
        <f>IF(W190&gt;0,R190/W190-1,-1)</f>
        <v/>
      </c>
      <c r="Y190" s="16">
        <f>IF(R190&gt;0,S190*資金模擬!$B$7/R190,0)</f>
        <v/>
      </c>
      <c r="Z190" s="2">
        <f>IF(OR(Z189=1,R190&lt;=資金模擬!$B$10),1,0)</f>
        <v/>
      </c>
    </row>
    <row r="191">
      <c r="A191" s="2" t="n">
        <v>189</v>
      </c>
      <c r="B191" s="7" t="n">
        <v>46283.36111111111</v>
      </c>
      <c r="C191" s="2" t="inlineStr">
        <is>
          <t>進場</t>
        </is>
      </c>
      <c r="D191" s="2" t="n">
        <v>95</v>
      </c>
      <c r="E191" s="2" t="inlineStr">
        <is>
          <t>BABY_USDT_PERP</t>
        </is>
      </c>
      <c r="F191" s="2" t="inlineStr">
        <is>
          <t>做空</t>
        </is>
      </c>
      <c r="G191" s="17" t="n">
        <v>0.01258</v>
      </c>
      <c r="H191" s="17" t="n">
        <v>0.0120768</v>
      </c>
      <c r="I191" s="17" t="n">
        <v>0.013209</v>
      </c>
      <c r="J191" s="17" t="n"/>
      <c r="K191" s="2" t="n"/>
      <c r="L191" s="5" t="n"/>
      <c r="M191" s="16">
        <f>資金模擬!$B$5*V190</f>
        <v/>
      </c>
      <c r="N191" s="2">
        <f>IF(Z190=1,"已停止",IF(T190&gt;=M191,"已下單","資金不足略過"))</f>
        <v/>
      </c>
      <c r="O191" s="16">
        <f>IF(N191="已下單",M191*資金模擬!$B$7,0)</f>
        <v/>
      </c>
      <c r="P191" s="4" t="n"/>
      <c r="Q191" s="10" t="n">
        <v>0</v>
      </c>
      <c r="R191" s="10">
        <f>R190+Q191</f>
        <v/>
      </c>
      <c r="S191" s="16">
        <f>S190+IF(N191="已下單",M191,0)</f>
        <v/>
      </c>
      <c r="T191" s="16">
        <f>R191-S191</f>
        <v/>
      </c>
      <c r="U191" s="2">
        <f>U190+IF(N191="已下單",1,0)</f>
        <v/>
      </c>
      <c r="V191" s="16">
        <f>IF(資金模擬!$B$9=2,MAX(R191,0),MAX(V190,FLOOR(MAX(R191,0),資金模擬!$B$6)))</f>
        <v/>
      </c>
      <c r="W191" s="10">
        <f>MAX(W190,R191)</f>
        <v/>
      </c>
      <c r="X191" s="4">
        <f>IF(W191&gt;0,R191/W191-1,-1)</f>
        <v/>
      </c>
      <c r="Y191" s="16">
        <f>IF(R191&gt;0,S191*資金模擬!$B$7/R191,0)</f>
        <v/>
      </c>
      <c r="Z191" s="2">
        <f>IF(OR(Z190=1,R191&lt;=資金模擬!$B$10),1,0)</f>
        <v/>
      </c>
    </row>
    <row r="192">
      <c r="A192" s="2" t="n">
        <v>190</v>
      </c>
      <c r="B192" s="7" t="n">
        <v>46283.36805555555</v>
      </c>
      <c r="C192" s="2" t="inlineStr">
        <is>
          <t>出場</t>
        </is>
      </c>
      <c r="D192" s="2" t="n">
        <v>95</v>
      </c>
      <c r="E192" s="2" t="inlineStr">
        <is>
          <t>BABY_USDT_PERP</t>
        </is>
      </c>
      <c r="F192" s="2" t="inlineStr">
        <is>
          <t>做空</t>
        </is>
      </c>
      <c r="G192" s="17" t="n">
        <v>0.01258</v>
      </c>
      <c r="H192" s="17" t="n">
        <v>0.0120768</v>
      </c>
      <c r="I192" s="17" t="n">
        <v>0.013209</v>
      </c>
      <c r="J192" s="17" t="n">
        <v>0.0120768</v>
      </c>
      <c r="K192" s="2" t="inlineStr">
        <is>
          <t>止盈</t>
        </is>
      </c>
      <c r="L192" s="5">
        <f>交易明細!K96</f>
        <v/>
      </c>
      <c r="M192" s="16">
        <f>M191</f>
        <v/>
      </c>
      <c r="N192" s="2">
        <f>N191</f>
        <v/>
      </c>
      <c r="O192" s="16">
        <f>O191</f>
        <v/>
      </c>
      <c r="P192" s="4">
        <f>交易明細!L96</f>
        <v/>
      </c>
      <c r="Q192" s="10">
        <f>IF(N192="已下單",O192*P192,0)</f>
        <v/>
      </c>
      <c r="R192" s="10">
        <f>R191+Q192</f>
        <v/>
      </c>
      <c r="S192" s="16">
        <f>S191-IF(N192="已下單",M192,0)</f>
        <v/>
      </c>
      <c r="T192" s="16">
        <f>R192-S192</f>
        <v/>
      </c>
      <c r="U192" s="2">
        <f>U191-IF(N192="已下單",1,0)</f>
        <v/>
      </c>
      <c r="V192" s="16">
        <f>IF(資金模擬!$B$9=2,MAX(R192,0),MAX(V191,FLOOR(MAX(R192,0),資金模擬!$B$6)))</f>
        <v/>
      </c>
      <c r="W192" s="10">
        <f>MAX(W191,R192)</f>
        <v/>
      </c>
      <c r="X192" s="4">
        <f>IF(W192&gt;0,R192/W192-1,-1)</f>
        <v/>
      </c>
      <c r="Y192" s="16">
        <f>IF(R192&gt;0,S192*資金模擬!$B$7/R192,0)</f>
        <v/>
      </c>
      <c r="Z192" s="2">
        <f>IF(OR(Z191=1,R192&lt;=資金模擬!$B$10),1,0)</f>
        <v/>
      </c>
    </row>
    <row r="193">
      <c r="A193" s="2" t="n">
        <v>191</v>
      </c>
      <c r="B193" s="7" t="n">
        <v>46283.4375</v>
      </c>
      <c r="C193" s="2" t="inlineStr">
        <is>
          <t>進場</t>
        </is>
      </c>
      <c r="D193" s="2" t="n">
        <v>96</v>
      </c>
      <c r="E193" s="2" t="inlineStr">
        <is>
          <t>DRIFT_USDT_PERP</t>
        </is>
      </c>
      <c r="F193" s="2" t="inlineStr">
        <is>
          <t>做空</t>
        </is>
      </c>
      <c r="G193" s="17" t="n">
        <v>0.01771</v>
      </c>
      <c r="H193" s="17" t="n">
        <v>0.0170016</v>
      </c>
      <c r="I193" s="17" t="n">
        <v>0.0185955</v>
      </c>
      <c r="J193" s="17" t="n"/>
      <c r="K193" s="2" t="n"/>
      <c r="L193" s="5" t="n"/>
      <c r="M193" s="16">
        <f>資金模擬!$B$5*V192</f>
        <v/>
      </c>
      <c r="N193" s="2">
        <f>IF(Z192=1,"已停止",IF(T192&gt;=M193,"已下單","資金不足略過"))</f>
        <v/>
      </c>
      <c r="O193" s="16">
        <f>IF(N193="已下單",M193*資金模擬!$B$7,0)</f>
        <v/>
      </c>
      <c r="P193" s="4" t="n"/>
      <c r="Q193" s="10" t="n">
        <v>0</v>
      </c>
      <c r="R193" s="10">
        <f>R192+Q193</f>
        <v/>
      </c>
      <c r="S193" s="16">
        <f>S192+IF(N193="已下單",M193,0)</f>
        <v/>
      </c>
      <c r="T193" s="16">
        <f>R193-S193</f>
        <v/>
      </c>
      <c r="U193" s="2">
        <f>U192+IF(N193="已下單",1,0)</f>
        <v/>
      </c>
      <c r="V193" s="16">
        <f>IF(資金模擬!$B$9=2,MAX(R193,0),MAX(V192,FLOOR(MAX(R193,0),資金模擬!$B$6)))</f>
        <v/>
      </c>
      <c r="W193" s="10">
        <f>MAX(W192,R193)</f>
        <v/>
      </c>
      <c r="X193" s="4">
        <f>IF(W193&gt;0,R193/W193-1,-1)</f>
        <v/>
      </c>
      <c r="Y193" s="16">
        <f>IF(R193&gt;0,S193*資金模擬!$B$7/R193,0)</f>
        <v/>
      </c>
      <c r="Z193" s="2">
        <f>IF(OR(Z192=1,R193&lt;=資金模擬!$B$10),1,0)</f>
        <v/>
      </c>
    </row>
    <row r="194">
      <c r="A194" s="2" t="n">
        <v>192</v>
      </c>
      <c r="B194" s="7" t="n">
        <v>46283.44097222222</v>
      </c>
      <c r="C194" s="2" t="inlineStr">
        <is>
          <t>出場</t>
        </is>
      </c>
      <c r="D194" s="2" t="n">
        <v>96</v>
      </c>
      <c r="E194" s="2" t="inlineStr">
        <is>
          <t>DRIFT_USDT_PERP</t>
        </is>
      </c>
      <c r="F194" s="2" t="inlineStr">
        <is>
          <t>做空</t>
        </is>
      </c>
      <c r="G194" s="17" t="n">
        <v>0.01771</v>
      </c>
      <c r="H194" s="17" t="n">
        <v>0.0170016</v>
      </c>
      <c r="I194" s="17" t="n">
        <v>0.0185955</v>
      </c>
      <c r="J194" s="17" t="n">
        <v>0.0170016</v>
      </c>
      <c r="K194" s="2" t="inlineStr">
        <is>
          <t>止盈</t>
        </is>
      </c>
      <c r="L194" s="5">
        <f>交易明細!K97</f>
        <v/>
      </c>
      <c r="M194" s="16">
        <f>M193</f>
        <v/>
      </c>
      <c r="N194" s="2">
        <f>N193</f>
        <v/>
      </c>
      <c r="O194" s="16">
        <f>O193</f>
        <v/>
      </c>
      <c r="P194" s="4">
        <f>交易明細!L97</f>
        <v/>
      </c>
      <c r="Q194" s="10">
        <f>IF(N194="已下單",O194*P194,0)</f>
        <v/>
      </c>
      <c r="R194" s="10">
        <f>R193+Q194</f>
        <v/>
      </c>
      <c r="S194" s="16">
        <f>S193-IF(N194="已下單",M194,0)</f>
        <v/>
      </c>
      <c r="T194" s="16">
        <f>R194-S194</f>
        <v/>
      </c>
      <c r="U194" s="2">
        <f>U193-IF(N194="已下單",1,0)</f>
        <v/>
      </c>
      <c r="V194" s="16">
        <f>IF(資金模擬!$B$9=2,MAX(R194,0),MAX(V193,FLOOR(MAX(R194,0),資金模擬!$B$6)))</f>
        <v/>
      </c>
      <c r="W194" s="10">
        <f>MAX(W193,R194)</f>
        <v/>
      </c>
      <c r="X194" s="4">
        <f>IF(W194&gt;0,R194/W194-1,-1)</f>
        <v/>
      </c>
      <c r="Y194" s="16">
        <f>IF(R194&gt;0,S194*資金模擬!$B$7/R194,0)</f>
        <v/>
      </c>
      <c r="Z194" s="2">
        <f>IF(OR(Z193=1,R194&lt;=資金模擬!$B$10),1,0)</f>
        <v/>
      </c>
    </row>
    <row r="195">
      <c r="A195" s="2" t="n">
        <v>193</v>
      </c>
      <c r="B195" s="7" t="n">
        <v>46283.72569444445</v>
      </c>
      <c r="C195" s="2" t="inlineStr">
        <is>
          <t>進場</t>
        </is>
      </c>
      <c r="D195" s="2" t="n">
        <v>97</v>
      </c>
      <c r="E195" s="2" t="inlineStr">
        <is>
          <t>STRK_USDT_PERP</t>
        </is>
      </c>
      <c r="F195" s="2" t="inlineStr">
        <is>
          <t>做空</t>
        </is>
      </c>
      <c r="G195" s="17" t="n">
        <v>0.0359</v>
      </c>
      <c r="H195" s="17" t="n">
        <v>0.034464</v>
      </c>
      <c r="I195" s="17" t="n">
        <v>0.03769500000000001</v>
      </c>
      <c r="J195" s="17" t="n"/>
      <c r="K195" s="2" t="n"/>
      <c r="L195" s="5" t="n"/>
      <c r="M195" s="16">
        <f>資金模擬!$B$5*V194</f>
        <v/>
      </c>
      <c r="N195" s="2">
        <f>IF(Z194=1,"已停止",IF(T194&gt;=M195,"已下單","資金不足略過"))</f>
        <v/>
      </c>
      <c r="O195" s="16">
        <f>IF(N195="已下單",M195*資金模擬!$B$7,0)</f>
        <v/>
      </c>
      <c r="P195" s="4" t="n"/>
      <c r="Q195" s="10" t="n">
        <v>0</v>
      </c>
      <c r="R195" s="10">
        <f>R194+Q195</f>
        <v/>
      </c>
      <c r="S195" s="16">
        <f>S194+IF(N195="已下單",M195,0)</f>
        <v/>
      </c>
      <c r="T195" s="16">
        <f>R195-S195</f>
        <v/>
      </c>
      <c r="U195" s="2">
        <f>U194+IF(N195="已下單",1,0)</f>
        <v/>
      </c>
      <c r="V195" s="16">
        <f>IF(資金模擬!$B$9=2,MAX(R195,0),MAX(V194,FLOOR(MAX(R195,0),資金模擬!$B$6)))</f>
        <v/>
      </c>
      <c r="W195" s="10">
        <f>MAX(W194,R195)</f>
        <v/>
      </c>
      <c r="X195" s="4">
        <f>IF(W195&gt;0,R195/W195-1,-1)</f>
        <v/>
      </c>
      <c r="Y195" s="16">
        <f>IF(R195&gt;0,S195*資金模擬!$B$7/R195,0)</f>
        <v/>
      </c>
      <c r="Z195" s="2">
        <f>IF(OR(Z194=1,R195&lt;=資金模擬!$B$10),1,0)</f>
        <v/>
      </c>
    </row>
    <row r="196">
      <c r="A196" s="2" t="n">
        <v>194</v>
      </c>
      <c r="B196" s="7" t="n">
        <v>46283.74652777778</v>
      </c>
      <c r="C196" s="2" t="inlineStr">
        <is>
          <t>出場</t>
        </is>
      </c>
      <c r="D196" s="2" t="n">
        <v>97</v>
      </c>
      <c r="E196" s="2" t="inlineStr">
        <is>
          <t>STRK_USDT_PERP</t>
        </is>
      </c>
      <c r="F196" s="2" t="inlineStr">
        <is>
          <t>做空</t>
        </is>
      </c>
      <c r="G196" s="17" t="n">
        <v>0.0359</v>
      </c>
      <c r="H196" s="17" t="n">
        <v>0.034464</v>
      </c>
      <c r="I196" s="17" t="n">
        <v>0.03769500000000001</v>
      </c>
      <c r="J196" s="17" t="n">
        <v>0.034464</v>
      </c>
      <c r="K196" s="2" t="inlineStr">
        <is>
          <t>止盈</t>
        </is>
      </c>
      <c r="L196" s="5">
        <f>交易明細!K98</f>
        <v/>
      </c>
      <c r="M196" s="16">
        <f>M195</f>
        <v/>
      </c>
      <c r="N196" s="2">
        <f>N195</f>
        <v/>
      </c>
      <c r="O196" s="16">
        <f>O195</f>
        <v/>
      </c>
      <c r="P196" s="4">
        <f>交易明細!L98</f>
        <v/>
      </c>
      <c r="Q196" s="10">
        <f>IF(N196="已下單",O196*P196,0)</f>
        <v/>
      </c>
      <c r="R196" s="10">
        <f>R195+Q196</f>
        <v/>
      </c>
      <c r="S196" s="16">
        <f>S195-IF(N196="已下單",M196,0)</f>
        <v/>
      </c>
      <c r="T196" s="16">
        <f>R196-S196</f>
        <v/>
      </c>
      <c r="U196" s="2">
        <f>U195-IF(N196="已下單",1,0)</f>
        <v/>
      </c>
      <c r="V196" s="16">
        <f>IF(資金模擬!$B$9=2,MAX(R196,0),MAX(V195,FLOOR(MAX(R196,0),資金模擬!$B$6)))</f>
        <v/>
      </c>
      <c r="W196" s="10">
        <f>MAX(W195,R196)</f>
        <v/>
      </c>
      <c r="X196" s="4">
        <f>IF(W196&gt;0,R196/W196-1,-1)</f>
        <v/>
      </c>
      <c r="Y196" s="16">
        <f>IF(R196&gt;0,S196*資金模擬!$B$7/R196,0)</f>
        <v/>
      </c>
      <c r="Z196" s="2">
        <f>IF(OR(Z195=1,R196&lt;=資金模擬!$B$10),1,0)</f>
        <v/>
      </c>
    </row>
    <row r="197">
      <c r="A197" s="2" t="n">
        <v>195</v>
      </c>
      <c r="B197" s="7" t="n">
        <v>46283.78125</v>
      </c>
      <c r="C197" s="2" t="inlineStr">
        <is>
          <t>進場</t>
        </is>
      </c>
      <c r="D197" s="2" t="n">
        <v>98</v>
      </c>
      <c r="E197" s="2" t="inlineStr">
        <is>
          <t>ENSO_USDT_PERP</t>
        </is>
      </c>
      <c r="F197" s="2" t="inlineStr">
        <is>
          <t>做空</t>
        </is>
      </c>
      <c r="G197" s="17" t="n">
        <v>1.0033</v>
      </c>
      <c r="H197" s="17" t="n">
        <v>0.963168</v>
      </c>
      <c r="I197" s="17" t="n">
        <v>1.053465</v>
      </c>
      <c r="J197" s="17" t="n"/>
      <c r="K197" s="2" t="n"/>
      <c r="L197" s="5" t="n"/>
      <c r="M197" s="16">
        <f>資金模擬!$B$5*V196</f>
        <v/>
      </c>
      <c r="N197" s="2">
        <f>IF(Z196=1,"已停止",IF(T196&gt;=M197,"已下單","資金不足略過"))</f>
        <v/>
      </c>
      <c r="O197" s="16">
        <f>IF(N197="已下單",M197*資金模擬!$B$7,0)</f>
        <v/>
      </c>
      <c r="P197" s="4" t="n"/>
      <c r="Q197" s="10" t="n">
        <v>0</v>
      </c>
      <c r="R197" s="10">
        <f>R196+Q197</f>
        <v/>
      </c>
      <c r="S197" s="16">
        <f>S196+IF(N197="已下單",M197,0)</f>
        <v/>
      </c>
      <c r="T197" s="16">
        <f>R197-S197</f>
        <v/>
      </c>
      <c r="U197" s="2">
        <f>U196+IF(N197="已下單",1,0)</f>
        <v/>
      </c>
      <c r="V197" s="16">
        <f>IF(資金模擬!$B$9=2,MAX(R197,0),MAX(V196,FLOOR(MAX(R197,0),資金模擬!$B$6)))</f>
        <v/>
      </c>
      <c r="W197" s="10">
        <f>MAX(W196,R197)</f>
        <v/>
      </c>
      <c r="X197" s="4">
        <f>IF(W197&gt;0,R197/W197-1,-1)</f>
        <v/>
      </c>
      <c r="Y197" s="16">
        <f>IF(R197&gt;0,S197*資金模擬!$B$7/R197,0)</f>
        <v/>
      </c>
      <c r="Z197" s="2">
        <f>IF(OR(Z196=1,R197&lt;=資金模擬!$B$10),1,0)</f>
        <v/>
      </c>
    </row>
    <row r="198">
      <c r="A198" s="2" t="n">
        <v>196</v>
      </c>
      <c r="B198" s="7" t="n">
        <v>46283.78472222222</v>
      </c>
      <c r="C198" s="2" t="inlineStr">
        <is>
          <t>出場</t>
        </is>
      </c>
      <c r="D198" s="2" t="n">
        <v>98</v>
      </c>
      <c r="E198" s="2" t="inlineStr">
        <is>
          <t>ENSO_USDT_PERP</t>
        </is>
      </c>
      <c r="F198" s="2" t="inlineStr">
        <is>
          <t>做空</t>
        </is>
      </c>
      <c r="G198" s="17" t="n">
        <v>1.0033</v>
      </c>
      <c r="H198" s="17" t="n">
        <v>0.963168</v>
      </c>
      <c r="I198" s="17" t="n">
        <v>1.053465</v>
      </c>
      <c r="J198" s="17" t="n">
        <v>0.963168</v>
      </c>
      <c r="K198" s="2" t="inlineStr">
        <is>
          <t>止盈</t>
        </is>
      </c>
      <c r="L198" s="5">
        <f>交易明細!K99</f>
        <v/>
      </c>
      <c r="M198" s="16">
        <f>M197</f>
        <v/>
      </c>
      <c r="N198" s="2">
        <f>N197</f>
        <v/>
      </c>
      <c r="O198" s="16">
        <f>O197</f>
        <v/>
      </c>
      <c r="P198" s="4">
        <f>交易明細!L99</f>
        <v/>
      </c>
      <c r="Q198" s="10">
        <f>IF(N198="已下單",O198*P198,0)</f>
        <v/>
      </c>
      <c r="R198" s="10">
        <f>R197+Q198</f>
        <v/>
      </c>
      <c r="S198" s="16">
        <f>S197-IF(N198="已下單",M198,0)</f>
        <v/>
      </c>
      <c r="T198" s="16">
        <f>R198-S198</f>
        <v/>
      </c>
      <c r="U198" s="2">
        <f>U197-IF(N198="已下單",1,0)</f>
        <v/>
      </c>
      <c r="V198" s="16">
        <f>IF(資金模擬!$B$9=2,MAX(R198,0),MAX(V197,FLOOR(MAX(R198,0),資金模擬!$B$6)))</f>
        <v/>
      </c>
      <c r="W198" s="10">
        <f>MAX(W197,R198)</f>
        <v/>
      </c>
      <c r="X198" s="4">
        <f>IF(W198&gt;0,R198/W198-1,-1)</f>
        <v/>
      </c>
      <c r="Y198" s="16">
        <f>IF(R198&gt;0,S198*資金模擬!$B$7/R198,0)</f>
        <v/>
      </c>
      <c r="Z198" s="2">
        <f>IF(OR(Z197=1,R198&lt;=資金模擬!$B$10),1,0)</f>
        <v/>
      </c>
    </row>
    <row r="199">
      <c r="A199" s="2" t="n">
        <v>197</v>
      </c>
      <c r="B199" s="7" t="n">
        <v>46283.85416666666</v>
      </c>
      <c r="C199" s="2" t="inlineStr">
        <is>
          <t>進場</t>
        </is>
      </c>
      <c r="D199" s="2" t="n">
        <v>99</v>
      </c>
      <c r="E199" s="2" t="inlineStr">
        <is>
          <t>MYX_USDT_PERP</t>
        </is>
      </c>
      <c r="F199" s="2" t="inlineStr">
        <is>
          <t>做空</t>
        </is>
      </c>
      <c r="G199" s="17" t="n">
        <v>0.07063</v>
      </c>
      <c r="H199" s="17" t="n">
        <v>0.0678048</v>
      </c>
      <c r="I199" s="17" t="n">
        <v>0.07416150000000001</v>
      </c>
      <c r="J199" s="17" t="n"/>
      <c r="K199" s="2" t="n"/>
      <c r="L199" s="5" t="n"/>
      <c r="M199" s="16">
        <f>資金模擬!$B$5*V198</f>
        <v/>
      </c>
      <c r="N199" s="2">
        <f>IF(Z198=1,"已停止",IF(T198&gt;=M199,"已下單","資金不足略過"))</f>
        <v/>
      </c>
      <c r="O199" s="16">
        <f>IF(N199="已下單",M199*資金模擬!$B$7,0)</f>
        <v/>
      </c>
      <c r="P199" s="4" t="n"/>
      <c r="Q199" s="10" t="n">
        <v>0</v>
      </c>
      <c r="R199" s="10">
        <f>R198+Q199</f>
        <v/>
      </c>
      <c r="S199" s="16">
        <f>S198+IF(N199="已下單",M199,0)</f>
        <v/>
      </c>
      <c r="T199" s="16">
        <f>R199-S199</f>
        <v/>
      </c>
      <c r="U199" s="2">
        <f>U198+IF(N199="已下單",1,0)</f>
        <v/>
      </c>
      <c r="V199" s="16">
        <f>IF(資金模擬!$B$9=2,MAX(R199,0),MAX(V198,FLOOR(MAX(R199,0),資金模擬!$B$6)))</f>
        <v/>
      </c>
      <c r="W199" s="10">
        <f>MAX(W198,R199)</f>
        <v/>
      </c>
      <c r="X199" s="4">
        <f>IF(W199&gt;0,R199/W199-1,-1)</f>
        <v/>
      </c>
      <c r="Y199" s="16">
        <f>IF(R199&gt;0,S199*資金模擬!$B$7/R199,0)</f>
        <v/>
      </c>
      <c r="Z199" s="2">
        <f>IF(OR(Z198=1,R199&lt;=資金模擬!$B$10),1,0)</f>
        <v/>
      </c>
    </row>
    <row r="200">
      <c r="A200" s="2" t="n">
        <v>198</v>
      </c>
      <c r="B200" s="7" t="n">
        <v>46283.85763888889</v>
      </c>
      <c r="C200" s="2" t="inlineStr">
        <is>
          <t>出場</t>
        </is>
      </c>
      <c r="D200" s="2" t="n">
        <v>99</v>
      </c>
      <c r="E200" s="2" t="inlineStr">
        <is>
          <t>MYX_USDT_PERP</t>
        </is>
      </c>
      <c r="F200" s="2" t="inlineStr">
        <is>
          <t>做空</t>
        </is>
      </c>
      <c r="G200" s="17" t="n">
        <v>0.07063</v>
      </c>
      <c r="H200" s="17" t="n">
        <v>0.0678048</v>
      </c>
      <c r="I200" s="17" t="n">
        <v>0.07416150000000001</v>
      </c>
      <c r="J200" s="17" t="n">
        <v>0.07416150000000001</v>
      </c>
      <c r="K200" s="2" t="inlineStr">
        <is>
          <t>止損</t>
        </is>
      </c>
      <c r="L200" s="5">
        <f>交易明細!K100</f>
        <v/>
      </c>
      <c r="M200" s="16">
        <f>M199</f>
        <v/>
      </c>
      <c r="N200" s="2">
        <f>N199</f>
        <v/>
      </c>
      <c r="O200" s="16">
        <f>O199</f>
        <v/>
      </c>
      <c r="P200" s="4">
        <f>交易明細!L100</f>
        <v/>
      </c>
      <c r="Q200" s="10">
        <f>IF(N200="已下單",O200*P200,0)</f>
        <v/>
      </c>
      <c r="R200" s="10">
        <f>R199+Q200</f>
        <v/>
      </c>
      <c r="S200" s="16">
        <f>S199-IF(N200="已下單",M200,0)</f>
        <v/>
      </c>
      <c r="T200" s="16">
        <f>R200-S200</f>
        <v/>
      </c>
      <c r="U200" s="2">
        <f>U199-IF(N200="已下單",1,0)</f>
        <v/>
      </c>
      <c r="V200" s="16">
        <f>IF(資金模擬!$B$9=2,MAX(R200,0),MAX(V199,FLOOR(MAX(R200,0),資金模擬!$B$6)))</f>
        <v/>
      </c>
      <c r="W200" s="10">
        <f>MAX(W199,R200)</f>
        <v/>
      </c>
      <c r="X200" s="4">
        <f>IF(W200&gt;0,R200/W200-1,-1)</f>
        <v/>
      </c>
      <c r="Y200" s="16">
        <f>IF(R200&gt;0,S200*資金模擬!$B$7/R200,0)</f>
        <v/>
      </c>
      <c r="Z200" s="2">
        <f>IF(OR(Z199=1,R200&lt;=資金模擬!$B$10),1,0)</f>
        <v/>
      </c>
    </row>
    <row r="201">
      <c r="A201" s="2" t="n">
        <v>199</v>
      </c>
      <c r="B201" s="7" t="n">
        <v>46283.86805555555</v>
      </c>
      <c r="C201" s="2" t="inlineStr">
        <is>
          <t>進場</t>
        </is>
      </c>
      <c r="D201" s="2" t="n">
        <v>100</v>
      </c>
      <c r="E201" s="2" t="inlineStr">
        <is>
          <t>AIA_USDT_PERP</t>
        </is>
      </c>
      <c r="F201" s="2" t="inlineStr">
        <is>
          <t>做空</t>
        </is>
      </c>
      <c r="G201" s="17" t="n">
        <v>0.06952999999999999</v>
      </c>
      <c r="H201" s="17" t="n">
        <v>0.0667488</v>
      </c>
      <c r="I201" s="17" t="n">
        <v>0.0730065</v>
      </c>
      <c r="J201" s="17" t="n"/>
      <c r="K201" s="2" t="n"/>
      <c r="L201" s="5" t="n"/>
      <c r="M201" s="16">
        <f>資金模擬!$B$5*V200</f>
        <v/>
      </c>
      <c r="N201" s="2">
        <f>IF(Z200=1,"已停止",IF(T200&gt;=M201,"已下單","資金不足略過"))</f>
        <v/>
      </c>
      <c r="O201" s="16">
        <f>IF(N201="已下單",M201*資金模擬!$B$7,0)</f>
        <v/>
      </c>
      <c r="P201" s="4" t="n"/>
      <c r="Q201" s="10" t="n">
        <v>0</v>
      </c>
      <c r="R201" s="10">
        <f>R200+Q201</f>
        <v/>
      </c>
      <c r="S201" s="16">
        <f>S200+IF(N201="已下單",M201,0)</f>
        <v/>
      </c>
      <c r="T201" s="16">
        <f>R201-S201</f>
        <v/>
      </c>
      <c r="U201" s="2">
        <f>U200+IF(N201="已下單",1,0)</f>
        <v/>
      </c>
      <c r="V201" s="16">
        <f>IF(資金模擬!$B$9=2,MAX(R201,0),MAX(V200,FLOOR(MAX(R201,0),資金模擬!$B$6)))</f>
        <v/>
      </c>
      <c r="W201" s="10">
        <f>MAX(W200,R201)</f>
        <v/>
      </c>
      <c r="X201" s="4">
        <f>IF(W201&gt;0,R201/W201-1,-1)</f>
        <v/>
      </c>
      <c r="Y201" s="16">
        <f>IF(R201&gt;0,S201*資金模擬!$B$7/R201,0)</f>
        <v/>
      </c>
      <c r="Z201" s="2">
        <f>IF(OR(Z200=1,R201&lt;=資金模擬!$B$10),1,0)</f>
        <v/>
      </c>
    </row>
    <row r="202">
      <c r="A202" s="2" t="n">
        <v>200</v>
      </c>
      <c r="B202" s="7" t="n">
        <v>46283.875</v>
      </c>
      <c r="C202" s="2" t="inlineStr">
        <is>
          <t>出場</t>
        </is>
      </c>
      <c r="D202" s="2" t="n">
        <v>100</v>
      </c>
      <c r="E202" s="2" t="inlineStr">
        <is>
          <t>AIA_USDT_PERP</t>
        </is>
      </c>
      <c r="F202" s="2" t="inlineStr">
        <is>
          <t>做空</t>
        </is>
      </c>
      <c r="G202" s="17" t="n">
        <v>0.06952999999999999</v>
      </c>
      <c r="H202" s="17" t="n">
        <v>0.0667488</v>
      </c>
      <c r="I202" s="17" t="n">
        <v>0.0730065</v>
      </c>
      <c r="J202" s="17" t="n">
        <v>0.0667488</v>
      </c>
      <c r="K202" s="2" t="inlineStr">
        <is>
          <t>止盈</t>
        </is>
      </c>
      <c r="L202" s="5">
        <f>交易明細!K101</f>
        <v/>
      </c>
      <c r="M202" s="16">
        <f>M201</f>
        <v/>
      </c>
      <c r="N202" s="2">
        <f>N201</f>
        <v/>
      </c>
      <c r="O202" s="16">
        <f>O201</f>
        <v/>
      </c>
      <c r="P202" s="4">
        <f>交易明細!L101</f>
        <v/>
      </c>
      <c r="Q202" s="10">
        <f>IF(N202="已下單",O202*P202,0)</f>
        <v/>
      </c>
      <c r="R202" s="10">
        <f>R201+Q202</f>
        <v/>
      </c>
      <c r="S202" s="16">
        <f>S201-IF(N202="已下單",M202,0)</f>
        <v/>
      </c>
      <c r="T202" s="16">
        <f>R202-S202</f>
        <v/>
      </c>
      <c r="U202" s="2">
        <f>U201-IF(N202="已下單",1,0)</f>
        <v/>
      </c>
      <c r="V202" s="16">
        <f>IF(資金模擬!$B$9=2,MAX(R202,0),MAX(V201,FLOOR(MAX(R202,0),資金模擬!$B$6)))</f>
        <v/>
      </c>
      <c r="W202" s="10">
        <f>MAX(W201,R202)</f>
        <v/>
      </c>
      <c r="X202" s="4">
        <f>IF(W202&gt;0,R202/W202-1,-1)</f>
        <v/>
      </c>
      <c r="Y202" s="16">
        <f>IF(R202&gt;0,S202*資金模擬!$B$7/R202,0)</f>
        <v/>
      </c>
      <c r="Z202" s="2">
        <f>IF(OR(Z201=1,R202&lt;=資金模擬!$B$10),1,0)</f>
        <v/>
      </c>
    </row>
    <row r="203">
      <c r="A203" s="2" t="n">
        <v>201</v>
      </c>
      <c r="B203" s="7" t="n">
        <v>46283.94444444445</v>
      </c>
      <c r="C203" s="2" t="inlineStr">
        <is>
          <t>進場</t>
        </is>
      </c>
      <c r="D203" s="2" t="n">
        <v>101</v>
      </c>
      <c r="E203" s="2" t="inlineStr">
        <is>
          <t>EVAA_USDT_PERP</t>
        </is>
      </c>
      <c r="F203" s="2" t="inlineStr">
        <is>
          <t>做空</t>
        </is>
      </c>
      <c r="G203" s="17" t="n">
        <v>0.679</v>
      </c>
      <c r="H203" s="17" t="n">
        <v>0.65184</v>
      </c>
      <c r="I203" s="17" t="n">
        <v>0.7129500000000001</v>
      </c>
      <c r="J203" s="17" t="n"/>
      <c r="K203" s="2" t="n"/>
      <c r="L203" s="5" t="n"/>
      <c r="M203" s="16">
        <f>資金模擬!$B$5*V202</f>
        <v/>
      </c>
      <c r="N203" s="2">
        <f>IF(Z202=1,"已停止",IF(T202&gt;=M203,"已下單","資金不足略過"))</f>
        <v/>
      </c>
      <c r="O203" s="16">
        <f>IF(N203="已下單",M203*資金模擬!$B$7,0)</f>
        <v/>
      </c>
      <c r="P203" s="4" t="n"/>
      <c r="Q203" s="10" t="n">
        <v>0</v>
      </c>
      <c r="R203" s="10">
        <f>R202+Q203</f>
        <v/>
      </c>
      <c r="S203" s="16">
        <f>S202+IF(N203="已下單",M203,0)</f>
        <v/>
      </c>
      <c r="T203" s="16">
        <f>R203-S203</f>
        <v/>
      </c>
      <c r="U203" s="2">
        <f>U202+IF(N203="已下單",1,0)</f>
        <v/>
      </c>
      <c r="V203" s="16">
        <f>IF(資金模擬!$B$9=2,MAX(R203,0),MAX(V202,FLOOR(MAX(R203,0),資金模擬!$B$6)))</f>
        <v/>
      </c>
      <c r="W203" s="10">
        <f>MAX(W202,R203)</f>
        <v/>
      </c>
      <c r="X203" s="4">
        <f>IF(W203&gt;0,R203/W203-1,-1)</f>
        <v/>
      </c>
      <c r="Y203" s="16">
        <f>IF(R203&gt;0,S203*資金模擬!$B$7/R203,0)</f>
        <v/>
      </c>
      <c r="Z203" s="2">
        <f>IF(OR(Z202=1,R203&lt;=資金模擬!$B$10),1,0)</f>
        <v/>
      </c>
    </row>
    <row r="204">
      <c r="A204" s="2" t="n">
        <v>202</v>
      </c>
      <c r="B204" s="7" t="n">
        <v>46283.94791666666</v>
      </c>
      <c r="C204" s="2" t="inlineStr">
        <is>
          <t>出場</t>
        </is>
      </c>
      <c r="D204" s="2" t="n">
        <v>101</v>
      </c>
      <c r="E204" s="2" t="inlineStr">
        <is>
          <t>EVAA_USDT_PERP</t>
        </is>
      </c>
      <c r="F204" s="2" t="inlineStr">
        <is>
          <t>做空</t>
        </is>
      </c>
      <c r="G204" s="17" t="n">
        <v>0.679</v>
      </c>
      <c r="H204" s="17" t="n">
        <v>0.65184</v>
      </c>
      <c r="I204" s="17" t="n">
        <v>0.7129500000000001</v>
      </c>
      <c r="J204" s="17" t="n">
        <v>0.65184</v>
      </c>
      <c r="K204" s="2" t="inlineStr">
        <is>
          <t>止盈</t>
        </is>
      </c>
      <c r="L204" s="5">
        <f>交易明細!K102</f>
        <v/>
      </c>
      <c r="M204" s="16">
        <f>M203</f>
        <v/>
      </c>
      <c r="N204" s="2">
        <f>N203</f>
        <v/>
      </c>
      <c r="O204" s="16">
        <f>O203</f>
        <v/>
      </c>
      <c r="P204" s="4">
        <f>交易明細!L102</f>
        <v/>
      </c>
      <c r="Q204" s="10">
        <f>IF(N204="已下單",O204*P204,0)</f>
        <v/>
      </c>
      <c r="R204" s="10">
        <f>R203+Q204</f>
        <v/>
      </c>
      <c r="S204" s="16">
        <f>S203-IF(N204="已下單",M204,0)</f>
        <v/>
      </c>
      <c r="T204" s="16">
        <f>R204-S204</f>
        <v/>
      </c>
      <c r="U204" s="2">
        <f>U203-IF(N204="已下單",1,0)</f>
        <v/>
      </c>
      <c r="V204" s="16">
        <f>IF(資金模擬!$B$9=2,MAX(R204,0),MAX(V203,FLOOR(MAX(R204,0),資金模擬!$B$6)))</f>
        <v/>
      </c>
      <c r="W204" s="10">
        <f>MAX(W203,R204)</f>
        <v/>
      </c>
      <c r="X204" s="4">
        <f>IF(W204&gt;0,R204/W204-1,-1)</f>
        <v/>
      </c>
      <c r="Y204" s="16">
        <f>IF(R204&gt;0,S204*資金模擬!$B$7/R204,0)</f>
        <v/>
      </c>
      <c r="Z204" s="2">
        <f>IF(OR(Z203=1,R204&lt;=資金模擬!$B$10),1,0)</f>
        <v/>
      </c>
    </row>
    <row r="205">
      <c r="A205" s="2" t="n">
        <v>203</v>
      </c>
      <c r="B205" s="7" t="n">
        <v>46284.13194444445</v>
      </c>
      <c r="C205" s="2" t="inlineStr">
        <is>
          <t>進場</t>
        </is>
      </c>
      <c r="D205" s="2" t="n">
        <v>102</v>
      </c>
      <c r="E205" s="2" t="inlineStr">
        <is>
          <t>STRK_USDT_PERP</t>
        </is>
      </c>
      <c r="F205" s="2" t="inlineStr">
        <is>
          <t>做空</t>
        </is>
      </c>
      <c r="G205" s="17" t="n">
        <v>0.0425</v>
      </c>
      <c r="H205" s="17" t="n">
        <v>0.0408</v>
      </c>
      <c r="I205" s="17" t="n">
        <v>0.044625</v>
      </c>
      <c r="J205" s="17" t="n"/>
      <c r="K205" s="2" t="n"/>
      <c r="L205" s="5" t="n"/>
      <c r="M205" s="16">
        <f>資金模擬!$B$5*V204</f>
        <v/>
      </c>
      <c r="N205" s="2">
        <f>IF(Z204=1,"已停止",IF(T204&gt;=M205,"已下單","資金不足略過"))</f>
        <v/>
      </c>
      <c r="O205" s="16">
        <f>IF(N205="已下單",M205*資金模擬!$B$7,0)</f>
        <v/>
      </c>
      <c r="P205" s="4" t="n"/>
      <c r="Q205" s="10" t="n">
        <v>0</v>
      </c>
      <c r="R205" s="10">
        <f>R204+Q205</f>
        <v/>
      </c>
      <c r="S205" s="16">
        <f>S204+IF(N205="已下單",M205,0)</f>
        <v/>
      </c>
      <c r="T205" s="16">
        <f>R205-S205</f>
        <v/>
      </c>
      <c r="U205" s="2">
        <f>U204+IF(N205="已下單",1,0)</f>
        <v/>
      </c>
      <c r="V205" s="16">
        <f>IF(資金模擬!$B$9=2,MAX(R205,0),MAX(V204,FLOOR(MAX(R205,0),資金模擬!$B$6)))</f>
        <v/>
      </c>
      <c r="W205" s="10">
        <f>MAX(W204,R205)</f>
        <v/>
      </c>
      <c r="X205" s="4">
        <f>IF(W205&gt;0,R205/W205-1,-1)</f>
        <v/>
      </c>
      <c r="Y205" s="16">
        <f>IF(R205&gt;0,S205*資金模擬!$B$7/R205,0)</f>
        <v/>
      </c>
      <c r="Z205" s="2">
        <f>IF(OR(Z204=1,R205&lt;=資金模擬!$B$10),1,0)</f>
        <v/>
      </c>
    </row>
    <row r="206">
      <c r="A206" s="2" t="n">
        <v>204</v>
      </c>
      <c r="B206" s="7" t="n">
        <v>46284.15277777778</v>
      </c>
      <c r="C206" s="2" t="inlineStr">
        <is>
          <t>出場</t>
        </is>
      </c>
      <c r="D206" s="2" t="n">
        <v>102</v>
      </c>
      <c r="E206" s="2" t="inlineStr">
        <is>
          <t>STRK_USDT_PERP</t>
        </is>
      </c>
      <c r="F206" s="2" t="inlineStr">
        <is>
          <t>做空</t>
        </is>
      </c>
      <c r="G206" s="17" t="n">
        <v>0.0425</v>
      </c>
      <c r="H206" s="17" t="n">
        <v>0.0408</v>
      </c>
      <c r="I206" s="17" t="n">
        <v>0.044625</v>
      </c>
      <c r="J206" s="17" t="n">
        <v>0.0408</v>
      </c>
      <c r="K206" s="2" t="inlineStr">
        <is>
          <t>止盈</t>
        </is>
      </c>
      <c r="L206" s="5">
        <f>交易明細!K103</f>
        <v/>
      </c>
      <c r="M206" s="16">
        <f>M205</f>
        <v/>
      </c>
      <c r="N206" s="2">
        <f>N205</f>
        <v/>
      </c>
      <c r="O206" s="16">
        <f>O205</f>
        <v/>
      </c>
      <c r="P206" s="4">
        <f>交易明細!L103</f>
        <v/>
      </c>
      <c r="Q206" s="10">
        <f>IF(N206="已下單",O206*P206,0)</f>
        <v/>
      </c>
      <c r="R206" s="10">
        <f>R205+Q206</f>
        <v/>
      </c>
      <c r="S206" s="16">
        <f>S205-IF(N206="已下單",M206,0)</f>
        <v/>
      </c>
      <c r="T206" s="16">
        <f>R206-S206</f>
        <v/>
      </c>
      <c r="U206" s="2">
        <f>U205-IF(N206="已下單",1,0)</f>
        <v/>
      </c>
      <c r="V206" s="16">
        <f>IF(資金模擬!$B$9=2,MAX(R206,0),MAX(V205,FLOOR(MAX(R206,0),資金模擬!$B$6)))</f>
        <v/>
      </c>
      <c r="W206" s="10">
        <f>MAX(W205,R206)</f>
        <v/>
      </c>
      <c r="X206" s="4">
        <f>IF(W206&gt;0,R206/W206-1,-1)</f>
        <v/>
      </c>
      <c r="Y206" s="16">
        <f>IF(R206&gt;0,S206*資金模擬!$B$7/R206,0)</f>
        <v/>
      </c>
      <c r="Z206" s="2">
        <f>IF(OR(Z205=1,R206&lt;=資金模擬!$B$10),1,0)</f>
        <v/>
      </c>
    </row>
    <row r="207">
      <c r="A207" s="2" t="n">
        <v>205</v>
      </c>
      <c r="B207" s="7" t="n">
        <v>46284.22916666666</v>
      </c>
      <c r="C207" s="2" t="inlineStr">
        <is>
          <t>進場</t>
        </is>
      </c>
      <c r="D207" s="2" t="n">
        <v>103</v>
      </c>
      <c r="E207" s="2" t="inlineStr">
        <is>
          <t>MAGMA_USDT_PERP</t>
        </is>
      </c>
      <c r="F207" s="2" t="inlineStr">
        <is>
          <t>做空</t>
        </is>
      </c>
      <c r="G207" s="17" t="n">
        <v>0.2652</v>
      </c>
      <c r="H207" s="17" t="n">
        <v>0.254592</v>
      </c>
      <c r="I207" s="17" t="n">
        <v>0.27846</v>
      </c>
      <c r="J207" s="17" t="n"/>
      <c r="K207" s="2" t="n"/>
      <c r="L207" s="5" t="n"/>
      <c r="M207" s="16">
        <f>資金模擬!$B$5*V206</f>
        <v/>
      </c>
      <c r="N207" s="2">
        <f>IF(Z206=1,"已停止",IF(T206&gt;=M207,"已下單","資金不足略過"))</f>
        <v/>
      </c>
      <c r="O207" s="16">
        <f>IF(N207="已下單",M207*資金模擬!$B$7,0)</f>
        <v/>
      </c>
      <c r="P207" s="4" t="n"/>
      <c r="Q207" s="10" t="n">
        <v>0</v>
      </c>
      <c r="R207" s="10">
        <f>R206+Q207</f>
        <v/>
      </c>
      <c r="S207" s="16">
        <f>S206+IF(N207="已下單",M207,0)</f>
        <v/>
      </c>
      <c r="T207" s="16">
        <f>R207-S207</f>
        <v/>
      </c>
      <c r="U207" s="2">
        <f>U206+IF(N207="已下單",1,0)</f>
        <v/>
      </c>
      <c r="V207" s="16">
        <f>IF(資金模擬!$B$9=2,MAX(R207,0),MAX(V206,FLOOR(MAX(R207,0),資金模擬!$B$6)))</f>
        <v/>
      </c>
      <c r="W207" s="10">
        <f>MAX(W206,R207)</f>
        <v/>
      </c>
      <c r="X207" s="4">
        <f>IF(W207&gt;0,R207/W207-1,-1)</f>
        <v/>
      </c>
      <c r="Y207" s="16">
        <f>IF(R207&gt;0,S207*資金模擬!$B$7/R207,0)</f>
        <v/>
      </c>
      <c r="Z207" s="2">
        <f>IF(OR(Z206=1,R207&lt;=資金模擬!$B$10),1,0)</f>
        <v/>
      </c>
    </row>
    <row r="208">
      <c r="A208" s="2" t="n">
        <v>206</v>
      </c>
      <c r="B208" s="7" t="n">
        <v>46284.23611111111</v>
      </c>
      <c r="C208" s="2" t="inlineStr">
        <is>
          <t>出場</t>
        </is>
      </c>
      <c r="D208" s="2" t="n">
        <v>103</v>
      </c>
      <c r="E208" s="2" t="inlineStr">
        <is>
          <t>MAGMA_USDT_PERP</t>
        </is>
      </c>
      <c r="F208" s="2" t="inlineStr">
        <is>
          <t>做空</t>
        </is>
      </c>
      <c r="G208" s="17" t="n">
        <v>0.2652</v>
      </c>
      <c r="H208" s="17" t="n">
        <v>0.254592</v>
      </c>
      <c r="I208" s="17" t="n">
        <v>0.27846</v>
      </c>
      <c r="J208" s="17" t="n">
        <v>0.254592</v>
      </c>
      <c r="K208" s="2" t="inlineStr">
        <is>
          <t>止盈</t>
        </is>
      </c>
      <c r="L208" s="5">
        <f>交易明細!K104</f>
        <v/>
      </c>
      <c r="M208" s="16">
        <f>M207</f>
        <v/>
      </c>
      <c r="N208" s="2">
        <f>N207</f>
        <v/>
      </c>
      <c r="O208" s="16">
        <f>O207</f>
        <v/>
      </c>
      <c r="P208" s="4">
        <f>交易明細!L104</f>
        <v/>
      </c>
      <c r="Q208" s="10">
        <f>IF(N208="已下單",O208*P208,0)</f>
        <v/>
      </c>
      <c r="R208" s="10">
        <f>R207+Q208</f>
        <v/>
      </c>
      <c r="S208" s="16">
        <f>S207-IF(N208="已下單",M208,0)</f>
        <v/>
      </c>
      <c r="T208" s="16">
        <f>R208-S208</f>
        <v/>
      </c>
      <c r="U208" s="2">
        <f>U207-IF(N208="已下單",1,0)</f>
        <v/>
      </c>
      <c r="V208" s="16">
        <f>IF(資金模擬!$B$9=2,MAX(R208,0),MAX(V207,FLOOR(MAX(R208,0),資金模擬!$B$6)))</f>
        <v/>
      </c>
      <c r="W208" s="10">
        <f>MAX(W207,R208)</f>
        <v/>
      </c>
      <c r="X208" s="4">
        <f>IF(W208&gt;0,R208/W208-1,-1)</f>
        <v/>
      </c>
      <c r="Y208" s="16">
        <f>IF(R208&gt;0,S208*資金模擬!$B$7/R208,0)</f>
        <v/>
      </c>
      <c r="Z208" s="2">
        <f>IF(OR(Z207=1,R208&lt;=資金模擬!$B$10),1,0)</f>
        <v/>
      </c>
    </row>
    <row r="209">
      <c r="A209" s="2" t="n">
        <v>207</v>
      </c>
      <c r="B209" s="7" t="n">
        <v>46284.60416666666</v>
      </c>
      <c r="C209" s="2" t="inlineStr">
        <is>
          <t>進場</t>
        </is>
      </c>
      <c r="D209" s="2" t="n">
        <v>104</v>
      </c>
      <c r="E209" s="2" t="inlineStr">
        <is>
          <t>ESP_USDT_PERP</t>
        </is>
      </c>
      <c r="F209" s="2" t="inlineStr">
        <is>
          <t>做空</t>
        </is>
      </c>
      <c r="G209" s="17" t="n">
        <v>0.10843</v>
      </c>
      <c r="H209" s="17" t="n">
        <v>0.1040928</v>
      </c>
      <c r="I209" s="17" t="n">
        <v>0.1138515</v>
      </c>
      <c r="J209" s="17" t="n"/>
      <c r="K209" s="2" t="n"/>
      <c r="L209" s="5" t="n"/>
      <c r="M209" s="16">
        <f>資金模擬!$B$5*V208</f>
        <v/>
      </c>
      <c r="N209" s="2">
        <f>IF(Z208=1,"已停止",IF(T208&gt;=M209,"已下單","資金不足略過"))</f>
        <v/>
      </c>
      <c r="O209" s="16">
        <f>IF(N209="已下單",M209*資金模擬!$B$7,0)</f>
        <v/>
      </c>
      <c r="P209" s="4" t="n"/>
      <c r="Q209" s="10" t="n">
        <v>0</v>
      </c>
      <c r="R209" s="10">
        <f>R208+Q209</f>
        <v/>
      </c>
      <c r="S209" s="16">
        <f>S208+IF(N209="已下單",M209,0)</f>
        <v/>
      </c>
      <c r="T209" s="16">
        <f>R209-S209</f>
        <v/>
      </c>
      <c r="U209" s="2">
        <f>U208+IF(N209="已下單",1,0)</f>
        <v/>
      </c>
      <c r="V209" s="16">
        <f>IF(資金模擬!$B$9=2,MAX(R209,0),MAX(V208,FLOOR(MAX(R209,0),資金模擬!$B$6)))</f>
        <v/>
      </c>
      <c r="W209" s="10">
        <f>MAX(W208,R209)</f>
        <v/>
      </c>
      <c r="X209" s="4">
        <f>IF(W209&gt;0,R209/W209-1,-1)</f>
        <v/>
      </c>
      <c r="Y209" s="16">
        <f>IF(R209&gt;0,S209*資金模擬!$B$7/R209,0)</f>
        <v/>
      </c>
      <c r="Z209" s="2">
        <f>IF(OR(Z208=1,R209&lt;=資金模擬!$B$10),1,0)</f>
        <v/>
      </c>
    </row>
    <row r="210">
      <c r="A210" s="2" t="n">
        <v>208</v>
      </c>
      <c r="B210" s="7" t="n">
        <v>46284.60763888889</v>
      </c>
      <c r="C210" s="2" t="inlineStr">
        <is>
          <t>出場</t>
        </is>
      </c>
      <c r="D210" s="2" t="n">
        <v>104</v>
      </c>
      <c r="E210" s="2" t="inlineStr">
        <is>
          <t>ESP_USDT_PERP</t>
        </is>
      </c>
      <c r="F210" s="2" t="inlineStr">
        <is>
          <t>做空</t>
        </is>
      </c>
      <c r="G210" s="17" t="n">
        <v>0.10843</v>
      </c>
      <c r="H210" s="17" t="n">
        <v>0.1040928</v>
      </c>
      <c r="I210" s="17" t="n">
        <v>0.1138515</v>
      </c>
      <c r="J210" s="17" t="n">
        <v>0.1040928</v>
      </c>
      <c r="K210" s="2" t="inlineStr">
        <is>
          <t>止盈</t>
        </is>
      </c>
      <c r="L210" s="5">
        <f>交易明細!K105</f>
        <v/>
      </c>
      <c r="M210" s="16">
        <f>M209</f>
        <v/>
      </c>
      <c r="N210" s="2">
        <f>N209</f>
        <v/>
      </c>
      <c r="O210" s="16">
        <f>O209</f>
        <v/>
      </c>
      <c r="P210" s="4">
        <f>交易明細!L105</f>
        <v/>
      </c>
      <c r="Q210" s="10">
        <f>IF(N210="已下單",O210*P210,0)</f>
        <v/>
      </c>
      <c r="R210" s="10">
        <f>R209+Q210</f>
        <v/>
      </c>
      <c r="S210" s="16">
        <f>S209-IF(N210="已下單",M210,0)</f>
        <v/>
      </c>
      <c r="T210" s="16">
        <f>R210-S210</f>
        <v/>
      </c>
      <c r="U210" s="2">
        <f>U209-IF(N210="已下單",1,0)</f>
        <v/>
      </c>
      <c r="V210" s="16">
        <f>IF(資金模擬!$B$9=2,MAX(R210,0),MAX(V209,FLOOR(MAX(R210,0),資金模擬!$B$6)))</f>
        <v/>
      </c>
      <c r="W210" s="10">
        <f>MAX(W209,R210)</f>
        <v/>
      </c>
      <c r="X210" s="4">
        <f>IF(W210&gt;0,R210/W210-1,-1)</f>
        <v/>
      </c>
      <c r="Y210" s="16">
        <f>IF(R210&gt;0,S210*資金模擬!$B$7/R210,0)</f>
        <v/>
      </c>
      <c r="Z210" s="2">
        <f>IF(OR(Z209=1,R210&lt;=資金模擬!$B$10),1,0)</f>
        <v/>
      </c>
    </row>
    <row r="211">
      <c r="A211" s="2" t="n">
        <v>209</v>
      </c>
      <c r="B211" s="7" t="n">
        <v>46284.84027777778</v>
      </c>
      <c r="C211" s="2" t="inlineStr">
        <is>
          <t>進場</t>
        </is>
      </c>
      <c r="D211" s="2" t="n">
        <v>105</v>
      </c>
      <c r="E211" s="2" t="inlineStr">
        <is>
          <t>CAP_USDT_PERP</t>
        </is>
      </c>
      <c r="F211" s="2" t="inlineStr">
        <is>
          <t>做空</t>
        </is>
      </c>
      <c r="G211" s="17" t="n">
        <v>0.06956</v>
      </c>
      <c r="H211" s="17" t="n">
        <v>0.06677759999999999</v>
      </c>
      <c r="I211" s="17" t="n">
        <v>0.07303800000000001</v>
      </c>
      <c r="J211" s="17" t="n"/>
      <c r="K211" s="2" t="n"/>
      <c r="L211" s="5" t="n"/>
      <c r="M211" s="16">
        <f>資金模擬!$B$5*V210</f>
        <v/>
      </c>
      <c r="N211" s="2">
        <f>IF(Z210=1,"已停止",IF(T210&gt;=M211,"已下單","資金不足略過"))</f>
        <v/>
      </c>
      <c r="O211" s="16">
        <f>IF(N211="已下單",M211*資金模擬!$B$7,0)</f>
        <v/>
      </c>
      <c r="P211" s="4" t="n"/>
      <c r="Q211" s="10" t="n">
        <v>0</v>
      </c>
      <c r="R211" s="10">
        <f>R210+Q211</f>
        <v/>
      </c>
      <c r="S211" s="16">
        <f>S210+IF(N211="已下單",M211,0)</f>
        <v/>
      </c>
      <c r="T211" s="16">
        <f>R211-S211</f>
        <v/>
      </c>
      <c r="U211" s="2">
        <f>U210+IF(N211="已下單",1,0)</f>
        <v/>
      </c>
      <c r="V211" s="16">
        <f>IF(資金模擬!$B$9=2,MAX(R211,0),MAX(V210,FLOOR(MAX(R211,0),資金模擬!$B$6)))</f>
        <v/>
      </c>
      <c r="W211" s="10">
        <f>MAX(W210,R211)</f>
        <v/>
      </c>
      <c r="X211" s="4">
        <f>IF(W211&gt;0,R211/W211-1,-1)</f>
        <v/>
      </c>
      <c r="Y211" s="16">
        <f>IF(R211&gt;0,S211*資金模擬!$B$7/R211,0)</f>
        <v/>
      </c>
      <c r="Z211" s="2">
        <f>IF(OR(Z210=1,R211&lt;=資金模擬!$B$10),1,0)</f>
        <v/>
      </c>
    </row>
    <row r="212">
      <c r="A212" s="2" t="n">
        <v>210</v>
      </c>
      <c r="B212" s="7" t="n">
        <v>46284.86805555555</v>
      </c>
      <c r="C212" s="2" t="inlineStr">
        <is>
          <t>出場</t>
        </is>
      </c>
      <c r="D212" s="2" t="n">
        <v>105</v>
      </c>
      <c r="E212" s="2" t="inlineStr">
        <is>
          <t>CAP_USDT_PERP</t>
        </is>
      </c>
      <c r="F212" s="2" t="inlineStr">
        <is>
          <t>做空</t>
        </is>
      </c>
      <c r="G212" s="17" t="n">
        <v>0.06956</v>
      </c>
      <c r="H212" s="17" t="n">
        <v>0.06677759999999999</v>
      </c>
      <c r="I212" s="17" t="n">
        <v>0.07303800000000001</v>
      </c>
      <c r="J212" s="17" t="n">
        <v>0.07303800000000001</v>
      </c>
      <c r="K212" s="2" t="inlineStr">
        <is>
          <t>止損</t>
        </is>
      </c>
      <c r="L212" s="5">
        <f>交易明細!K106</f>
        <v/>
      </c>
      <c r="M212" s="16">
        <f>M211</f>
        <v/>
      </c>
      <c r="N212" s="2">
        <f>N211</f>
        <v/>
      </c>
      <c r="O212" s="16">
        <f>O211</f>
        <v/>
      </c>
      <c r="P212" s="4">
        <f>交易明細!L106</f>
        <v/>
      </c>
      <c r="Q212" s="10">
        <f>IF(N212="已下單",O212*P212,0)</f>
        <v/>
      </c>
      <c r="R212" s="10">
        <f>R211+Q212</f>
        <v/>
      </c>
      <c r="S212" s="16">
        <f>S211-IF(N212="已下單",M212,0)</f>
        <v/>
      </c>
      <c r="T212" s="16">
        <f>R212-S212</f>
        <v/>
      </c>
      <c r="U212" s="2">
        <f>U211-IF(N212="已下單",1,0)</f>
        <v/>
      </c>
      <c r="V212" s="16">
        <f>IF(資金模擬!$B$9=2,MAX(R212,0),MAX(V211,FLOOR(MAX(R212,0),資金模擬!$B$6)))</f>
        <v/>
      </c>
      <c r="W212" s="10">
        <f>MAX(W211,R212)</f>
        <v/>
      </c>
      <c r="X212" s="4">
        <f>IF(W212&gt;0,R212/W212-1,-1)</f>
        <v/>
      </c>
      <c r="Y212" s="16">
        <f>IF(R212&gt;0,S212*資金模擬!$B$7/R212,0)</f>
        <v/>
      </c>
      <c r="Z212" s="2">
        <f>IF(OR(Z211=1,R212&lt;=資金模擬!$B$10),1,0)</f>
        <v/>
      </c>
    </row>
    <row r="213">
      <c r="A213" s="2" t="n">
        <v>211</v>
      </c>
      <c r="B213" s="7" t="n">
        <v>46285.02430555555</v>
      </c>
      <c r="C213" s="2" t="inlineStr">
        <is>
          <t>進場</t>
        </is>
      </c>
      <c r="D213" s="2" t="n">
        <v>106</v>
      </c>
      <c r="E213" s="2" t="inlineStr">
        <is>
          <t>BANK_USDT_PERP</t>
        </is>
      </c>
      <c r="F213" s="2" t="inlineStr">
        <is>
          <t>做空</t>
        </is>
      </c>
      <c r="G213" s="17" t="n">
        <v>0.03616</v>
      </c>
      <c r="H213" s="17" t="n">
        <v>0.0347136</v>
      </c>
      <c r="I213" s="17" t="n">
        <v>0.037968</v>
      </c>
      <c r="J213" s="17" t="n"/>
      <c r="K213" s="2" t="n"/>
      <c r="L213" s="5" t="n"/>
      <c r="M213" s="16">
        <f>資金模擬!$B$5*V212</f>
        <v/>
      </c>
      <c r="N213" s="2">
        <f>IF(Z212=1,"已停止",IF(T212&gt;=M213,"已下單","資金不足略過"))</f>
        <v/>
      </c>
      <c r="O213" s="16">
        <f>IF(N213="已下單",M213*資金模擬!$B$7,0)</f>
        <v/>
      </c>
      <c r="P213" s="4" t="n"/>
      <c r="Q213" s="10" t="n">
        <v>0</v>
      </c>
      <c r="R213" s="10">
        <f>R212+Q213</f>
        <v/>
      </c>
      <c r="S213" s="16">
        <f>S212+IF(N213="已下單",M213,0)</f>
        <v/>
      </c>
      <c r="T213" s="16">
        <f>R213-S213</f>
        <v/>
      </c>
      <c r="U213" s="2">
        <f>U212+IF(N213="已下單",1,0)</f>
        <v/>
      </c>
      <c r="V213" s="16">
        <f>IF(資金模擬!$B$9=2,MAX(R213,0),MAX(V212,FLOOR(MAX(R213,0),資金模擬!$B$6)))</f>
        <v/>
      </c>
      <c r="W213" s="10">
        <f>MAX(W212,R213)</f>
        <v/>
      </c>
      <c r="X213" s="4">
        <f>IF(W213&gt;0,R213/W213-1,-1)</f>
        <v/>
      </c>
      <c r="Y213" s="16">
        <f>IF(R213&gt;0,S213*資金模擬!$B$7/R213,0)</f>
        <v/>
      </c>
      <c r="Z213" s="2">
        <f>IF(OR(Z212=1,R213&lt;=資金模擬!$B$10),1,0)</f>
        <v/>
      </c>
    </row>
    <row r="214">
      <c r="A214" s="2" t="n">
        <v>212</v>
      </c>
      <c r="B214" s="7" t="n">
        <v>46285.02777777778</v>
      </c>
      <c r="C214" s="2" t="inlineStr">
        <is>
          <t>進場</t>
        </is>
      </c>
      <c r="D214" s="2" t="n">
        <v>107</v>
      </c>
      <c r="E214" s="2" t="inlineStr">
        <is>
          <t>OFC_USDT_PERP</t>
        </is>
      </c>
      <c r="F214" s="2" t="inlineStr">
        <is>
          <t>做空</t>
        </is>
      </c>
      <c r="G214" s="17" t="n">
        <v>0.01164</v>
      </c>
      <c r="H214" s="17" t="n">
        <v>0.0111744</v>
      </c>
      <c r="I214" s="17" t="n">
        <v>0.012222</v>
      </c>
      <c r="J214" s="17" t="n"/>
      <c r="K214" s="2" t="n"/>
      <c r="L214" s="5" t="n"/>
      <c r="M214" s="16">
        <f>資金模擬!$B$5*V213</f>
        <v/>
      </c>
      <c r="N214" s="2">
        <f>IF(Z213=1,"已停止",IF(T213&gt;=M214,"已下單","資金不足略過"))</f>
        <v/>
      </c>
      <c r="O214" s="16">
        <f>IF(N214="已下單",M214*資金模擬!$B$7,0)</f>
        <v/>
      </c>
      <c r="P214" s="4" t="n"/>
      <c r="Q214" s="10" t="n">
        <v>0</v>
      </c>
      <c r="R214" s="10">
        <f>R213+Q214</f>
        <v/>
      </c>
      <c r="S214" s="16">
        <f>S213+IF(N214="已下單",M214,0)</f>
        <v/>
      </c>
      <c r="T214" s="16">
        <f>R214-S214</f>
        <v/>
      </c>
      <c r="U214" s="2">
        <f>U213+IF(N214="已下單",1,0)</f>
        <v/>
      </c>
      <c r="V214" s="16">
        <f>IF(資金模擬!$B$9=2,MAX(R214,0),MAX(V213,FLOOR(MAX(R214,0),資金模擬!$B$6)))</f>
        <v/>
      </c>
      <c r="W214" s="10">
        <f>MAX(W213,R214)</f>
        <v/>
      </c>
      <c r="X214" s="4">
        <f>IF(W214&gt;0,R214/W214-1,-1)</f>
        <v/>
      </c>
      <c r="Y214" s="16">
        <f>IF(R214&gt;0,S214*資金模擬!$B$7/R214,0)</f>
        <v/>
      </c>
      <c r="Z214" s="2">
        <f>IF(OR(Z213=1,R214&lt;=資金模擬!$B$10),1,0)</f>
        <v/>
      </c>
    </row>
    <row r="215">
      <c r="A215" s="2" t="n">
        <v>213</v>
      </c>
      <c r="B215" s="7" t="n">
        <v>46285.03125</v>
      </c>
      <c r="C215" s="2" t="inlineStr">
        <is>
          <t>出場</t>
        </is>
      </c>
      <c r="D215" s="2" t="n">
        <v>107</v>
      </c>
      <c r="E215" s="2" t="inlineStr">
        <is>
          <t>OFC_USDT_PERP</t>
        </is>
      </c>
      <c r="F215" s="2" t="inlineStr">
        <is>
          <t>做空</t>
        </is>
      </c>
      <c r="G215" s="17" t="n">
        <v>0.01164</v>
      </c>
      <c r="H215" s="17" t="n">
        <v>0.0111744</v>
      </c>
      <c r="I215" s="17" t="n">
        <v>0.012222</v>
      </c>
      <c r="J215" s="17" t="n">
        <v>0.012222</v>
      </c>
      <c r="K215" s="2" t="inlineStr">
        <is>
          <t>止損</t>
        </is>
      </c>
      <c r="L215" s="5">
        <f>交易明細!K108</f>
        <v/>
      </c>
      <c r="M215" s="16">
        <f>M214</f>
        <v/>
      </c>
      <c r="N215" s="2">
        <f>N214</f>
        <v/>
      </c>
      <c r="O215" s="16">
        <f>O214</f>
        <v/>
      </c>
      <c r="P215" s="4">
        <f>交易明細!L108</f>
        <v/>
      </c>
      <c r="Q215" s="10">
        <f>IF(N215="已下單",O215*P215,0)</f>
        <v/>
      </c>
      <c r="R215" s="10">
        <f>R214+Q215</f>
        <v/>
      </c>
      <c r="S215" s="16">
        <f>S214-IF(N215="已下單",M215,0)</f>
        <v/>
      </c>
      <c r="T215" s="16">
        <f>R215-S215</f>
        <v/>
      </c>
      <c r="U215" s="2">
        <f>U214-IF(N215="已下單",1,0)</f>
        <v/>
      </c>
      <c r="V215" s="16">
        <f>IF(資金模擬!$B$9=2,MAX(R215,0),MAX(V214,FLOOR(MAX(R215,0),資金模擬!$B$6)))</f>
        <v/>
      </c>
      <c r="W215" s="10">
        <f>MAX(W214,R215)</f>
        <v/>
      </c>
      <c r="X215" s="4">
        <f>IF(W215&gt;0,R215/W215-1,-1)</f>
        <v/>
      </c>
      <c r="Y215" s="16">
        <f>IF(R215&gt;0,S215*資金模擬!$B$7/R215,0)</f>
        <v/>
      </c>
      <c r="Z215" s="2">
        <f>IF(OR(Z214=1,R215&lt;=資金模擬!$B$10),1,0)</f>
        <v/>
      </c>
    </row>
    <row r="216">
      <c r="A216" s="2" t="n">
        <v>214</v>
      </c>
      <c r="B216" s="7" t="n">
        <v>46285.03819444445</v>
      </c>
      <c r="C216" s="2" t="inlineStr">
        <is>
          <t>出場</t>
        </is>
      </c>
      <c r="D216" s="2" t="n">
        <v>106</v>
      </c>
      <c r="E216" s="2" t="inlineStr">
        <is>
          <t>BANK_USDT_PERP</t>
        </is>
      </c>
      <c r="F216" s="2" t="inlineStr">
        <is>
          <t>做空</t>
        </is>
      </c>
      <c r="G216" s="17" t="n">
        <v>0.03616</v>
      </c>
      <c r="H216" s="17" t="n">
        <v>0.0347136</v>
      </c>
      <c r="I216" s="17" t="n">
        <v>0.037968</v>
      </c>
      <c r="J216" s="17" t="n">
        <v>0.037968</v>
      </c>
      <c r="K216" s="2" t="inlineStr">
        <is>
          <t>止損</t>
        </is>
      </c>
      <c r="L216" s="5">
        <f>交易明細!K107</f>
        <v/>
      </c>
      <c r="M216" s="16">
        <f>M213</f>
        <v/>
      </c>
      <c r="N216" s="2">
        <f>N213</f>
        <v/>
      </c>
      <c r="O216" s="16">
        <f>O213</f>
        <v/>
      </c>
      <c r="P216" s="4">
        <f>交易明細!L107</f>
        <v/>
      </c>
      <c r="Q216" s="10">
        <f>IF(N216="已下單",O216*P216,0)</f>
        <v/>
      </c>
      <c r="R216" s="10">
        <f>R215+Q216</f>
        <v/>
      </c>
      <c r="S216" s="16">
        <f>S215-IF(N216="已下單",M216,0)</f>
        <v/>
      </c>
      <c r="T216" s="16">
        <f>R216-S216</f>
        <v/>
      </c>
      <c r="U216" s="2">
        <f>U215-IF(N216="已下單",1,0)</f>
        <v/>
      </c>
      <c r="V216" s="16">
        <f>IF(資金模擬!$B$9=2,MAX(R216,0),MAX(V215,FLOOR(MAX(R216,0),資金模擬!$B$6)))</f>
        <v/>
      </c>
      <c r="W216" s="10">
        <f>MAX(W215,R216)</f>
        <v/>
      </c>
      <c r="X216" s="4">
        <f>IF(W216&gt;0,R216/W216-1,-1)</f>
        <v/>
      </c>
      <c r="Y216" s="16">
        <f>IF(R216&gt;0,S216*資金模擬!$B$7/R216,0)</f>
        <v/>
      </c>
      <c r="Z216" s="2">
        <f>IF(OR(Z215=1,R216&lt;=資金模擬!$B$10),1,0)</f>
        <v/>
      </c>
    </row>
    <row r="217">
      <c r="A217" s="2" t="n">
        <v>215</v>
      </c>
      <c r="B217" s="7" t="n">
        <v>46285.07638888889</v>
      </c>
      <c r="C217" s="2" t="inlineStr">
        <is>
          <t>進場</t>
        </is>
      </c>
      <c r="D217" s="2" t="n">
        <v>108</v>
      </c>
      <c r="E217" s="2" t="inlineStr">
        <is>
          <t>OFC_USDT_PERP</t>
        </is>
      </c>
      <c r="F217" s="2" t="inlineStr">
        <is>
          <t>做空</t>
        </is>
      </c>
      <c r="G217" s="17" t="n">
        <v>0.01099</v>
      </c>
      <c r="H217" s="17" t="n">
        <v>0.0105504</v>
      </c>
      <c r="I217" s="17" t="n">
        <v>0.0115395</v>
      </c>
      <c r="J217" s="17" t="n"/>
      <c r="K217" s="2" t="n"/>
      <c r="L217" s="5" t="n"/>
      <c r="M217" s="16">
        <f>資金模擬!$B$5*V216</f>
        <v/>
      </c>
      <c r="N217" s="2">
        <f>IF(Z216=1,"已停止",IF(T216&gt;=M217,"已下單","資金不足略過"))</f>
        <v/>
      </c>
      <c r="O217" s="16">
        <f>IF(N217="已下單",M217*資金模擬!$B$7,0)</f>
        <v/>
      </c>
      <c r="P217" s="4" t="n"/>
      <c r="Q217" s="10" t="n">
        <v>0</v>
      </c>
      <c r="R217" s="10">
        <f>R216+Q217</f>
        <v/>
      </c>
      <c r="S217" s="16">
        <f>S216+IF(N217="已下單",M217,0)</f>
        <v/>
      </c>
      <c r="T217" s="16">
        <f>R217-S217</f>
        <v/>
      </c>
      <c r="U217" s="2">
        <f>U216+IF(N217="已下單",1,0)</f>
        <v/>
      </c>
      <c r="V217" s="16">
        <f>IF(資金模擬!$B$9=2,MAX(R217,0),MAX(V216,FLOOR(MAX(R217,0),資金模擬!$B$6)))</f>
        <v/>
      </c>
      <c r="W217" s="10">
        <f>MAX(W216,R217)</f>
        <v/>
      </c>
      <c r="X217" s="4">
        <f>IF(W217&gt;0,R217/W217-1,-1)</f>
        <v/>
      </c>
      <c r="Y217" s="16">
        <f>IF(R217&gt;0,S217*資金模擬!$B$7/R217,0)</f>
        <v/>
      </c>
      <c r="Z217" s="2">
        <f>IF(OR(Z216=1,R217&lt;=資金模擬!$B$10),1,0)</f>
        <v/>
      </c>
    </row>
    <row r="218">
      <c r="A218" s="2" t="n">
        <v>216</v>
      </c>
      <c r="B218" s="7" t="n">
        <v>46285.09027777778</v>
      </c>
      <c r="C218" s="2" t="inlineStr">
        <is>
          <t>出場</t>
        </is>
      </c>
      <c r="D218" s="2" t="n">
        <v>108</v>
      </c>
      <c r="E218" s="2" t="inlineStr">
        <is>
          <t>OFC_USDT_PERP</t>
        </is>
      </c>
      <c r="F218" s="2" t="inlineStr">
        <is>
          <t>做空</t>
        </is>
      </c>
      <c r="G218" s="17" t="n">
        <v>0.01099</v>
      </c>
      <c r="H218" s="17" t="n">
        <v>0.0105504</v>
      </c>
      <c r="I218" s="17" t="n">
        <v>0.0115395</v>
      </c>
      <c r="J218" s="17" t="n">
        <v>0.0105504</v>
      </c>
      <c r="K218" s="2" t="inlineStr">
        <is>
          <t>止盈</t>
        </is>
      </c>
      <c r="L218" s="5">
        <f>交易明細!K109</f>
        <v/>
      </c>
      <c r="M218" s="16">
        <f>M217</f>
        <v/>
      </c>
      <c r="N218" s="2">
        <f>N217</f>
        <v/>
      </c>
      <c r="O218" s="16">
        <f>O217</f>
        <v/>
      </c>
      <c r="P218" s="4">
        <f>交易明細!L109</f>
        <v/>
      </c>
      <c r="Q218" s="10">
        <f>IF(N218="已下單",O218*P218,0)</f>
        <v/>
      </c>
      <c r="R218" s="10">
        <f>R217+Q218</f>
        <v/>
      </c>
      <c r="S218" s="16">
        <f>S217-IF(N218="已下單",M218,0)</f>
        <v/>
      </c>
      <c r="T218" s="16">
        <f>R218-S218</f>
        <v/>
      </c>
      <c r="U218" s="2">
        <f>U217-IF(N218="已下單",1,0)</f>
        <v/>
      </c>
      <c r="V218" s="16">
        <f>IF(資金模擬!$B$9=2,MAX(R218,0),MAX(V217,FLOOR(MAX(R218,0),資金模擬!$B$6)))</f>
        <v/>
      </c>
      <c r="W218" s="10">
        <f>MAX(W217,R218)</f>
        <v/>
      </c>
      <c r="X218" s="4">
        <f>IF(W218&gt;0,R218/W218-1,-1)</f>
        <v/>
      </c>
      <c r="Y218" s="16">
        <f>IF(R218&gt;0,S218*資金模擬!$B$7/R218,0)</f>
        <v/>
      </c>
      <c r="Z218" s="2">
        <f>IF(OR(Z217=1,R218&lt;=資金模擬!$B$10),1,0)</f>
        <v/>
      </c>
    </row>
    <row r="219">
      <c r="A219" s="2" t="n">
        <v>217</v>
      </c>
      <c r="B219" s="7" t="n">
        <v>46285.19097222222</v>
      </c>
      <c r="C219" s="2" t="inlineStr">
        <is>
          <t>進場</t>
        </is>
      </c>
      <c r="D219" s="2" t="n">
        <v>109</v>
      </c>
      <c r="E219" s="2" t="inlineStr">
        <is>
          <t>SKL_USDT_PERP</t>
        </is>
      </c>
      <c r="F219" s="2" t="inlineStr">
        <is>
          <t>做空</t>
        </is>
      </c>
      <c r="G219" s="17" t="n">
        <v>0.004631</v>
      </c>
      <c r="H219" s="17" t="n">
        <v>0.004445759999999999</v>
      </c>
      <c r="I219" s="17" t="n">
        <v>0.00486255</v>
      </c>
      <c r="J219" s="17" t="n"/>
      <c r="K219" s="2" t="n"/>
      <c r="L219" s="5" t="n"/>
      <c r="M219" s="16">
        <f>資金模擬!$B$5*V218</f>
        <v/>
      </c>
      <c r="N219" s="2">
        <f>IF(Z218=1,"已停止",IF(T218&gt;=M219,"已下單","資金不足略過"))</f>
        <v/>
      </c>
      <c r="O219" s="16">
        <f>IF(N219="已下單",M219*資金模擬!$B$7,0)</f>
        <v/>
      </c>
      <c r="P219" s="4" t="n"/>
      <c r="Q219" s="10" t="n">
        <v>0</v>
      </c>
      <c r="R219" s="10">
        <f>R218+Q219</f>
        <v/>
      </c>
      <c r="S219" s="16">
        <f>S218+IF(N219="已下單",M219,0)</f>
        <v/>
      </c>
      <c r="T219" s="16">
        <f>R219-S219</f>
        <v/>
      </c>
      <c r="U219" s="2">
        <f>U218+IF(N219="已下單",1,0)</f>
        <v/>
      </c>
      <c r="V219" s="16">
        <f>IF(資金模擬!$B$9=2,MAX(R219,0),MAX(V218,FLOOR(MAX(R219,0),資金模擬!$B$6)))</f>
        <v/>
      </c>
      <c r="W219" s="10">
        <f>MAX(W218,R219)</f>
        <v/>
      </c>
      <c r="X219" s="4">
        <f>IF(W219&gt;0,R219/W219-1,-1)</f>
        <v/>
      </c>
      <c r="Y219" s="16">
        <f>IF(R219&gt;0,S219*資金模擬!$B$7/R219,0)</f>
        <v/>
      </c>
      <c r="Z219" s="2">
        <f>IF(OR(Z218=1,R219&lt;=資金模擬!$B$10),1,0)</f>
        <v/>
      </c>
    </row>
    <row r="220">
      <c r="A220" s="2" t="n">
        <v>218</v>
      </c>
      <c r="B220" s="7" t="n">
        <v>46285.20486111111</v>
      </c>
      <c r="C220" s="2" t="inlineStr">
        <is>
          <t>出場</t>
        </is>
      </c>
      <c r="D220" s="2" t="n">
        <v>109</v>
      </c>
      <c r="E220" s="2" t="inlineStr">
        <is>
          <t>SKL_USDT_PERP</t>
        </is>
      </c>
      <c r="F220" s="2" t="inlineStr">
        <is>
          <t>做空</t>
        </is>
      </c>
      <c r="G220" s="17" t="n">
        <v>0.004631</v>
      </c>
      <c r="H220" s="17" t="n">
        <v>0.004445759999999999</v>
      </c>
      <c r="I220" s="17" t="n">
        <v>0.00486255</v>
      </c>
      <c r="J220" s="17" t="n">
        <v>0.004445759999999999</v>
      </c>
      <c r="K220" s="2" t="inlineStr">
        <is>
          <t>止盈</t>
        </is>
      </c>
      <c r="L220" s="5">
        <f>交易明細!K110</f>
        <v/>
      </c>
      <c r="M220" s="16">
        <f>M219</f>
        <v/>
      </c>
      <c r="N220" s="2">
        <f>N219</f>
        <v/>
      </c>
      <c r="O220" s="16">
        <f>O219</f>
        <v/>
      </c>
      <c r="P220" s="4">
        <f>交易明細!L110</f>
        <v/>
      </c>
      <c r="Q220" s="10">
        <f>IF(N220="已下單",O220*P220,0)</f>
        <v/>
      </c>
      <c r="R220" s="10">
        <f>R219+Q220</f>
        <v/>
      </c>
      <c r="S220" s="16">
        <f>S219-IF(N220="已下單",M220,0)</f>
        <v/>
      </c>
      <c r="T220" s="16">
        <f>R220-S220</f>
        <v/>
      </c>
      <c r="U220" s="2">
        <f>U219-IF(N220="已下單",1,0)</f>
        <v/>
      </c>
      <c r="V220" s="16">
        <f>IF(資金模擬!$B$9=2,MAX(R220,0),MAX(V219,FLOOR(MAX(R220,0),資金模擬!$B$6)))</f>
        <v/>
      </c>
      <c r="W220" s="10">
        <f>MAX(W219,R220)</f>
        <v/>
      </c>
      <c r="X220" s="4">
        <f>IF(W220&gt;0,R220/W220-1,-1)</f>
        <v/>
      </c>
      <c r="Y220" s="16">
        <f>IF(R220&gt;0,S220*資金模擬!$B$7/R220,0)</f>
        <v/>
      </c>
      <c r="Z220" s="2">
        <f>IF(OR(Z219=1,R220&lt;=資金模擬!$B$10),1,0)</f>
        <v/>
      </c>
    </row>
    <row r="221">
      <c r="A221" s="2" t="n">
        <v>219</v>
      </c>
      <c r="B221" s="7" t="n">
        <v>46285.25347222222</v>
      </c>
      <c r="C221" s="2" t="inlineStr">
        <is>
          <t>進場</t>
        </is>
      </c>
      <c r="D221" s="2" t="n">
        <v>110</v>
      </c>
      <c r="E221" s="2" t="inlineStr">
        <is>
          <t>SKL_USDT_PERP</t>
        </is>
      </c>
      <c r="F221" s="2" t="inlineStr">
        <is>
          <t>做空</t>
        </is>
      </c>
      <c r="G221" s="17" t="n">
        <v>0.00519</v>
      </c>
      <c r="H221" s="17" t="n">
        <v>0.0049824</v>
      </c>
      <c r="I221" s="17" t="n">
        <v>0.0054495</v>
      </c>
      <c r="J221" s="17" t="n"/>
      <c r="K221" s="2" t="n"/>
      <c r="L221" s="5" t="n"/>
      <c r="M221" s="16">
        <f>資金模擬!$B$5*V220</f>
        <v/>
      </c>
      <c r="N221" s="2">
        <f>IF(Z220=1,"已停止",IF(T220&gt;=M221,"已下單","資金不足略過"))</f>
        <v/>
      </c>
      <c r="O221" s="16">
        <f>IF(N221="已下單",M221*資金模擬!$B$7,0)</f>
        <v/>
      </c>
      <c r="P221" s="4" t="n"/>
      <c r="Q221" s="10" t="n">
        <v>0</v>
      </c>
      <c r="R221" s="10">
        <f>R220+Q221</f>
        <v/>
      </c>
      <c r="S221" s="16">
        <f>S220+IF(N221="已下單",M221,0)</f>
        <v/>
      </c>
      <c r="T221" s="16">
        <f>R221-S221</f>
        <v/>
      </c>
      <c r="U221" s="2">
        <f>U220+IF(N221="已下單",1,0)</f>
        <v/>
      </c>
      <c r="V221" s="16">
        <f>IF(資金模擬!$B$9=2,MAX(R221,0),MAX(V220,FLOOR(MAX(R221,0),資金模擬!$B$6)))</f>
        <v/>
      </c>
      <c r="W221" s="10">
        <f>MAX(W220,R221)</f>
        <v/>
      </c>
      <c r="X221" s="4">
        <f>IF(W221&gt;0,R221/W221-1,-1)</f>
        <v/>
      </c>
      <c r="Y221" s="16">
        <f>IF(R221&gt;0,S221*資金模擬!$B$7/R221,0)</f>
        <v/>
      </c>
      <c r="Z221" s="2">
        <f>IF(OR(Z220=1,R221&lt;=資金模擬!$B$10),1,0)</f>
        <v/>
      </c>
    </row>
    <row r="222">
      <c r="A222" s="2" t="n">
        <v>220</v>
      </c>
      <c r="B222" s="7" t="n">
        <v>46285.25694444445</v>
      </c>
      <c r="C222" s="2" t="inlineStr">
        <is>
          <t>出場</t>
        </is>
      </c>
      <c r="D222" s="2" t="n">
        <v>110</v>
      </c>
      <c r="E222" s="2" t="inlineStr">
        <is>
          <t>SKL_USDT_PERP</t>
        </is>
      </c>
      <c r="F222" s="2" t="inlineStr">
        <is>
          <t>做空</t>
        </is>
      </c>
      <c r="G222" s="17" t="n">
        <v>0.00519</v>
      </c>
      <c r="H222" s="17" t="n">
        <v>0.0049824</v>
      </c>
      <c r="I222" s="17" t="n">
        <v>0.0054495</v>
      </c>
      <c r="J222" s="17" t="n">
        <v>0.0049824</v>
      </c>
      <c r="K222" s="2" t="inlineStr">
        <is>
          <t>止盈</t>
        </is>
      </c>
      <c r="L222" s="5">
        <f>交易明細!K111</f>
        <v/>
      </c>
      <c r="M222" s="16">
        <f>M221</f>
        <v/>
      </c>
      <c r="N222" s="2">
        <f>N221</f>
        <v/>
      </c>
      <c r="O222" s="16">
        <f>O221</f>
        <v/>
      </c>
      <c r="P222" s="4">
        <f>交易明細!L111</f>
        <v/>
      </c>
      <c r="Q222" s="10">
        <f>IF(N222="已下單",O222*P222,0)</f>
        <v/>
      </c>
      <c r="R222" s="10">
        <f>R221+Q222</f>
        <v/>
      </c>
      <c r="S222" s="16">
        <f>S221-IF(N222="已下單",M222,0)</f>
        <v/>
      </c>
      <c r="T222" s="16">
        <f>R222-S222</f>
        <v/>
      </c>
      <c r="U222" s="2">
        <f>U221-IF(N222="已下單",1,0)</f>
        <v/>
      </c>
      <c r="V222" s="16">
        <f>IF(資金模擬!$B$9=2,MAX(R222,0),MAX(V221,FLOOR(MAX(R222,0),資金模擬!$B$6)))</f>
        <v/>
      </c>
      <c r="W222" s="10">
        <f>MAX(W221,R222)</f>
        <v/>
      </c>
      <c r="X222" s="4">
        <f>IF(W222&gt;0,R222/W222-1,-1)</f>
        <v/>
      </c>
      <c r="Y222" s="16">
        <f>IF(R222&gt;0,S222*資金模擬!$B$7/R222,0)</f>
        <v/>
      </c>
      <c r="Z222" s="2">
        <f>IF(OR(Z221=1,R222&lt;=資金模擬!$B$10),1,0)</f>
        <v/>
      </c>
    </row>
    <row r="223">
      <c r="A223" s="2" t="n">
        <v>221</v>
      </c>
      <c r="B223" s="7" t="n">
        <v>46285.71527777778</v>
      </c>
      <c r="C223" s="2" t="inlineStr">
        <is>
          <t>進場</t>
        </is>
      </c>
      <c r="D223" s="2" t="n">
        <v>111</v>
      </c>
      <c r="E223" s="2" t="inlineStr">
        <is>
          <t>GUN_USDT_PERP</t>
        </is>
      </c>
      <c r="F223" s="2" t="inlineStr">
        <is>
          <t>做空</t>
        </is>
      </c>
      <c r="G223" s="17" t="n">
        <v>0.00355</v>
      </c>
      <c r="H223" s="17" t="n">
        <v>0.003408</v>
      </c>
      <c r="I223" s="17" t="n">
        <v>0.0037275</v>
      </c>
      <c r="J223" s="17" t="n"/>
      <c r="K223" s="2" t="n"/>
      <c r="L223" s="5" t="n"/>
      <c r="M223" s="16">
        <f>資金模擬!$B$5*V222</f>
        <v/>
      </c>
      <c r="N223" s="2">
        <f>IF(Z222=1,"已停止",IF(T222&gt;=M223,"已下單","資金不足略過"))</f>
        <v/>
      </c>
      <c r="O223" s="16">
        <f>IF(N223="已下單",M223*資金模擬!$B$7,0)</f>
        <v/>
      </c>
      <c r="P223" s="4" t="n"/>
      <c r="Q223" s="10" t="n">
        <v>0</v>
      </c>
      <c r="R223" s="10">
        <f>R222+Q223</f>
        <v/>
      </c>
      <c r="S223" s="16">
        <f>S222+IF(N223="已下單",M223,0)</f>
        <v/>
      </c>
      <c r="T223" s="16">
        <f>R223-S223</f>
        <v/>
      </c>
      <c r="U223" s="2">
        <f>U222+IF(N223="已下單",1,0)</f>
        <v/>
      </c>
      <c r="V223" s="16">
        <f>IF(資金模擬!$B$9=2,MAX(R223,0),MAX(V222,FLOOR(MAX(R223,0),資金模擬!$B$6)))</f>
        <v/>
      </c>
      <c r="W223" s="10">
        <f>MAX(W222,R223)</f>
        <v/>
      </c>
      <c r="X223" s="4">
        <f>IF(W223&gt;0,R223/W223-1,-1)</f>
        <v/>
      </c>
      <c r="Y223" s="16">
        <f>IF(R223&gt;0,S223*資金模擬!$B$7/R223,0)</f>
        <v/>
      </c>
      <c r="Z223" s="2">
        <f>IF(OR(Z222=1,R223&lt;=資金模擬!$B$10),1,0)</f>
        <v/>
      </c>
    </row>
    <row r="224">
      <c r="A224" s="2" t="n">
        <v>222</v>
      </c>
      <c r="B224" s="7" t="n">
        <v>46285.72222222222</v>
      </c>
      <c r="C224" s="2" t="inlineStr">
        <is>
          <t>出場</t>
        </is>
      </c>
      <c r="D224" s="2" t="n">
        <v>111</v>
      </c>
      <c r="E224" s="2" t="inlineStr">
        <is>
          <t>GUN_USDT_PERP</t>
        </is>
      </c>
      <c r="F224" s="2" t="inlineStr">
        <is>
          <t>做空</t>
        </is>
      </c>
      <c r="G224" s="17" t="n">
        <v>0.00355</v>
      </c>
      <c r="H224" s="17" t="n">
        <v>0.003408</v>
      </c>
      <c r="I224" s="17" t="n">
        <v>0.0037275</v>
      </c>
      <c r="J224" s="17" t="n">
        <v>0.0037275</v>
      </c>
      <c r="K224" s="2" t="inlineStr">
        <is>
          <t>止損</t>
        </is>
      </c>
      <c r="L224" s="5">
        <f>交易明細!K112</f>
        <v/>
      </c>
      <c r="M224" s="16">
        <f>M223</f>
        <v/>
      </c>
      <c r="N224" s="2">
        <f>N223</f>
        <v/>
      </c>
      <c r="O224" s="16">
        <f>O223</f>
        <v/>
      </c>
      <c r="P224" s="4">
        <f>交易明細!L112</f>
        <v/>
      </c>
      <c r="Q224" s="10">
        <f>IF(N224="已下單",O224*P224,0)</f>
        <v/>
      </c>
      <c r="R224" s="10">
        <f>R223+Q224</f>
        <v/>
      </c>
      <c r="S224" s="16">
        <f>S223-IF(N224="已下單",M224,0)</f>
        <v/>
      </c>
      <c r="T224" s="16">
        <f>R224-S224</f>
        <v/>
      </c>
      <c r="U224" s="2">
        <f>U223-IF(N224="已下單",1,0)</f>
        <v/>
      </c>
      <c r="V224" s="16">
        <f>IF(資金模擬!$B$9=2,MAX(R224,0),MAX(V223,FLOOR(MAX(R224,0),資金模擬!$B$6)))</f>
        <v/>
      </c>
      <c r="W224" s="10">
        <f>MAX(W223,R224)</f>
        <v/>
      </c>
      <c r="X224" s="4">
        <f>IF(W224&gt;0,R224/W224-1,-1)</f>
        <v/>
      </c>
      <c r="Y224" s="16">
        <f>IF(R224&gt;0,S224*資金模擬!$B$7/R224,0)</f>
        <v/>
      </c>
      <c r="Z224" s="2">
        <f>IF(OR(Z223=1,R224&lt;=資金模擬!$B$10),1,0)</f>
        <v/>
      </c>
    </row>
    <row r="225">
      <c r="A225" s="2" t="n">
        <v>223</v>
      </c>
      <c r="B225" s="7" t="n">
        <v>46285.77430555555</v>
      </c>
      <c r="C225" s="2" t="inlineStr">
        <is>
          <t>進場</t>
        </is>
      </c>
      <c r="D225" s="2" t="n">
        <v>112</v>
      </c>
      <c r="E225" s="2" t="inlineStr">
        <is>
          <t>BTW_USDT_PERP</t>
        </is>
      </c>
      <c r="F225" s="2" t="inlineStr">
        <is>
          <t>做空</t>
        </is>
      </c>
      <c r="G225" s="17" t="n">
        <v>0.757973</v>
      </c>
      <c r="H225" s="17" t="n">
        <v>0.72765408</v>
      </c>
      <c r="I225" s="17" t="n">
        <v>0.79587165</v>
      </c>
      <c r="J225" s="17" t="n"/>
      <c r="K225" s="2" t="n"/>
      <c r="L225" s="5" t="n"/>
      <c r="M225" s="16">
        <f>資金模擬!$B$5*V224</f>
        <v/>
      </c>
      <c r="N225" s="2">
        <f>IF(Z224=1,"已停止",IF(T224&gt;=M225,"已下單","資金不足略過"))</f>
        <v/>
      </c>
      <c r="O225" s="16">
        <f>IF(N225="已下單",M225*資金模擬!$B$7,0)</f>
        <v/>
      </c>
      <c r="P225" s="4" t="n"/>
      <c r="Q225" s="10" t="n">
        <v>0</v>
      </c>
      <c r="R225" s="10">
        <f>R224+Q225</f>
        <v/>
      </c>
      <c r="S225" s="16">
        <f>S224+IF(N225="已下單",M225,0)</f>
        <v/>
      </c>
      <c r="T225" s="16">
        <f>R225-S225</f>
        <v/>
      </c>
      <c r="U225" s="2">
        <f>U224+IF(N225="已下單",1,0)</f>
        <v/>
      </c>
      <c r="V225" s="16">
        <f>IF(資金模擬!$B$9=2,MAX(R225,0),MAX(V224,FLOOR(MAX(R225,0),資金模擬!$B$6)))</f>
        <v/>
      </c>
      <c r="W225" s="10">
        <f>MAX(W224,R225)</f>
        <v/>
      </c>
      <c r="X225" s="4">
        <f>IF(W225&gt;0,R225/W225-1,-1)</f>
        <v/>
      </c>
      <c r="Y225" s="16">
        <f>IF(R225&gt;0,S225*資金模擬!$B$7/R225,0)</f>
        <v/>
      </c>
      <c r="Z225" s="2">
        <f>IF(OR(Z224=1,R225&lt;=資金模擬!$B$10),1,0)</f>
        <v/>
      </c>
    </row>
    <row r="226">
      <c r="A226" s="2" t="n">
        <v>224</v>
      </c>
      <c r="B226" s="7" t="n">
        <v>46285.77777777778</v>
      </c>
      <c r="C226" s="2" t="inlineStr">
        <is>
          <t>出場</t>
        </is>
      </c>
      <c r="D226" s="2" t="n">
        <v>112</v>
      </c>
      <c r="E226" s="2" t="inlineStr">
        <is>
          <t>BTW_USDT_PERP</t>
        </is>
      </c>
      <c r="F226" s="2" t="inlineStr">
        <is>
          <t>做空</t>
        </is>
      </c>
      <c r="G226" s="17" t="n">
        <v>0.757973</v>
      </c>
      <c r="H226" s="17" t="n">
        <v>0.72765408</v>
      </c>
      <c r="I226" s="17" t="n">
        <v>0.79587165</v>
      </c>
      <c r="J226" s="17" t="n">
        <v>0.72765408</v>
      </c>
      <c r="K226" s="2" t="inlineStr">
        <is>
          <t>止盈</t>
        </is>
      </c>
      <c r="L226" s="5">
        <f>交易明細!K113</f>
        <v/>
      </c>
      <c r="M226" s="16">
        <f>M225</f>
        <v/>
      </c>
      <c r="N226" s="2">
        <f>N225</f>
        <v/>
      </c>
      <c r="O226" s="16">
        <f>O225</f>
        <v/>
      </c>
      <c r="P226" s="4">
        <f>交易明細!L113</f>
        <v/>
      </c>
      <c r="Q226" s="10">
        <f>IF(N226="已下單",O226*P226,0)</f>
        <v/>
      </c>
      <c r="R226" s="10">
        <f>R225+Q226</f>
        <v/>
      </c>
      <c r="S226" s="16">
        <f>S225-IF(N226="已下單",M226,0)</f>
        <v/>
      </c>
      <c r="T226" s="16">
        <f>R226-S226</f>
        <v/>
      </c>
      <c r="U226" s="2">
        <f>U225-IF(N226="已下單",1,0)</f>
        <v/>
      </c>
      <c r="V226" s="16">
        <f>IF(資金模擬!$B$9=2,MAX(R226,0),MAX(V225,FLOOR(MAX(R226,0),資金模擬!$B$6)))</f>
        <v/>
      </c>
      <c r="W226" s="10">
        <f>MAX(W225,R226)</f>
        <v/>
      </c>
      <c r="X226" s="4">
        <f>IF(W226&gt;0,R226/W226-1,-1)</f>
        <v/>
      </c>
      <c r="Y226" s="16">
        <f>IF(R226&gt;0,S226*資金模擬!$B$7/R226,0)</f>
        <v/>
      </c>
      <c r="Z226" s="2">
        <f>IF(OR(Z225=1,R226&lt;=資金模擬!$B$10),1,0)</f>
        <v/>
      </c>
    </row>
    <row r="227">
      <c r="A227" s="2" t="n">
        <v>225</v>
      </c>
      <c r="B227" s="7" t="n">
        <v>46285.79861111111</v>
      </c>
      <c r="C227" s="2" t="inlineStr">
        <is>
          <t>進場</t>
        </is>
      </c>
      <c r="D227" s="2" t="n">
        <v>113</v>
      </c>
      <c r="E227" s="2" t="inlineStr">
        <is>
          <t>ENSO_USDT_PERP</t>
        </is>
      </c>
      <c r="F227" s="2" t="inlineStr">
        <is>
          <t>做空</t>
        </is>
      </c>
      <c r="G227" s="17" t="n">
        <v>1.0558</v>
      </c>
      <c r="H227" s="17" t="n">
        <v>1.013568</v>
      </c>
      <c r="I227" s="17" t="n">
        <v>1.10859</v>
      </c>
      <c r="J227" s="17" t="n"/>
      <c r="K227" s="2" t="n"/>
      <c r="L227" s="5" t="n"/>
      <c r="M227" s="16">
        <f>資金模擬!$B$5*V226</f>
        <v/>
      </c>
      <c r="N227" s="2">
        <f>IF(Z226=1,"已停止",IF(T226&gt;=M227,"已下單","資金不足略過"))</f>
        <v/>
      </c>
      <c r="O227" s="16">
        <f>IF(N227="已下單",M227*資金模擬!$B$7,0)</f>
        <v/>
      </c>
      <c r="P227" s="4" t="n"/>
      <c r="Q227" s="10" t="n">
        <v>0</v>
      </c>
      <c r="R227" s="10">
        <f>R226+Q227</f>
        <v/>
      </c>
      <c r="S227" s="16">
        <f>S226+IF(N227="已下單",M227,0)</f>
        <v/>
      </c>
      <c r="T227" s="16">
        <f>R227-S227</f>
        <v/>
      </c>
      <c r="U227" s="2">
        <f>U226+IF(N227="已下單",1,0)</f>
        <v/>
      </c>
      <c r="V227" s="16">
        <f>IF(資金模擬!$B$9=2,MAX(R227,0),MAX(V226,FLOOR(MAX(R227,0),資金模擬!$B$6)))</f>
        <v/>
      </c>
      <c r="W227" s="10">
        <f>MAX(W226,R227)</f>
        <v/>
      </c>
      <c r="X227" s="4">
        <f>IF(W227&gt;0,R227/W227-1,-1)</f>
        <v/>
      </c>
      <c r="Y227" s="16">
        <f>IF(R227&gt;0,S227*資金模擬!$B$7/R227,0)</f>
        <v/>
      </c>
      <c r="Z227" s="2">
        <f>IF(OR(Z226=1,R227&lt;=資金模擬!$B$10),1,0)</f>
        <v/>
      </c>
    </row>
    <row r="228">
      <c r="A228" s="2" t="n">
        <v>226</v>
      </c>
      <c r="B228" s="7" t="n">
        <v>46285.82986111111</v>
      </c>
      <c r="C228" s="2" t="inlineStr">
        <is>
          <t>進場</t>
        </is>
      </c>
      <c r="D228" s="2" t="n">
        <v>114</v>
      </c>
      <c r="E228" s="2" t="inlineStr">
        <is>
          <t>PTB_USDT_PERP</t>
        </is>
      </c>
      <c r="F228" s="2" t="inlineStr">
        <is>
          <t>做空</t>
        </is>
      </c>
      <c r="G228" s="17" t="n">
        <v>0.000852</v>
      </c>
      <c r="H228" s="17" t="n">
        <v>0.00081792</v>
      </c>
      <c r="I228" s="17" t="n">
        <v>0.0008946000000000001</v>
      </c>
      <c r="J228" s="17" t="n"/>
      <c r="K228" s="2" t="n"/>
      <c r="L228" s="5" t="n"/>
      <c r="M228" s="16">
        <f>資金模擬!$B$5*V227</f>
        <v/>
      </c>
      <c r="N228" s="2">
        <f>IF(Z227=1,"已停止",IF(T227&gt;=M228,"已下單","資金不足略過"))</f>
        <v/>
      </c>
      <c r="O228" s="16">
        <f>IF(N228="已下單",M228*資金模擬!$B$7,0)</f>
        <v/>
      </c>
      <c r="P228" s="4" t="n"/>
      <c r="Q228" s="10" t="n">
        <v>0</v>
      </c>
      <c r="R228" s="10">
        <f>R227+Q228</f>
        <v/>
      </c>
      <c r="S228" s="16">
        <f>S227+IF(N228="已下單",M228,0)</f>
        <v/>
      </c>
      <c r="T228" s="16">
        <f>R228-S228</f>
        <v/>
      </c>
      <c r="U228" s="2">
        <f>U227+IF(N228="已下單",1,0)</f>
        <v/>
      </c>
      <c r="V228" s="16">
        <f>IF(資金模擬!$B$9=2,MAX(R228,0),MAX(V227,FLOOR(MAX(R228,0),資金模擬!$B$6)))</f>
        <v/>
      </c>
      <c r="W228" s="10">
        <f>MAX(W227,R228)</f>
        <v/>
      </c>
      <c r="X228" s="4">
        <f>IF(W228&gt;0,R228/W228-1,-1)</f>
        <v/>
      </c>
      <c r="Y228" s="16">
        <f>IF(R228&gt;0,S228*資金模擬!$B$7/R228,0)</f>
        <v/>
      </c>
      <c r="Z228" s="2">
        <f>IF(OR(Z227=1,R228&lt;=資金模擬!$B$10),1,0)</f>
        <v/>
      </c>
    </row>
    <row r="229">
      <c r="A229" s="2" t="n">
        <v>227</v>
      </c>
      <c r="B229" s="7" t="n">
        <v>46285.83680555555</v>
      </c>
      <c r="C229" s="2" t="inlineStr">
        <is>
          <t>出場</t>
        </is>
      </c>
      <c r="D229" s="2" t="n">
        <v>114</v>
      </c>
      <c r="E229" s="2" t="inlineStr">
        <is>
          <t>PTB_USDT_PERP</t>
        </is>
      </c>
      <c r="F229" s="2" t="inlineStr">
        <is>
          <t>做空</t>
        </is>
      </c>
      <c r="G229" s="17" t="n">
        <v>0.000852</v>
      </c>
      <c r="H229" s="17" t="n">
        <v>0.00081792</v>
      </c>
      <c r="I229" s="17" t="n">
        <v>0.0008946000000000001</v>
      </c>
      <c r="J229" s="17" t="n">
        <v>0.00081792</v>
      </c>
      <c r="K229" s="2" t="inlineStr">
        <is>
          <t>止盈</t>
        </is>
      </c>
      <c r="L229" s="5">
        <f>交易明細!K115</f>
        <v/>
      </c>
      <c r="M229" s="16">
        <f>M228</f>
        <v/>
      </c>
      <c r="N229" s="2">
        <f>N228</f>
        <v/>
      </c>
      <c r="O229" s="16">
        <f>O228</f>
        <v/>
      </c>
      <c r="P229" s="4">
        <f>交易明細!L115</f>
        <v/>
      </c>
      <c r="Q229" s="10">
        <f>IF(N229="已下單",O229*P229,0)</f>
        <v/>
      </c>
      <c r="R229" s="10">
        <f>R228+Q229</f>
        <v/>
      </c>
      <c r="S229" s="16">
        <f>S228-IF(N229="已下單",M229,0)</f>
        <v/>
      </c>
      <c r="T229" s="16">
        <f>R229-S229</f>
        <v/>
      </c>
      <c r="U229" s="2">
        <f>U228-IF(N229="已下單",1,0)</f>
        <v/>
      </c>
      <c r="V229" s="16">
        <f>IF(資金模擬!$B$9=2,MAX(R229,0),MAX(V228,FLOOR(MAX(R229,0),資金模擬!$B$6)))</f>
        <v/>
      </c>
      <c r="W229" s="10">
        <f>MAX(W228,R229)</f>
        <v/>
      </c>
      <c r="X229" s="4">
        <f>IF(W229&gt;0,R229/W229-1,-1)</f>
        <v/>
      </c>
      <c r="Y229" s="16">
        <f>IF(R229&gt;0,S229*資金模擬!$B$7/R229,0)</f>
        <v/>
      </c>
      <c r="Z229" s="2">
        <f>IF(OR(Z228=1,R229&lt;=資金模擬!$B$10),1,0)</f>
        <v/>
      </c>
    </row>
    <row r="230">
      <c r="A230" s="2" t="n">
        <v>228</v>
      </c>
      <c r="B230" s="7" t="n">
        <v>46285.84375</v>
      </c>
      <c r="C230" s="2" t="inlineStr">
        <is>
          <t>出場</t>
        </is>
      </c>
      <c r="D230" s="2" t="n">
        <v>113</v>
      </c>
      <c r="E230" s="2" t="inlineStr">
        <is>
          <t>ENSO_USDT_PERP</t>
        </is>
      </c>
      <c r="F230" s="2" t="inlineStr">
        <is>
          <t>做空</t>
        </is>
      </c>
      <c r="G230" s="17" t="n">
        <v>1.0558</v>
      </c>
      <c r="H230" s="17" t="n">
        <v>1.013568</v>
      </c>
      <c r="I230" s="17" t="n">
        <v>1.10859</v>
      </c>
      <c r="J230" s="17" t="n">
        <v>1.10859</v>
      </c>
      <c r="K230" s="2" t="inlineStr">
        <is>
          <t>止損</t>
        </is>
      </c>
      <c r="L230" s="5">
        <f>交易明細!K114</f>
        <v/>
      </c>
      <c r="M230" s="16">
        <f>M227</f>
        <v/>
      </c>
      <c r="N230" s="2">
        <f>N227</f>
        <v/>
      </c>
      <c r="O230" s="16">
        <f>O227</f>
        <v/>
      </c>
      <c r="P230" s="4">
        <f>交易明細!L114</f>
        <v/>
      </c>
      <c r="Q230" s="10">
        <f>IF(N230="已下單",O230*P230,0)</f>
        <v/>
      </c>
      <c r="R230" s="10">
        <f>R229+Q230</f>
        <v/>
      </c>
      <c r="S230" s="16">
        <f>S229-IF(N230="已下單",M230,0)</f>
        <v/>
      </c>
      <c r="T230" s="16">
        <f>R230-S230</f>
        <v/>
      </c>
      <c r="U230" s="2">
        <f>U229-IF(N230="已下單",1,0)</f>
        <v/>
      </c>
      <c r="V230" s="16">
        <f>IF(資金模擬!$B$9=2,MAX(R230,0),MAX(V229,FLOOR(MAX(R230,0),資金模擬!$B$6)))</f>
        <v/>
      </c>
      <c r="W230" s="10">
        <f>MAX(W229,R230)</f>
        <v/>
      </c>
      <c r="X230" s="4">
        <f>IF(W230&gt;0,R230/W230-1,-1)</f>
        <v/>
      </c>
      <c r="Y230" s="16">
        <f>IF(R230&gt;0,S230*資金模擬!$B$7/R230,0)</f>
        <v/>
      </c>
      <c r="Z230" s="2">
        <f>IF(OR(Z229=1,R230&lt;=資金模擬!$B$10),1,0)</f>
        <v/>
      </c>
    </row>
    <row r="231">
      <c r="A231" s="2" t="n">
        <v>229</v>
      </c>
      <c r="B231" s="7" t="n">
        <v>46286.01041666666</v>
      </c>
      <c r="C231" s="2" t="inlineStr">
        <is>
          <t>進場</t>
        </is>
      </c>
      <c r="D231" s="2" t="n">
        <v>115</v>
      </c>
      <c r="E231" s="2" t="inlineStr">
        <is>
          <t>LUNA2_USDT_PERP</t>
        </is>
      </c>
      <c r="F231" s="2" t="inlineStr">
        <is>
          <t>做空</t>
        </is>
      </c>
      <c r="G231" s="17" t="n">
        <v>0.05456</v>
      </c>
      <c r="H231" s="17" t="n">
        <v>0.0523776</v>
      </c>
      <c r="I231" s="17" t="n">
        <v>0.057288</v>
      </c>
      <c r="J231" s="17" t="n"/>
      <c r="K231" s="2" t="n"/>
      <c r="L231" s="5" t="n"/>
      <c r="M231" s="16">
        <f>資金模擬!$B$5*V230</f>
        <v/>
      </c>
      <c r="N231" s="2">
        <f>IF(Z230=1,"已停止",IF(T230&gt;=M231,"已下單","資金不足略過"))</f>
        <v/>
      </c>
      <c r="O231" s="16">
        <f>IF(N231="已下單",M231*資金模擬!$B$7,0)</f>
        <v/>
      </c>
      <c r="P231" s="4" t="n"/>
      <c r="Q231" s="10" t="n">
        <v>0</v>
      </c>
      <c r="R231" s="10">
        <f>R230+Q231</f>
        <v/>
      </c>
      <c r="S231" s="16">
        <f>S230+IF(N231="已下單",M231,0)</f>
        <v/>
      </c>
      <c r="T231" s="16">
        <f>R231-S231</f>
        <v/>
      </c>
      <c r="U231" s="2">
        <f>U230+IF(N231="已下單",1,0)</f>
        <v/>
      </c>
      <c r="V231" s="16">
        <f>IF(資金模擬!$B$9=2,MAX(R231,0),MAX(V230,FLOOR(MAX(R231,0),資金模擬!$B$6)))</f>
        <v/>
      </c>
      <c r="W231" s="10">
        <f>MAX(W230,R231)</f>
        <v/>
      </c>
      <c r="X231" s="4">
        <f>IF(W231&gt;0,R231/W231-1,-1)</f>
        <v/>
      </c>
      <c r="Y231" s="16">
        <f>IF(R231&gt;0,S231*資金模擬!$B$7/R231,0)</f>
        <v/>
      </c>
      <c r="Z231" s="2">
        <f>IF(OR(Z230=1,R231&lt;=資金模擬!$B$10),1,0)</f>
        <v/>
      </c>
    </row>
    <row r="232">
      <c r="A232" s="2" t="n">
        <v>230</v>
      </c>
      <c r="B232" s="7" t="n">
        <v>46286.01736111111</v>
      </c>
      <c r="C232" s="2" t="inlineStr">
        <is>
          <t>出場</t>
        </is>
      </c>
      <c r="D232" s="2" t="n">
        <v>115</v>
      </c>
      <c r="E232" s="2" t="inlineStr">
        <is>
          <t>LUNA2_USDT_PERP</t>
        </is>
      </c>
      <c r="F232" s="2" t="inlineStr">
        <is>
          <t>做空</t>
        </is>
      </c>
      <c r="G232" s="17" t="n">
        <v>0.05456</v>
      </c>
      <c r="H232" s="17" t="n">
        <v>0.0523776</v>
      </c>
      <c r="I232" s="17" t="n">
        <v>0.057288</v>
      </c>
      <c r="J232" s="17" t="n">
        <v>0.057288</v>
      </c>
      <c r="K232" s="2" t="inlineStr">
        <is>
          <t>止損</t>
        </is>
      </c>
      <c r="L232" s="5">
        <f>交易明細!K116</f>
        <v/>
      </c>
      <c r="M232" s="16">
        <f>M231</f>
        <v/>
      </c>
      <c r="N232" s="2">
        <f>N231</f>
        <v/>
      </c>
      <c r="O232" s="16">
        <f>O231</f>
        <v/>
      </c>
      <c r="P232" s="4">
        <f>交易明細!L116</f>
        <v/>
      </c>
      <c r="Q232" s="10">
        <f>IF(N232="已下單",O232*P232,0)</f>
        <v/>
      </c>
      <c r="R232" s="10">
        <f>R231+Q232</f>
        <v/>
      </c>
      <c r="S232" s="16">
        <f>S231-IF(N232="已下單",M232,0)</f>
        <v/>
      </c>
      <c r="T232" s="16">
        <f>R232-S232</f>
        <v/>
      </c>
      <c r="U232" s="2">
        <f>U231-IF(N232="已下單",1,0)</f>
        <v/>
      </c>
      <c r="V232" s="16">
        <f>IF(資金模擬!$B$9=2,MAX(R232,0),MAX(V231,FLOOR(MAX(R232,0),資金模擬!$B$6)))</f>
        <v/>
      </c>
      <c r="W232" s="10">
        <f>MAX(W231,R232)</f>
        <v/>
      </c>
      <c r="X232" s="4">
        <f>IF(W232&gt;0,R232/W232-1,-1)</f>
        <v/>
      </c>
      <c r="Y232" s="16">
        <f>IF(R232&gt;0,S232*資金模擬!$B$7/R232,0)</f>
        <v/>
      </c>
      <c r="Z232" s="2">
        <f>IF(OR(Z231=1,R232&lt;=資金模擬!$B$10),1,0)</f>
        <v/>
      </c>
    </row>
    <row r="233">
      <c r="A233" s="2" t="n">
        <v>231</v>
      </c>
      <c r="B233" s="7" t="n">
        <v>46286.05902777778</v>
      </c>
      <c r="C233" s="2" t="inlineStr">
        <is>
          <t>進場</t>
        </is>
      </c>
      <c r="D233" s="2" t="n">
        <v>116</v>
      </c>
      <c r="E233" s="2" t="inlineStr">
        <is>
          <t>KMNO_USDT_PERP</t>
        </is>
      </c>
      <c r="F233" s="2" t="inlineStr">
        <is>
          <t>做空</t>
        </is>
      </c>
      <c r="G233" s="17" t="n">
        <v>0.03203</v>
      </c>
      <c r="H233" s="17" t="n">
        <v>0.0307488</v>
      </c>
      <c r="I233" s="17" t="n">
        <v>0.0336315</v>
      </c>
      <c r="J233" s="17" t="n"/>
      <c r="K233" s="2" t="n"/>
      <c r="L233" s="5" t="n"/>
      <c r="M233" s="16">
        <f>資金模擬!$B$5*V232</f>
        <v/>
      </c>
      <c r="N233" s="2">
        <f>IF(Z232=1,"已停止",IF(T232&gt;=M233,"已下單","資金不足略過"))</f>
        <v/>
      </c>
      <c r="O233" s="16">
        <f>IF(N233="已下單",M233*資金模擬!$B$7,0)</f>
        <v/>
      </c>
      <c r="P233" s="4" t="n"/>
      <c r="Q233" s="10" t="n">
        <v>0</v>
      </c>
      <c r="R233" s="10">
        <f>R232+Q233</f>
        <v/>
      </c>
      <c r="S233" s="16">
        <f>S232+IF(N233="已下單",M233,0)</f>
        <v/>
      </c>
      <c r="T233" s="16">
        <f>R233-S233</f>
        <v/>
      </c>
      <c r="U233" s="2">
        <f>U232+IF(N233="已下單",1,0)</f>
        <v/>
      </c>
      <c r="V233" s="16">
        <f>IF(資金模擬!$B$9=2,MAX(R233,0),MAX(V232,FLOOR(MAX(R233,0),資金模擬!$B$6)))</f>
        <v/>
      </c>
      <c r="W233" s="10">
        <f>MAX(W232,R233)</f>
        <v/>
      </c>
      <c r="X233" s="4">
        <f>IF(W233&gt;0,R233/W233-1,-1)</f>
        <v/>
      </c>
      <c r="Y233" s="16">
        <f>IF(R233&gt;0,S233*資金模擬!$B$7/R233,0)</f>
        <v/>
      </c>
      <c r="Z233" s="2">
        <f>IF(OR(Z232=1,R233&lt;=資金模擬!$B$10),1,0)</f>
        <v/>
      </c>
    </row>
    <row r="234">
      <c r="A234" s="2" t="n">
        <v>232</v>
      </c>
      <c r="B234" s="7" t="n">
        <v>46286.06944444445</v>
      </c>
      <c r="C234" s="2" t="inlineStr">
        <is>
          <t>進場</t>
        </is>
      </c>
      <c r="D234" s="2" t="n">
        <v>117</v>
      </c>
      <c r="E234" s="2" t="inlineStr">
        <is>
          <t>PTB_USDT_PERP</t>
        </is>
      </c>
      <c r="F234" s="2" t="inlineStr">
        <is>
          <t>做空</t>
        </is>
      </c>
      <c r="G234" s="17" t="n">
        <v>0.0009479999999999999</v>
      </c>
      <c r="H234" s="17" t="n">
        <v>0.00091008</v>
      </c>
      <c r="I234" s="17" t="n">
        <v>0.0009954</v>
      </c>
      <c r="J234" s="17" t="n"/>
      <c r="K234" s="2" t="n"/>
      <c r="L234" s="5" t="n"/>
      <c r="M234" s="16">
        <f>資金模擬!$B$5*V233</f>
        <v/>
      </c>
      <c r="N234" s="2">
        <f>IF(Z233=1,"已停止",IF(T233&gt;=M234,"已下單","資金不足略過"))</f>
        <v/>
      </c>
      <c r="O234" s="16">
        <f>IF(N234="已下單",M234*資金模擬!$B$7,0)</f>
        <v/>
      </c>
      <c r="P234" s="4" t="n"/>
      <c r="Q234" s="10" t="n">
        <v>0</v>
      </c>
      <c r="R234" s="10">
        <f>R233+Q234</f>
        <v/>
      </c>
      <c r="S234" s="16">
        <f>S233+IF(N234="已下單",M234,0)</f>
        <v/>
      </c>
      <c r="T234" s="16">
        <f>R234-S234</f>
        <v/>
      </c>
      <c r="U234" s="2">
        <f>U233+IF(N234="已下單",1,0)</f>
        <v/>
      </c>
      <c r="V234" s="16">
        <f>IF(資金模擬!$B$9=2,MAX(R234,0),MAX(V233,FLOOR(MAX(R234,0),資金模擬!$B$6)))</f>
        <v/>
      </c>
      <c r="W234" s="10">
        <f>MAX(W233,R234)</f>
        <v/>
      </c>
      <c r="X234" s="4">
        <f>IF(W234&gt;0,R234/W234-1,-1)</f>
        <v/>
      </c>
      <c r="Y234" s="16">
        <f>IF(R234&gt;0,S234*資金模擬!$B$7/R234,0)</f>
        <v/>
      </c>
      <c r="Z234" s="2">
        <f>IF(OR(Z233=1,R234&lt;=資金模擬!$B$10),1,0)</f>
        <v/>
      </c>
    </row>
    <row r="235">
      <c r="A235" s="2" t="n">
        <v>233</v>
      </c>
      <c r="B235" s="7" t="n">
        <v>46286.10069444445</v>
      </c>
      <c r="C235" s="2" t="inlineStr">
        <is>
          <t>出場</t>
        </is>
      </c>
      <c r="D235" s="2" t="n">
        <v>117</v>
      </c>
      <c r="E235" s="2" t="inlineStr">
        <is>
          <t>PTB_USDT_PERP</t>
        </is>
      </c>
      <c r="F235" s="2" t="inlineStr">
        <is>
          <t>做空</t>
        </is>
      </c>
      <c r="G235" s="17" t="n">
        <v>0.0009479999999999999</v>
      </c>
      <c r="H235" s="17" t="n">
        <v>0.00091008</v>
      </c>
      <c r="I235" s="17" t="n">
        <v>0.0009954</v>
      </c>
      <c r="J235" s="17" t="n">
        <v>0.00091008</v>
      </c>
      <c r="K235" s="2" t="inlineStr">
        <is>
          <t>止盈</t>
        </is>
      </c>
      <c r="L235" s="5">
        <f>交易明細!K118</f>
        <v/>
      </c>
      <c r="M235" s="16">
        <f>M234</f>
        <v/>
      </c>
      <c r="N235" s="2">
        <f>N234</f>
        <v/>
      </c>
      <c r="O235" s="16">
        <f>O234</f>
        <v/>
      </c>
      <c r="P235" s="4">
        <f>交易明細!L118</f>
        <v/>
      </c>
      <c r="Q235" s="10">
        <f>IF(N235="已下單",O235*P235,0)</f>
        <v/>
      </c>
      <c r="R235" s="10">
        <f>R234+Q235</f>
        <v/>
      </c>
      <c r="S235" s="16">
        <f>S234-IF(N235="已下單",M235,0)</f>
        <v/>
      </c>
      <c r="T235" s="16">
        <f>R235-S235</f>
        <v/>
      </c>
      <c r="U235" s="2">
        <f>U234-IF(N235="已下單",1,0)</f>
        <v/>
      </c>
      <c r="V235" s="16">
        <f>IF(資金模擬!$B$9=2,MAX(R235,0),MAX(V234,FLOOR(MAX(R235,0),資金模擬!$B$6)))</f>
        <v/>
      </c>
      <c r="W235" s="10">
        <f>MAX(W234,R235)</f>
        <v/>
      </c>
      <c r="X235" s="4">
        <f>IF(W235&gt;0,R235/W235-1,-1)</f>
        <v/>
      </c>
      <c r="Y235" s="16">
        <f>IF(R235&gt;0,S235*資金模擬!$B$7/R235,0)</f>
        <v/>
      </c>
      <c r="Z235" s="2">
        <f>IF(OR(Z234=1,R235&lt;=資金模擬!$B$10),1,0)</f>
        <v/>
      </c>
    </row>
    <row r="236">
      <c r="A236" s="2" t="n">
        <v>234</v>
      </c>
      <c r="B236" s="7" t="n">
        <v>46286.13194444445</v>
      </c>
      <c r="C236" s="2" t="inlineStr">
        <is>
          <t>進場</t>
        </is>
      </c>
      <c r="D236" s="2" t="n">
        <v>118</v>
      </c>
      <c r="E236" s="2" t="inlineStr">
        <is>
          <t>NIL_USDT_PERP</t>
        </is>
      </c>
      <c r="F236" s="2" t="inlineStr">
        <is>
          <t>做空</t>
        </is>
      </c>
      <c r="G236" s="17" t="n">
        <v>0.05927</v>
      </c>
      <c r="H236" s="17" t="n">
        <v>0.0568992</v>
      </c>
      <c r="I236" s="17" t="n">
        <v>0.0622335</v>
      </c>
      <c r="J236" s="17" t="n"/>
      <c r="K236" s="2" t="n"/>
      <c r="L236" s="5" t="n"/>
      <c r="M236" s="16">
        <f>資金模擬!$B$5*V235</f>
        <v/>
      </c>
      <c r="N236" s="2">
        <f>IF(Z235=1,"已停止",IF(T235&gt;=M236,"已下單","資金不足略過"))</f>
        <v/>
      </c>
      <c r="O236" s="16">
        <f>IF(N236="已下單",M236*資金模擬!$B$7,0)</f>
        <v/>
      </c>
      <c r="P236" s="4" t="n"/>
      <c r="Q236" s="10" t="n">
        <v>0</v>
      </c>
      <c r="R236" s="10">
        <f>R235+Q236</f>
        <v/>
      </c>
      <c r="S236" s="16">
        <f>S235+IF(N236="已下單",M236,0)</f>
        <v/>
      </c>
      <c r="T236" s="16">
        <f>R236-S236</f>
        <v/>
      </c>
      <c r="U236" s="2">
        <f>U235+IF(N236="已下單",1,0)</f>
        <v/>
      </c>
      <c r="V236" s="16">
        <f>IF(資金模擬!$B$9=2,MAX(R236,0),MAX(V235,FLOOR(MAX(R236,0),資金模擬!$B$6)))</f>
        <v/>
      </c>
      <c r="W236" s="10">
        <f>MAX(W235,R236)</f>
        <v/>
      </c>
      <c r="X236" s="4">
        <f>IF(W236&gt;0,R236/W236-1,-1)</f>
        <v/>
      </c>
      <c r="Y236" s="16">
        <f>IF(R236&gt;0,S236*資金模擬!$B$7/R236,0)</f>
        <v/>
      </c>
      <c r="Z236" s="2">
        <f>IF(OR(Z235=1,R236&lt;=資金模擬!$B$10),1,0)</f>
        <v/>
      </c>
    </row>
    <row r="237">
      <c r="A237" s="2" t="n">
        <v>235</v>
      </c>
      <c r="B237" s="7" t="n">
        <v>46286.18402777778</v>
      </c>
      <c r="C237" s="2" t="inlineStr">
        <is>
          <t>出場</t>
        </is>
      </c>
      <c r="D237" s="2" t="n">
        <v>118</v>
      </c>
      <c r="E237" s="2" t="inlineStr">
        <is>
          <t>NIL_USDT_PERP</t>
        </is>
      </c>
      <c r="F237" s="2" t="inlineStr">
        <is>
          <t>做空</t>
        </is>
      </c>
      <c r="G237" s="17" t="n">
        <v>0.05927</v>
      </c>
      <c r="H237" s="17" t="n">
        <v>0.0568992</v>
      </c>
      <c r="I237" s="17" t="n">
        <v>0.0622335</v>
      </c>
      <c r="J237" s="17" t="n">
        <v>0.0622335</v>
      </c>
      <c r="K237" s="2" t="inlineStr">
        <is>
          <t>止損</t>
        </is>
      </c>
      <c r="L237" s="5">
        <f>交易明細!K119</f>
        <v/>
      </c>
      <c r="M237" s="16">
        <f>M236</f>
        <v/>
      </c>
      <c r="N237" s="2">
        <f>N236</f>
        <v/>
      </c>
      <c r="O237" s="16">
        <f>O236</f>
        <v/>
      </c>
      <c r="P237" s="4">
        <f>交易明細!L119</f>
        <v/>
      </c>
      <c r="Q237" s="10">
        <f>IF(N237="已下單",O237*P237,0)</f>
        <v/>
      </c>
      <c r="R237" s="10">
        <f>R236+Q237</f>
        <v/>
      </c>
      <c r="S237" s="16">
        <f>S236-IF(N237="已下單",M237,0)</f>
        <v/>
      </c>
      <c r="T237" s="16">
        <f>R237-S237</f>
        <v/>
      </c>
      <c r="U237" s="2">
        <f>U236-IF(N237="已下單",1,0)</f>
        <v/>
      </c>
      <c r="V237" s="16">
        <f>IF(資金模擬!$B$9=2,MAX(R237,0),MAX(V236,FLOOR(MAX(R237,0),資金模擬!$B$6)))</f>
        <v/>
      </c>
      <c r="W237" s="10">
        <f>MAX(W236,R237)</f>
        <v/>
      </c>
      <c r="X237" s="4">
        <f>IF(W237&gt;0,R237/W237-1,-1)</f>
        <v/>
      </c>
      <c r="Y237" s="16">
        <f>IF(R237&gt;0,S237*資金模擬!$B$7/R237,0)</f>
        <v/>
      </c>
      <c r="Z237" s="2">
        <f>IF(OR(Z236=1,R237&lt;=資金模擬!$B$10),1,0)</f>
        <v/>
      </c>
    </row>
    <row r="238">
      <c r="A238" s="2" t="n">
        <v>236</v>
      </c>
      <c r="B238" s="7" t="n">
        <v>46286.31597222222</v>
      </c>
      <c r="C238" s="2" t="inlineStr">
        <is>
          <t>出場</t>
        </is>
      </c>
      <c r="D238" s="2" t="n">
        <v>116</v>
      </c>
      <c r="E238" s="2" t="inlineStr">
        <is>
          <t>KMNO_USDT_PERP</t>
        </is>
      </c>
      <c r="F238" s="2" t="inlineStr">
        <is>
          <t>做空</t>
        </is>
      </c>
      <c r="G238" s="17" t="n">
        <v>0.03203</v>
      </c>
      <c r="H238" s="17" t="n">
        <v>0.0307488</v>
      </c>
      <c r="I238" s="17" t="n">
        <v>0.0336315</v>
      </c>
      <c r="J238" s="17" t="n">
        <v>0.0336315</v>
      </c>
      <c r="K238" s="2" t="inlineStr">
        <is>
          <t>止損</t>
        </is>
      </c>
      <c r="L238" s="5">
        <f>交易明細!K117</f>
        <v/>
      </c>
      <c r="M238" s="16">
        <f>M233</f>
        <v/>
      </c>
      <c r="N238" s="2">
        <f>N233</f>
        <v/>
      </c>
      <c r="O238" s="16">
        <f>O233</f>
        <v/>
      </c>
      <c r="P238" s="4">
        <f>交易明細!L117</f>
        <v/>
      </c>
      <c r="Q238" s="10">
        <f>IF(N238="已下單",O238*P238,0)</f>
        <v/>
      </c>
      <c r="R238" s="10">
        <f>R237+Q238</f>
        <v/>
      </c>
      <c r="S238" s="16">
        <f>S237-IF(N238="已下單",M238,0)</f>
        <v/>
      </c>
      <c r="T238" s="16">
        <f>R238-S238</f>
        <v/>
      </c>
      <c r="U238" s="2">
        <f>U237-IF(N238="已下單",1,0)</f>
        <v/>
      </c>
      <c r="V238" s="16">
        <f>IF(資金模擬!$B$9=2,MAX(R238,0),MAX(V237,FLOOR(MAX(R238,0),資金模擬!$B$6)))</f>
        <v/>
      </c>
      <c r="W238" s="10">
        <f>MAX(W237,R238)</f>
        <v/>
      </c>
      <c r="X238" s="4">
        <f>IF(W238&gt;0,R238/W238-1,-1)</f>
        <v/>
      </c>
      <c r="Y238" s="16">
        <f>IF(R238&gt;0,S238*資金模擬!$B$7/R238,0)</f>
        <v/>
      </c>
      <c r="Z238" s="2">
        <f>IF(OR(Z237=1,R238&lt;=資金模擬!$B$10),1,0)</f>
        <v/>
      </c>
    </row>
    <row r="239">
      <c r="A239" s="2" t="n">
        <v>237</v>
      </c>
      <c r="B239" s="7" t="n">
        <v>46286.50694444445</v>
      </c>
      <c r="C239" s="2" t="inlineStr">
        <is>
          <t>進場</t>
        </is>
      </c>
      <c r="D239" s="2" t="n">
        <v>119</v>
      </c>
      <c r="E239" s="2" t="inlineStr">
        <is>
          <t>ZETA_USDT_PERP</t>
        </is>
      </c>
      <c r="F239" s="2" t="inlineStr">
        <is>
          <t>做空</t>
        </is>
      </c>
      <c r="G239" s="17" t="n">
        <v>0.0644</v>
      </c>
      <c r="H239" s="17" t="n">
        <v>0.061824</v>
      </c>
      <c r="I239" s="17" t="n">
        <v>0.06762</v>
      </c>
      <c r="J239" s="17" t="n"/>
      <c r="K239" s="2" t="n"/>
      <c r="L239" s="5" t="n"/>
      <c r="M239" s="16">
        <f>資金模擬!$B$5*V238</f>
        <v/>
      </c>
      <c r="N239" s="2">
        <f>IF(Z238=1,"已停止",IF(T238&gt;=M239,"已下單","資金不足略過"))</f>
        <v/>
      </c>
      <c r="O239" s="16">
        <f>IF(N239="已下單",M239*資金模擬!$B$7,0)</f>
        <v/>
      </c>
      <c r="P239" s="4" t="n"/>
      <c r="Q239" s="10" t="n">
        <v>0</v>
      </c>
      <c r="R239" s="10">
        <f>R238+Q239</f>
        <v/>
      </c>
      <c r="S239" s="16">
        <f>S238+IF(N239="已下單",M239,0)</f>
        <v/>
      </c>
      <c r="T239" s="16">
        <f>R239-S239</f>
        <v/>
      </c>
      <c r="U239" s="2">
        <f>U238+IF(N239="已下單",1,0)</f>
        <v/>
      </c>
      <c r="V239" s="16">
        <f>IF(資金模擬!$B$9=2,MAX(R239,0),MAX(V238,FLOOR(MAX(R239,0),資金模擬!$B$6)))</f>
        <v/>
      </c>
      <c r="W239" s="10">
        <f>MAX(W238,R239)</f>
        <v/>
      </c>
      <c r="X239" s="4">
        <f>IF(W239&gt;0,R239/W239-1,-1)</f>
        <v/>
      </c>
      <c r="Y239" s="16">
        <f>IF(R239&gt;0,S239*資金模擬!$B$7/R239,0)</f>
        <v/>
      </c>
      <c r="Z239" s="2">
        <f>IF(OR(Z238=1,R239&lt;=資金模擬!$B$10),1,0)</f>
        <v/>
      </c>
    </row>
    <row r="240">
      <c r="A240" s="2" t="n">
        <v>238</v>
      </c>
      <c r="B240" s="7" t="n">
        <v>46286.51388888889</v>
      </c>
      <c r="C240" s="2" t="inlineStr">
        <is>
          <t>出場</t>
        </is>
      </c>
      <c r="D240" s="2" t="n">
        <v>119</v>
      </c>
      <c r="E240" s="2" t="inlineStr">
        <is>
          <t>ZETA_USDT_PERP</t>
        </is>
      </c>
      <c r="F240" s="2" t="inlineStr">
        <is>
          <t>做空</t>
        </is>
      </c>
      <c r="G240" s="17" t="n">
        <v>0.0644</v>
      </c>
      <c r="H240" s="17" t="n">
        <v>0.061824</v>
      </c>
      <c r="I240" s="17" t="n">
        <v>0.06762</v>
      </c>
      <c r="J240" s="17" t="n">
        <v>0.06762</v>
      </c>
      <c r="K240" s="2" t="inlineStr">
        <is>
          <t>止損</t>
        </is>
      </c>
      <c r="L240" s="5">
        <f>交易明細!K120</f>
        <v/>
      </c>
      <c r="M240" s="16">
        <f>M239</f>
        <v/>
      </c>
      <c r="N240" s="2">
        <f>N239</f>
        <v/>
      </c>
      <c r="O240" s="16">
        <f>O239</f>
        <v/>
      </c>
      <c r="P240" s="4">
        <f>交易明細!L120</f>
        <v/>
      </c>
      <c r="Q240" s="10">
        <f>IF(N240="已下單",O240*P240,0)</f>
        <v/>
      </c>
      <c r="R240" s="10">
        <f>R239+Q240</f>
        <v/>
      </c>
      <c r="S240" s="16">
        <f>S239-IF(N240="已下單",M240,0)</f>
        <v/>
      </c>
      <c r="T240" s="16">
        <f>R240-S240</f>
        <v/>
      </c>
      <c r="U240" s="2">
        <f>U239-IF(N240="已下單",1,0)</f>
        <v/>
      </c>
      <c r="V240" s="16">
        <f>IF(資金模擬!$B$9=2,MAX(R240,0),MAX(V239,FLOOR(MAX(R240,0),資金模擬!$B$6)))</f>
        <v/>
      </c>
      <c r="W240" s="10">
        <f>MAX(W239,R240)</f>
        <v/>
      </c>
      <c r="X240" s="4">
        <f>IF(W240&gt;0,R240/W240-1,-1)</f>
        <v/>
      </c>
      <c r="Y240" s="16">
        <f>IF(R240&gt;0,S240*資金模擬!$B$7/R240,0)</f>
        <v/>
      </c>
      <c r="Z240" s="2">
        <f>IF(OR(Z239=1,R240&lt;=資金模擬!$B$10),1,0)</f>
        <v/>
      </c>
    </row>
    <row r="241">
      <c r="A241" s="2" t="n">
        <v>239</v>
      </c>
      <c r="B241" s="7" t="n">
        <v>46286.56597222222</v>
      </c>
      <c r="C241" s="2" t="inlineStr">
        <is>
          <t>進場</t>
        </is>
      </c>
      <c r="D241" s="2" t="n">
        <v>120</v>
      </c>
      <c r="E241" s="2" t="inlineStr">
        <is>
          <t>KERNEL_USDT_PERP</t>
        </is>
      </c>
      <c r="F241" s="2" t="inlineStr">
        <is>
          <t>做空</t>
        </is>
      </c>
      <c r="G241" s="17" t="n">
        <v>0.04964</v>
      </c>
      <c r="H241" s="17" t="n">
        <v>0.04765439999999999</v>
      </c>
      <c r="I241" s="17" t="n">
        <v>0.052122</v>
      </c>
      <c r="J241" s="17" t="n"/>
      <c r="K241" s="2" t="n"/>
      <c r="L241" s="5" t="n"/>
      <c r="M241" s="16">
        <f>資金模擬!$B$5*V240</f>
        <v/>
      </c>
      <c r="N241" s="2">
        <f>IF(Z240=1,"已停止",IF(T240&gt;=M241,"已下單","資金不足略過"))</f>
        <v/>
      </c>
      <c r="O241" s="16">
        <f>IF(N241="已下單",M241*資金模擬!$B$7,0)</f>
        <v/>
      </c>
      <c r="P241" s="4" t="n"/>
      <c r="Q241" s="10" t="n">
        <v>0</v>
      </c>
      <c r="R241" s="10">
        <f>R240+Q241</f>
        <v/>
      </c>
      <c r="S241" s="16">
        <f>S240+IF(N241="已下單",M241,0)</f>
        <v/>
      </c>
      <c r="T241" s="16">
        <f>R241-S241</f>
        <v/>
      </c>
      <c r="U241" s="2">
        <f>U240+IF(N241="已下單",1,0)</f>
        <v/>
      </c>
      <c r="V241" s="16">
        <f>IF(資金模擬!$B$9=2,MAX(R241,0),MAX(V240,FLOOR(MAX(R241,0),資金模擬!$B$6)))</f>
        <v/>
      </c>
      <c r="W241" s="10">
        <f>MAX(W240,R241)</f>
        <v/>
      </c>
      <c r="X241" s="4">
        <f>IF(W241&gt;0,R241/W241-1,-1)</f>
        <v/>
      </c>
      <c r="Y241" s="16">
        <f>IF(R241&gt;0,S241*資金模擬!$B$7/R241,0)</f>
        <v/>
      </c>
      <c r="Z241" s="2">
        <f>IF(OR(Z240=1,R241&lt;=資金模擬!$B$10),1,0)</f>
        <v/>
      </c>
    </row>
    <row r="242">
      <c r="A242" s="2" t="n">
        <v>240</v>
      </c>
      <c r="B242" s="7" t="n">
        <v>46286.63541666666</v>
      </c>
      <c r="C242" s="2" t="inlineStr">
        <is>
          <t>出場</t>
        </is>
      </c>
      <c r="D242" s="2" t="n">
        <v>120</v>
      </c>
      <c r="E242" s="2" t="inlineStr">
        <is>
          <t>KERNEL_USDT_PERP</t>
        </is>
      </c>
      <c r="F242" s="2" t="inlineStr">
        <is>
          <t>做空</t>
        </is>
      </c>
      <c r="G242" s="17" t="n">
        <v>0.04964</v>
      </c>
      <c r="H242" s="17" t="n">
        <v>0.04765439999999999</v>
      </c>
      <c r="I242" s="17" t="n">
        <v>0.052122</v>
      </c>
      <c r="J242" s="17" t="n">
        <v>0.04765439999999999</v>
      </c>
      <c r="K242" s="2" t="inlineStr">
        <is>
          <t>止盈</t>
        </is>
      </c>
      <c r="L242" s="5">
        <f>交易明細!K121</f>
        <v/>
      </c>
      <c r="M242" s="16">
        <f>M241</f>
        <v/>
      </c>
      <c r="N242" s="2">
        <f>N241</f>
        <v/>
      </c>
      <c r="O242" s="16">
        <f>O241</f>
        <v/>
      </c>
      <c r="P242" s="4">
        <f>交易明細!L121</f>
        <v/>
      </c>
      <c r="Q242" s="10">
        <f>IF(N242="已下單",O242*P242,0)</f>
        <v/>
      </c>
      <c r="R242" s="10">
        <f>R241+Q242</f>
        <v/>
      </c>
      <c r="S242" s="16">
        <f>S241-IF(N242="已下單",M242,0)</f>
        <v/>
      </c>
      <c r="T242" s="16">
        <f>R242-S242</f>
        <v/>
      </c>
      <c r="U242" s="2">
        <f>U241-IF(N242="已下單",1,0)</f>
        <v/>
      </c>
      <c r="V242" s="16">
        <f>IF(資金模擬!$B$9=2,MAX(R242,0),MAX(V241,FLOOR(MAX(R242,0),資金模擬!$B$6)))</f>
        <v/>
      </c>
      <c r="W242" s="10">
        <f>MAX(W241,R242)</f>
        <v/>
      </c>
      <c r="X242" s="4">
        <f>IF(W242&gt;0,R242/W242-1,-1)</f>
        <v/>
      </c>
      <c r="Y242" s="16">
        <f>IF(R242&gt;0,S242*資金模擬!$B$7/R242,0)</f>
        <v/>
      </c>
      <c r="Z242" s="2">
        <f>IF(OR(Z241=1,R242&lt;=資金模擬!$B$10),1,0)</f>
        <v/>
      </c>
    </row>
    <row r="243">
      <c r="A243" s="2" t="n">
        <v>241</v>
      </c>
      <c r="B243" s="7" t="n">
        <v>46286.73611111111</v>
      </c>
      <c r="C243" s="2" t="inlineStr">
        <is>
          <t>進場</t>
        </is>
      </c>
      <c r="D243" s="2" t="n">
        <v>121</v>
      </c>
      <c r="E243" s="2" t="inlineStr">
        <is>
          <t>PHA_USDT_PERP</t>
        </is>
      </c>
      <c r="F243" s="2" t="inlineStr">
        <is>
          <t>做空</t>
        </is>
      </c>
      <c r="G243" s="17" t="n">
        <v>0.05492</v>
      </c>
      <c r="H243" s="17" t="n">
        <v>0.0527232</v>
      </c>
      <c r="I243" s="17" t="n">
        <v>0.057666</v>
      </c>
      <c r="J243" s="17" t="n"/>
      <c r="K243" s="2" t="n"/>
      <c r="L243" s="5" t="n"/>
      <c r="M243" s="16">
        <f>資金模擬!$B$5*V242</f>
        <v/>
      </c>
      <c r="N243" s="2">
        <f>IF(Z242=1,"已停止",IF(T242&gt;=M243,"已下單","資金不足略過"))</f>
        <v/>
      </c>
      <c r="O243" s="16">
        <f>IF(N243="已下單",M243*資金模擬!$B$7,0)</f>
        <v/>
      </c>
      <c r="P243" s="4" t="n"/>
      <c r="Q243" s="10" t="n">
        <v>0</v>
      </c>
      <c r="R243" s="10">
        <f>R242+Q243</f>
        <v/>
      </c>
      <c r="S243" s="16">
        <f>S242+IF(N243="已下單",M243,0)</f>
        <v/>
      </c>
      <c r="T243" s="16">
        <f>R243-S243</f>
        <v/>
      </c>
      <c r="U243" s="2">
        <f>U242+IF(N243="已下單",1,0)</f>
        <v/>
      </c>
      <c r="V243" s="16">
        <f>IF(資金模擬!$B$9=2,MAX(R243,0),MAX(V242,FLOOR(MAX(R243,0),資金模擬!$B$6)))</f>
        <v/>
      </c>
      <c r="W243" s="10">
        <f>MAX(W242,R243)</f>
        <v/>
      </c>
      <c r="X243" s="4">
        <f>IF(W243&gt;0,R243/W243-1,-1)</f>
        <v/>
      </c>
      <c r="Y243" s="16">
        <f>IF(R243&gt;0,S243*資金模擬!$B$7/R243,0)</f>
        <v/>
      </c>
      <c r="Z243" s="2">
        <f>IF(OR(Z242=1,R243&lt;=資金模擬!$B$10),1,0)</f>
        <v/>
      </c>
    </row>
    <row r="244">
      <c r="A244" s="2" t="n">
        <v>242</v>
      </c>
      <c r="B244" s="7" t="n">
        <v>46286.73958333334</v>
      </c>
      <c r="C244" s="2" t="inlineStr">
        <is>
          <t>出場</t>
        </is>
      </c>
      <c r="D244" s="2" t="n">
        <v>121</v>
      </c>
      <c r="E244" s="2" t="inlineStr">
        <is>
          <t>PHA_USDT_PERP</t>
        </is>
      </c>
      <c r="F244" s="2" t="inlineStr">
        <is>
          <t>做空</t>
        </is>
      </c>
      <c r="G244" s="17" t="n">
        <v>0.05492</v>
      </c>
      <c r="H244" s="17" t="n">
        <v>0.0527232</v>
      </c>
      <c r="I244" s="17" t="n">
        <v>0.057666</v>
      </c>
      <c r="J244" s="17" t="n">
        <v>0.0527232</v>
      </c>
      <c r="K244" s="2" t="inlineStr">
        <is>
          <t>止盈</t>
        </is>
      </c>
      <c r="L244" s="5">
        <f>交易明細!K122</f>
        <v/>
      </c>
      <c r="M244" s="16">
        <f>M243</f>
        <v/>
      </c>
      <c r="N244" s="2">
        <f>N243</f>
        <v/>
      </c>
      <c r="O244" s="16">
        <f>O243</f>
        <v/>
      </c>
      <c r="P244" s="4">
        <f>交易明細!L122</f>
        <v/>
      </c>
      <c r="Q244" s="10">
        <f>IF(N244="已下單",O244*P244,0)</f>
        <v/>
      </c>
      <c r="R244" s="10">
        <f>R243+Q244</f>
        <v/>
      </c>
      <c r="S244" s="16">
        <f>S243-IF(N244="已下單",M244,0)</f>
        <v/>
      </c>
      <c r="T244" s="16">
        <f>R244-S244</f>
        <v/>
      </c>
      <c r="U244" s="2">
        <f>U243-IF(N244="已下單",1,0)</f>
        <v/>
      </c>
      <c r="V244" s="16">
        <f>IF(資金模擬!$B$9=2,MAX(R244,0),MAX(V243,FLOOR(MAX(R244,0),資金模擬!$B$6)))</f>
        <v/>
      </c>
      <c r="W244" s="10">
        <f>MAX(W243,R244)</f>
        <v/>
      </c>
      <c r="X244" s="4">
        <f>IF(W244&gt;0,R244/W244-1,-1)</f>
        <v/>
      </c>
      <c r="Y244" s="16">
        <f>IF(R244&gt;0,S244*資金模擬!$B$7/R244,0)</f>
        <v/>
      </c>
      <c r="Z244" s="2">
        <f>IF(OR(Z243=1,R244&lt;=資金模擬!$B$10),1,0)</f>
        <v/>
      </c>
    </row>
    <row r="245">
      <c r="A245" s="2" t="n">
        <v>243</v>
      </c>
      <c r="B245" s="7" t="n">
        <v>46286.75</v>
      </c>
      <c r="C245" s="2" t="inlineStr">
        <is>
          <t>進場</t>
        </is>
      </c>
      <c r="D245" s="2" t="n">
        <v>122</v>
      </c>
      <c r="E245" s="2" t="inlineStr">
        <is>
          <t>MUBARAK_USDT_PERP</t>
        </is>
      </c>
      <c r="F245" s="2" t="inlineStr">
        <is>
          <t>做空</t>
        </is>
      </c>
      <c r="G245" s="17" t="n">
        <v>0.03925</v>
      </c>
      <c r="H245" s="17" t="n">
        <v>0.03768</v>
      </c>
      <c r="I245" s="17" t="n">
        <v>0.0412125</v>
      </c>
      <c r="J245" s="17" t="n"/>
      <c r="K245" s="2" t="n"/>
      <c r="L245" s="5" t="n"/>
      <c r="M245" s="16">
        <f>資金模擬!$B$5*V244</f>
        <v/>
      </c>
      <c r="N245" s="2">
        <f>IF(Z244=1,"已停止",IF(T244&gt;=M245,"已下單","資金不足略過"))</f>
        <v/>
      </c>
      <c r="O245" s="16">
        <f>IF(N245="已下單",M245*資金模擬!$B$7,0)</f>
        <v/>
      </c>
      <c r="P245" s="4" t="n"/>
      <c r="Q245" s="10" t="n">
        <v>0</v>
      </c>
      <c r="R245" s="10">
        <f>R244+Q245</f>
        <v/>
      </c>
      <c r="S245" s="16">
        <f>S244+IF(N245="已下單",M245,0)</f>
        <v/>
      </c>
      <c r="T245" s="16">
        <f>R245-S245</f>
        <v/>
      </c>
      <c r="U245" s="2">
        <f>U244+IF(N245="已下單",1,0)</f>
        <v/>
      </c>
      <c r="V245" s="16">
        <f>IF(資金模擬!$B$9=2,MAX(R245,0),MAX(V244,FLOOR(MAX(R245,0),資金模擬!$B$6)))</f>
        <v/>
      </c>
      <c r="W245" s="10">
        <f>MAX(W244,R245)</f>
        <v/>
      </c>
      <c r="X245" s="4">
        <f>IF(W245&gt;0,R245/W245-1,-1)</f>
        <v/>
      </c>
      <c r="Y245" s="16">
        <f>IF(R245&gt;0,S245*資金模擬!$B$7/R245,0)</f>
        <v/>
      </c>
      <c r="Z245" s="2">
        <f>IF(OR(Z244=1,R245&lt;=資金模擬!$B$10),1,0)</f>
        <v/>
      </c>
    </row>
    <row r="246">
      <c r="A246" s="2" t="n">
        <v>244</v>
      </c>
      <c r="B246" s="7" t="n">
        <v>46286.77083333334</v>
      </c>
      <c r="C246" s="2" t="inlineStr">
        <is>
          <t>出場</t>
        </is>
      </c>
      <c r="D246" s="2" t="n">
        <v>122</v>
      </c>
      <c r="E246" s="2" t="inlineStr">
        <is>
          <t>MUBARAK_USDT_PERP</t>
        </is>
      </c>
      <c r="F246" s="2" t="inlineStr">
        <is>
          <t>做空</t>
        </is>
      </c>
      <c r="G246" s="17" t="n">
        <v>0.03925</v>
      </c>
      <c r="H246" s="17" t="n">
        <v>0.03768</v>
      </c>
      <c r="I246" s="17" t="n">
        <v>0.0412125</v>
      </c>
      <c r="J246" s="17" t="n">
        <v>0.0412125</v>
      </c>
      <c r="K246" s="2" t="inlineStr">
        <is>
          <t>止損</t>
        </is>
      </c>
      <c r="L246" s="5">
        <f>交易明細!K123</f>
        <v/>
      </c>
      <c r="M246" s="16">
        <f>M245</f>
        <v/>
      </c>
      <c r="N246" s="2">
        <f>N245</f>
        <v/>
      </c>
      <c r="O246" s="16">
        <f>O245</f>
        <v/>
      </c>
      <c r="P246" s="4">
        <f>交易明細!L123</f>
        <v/>
      </c>
      <c r="Q246" s="10">
        <f>IF(N246="已下單",O246*P246,0)</f>
        <v/>
      </c>
      <c r="R246" s="10">
        <f>R245+Q246</f>
        <v/>
      </c>
      <c r="S246" s="16">
        <f>S245-IF(N246="已下單",M246,0)</f>
        <v/>
      </c>
      <c r="T246" s="16">
        <f>R246-S246</f>
        <v/>
      </c>
      <c r="U246" s="2">
        <f>U245-IF(N246="已下單",1,0)</f>
        <v/>
      </c>
      <c r="V246" s="16">
        <f>IF(資金模擬!$B$9=2,MAX(R246,0),MAX(V245,FLOOR(MAX(R246,0),資金模擬!$B$6)))</f>
        <v/>
      </c>
      <c r="W246" s="10">
        <f>MAX(W245,R246)</f>
        <v/>
      </c>
      <c r="X246" s="4">
        <f>IF(W246&gt;0,R246/W246-1,-1)</f>
        <v/>
      </c>
      <c r="Y246" s="16">
        <f>IF(R246&gt;0,S246*資金模擬!$B$7/R246,0)</f>
        <v/>
      </c>
      <c r="Z246" s="2">
        <f>IF(OR(Z245=1,R246&lt;=資金模擬!$B$10),1,0)</f>
        <v/>
      </c>
    </row>
    <row r="247">
      <c r="A247" s="2" t="n">
        <v>245</v>
      </c>
      <c r="B247" s="7" t="n">
        <v>46286.81597222222</v>
      </c>
      <c r="C247" s="2" t="inlineStr">
        <is>
          <t>進場</t>
        </is>
      </c>
      <c r="D247" s="2" t="n">
        <v>123</v>
      </c>
      <c r="E247" s="2" t="inlineStr">
        <is>
          <t>MUBARAK_USDT_PERP</t>
        </is>
      </c>
      <c r="F247" s="2" t="inlineStr">
        <is>
          <t>做空</t>
        </is>
      </c>
      <c r="G247" s="17" t="n">
        <v>0.04401</v>
      </c>
      <c r="H247" s="17" t="n">
        <v>0.0422496</v>
      </c>
      <c r="I247" s="17" t="n">
        <v>0.0462105</v>
      </c>
      <c r="J247" s="17" t="n"/>
      <c r="K247" s="2" t="n"/>
      <c r="L247" s="5" t="n"/>
      <c r="M247" s="16">
        <f>資金模擬!$B$5*V246</f>
        <v/>
      </c>
      <c r="N247" s="2">
        <f>IF(Z246=1,"已停止",IF(T246&gt;=M247,"已下單","資金不足略過"))</f>
        <v/>
      </c>
      <c r="O247" s="16">
        <f>IF(N247="已下單",M247*資金模擬!$B$7,0)</f>
        <v/>
      </c>
      <c r="P247" s="4" t="n"/>
      <c r="Q247" s="10" t="n">
        <v>0</v>
      </c>
      <c r="R247" s="10">
        <f>R246+Q247</f>
        <v/>
      </c>
      <c r="S247" s="16">
        <f>S246+IF(N247="已下單",M247,0)</f>
        <v/>
      </c>
      <c r="T247" s="16">
        <f>R247-S247</f>
        <v/>
      </c>
      <c r="U247" s="2">
        <f>U246+IF(N247="已下單",1,0)</f>
        <v/>
      </c>
      <c r="V247" s="16">
        <f>IF(資金模擬!$B$9=2,MAX(R247,0),MAX(V246,FLOOR(MAX(R247,0),資金模擬!$B$6)))</f>
        <v/>
      </c>
      <c r="W247" s="10">
        <f>MAX(W246,R247)</f>
        <v/>
      </c>
      <c r="X247" s="4">
        <f>IF(W247&gt;0,R247/W247-1,-1)</f>
        <v/>
      </c>
      <c r="Y247" s="16">
        <f>IF(R247&gt;0,S247*資金模擬!$B$7/R247,0)</f>
        <v/>
      </c>
      <c r="Z247" s="2">
        <f>IF(OR(Z246=1,R247&lt;=資金模擬!$B$10),1,0)</f>
        <v/>
      </c>
    </row>
    <row r="248">
      <c r="A248" s="2" t="n">
        <v>246</v>
      </c>
      <c r="B248" s="7" t="n">
        <v>46286.87152777778</v>
      </c>
      <c r="C248" s="2" t="inlineStr">
        <is>
          <t>出場</t>
        </is>
      </c>
      <c r="D248" s="2" t="n">
        <v>123</v>
      </c>
      <c r="E248" s="2" t="inlineStr">
        <is>
          <t>MUBARAK_USDT_PERP</t>
        </is>
      </c>
      <c r="F248" s="2" t="inlineStr">
        <is>
          <t>做空</t>
        </is>
      </c>
      <c r="G248" s="17" t="n">
        <v>0.04401</v>
      </c>
      <c r="H248" s="17" t="n">
        <v>0.0422496</v>
      </c>
      <c r="I248" s="17" t="n">
        <v>0.0462105</v>
      </c>
      <c r="J248" s="17" t="n">
        <v>0.0422496</v>
      </c>
      <c r="K248" s="2" t="inlineStr">
        <is>
          <t>止盈</t>
        </is>
      </c>
      <c r="L248" s="5">
        <f>交易明細!K124</f>
        <v/>
      </c>
      <c r="M248" s="16">
        <f>M247</f>
        <v/>
      </c>
      <c r="N248" s="2">
        <f>N247</f>
        <v/>
      </c>
      <c r="O248" s="16">
        <f>O247</f>
        <v/>
      </c>
      <c r="P248" s="4">
        <f>交易明細!L124</f>
        <v/>
      </c>
      <c r="Q248" s="10">
        <f>IF(N248="已下單",O248*P248,0)</f>
        <v/>
      </c>
      <c r="R248" s="10">
        <f>R247+Q248</f>
        <v/>
      </c>
      <c r="S248" s="16">
        <f>S247-IF(N248="已下單",M248,0)</f>
        <v/>
      </c>
      <c r="T248" s="16">
        <f>R248-S248</f>
        <v/>
      </c>
      <c r="U248" s="2">
        <f>U247-IF(N248="已下單",1,0)</f>
        <v/>
      </c>
      <c r="V248" s="16">
        <f>IF(資金模擬!$B$9=2,MAX(R248,0),MAX(V247,FLOOR(MAX(R248,0),資金模擬!$B$6)))</f>
        <v/>
      </c>
      <c r="W248" s="10">
        <f>MAX(W247,R248)</f>
        <v/>
      </c>
      <c r="X248" s="4">
        <f>IF(W248&gt;0,R248/W248-1,-1)</f>
        <v/>
      </c>
      <c r="Y248" s="16">
        <f>IF(R248&gt;0,S248*資金模擬!$B$7/R248,0)</f>
        <v/>
      </c>
      <c r="Z248" s="2">
        <f>IF(OR(Z247=1,R248&lt;=資金模擬!$B$10),1,0)</f>
        <v/>
      </c>
    </row>
    <row r="249">
      <c r="A249" s="2" t="n">
        <v>247</v>
      </c>
      <c r="B249" s="7" t="n">
        <v>46286.90972222222</v>
      </c>
      <c r="C249" s="2" t="inlineStr">
        <is>
          <t>進場</t>
        </is>
      </c>
      <c r="D249" s="2" t="n">
        <v>124</v>
      </c>
      <c r="E249" s="2" t="inlineStr">
        <is>
          <t>PROVE_USDT_PERP</t>
        </is>
      </c>
      <c r="F249" s="2" t="inlineStr">
        <is>
          <t>做空</t>
        </is>
      </c>
      <c r="G249" s="17" t="n">
        <v>0.2843</v>
      </c>
      <c r="H249" s="17" t="n">
        <v>0.272928</v>
      </c>
      <c r="I249" s="17" t="n">
        <v>0.298515</v>
      </c>
      <c r="J249" s="17" t="n"/>
      <c r="K249" s="2" t="n"/>
      <c r="L249" s="5" t="n"/>
      <c r="M249" s="16">
        <f>資金模擬!$B$5*V248</f>
        <v/>
      </c>
      <c r="N249" s="2">
        <f>IF(Z248=1,"已停止",IF(T248&gt;=M249,"已下單","資金不足略過"))</f>
        <v/>
      </c>
      <c r="O249" s="16">
        <f>IF(N249="已下單",M249*資金模擬!$B$7,0)</f>
        <v/>
      </c>
      <c r="P249" s="4" t="n"/>
      <c r="Q249" s="10" t="n">
        <v>0</v>
      </c>
      <c r="R249" s="10">
        <f>R248+Q249</f>
        <v/>
      </c>
      <c r="S249" s="16">
        <f>S248+IF(N249="已下單",M249,0)</f>
        <v/>
      </c>
      <c r="T249" s="16">
        <f>R249-S249</f>
        <v/>
      </c>
      <c r="U249" s="2">
        <f>U248+IF(N249="已下單",1,0)</f>
        <v/>
      </c>
      <c r="V249" s="16">
        <f>IF(資金模擬!$B$9=2,MAX(R249,0),MAX(V248,FLOOR(MAX(R249,0),資金模擬!$B$6)))</f>
        <v/>
      </c>
      <c r="W249" s="10">
        <f>MAX(W248,R249)</f>
        <v/>
      </c>
      <c r="X249" s="4">
        <f>IF(W249&gt;0,R249/W249-1,-1)</f>
        <v/>
      </c>
      <c r="Y249" s="16">
        <f>IF(R249&gt;0,S249*資金模擬!$B$7/R249,0)</f>
        <v/>
      </c>
      <c r="Z249" s="2">
        <f>IF(OR(Z248=1,R249&lt;=資金模擬!$B$10),1,0)</f>
        <v/>
      </c>
    </row>
    <row r="250">
      <c r="A250" s="2" t="n">
        <v>248</v>
      </c>
      <c r="B250" s="7" t="n">
        <v>46286.92013888889</v>
      </c>
      <c r="C250" s="2" t="inlineStr">
        <is>
          <t>出場</t>
        </is>
      </c>
      <c r="D250" s="2" t="n">
        <v>124</v>
      </c>
      <c r="E250" s="2" t="inlineStr">
        <is>
          <t>PROVE_USDT_PERP</t>
        </is>
      </c>
      <c r="F250" s="2" t="inlineStr">
        <is>
          <t>做空</t>
        </is>
      </c>
      <c r="G250" s="17" t="n">
        <v>0.2843</v>
      </c>
      <c r="H250" s="17" t="n">
        <v>0.272928</v>
      </c>
      <c r="I250" s="17" t="n">
        <v>0.298515</v>
      </c>
      <c r="J250" s="17" t="n">
        <v>0.272928</v>
      </c>
      <c r="K250" s="2" t="inlineStr">
        <is>
          <t>止盈</t>
        </is>
      </c>
      <c r="L250" s="5">
        <f>交易明細!K125</f>
        <v/>
      </c>
      <c r="M250" s="16">
        <f>M249</f>
        <v/>
      </c>
      <c r="N250" s="2">
        <f>N249</f>
        <v/>
      </c>
      <c r="O250" s="16">
        <f>O249</f>
        <v/>
      </c>
      <c r="P250" s="4">
        <f>交易明細!L125</f>
        <v/>
      </c>
      <c r="Q250" s="10">
        <f>IF(N250="已下單",O250*P250,0)</f>
        <v/>
      </c>
      <c r="R250" s="10">
        <f>R249+Q250</f>
        <v/>
      </c>
      <c r="S250" s="16">
        <f>S249-IF(N250="已下單",M250,0)</f>
        <v/>
      </c>
      <c r="T250" s="16">
        <f>R250-S250</f>
        <v/>
      </c>
      <c r="U250" s="2">
        <f>U249-IF(N250="已下單",1,0)</f>
        <v/>
      </c>
      <c r="V250" s="16">
        <f>IF(資金模擬!$B$9=2,MAX(R250,0),MAX(V249,FLOOR(MAX(R250,0),資金模擬!$B$6)))</f>
        <v/>
      </c>
      <c r="W250" s="10">
        <f>MAX(W249,R250)</f>
        <v/>
      </c>
      <c r="X250" s="4">
        <f>IF(W250&gt;0,R250/W250-1,-1)</f>
        <v/>
      </c>
      <c r="Y250" s="16">
        <f>IF(R250&gt;0,S250*資金模擬!$B$7/R250,0)</f>
        <v/>
      </c>
      <c r="Z250" s="2">
        <f>IF(OR(Z249=1,R250&lt;=資金模擬!$B$10),1,0)</f>
        <v/>
      </c>
    </row>
    <row r="251">
      <c r="A251" s="2" t="n">
        <v>249</v>
      </c>
      <c r="B251" s="7" t="n">
        <v>46286.98611111111</v>
      </c>
      <c r="C251" s="2" t="inlineStr">
        <is>
          <t>進場</t>
        </is>
      </c>
      <c r="D251" s="2" t="n">
        <v>125</v>
      </c>
      <c r="E251" s="2" t="inlineStr">
        <is>
          <t>SKR_USDT_PERP</t>
        </is>
      </c>
      <c r="F251" s="2" t="inlineStr">
        <is>
          <t>做空</t>
        </is>
      </c>
      <c r="G251" s="17" t="n">
        <v>0.021666</v>
      </c>
      <c r="H251" s="17" t="n">
        <v>0.02079936</v>
      </c>
      <c r="I251" s="17" t="n">
        <v>0.0227493</v>
      </c>
      <c r="J251" s="17" t="n"/>
      <c r="K251" s="2" t="n"/>
      <c r="L251" s="5" t="n"/>
      <c r="M251" s="16">
        <f>資金模擬!$B$5*V250</f>
        <v/>
      </c>
      <c r="N251" s="2">
        <f>IF(Z250=1,"已停止",IF(T250&gt;=M251,"已下單","資金不足略過"))</f>
        <v/>
      </c>
      <c r="O251" s="16">
        <f>IF(N251="已下單",M251*資金模擬!$B$7,0)</f>
        <v/>
      </c>
      <c r="P251" s="4" t="n"/>
      <c r="Q251" s="10" t="n">
        <v>0</v>
      </c>
      <c r="R251" s="10">
        <f>R250+Q251</f>
        <v/>
      </c>
      <c r="S251" s="16">
        <f>S250+IF(N251="已下單",M251,0)</f>
        <v/>
      </c>
      <c r="T251" s="16">
        <f>R251-S251</f>
        <v/>
      </c>
      <c r="U251" s="2">
        <f>U250+IF(N251="已下單",1,0)</f>
        <v/>
      </c>
      <c r="V251" s="16">
        <f>IF(資金模擬!$B$9=2,MAX(R251,0),MAX(V250,FLOOR(MAX(R251,0),資金模擬!$B$6)))</f>
        <v/>
      </c>
      <c r="W251" s="10">
        <f>MAX(W250,R251)</f>
        <v/>
      </c>
      <c r="X251" s="4">
        <f>IF(W251&gt;0,R251/W251-1,-1)</f>
        <v/>
      </c>
      <c r="Y251" s="16">
        <f>IF(R251&gt;0,S251*資金模擬!$B$7/R251,0)</f>
        <v/>
      </c>
      <c r="Z251" s="2">
        <f>IF(OR(Z250=1,R251&lt;=資金模擬!$B$10),1,0)</f>
        <v/>
      </c>
    </row>
    <row r="252">
      <c r="A252" s="2" t="n">
        <v>250</v>
      </c>
      <c r="B252" s="7" t="n">
        <v>46286.99652777778</v>
      </c>
      <c r="C252" s="2" t="inlineStr">
        <is>
          <t>出場</t>
        </is>
      </c>
      <c r="D252" s="2" t="n">
        <v>125</v>
      </c>
      <c r="E252" s="2" t="inlineStr">
        <is>
          <t>SKR_USDT_PERP</t>
        </is>
      </c>
      <c r="F252" s="2" t="inlineStr">
        <is>
          <t>做空</t>
        </is>
      </c>
      <c r="G252" s="17" t="n">
        <v>0.021666</v>
      </c>
      <c r="H252" s="17" t="n">
        <v>0.02079936</v>
      </c>
      <c r="I252" s="17" t="n">
        <v>0.0227493</v>
      </c>
      <c r="J252" s="17" t="n">
        <v>0.02079936</v>
      </c>
      <c r="K252" s="2" t="inlineStr">
        <is>
          <t>止盈</t>
        </is>
      </c>
      <c r="L252" s="5">
        <f>交易明細!K126</f>
        <v/>
      </c>
      <c r="M252" s="16">
        <f>M251</f>
        <v/>
      </c>
      <c r="N252" s="2">
        <f>N251</f>
        <v/>
      </c>
      <c r="O252" s="16">
        <f>O251</f>
        <v/>
      </c>
      <c r="P252" s="4">
        <f>交易明細!L126</f>
        <v/>
      </c>
      <c r="Q252" s="10">
        <f>IF(N252="已下單",O252*P252,0)</f>
        <v/>
      </c>
      <c r="R252" s="10">
        <f>R251+Q252</f>
        <v/>
      </c>
      <c r="S252" s="16">
        <f>S251-IF(N252="已下單",M252,0)</f>
        <v/>
      </c>
      <c r="T252" s="16">
        <f>R252-S252</f>
        <v/>
      </c>
      <c r="U252" s="2">
        <f>U251-IF(N252="已下單",1,0)</f>
        <v/>
      </c>
      <c r="V252" s="16">
        <f>IF(資金模擬!$B$9=2,MAX(R252,0),MAX(V251,FLOOR(MAX(R252,0),資金模擬!$B$6)))</f>
        <v/>
      </c>
      <c r="W252" s="10">
        <f>MAX(W251,R252)</f>
        <v/>
      </c>
      <c r="X252" s="4">
        <f>IF(W252&gt;0,R252/W252-1,-1)</f>
        <v/>
      </c>
      <c r="Y252" s="16">
        <f>IF(R252&gt;0,S252*資金模擬!$B$7/R252,0)</f>
        <v/>
      </c>
      <c r="Z252" s="2">
        <f>IF(OR(Z251=1,R252&lt;=資金模擬!$B$10),1,0)</f>
        <v/>
      </c>
    </row>
    <row r="253">
      <c r="A253" s="2" t="n">
        <v>251</v>
      </c>
      <c r="B253" s="7" t="n">
        <v>46287.20138888889</v>
      </c>
      <c r="C253" s="2" t="inlineStr">
        <is>
          <t>進場</t>
        </is>
      </c>
      <c r="D253" s="2" t="n">
        <v>126</v>
      </c>
      <c r="E253" s="2" t="inlineStr">
        <is>
          <t>ALCH_USDT_PERP</t>
        </is>
      </c>
      <c r="F253" s="2" t="inlineStr">
        <is>
          <t>做空</t>
        </is>
      </c>
      <c r="G253" s="17" t="n">
        <v>0.05641</v>
      </c>
      <c r="H253" s="17" t="n">
        <v>0.0541536</v>
      </c>
      <c r="I253" s="17" t="n">
        <v>0.05923050000000001</v>
      </c>
      <c r="J253" s="17" t="n"/>
      <c r="K253" s="2" t="n"/>
      <c r="L253" s="5" t="n"/>
      <c r="M253" s="16">
        <f>資金模擬!$B$5*V252</f>
        <v/>
      </c>
      <c r="N253" s="2">
        <f>IF(Z252=1,"已停止",IF(T252&gt;=M253,"已下單","資金不足略過"))</f>
        <v/>
      </c>
      <c r="O253" s="16">
        <f>IF(N253="已下單",M253*資金模擬!$B$7,0)</f>
        <v/>
      </c>
      <c r="P253" s="4" t="n"/>
      <c r="Q253" s="10" t="n">
        <v>0</v>
      </c>
      <c r="R253" s="10">
        <f>R252+Q253</f>
        <v/>
      </c>
      <c r="S253" s="16">
        <f>S252+IF(N253="已下單",M253,0)</f>
        <v/>
      </c>
      <c r="T253" s="16">
        <f>R253-S253</f>
        <v/>
      </c>
      <c r="U253" s="2">
        <f>U252+IF(N253="已下單",1,0)</f>
        <v/>
      </c>
      <c r="V253" s="16">
        <f>IF(資金模擬!$B$9=2,MAX(R253,0),MAX(V252,FLOOR(MAX(R253,0),資金模擬!$B$6)))</f>
        <v/>
      </c>
      <c r="W253" s="10">
        <f>MAX(W252,R253)</f>
        <v/>
      </c>
      <c r="X253" s="4">
        <f>IF(W253&gt;0,R253/W253-1,-1)</f>
        <v/>
      </c>
      <c r="Y253" s="16">
        <f>IF(R253&gt;0,S253*資金模擬!$B$7/R253,0)</f>
        <v/>
      </c>
      <c r="Z253" s="2">
        <f>IF(OR(Z252=1,R253&lt;=資金模擬!$B$10),1,0)</f>
        <v/>
      </c>
    </row>
    <row r="254">
      <c r="A254" s="2" t="n">
        <v>252</v>
      </c>
      <c r="B254" s="7" t="n">
        <v>46287.20486111111</v>
      </c>
      <c r="C254" s="2" t="inlineStr">
        <is>
          <t>出場</t>
        </is>
      </c>
      <c r="D254" s="2" t="n">
        <v>126</v>
      </c>
      <c r="E254" s="2" t="inlineStr">
        <is>
          <t>ALCH_USDT_PERP</t>
        </is>
      </c>
      <c r="F254" s="2" t="inlineStr">
        <is>
          <t>做空</t>
        </is>
      </c>
      <c r="G254" s="17" t="n">
        <v>0.05641</v>
      </c>
      <c r="H254" s="17" t="n">
        <v>0.0541536</v>
      </c>
      <c r="I254" s="17" t="n">
        <v>0.05923050000000001</v>
      </c>
      <c r="J254" s="17" t="n">
        <v>0.05923050000000001</v>
      </c>
      <c r="K254" s="2" t="inlineStr">
        <is>
          <t>止損</t>
        </is>
      </c>
      <c r="L254" s="5">
        <f>交易明細!K127</f>
        <v/>
      </c>
      <c r="M254" s="16">
        <f>M253</f>
        <v/>
      </c>
      <c r="N254" s="2">
        <f>N253</f>
        <v/>
      </c>
      <c r="O254" s="16">
        <f>O253</f>
        <v/>
      </c>
      <c r="P254" s="4">
        <f>交易明細!L127</f>
        <v/>
      </c>
      <c r="Q254" s="10">
        <f>IF(N254="已下單",O254*P254,0)</f>
        <v/>
      </c>
      <c r="R254" s="10">
        <f>R253+Q254</f>
        <v/>
      </c>
      <c r="S254" s="16">
        <f>S253-IF(N254="已下單",M254,0)</f>
        <v/>
      </c>
      <c r="T254" s="16">
        <f>R254-S254</f>
        <v/>
      </c>
      <c r="U254" s="2">
        <f>U253-IF(N254="已下單",1,0)</f>
        <v/>
      </c>
      <c r="V254" s="16">
        <f>IF(資金模擬!$B$9=2,MAX(R254,0),MAX(V253,FLOOR(MAX(R254,0),資金模擬!$B$6)))</f>
        <v/>
      </c>
      <c r="W254" s="10">
        <f>MAX(W253,R254)</f>
        <v/>
      </c>
      <c r="X254" s="4">
        <f>IF(W254&gt;0,R254/W254-1,-1)</f>
        <v/>
      </c>
      <c r="Y254" s="16">
        <f>IF(R254&gt;0,S254*資金模擬!$B$7/R254,0)</f>
        <v/>
      </c>
      <c r="Z254" s="2">
        <f>IF(OR(Z253=1,R254&lt;=資金模擬!$B$10),1,0)</f>
        <v/>
      </c>
    </row>
    <row r="255">
      <c r="A255" s="2" t="n">
        <v>253</v>
      </c>
      <c r="B255" s="7" t="n">
        <v>46287.21180555555</v>
      </c>
      <c r="C255" s="2" t="inlineStr">
        <is>
          <t>進場</t>
        </is>
      </c>
      <c r="D255" s="2" t="n">
        <v>127</v>
      </c>
      <c r="E255" s="2" t="inlineStr">
        <is>
          <t>GRASS_USDT_PERP</t>
        </is>
      </c>
      <c r="F255" s="2" t="inlineStr">
        <is>
          <t>做空</t>
        </is>
      </c>
      <c r="G255" s="17" t="n">
        <v>0.4374</v>
      </c>
      <c r="H255" s="17" t="n">
        <v>0.419904</v>
      </c>
      <c r="I255" s="17" t="n">
        <v>0.45927</v>
      </c>
      <c r="J255" s="17" t="n"/>
      <c r="K255" s="2" t="n"/>
      <c r="L255" s="5" t="n"/>
      <c r="M255" s="16">
        <f>資金模擬!$B$5*V254</f>
        <v/>
      </c>
      <c r="N255" s="2">
        <f>IF(Z254=1,"已停止",IF(T254&gt;=M255,"已下單","資金不足略過"))</f>
        <v/>
      </c>
      <c r="O255" s="16">
        <f>IF(N255="已下單",M255*資金模擬!$B$7,0)</f>
        <v/>
      </c>
      <c r="P255" s="4" t="n"/>
      <c r="Q255" s="10" t="n">
        <v>0</v>
      </c>
      <c r="R255" s="10">
        <f>R254+Q255</f>
        <v/>
      </c>
      <c r="S255" s="16">
        <f>S254+IF(N255="已下單",M255,0)</f>
        <v/>
      </c>
      <c r="T255" s="16">
        <f>R255-S255</f>
        <v/>
      </c>
      <c r="U255" s="2">
        <f>U254+IF(N255="已下單",1,0)</f>
        <v/>
      </c>
      <c r="V255" s="16">
        <f>IF(資金模擬!$B$9=2,MAX(R255,0),MAX(V254,FLOOR(MAX(R255,0),資金模擬!$B$6)))</f>
        <v/>
      </c>
      <c r="W255" s="10">
        <f>MAX(W254,R255)</f>
        <v/>
      </c>
      <c r="X255" s="4">
        <f>IF(W255&gt;0,R255/W255-1,-1)</f>
        <v/>
      </c>
      <c r="Y255" s="16">
        <f>IF(R255&gt;0,S255*資金模擬!$B$7/R255,0)</f>
        <v/>
      </c>
      <c r="Z255" s="2">
        <f>IF(OR(Z254=1,R255&lt;=資金模擬!$B$10),1,0)</f>
        <v/>
      </c>
    </row>
    <row r="256">
      <c r="A256" s="2" t="n">
        <v>254</v>
      </c>
      <c r="B256" s="7" t="n">
        <v>46287.24652777778</v>
      </c>
      <c r="C256" s="2" t="inlineStr">
        <is>
          <t>進場</t>
        </is>
      </c>
      <c r="D256" s="2" t="n">
        <v>128</v>
      </c>
      <c r="E256" s="2" t="inlineStr">
        <is>
          <t>ALCH_USDT_PERP</t>
        </is>
      </c>
      <c r="F256" s="2" t="inlineStr">
        <is>
          <t>做空</t>
        </is>
      </c>
      <c r="G256" s="17" t="n">
        <v>0.05535</v>
      </c>
      <c r="H256" s="17" t="n">
        <v>0.053136</v>
      </c>
      <c r="I256" s="17" t="n">
        <v>0.05811750000000001</v>
      </c>
      <c r="J256" s="17" t="n"/>
      <c r="K256" s="2" t="n"/>
      <c r="L256" s="5" t="n"/>
      <c r="M256" s="16">
        <f>資金模擬!$B$5*V255</f>
        <v/>
      </c>
      <c r="N256" s="2">
        <f>IF(Z255=1,"已停止",IF(T255&gt;=M256,"已下單","資金不足略過"))</f>
        <v/>
      </c>
      <c r="O256" s="16">
        <f>IF(N256="已下單",M256*資金模擬!$B$7,0)</f>
        <v/>
      </c>
      <c r="P256" s="4" t="n"/>
      <c r="Q256" s="10" t="n">
        <v>0</v>
      </c>
      <c r="R256" s="10">
        <f>R255+Q256</f>
        <v/>
      </c>
      <c r="S256" s="16">
        <f>S255+IF(N256="已下單",M256,0)</f>
        <v/>
      </c>
      <c r="T256" s="16">
        <f>R256-S256</f>
        <v/>
      </c>
      <c r="U256" s="2">
        <f>U255+IF(N256="已下單",1,0)</f>
        <v/>
      </c>
      <c r="V256" s="16">
        <f>IF(資金模擬!$B$9=2,MAX(R256,0),MAX(V255,FLOOR(MAX(R256,0),資金模擬!$B$6)))</f>
        <v/>
      </c>
      <c r="W256" s="10">
        <f>MAX(W255,R256)</f>
        <v/>
      </c>
      <c r="X256" s="4">
        <f>IF(W256&gt;0,R256/W256-1,-1)</f>
        <v/>
      </c>
      <c r="Y256" s="16">
        <f>IF(R256&gt;0,S256*資金模擬!$B$7/R256,0)</f>
        <v/>
      </c>
      <c r="Z256" s="2">
        <f>IF(OR(Z255=1,R256&lt;=資金模擬!$B$10),1,0)</f>
        <v/>
      </c>
    </row>
    <row r="257">
      <c r="A257" s="2" t="n">
        <v>255</v>
      </c>
      <c r="B257" s="7" t="n">
        <v>46287.26041666666</v>
      </c>
      <c r="C257" s="2" t="inlineStr">
        <is>
          <t>出場</t>
        </is>
      </c>
      <c r="D257" s="2" t="n">
        <v>127</v>
      </c>
      <c r="E257" s="2" t="inlineStr">
        <is>
          <t>GRASS_USDT_PERP</t>
        </is>
      </c>
      <c r="F257" s="2" t="inlineStr">
        <is>
          <t>做空</t>
        </is>
      </c>
      <c r="G257" s="17" t="n">
        <v>0.4374</v>
      </c>
      <c r="H257" s="17" t="n">
        <v>0.419904</v>
      </c>
      <c r="I257" s="17" t="n">
        <v>0.45927</v>
      </c>
      <c r="J257" s="17" t="n">
        <v>0.419904</v>
      </c>
      <c r="K257" s="2" t="inlineStr">
        <is>
          <t>止盈</t>
        </is>
      </c>
      <c r="L257" s="5">
        <f>交易明細!K128</f>
        <v/>
      </c>
      <c r="M257" s="16">
        <f>M255</f>
        <v/>
      </c>
      <c r="N257" s="2">
        <f>N255</f>
        <v/>
      </c>
      <c r="O257" s="16">
        <f>O255</f>
        <v/>
      </c>
      <c r="P257" s="4">
        <f>交易明細!L128</f>
        <v/>
      </c>
      <c r="Q257" s="10">
        <f>IF(N257="已下單",O257*P257,0)</f>
        <v/>
      </c>
      <c r="R257" s="10">
        <f>R256+Q257</f>
        <v/>
      </c>
      <c r="S257" s="16">
        <f>S256-IF(N257="已下單",M257,0)</f>
        <v/>
      </c>
      <c r="T257" s="16">
        <f>R257-S257</f>
        <v/>
      </c>
      <c r="U257" s="2">
        <f>U256-IF(N257="已下單",1,0)</f>
        <v/>
      </c>
      <c r="V257" s="16">
        <f>IF(資金模擬!$B$9=2,MAX(R257,0),MAX(V256,FLOOR(MAX(R257,0),資金模擬!$B$6)))</f>
        <v/>
      </c>
      <c r="W257" s="10">
        <f>MAX(W256,R257)</f>
        <v/>
      </c>
      <c r="X257" s="4">
        <f>IF(W257&gt;0,R257/W257-1,-1)</f>
        <v/>
      </c>
      <c r="Y257" s="16">
        <f>IF(R257&gt;0,S257*資金模擬!$B$7/R257,0)</f>
        <v/>
      </c>
      <c r="Z257" s="2">
        <f>IF(OR(Z256=1,R257&lt;=資金模擬!$B$10),1,0)</f>
        <v/>
      </c>
    </row>
    <row r="258">
      <c r="A258" s="2" t="n">
        <v>256</v>
      </c>
      <c r="B258" s="7" t="n">
        <v>46287.32291666666</v>
      </c>
      <c r="C258" s="2" t="inlineStr">
        <is>
          <t>出場</t>
        </is>
      </c>
      <c r="D258" s="2" t="n">
        <v>128</v>
      </c>
      <c r="E258" s="2" t="inlineStr">
        <is>
          <t>ALCH_USDT_PERP</t>
        </is>
      </c>
      <c r="F258" s="2" t="inlineStr">
        <is>
          <t>做空</t>
        </is>
      </c>
      <c r="G258" s="17" t="n">
        <v>0.05535</v>
      </c>
      <c r="H258" s="17" t="n">
        <v>0.053136</v>
      </c>
      <c r="I258" s="17" t="n">
        <v>0.05811750000000001</v>
      </c>
      <c r="J258" s="17" t="n">
        <v>0.053136</v>
      </c>
      <c r="K258" s="2" t="inlineStr">
        <is>
          <t>止盈</t>
        </is>
      </c>
      <c r="L258" s="5">
        <f>交易明細!K129</f>
        <v/>
      </c>
      <c r="M258" s="16">
        <f>M256</f>
        <v/>
      </c>
      <c r="N258" s="2">
        <f>N256</f>
        <v/>
      </c>
      <c r="O258" s="16">
        <f>O256</f>
        <v/>
      </c>
      <c r="P258" s="4">
        <f>交易明細!L129</f>
        <v/>
      </c>
      <c r="Q258" s="10">
        <f>IF(N258="已下單",O258*P258,0)</f>
        <v/>
      </c>
      <c r="R258" s="10">
        <f>R257+Q258</f>
        <v/>
      </c>
      <c r="S258" s="16">
        <f>S257-IF(N258="已下單",M258,0)</f>
        <v/>
      </c>
      <c r="T258" s="16">
        <f>R258-S258</f>
        <v/>
      </c>
      <c r="U258" s="2">
        <f>U257-IF(N258="已下單",1,0)</f>
        <v/>
      </c>
      <c r="V258" s="16">
        <f>IF(資金模擬!$B$9=2,MAX(R258,0),MAX(V257,FLOOR(MAX(R258,0),資金模擬!$B$6)))</f>
        <v/>
      </c>
      <c r="W258" s="10">
        <f>MAX(W257,R258)</f>
        <v/>
      </c>
      <c r="X258" s="4">
        <f>IF(W258&gt;0,R258/W258-1,-1)</f>
        <v/>
      </c>
      <c r="Y258" s="16">
        <f>IF(R258&gt;0,S258*資金模擬!$B$7/R258,0)</f>
        <v/>
      </c>
      <c r="Z258" s="2">
        <f>IF(OR(Z257=1,R258&lt;=資金模擬!$B$10),1,0)</f>
        <v/>
      </c>
    </row>
    <row r="259">
      <c r="A259" s="2" t="n">
        <v>257</v>
      </c>
      <c r="B259" s="7" t="n">
        <v>46287.39583333334</v>
      </c>
      <c r="C259" s="2" t="inlineStr">
        <is>
          <t>進場</t>
        </is>
      </c>
      <c r="D259" s="2" t="n">
        <v>129</v>
      </c>
      <c r="E259" s="2" t="inlineStr">
        <is>
          <t>KERNEL_USDT_PERP</t>
        </is>
      </c>
      <c r="F259" s="2" t="inlineStr">
        <is>
          <t>做空</t>
        </is>
      </c>
      <c r="G259" s="17" t="n">
        <v>0.06475</v>
      </c>
      <c r="H259" s="17" t="n">
        <v>0.06216</v>
      </c>
      <c r="I259" s="17" t="n">
        <v>0.06798750000000001</v>
      </c>
      <c r="J259" s="17" t="n"/>
      <c r="K259" s="2" t="n"/>
      <c r="L259" s="5" t="n"/>
      <c r="M259" s="16">
        <f>資金模擬!$B$5*V258</f>
        <v/>
      </c>
      <c r="N259" s="2">
        <f>IF(Z258=1,"已停止",IF(T258&gt;=M259,"已下單","資金不足略過"))</f>
        <v/>
      </c>
      <c r="O259" s="16">
        <f>IF(N259="已下單",M259*資金模擬!$B$7,0)</f>
        <v/>
      </c>
      <c r="P259" s="4" t="n"/>
      <c r="Q259" s="10" t="n">
        <v>0</v>
      </c>
      <c r="R259" s="10">
        <f>R258+Q259</f>
        <v/>
      </c>
      <c r="S259" s="16">
        <f>S258+IF(N259="已下單",M259,0)</f>
        <v/>
      </c>
      <c r="T259" s="16">
        <f>R259-S259</f>
        <v/>
      </c>
      <c r="U259" s="2">
        <f>U258+IF(N259="已下單",1,0)</f>
        <v/>
      </c>
      <c r="V259" s="16">
        <f>IF(資金模擬!$B$9=2,MAX(R259,0),MAX(V258,FLOOR(MAX(R259,0),資金模擬!$B$6)))</f>
        <v/>
      </c>
      <c r="W259" s="10">
        <f>MAX(W258,R259)</f>
        <v/>
      </c>
      <c r="X259" s="4">
        <f>IF(W259&gt;0,R259/W259-1,-1)</f>
        <v/>
      </c>
      <c r="Y259" s="16">
        <f>IF(R259&gt;0,S259*資金模擬!$B$7/R259,0)</f>
        <v/>
      </c>
      <c r="Z259" s="2">
        <f>IF(OR(Z258=1,R259&lt;=資金模擬!$B$10),1,0)</f>
        <v/>
      </c>
    </row>
    <row r="260">
      <c r="A260" s="2" t="n">
        <v>258</v>
      </c>
      <c r="B260" s="7" t="n">
        <v>46287.42013888889</v>
      </c>
      <c r="C260" s="2" t="inlineStr">
        <is>
          <t>出場</t>
        </is>
      </c>
      <c r="D260" s="2" t="n">
        <v>129</v>
      </c>
      <c r="E260" s="2" t="inlineStr">
        <is>
          <t>KERNEL_USDT_PERP</t>
        </is>
      </c>
      <c r="F260" s="2" t="inlineStr">
        <is>
          <t>做空</t>
        </is>
      </c>
      <c r="G260" s="17" t="n">
        <v>0.06475</v>
      </c>
      <c r="H260" s="17" t="n">
        <v>0.06216</v>
      </c>
      <c r="I260" s="17" t="n">
        <v>0.06798750000000001</v>
      </c>
      <c r="J260" s="17" t="n">
        <v>0.06798750000000001</v>
      </c>
      <c r="K260" s="2" t="inlineStr">
        <is>
          <t>止損</t>
        </is>
      </c>
      <c r="L260" s="5">
        <f>交易明細!K130</f>
        <v/>
      </c>
      <c r="M260" s="16">
        <f>M259</f>
        <v/>
      </c>
      <c r="N260" s="2">
        <f>N259</f>
        <v/>
      </c>
      <c r="O260" s="16">
        <f>O259</f>
        <v/>
      </c>
      <c r="P260" s="4">
        <f>交易明細!L130</f>
        <v/>
      </c>
      <c r="Q260" s="10">
        <f>IF(N260="已下單",O260*P260,0)</f>
        <v/>
      </c>
      <c r="R260" s="10">
        <f>R259+Q260</f>
        <v/>
      </c>
      <c r="S260" s="16">
        <f>S259-IF(N260="已下單",M260,0)</f>
        <v/>
      </c>
      <c r="T260" s="16">
        <f>R260-S260</f>
        <v/>
      </c>
      <c r="U260" s="2">
        <f>U259-IF(N260="已下單",1,0)</f>
        <v/>
      </c>
      <c r="V260" s="16">
        <f>IF(資金模擬!$B$9=2,MAX(R260,0),MAX(V259,FLOOR(MAX(R260,0),資金模擬!$B$6)))</f>
        <v/>
      </c>
      <c r="W260" s="10">
        <f>MAX(W259,R260)</f>
        <v/>
      </c>
      <c r="X260" s="4">
        <f>IF(W260&gt;0,R260/W260-1,-1)</f>
        <v/>
      </c>
      <c r="Y260" s="16">
        <f>IF(R260&gt;0,S260*資金模擬!$B$7/R260,0)</f>
        <v/>
      </c>
      <c r="Z260" s="2">
        <f>IF(OR(Z259=1,R260&lt;=資金模擬!$B$10),1,0)</f>
        <v/>
      </c>
    </row>
    <row r="261">
      <c r="A261" s="2" t="n">
        <v>259</v>
      </c>
      <c r="B261" s="7" t="n">
        <v>46287.46527777778</v>
      </c>
      <c r="C261" s="2" t="inlineStr">
        <is>
          <t>進場</t>
        </is>
      </c>
      <c r="D261" s="2" t="n">
        <v>130</v>
      </c>
      <c r="E261" s="2" t="inlineStr">
        <is>
          <t>KERNEL_USDT_PERP</t>
        </is>
      </c>
      <c r="F261" s="2" t="inlineStr">
        <is>
          <t>做空</t>
        </is>
      </c>
      <c r="G261" s="17" t="n">
        <v>0.06519</v>
      </c>
      <c r="H261" s="17" t="n">
        <v>0.0625824</v>
      </c>
      <c r="I261" s="17" t="n">
        <v>0.0684495</v>
      </c>
      <c r="J261" s="17" t="n"/>
      <c r="K261" s="2" t="n"/>
      <c r="L261" s="5" t="n"/>
      <c r="M261" s="16">
        <f>資金模擬!$B$5*V260</f>
        <v/>
      </c>
      <c r="N261" s="2">
        <f>IF(Z260=1,"已停止",IF(T260&gt;=M261,"已下單","資金不足略過"))</f>
        <v/>
      </c>
      <c r="O261" s="16">
        <f>IF(N261="已下單",M261*資金模擬!$B$7,0)</f>
        <v/>
      </c>
      <c r="P261" s="4" t="n"/>
      <c r="Q261" s="10" t="n">
        <v>0</v>
      </c>
      <c r="R261" s="10">
        <f>R260+Q261</f>
        <v/>
      </c>
      <c r="S261" s="16">
        <f>S260+IF(N261="已下單",M261,0)</f>
        <v/>
      </c>
      <c r="T261" s="16">
        <f>R261-S261</f>
        <v/>
      </c>
      <c r="U261" s="2">
        <f>U260+IF(N261="已下單",1,0)</f>
        <v/>
      </c>
      <c r="V261" s="16">
        <f>IF(資金模擬!$B$9=2,MAX(R261,0),MAX(V260,FLOOR(MAX(R261,0),資金模擬!$B$6)))</f>
        <v/>
      </c>
      <c r="W261" s="10">
        <f>MAX(W260,R261)</f>
        <v/>
      </c>
      <c r="X261" s="4">
        <f>IF(W261&gt;0,R261/W261-1,-1)</f>
        <v/>
      </c>
      <c r="Y261" s="16">
        <f>IF(R261&gt;0,S261*資金模擬!$B$7/R261,0)</f>
        <v/>
      </c>
      <c r="Z261" s="2">
        <f>IF(OR(Z260=1,R261&lt;=資金模擬!$B$10),1,0)</f>
        <v/>
      </c>
    </row>
    <row r="262">
      <c r="A262" s="2" t="n">
        <v>260</v>
      </c>
      <c r="B262" s="7" t="n">
        <v>46287.49652777778</v>
      </c>
      <c r="C262" s="2" t="inlineStr">
        <is>
          <t>進場</t>
        </is>
      </c>
      <c r="D262" s="2" t="n">
        <v>131</v>
      </c>
      <c r="E262" s="2" t="inlineStr">
        <is>
          <t>AGT_USDT_PERP</t>
        </is>
      </c>
      <c r="F262" s="2" t="inlineStr">
        <is>
          <t>做空</t>
        </is>
      </c>
      <c r="G262" s="17" t="n">
        <v>0.018558</v>
      </c>
      <c r="H262" s="17" t="n">
        <v>0.01781568</v>
      </c>
      <c r="I262" s="17" t="n">
        <v>0.0194859</v>
      </c>
      <c r="J262" s="17" t="n"/>
      <c r="K262" s="2" t="n"/>
      <c r="L262" s="5" t="n"/>
      <c r="M262" s="16">
        <f>資金模擬!$B$5*V261</f>
        <v/>
      </c>
      <c r="N262" s="2">
        <f>IF(Z261=1,"已停止",IF(T261&gt;=M262,"已下單","資金不足略過"))</f>
        <v/>
      </c>
      <c r="O262" s="16">
        <f>IF(N262="已下單",M262*資金模擬!$B$7,0)</f>
        <v/>
      </c>
      <c r="P262" s="4" t="n"/>
      <c r="Q262" s="10" t="n">
        <v>0</v>
      </c>
      <c r="R262" s="10">
        <f>R261+Q262</f>
        <v/>
      </c>
      <c r="S262" s="16">
        <f>S261+IF(N262="已下單",M262,0)</f>
        <v/>
      </c>
      <c r="T262" s="16">
        <f>R262-S262</f>
        <v/>
      </c>
      <c r="U262" s="2">
        <f>U261+IF(N262="已下單",1,0)</f>
        <v/>
      </c>
      <c r="V262" s="16">
        <f>IF(資金模擬!$B$9=2,MAX(R262,0),MAX(V261,FLOOR(MAX(R262,0),資金模擬!$B$6)))</f>
        <v/>
      </c>
      <c r="W262" s="10">
        <f>MAX(W261,R262)</f>
        <v/>
      </c>
      <c r="X262" s="4">
        <f>IF(W262&gt;0,R262/W262-1,-1)</f>
        <v/>
      </c>
      <c r="Y262" s="16">
        <f>IF(R262&gt;0,S262*資金模擬!$B$7/R262,0)</f>
        <v/>
      </c>
      <c r="Z262" s="2">
        <f>IF(OR(Z261=1,R262&lt;=資金模擬!$B$10),1,0)</f>
        <v/>
      </c>
    </row>
    <row r="263">
      <c r="A263" s="2" t="n">
        <v>261</v>
      </c>
      <c r="B263" s="7" t="n">
        <v>46287.50347222222</v>
      </c>
      <c r="C263" s="2" t="inlineStr">
        <is>
          <t>出場</t>
        </is>
      </c>
      <c r="D263" s="2" t="n">
        <v>131</v>
      </c>
      <c r="E263" s="2" t="inlineStr">
        <is>
          <t>AGT_USDT_PERP</t>
        </is>
      </c>
      <c r="F263" s="2" t="inlineStr">
        <is>
          <t>做空</t>
        </is>
      </c>
      <c r="G263" s="17" t="n">
        <v>0.018558</v>
      </c>
      <c r="H263" s="17" t="n">
        <v>0.01781568</v>
      </c>
      <c r="I263" s="17" t="n">
        <v>0.0194859</v>
      </c>
      <c r="J263" s="17" t="n">
        <v>0.0194859</v>
      </c>
      <c r="K263" s="2" t="inlineStr">
        <is>
          <t>止損</t>
        </is>
      </c>
      <c r="L263" s="5">
        <f>交易明細!K132</f>
        <v/>
      </c>
      <c r="M263" s="16">
        <f>M262</f>
        <v/>
      </c>
      <c r="N263" s="2">
        <f>N262</f>
        <v/>
      </c>
      <c r="O263" s="16">
        <f>O262</f>
        <v/>
      </c>
      <c r="P263" s="4">
        <f>交易明細!L132</f>
        <v/>
      </c>
      <c r="Q263" s="10">
        <f>IF(N263="已下單",O263*P263,0)</f>
        <v/>
      </c>
      <c r="R263" s="10">
        <f>R262+Q263</f>
        <v/>
      </c>
      <c r="S263" s="16">
        <f>S262-IF(N263="已下單",M263,0)</f>
        <v/>
      </c>
      <c r="T263" s="16">
        <f>R263-S263</f>
        <v/>
      </c>
      <c r="U263" s="2">
        <f>U262-IF(N263="已下單",1,0)</f>
        <v/>
      </c>
      <c r="V263" s="16">
        <f>IF(資金模擬!$B$9=2,MAX(R263,0),MAX(V262,FLOOR(MAX(R263,0),資金模擬!$B$6)))</f>
        <v/>
      </c>
      <c r="W263" s="10">
        <f>MAX(W262,R263)</f>
        <v/>
      </c>
      <c r="X263" s="4">
        <f>IF(W263&gt;0,R263/W263-1,-1)</f>
        <v/>
      </c>
      <c r="Y263" s="16">
        <f>IF(R263&gt;0,S263*資金模擬!$B$7/R263,0)</f>
        <v/>
      </c>
      <c r="Z263" s="2">
        <f>IF(OR(Z262=1,R263&lt;=資金模擬!$B$10),1,0)</f>
        <v/>
      </c>
    </row>
    <row r="264">
      <c r="A264" s="2" t="n">
        <v>262</v>
      </c>
      <c r="B264" s="7" t="n">
        <v>46287.54861111111</v>
      </c>
      <c r="C264" s="2" t="inlineStr">
        <is>
          <t>出場</t>
        </is>
      </c>
      <c r="D264" s="2" t="n">
        <v>130</v>
      </c>
      <c r="E264" s="2" t="inlineStr">
        <is>
          <t>KERNEL_USDT_PERP</t>
        </is>
      </c>
      <c r="F264" s="2" t="inlineStr">
        <is>
          <t>做空</t>
        </is>
      </c>
      <c r="G264" s="17" t="n">
        <v>0.06519</v>
      </c>
      <c r="H264" s="17" t="n">
        <v>0.0625824</v>
      </c>
      <c r="I264" s="17" t="n">
        <v>0.0684495</v>
      </c>
      <c r="J264" s="17" t="n">
        <v>0.0625824</v>
      </c>
      <c r="K264" s="2" t="inlineStr">
        <is>
          <t>止盈</t>
        </is>
      </c>
      <c r="L264" s="5">
        <f>交易明細!K131</f>
        <v/>
      </c>
      <c r="M264" s="16">
        <f>M261</f>
        <v/>
      </c>
      <c r="N264" s="2">
        <f>N261</f>
        <v/>
      </c>
      <c r="O264" s="16">
        <f>O261</f>
        <v/>
      </c>
      <c r="P264" s="4">
        <f>交易明細!L131</f>
        <v/>
      </c>
      <c r="Q264" s="10">
        <f>IF(N264="已下單",O264*P264,0)</f>
        <v/>
      </c>
      <c r="R264" s="10">
        <f>R263+Q264</f>
        <v/>
      </c>
      <c r="S264" s="16">
        <f>S263-IF(N264="已下單",M264,0)</f>
        <v/>
      </c>
      <c r="T264" s="16">
        <f>R264-S264</f>
        <v/>
      </c>
      <c r="U264" s="2">
        <f>U263-IF(N264="已下單",1,0)</f>
        <v/>
      </c>
      <c r="V264" s="16">
        <f>IF(資金模擬!$B$9=2,MAX(R264,0),MAX(V263,FLOOR(MAX(R264,0),資金模擬!$B$6)))</f>
        <v/>
      </c>
      <c r="W264" s="10">
        <f>MAX(W263,R264)</f>
        <v/>
      </c>
      <c r="X264" s="4">
        <f>IF(W264&gt;0,R264/W264-1,-1)</f>
        <v/>
      </c>
      <c r="Y264" s="16">
        <f>IF(R264&gt;0,S264*資金模擬!$B$7/R264,0)</f>
        <v/>
      </c>
      <c r="Z264" s="2">
        <f>IF(OR(Z263=1,R264&lt;=資金模擬!$B$10),1,0)</f>
        <v/>
      </c>
    </row>
    <row r="265">
      <c r="A265" s="2" t="n">
        <v>263</v>
      </c>
      <c r="B265" s="7" t="n">
        <v>46287.54861111111</v>
      </c>
      <c r="C265" s="2" t="inlineStr">
        <is>
          <t>進場</t>
        </is>
      </c>
      <c r="D265" s="2" t="n">
        <v>132</v>
      </c>
      <c r="E265" s="2" t="inlineStr">
        <is>
          <t>AGT_USDT_PERP</t>
        </is>
      </c>
      <c r="F265" s="2" t="inlineStr">
        <is>
          <t>做空</t>
        </is>
      </c>
      <c r="G265" s="17" t="n">
        <v>0.026065</v>
      </c>
      <c r="H265" s="17" t="n">
        <v>0.0250224</v>
      </c>
      <c r="I265" s="17" t="n">
        <v>0.02736825</v>
      </c>
      <c r="J265" s="17" t="n"/>
      <c r="K265" s="2" t="n"/>
      <c r="L265" s="5" t="n"/>
      <c r="M265" s="16">
        <f>資金模擬!$B$5*V264</f>
        <v/>
      </c>
      <c r="N265" s="2">
        <f>IF(Z264=1,"已停止",IF(T264&gt;=M265,"已下單","資金不足略過"))</f>
        <v/>
      </c>
      <c r="O265" s="16">
        <f>IF(N265="已下單",M265*資金模擬!$B$7,0)</f>
        <v/>
      </c>
      <c r="P265" s="4" t="n"/>
      <c r="Q265" s="10" t="n">
        <v>0</v>
      </c>
      <c r="R265" s="10">
        <f>R264+Q265</f>
        <v/>
      </c>
      <c r="S265" s="16">
        <f>S264+IF(N265="已下單",M265,0)</f>
        <v/>
      </c>
      <c r="T265" s="16">
        <f>R265-S265</f>
        <v/>
      </c>
      <c r="U265" s="2">
        <f>U264+IF(N265="已下單",1,0)</f>
        <v/>
      </c>
      <c r="V265" s="16">
        <f>IF(資金模擬!$B$9=2,MAX(R265,0),MAX(V264,FLOOR(MAX(R265,0),資金模擬!$B$6)))</f>
        <v/>
      </c>
      <c r="W265" s="10">
        <f>MAX(W264,R265)</f>
        <v/>
      </c>
      <c r="X265" s="4">
        <f>IF(W265&gt;0,R265/W265-1,-1)</f>
        <v/>
      </c>
      <c r="Y265" s="16">
        <f>IF(R265&gt;0,S265*資金模擬!$B$7/R265,0)</f>
        <v/>
      </c>
      <c r="Z265" s="2">
        <f>IF(OR(Z264=1,R265&lt;=資金模擬!$B$10),1,0)</f>
        <v/>
      </c>
    </row>
    <row r="266">
      <c r="A266" s="2" t="n">
        <v>264</v>
      </c>
      <c r="B266" s="7" t="n">
        <v>46287.55208333334</v>
      </c>
      <c r="C266" s="2" t="inlineStr">
        <is>
          <t>出場</t>
        </is>
      </c>
      <c r="D266" s="2" t="n">
        <v>132</v>
      </c>
      <c r="E266" s="2" t="inlineStr">
        <is>
          <t>AGT_USDT_PERP</t>
        </is>
      </c>
      <c r="F266" s="2" t="inlineStr">
        <is>
          <t>做空</t>
        </is>
      </c>
      <c r="G266" s="17" t="n">
        <v>0.026065</v>
      </c>
      <c r="H266" s="17" t="n">
        <v>0.0250224</v>
      </c>
      <c r="I266" s="17" t="n">
        <v>0.02736825</v>
      </c>
      <c r="J266" s="17" t="n">
        <v>0.0250224</v>
      </c>
      <c r="K266" s="2" t="inlineStr">
        <is>
          <t>止盈</t>
        </is>
      </c>
      <c r="L266" s="5">
        <f>交易明細!K133</f>
        <v/>
      </c>
      <c r="M266" s="16">
        <f>M265</f>
        <v/>
      </c>
      <c r="N266" s="2">
        <f>N265</f>
        <v/>
      </c>
      <c r="O266" s="16">
        <f>O265</f>
        <v/>
      </c>
      <c r="P266" s="4">
        <f>交易明細!L133</f>
        <v/>
      </c>
      <c r="Q266" s="10">
        <f>IF(N266="已下單",O266*P266,0)</f>
        <v/>
      </c>
      <c r="R266" s="10">
        <f>R265+Q266</f>
        <v/>
      </c>
      <c r="S266" s="16">
        <f>S265-IF(N266="已下單",M266,0)</f>
        <v/>
      </c>
      <c r="T266" s="16">
        <f>R266-S266</f>
        <v/>
      </c>
      <c r="U266" s="2">
        <f>U265-IF(N266="已下單",1,0)</f>
        <v/>
      </c>
      <c r="V266" s="16">
        <f>IF(資金模擬!$B$9=2,MAX(R266,0),MAX(V265,FLOOR(MAX(R266,0),資金模擬!$B$6)))</f>
        <v/>
      </c>
      <c r="W266" s="10">
        <f>MAX(W265,R266)</f>
        <v/>
      </c>
      <c r="X266" s="4">
        <f>IF(W266&gt;0,R266/W266-1,-1)</f>
        <v/>
      </c>
      <c r="Y266" s="16">
        <f>IF(R266&gt;0,S266*資金模擬!$B$7/R266,0)</f>
        <v/>
      </c>
      <c r="Z266" s="2">
        <f>IF(OR(Z265=1,R266&lt;=資金模擬!$B$10),1,0)</f>
        <v/>
      </c>
    </row>
    <row r="267">
      <c r="A267" s="2" t="n">
        <v>265</v>
      </c>
      <c r="B267" s="7" t="n">
        <v>46287.82986111111</v>
      </c>
      <c r="C267" s="2" t="inlineStr">
        <is>
          <t>進場</t>
        </is>
      </c>
      <c r="D267" s="2" t="n">
        <v>133</v>
      </c>
      <c r="E267" s="2" t="inlineStr">
        <is>
          <t>哈基米_USDT_PERP</t>
        </is>
      </c>
      <c r="F267" s="2" t="inlineStr">
        <is>
          <t>做空</t>
        </is>
      </c>
      <c r="G267" s="17" t="n">
        <v>0.03989</v>
      </c>
      <c r="H267" s="17" t="n">
        <v>0.0382944</v>
      </c>
      <c r="I267" s="17" t="n">
        <v>0.04188450000000001</v>
      </c>
      <c r="J267" s="17" t="n"/>
      <c r="K267" s="2" t="n"/>
      <c r="L267" s="5" t="n"/>
      <c r="M267" s="16">
        <f>資金模擬!$B$5*V266</f>
        <v/>
      </c>
      <c r="N267" s="2">
        <f>IF(Z266=1,"已停止",IF(T266&gt;=M267,"已下單","資金不足略過"))</f>
        <v/>
      </c>
      <c r="O267" s="16">
        <f>IF(N267="已下單",M267*資金模擬!$B$7,0)</f>
        <v/>
      </c>
      <c r="P267" s="4" t="n"/>
      <c r="Q267" s="10" t="n">
        <v>0</v>
      </c>
      <c r="R267" s="10">
        <f>R266+Q267</f>
        <v/>
      </c>
      <c r="S267" s="16">
        <f>S266+IF(N267="已下單",M267,0)</f>
        <v/>
      </c>
      <c r="T267" s="16">
        <f>R267-S267</f>
        <v/>
      </c>
      <c r="U267" s="2">
        <f>U266+IF(N267="已下單",1,0)</f>
        <v/>
      </c>
      <c r="V267" s="16">
        <f>IF(資金模擬!$B$9=2,MAX(R267,0),MAX(V266,FLOOR(MAX(R267,0),資金模擬!$B$6)))</f>
        <v/>
      </c>
      <c r="W267" s="10">
        <f>MAX(W266,R267)</f>
        <v/>
      </c>
      <c r="X267" s="4">
        <f>IF(W267&gt;0,R267/W267-1,-1)</f>
        <v/>
      </c>
      <c r="Y267" s="16">
        <f>IF(R267&gt;0,S267*資金模擬!$B$7/R267,0)</f>
        <v/>
      </c>
      <c r="Z267" s="2">
        <f>IF(OR(Z266=1,R267&lt;=資金模擬!$B$10),1,0)</f>
        <v/>
      </c>
    </row>
    <row r="268">
      <c r="A268" s="2" t="n">
        <v>266</v>
      </c>
      <c r="B268" s="7" t="n">
        <v>46287.85069444445</v>
      </c>
      <c r="C268" s="2" t="inlineStr">
        <is>
          <t>出場</t>
        </is>
      </c>
      <c r="D268" s="2" t="n">
        <v>133</v>
      </c>
      <c r="E268" s="2" t="inlineStr">
        <is>
          <t>哈基米_USDT_PERP</t>
        </is>
      </c>
      <c r="F268" s="2" t="inlineStr">
        <is>
          <t>做空</t>
        </is>
      </c>
      <c r="G268" s="17" t="n">
        <v>0.03989</v>
      </c>
      <c r="H268" s="17" t="n">
        <v>0.0382944</v>
      </c>
      <c r="I268" s="17" t="n">
        <v>0.04188450000000001</v>
      </c>
      <c r="J268" s="17" t="n">
        <v>0.04188450000000001</v>
      </c>
      <c r="K268" s="2" t="inlineStr">
        <is>
          <t>止損</t>
        </is>
      </c>
      <c r="L268" s="5">
        <f>交易明細!K134</f>
        <v/>
      </c>
      <c r="M268" s="16">
        <f>M267</f>
        <v/>
      </c>
      <c r="N268" s="2">
        <f>N267</f>
        <v/>
      </c>
      <c r="O268" s="16">
        <f>O267</f>
        <v/>
      </c>
      <c r="P268" s="4">
        <f>交易明細!L134</f>
        <v/>
      </c>
      <c r="Q268" s="10">
        <f>IF(N268="已下單",O268*P268,0)</f>
        <v/>
      </c>
      <c r="R268" s="10">
        <f>R267+Q268</f>
        <v/>
      </c>
      <c r="S268" s="16">
        <f>S267-IF(N268="已下單",M268,0)</f>
        <v/>
      </c>
      <c r="T268" s="16">
        <f>R268-S268</f>
        <v/>
      </c>
      <c r="U268" s="2">
        <f>U267-IF(N268="已下單",1,0)</f>
        <v/>
      </c>
      <c r="V268" s="16">
        <f>IF(資金模擬!$B$9=2,MAX(R268,0),MAX(V267,FLOOR(MAX(R268,0),資金模擬!$B$6)))</f>
        <v/>
      </c>
      <c r="W268" s="10">
        <f>MAX(W267,R268)</f>
        <v/>
      </c>
      <c r="X268" s="4">
        <f>IF(W268&gt;0,R268/W268-1,-1)</f>
        <v/>
      </c>
      <c r="Y268" s="16">
        <f>IF(R268&gt;0,S268*資金模擬!$B$7/R268,0)</f>
        <v/>
      </c>
      <c r="Z268" s="2">
        <f>IF(OR(Z267=1,R268&lt;=資金模擬!$B$10),1,0)</f>
        <v/>
      </c>
    </row>
    <row r="269">
      <c r="A269" s="2" t="n">
        <v>267</v>
      </c>
      <c r="B269" s="7" t="n">
        <v>46288.08333333334</v>
      </c>
      <c r="C269" s="2" t="inlineStr">
        <is>
          <t>進場</t>
        </is>
      </c>
      <c r="D269" s="2" t="n">
        <v>134</v>
      </c>
      <c r="E269" s="2" t="inlineStr">
        <is>
          <t>DRIFT_USDT_PERP</t>
        </is>
      </c>
      <c r="F269" s="2" t="inlineStr">
        <is>
          <t>做空</t>
        </is>
      </c>
      <c r="G269" s="17" t="n">
        <v>0.02134</v>
      </c>
      <c r="H269" s="17" t="n">
        <v>0.0204864</v>
      </c>
      <c r="I269" s="17" t="n">
        <v>0.022407</v>
      </c>
      <c r="J269" s="17" t="n"/>
      <c r="K269" s="2" t="n"/>
      <c r="L269" s="5" t="n"/>
      <c r="M269" s="16">
        <f>資金模擬!$B$5*V268</f>
        <v/>
      </c>
      <c r="N269" s="2">
        <f>IF(Z268=1,"已停止",IF(T268&gt;=M269,"已下單","資金不足略過"))</f>
        <v/>
      </c>
      <c r="O269" s="16">
        <f>IF(N269="已下單",M269*資金模擬!$B$7,0)</f>
        <v/>
      </c>
      <c r="P269" s="4" t="n"/>
      <c r="Q269" s="10" t="n">
        <v>0</v>
      </c>
      <c r="R269" s="10">
        <f>R268+Q269</f>
        <v/>
      </c>
      <c r="S269" s="16">
        <f>S268+IF(N269="已下單",M269,0)</f>
        <v/>
      </c>
      <c r="T269" s="16">
        <f>R269-S269</f>
        <v/>
      </c>
      <c r="U269" s="2">
        <f>U268+IF(N269="已下單",1,0)</f>
        <v/>
      </c>
      <c r="V269" s="16">
        <f>IF(資金模擬!$B$9=2,MAX(R269,0),MAX(V268,FLOOR(MAX(R269,0),資金模擬!$B$6)))</f>
        <v/>
      </c>
      <c r="W269" s="10">
        <f>MAX(W268,R269)</f>
        <v/>
      </c>
      <c r="X269" s="4">
        <f>IF(W269&gt;0,R269/W269-1,-1)</f>
        <v/>
      </c>
      <c r="Y269" s="16">
        <f>IF(R269&gt;0,S269*資金模擬!$B$7/R269,0)</f>
        <v/>
      </c>
      <c r="Z269" s="2">
        <f>IF(OR(Z268=1,R269&lt;=資金模擬!$B$10),1,0)</f>
        <v/>
      </c>
    </row>
    <row r="270">
      <c r="A270" s="2" t="n">
        <v>268</v>
      </c>
      <c r="B270" s="7" t="n">
        <v>46288.08680555555</v>
      </c>
      <c r="C270" s="2" t="inlineStr">
        <is>
          <t>進場</t>
        </is>
      </c>
      <c r="D270" s="2" t="n">
        <v>135</v>
      </c>
      <c r="E270" s="2" t="inlineStr">
        <is>
          <t>4_USDT_PERP</t>
        </is>
      </c>
      <c r="F270" s="2" t="inlineStr">
        <is>
          <t>做空</t>
        </is>
      </c>
      <c r="G270" s="17" t="n">
        <v>0.02609</v>
      </c>
      <c r="H270" s="17" t="n">
        <v>0.0250464</v>
      </c>
      <c r="I270" s="17" t="n">
        <v>0.0273945</v>
      </c>
      <c r="J270" s="17" t="n"/>
      <c r="K270" s="2" t="n"/>
      <c r="L270" s="5" t="n"/>
      <c r="M270" s="16">
        <f>資金模擬!$B$5*V269</f>
        <v/>
      </c>
      <c r="N270" s="2">
        <f>IF(Z269=1,"已停止",IF(T269&gt;=M270,"已下單","資金不足略過"))</f>
        <v/>
      </c>
      <c r="O270" s="16">
        <f>IF(N270="已下單",M270*資金模擬!$B$7,0)</f>
        <v/>
      </c>
      <c r="P270" s="4" t="n"/>
      <c r="Q270" s="10" t="n">
        <v>0</v>
      </c>
      <c r="R270" s="10">
        <f>R269+Q270</f>
        <v/>
      </c>
      <c r="S270" s="16">
        <f>S269+IF(N270="已下單",M270,0)</f>
        <v/>
      </c>
      <c r="T270" s="16">
        <f>R270-S270</f>
        <v/>
      </c>
      <c r="U270" s="2">
        <f>U269+IF(N270="已下單",1,0)</f>
        <v/>
      </c>
      <c r="V270" s="16">
        <f>IF(資金模擬!$B$9=2,MAX(R270,0),MAX(V269,FLOOR(MAX(R270,0),資金模擬!$B$6)))</f>
        <v/>
      </c>
      <c r="W270" s="10">
        <f>MAX(W269,R270)</f>
        <v/>
      </c>
      <c r="X270" s="4">
        <f>IF(W270&gt;0,R270/W270-1,-1)</f>
        <v/>
      </c>
      <c r="Y270" s="16">
        <f>IF(R270&gt;0,S270*資金模擬!$B$7/R270,0)</f>
        <v/>
      </c>
      <c r="Z270" s="2">
        <f>IF(OR(Z269=1,R270&lt;=資金模擬!$B$10),1,0)</f>
        <v/>
      </c>
    </row>
    <row r="271">
      <c r="A271" s="2" t="n">
        <v>269</v>
      </c>
      <c r="B271" s="7" t="n">
        <v>46288.09027777778</v>
      </c>
      <c r="C271" s="2" t="inlineStr">
        <is>
          <t>出場</t>
        </is>
      </c>
      <c r="D271" s="2" t="n">
        <v>134</v>
      </c>
      <c r="E271" s="2" t="inlineStr">
        <is>
          <t>DRIFT_USDT_PERP</t>
        </is>
      </c>
      <c r="F271" s="2" t="inlineStr">
        <is>
          <t>做空</t>
        </is>
      </c>
      <c r="G271" s="17" t="n">
        <v>0.02134</v>
      </c>
      <c r="H271" s="17" t="n">
        <v>0.0204864</v>
      </c>
      <c r="I271" s="17" t="n">
        <v>0.022407</v>
      </c>
      <c r="J271" s="17" t="n">
        <v>0.022407</v>
      </c>
      <c r="K271" s="2" t="inlineStr">
        <is>
          <t>止損</t>
        </is>
      </c>
      <c r="L271" s="5">
        <f>交易明細!K135</f>
        <v/>
      </c>
      <c r="M271" s="16">
        <f>M269</f>
        <v/>
      </c>
      <c r="N271" s="2">
        <f>N269</f>
        <v/>
      </c>
      <c r="O271" s="16">
        <f>O269</f>
        <v/>
      </c>
      <c r="P271" s="4">
        <f>交易明細!L135</f>
        <v/>
      </c>
      <c r="Q271" s="10">
        <f>IF(N271="已下單",O271*P271,0)</f>
        <v/>
      </c>
      <c r="R271" s="10">
        <f>R270+Q271</f>
        <v/>
      </c>
      <c r="S271" s="16">
        <f>S270-IF(N271="已下單",M271,0)</f>
        <v/>
      </c>
      <c r="T271" s="16">
        <f>R271-S271</f>
        <v/>
      </c>
      <c r="U271" s="2">
        <f>U270-IF(N271="已下單",1,0)</f>
        <v/>
      </c>
      <c r="V271" s="16">
        <f>IF(資金模擬!$B$9=2,MAX(R271,0),MAX(V270,FLOOR(MAX(R271,0),資金模擬!$B$6)))</f>
        <v/>
      </c>
      <c r="W271" s="10">
        <f>MAX(W270,R271)</f>
        <v/>
      </c>
      <c r="X271" s="4">
        <f>IF(W271&gt;0,R271/W271-1,-1)</f>
        <v/>
      </c>
      <c r="Y271" s="16">
        <f>IF(R271&gt;0,S271*資金模擬!$B$7/R271,0)</f>
        <v/>
      </c>
      <c r="Z271" s="2">
        <f>IF(OR(Z270=1,R271&lt;=資金模擬!$B$10),1,0)</f>
        <v/>
      </c>
    </row>
    <row r="272">
      <c r="A272" s="2" t="n">
        <v>270</v>
      </c>
      <c r="B272" s="7" t="n">
        <v>46288.10416666666</v>
      </c>
      <c r="C272" s="2" t="inlineStr">
        <is>
          <t>進場</t>
        </is>
      </c>
      <c r="D272" s="2" t="n">
        <v>136</v>
      </c>
      <c r="E272" s="2" t="inlineStr">
        <is>
          <t>SXT_USDT_PERP</t>
        </is>
      </c>
      <c r="F272" s="2" t="inlineStr">
        <is>
          <t>做空</t>
        </is>
      </c>
      <c r="G272" s="17" t="n">
        <v>0.010309</v>
      </c>
      <c r="H272" s="17" t="n">
        <v>0.00989664</v>
      </c>
      <c r="I272" s="17" t="n">
        <v>0.01082445</v>
      </c>
      <c r="J272" s="17" t="n"/>
      <c r="K272" s="2" t="n"/>
      <c r="L272" s="5" t="n"/>
      <c r="M272" s="16">
        <f>資金模擬!$B$5*V271</f>
        <v/>
      </c>
      <c r="N272" s="2">
        <f>IF(Z271=1,"已停止",IF(T271&gt;=M272,"已下單","資金不足略過"))</f>
        <v/>
      </c>
      <c r="O272" s="16">
        <f>IF(N272="已下單",M272*資金模擬!$B$7,0)</f>
        <v/>
      </c>
      <c r="P272" s="4" t="n"/>
      <c r="Q272" s="10" t="n">
        <v>0</v>
      </c>
      <c r="R272" s="10">
        <f>R271+Q272</f>
        <v/>
      </c>
      <c r="S272" s="16">
        <f>S271+IF(N272="已下單",M272,0)</f>
        <v/>
      </c>
      <c r="T272" s="16">
        <f>R272-S272</f>
        <v/>
      </c>
      <c r="U272" s="2">
        <f>U271+IF(N272="已下單",1,0)</f>
        <v/>
      </c>
      <c r="V272" s="16">
        <f>IF(資金模擬!$B$9=2,MAX(R272,0),MAX(V271,FLOOR(MAX(R272,0),資金模擬!$B$6)))</f>
        <v/>
      </c>
      <c r="W272" s="10">
        <f>MAX(W271,R272)</f>
        <v/>
      </c>
      <c r="X272" s="4">
        <f>IF(W272&gt;0,R272/W272-1,-1)</f>
        <v/>
      </c>
      <c r="Y272" s="16">
        <f>IF(R272&gt;0,S272*資金模擬!$B$7/R272,0)</f>
        <v/>
      </c>
      <c r="Z272" s="2">
        <f>IF(OR(Z271=1,R272&lt;=資金模擬!$B$10),1,0)</f>
        <v/>
      </c>
    </row>
    <row r="273">
      <c r="A273" s="2" t="n">
        <v>271</v>
      </c>
      <c r="B273" s="7" t="n">
        <v>46288.11458333334</v>
      </c>
      <c r="C273" s="2" t="inlineStr">
        <is>
          <t>進場</t>
        </is>
      </c>
      <c r="D273" s="2" t="n">
        <v>137</v>
      </c>
      <c r="E273" s="2" t="inlineStr">
        <is>
          <t>ON_USDT_PERP</t>
        </is>
      </c>
      <c r="F273" s="2" t="inlineStr">
        <is>
          <t>做空</t>
        </is>
      </c>
      <c r="G273" s="17" t="n">
        <v>0.1524</v>
      </c>
      <c r="H273" s="17" t="n">
        <v>0.146304</v>
      </c>
      <c r="I273" s="17" t="n">
        <v>0.16002</v>
      </c>
      <c r="J273" s="17" t="n"/>
      <c r="K273" s="2" t="n"/>
      <c r="L273" s="5" t="n"/>
      <c r="M273" s="16">
        <f>資金模擬!$B$5*V272</f>
        <v/>
      </c>
      <c r="N273" s="2">
        <f>IF(Z272=1,"已停止",IF(T272&gt;=M273,"已下單","資金不足略過"))</f>
        <v/>
      </c>
      <c r="O273" s="16">
        <f>IF(N273="已下單",M273*資金模擬!$B$7,0)</f>
        <v/>
      </c>
      <c r="P273" s="4" t="n"/>
      <c r="Q273" s="10" t="n">
        <v>0</v>
      </c>
      <c r="R273" s="10">
        <f>R272+Q273</f>
        <v/>
      </c>
      <c r="S273" s="16">
        <f>S272+IF(N273="已下單",M273,0)</f>
        <v/>
      </c>
      <c r="T273" s="16">
        <f>R273-S273</f>
        <v/>
      </c>
      <c r="U273" s="2">
        <f>U272+IF(N273="已下單",1,0)</f>
        <v/>
      </c>
      <c r="V273" s="16">
        <f>IF(資金模擬!$B$9=2,MAX(R273,0),MAX(V272,FLOOR(MAX(R273,0),資金模擬!$B$6)))</f>
        <v/>
      </c>
      <c r="W273" s="10">
        <f>MAX(W272,R273)</f>
        <v/>
      </c>
      <c r="X273" s="4">
        <f>IF(W273&gt;0,R273/W273-1,-1)</f>
        <v/>
      </c>
      <c r="Y273" s="16">
        <f>IF(R273&gt;0,S273*資金模擬!$B$7/R273,0)</f>
        <v/>
      </c>
      <c r="Z273" s="2">
        <f>IF(OR(Z272=1,R273&lt;=資金模擬!$B$10),1,0)</f>
        <v/>
      </c>
    </row>
    <row r="274">
      <c r="A274" s="2" t="n">
        <v>272</v>
      </c>
      <c r="B274" s="7" t="n">
        <v>46288.12847222222</v>
      </c>
      <c r="C274" s="2" t="inlineStr">
        <is>
          <t>出場</t>
        </is>
      </c>
      <c r="D274" s="2" t="n">
        <v>136</v>
      </c>
      <c r="E274" s="2" t="inlineStr">
        <is>
          <t>SXT_USDT_PERP</t>
        </is>
      </c>
      <c r="F274" s="2" t="inlineStr">
        <is>
          <t>做空</t>
        </is>
      </c>
      <c r="G274" s="17" t="n">
        <v>0.010309</v>
      </c>
      <c r="H274" s="17" t="n">
        <v>0.00989664</v>
      </c>
      <c r="I274" s="17" t="n">
        <v>0.01082445</v>
      </c>
      <c r="J274" s="17" t="n">
        <v>0.00989664</v>
      </c>
      <c r="K274" s="2" t="inlineStr">
        <is>
          <t>止盈</t>
        </is>
      </c>
      <c r="L274" s="5">
        <f>交易明細!K137</f>
        <v/>
      </c>
      <c r="M274" s="16">
        <f>M272</f>
        <v/>
      </c>
      <c r="N274" s="2">
        <f>N272</f>
        <v/>
      </c>
      <c r="O274" s="16">
        <f>O272</f>
        <v/>
      </c>
      <c r="P274" s="4">
        <f>交易明細!L137</f>
        <v/>
      </c>
      <c r="Q274" s="10">
        <f>IF(N274="已下單",O274*P274,0)</f>
        <v/>
      </c>
      <c r="R274" s="10">
        <f>R273+Q274</f>
        <v/>
      </c>
      <c r="S274" s="16">
        <f>S273-IF(N274="已下單",M274,0)</f>
        <v/>
      </c>
      <c r="T274" s="16">
        <f>R274-S274</f>
        <v/>
      </c>
      <c r="U274" s="2">
        <f>U273-IF(N274="已下單",1,0)</f>
        <v/>
      </c>
      <c r="V274" s="16">
        <f>IF(資金模擬!$B$9=2,MAX(R274,0),MAX(V273,FLOOR(MAX(R274,0),資金模擬!$B$6)))</f>
        <v/>
      </c>
      <c r="W274" s="10">
        <f>MAX(W273,R274)</f>
        <v/>
      </c>
      <c r="X274" s="4">
        <f>IF(W274&gt;0,R274/W274-1,-1)</f>
        <v/>
      </c>
      <c r="Y274" s="16">
        <f>IF(R274&gt;0,S274*資金模擬!$B$7/R274,0)</f>
        <v/>
      </c>
      <c r="Z274" s="2">
        <f>IF(OR(Z273=1,R274&lt;=資金模擬!$B$10),1,0)</f>
        <v/>
      </c>
    </row>
    <row r="275">
      <c r="A275" s="2" t="n">
        <v>273</v>
      </c>
      <c r="B275" s="7" t="n">
        <v>46288.13194444445</v>
      </c>
      <c r="C275" s="2" t="inlineStr">
        <is>
          <t>出場</t>
        </is>
      </c>
      <c r="D275" s="2" t="n">
        <v>137</v>
      </c>
      <c r="E275" s="2" t="inlineStr">
        <is>
          <t>ON_USDT_PERP</t>
        </is>
      </c>
      <c r="F275" s="2" t="inlineStr">
        <is>
          <t>做空</t>
        </is>
      </c>
      <c r="G275" s="17" t="n">
        <v>0.1524</v>
      </c>
      <c r="H275" s="17" t="n">
        <v>0.146304</v>
      </c>
      <c r="I275" s="17" t="n">
        <v>0.16002</v>
      </c>
      <c r="J275" s="17" t="n">
        <v>0.16002</v>
      </c>
      <c r="K275" s="2" t="inlineStr">
        <is>
          <t>止損</t>
        </is>
      </c>
      <c r="L275" s="5">
        <f>交易明細!K138</f>
        <v/>
      </c>
      <c r="M275" s="16">
        <f>M273</f>
        <v/>
      </c>
      <c r="N275" s="2">
        <f>N273</f>
        <v/>
      </c>
      <c r="O275" s="16">
        <f>O273</f>
        <v/>
      </c>
      <c r="P275" s="4">
        <f>交易明細!L138</f>
        <v/>
      </c>
      <c r="Q275" s="10">
        <f>IF(N275="已下單",O275*P275,0)</f>
        <v/>
      </c>
      <c r="R275" s="10">
        <f>R274+Q275</f>
        <v/>
      </c>
      <c r="S275" s="16">
        <f>S274-IF(N275="已下單",M275,0)</f>
        <v/>
      </c>
      <c r="T275" s="16">
        <f>R275-S275</f>
        <v/>
      </c>
      <c r="U275" s="2">
        <f>U274-IF(N275="已下單",1,0)</f>
        <v/>
      </c>
      <c r="V275" s="16">
        <f>IF(資金模擬!$B$9=2,MAX(R275,0),MAX(V274,FLOOR(MAX(R275,0),資金模擬!$B$6)))</f>
        <v/>
      </c>
      <c r="W275" s="10">
        <f>MAX(W274,R275)</f>
        <v/>
      </c>
      <c r="X275" s="4">
        <f>IF(W275&gt;0,R275/W275-1,-1)</f>
        <v/>
      </c>
      <c r="Y275" s="16">
        <f>IF(R275&gt;0,S275*資金模擬!$B$7/R275,0)</f>
        <v/>
      </c>
      <c r="Z275" s="2">
        <f>IF(OR(Z274=1,R275&lt;=資金模擬!$B$10),1,0)</f>
        <v/>
      </c>
    </row>
    <row r="276">
      <c r="A276" s="2" t="n">
        <v>274</v>
      </c>
      <c r="B276" s="7" t="n">
        <v>46288.14236111111</v>
      </c>
      <c r="C276" s="2" t="inlineStr">
        <is>
          <t>進場</t>
        </is>
      </c>
      <c r="D276" s="2" t="n">
        <v>138</v>
      </c>
      <c r="E276" s="2" t="inlineStr">
        <is>
          <t>DRIFT_USDT_PERP</t>
        </is>
      </c>
      <c r="F276" s="2" t="inlineStr">
        <is>
          <t>做空</t>
        </is>
      </c>
      <c r="G276" s="17" t="n">
        <v>0.02642</v>
      </c>
      <c r="H276" s="17" t="n">
        <v>0.0253632</v>
      </c>
      <c r="I276" s="17" t="n">
        <v>0.027741</v>
      </c>
      <c r="J276" s="17" t="n"/>
      <c r="K276" s="2" t="n"/>
      <c r="L276" s="5" t="n"/>
      <c r="M276" s="16">
        <f>資金模擬!$B$5*V275</f>
        <v/>
      </c>
      <c r="N276" s="2">
        <f>IF(Z275=1,"已停止",IF(T275&gt;=M276,"已下單","資金不足略過"))</f>
        <v/>
      </c>
      <c r="O276" s="16">
        <f>IF(N276="已下單",M276*資金模擬!$B$7,0)</f>
        <v/>
      </c>
      <c r="P276" s="4" t="n"/>
      <c r="Q276" s="10" t="n">
        <v>0</v>
      </c>
      <c r="R276" s="10">
        <f>R275+Q276</f>
        <v/>
      </c>
      <c r="S276" s="16">
        <f>S275+IF(N276="已下單",M276,0)</f>
        <v/>
      </c>
      <c r="T276" s="16">
        <f>R276-S276</f>
        <v/>
      </c>
      <c r="U276" s="2">
        <f>U275+IF(N276="已下單",1,0)</f>
        <v/>
      </c>
      <c r="V276" s="16">
        <f>IF(資金模擬!$B$9=2,MAX(R276,0),MAX(V275,FLOOR(MAX(R276,0),資金模擬!$B$6)))</f>
        <v/>
      </c>
      <c r="W276" s="10">
        <f>MAX(W275,R276)</f>
        <v/>
      </c>
      <c r="X276" s="4">
        <f>IF(W276&gt;0,R276/W276-1,-1)</f>
        <v/>
      </c>
      <c r="Y276" s="16">
        <f>IF(R276&gt;0,S276*資金模擬!$B$7/R276,0)</f>
        <v/>
      </c>
      <c r="Z276" s="2">
        <f>IF(OR(Z275=1,R276&lt;=資金模擬!$B$10),1,0)</f>
        <v/>
      </c>
    </row>
    <row r="277">
      <c r="A277" s="2" t="n">
        <v>275</v>
      </c>
      <c r="B277" s="7" t="n">
        <v>46288.15277777778</v>
      </c>
      <c r="C277" s="2" t="inlineStr">
        <is>
          <t>出場</t>
        </is>
      </c>
      <c r="D277" s="2" t="n">
        <v>138</v>
      </c>
      <c r="E277" s="2" t="inlineStr">
        <is>
          <t>DRIFT_USDT_PERP</t>
        </is>
      </c>
      <c r="F277" s="2" t="inlineStr">
        <is>
          <t>做空</t>
        </is>
      </c>
      <c r="G277" s="17" t="n">
        <v>0.02642</v>
      </c>
      <c r="H277" s="17" t="n">
        <v>0.0253632</v>
      </c>
      <c r="I277" s="17" t="n">
        <v>0.027741</v>
      </c>
      <c r="J277" s="17" t="n">
        <v>0.0253632</v>
      </c>
      <c r="K277" s="2" t="inlineStr">
        <is>
          <t>止盈</t>
        </is>
      </c>
      <c r="L277" s="5">
        <f>交易明細!K139</f>
        <v/>
      </c>
      <c r="M277" s="16">
        <f>M276</f>
        <v/>
      </c>
      <c r="N277" s="2">
        <f>N276</f>
        <v/>
      </c>
      <c r="O277" s="16">
        <f>O276</f>
        <v/>
      </c>
      <c r="P277" s="4">
        <f>交易明細!L139</f>
        <v/>
      </c>
      <c r="Q277" s="10">
        <f>IF(N277="已下單",O277*P277,0)</f>
        <v/>
      </c>
      <c r="R277" s="10">
        <f>R276+Q277</f>
        <v/>
      </c>
      <c r="S277" s="16">
        <f>S276-IF(N277="已下單",M277,0)</f>
        <v/>
      </c>
      <c r="T277" s="16">
        <f>R277-S277</f>
        <v/>
      </c>
      <c r="U277" s="2">
        <f>U276-IF(N277="已下單",1,0)</f>
        <v/>
      </c>
      <c r="V277" s="16">
        <f>IF(資金模擬!$B$9=2,MAX(R277,0),MAX(V276,FLOOR(MAX(R277,0),資金模擬!$B$6)))</f>
        <v/>
      </c>
      <c r="W277" s="10">
        <f>MAX(W276,R277)</f>
        <v/>
      </c>
      <c r="X277" s="4">
        <f>IF(W277&gt;0,R277/W277-1,-1)</f>
        <v/>
      </c>
      <c r="Y277" s="16">
        <f>IF(R277&gt;0,S277*資金模擬!$B$7/R277,0)</f>
        <v/>
      </c>
      <c r="Z277" s="2">
        <f>IF(OR(Z276=1,R277&lt;=資金模擬!$B$10),1,0)</f>
        <v/>
      </c>
    </row>
    <row r="278">
      <c r="A278" s="2" t="n">
        <v>276</v>
      </c>
      <c r="B278" s="7" t="n">
        <v>46288.16666666666</v>
      </c>
      <c r="C278" s="2" t="inlineStr">
        <is>
          <t>進場</t>
        </is>
      </c>
      <c r="D278" s="2" t="n">
        <v>139</v>
      </c>
      <c r="E278" s="2" t="inlineStr">
        <is>
          <t>FOLKS_USDT_PERP</t>
        </is>
      </c>
      <c r="F278" s="2" t="inlineStr">
        <is>
          <t>做空</t>
        </is>
      </c>
      <c r="G278" s="17" t="n">
        <v>2.56</v>
      </c>
      <c r="H278" s="17" t="n">
        <v>2.4576</v>
      </c>
      <c r="I278" s="17" t="n">
        <v>2.688</v>
      </c>
      <c r="J278" s="17" t="n"/>
      <c r="K278" s="2" t="n"/>
      <c r="L278" s="5" t="n"/>
      <c r="M278" s="16">
        <f>資金模擬!$B$5*V277</f>
        <v/>
      </c>
      <c r="N278" s="2">
        <f>IF(Z277=1,"已停止",IF(T277&gt;=M278,"已下單","資金不足略過"))</f>
        <v/>
      </c>
      <c r="O278" s="16">
        <f>IF(N278="已下單",M278*資金模擬!$B$7,0)</f>
        <v/>
      </c>
      <c r="P278" s="4" t="n"/>
      <c r="Q278" s="10" t="n">
        <v>0</v>
      </c>
      <c r="R278" s="10">
        <f>R277+Q278</f>
        <v/>
      </c>
      <c r="S278" s="16">
        <f>S277+IF(N278="已下單",M278,0)</f>
        <v/>
      </c>
      <c r="T278" s="16">
        <f>R278-S278</f>
        <v/>
      </c>
      <c r="U278" s="2">
        <f>U277+IF(N278="已下單",1,0)</f>
        <v/>
      </c>
      <c r="V278" s="16">
        <f>IF(資金模擬!$B$9=2,MAX(R278,0),MAX(V277,FLOOR(MAX(R278,0),資金模擬!$B$6)))</f>
        <v/>
      </c>
      <c r="W278" s="10">
        <f>MAX(W277,R278)</f>
        <v/>
      </c>
      <c r="X278" s="4">
        <f>IF(W278&gt;0,R278/W278-1,-1)</f>
        <v/>
      </c>
      <c r="Y278" s="16">
        <f>IF(R278&gt;0,S278*資金模擬!$B$7/R278,0)</f>
        <v/>
      </c>
      <c r="Z278" s="2">
        <f>IF(OR(Z277=1,R278&lt;=資金模擬!$B$10),1,0)</f>
        <v/>
      </c>
    </row>
    <row r="279">
      <c r="A279" s="2" t="n">
        <v>277</v>
      </c>
      <c r="B279" s="7" t="n">
        <v>46288.19444444445</v>
      </c>
      <c r="C279" s="2" t="inlineStr">
        <is>
          <t>出場</t>
        </is>
      </c>
      <c r="D279" s="2" t="n">
        <v>139</v>
      </c>
      <c r="E279" s="2" t="inlineStr">
        <is>
          <t>FOLKS_USDT_PERP</t>
        </is>
      </c>
      <c r="F279" s="2" t="inlineStr">
        <is>
          <t>做空</t>
        </is>
      </c>
      <c r="G279" s="17" t="n">
        <v>2.56</v>
      </c>
      <c r="H279" s="17" t="n">
        <v>2.4576</v>
      </c>
      <c r="I279" s="17" t="n">
        <v>2.688</v>
      </c>
      <c r="J279" s="17" t="n">
        <v>2.688</v>
      </c>
      <c r="K279" s="2" t="inlineStr">
        <is>
          <t>止損</t>
        </is>
      </c>
      <c r="L279" s="5">
        <f>交易明細!K140</f>
        <v/>
      </c>
      <c r="M279" s="16">
        <f>M278</f>
        <v/>
      </c>
      <c r="N279" s="2">
        <f>N278</f>
        <v/>
      </c>
      <c r="O279" s="16">
        <f>O278</f>
        <v/>
      </c>
      <c r="P279" s="4">
        <f>交易明細!L140</f>
        <v/>
      </c>
      <c r="Q279" s="10">
        <f>IF(N279="已下單",O279*P279,0)</f>
        <v/>
      </c>
      <c r="R279" s="10">
        <f>R278+Q279</f>
        <v/>
      </c>
      <c r="S279" s="16">
        <f>S278-IF(N279="已下單",M279,0)</f>
        <v/>
      </c>
      <c r="T279" s="16">
        <f>R279-S279</f>
        <v/>
      </c>
      <c r="U279" s="2">
        <f>U278-IF(N279="已下單",1,0)</f>
        <v/>
      </c>
      <c r="V279" s="16">
        <f>IF(資金模擬!$B$9=2,MAX(R279,0),MAX(V278,FLOOR(MAX(R279,0),資金模擬!$B$6)))</f>
        <v/>
      </c>
      <c r="W279" s="10">
        <f>MAX(W278,R279)</f>
        <v/>
      </c>
      <c r="X279" s="4">
        <f>IF(W279&gt;0,R279/W279-1,-1)</f>
        <v/>
      </c>
      <c r="Y279" s="16">
        <f>IF(R279&gt;0,S279*資金模擬!$B$7/R279,0)</f>
        <v/>
      </c>
      <c r="Z279" s="2">
        <f>IF(OR(Z278=1,R279&lt;=資金模擬!$B$10),1,0)</f>
        <v/>
      </c>
    </row>
    <row r="280">
      <c r="A280" s="2" t="n">
        <v>278</v>
      </c>
      <c r="B280" s="7" t="n">
        <v>46288.25694444445</v>
      </c>
      <c r="C280" s="2" t="inlineStr">
        <is>
          <t>出場</t>
        </is>
      </c>
      <c r="D280" s="2" t="n">
        <v>135</v>
      </c>
      <c r="E280" s="2" t="inlineStr">
        <is>
          <t>4_USDT_PERP</t>
        </is>
      </c>
      <c r="F280" s="2" t="inlineStr">
        <is>
          <t>做空</t>
        </is>
      </c>
      <c r="G280" s="17" t="n">
        <v>0.02609</v>
      </c>
      <c r="H280" s="17" t="n">
        <v>0.0250464</v>
      </c>
      <c r="I280" s="17" t="n">
        <v>0.0273945</v>
      </c>
      <c r="J280" s="17" t="n">
        <v>0.0273945</v>
      </c>
      <c r="K280" s="2" t="inlineStr">
        <is>
          <t>止損</t>
        </is>
      </c>
      <c r="L280" s="5">
        <f>交易明細!K136</f>
        <v/>
      </c>
      <c r="M280" s="16">
        <f>M270</f>
        <v/>
      </c>
      <c r="N280" s="2">
        <f>N270</f>
        <v/>
      </c>
      <c r="O280" s="16">
        <f>O270</f>
        <v/>
      </c>
      <c r="P280" s="4">
        <f>交易明細!L136</f>
        <v/>
      </c>
      <c r="Q280" s="10">
        <f>IF(N280="已下單",O280*P280,0)</f>
        <v/>
      </c>
      <c r="R280" s="10">
        <f>R279+Q280</f>
        <v/>
      </c>
      <c r="S280" s="16">
        <f>S279-IF(N280="已下單",M280,0)</f>
        <v/>
      </c>
      <c r="T280" s="16">
        <f>R280-S280</f>
        <v/>
      </c>
      <c r="U280" s="2">
        <f>U279-IF(N280="已下單",1,0)</f>
        <v/>
      </c>
      <c r="V280" s="16">
        <f>IF(資金模擬!$B$9=2,MAX(R280,0),MAX(V279,FLOOR(MAX(R280,0),資金模擬!$B$6)))</f>
        <v/>
      </c>
      <c r="W280" s="10">
        <f>MAX(W279,R280)</f>
        <v/>
      </c>
      <c r="X280" s="4">
        <f>IF(W280&gt;0,R280/W280-1,-1)</f>
        <v/>
      </c>
      <c r="Y280" s="16">
        <f>IF(R280&gt;0,S280*資金模擬!$B$7/R280,0)</f>
        <v/>
      </c>
      <c r="Z280" s="2">
        <f>IF(OR(Z279=1,R280&lt;=資金模擬!$B$10),1,0)</f>
        <v/>
      </c>
    </row>
    <row r="281">
      <c r="A281" s="2" t="n">
        <v>279</v>
      </c>
      <c r="B281" s="7" t="n">
        <v>46288.34027777778</v>
      </c>
      <c r="C281" s="2" t="inlineStr">
        <is>
          <t>進場</t>
        </is>
      </c>
      <c r="D281" s="2" t="n">
        <v>140</v>
      </c>
      <c r="E281" s="2" t="inlineStr">
        <is>
          <t>FOLKS_USDT_PERP</t>
        </is>
      </c>
      <c r="F281" s="2" t="inlineStr">
        <is>
          <t>做空</t>
        </is>
      </c>
      <c r="G281" s="17" t="n">
        <v>3.096</v>
      </c>
      <c r="H281" s="17" t="n">
        <v>2.97216</v>
      </c>
      <c r="I281" s="17" t="n">
        <v>3.2508</v>
      </c>
      <c r="J281" s="17" t="n"/>
      <c r="K281" s="2" t="n"/>
      <c r="L281" s="5" t="n"/>
      <c r="M281" s="16">
        <f>資金模擬!$B$5*V280</f>
        <v/>
      </c>
      <c r="N281" s="2">
        <f>IF(Z280=1,"已停止",IF(T280&gt;=M281,"已下單","資金不足略過"))</f>
        <v/>
      </c>
      <c r="O281" s="16">
        <f>IF(N281="已下單",M281*資金模擬!$B$7,0)</f>
        <v/>
      </c>
      <c r="P281" s="4" t="n"/>
      <c r="Q281" s="10" t="n">
        <v>0</v>
      </c>
      <c r="R281" s="10">
        <f>R280+Q281</f>
        <v/>
      </c>
      <c r="S281" s="16">
        <f>S280+IF(N281="已下單",M281,0)</f>
        <v/>
      </c>
      <c r="T281" s="16">
        <f>R281-S281</f>
        <v/>
      </c>
      <c r="U281" s="2">
        <f>U280+IF(N281="已下單",1,0)</f>
        <v/>
      </c>
      <c r="V281" s="16">
        <f>IF(資金模擬!$B$9=2,MAX(R281,0),MAX(V280,FLOOR(MAX(R281,0),資金模擬!$B$6)))</f>
        <v/>
      </c>
      <c r="W281" s="10">
        <f>MAX(W280,R281)</f>
        <v/>
      </c>
      <c r="X281" s="4">
        <f>IF(W281&gt;0,R281/W281-1,-1)</f>
        <v/>
      </c>
      <c r="Y281" s="16">
        <f>IF(R281&gt;0,S281*資金模擬!$B$7/R281,0)</f>
        <v/>
      </c>
      <c r="Z281" s="2">
        <f>IF(OR(Z280=1,R281&lt;=資金模擬!$B$10),1,0)</f>
        <v/>
      </c>
    </row>
    <row r="282">
      <c r="A282" s="2" t="n">
        <v>280</v>
      </c>
      <c r="B282" s="7" t="n">
        <v>46288.34722222222</v>
      </c>
      <c r="C282" s="2" t="inlineStr">
        <is>
          <t>出場</t>
        </is>
      </c>
      <c r="D282" s="2" t="n">
        <v>140</v>
      </c>
      <c r="E282" s="2" t="inlineStr">
        <is>
          <t>FOLKS_USDT_PERP</t>
        </is>
      </c>
      <c r="F282" s="2" t="inlineStr">
        <is>
          <t>做空</t>
        </is>
      </c>
      <c r="G282" s="17" t="n">
        <v>3.096</v>
      </c>
      <c r="H282" s="17" t="n">
        <v>2.97216</v>
      </c>
      <c r="I282" s="17" t="n">
        <v>3.2508</v>
      </c>
      <c r="J282" s="17" t="n">
        <v>3.2508</v>
      </c>
      <c r="K282" s="2" t="inlineStr">
        <is>
          <t>止損</t>
        </is>
      </c>
      <c r="L282" s="5">
        <f>交易明細!K141</f>
        <v/>
      </c>
      <c r="M282" s="16">
        <f>M281</f>
        <v/>
      </c>
      <c r="N282" s="2">
        <f>N281</f>
        <v/>
      </c>
      <c r="O282" s="16">
        <f>O281</f>
        <v/>
      </c>
      <c r="P282" s="4">
        <f>交易明細!L141</f>
        <v/>
      </c>
      <c r="Q282" s="10">
        <f>IF(N282="已下單",O282*P282,0)</f>
        <v/>
      </c>
      <c r="R282" s="10">
        <f>R281+Q282</f>
        <v/>
      </c>
      <c r="S282" s="16">
        <f>S281-IF(N282="已下單",M282,0)</f>
        <v/>
      </c>
      <c r="T282" s="16">
        <f>R282-S282</f>
        <v/>
      </c>
      <c r="U282" s="2">
        <f>U281-IF(N282="已下單",1,0)</f>
        <v/>
      </c>
      <c r="V282" s="16">
        <f>IF(資金模擬!$B$9=2,MAX(R282,0),MAX(V281,FLOOR(MAX(R282,0),資金模擬!$B$6)))</f>
        <v/>
      </c>
      <c r="W282" s="10">
        <f>MAX(W281,R282)</f>
        <v/>
      </c>
      <c r="X282" s="4">
        <f>IF(W282&gt;0,R282/W282-1,-1)</f>
        <v/>
      </c>
      <c r="Y282" s="16">
        <f>IF(R282&gt;0,S282*資金模擬!$B$7/R282,0)</f>
        <v/>
      </c>
      <c r="Z282" s="2">
        <f>IF(OR(Z281=1,R282&lt;=資金模擬!$B$10),1,0)</f>
        <v/>
      </c>
    </row>
    <row r="283">
      <c r="A283" s="2" t="n">
        <v>281</v>
      </c>
      <c r="B283" s="7" t="n">
        <v>46288.40277777778</v>
      </c>
      <c r="C283" s="2" t="inlineStr">
        <is>
          <t>進場</t>
        </is>
      </c>
      <c r="D283" s="2" t="n">
        <v>141</v>
      </c>
      <c r="E283" s="2" t="inlineStr">
        <is>
          <t>BSV_USDT_PERP</t>
        </is>
      </c>
      <c r="F283" s="2" t="inlineStr">
        <is>
          <t>做空</t>
        </is>
      </c>
      <c r="G283" s="17" t="n">
        <v>24.22</v>
      </c>
      <c r="H283" s="17" t="n">
        <v>23.2512</v>
      </c>
      <c r="I283" s="17" t="n">
        <v>25.431</v>
      </c>
      <c r="J283" s="17" t="n"/>
      <c r="K283" s="2" t="n"/>
      <c r="L283" s="5" t="n"/>
      <c r="M283" s="16">
        <f>資金模擬!$B$5*V282</f>
        <v/>
      </c>
      <c r="N283" s="2">
        <f>IF(Z282=1,"已停止",IF(T282&gt;=M283,"已下單","資金不足略過"))</f>
        <v/>
      </c>
      <c r="O283" s="16">
        <f>IF(N283="已下單",M283*資金模擬!$B$7,0)</f>
        <v/>
      </c>
      <c r="P283" s="4" t="n"/>
      <c r="Q283" s="10" t="n">
        <v>0</v>
      </c>
      <c r="R283" s="10">
        <f>R282+Q283</f>
        <v/>
      </c>
      <c r="S283" s="16">
        <f>S282+IF(N283="已下單",M283,0)</f>
        <v/>
      </c>
      <c r="T283" s="16">
        <f>R283-S283</f>
        <v/>
      </c>
      <c r="U283" s="2">
        <f>U282+IF(N283="已下單",1,0)</f>
        <v/>
      </c>
      <c r="V283" s="16">
        <f>IF(資金模擬!$B$9=2,MAX(R283,0),MAX(V282,FLOOR(MAX(R283,0),資金模擬!$B$6)))</f>
        <v/>
      </c>
      <c r="W283" s="10">
        <f>MAX(W282,R283)</f>
        <v/>
      </c>
      <c r="X283" s="4">
        <f>IF(W283&gt;0,R283/W283-1,-1)</f>
        <v/>
      </c>
      <c r="Y283" s="16">
        <f>IF(R283&gt;0,S283*資金模擬!$B$7/R283,0)</f>
        <v/>
      </c>
      <c r="Z283" s="2">
        <f>IF(OR(Z282=1,R283&lt;=資金模擬!$B$10),1,0)</f>
        <v/>
      </c>
    </row>
    <row r="284">
      <c r="A284" s="2" t="n">
        <v>282</v>
      </c>
      <c r="B284" s="7" t="n">
        <v>46288.42013888889</v>
      </c>
      <c r="C284" s="2" t="inlineStr">
        <is>
          <t>出場</t>
        </is>
      </c>
      <c r="D284" s="2" t="n">
        <v>141</v>
      </c>
      <c r="E284" s="2" t="inlineStr">
        <is>
          <t>BSV_USDT_PERP</t>
        </is>
      </c>
      <c r="F284" s="2" t="inlineStr">
        <is>
          <t>做空</t>
        </is>
      </c>
      <c r="G284" s="17" t="n">
        <v>24.22</v>
      </c>
      <c r="H284" s="17" t="n">
        <v>23.2512</v>
      </c>
      <c r="I284" s="17" t="n">
        <v>25.431</v>
      </c>
      <c r="J284" s="17" t="n">
        <v>23.2512</v>
      </c>
      <c r="K284" s="2" t="inlineStr">
        <is>
          <t>止盈</t>
        </is>
      </c>
      <c r="L284" s="5">
        <f>交易明細!K142</f>
        <v/>
      </c>
      <c r="M284" s="16">
        <f>M283</f>
        <v/>
      </c>
      <c r="N284" s="2">
        <f>N283</f>
        <v/>
      </c>
      <c r="O284" s="16">
        <f>O283</f>
        <v/>
      </c>
      <c r="P284" s="4">
        <f>交易明細!L142</f>
        <v/>
      </c>
      <c r="Q284" s="10">
        <f>IF(N284="已下單",O284*P284,0)</f>
        <v/>
      </c>
      <c r="R284" s="10">
        <f>R283+Q284</f>
        <v/>
      </c>
      <c r="S284" s="16">
        <f>S283-IF(N284="已下單",M284,0)</f>
        <v/>
      </c>
      <c r="T284" s="16">
        <f>R284-S284</f>
        <v/>
      </c>
      <c r="U284" s="2">
        <f>U283-IF(N284="已下單",1,0)</f>
        <v/>
      </c>
      <c r="V284" s="16">
        <f>IF(資金模擬!$B$9=2,MAX(R284,0),MAX(V283,FLOOR(MAX(R284,0),資金模擬!$B$6)))</f>
        <v/>
      </c>
      <c r="W284" s="10">
        <f>MAX(W283,R284)</f>
        <v/>
      </c>
      <c r="X284" s="4">
        <f>IF(W284&gt;0,R284/W284-1,-1)</f>
        <v/>
      </c>
      <c r="Y284" s="16">
        <f>IF(R284&gt;0,S284*資金模擬!$B$7/R284,0)</f>
        <v/>
      </c>
      <c r="Z284" s="2">
        <f>IF(OR(Z283=1,R284&lt;=資金模擬!$B$10),1,0)</f>
        <v/>
      </c>
    </row>
    <row r="285">
      <c r="A285" s="2" t="n">
        <v>283</v>
      </c>
      <c r="B285" s="7" t="n">
        <v>46288.59027777778</v>
      </c>
      <c r="C285" s="2" t="inlineStr">
        <is>
          <t>進場</t>
        </is>
      </c>
      <c r="D285" s="2" t="n">
        <v>142</v>
      </c>
      <c r="E285" s="2" t="inlineStr">
        <is>
          <t>TAKE_USDT_PERP</t>
        </is>
      </c>
      <c r="F285" s="2" t="inlineStr">
        <is>
          <t>做空</t>
        </is>
      </c>
      <c r="G285" s="17" t="n">
        <v>0.09045</v>
      </c>
      <c r="H285" s="17" t="n">
        <v>0.08683199999999999</v>
      </c>
      <c r="I285" s="17" t="n">
        <v>0.0949725</v>
      </c>
      <c r="J285" s="17" t="n"/>
      <c r="K285" s="2" t="n"/>
      <c r="L285" s="5" t="n"/>
      <c r="M285" s="16">
        <f>資金模擬!$B$5*V284</f>
        <v/>
      </c>
      <c r="N285" s="2">
        <f>IF(Z284=1,"已停止",IF(T284&gt;=M285,"已下單","資金不足略過"))</f>
        <v/>
      </c>
      <c r="O285" s="16">
        <f>IF(N285="已下單",M285*資金模擬!$B$7,0)</f>
        <v/>
      </c>
      <c r="P285" s="4" t="n"/>
      <c r="Q285" s="10" t="n">
        <v>0</v>
      </c>
      <c r="R285" s="10">
        <f>R284+Q285</f>
        <v/>
      </c>
      <c r="S285" s="16">
        <f>S284+IF(N285="已下單",M285,0)</f>
        <v/>
      </c>
      <c r="T285" s="16">
        <f>R285-S285</f>
        <v/>
      </c>
      <c r="U285" s="2">
        <f>U284+IF(N285="已下單",1,0)</f>
        <v/>
      </c>
      <c r="V285" s="16">
        <f>IF(資金模擬!$B$9=2,MAX(R285,0),MAX(V284,FLOOR(MAX(R285,0),資金模擬!$B$6)))</f>
        <v/>
      </c>
      <c r="W285" s="10">
        <f>MAX(W284,R285)</f>
        <v/>
      </c>
      <c r="X285" s="4">
        <f>IF(W285&gt;0,R285/W285-1,-1)</f>
        <v/>
      </c>
      <c r="Y285" s="16">
        <f>IF(R285&gt;0,S285*資金模擬!$B$7/R285,0)</f>
        <v/>
      </c>
      <c r="Z285" s="2">
        <f>IF(OR(Z284=1,R285&lt;=資金模擬!$B$10),1,0)</f>
        <v/>
      </c>
    </row>
    <row r="286">
      <c r="A286" s="2" t="n">
        <v>284</v>
      </c>
      <c r="B286" s="7" t="n">
        <v>46288.59722222222</v>
      </c>
      <c r="C286" s="2" t="inlineStr">
        <is>
          <t>出場</t>
        </is>
      </c>
      <c r="D286" s="2" t="n">
        <v>142</v>
      </c>
      <c r="E286" s="2" t="inlineStr">
        <is>
          <t>TAKE_USDT_PERP</t>
        </is>
      </c>
      <c r="F286" s="2" t="inlineStr">
        <is>
          <t>做空</t>
        </is>
      </c>
      <c r="G286" s="17" t="n">
        <v>0.09045</v>
      </c>
      <c r="H286" s="17" t="n">
        <v>0.08683199999999999</v>
      </c>
      <c r="I286" s="17" t="n">
        <v>0.0949725</v>
      </c>
      <c r="J286" s="17" t="n">
        <v>0.08683199999999999</v>
      </c>
      <c r="K286" s="2" t="inlineStr">
        <is>
          <t>止盈</t>
        </is>
      </c>
      <c r="L286" s="5">
        <f>交易明細!K143</f>
        <v/>
      </c>
      <c r="M286" s="16">
        <f>M285</f>
        <v/>
      </c>
      <c r="N286" s="2">
        <f>N285</f>
        <v/>
      </c>
      <c r="O286" s="16">
        <f>O285</f>
        <v/>
      </c>
      <c r="P286" s="4">
        <f>交易明細!L143</f>
        <v/>
      </c>
      <c r="Q286" s="10">
        <f>IF(N286="已下單",O286*P286,0)</f>
        <v/>
      </c>
      <c r="R286" s="10">
        <f>R285+Q286</f>
        <v/>
      </c>
      <c r="S286" s="16">
        <f>S285-IF(N286="已下單",M286,0)</f>
        <v/>
      </c>
      <c r="T286" s="16">
        <f>R286-S286</f>
        <v/>
      </c>
      <c r="U286" s="2">
        <f>U285-IF(N286="已下單",1,0)</f>
        <v/>
      </c>
      <c r="V286" s="16">
        <f>IF(資金模擬!$B$9=2,MAX(R286,0),MAX(V285,FLOOR(MAX(R286,0),資金模擬!$B$6)))</f>
        <v/>
      </c>
      <c r="W286" s="10">
        <f>MAX(W285,R286)</f>
        <v/>
      </c>
      <c r="X286" s="4">
        <f>IF(W286&gt;0,R286/W286-1,-1)</f>
        <v/>
      </c>
      <c r="Y286" s="16">
        <f>IF(R286&gt;0,S286*資金模擬!$B$7/R286,0)</f>
        <v/>
      </c>
      <c r="Z286" s="2">
        <f>IF(OR(Z285=1,R286&lt;=資金模擬!$B$10),1,0)</f>
        <v/>
      </c>
    </row>
    <row r="287">
      <c r="A287" s="2" t="n">
        <v>285</v>
      </c>
      <c r="B287" s="7" t="n">
        <v>46288.875</v>
      </c>
      <c r="C287" s="2" t="inlineStr">
        <is>
          <t>進場</t>
        </is>
      </c>
      <c r="D287" s="2" t="n">
        <v>143</v>
      </c>
      <c r="E287" s="2" t="inlineStr">
        <is>
          <t>XNY_USDT_PERP</t>
        </is>
      </c>
      <c r="F287" s="2" t="inlineStr">
        <is>
          <t>做空</t>
        </is>
      </c>
      <c r="G287" s="17" t="n">
        <v>0.00766</v>
      </c>
      <c r="H287" s="17" t="n">
        <v>0.0073536</v>
      </c>
      <c r="I287" s="17" t="n">
        <v>0.008043</v>
      </c>
      <c r="J287" s="17" t="n"/>
      <c r="K287" s="2" t="n"/>
      <c r="L287" s="5" t="n"/>
      <c r="M287" s="16">
        <f>資金模擬!$B$5*V286</f>
        <v/>
      </c>
      <c r="N287" s="2">
        <f>IF(Z286=1,"已停止",IF(T286&gt;=M287,"已下單","資金不足略過"))</f>
        <v/>
      </c>
      <c r="O287" s="16">
        <f>IF(N287="已下單",M287*資金模擬!$B$7,0)</f>
        <v/>
      </c>
      <c r="P287" s="4" t="n"/>
      <c r="Q287" s="10" t="n">
        <v>0</v>
      </c>
      <c r="R287" s="10">
        <f>R286+Q287</f>
        <v/>
      </c>
      <c r="S287" s="16">
        <f>S286+IF(N287="已下單",M287,0)</f>
        <v/>
      </c>
      <c r="T287" s="16">
        <f>R287-S287</f>
        <v/>
      </c>
      <c r="U287" s="2">
        <f>U286+IF(N287="已下單",1,0)</f>
        <v/>
      </c>
      <c r="V287" s="16">
        <f>IF(資金模擬!$B$9=2,MAX(R287,0),MAX(V286,FLOOR(MAX(R287,0),資金模擬!$B$6)))</f>
        <v/>
      </c>
      <c r="W287" s="10">
        <f>MAX(W286,R287)</f>
        <v/>
      </c>
      <c r="X287" s="4">
        <f>IF(W287&gt;0,R287/W287-1,-1)</f>
        <v/>
      </c>
      <c r="Y287" s="16">
        <f>IF(R287&gt;0,S287*資金模擬!$B$7/R287,0)</f>
        <v/>
      </c>
      <c r="Z287" s="2">
        <f>IF(OR(Z286=1,R287&lt;=資金模擬!$B$10),1,0)</f>
        <v/>
      </c>
    </row>
    <row r="288">
      <c r="A288" s="2" t="n">
        <v>286</v>
      </c>
      <c r="B288" s="7" t="n">
        <v>46288.92708333334</v>
      </c>
      <c r="C288" s="2" t="inlineStr">
        <is>
          <t>出場</t>
        </is>
      </c>
      <c r="D288" s="2" t="n">
        <v>143</v>
      </c>
      <c r="E288" s="2" t="inlineStr">
        <is>
          <t>XNY_USDT_PERP</t>
        </is>
      </c>
      <c r="F288" s="2" t="inlineStr">
        <is>
          <t>做空</t>
        </is>
      </c>
      <c r="G288" s="17" t="n">
        <v>0.00766</v>
      </c>
      <c r="H288" s="17" t="n">
        <v>0.0073536</v>
      </c>
      <c r="I288" s="17" t="n">
        <v>0.008043</v>
      </c>
      <c r="J288" s="17" t="n">
        <v>0.0073536</v>
      </c>
      <c r="K288" s="2" t="inlineStr">
        <is>
          <t>止盈</t>
        </is>
      </c>
      <c r="L288" s="5">
        <f>交易明細!K144</f>
        <v/>
      </c>
      <c r="M288" s="16">
        <f>M287</f>
        <v/>
      </c>
      <c r="N288" s="2">
        <f>N287</f>
        <v/>
      </c>
      <c r="O288" s="16">
        <f>O287</f>
        <v/>
      </c>
      <c r="P288" s="4">
        <f>交易明細!L144</f>
        <v/>
      </c>
      <c r="Q288" s="10">
        <f>IF(N288="已下單",O288*P288,0)</f>
        <v/>
      </c>
      <c r="R288" s="10">
        <f>R287+Q288</f>
        <v/>
      </c>
      <c r="S288" s="16">
        <f>S287-IF(N288="已下單",M288,0)</f>
        <v/>
      </c>
      <c r="T288" s="16">
        <f>R288-S288</f>
        <v/>
      </c>
      <c r="U288" s="2">
        <f>U287-IF(N288="已下單",1,0)</f>
        <v/>
      </c>
      <c r="V288" s="16">
        <f>IF(資金模擬!$B$9=2,MAX(R288,0),MAX(V287,FLOOR(MAX(R288,0),資金模擬!$B$6)))</f>
        <v/>
      </c>
      <c r="W288" s="10">
        <f>MAX(W287,R288)</f>
        <v/>
      </c>
      <c r="X288" s="4">
        <f>IF(W288&gt;0,R288/W288-1,-1)</f>
        <v/>
      </c>
      <c r="Y288" s="16">
        <f>IF(R288&gt;0,S288*資金模擬!$B$7/R288,0)</f>
        <v/>
      </c>
      <c r="Z288" s="2">
        <f>IF(OR(Z287=1,R288&lt;=資金模擬!$B$10),1,0)</f>
        <v/>
      </c>
    </row>
    <row r="289">
      <c r="A289" s="2" t="n">
        <v>287</v>
      </c>
      <c r="B289" s="7" t="n">
        <v>46289.22916666666</v>
      </c>
      <c r="C289" s="2" t="inlineStr">
        <is>
          <t>進場</t>
        </is>
      </c>
      <c r="D289" s="2" t="n">
        <v>144</v>
      </c>
      <c r="E289" s="2" t="inlineStr">
        <is>
          <t>NOM_USDT_PERP</t>
        </is>
      </c>
      <c r="F289" s="2" t="inlineStr">
        <is>
          <t>做空</t>
        </is>
      </c>
      <c r="G289" s="17" t="n">
        <v>0.002063</v>
      </c>
      <c r="H289" s="17" t="n">
        <v>0.00198048</v>
      </c>
      <c r="I289" s="17" t="n">
        <v>0.00216615</v>
      </c>
      <c r="J289" s="17" t="n"/>
      <c r="K289" s="2" t="n"/>
      <c r="L289" s="5" t="n"/>
      <c r="M289" s="16">
        <f>資金模擬!$B$5*V288</f>
        <v/>
      </c>
      <c r="N289" s="2">
        <f>IF(Z288=1,"已停止",IF(T288&gt;=M289,"已下單","資金不足略過"))</f>
        <v/>
      </c>
      <c r="O289" s="16">
        <f>IF(N289="已下單",M289*資金模擬!$B$7,0)</f>
        <v/>
      </c>
      <c r="P289" s="4" t="n"/>
      <c r="Q289" s="10" t="n">
        <v>0</v>
      </c>
      <c r="R289" s="10">
        <f>R288+Q289</f>
        <v/>
      </c>
      <c r="S289" s="16">
        <f>S288+IF(N289="已下單",M289,0)</f>
        <v/>
      </c>
      <c r="T289" s="16">
        <f>R289-S289</f>
        <v/>
      </c>
      <c r="U289" s="2">
        <f>U288+IF(N289="已下單",1,0)</f>
        <v/>
      </c>
      <c r="V289" s="16">
        <f>IF(資金模擬!$B$9=2,MAX(R289,0),MAX(V288,FLOOR(MAX(R289,0),資金模擬!$B$6)))</f>
        <v/>
      </c>
      <c r="W289" s="10">
        <f>MAX(W288,R289)</f>
        <v/>
      </c>
      <c r="X289" s="4">
        <f>IF(W289&gt;0,R289/W289-1,-1)</f>
        <v/>
      </c>
      <c r="Y289" s="16">
        <f>IF(R289&gt;0,S289*資金模擬!$B$7/R289,0)</f>
        <v/>
      </c>
      <c r="Z289" s="2">
        <f>IF(OR(Z288=1,R289&lt;=資金模擬!$B$10),1,0)</f>
        <v/>
      </c>
    </row>
    <row r="290">
      <c r="A290" s="2" t="n">
        <v>288</v>
      </c>
      <c r="B290" s="7" t="n">
        <v>46289.24652777778</v>
      </c>
      <c r="C290" s="2" t="inlineStr">
        <is>
          <t>出場</t>
        </is>
      </c>
      <c r="D290" s="2" t="n">
        <v>144</v>
      </c>
      <c r="E290" s="2" t="inlineStr">
        <is>
          <t>NOM_USDT_PERP</t>
        </is>
      </c>
      <c r="F290" s="2" t="inlineStr">
        <is>
          <t>做空</t>
        </is>
      </c>
      <c r="G290" s="17" t="n">
        <v>0.002063</v>
      </c>
      <c r="H290" s="17" t="n">
        <v>0.00198048</v>
      </c>
      <c r="I290" s="17" t="n">
        <v>0.00216615</v>
      </c>
      <c r="J290" s="17" t="n">
        <v>0.00198048</v>
      </c>
      <c r="K290" s="2" t="inlineStr">
        <is>
          <t>止盈</t>
        </is>
      </c>
      <c r="L290" s="5">
        <f>交易明細!K145</f>
        <v/>
      </c>
      <c r="M290" s="16">
        <f>M289</f>
        <v/>
      </c>
      <c r="N290" s="2">
        <f>N289</f>
        <v/>
      </c>
      <c r="O290" s="16">
        <f>O289</f>
        <v/>
      </c>
      <c r="P290" s="4">
        <f>交易明細!L145</f>
        <v/>
      </c>
      <c r="Q290" s="10">
        <f>IF(N290="已下單",O290*P290,0)</f>
        <v/>
      </c>
      <c r="R290" s="10">
        <f>R289+Q290</f>
        <v/>
      </c>
      <c r="S290" s="16">
        <f>S289-IF(N290="已下單",M290,0)</f>
        <v/>
      </c>
      <c r="T290" s="16">
        <f>R290-S290</f>
        <v/>
      </c>
      <c r="U290" s="2">
        <f>U289-IF(N290="已下單",1,0)</f>
        <v/>
      </c>
      <c r="V290" s="16">
        <f>IF(資金模擬!$B$9=2,MAX(R290,0),MAX(V289,FLOOR(MAX(R290,0),資金模擬!$B$6)))</f>
        <v/>
      </c>
      <c r="W290" s="10">
        <f>MAX(W289,R290)</f>
        <v/>
      </c>
      <c r="X290" s="4">
        <f>IF(W290&gt;0,R290/W290-1,-1)</f>
        <v/>
      </c>
      <c r="Y290" s="16">
        <f>IF(R290&gt;0,S290*資金模擬!$B$7/R290,0)</f>
        <v/>
      </c>
      <c r="Z290" s="2">
        <f>IF(OR(Z289=1,R290&lt;=資金模擬!$B$10),1,0)</f>
        <v/>
      </c>
    </row>
    <row r="291">
      <c r="A291" s="2" t="n">
        <v>289</v>
      </c>
      <c r="B291" s="7" t="n">
        <v>46289.37152777778</v>
      </c>
      <c r="C291" s="2" t="inlineStr">
        <is>
          <t>進場</t>
        </is>
      </c>
      <c r="D291" s="2" t="n">
        <v>145</v>
      </c>
      <c r="E291" s="2" t="inlineStr">
        <is>
          <t>NOM_USDT_PERP</t>
        </is>
      </c>
      <c r="F291" s="2" t="inlineStr">
        <is>
          <t>做空</t>
        </is>
      </c>
      <c r="G291" s="17" t="n">
        <v>0.002522</v>
      </c>
      <c r="H291" s="17" t="n">
        <v>0.00242112</v>
      </c>
      <c r="I291" s="17" t="n">
        <v>0.0026481</v>
      </c>
      <c r="J291" s="17" t="n"/>
      <c r="K291" s="2" t="n"/>
      <c r="L291" s="5" t="n"/>
      <c r="M291" s="16">
        <f>資金模擬!$B$5*V290</f>
        <v/>
      </c>
      <c r="N291" s="2">
        <f>IF(Z290=1,"已停止",IF(T290&gt;=M291,"已下單","資金不足略過"))</f>
        <v/>
      </c>
      <c r="O291" s="16">
        <f>IF(N291="已下單",M291*資金模擬!$B$7,0)</f>
        <v/>
      </c>
      <c r="P291" s="4" t="n"/>
      <c r="Q291" s="10" t="n">
        <v>0</v>
      </c>
      <c r="R291" s="10">
        <f>R290+Q291</f>
        <v/>
      </c>
      <c r="S291" s="16">
        <f>S290+IF(N291="已下單",M291,0)</f>
        <v/>
      </c>
      <c r="T291" s="16">
        <f>R291-S291</f>
        <v/>
      </c>
      <c r="U291" s="2">
        <f>U290+IF(N291="已下單",1,0)</f>
        <v/>
      </c>
      <c r="V291" s="16">
        <f>IF(資金模擬!$B$9=2,MAX(R291,0),MAX(V290,FLOOR(MAX(R291,0),資金模擬!$B$6)))</f>
        <v/>
      </c>
      <c r="W291" s="10">
        <f>MAX(W290,R291)</f>
        <v/>
      </c>
      <c r="X291" s="4">
        <f>IF(W291&gt;0,R291/W291-1,-1)</f>
        <v/>
      </c>
      <c r="Y291" s="16">
        <f>IF(R291&gt;0,S291*資金模擬!$B$7/R291,0)</f>
        <v/>
      </c>
      <c r="Z291" s="2">
        <f>IF(OR(Z290=1,R291&lt;=資金模擬!$B$10),1,0)</f>
        <v/>
      </c>
    </row>
    <row r="292">
      <c r="A292" s="2" t="n">
        <v>290</v>
      </c>
      <c r="B292" s="7" t="n">
        <v>46289.37847222222</v>
      </c>
      <c r="C292" s="2" t="inlineStr">
        <is>
          <t>出場</t>
        </is>
      </c>
      <c r="D292" s="2" t="n">
        <v>145</v>
      </c>
      <c r="E292" s="2" t="inlineStr">
        <is>
          <t>NOM_USDT_PERP</t>
        </is>
      </c>
      <c r="F292" s="2" t="inlineStr">
        <is>
          <t>做空</t>
        </is>
      </c>
      <c r="G292" s="17" t="n">
        <v>0.002522</v>
      </c>
      <c r="H292" s="17" t="n">
        <v>0.00242112</v>
      </c>
      <c r="I292" s="17" t="n">
        <v>0.0026481</v>
      </c>
      <c r="J292" s="17" t="n">
        <v>0.0026481</v>
      </c>
      <c r="K292" s="2" t="inlineStr">
        <is>
          <t>止損</t>
        </is>
      </c>
      <c r="L292" s="5">
        <f>交易明細!K146</f>
        <v/>
      </c>
      <c r="M292" s="16">
        <f>M291</f>
        <v/>
      </c>
      <c r="N292" s="2">
        <f>N291</f>
        <v/>
      </c>
      <c r="O292" s="16">
        <f>O291</f>
        <v/>
      </c>
      <c r="P292" s="4">
        <f>交易明細!L146</f>
        <v/>
      </c>
      <c r="Q292" s="10">
        <f>IF(N292="已下單",O292*P292,0)</f>
        <v/>
      </c>
      <c r="R292" s="10">
        <f>R291+Q292</f>
        <v/>
      </c>
      <c r="S292" s="16">
        <f>S291-IF(N292="已下單",M292,0)</f>
        <v/>
      </c>
      <c r="T292" s="16">
        <f>R292-S292</f>
        <v/>
      </c>
      <c r="U292" s="2">
        <f>U291-IF(N292="已下單",1,0)</f>
        <v/>
      </c>
      <c r="V292" s="16">
        <f>IF(資金模擬!$B$9=2,MAX(R292,0),MAX(V291,FLOOR(MAX(R292,0),資金模擬!$B$6)))</f>
        <v/>
      </c>
      <c r="W292" s="10">
        <f>MAX(W291,R292)</f>
        <v/>
      </c>
      <c r="X292" s="4">
        <f>IF(W292&gt;0,R292/W292-1,-1)</f>
        <v/>
      </c>
      <c r="Y292" s="16">
        <f>IF(R292&gt;0,S292*資金模擬!$B$7/R292,0)</f>
        <v/>
      </c>
      <c r="Z292" s="2">
        <f>IF(OR(Z291=1,R292&lt;=資金模擬!$B$10),1,0)</f>
        <v/>
      </c>
    </row>
    <row r="293">
      <c r="A293" s="2" t="n">
        <v>291</v>
      </c>
      <c r="B293" s="7" t="n">
        <v>46289.78472222222</v>
      </c>
      <c r="C293" s="2" t="inlineStr">
        <is>
          <t>進場</t>
        </is>
      </c>
      <c r="D293" s="2" t="n">
        <v>146</v>
      </c>
      <c r="E293" s="2" t="inlineStr">
        <is>
          <t>TUT_USDT_PERP</t>
        </is>
      </c>
      <c r="F293" s="2" t="inlineStr">
        <is>
          <t>做空</t>
        </is>
      </c>
      <c r="G293" s="17" t="n">
        <v>0.02989</v>
      </c>
      <c r="H293" s="17" t="n">
        <v>0.0286944</v>
      </c>
      <c r="I293" s="17" t="n">
        <v>0.0313845</v>
      </c>
      <c r="J293" s="17" t="n"/>
      <c r="K293" s="2" t="n"/>
      <c r="L293" s="5" t="n"/>
      <c r="M293" s="16">
        <f>資金模擬!$B$5*V292</f>
        <v/>
      </c>
      <c r="N293" s="2">
        <f>IF(Z292=1,"已停止",IF(T292&gt;=M293,"已下單","資金不足略過"))</f>
        <v/>
      </c>
      <c r="O293" s="16">
        <f>IF(N293="已下單",M293*資金模擬!$B$7,0)</f>
        <v/>
      </c>
      <c r="P293" s="4" t="n"/>
      <c r="Q293" s="10" t="n">
        <v>0</v>
      </c>
      <c r="R293" s="10">
        <f>R292+Q293</f>
        <v/>
      </c>
      <c r="S293" s="16">
        <f>S292+IF(N293="已下單",M293,0)</f>
        <v/>
      </c>
      <c r="T293" s="16">
        <f>R293-S293</f>
        <v/>
      </c>
      <c r="U293" s="2">
        <f>U292+IF(N293="已下單",1,0)</f>
        <v/>
      </c>
      <c r="V293" s="16">
        <f>IF(資金模擬!$B$9=2,MAX(R293,0),MAX(V292,FLOOR(MAX(R293,0),資金模擬!$B$6)))</f>
        <v/>
      </c>
      <c r="W293" s="10">
        <f>MAX(W292,R293)</f>
        <v/>
      </c>
      <c r="X293" s="4">
        <f>IF(W293&gt;0,R293/W293-1,-1)</f>
        <v/>
      </c>
      <c r="Y293" s="16">
        <f>IF(R293&gt;0,S293*資金模擬!$B$7/R293,0)</f>
        <v/>
      </c>
      <c r="Z293" s="2">
        <f>IF(OR(Z292=1,R293&lt;=資金模擬!$B$10),1,0)</f>
        <v/>
      </c>
    </row>
    <row r="294">
      <c r="A294" s="2" t="n">
        <v>292</v>
      </c>
      <c r="B294" s="7" t="n">
        <v>46289.79513888889</v>
      </c>
      <c r="C294" s="2" t="inlineStr">
        <is>
          <t>進場</t>
        </is>
      </c>
      <c r="D294" s="2" t="n">
        <v>147</v>
      </c>
      <c r="E294" s="2" t="inlineStr">
        <is>
          <t>BROCCOLI_USDT_PERP</t>
        </is>
      </c>
      <c r="F294" s="2" t="inlineStr">
        <is>
          <t>做空</t>
        </is>
      </c>
      <c r="G294" s="17" t="n">
        <v>0.02826</v>
      </c>
      <c r="H294" s="17" t="n">
        <v>0.0271296</v>
      </c>
      <c r="I294" s="17" t="n">
        <v>0.029673</v>
      </c>
      <c r="J294" s="17" t="n"/>
      <c r="K294" s="2" t="n"/>
      <c r="L294" s="5" t="n"/>
      <c r="M294" s="16">
        <f>資金模擬!$B$5*V293</f>
        <v/>
      </c>
      <c r="N294" s="2">
        <f>IF(Z293=1,"已停止",IF(T293&gt;=M294,"已下單","資金不足略過"))</f>
        <v/>
      </c>
      <c r="O294" s="16">
        <f>IF(N294="已下單",M294*資金模擬!$B$7,0)</f>
        <v/>
      </c>
      <c r="P294" s="4" t="n"/>
      <c r="Q294" s="10" t="n">
        <v>0</v>
      </c>
      <c r="R294" s="10">
        <f>R293+Q294</f>
        <v/>
      </c>
      <c r="S294" s="16">
        <f>S293+IF(N294="已下單",M294,0)</f>
        <v/>
      </c>
      <c r="T294" s="16">
        <f>R294-S294</f>
        <v/>
      </c>
      <c r="U294" s="2">
        <f>U293+IF(N294="已下單",1,0)</f>
        <v/>
      </c>
      <c r="V294" s="16">
        <f>IF(資金模擬!$B$9=2,MAX(R294,0),MAX(V293,FLOOR(MAX(R294,0),資金模擬!$B$6)))</f>
        <v/>
      </c>
      <c r="W294" s="10">
        <f>MAX(W293,R294)</f>
        <v/>
      </c>
      <c r="X294" s="4">
        <f>IF(W294&gt;0,R294/W294-1,-1)</f>
        <v/>
      </c>
      <c r="Y294" s="16">
        <f>IF(R294&gt;0,S294*資金模擬!$B$7/R294,0)</f>
        <v/>
      </c>
      <c r="Z294" s="2">
        <f>IF(OR(Z293=1,R294&lt;=資金模擬!$B$10),1,0)</f>
        <v/>
      </c>
    </row>
    <row r="295">
      <c r="A295" s="2" t="n">
        <v>293</v>
      </c>
      <c r="B295" s="7" t="n">
        <v>46289.80555555555</v>
      </c>
      <c r="C295" s="2" t="inlineStr">
        <is>
          <t>出場</t>
        </is>
      </c>
      <c r="D295" s="2" t="n">
        <v>147</v>
      </c>
      <c r="E295" s="2" t="inlineStr">
        <is>
          <t>BROCCOLI_USDT_PERP</t>
        </is>
      </c>
      <c r="F295" s="2" t="inlineStr">
        <is>
          <t>做空</t>
        </is>
      </c>
      <c r="G295" s="17" t="n">
        <v>0.02826</v>
      </c>
      <c r="H295" s="17" t="n">
        <v>0.0271296</v>
      </c>
      <c r="I295" s="17" t="n">
        <v>0.029673</v>
      </c>
      <c r="J295" s="17" t="n">
        <v>0.029673</v>
      </c>
      <c r="K295" s="2" t="inlineStr">
        <is>
          <t>止損</t>
        </is>
      </c>
      <c r="L295" s="5">
        <f>交易明細!K148</f>
        <v/>
      </c>
      <c r="M295" s="16">
        <f>M294</f>
        <v/>
      </c>
      <c r="N295" s="2">
        <f>N294</f>
        <v/>
      </c>
      <c r="O295" s="16">
        <f>O294</f>
        <v/>
      </c>
      <c r="P295" s="4">
        <f>交易明細!L148</f>
        <v/>
      </c>
      <c r="Q295" s="10">
        <f>IF(N295="已下單",O295*P295,0)</f>
        <v/>
      </c>
      <c r="R295" s="10">
        <f>R294+Q295</f>
        <v/>
      </c>
      <c r="S295" s="16">
        <f>S294-IF(N295="已下單",M295,0)</f>
        <v/>
      </c>
      <c r="T295" s="16">
        <f>R295-S295</f>
        <v/>
      </c>
      <c r="U295" s="2">
        <f>U294-IF(N295="已下單",1,0)</f>
        <v/>
      </c>
      <c r="V295" s="16">
        <f>IF(資金模擬!$B$9=2,MAX(R295,0),MAX(V294,FLOOR(MAX(R295,0),資金模擬!$B$6)))</f>
        <v/>
      </c>
      <c r="W295" s="10">
        <f>MAX(W294,R295)</f>
        <v/>
      </c>
      <c r="X295" s="4">
        <f>IF(W295&gt;0,R295/W295-1,-1)</f>
        <v/>
      </c>
      <c r="Y295" s="16">
        <f>IF(R295&gt;0,S295*資金模擬!$B$7/R295,0)</f>
        <v/>
      </c>
      <c r="Z295" s="2">
        <f>IF(OR(Z294=1,R295&lt;=資金模擬!$B$10),1,0)</f>
        <v/>
      </c>
    </row>
    <row r="296">
      <c r="A296" s="2" t="n">
        <v>294</v>
      </c>
      <c r="B296" s="7" t="n">
        <v>46289.81944444445</v>
      </c>
      <c r="C296" s="2" t="inlineStr">
        <is>
          <t>出場</t>
        </is>
      </c>
      <c r="D296" s="2" t="n">
        <v>146</v>
      </c>
      <c r="E296" s="2" t="inlineStr">
        <is>
          <t>TUT_USDT_PERP</t>
        </is>
      </c>
      <c r="F296" s="2" t="inlineStr">
        <is>
          <t>做空</t>
        </is>
      </c>
      <c r="G296" s="17" t="n">
        <v>0.02989</v>
      </c>
      <c r="H296" s="17" t="n">
        <v>0.0286944</v>
      </c>
      <c r="I296" s="17" t="n">
        <v>0.0313845</v>
      </c>
      <c r="J296" s="17" t="n">
        <v>0.0286944</v>
      </c>
      <c r="K296" s="2" t="inlineStr">
        <is>
          <t>止盈</t>
        </is>
      </c>
      <c r="L296" s="5">
        <f>交易明細!K147</f>
        <v/>
      </c>
      <c r="M296" s="16">
        <f>M293</f>
        <v/>
      </c>
      <c r="N296" s="2">
        <f>N293</f>
        <v/>
      </c>
      <c r="O296" s="16">
        <f>O293</f>
        <v/>
      </c>
      <c r="P296" s="4">
        <f>交易明細!L147</f>
        <v/>
      </c>
      <c r="Q296" s="10">
        <f>IF(N296="已下單",O296*P296,0)</f>
        <v/>
      </c>
      <c r="R296" s="10">
        <f>R295+Q296</f>
        <v/>
      </c>
      <c r="S296" s="16">
        <f>S295-IF(N296="已下單",M296,0)</f>
        <v/>
      </c>
      <c r="T296" s="16">
        <f>R296-S296</f>
        <v/>
      </c>
      <c r="U296" s="2">
        <f>U295-IF(N296="已下單",1,0)</f>
        <v/>
      </c>
      <c r="V296" s="16">
        <f>IF(資金模擬!$B$9=2,MAX(R296,0),MAX(V295,FLOOR(MAX(R296,0),資金模擬!$B$6)))</f>
        <v/>
      </c>
      <c r="W296" s="10">
        <f>MAX(W295,R296)</f>
        <v/>
      </c>
      <c r="X296" s="4">
        <f>IF(W296&gt;0,R296/W296-1,-1)</f>
        <v/>
      </c>
      <c r="Y296" s="16">
        <f>IF(R296&gt;0,S296*資金模擬!$B$7/R296,0)</f>
        <v/>
      </c>
      <c r="Z296" s="2">
        <f>IF(OR(Z295=1,R296&lt;=資金模擬!$B$10),1,0)</f>
        <v/>
      </c>
    </row>
    <row r="297">
      <c r="A297" s="2" t="n">
        <v>295</v>
      </c>
      <c r="B297" s="7" t="n">
        <v>46290</v>
      </c>
      <c r="C297" s="2" t="inlineStr">
        <is>
          <t>進場</t>
        </is>
      </c>
      <c r="D297" s="2" t="n">
        <v>148</v>
      </c>
      <c r="E297" s="2" t="inlineStr">
        <is>
          <t>BULLA_USDT_PERP</t>
        </is>
      </c>
      <c r="F297" s="2" t="inlineStr">
        <is>
          <t>做空</t>
        </is>
      </c>
      <c r="G297" s="17" t="n">
        <v>0.10611</v>
      </c>
      <c r="H297" s="17" t="n">
        <v>0.1018656</v>
      </c>
      <c r="I297" s="17" t="n">
        <v>0.1114155</v>
      </c>
      <c r="J297" s="17" t="n"/>
      <c r="K297" s="2" t="n"/>
      <c r="L297" s="5" t="n"/>
      <c r="M297" s="16">
        <f>資金模擬!$B$5*V296</f>
        <v/>
      </c>
      <c r="N297" s="2">
        <f>IF(Z296=1,"已停止",IF(T296&gt;=M297,"已下單","資金不足略過"))</f>
        <v/>
      </c>
      <c r="O297" s="16">
        <f>IF(N297="已下單",M297*資金模擬!$B$7,0)</f>
        <v/>
      </c>
      <c r="P297" s="4" t="n"/>
      <c r="Q297" s="10" t="n">
        <v>0</v>
      </c>
      <c r="R297" s="10">
        <f>R296+Q297</f>
        <v/>
      </c>
      <c r="S297" s="16">
        <f>S296+IF(N297="已下單",M297,0)</f>
        <v/>
      </c>
      <c r="T297" s="16">
        <f>R297-S297</f>
        <v/>
      </c>
      <c r="U297" s="2">
        <f>U296+IF(N297="已下單",1,0)</f>
        <v/>
      </c>
      <c r="V297" s="16">
        <f>IF(資金模擬!$B$9=2,MAX(R297,0),MAX(V296,FLOOR(MAX(R297,0),資金模擬!$B$6)))</f>
        <v/>
      </c>
      <c r="W297" s="10">
        <f>MAX(W296,R297)</f>
        <v/>
      </c>
      <c r="X297" s="4">
        <f>IF(W297&gt;0,R297/W297-1,-1)</f>
        <v/>
      </c>
      <c r="Y297" s="16">
        <f>IF(R297&gt;0,S297*資金模擬!$B$7/R297,0)</f>
        <v/>
      </c>
      <c r="Z297" s="2">
        <f>IF(OR(Z296=1,R297&lt;=資金模擬!$B$10),1,0)</f>
        <v/>
      </c>
    </row>
    <row r="298">
      <c r="A298" s="2" t="n">
        <v>296</v>
      </c>
      <c r="B298" s="7" t="n">
        <v>46290.00694444445</v>
      </c>
      <c r="C298" s="2" t="inlineStr">
        <is>
          <t>出場</t>
        </is>
      </c>
      <c r="D298" s="2" t="n">
        <v>148</v>
      </c>
      <c r="E298" s="2" t="inlineStr">
        <is>
          <t>BULLA_USDT_PERP</t>
        </is>
      </c>
      <c r="F298" s="2" t="inlineStr">
        <is>
          <t>做空</t>
        </is>
      </c>
      <c r="G298" s="17" t="n">
        <v>0.10611</v>
      </c>
      <c r="H298" s="17" t="n">
        <v>0.1018656</v>
      </c>
      <c r="I298" s="17" t="n">
        <v>0.1114155</v>
      </c>
      <c r="J298" s="17" t="n">
        <v>0.1114155</v>
      </c>
      <c r="K298" s="2" t="inlineStr">
        <is>
          <t>止損</t>
        </is>
      </c>
      <c r="L298" s="5">
        <f>交易明細!K149</f>
        <v/>
      </c>
      <c r="M298" s="16">
        <f>M297</f>
        <v/>
      </c>
      <c r="N298" s="2">
        <f>N297</f>
        <v/>
      </c>
      <c r="O298" s="16">
        <f>O297</f>
        <v/>
      </c>
      <c r="P298" s="4">
        <f>交易明細!L149</f>
        <v/>
      </c>
      <c r="Q298" s="10">
        <f>IF(N298="已下單",O298*P298,0)</f>
        <v/>
      </c>
      <c r="R298" s="10">
        <f>R297+Q298</f>
        <v/>
      </c>
      <c r="S298" s="16">
        <f>S297-IF(N298="已下單",M298,0)</f>
        <v/>
      </c>
      <c r="T298" s="16">
        <f>R298-S298</f>
        <v/>
      </c>
      <c r="U298" s="2">
        <f>U297-IF(N298="已下單",1,0)</f>
        <v/>
      </c>
      <c r="V298" s="16">
        <f>IF(資金模擬!$B$9=2,MAX(R298,0),MAX(V297,FLOOR(MAX(R298,0),資金模擬!$B$6)))</f>
        <v/>
      </c>
      <c r="W298" s="10">
        <f>MAX(W297,R298)</f>
        <v/>
      </c>
      <c r="X298" s="4">
        <f>IF(W298&gt;0,R298/W298-1,-1)</f>
        <v/>
      </c>
      <c r="Y298" s="16">
        <f>IF(R298&gt;0,S298*資金模擬!$B$7/R298,0)</f>
        <v/>
      </c>
      <c r="Z298" s="2">
        <f>IF(OR(Z297=1,R298&lt;=資金模擬!$B$10),1,0)</f>
        <v/>
      </c>
    </row>
    <row r="299">
      <c r="A299" s="2" t="n">
        <v>297</v>
      </c>
      <c r="B299" s="7" t="n">
        <v>46290.07986111111</v>
      </c>
      <c r="C299" s="2" t="inlineStr">
        <is>
          <t>進場</t>
        </is>
      </c>
      <c r="D299" s="2" t="n">
        <v>149</v>
      </c>
      <c r="E299" s="2" t="inlineStr">
        <is>
          <t>XAI_USDT_PERP</t>
        </is>
      </c>
      <c r="F299" s="2" t="inlineStr">
        <is>
          <t>做空</t>
        </is>
      </c>
      <c r="G299" s="17" t="n">
        <v>0.01165</v>
      </c>
      <c r="H299" s="17" t="n">
        <v>0.011184</v>
      </c>
      <c r="I299" s="17" t="n">
        <v>0.0122325</v>
      </c>
      <c r="J299" s="17" t="n"/>
      <c r="K299" s="2" t="n"/>
      <c r="L299" s="5" t="n"/>
      <c r="M299" s="16">
        <f>資金模擬!$B$5*V298</f>
        <v/>
      </c>
      <c r="N299" s="2">
        <f>IF(Z298=1,"已停止",IF(T298&gt;=M299,"已下單","資金不足略過"))</f>
        <v/>
      </c>
      <c r="O299" s="16">
        <f>IF(N299="已下單",M299*資金模擬!$B$7,0)</f>
        <v/>
      </c>
      <c r="P299" s="4" t="n"/>
      <c r="Q299" s="10" t="n">
        <v>0</v>
      </c>
      <c r="R299" s="10">
        <f>R298+Q299</f>
        <v/>
      </c>
      <c r="S299" s="16">
        <f>S298+IF(N299="已下單",M299,0)</f>
        <v/>
      </c>
      <c r="T299" s="16">
        <f>R299-S299</f>
        <v/>
      </c>
      <c r="U299" s="2">
        <f>U298+IF(N299="已下單",1,0)</f>
        <v/>
      </c>
      <c r="V299" s="16">
        <f>IF(資金模擬!$B$9=2,MAX(R299,0),MAX(V298,FLOOR(MAX(R299,0),資金模擬!$B$6)))</f>
        <v/>
      </c>
      <c r="W299" s="10">
        <f>MAX(W298,R299)</f>
        <v/>
      </c>
      <c r="X299" s="4">
        <f>IF(W299&gt;0,R299/W299-1,-1)</f>
        <v/>
      </c>
      <c r="Y299" s="16">
        <f>IF(R299&gt;0,S299*資金模擬!$B$7/R299,0)</f>
        <v/>
      </c>
      <c r="Z299" s="2">
        <f>IF(OR(Z298=1,R299&lt;=資金模擬!$B$10),1,0)</f>
        <v/>
      </c>
    </row>
    <row r="300">
      <c r="A300" s="2" t="n">
        <v>298</v>
      </c>
      <c r="B300" s="7" t="n">
        <v>46290.09375</v>
      </c>
      <c r="C300" s="2" t="inlineStr">
        <is>
          <t>出場</t>
        </is>
      </c>
      <c r="D300" s="2" t="n">
        <v>149</v>
      </c>
      <c r="E300" s="2" t="inlineStr">
        <is>
          <t>XAI_USDT_PERP</t>
        </is>
      </c>
      <c r="F300" s="2" t="inlineStr">
        <is>
          <t>做空</t>
        </is>
      </c>
      <c r="G300" s="17" t="n">
        <v>0.01165</v>
      </c>
      <c r="H300" s="17" t="n">
        <v>0.011184</v>
      </c>
      <c r="I300" s="17" t="n">
        <v>0.0122325</v>
      </c>
      <c r="J300" s="17" t="n">
        <v>0.0122325</v>
      </c>
      <c r="K300" s="2" t="inlineStr">
        <is>
          <t>止損</t>
        </is>
      </c>
      <c r="L300" s="5">
        <f>交易明細!K150</f>
        <v/>
      </c>
      <c r="M300" s="16">
        <f>M299</f>
        <v/>
      </c>
      <c r="N300" s="2">
        <f>N299</f>
        <v/>
      </c>
      <c r="O300" s="16">
        <f>O299</f>
        <v/>
      </c>
      <c r="P300" s="4">
        <f>交易明細!L150</f>
        <v/>
      </c>
      <c r="Q300" s="10">
        <f>IF(N300="已下單",O300*P300,0)</f>
        <v/>
      </c>
      <c r="R300" s="10">
        <f>R299+Q300</f>
        <v/>
      </c>
      <c r="S300" s="16">
        <f>S299-IF(N300="已下單",M300,0)</f>
        <v/>
      </c>
      <c r="T300" s="16">
        <f>R300-S300</f>
        <v/>
      </c>
      <c r="U300" s="2">
        <f>U299-IF(N300="已下單",1,0)</f>
        <v/>
      </c>
      <c r="V300" s="16">
        <f>IF(資金模擬!$B$9=2,MAX(R300,0),MAX(V299,FLOOR(MAX(R300,0),資金模擬!$B$6)))</f>
        <v/>
      </c>
      <c r="W300" s="10">
        <f>MAX(W299,R300)</f>
        <v/>
      </c>
      <c r="X300" s="4">
        <f>IF(W300&gt;0,R300/W300-1,-1)</f>
        <v/>
      </c>
      <c r="Y300" s="16">
        <f>IF(R300&gt;0,S300*資金模擬!$B$7/R300,0)</f>
        <v/>
      </c>
      <c r="Z300" s="2">
        <f>IF(OR(Z299=1,R300&lt;=資金模擬!$B$10),1,0)</f>
        <v/>
      </c>
    </row>
    <row r="301">
      <c r="A301" s="2" t="n">
        <v>299</v>
      </c>
      <c r="B301" s="7" t="n">
        <v>46291.60069444445</v>
      </c>
      <c r="C301" s="2" t="inlineStr">
        <is>
          <t>進場</t>
        </is>
      </c>
      <c r="D301" s="2" t="n">
        <v>150</v>
      </c>
      <c r="E301" s="2" t="inlineStr">
        <is>
          <t>2Z_USDT_PERP</t>
        </is>
      </c>
      <c r="F301" s="2" t="inlineStr">
        <is>
          <t>做空</t>
        </is>
      </c>
      <c r="G301" s="17" t="n">
        <v>0.06751</v>
      </c>
      <c r="H301" s="17" t="n">
        <v>0.06480959999999999</v>
      </c>
      <c r="I301" s="17" t="n">
        <v>0.0708855</v>
      </c>
      <c r="J301" s="17" t="n"/>
      <c r="K301" s="2" t="n"/>
      <c r="L301" s="5" t="n"/>
      <c r="M301" s="16">
        <f>資金模擬!$B$5*V300</f>
        <v/>
      </c>
      <c r="N301" s="2">
        <f>IF(Z300=1,"已停止",IF(T300&gt;=M301,"已下單","資金不足略過"))</f>
        <v/>
      </c>
      <c r="O301" s="16">
        <f>IF(N301="已下單",M301*資金模擬!$B$7,0)</f>
        <v/>
      </c>
      <c r="P301" s="4" t="n"/>
      <c r="Q301" s="10" t="n">
        <v>0</v>
      </c>
      <c r="R301" s="10">
        <f>R300+Q301</f>
        <v/>
      </c>
      <c r="S301" s="16">
        <f>S300+IF(N301="已下單",M301,0)</f>
        <v/>
      </c>
      <c r="T301" s="16">
        <f>R301-S301</f>
        <v/>
      </c>
      <c r="U301" s="2">
        <f>U300+IF(N301="已下單",1,0)</f>
        <v/>
      </c>
      <c r="V301" s="16">
        <f>IF(資金模擬!$B$9=2,MAX(R301,0),MAX(V300,FLOOR(MAX(R301,0),資金模擬!$B$6)))</f>
        <v/>
      </c>
      <c r="W301" s="10">
        <f>MAX(W300,R301)</f>
        <v/>
      </c>
      <c r="X301" s="4">
        <f>IF(W301&gt;0,R301/W301-1,-1)</f>
        <v/>
      </c>
      <c r="Y301" s="16">
        <f>IF(R301&gt;0,S301*資金模擬!$B$7/R301,0)</f>
        <v/>
      </c>
      <c r="Z301" s="2">
        <f>IF(OR(Z300=1,R301&lt;=資金模擬!$B$10),1,0)</f>
        <v/>
      </c>
    </row>
    <row r="302">
      <c r="A302" s="2" t="n">
        <v>300</v>
      </c>
      <c r="B302" s="7" t="n">
        <v>46291.62847222222</v>
      </c>
      <c r="C302" s="2" t="inlineStr">
        <is>
          <t>出場</t>
        </is>
      </c>
      <c r="D302" s="2" t="n">
        <v>150</v>
      </c>
      <c r="E302" s="2" t="inlineStr">
        <is>
          <t>2Z_USDT_PERP</t>
        </is>
      </c>
      <c r="F302" s="2" t="inlineStr">
        <is>
          <t>做空</t>
        </is>
      </c>
      <c r="G302" s="17" t="n">
        <v>0.06751</v>
      </c>
      <c r="H302" s="17" t="n">
        <v>0.06480959999999999</v>
      </c>
      <c r="I302" s="17" t="n">
        <v>0.0708855</v>
      </c>
      <c r="J302" s="17" t="n">
        <v>0.0708855</v>
      </c>
      <c r="K302" s="2" t="inlineStr">
        <is>
          <t>止損</t>
        </is>
      </c>
      <c r="L302" s="5">
        <f>交易明細!K151</f>
        <v/>
      </c>
      <c r="M302" s="16">
        <f>M301</f>
        <v/>
      </c>
      <c r="N302" s="2">
        <f>N301</f>
        <v/>
      </c>
      <c r="O302" s="16">
        <f>O301</f>
        <v/>
      </c>
      <c r="P302" s="4">
        <f>交易明細!L151</f>
        <v/>
      </c>
      <c r="Q302" s="10">
        <f>IF(N302="已下單",O302*P302,0)</f>
        <v/>
      </c>
      <c r="R302" s="10">
        <f>R301+Q302</f>
        <v/>
      </c>
      <c r="S302" s="16">
        <f>S301-IF(N302="已下單",M302,0)</f>
        <v/>
      </c>
      <c r="T302" s="16">
        <f>R302-S302</f>
        <v/>
      </c>
      <c r="U302" s="2">
        <f>U301-IF(N302="已下單",1,0)</f>
        <v/>
      </c>
      <c r="V302" s="16">
        <f>IF(資金模擬!$B$9=2,MAX(R302,0),MAX(V301,FLOOR(MAX(R302,0),資金模擬!$B$6)))</f>
        <v/>
      </c>
      <c r="W302" s="10">
        <f>MAX(W301,R302)</f>
        <v/>
      </c>
      <c r="X302" s="4">
        <f>IF(W302&gt;0,R302/W302-1,-1)</f>
        <v/>
      </c>
      <c r="Y302" s="16">
        <f>IF(R302&gt;0,S302*資金模擬!$B$7/R302,0)</f>
        <v/>
      </c>
      <c r="Z302" s="2">
        <f>IF(OR(Z301=1,R302&lt;=資金模擬!$B$10),1,0)</f>
        <v/>
      </c>
    </row>
    <row r="303">
      <c r="A303" s="2" t="n">
        <v>301</v>
      </c>
      <c r="B303" s="7" t="n">
        <v>46291.63194444445</v>
      </c>
      <c r="C303" s="2" t="inlineStr">
        <is>
          <t>進場</t>
        </is>
      </c>
      <c r="D303" s="2" t="n">
        <v>151</v>
      </c>
      <c r="E303" s="2" t="inlineStr">
        <is>
          <t>Q_USDT_PERP</t>
        </is>
      </c>
      <c r="F303" s="2" t="inlineStr">
        <is>
          <t>做空</t>
        </is>
      </c>
      <c r="G303" s="17" t="n">
        <v>0.029962</v>
      </c>
      <c r="H303" s="17" t="n">
        <v>0.02876352</v>
      </c>
      <c r="I303" s="17" t="n">
        <v>0.0314601</v>
      </c>
      <c r="J303" s="17" t="n"/>
      <c r="K303" s="2" t="n"/>
      <c r="L303" s="5" t="n"/>
      <c r="M303" s="16">
        <f>資金模擬!$B$5*V302</f>
        <v/>
      </c>
      <c r="N303" s="2">
        <f>IF(Z302=1,"已停止",IF(T302&gt;=M303,"已下單","資金不足略過"))</f>
        <v/>
      </c>
      <c r="O303" s="16">
        <f>IF(N303="已下單",M303*資金模擬!$B$7,0)</f>
        <v/>
      </c>
      <c r="P303" s="4" t="n"/>
      <c r="Q303" s="10" t="n">
        <v>0</v>
      </c>
      <c r="R303" s="10">
        <f>R302+Q303</f>
        <v/>
      </c>
      <c r="S303" s="16">
        <f>S302+IF(N303="已下單",M303,0)</f>
        <v/>
      </c>
      <c r="T303" s="16">
        <f>R303-S303</f>
        <v/>
      </c>
      <c r="U303" s="2">
        <f>U302+IF(N303="已下單",1,0)</f>
        <v/>
      </c>
      <c r="V303" s="16">
        <f>IF(資金模擬!$B$9=2,MAX(R303,0),MAX(V302,FLOOR(MAX(R303,0),資金模擬!$B$6)))</f>
        <v/>
      </c>
      <c r="W303" s="10">
        <f>MAX(W302,R303)</f>
        <v/>
      </c>
      <c r="X303" s="4">
        <f>IF(W303&gt;0,R303/W303-1,-1)</f>
        <v/>
      </c>
      <c r="Y303" s="16">
        <f>IF(R303&gt;0,S303*資金模擬!$B$7/R303,0)</f>
        <v/>
      </c>
      <c r="Z303" s="2">
        <f>IF(OR(Z302=1,R303&lt;=資金模擬!$B$10),1,0)</f>
        <v/>
      </c>
    </row>
    <row r="304">
      <c r="A304" s="2" t="n">
        <v>302</v>
      </c>
      <c r="B304" s="7" t="n">
        <v>46291.64236111111</v>
      </c>
      <c r="C304" s="2" t="inlineStr">
        <is>
          <t>出場</t>
        </is>
      </c>
      <c r="D304" s="2" t="n">
        <v>151</v>
      </c>
      <c r="E304" s="2" t="inlineStr">
        <is>
          <t>Q_USDT_PERP</t>
        </is>
      </c>
      <c r="F304" s="2" t="inlineStr">
        <is>
          <t>做空</t>
        </is>
      </c>
      <c r="G304" s="17" t="n">
        <v>0.029962</v>
      </c>
      <c r="H304" s="17" t="n">
        <v>0.02876352</v>
      </c>
      <c r="I304" s="17" t="n">
        <v>0.0314601</v>
      </c>
      <c r="J304" s="17" t="n">
        <v>0.0314601</v>
      </c>
      <c r="K304" s="2" t="inlineStr">
        <is>
          <t>止損</t>
        </is>
      </c>
      <c r="L304" s="5">
        <f>交易明細!K152</f>
        <v/>
      </c>
      <c r="M304" s="16">
        <f>M303</f>
        <v/>
      </c>
      <c r="N304" s="2">
        <f>N303</f>
        <v/>
      </c>
      <c r="O304" s="16">
        <f>O303</f>
        <v/>
      </c>
      <c r="P304" s="4">
        <f>交易明細!L152</f>
        <v/>
      </c>
      <c r="Q304" s="10">
        <f>IF(N304="已下單",O304*P304,0)</f>
        <v/>
      </c>
      <c r="R304" s="10">
        <f>R303+Q304</f>
        <v/>
      </c>
      <c r="S304" s="16">
        <f>S303-IF(N304="已下單",M304,0)</f>
        <v/>
      </c>
      <c r="T304" s="16">
        <f>R304-S304</f>
        <v/>
      </c>
      <c r="U304" s="2">
        <f>U303-IF(N304="已下單",1,0)</f>
        <v/>
      </c>
      <c r="V304" s="16">
        <f>IF(資金模擬!$B$9=2,MAX(R304,0),MAX(V303,FLOOR(MAX(R304,0),資金模擬!$B$6)))</f>
        <v/>
      </c>
      <c r="W304" s="10">
        <f>MAX(W303,R304)</f>
        <v/>
      </c>
      <c r="X304" s="4">
        <f>IF(W304&gt;0,R304/W304-1,-1)</f>
        <v/>
      </c>
      <c r="Y304" s="16">
        <f>IF(R304&gt;0,S304*資金模擬!$B$7/R304,0)</f>
        <v/>
      </c>
      <c r="Z304" s="2">
        <f>IF(OR(Z303=1,R304&lt;=資金模擬!$B$10),1,0)</f>
        <v/>
      </c>
    </row>
    <row r="305">
      <c r="A305" s="2" t="n">
        <v>303</v>
      </c>
      <c r="B305" s="7" t="n">
        <v>46291.96180555555</v>
      </c>
      <c r="C305" s="2" t="inlineStr">
        <is>
          <t>進場</t>
        </is>
      </c>
      <c r="D305" s="2" t="n">
        <v>152</v>
      </c>
      <c r="E305" s="2" t="inlineStr">
        <is>
          <t>US_USDT_PERP</t>
        </is>
      </c>
      <c r="F305" s="2" t="inlineStr">
        <is>
          <t>做空</t>
        </is>
      </c>
      <c r="G305" s="17" t="n">
        <v>0.02612</v>
      </c>
      <c r="H305" s="17" t="n">
        <v>0.0250752</v>
      </c>
      <c r="I305" s="17" t="n">
        <v>0.027426</v>
      </c>
      <c r="J305" s="17" t="n"/>
      <c r="K305" s="2" t="n"/>
      <c r="L305" s="5" t="n"/>
      <c r="M305" s="16">
        <f>資金模擬!$B$5*V304</f>
        <v/>
      </c>
      <c r="N305" s="2">
        <f>IF(Z304=1,"已停止",IF(T304&gt;=M305,"已下單","資金不足略過"))</f>
        <v/>
      </c>
      <c r="O305" s="16">
        <f>IF(N305="已下單",M305*資金模擬!$B$7,0)</f>
        <v/>
      </c>
      <c r="P305" s="4" t="n"/>
      <c r="Q305" s="10" t="n">
        <v>0</v>
      </c>
      <c r="R305" s="10">
        <f>R304+Q305</f>
        <v/>
      </c>
      <c r="S305" s="16">
        <f>S304+IF(N305="已下單",M305,0)</f>
        <v/>
      </c>
      <c r="T305" s="16">
        <f>R305-S305</f>
        <v/>
      </c>
      <c r="U305" s="2">
        <f>U304+IF(N305="已下單",1,0)</f>
        <v/>
      </c>
      <c r="V305" s="16">
        <f>IF(資金模擬!$B$9=2,MAX(R305,0),MAX(V304,FLOOR(MAX(R305,0),資金模擬!$B$6)))</f>
        <v/>
      </c>
      <c r="W305" s="10">
        <f>MAX(W304,R305)</f>
        <v/>
      </c>
      <c r="X305" s="4">
        <f>IF(W305&gt;0,R305/W305-1,-1)</f>
        <v/>
      </c>
      <c r="Y305" s="16">
        <f>IF(R305&gt;0,S305*資金模擬!$B$7/R305,0)</f>
        <v/>
      </c>
      <c r="Z305" s="2">
        <f>IF(OR(Z304=1,R305&lt;=資金模擬!$B$10),1,0)</f>
        <v/>
      </c>
    </row>
    <row r="306">
      <c r="A306" s="2" t="n">
        <v>304</v>
      </c>
      <c r="B306" s="7" t="n">
        <v>46291.98263888889</v>
      </c>
      <c r="C306" s="2" t="inlineStr">
        <is>
          <t>出場</t>
        </is>
      </c>
      <c r="D306" s="2" t="n">
        <v>152</v>
      </c>
      <c r="E306" s="2" t="inlineStr">
        <is>
          <t>US_USDT_PERP</t>
        </is>
      </c>
      <c r="F306" s="2" t="inlineStr">
        <is>
          <t>做空</t>
        </is>
      </c>
      <c r="G306" s="17" t="n">
        <v>0.02612</v>
      </c>
      <c r="H306" s="17" t="n">
        <v>0.0250752</v>
      </c>
      <c r="I306" s="17" t="n">
        <v>0.027426</v>
      </c>
      <c r="J306" s="17" t="n">
        <v>0.027426</v>
      </c>
      <c r="K306" s="2" t="inlineStr">
        <is>
          <t>止損</t>
        </is>
      </c>
      <c r="L306" s="5">
        <f>交易明細!K153</f>
        <v/>
      </c>
      <c r="M306" s="16">
        <f>M305</f>
        <v/>
      </c>
      <c r="N306" s="2">
        <f>N305</f>
        <v/>
      </c>
      <c r="O306" s="16">
        <f>O305</f>
        <v/>
      </c>
      <c r="P306" s="4">
        <f>交易明細!L153</f>
        <v/>
      </c>
      <c r="Q306" s="10">
        <f>IF(N306="已下單",O306*P306,0)</f>
        <v/>
      </c>
      <c r="R306" s="10">
        <f>R305+Q306</f>
        <v/>
      </c>
      <c r="S306" s="16">
        <f>S305-IF(N306="已下單",M306,0)</f>
        <v/>
      </c>
      <c r="T306" s="16">
        <f>R306-S306</f>
        <v/>
      </c>
      <c r="U306" s="2">
        <f>U305-IF(N306="已下單",1,0)</f>
        <v/>
      </c>
      <c r="V306" s="16">
        <f>IF(資金模擬!$B$9=2,MAX(R306,0),MAX(V305,FLOOR(MAX(R306,0),資金模擬!$B$6)))</f>
        <v/>
      </c>
      <c r="W306" s="10">
        <f>MAX(W305,R306)</f>
        <v/>
      </c>
      <c r="X306" s="4">
        <f>IF(W306&gt;0,R306/W306-1,-1)</f>
        <v/>
      </c>
      <c r="Y306" s="16">
        <f>IF(R306&gt;0,S306*資金模擬!$B$7/R306,0)</f>
        <v/>
      </c>
      <c r="Z306" s="2">
        <f>IF(OR(Z305=1,R306&lt;=資金模擬!$B$10),1,0)</f>
        <v/>
      </c>
    </row>
    <row r="307">
      <c r="A307" s="2" t="n">
        <v>305</v>
      </c>
      <c r="B307" s="7" t="n">
        <v>46292.02083333334</v>
      </c>
      <c r="C307" s="2" t="inlineStr">
        <is>
          <t>進場</t>
        </is>
      </c>
      <c r="D307" s="2" t="n">
        <v>153</v>
      </c>
      <c r="E307" s="2" t="inlineStr">
        <is>
          <t>CLANKER_USDT_PERP</t>
        </is>
      </c>
      <c r="F307" s="2" t="inlineStr">
        <is>
          <t>做空</t>
        </is>
      </c>
      <c r="G307" s="17" t="n">
        <v>16.55</v>
      </c>
      <c r="H307" s="17" t="n">
        <v>15.888</v>
      </c>
      <c r="I307" s="17" t="n">
        <v>17.3775</v>
      </c>
      <c r="J307" s="17" t="n"/>
      <c r="K307" s="2" t="n"/>
      <c r="L307" s="5" t="n"/>
      <c r="M307" s="16">
        <f>資金模擬!$B$5*V306</f>
        <v/>
      </c>
      <c r="N307" s="2">
        <f>IF(Z306=1,"已停止",IF(T306&gt;=M307,"已下單","資金不足略過"))</f>
        <v/>
      </c>
      <c r="O307" s="16">
        <f>IF(N307="已下單",M307*資金模擬!$B$7,0)</f>
        <v/>
      </c>
      <c r="P307" s="4" t="n"/>
      <c r="Q307" s="10" t="n">
        <v>0</v>
      </c>
      <c r="R307" s="10">
        <f>R306+Q307</f>
        <v/>
      </c>
      <c r="S307" s="16">
        <f>S306+IF(N307="已下單",M307,0)</f>
        <v/>
      </c>
      <c r="T307" s="16">
        <f>R307-S307</f>
        <v/>
      </c>
      <c r="U307" s="2">
        <f>U306+IF(N307="已下單",1,0)</f>
        <v/>
      </c>
      <c r="V307" s="16">
        <f>IF(資金模擬!$B$9=2,MAX(R307,0),MAX(V306,FLOOR(MAX(R307,0),資金模擬!$B$6)))</f>
        <v/>
      </c>
      <c r="W307" s="10">
        <f>MAX(W306,R307)</f>
        <v/>
      </c>
      <c r="X307" s="4">
        <f>IF(W307&gt;0,R307/W307-1,-1)</f>
        <v/>
      </c>
      <c r="Y307" s="16">
        <f>IF(R307&gt;0,S307*資金模擬!$B$7/R307,0)</f>
        <v/>
      </c>
      <c r="Z307" s="2">
        <f>IF(OR(Z306=1,R307&lt;=資金模擬!$B$10),1,0)</f>
        <v/>
      </c>
    </row>
    <row r="308">
      <c r="A308" s="2" t="n">
        <v>306</v>
      </c>
      <c r="B308" s="7" t="n">
        <v>46292.02430555555</v>
      </c>
      <c r="C308" s="2" t="inlineStr">
        <is>
          <t>出場</t>
        </is>
      </c>
      <c r="D308" s="2" t="n">
        <v>153</v>
      </c>
      <c r="E308" s="2" t="inlineStr">
        <is>
          <t>CLANKER_USDT_PERP</t>
        </is>
      </c>
      <c r="F308" s="2" t="inlineStr">
        <is>
          <t>做空</t>
        </is>
      </c>
      <c r="G308" s="17" t="n">
        <v>16.55</v>
      </c>
      <c r="H308" s="17" t="n">
        <v>15.888</v>
      </c>
      <c r="I308" s="17" t="n">
        <v>17.3775</v>
      </c>
      <c r="J308" s="17" t="n">
        <v>15.888</v>
      </c>
      <c r="K308" s="2" t="inlineStr">
        <is>
          <t>止盈</t>
        </is>
      </c>
      <c r="L308" s="5">
        <f>交易明細!K154</f>
        <v/>
      </c>
      <c r="M308" s="16">
        <f>M307</f>
        <v/>
      </c>
      <c r="N308" s="2">
        <f>N307</f>
        <v/>
      </c>
      <c r="O308" s="16">
        <f>O307</f>
        <v/>
      </c>
      <c r="P308" s="4">
        <f>交易明細!L154</f>
        <v/>
      </c>
      <c r="Q308" s="10">
        <f>IF(N308="已下單",O308*P308,0)</f>
        <v/>
      </c>
      <c r="R308" s="10">
        <f>R307+Q308</f>
        <v/>
      </c>
      <c r="S308" s="16">
        <f>S307-IF(N308="已下單",M308,0)</f>
        <v/>
      </c>
      <c r="T308" s="16">
        <f>R308-S308</f>
        <v/>
      </c>
      <c r="U308" s="2">
        <f>U307-IF(N308="已下單",1,0)</f>
        <v/>
      </c>
      <c r="V308" s="16">
        <f>IF(資金模擬!$B$9=2,MAX(R308,0),MAX(V307,FLOOR(MAX(R308,0),資金模擬!$B$6)))</f>
        <v/>
      </c>
      <c r="W308" s="10">
        <f>MAX(W307,R308)</f>
        <v/>
      </c>
      <c r="X308" s="4">
        <f>IF(W308&gt;0,R308/W308-1,-1)</f>
        <v/>
      </c>
      <c r="Y308" s="16">
        <f>IF(R308&gt;0,S308*資金模擬!$B$7/R308,0)</f>
        <v/>
      </c>
      <c r="Z308" s="2">
        <f>IF(OR(Z307=1,R308&lt;=資金模擬!$B$10),1,0)</f>
        <v/>
      </c>
    </row>
    <row r="309">
      <c r="A309" s="2" t="n">
        <v>307</v>
      </c>
      <c r="B309" s="7" t="n">
        <v>46292.44791666666</v>
      </c>
      <c r="C309" s="2" t="inlineStr">
        <is>
          <t>進場</t>
        </is>
      </c>
      <c r="D309" s="2" t="n">
        <v>154</v>
      </c>
      <c r="E309" s="2" t="inlineStr">
        <is>
          <t>SOON_USDT_PERP</t>
        </is>
      </c>
      <c r="F309" s="2" t="inlineStr">
        <is>
          <t>做空</t>
        </is>
      </c>
      <c r="G309" s="17" t="n">
        <v>0.2743</v>
      </c>
      <c r="H309" s="17" t="n">
        <v>0.263328</v>
      </c>
      <c r="I309" s="17" t="n">
        <v>0.288015</v>
      </c>
      <c r="J309" s="17" t="n"/>
      <c r="K309" s="2" t="n"/>
      <c r="L309" s="5" t="n"/>
      <c r="M309" s="16">
        <f>資金模擬!$B$5*V308</f>
        <v/>
      </c>
      <c r="N309" s="2">
        <f>IF(Z308=1,"已停止",IF(T308&gt;=M309,"已下單","資金不足略過"))</f>
        <v/>
      </c>
      <c r="O309" s="16">
        <f>IF(N309="已下單",M309*資金模擬!$B$7,0)</f>
        <v/>
      </c>
      <c r="P309" s="4" t="n"/>
      <c r="Q309" s="10" t="n">
        <v>0</v>
      </c>
      <c r="R309" s="10">
        <f>R308+Q309</f>
        <v/>
      </c>
      <c r="S309" s="16">
        <f>S308+IF(N309="已下單",M309,0)</f>
        <v/>
      </c>
      <c r="T309" s="16">
        <f>R309-S309</f>
        <v/>
      </c>
      <c r="U309" s="2">
        <f>U308+IF(N309="已下單",1,0)</f>
        <v/>
      </c>
      <c r="V309" s="16">
        <f>IF(資金模擬!$B$9=2,MAX(R309,0),MAX(V308,FLOOR(MAX(R309,0),資金模擬!$B$6)))</f>
        <v/>
      </c>
      <c r="W309" s="10">
        <f>MAX(W308,R309)</f>
        <v/>
      </c>
      <c r="X309" s="4">
        <f>IF(W309&gt;0,R309/W309-1,-1)</f>
        <v/>
      </c>
      <c r="Y309" s="16">
        <f>IF(R309&gt;0,S309*資金模擬!$B$7/R309,0)</f>
        <v/>
      </c>
      <c r="Z309" s="2">
        <f>IF(OR(Z308=1,R309&lt;=資金模擬!$B$10),1,0)</f>
        <v/>
      </c>
    </row>
    <row r="310">
      <c r="A310" s="2" t="n">
        <v>308</v>
      </c>
      <c r="B310" s="7" t="n">
        <v>46292.48263888889</v>
      </c>
      <c r="C310" s="2" t="inlineStr">
        <is>
          <t>出場</t>
        </is>
      </c>
      <c r="D310" s="2" t="n">
        <v>154</v>
      </c>
      <c r="E310" s="2" t="inlineStr">
        <is>
          <t>SOON_USDT_PERP</t>
        </is>
      </c>
      <c r="F310" s="2" t="inlineStr">
        <is>
          <t>做空</t>
        </is>
      </c>
      <c r="G310" s="17" t="n">
        <v>0.2743</v>
      </c>
      <c r="H310" s="17" t="n">
        <v>0.263328</v>
      </c>
      <c r="I310" s="17" t="n">
        <v>0.288015</v>
      </c>
      <c r="J310" s="17" t="n">
        <v>0.288015</v>
      </c>
      <c r="K310" s="2" t="inlineStr">
        <is>
          <t>止損</t>
        </is>
      </c>
      <c r="L310" s="5">
        <f>交易明細!K155</f>
        <v/>
      </c>
      <c r="M310" s="16">
        <f>M309</f>
        <v/>
      </c>
      <c r="N310" s="2">
        <f>N309</f>
        <v/>
      </c>
      <c r="O310" s="16">
        <f>O309</f>
        <v/>
      </c>
      <c r="P310" s="4">
        <f>交易明細!L155</f>
        <v/>
      </c>
      <c r="Q310" s="10">
        <f>IF(N310="已下單",O310*P310,0)</f>
        <v/>
      </c>
      <c r="R310" s="10">
        <f>R309+Q310</f>
        <v/>
      </c>
      <c r="S310" s="16">
        <f>S309-IF(N310="已下單",M310,0)</f>
        <v/>
      </c>
      <c r="T310" s="16">
        <f>R310-S310</f>
        <v/>
      </c>
      <c r="U310" s="2">
        <f>U309-IF(N310="已下單",1,0)</f>
        <v/>
      </c>
      <c r="V310" s="16">
        <f>IF(資金模擬!$B$9=2,MAX(R310,0),MAX(V309,FLOOR(MAX(R310,0),資金模擬!$B$6)))</f>
        <v/>
      </c>
      <c r="W310" s="10">
        <f>MAX(W309,R310)</f>
        <v/>
      </c>
      <c r="X310" s="4">
        <f>IF(W310&gt;0,R310/W310-1,-1)</f>
        <v/>
      </c>
      <c r="Y310" s="16">
        <f>IF(R310&gt;0,S310*資金模擬!$B$7/R310,0)</f>
        <v/>
      </c>
      <c r="Z310" s="2">
        <f>IF(OR(Z309=1,R310&lt;=資金模擬!$B$10),1,0)</f>
        <v/>
      </c>
    </row>
    <row r="311">
      <c r="A311" s="2" t="n">
        <v>309</v>
      </c>
      <c r="B311" s="7" t="n">
        <v>46292.75347222222</v>
      </c>
      <c r="C311" s="2" t="inlineStr">
        <is>
          <t>進場</t>
        </is>
      </c>
      <c r="D311" s="2" t="n">
        <v>155</v>
      </c>
      <c r="E311" s="2" t="inlineStr">
        <is>
          <t>ARX_USDT_PERP</t>
        </is>
      </c>
      <c r="F311" s="2" t="inlineStr">
        <is>
          <t>做空</t>
        </is>
      </c>
      <c r="G311" s="17" t="n">
        <v>0.2565</v>
      </c>
      <c r="H311" s="17" t="n">
        <v>0.24624</v>
      </c>
      <c r="I311" s="17" t="n">
        <v>0.269325</v>
      </c>
      <c r="J311" s="17" t="n"/>
      <c r="K311" s="2" t="n"/>
      <c r="L311" s="5" t="n"/>
      <c r="M311" s="16">
        <f>資金模擬!$B$5*V310</f>
        <v/>
      </c>
      <c r="N311" s="2">
        <f>IF(Z310=1,"已停止",IF(T310&gt;=M311,"已下單","資金不足略過"))</f>
        <v/>
      </c>
      <c r="O311" s="16">
        <f>IF(N311="已下單",M311*資金模擬!$B$7,0)</f>
        <v/>
      </c>
      <c r="P311" s="4" t="n"/>
      <c r="Q311" s="10" t="n">
        <v>0</v>
      </c>
      <c r="R311" s="10">
        <f>R310+Q311</f>
        <v/>
      </c>
      <c r="S311" s="16">
        <f>S310+IF(N311="已下單",M311,0)</f>
        <v/>
      </c>
      <c r="T311" s="16">
        <f>R311-S311</f>
        <v/>
      </c>
      <c r="U311" s="2">
        <f>U310+IF(N311="已下單",1,0)</f>
        <v/>
      </c>
      <c r="V311" s="16">
        <f>IF(資金模擬!$B$9=2,MAX(R311,0),MAX(V310,FLOOR(MAX(R311,0),資金模擬!$B$6)))</f>
        <v/>
      </c>
      <c r="W311" s="10">
        <f>MAX(W310,R311)</f>
        <v/>
      </c>
      <c r="X311" s="4">
        <f>IF(W311&gt;0,R311/W311-1,-1)</f>
        <v/>
      </c>
      <c r="Y311" s="16">
        <f>IF(R311&gt;0,S311*資金模擬!$B$7/R311,0)</f>
        <v/>
      </c>
      <c r="Z311" s="2">
        <f>IF(OR(Z310=1,R311&lt;=資金模擬!$B$10),1,0)</f>
        <v/>
      </c>
    </row>
    <row r="312">
      <c r="A312" s="2" t="n">
        <v>310</v>
      </c>
      <c r="B312" s="7" t="n">
        <v>46292.8125</v>
      </c>
      <c r="C312" s="2" t="inlineStr">
        <is>
          <t>出場</t>
        </is>
      </c>
      <c r="D312" s="2" t="n">
        <v>155</v>
      </c>
      <c r="E312" s="2" t="inlineStr">
        <is>
          <t>ARX_USDT_PERP</t>
        </is>
      </c>
      <c r="F312" s="2" t="inlineStr">
        <is>
          <t>做空</t>
        </is>
      </c>
      <c r="G312" s="17" t="n">
        <v>0.2565</v>
      </c>
      <c r="H312" s="17" t="n">
        <v>0.24624</v>
      </c>
      <c r="I312" s="17" t="n">
        <v>0.269325</v>
      </c>
      <c r="J312" s="17" t="n">
        <v>0.269325</v>
      </c>
      <c r="K312" s="2" t="inlineStr">
        <is>
          <t>止損</t>
        </is>
      </c>
      <c r="L312" s="5">
        <f>交易明細!K156</f>
        <v/>
      </c>
      <c r="M312" s="16">
        <f>M311</f>
        <v/>
      </c>
      <c r="N312" s="2">
        <f>N311</f>
        <v/>
      </c>
      <c r="O312" s="16">
        <f>O311</f>
        <v/>
      </c>
      <c r="P312" s="4">
        <f>交易明細!L156</f>
        <v/>
      </c>
      <c r="Q312" s="10">
        <f>IF(N312="已下單",O312*P312,0)</f>
        <v/>
      </c>
      <c r="R312" s="10">
        <f>R311+Q312</f>
        <v/>
      </c>
      <c r="S312" s="16">
        <f>S311-IF(N312="已下單",M312,0)</f>
        <v/>
      </c>
      <c r="T312" s="16">
        <f>R312-S312</f>
        <v/>
      </c>
      <c r="U312" s="2">
        <f>U311-IF(N312="已下單",1,0)</f>
        <v/>
      </c>
      <c r="V312" s="16">
        <f>IF(資金模擬!$B$9=2,MAX(R312,0),MAX(V311,FLOOR(MAX(R312,0),資金模擬!$B$6)))</f>
        <v/>
      </c>
      <c r="W312" s="10">
        <f>MAX(W311,R312)</f>
        <v/>
      </c>
      <c r="X312" s="4">
        <f>IF(W312&gt;0,R312/W312-1,-1)</f>
        <v/>
      </c>
      <c r="Y312" s="16">
        <f>IF(R312&gt;0,S312*資金模擬!$B$7/R312,0)</f>
        <v/>
      </c>
      <c r="Z312" s="2">
        <f>IF(OR(Z311=1,R312&lt;=資金模擬!$B$10),1,0)</f>
        <v/>
      </c>
    </row>
    <row r="313">
      <c r="A313" s="2" t="n">
        <v>311</v>
      </c>
      <c r="B313" s="7" t="n">
        <v>46292.9375</v>
      </c>
      <c r="C313" s="2" t="inlineStr">
        <is>
          <t>進場</t>
        </is>
      </c>
      <c r="D313" s="2" t="n">
        <v>156</v>
      </c>
      <c r="E313" s="2" t="inlineStr">
        <is>
          <t>MAGIC_USDT_PERP</t>
        </is>
      </c>
      <c r="F313" s="2" t="inlineStr">
        <is>
          <t>做空</t>
        </is>
      </c>
      <c r="G313" s="17" t="n">
        <v>0.0602</v>
      </c>
      <c r="H313" s="17" t="n">
        <v>0.057792</v>
      </c>
      <c r="I313" s="17" t="n">
        <v>0.06321</v>
      </c>
      <c r="J313" s="17" t="n"/>
      <c r="K313" s="2" t="n"/>
      <c r="L313" s="5" t="n"/>
      <c r="M313" s="16">
        <f>資金模擬!$B$5*V312</f>
        <v/>
      </c>
      <c r="N313" s="2">
        <f>IF(Z312=1,"已停止",IF(T312&gt;=M313,"已下單","資金不足略過"))</f>
        <v/>
      </c>
      <c r="O313" s="16">
        <f>IF(N313="已下單",M313*資金模擬!$B$7,0)</f>
        <v/>
      </c>
      <c r="P313" s="4" t="n"/>
      <c r="Q313" s="10" t="n">
        <v>0</v>
      </c>
      <c r="R313" s="10">
        <f>R312+Q313</f>
        <v/>
      </c>
      <c r="S313" s="16">
        <f>S312+IF(N313="已下單",M313,0)</f>
        <v/>
      </c>
      <c r="T313" s="16">
        <f>R313-S313</f>
        <v/>
      </c>
      <c r="U313" s="2">
        <f>U312+IF(N313="已下單",1,0)</f>
        <v/>
      </c>
      <c r="V313" s="16">
        <f>IF(資金模擬!$B$9=2,MAX(R313,0),MAX(V312,FLOOR(MAX(R313,0),資金模擬!$B$6)))</f>
        <v/>
      </c>
      <c r="W313" s="10">
        <f>MAX(W312,R313)</f>
        <v/>
      </c>
      <c r="X313" s="4">
        <f>IF(W313&gt;0,R313/W313-1,-1)</f>
        <v/>
      </c>
      <c r="Y313" s="16">
        <f>IF(R313&gt;0,S313*資金模擬!$B$7/R313,0)</f>
        <v/>
      </c>
      <c r="Z313" s="2">
        <f>IF(OR(Z312=1,R313&lt;=資金模擬!$B$10),1,0)</f>
        <v/>
      </c>
    </row>
    <row r="314">
      <c r="A314" s="2" t="n">
        <v>312</v>
      </c>
      <c r="B314" s="7" t="n">
        <v>46292.95138888889</v>
      </c>
      <c r="C314" s="2" t="inlineStr">
        <is>
          <t>出場</t>
        </is>
      </c>
      <c r="D314" s="2" t="n">
        <v>156</v>
      </c>
      <c r="E314" s="2" t="inlineStr">
        <is>
          <t>MAGIC_USDT_PERP</t>
        </is>
      </c>
      <c r="F314" s="2" t="inlineStr">
        <is>
          <t>做空</t>
        </is>
      </c>
      <c r="G314" s="17" t="n">
        <v>0.0602</v>
      </c>
      <c r="H314" s="17" t="n">
        <v>0.057792</v>
      </c>
      <c r="I314" s="17" t="n">
        <v>0.06321</v>
      </c>
      <c r="J314" s="17" t="n">
        <v>0.057792</v>
      </c>
      <c r="K314" s="2" t="inlineStr">
        <is>
          <t>止盈</t>
        </is>
      </c>
      <c r="L314" s="5">
        <f>交易明細!K157</f>
        <v/>
      </c>
      <c r="M314" s="16">
        <f>M313</f>
        <v/>
      </c>
      <c r="N314" s="2">
        <f>N313</f>
        <v/>
      </c>
      <c r="O314" s="16">
        <f>O313</f>
        <v/>
      </c>
      <c r="P314" s="4">
        <f>交易明細!L157</f>
        <v/>
      </c>
      <c r="Q314" s="10">
        <f>IF(N314="已下單",O314*P314,0)</f>
        <v/>
      </c>
      <c r="R314" s="10">
        <f>R313+Q314</f>
        <v/>
      </c>
      <c r="S314" s="16">
        <f>S313-IF(N314="已下單",M314,0)</f>
        <v/>
      </c>
      <c r="T314" s="16">
        <f>R314-S314</f>
        <v/>
      </c>
      <c r="U314" s="2">
        <f>U313-IF(N314="已下單",1,0)</f>
        <v/>
      </c>
      <c r="V314" s="16">
        <f>IF(資金模擬!$B$9=2,MAX(R314,0),MAX(V313,FLOOR(MAX(R314,0),資金模擬!$B$6)))</f>
        <v/>
      </c>
      <c r="W314" s="10">
        <f>MAX(W313,R314)</f>
        <v/>
      </c>
      <c r="X314" s="4">
        <f>IF(W314&gt;0,R314/W314-1,-1)</f>
        <v/>
      </c>
      <c r="Y314" s="16">
        <f>IF(R314&gt;0,S314*資金模擬!$B$7/R314,0)</f>
        <v/>
      </c>
      <c r="Z314" s="2">
        <f>IF(OR(Z313=1,R314&lt;=資金模擬!$B$10),1,0)</f>
        <v/>
      </c>
    </row>
  </sheetData>
  <autoFilter ref="A1:Z314"/>
  <conditionalFormatting sqref="K2:K314">
    <cfRule type="cellIs" priority="1" operator="equal" dxfId="0">
      <formula>"止盈"</formula>
    </cfRule>
    <cfRule type="cellIs" priority="2" operator="equal" dxfId="1">
      <formula>"止損"</formula>
    </cfRule>
  </conditionalFormatting>
  <conditionalFormatting sqref="N2:N314">
    <cfRule type="cellIs" priority="3" operator="equal" dxfId="2">
      <formula>"資金不足略過"</formula>
    </cfRule>
    <cfRule type="cellIs" priority="4" operator="equal" dxfId="3">
      <formula>"已停止"</formula>
    </cfRule>
  </conditionalFormatting>
  <conditionalFormatting sqref="Q2:Q314">
    <cfRule type="cellIs" priority="5" operator="lessThan" dxfId="4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50" customWidth="1" min="3" max="3"/>
  </cols>
  <sheetData>
    <row r="1">
      <c r="A1" s="3" t="inlineStr">
        <is>
          <t>項目</t>
        </is>
      </c>
      <c r="B1" s="3" t="inlineStr">
        <is>
          <t>數值</t>
        </is>
      </c>
      <c r="C1" s="3" t="inlineStr">
        <is>
          <t>說明</t>
        </is>
      </c>
    </row>
    <row r="2">
      <c r="A2" s="2" t="inlineStr">
        <is>
          <t>市場</t>
        </is>
      </c>
      <c r="B2" s="2" t="inlineStr">
        <is>
          <t>PERP</t>
        </is>
      </c>
      <c r="C2" s="2" t="inlineStr">
        <is>
          <t>PERP=永續合約 / SPOT=現貨</t>
        </is>
      </c>
    </row>
    <row r="3">
      <c r="A3" s="2" t="inlineStr">
        <is>
          <t>回測區間</t>
        </is>
      </c>
      <c r="B3" s="2" t="inlineStr">
        <is>
          <t>2026-09-01 00:00 ~ 2026-09-28 01:57（Dry Run）</t>
        </is>
      </c>
      <c r="C3" s="2" t="inlineStr">
        <is>
          <t>台北時間</t>
        </is>
      </c>
    </row>
    <row r="4">
      <c r="A4" s="2" t="inlineStr">
        <is>
          <t>K棒週期</t>
        </is>
      </c>
      <c r="B4" s="2" t="inlineStr">
        <is>
          <t>5 分鐘</t>
        </is>
      </c>
      <c r="C4" s="2" t="inlineStr">
        <is>
          <t>訊號於K棒收盤判斷、以收盤價進場</t>
        </is>
      </c>
    </row>
    <row r="5">
      <c r="A5" s="2" t="inlineStr">
        <is>
          <t>止盈</t>
        </is>
      </c>
      <c r="B5" s="11" t="n">
        <v>0.04</v>
      </c>
      <c r="C5" s="2" t="inlineStr">
        <is>
          <t>做空：價格下跌此比例</t>
        </is>
      </c>
    </row>
    <row r="6">
      <c r="A6" s="2" t="inlineStr">
        <is>
          <t>止損</t>
        </is>
      </c>
      <c r="B6" s="11" t="n">
        <v>0.05</v>
      </c>
      <c r="C6" s="2" t="inlineStr">
        <is>
          <t>做空：價格上漲此比例</t>
        </is>
      </c>
    </row>
    <row r="7">
      <c r="A7" s="2" t="inlineStr">
        <is>
          <t>單邊手續費</t>
        </is>
      </c>
      <c r="B7" s="18" t="n">
        <v>0.0005</v>
      </c>
      <c r="C7" s="2" t="inlineStr">
        <is>
          <t>進場、出場各扣一次（可直接改此格，報酬率會重算）</t>
        </is>
      </c>
    </row>
    <row r="8">
      <c r="A8" s="2" t="inlineStr">
        <is>
          <t>策略</t>
        </is>
      </c>
      <c r="B8" s="19" t="inlineStr">
        <is>
          <t>策略4 — 爆量竭盡（只做空）</t>
        </is>
      </c>
      <c r="C8" s="2" t="inlineStr">
        <is>
          <t>5分K逐根判斷、小時尺度條件</t>
        </is>
      </c>
    </row>
    <row r="9">
      <c r="A9" s="2" t="inlineStr">
        <is>
          <t>2小時漲幅下限</t>
        </is>
      </c>
      <c r="B9" s="4" t="n">
        <v>0.14</v>
      </c>
      <c r="C9" s="2" t="inlineStr">
        <is>
          <t>最關鍵的條件（AUC 0.90）</t>
        </is>
      </c>
    </row>
    <row r="10">
      <c r="A10" s="2" t="inlineStr">
        <is>
          <t>量比下限</t>
        </is>
      </c>
      <c r="B10" s="4" t="n">
        <v>2</v>
      </c>
      <c r="C10" s="2" t="inlineStr">
        <is>
          <t>本根量 ÷ 前24h每根均量</t>
        </is>
      </c>
    </row>
    <row r="11">
      <c r="A11" s="2" t="inlineStr">
        <is>
          <t>收盤位置上限</t>
        </is>
      </c>
      <c r="B11" s="2" t="n">
        <v>0.6</v>
      </c>
      <c r="C11" s="2" t="inlineStr">
        <is>
          <t>1=收最高、0=收最低；偏低＝衝高被壓回</t>
        </is>
      </c>
    </row>
    <row r="12">
      <c r="A12" s="2" t="inlineStr">
        <is>
          <t>24h成交額上限</t>
        </is>
      </c>
      <c r="B12" s="2" t="n">
        <v>500000</v>
      </c>
      <c r="C12" s="2" t="inlineStr">
        <is>
          <t>大幣的拉抬較不易回吐</t>
        </is>
      </c>
    </row>
    <row r="13">
      <c r="A13" s="2" t="inlineStr">
        <is>
          <t>24h成交額下限</t>
        </is>
      </c>
      <c r="B13" s="2" t="n">
        <v>20000</v>
      </c>
      <c r="C13" s="2" t="inlineStr">
        <is>
          <t>流動性</t>
        </is>
      </c>
    </row>
    <row r="14">
      <c r="A14" s="2" t="inlineStr">
        <is>
          <t>量/24h最大量下限</t>
        </is>
      </c>
      <c r="B14" s="2" t="inlineStr">
        <is>
          <t>不限</t>
        </is>
      </c>
      <c r="C14" s="2" t="inlineStr">
        <is>
          <t>實驗用</t>
        </is>
      </c>
    </row>
    <row r="15">
      <c r="A15" s="2" t="inlineStr">
        <is>
          <t>1h爆量次數下限</t>
        </is>
      </c>
      <c r="B15" s="2" t="inlineStr">
        <is>
          <t>不限</t>
        </is>
      </c>
      <c r="C15" s="2" t="inlineStr">
        <is>
          <t>實驗用</t>
        </is>
      </c>
    </row>
    <row r="16">
      <c r="A16" s="2" t="inlineStr">
        <is>
          <t>ATR%(1h)下限</t>
        </is>
      </c>
      <c r="B16" s="4" t="inlineStr">
        <is>
          <t>不限</t>
        </is>
      </c>
      <c r="C16" s="2" t="inlineStr">
        <is>
          <t>實驗用</t>
        </is>
      </c>
    </row>
    <row r="17">
      <c r="A17" s="2" t="inlineStr">
        <is>
          <t>盈虧平衡勝率</t>
        </is>
      </c>
      <c r="B17" s="4">
        <f>IFERROR(AVERAGE(交易明細!$AC$2:$AC$157),(B6+2*B7)/(B5+B6))</f>
        <v/>
      </c>
      <c r="C17" s="2" t="inlineStr">
        <is>
          <t>含手續費，各筆平均；勝率低於此值 = 長期虧損</t>
        </is>
      </c>
    </row>
    <row r="18">
      <c r="A18" s="2" t="inlineStr">
        <is>
          <t>RSI(1h)下限</t>
        </is>
      </c>
      <c r="B18" s="4" t="inlineStr">
        <is>
          <t>不限</t>
        </is>
      </c>
      <c r="C18" s="2" t="inlineStr">
        <is>
          <t>實驗用</t>
        </is>
      </c>
    </row>
    <row r="19">
      <c r="A19" s="2" t="inlineStr">
        <is>
          <t>價格上限</t>
        </is>
      </c>
      <c r="B19" s="2" t="inlineStr">
        <is>
          <t>不限</t>
        </is>
      </c>
      <c r="C19" s="2" t="inlineStr">
        <is>
          <t>實驗用</t>
        </is>
      </c>
    </row>
    <row r="20">
      <c r="A20" s="2" t="inlineStr">
        <is>
          <t>出場後冷卻</t>
        </is>
      </c>
      <c r="B20" s="2" t="inlineStr">
        <is>
          <t>1.0 小時（12 根）</t>
        </is>
      </c>
      <c r="C20" s="2" t="inlineStr"/>
    </row>
    <row r="21">
      <c r="A21" s="2" t="inlineStr">
        <is>
          <t>同根雙觸發</t>
        </is>
      </c>
      <c r="B21" s="2" t="inlineStr">
        <is>
          <t>1M 判定</t>
        </is>
      </c>
      <c r="C21" s="2" t="inlineStr">
        <is>
          <t>1分K 僅約7天內有資料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8" customWidth="1" min="2" max="2"/>
    <col width="7" customWidth="1" min="3" max="3"/>
    <col width="17" customWidth="1" min="4" max="4"/>
    <col width="13" customWidth="1" min="5" max="5"/>
    <col width="13" customWidth="1" min="6" max="6"/>
    <col width="13" customWidth="1" min="7" max="7"/>
    <col width="17" customWidth="1" min="8" max="8"/>
    <col width="13" customWidth="1" min="9" max="9"/>
    <col width="9" customWidth="1" min="10" max="10"/>
    <col width="9" customWidth="1" min="11" max="11"/>
    <col width="11" customWidth="1" min="12" max="12"/>
    <col width="30" customWidth="1" min="13" max="13"/>
    <col width="10" customWidth="1" min="14" max="14"/>
    <col width="9" customWidth="1" min="15" max="15"/>
    <col width="11" customWidth="1" min="16" max="16"/>
    <col width="16" customWidth="1" min="17" max="17"/>
    <col width="16" customWidth="1" min="18" max="18"/>
    <col width="12" customWidth="1" min="19" max="19"/>
    <col width="12" customWidth="1" min="20" max="20"/>
    <col width="8" customWidth="1" min="21" max="21"/>
    <col width="9" customWidth="1" min="22" max="22"/>
    <col width="14" customWidth="1" min="23" max="23"/>
    <col width="12" customWidth="1" min="24" max="24"/>
    <col width="14" customWidth="1" min="25" max="25"/>
    <col width="15" customWidth="1" min="26" max="26"/>
    <col width="8" customWidth="1" min="27" max="27"/>
    <col width="8" customWidth="1" min="28" max="28"/>
    <col width="12" customWidth="1" min="29" max="29"/>
    <col width="10" customWidth="1" min="30" max="30"/>
    <col width="10" customWidth="1" min="31" max="31"/>
    <col width="11" customWidth="1" min="32" max="32"/>
    <col width="9" customWidth="1" min="33" max="33"/>
    <col width="12" customWidth="1" min="34" max="34"/>
    <col width="11" customWidth="1" min="35" max="35"/>
    <col width="10" customWidth="1" min="36" max="36"/>
    <col width="9" customWidth="1" min="37" max="37"/>
    <col width="10" customWidth="1" min="38" max="38"/>
    <col width="13" customWidth="1" min="39" max="39"/>
  </cols>
  <sheetData>
    <row r="1">
      <c r="A1" s="3" t="inlineStr">
        <is>
          <t>編號</t>
        </is>
      </c>
      <c r="B1" s="3" t="inlineStr">
        <is>
          <t>交易對</t>
        </is>
      </c>
      <c r="C1" s="3" t="inlineStr">
        <is>
          <t>方向</t>
        </is>
      </c>
      <c r="D1" s="3" t="inlineStr">
        <is>
          <t>進場時間</t>
        </is>
      </c>
      <c r="E1" s="3" t="inlineStr">
        <is>
          <t>進場價</t>
        </is>
      </c>
      <c r="F1" s="3" t="inlineStr">
        <is>
          <t>止盈價</t>
        </is>
      </c>
      <c r="G1" s="3" t="inlineStr">
        <is>
          <t>止損價</t>
        </is>
      </c>
      <c r="H1" s="3" t="inlineStr">
        <is>
          <t>出場時間</t>
        </is>
      </c>
      <c r="I1" s="3" t="inlineStr">
        <is>
          <t>出場價</t>
        </is>
      </c>
      <c r="J1" s="3" t="inlineStr">
        <is>
          <t>結果</t>
        </is>
      </c>
      <c r="K1" s="3" t="inlineStr">
        <is>
          <t>持倉小時</t>
        </is>
      </c>
      <c r="L1" s="3" t="inlineStr">
        <is>
          <t>報酬率(含費)</t>
        </is>
      </c>
      <c r="M1" s="3" t="inlineStr">
        <is>
          <t>判定說明</t>
        </is>
      </c>
      <c r="N1" s="3" t="inlineStr">
        <is>
          <t>前一根漲跌幅</t>
        </is>
      </c>
      <c r="O1" s="3" t="inlineStr">
        <is>
          <t>ATR%</t>
        </is>
      </c>
      <c r="P1" s="3" t="inlineStr">
        <is>
          <t>價格vsMA20</t>
        </is>
      </c>
      <c r="Q1" s="3" t="inlineStr">
        <is>
          <t>OBV 20h變化</t>
        </is>
      </c>
      <c r="R1" s="3" t="inlineStr">
        <is>
          <t>24h成交額(USDT)</t>
        </is>
      </c>
      <c r="S1" s="3" t="inlineStr">
        <is>
          <t>最大有利(MFE)</t>
        </is>
      </c>
      <c r="T1" s="3" t="inlineStr">
        <is>
          <t>最大不利(MAE)</t>
        </is>
      </c>
      <c r="U1" s="3" t="inlineStr">
        <is>
          <t>量比</t>
        </is>
      </c>
      <c r="V1" s="3" t="inlineStr">
        <is>
          <t>收盤強度</t>
        </is>
      </c>
      <c r="W1" s="3" t="inlineStr">
        <is>
          <t>長週期趨勢(順勢)</t>
        </is>
      </c>
      <c r="X1" s="3" t="inlineStr">
        <is>
          <t>24h漲跌(順勢)</t>
        </is>
      </c>
      <c r="Y1" s="3" t="inlineStr">
        <is>
          <t>BTC 1h漲跌(順勢)</t>
        </is>
      </c>
      <c r="Z1" s="3" t="inlineStr">
        <is>
          <t>BTC vs MA20(順勢)</t>
        </is>
      </c>
      <c r="AA1" s="3" t="inlineStr">
        <is>
          <t>止盈%</t>
        </is>
      </c>
      <c r="AB1" s="3" t="inlineStr">
        <is>
          <t>止損%</t>
        </is>
      </c>
      <c r="AC1" s="3" t="inlineStr">
        <is>
          <t>盈虧平衡勝率</t>
        </is>
      </c>
      <c r="AD1" s="3" t="inlineStr">
        <is>
          <t>漲幅2h</t>
        </is>
      </c>
      <c r="AE1" s="3" t="inlineStr">
        <is>
          <t>漲幅1h</t>
        </is>
      </c>
      <c r="AF1" s="3" t="inlineStr">
        <is>
          <t>量比(本根)</t>
        </is>
      </c>
      <c r="AG1" s="3" t="inlineStr">
        <is>
          <t>收盤位置</t>
        </is>
      </c>
      <c r="AH1" s="3" t="inlineStr">
        <is>
          <t>量/24h最大量</t>
        </is>
      </c>
      <c r="AI1" s="3" t="inlineStr">
        <is>
          <t>1h爆量次數</t>
        </is>
      </c>
      <c r="AJ1" s="3" t="inlineStr">
        <is>
          <t>MA20乖離</t>
        </is>
      </c>
      <c r="AK1" s="3" t="inlineStr">
        <is>
          <t>RSI(1h)</t>
        </is>
      </c>
      <c r="AL1" s="3" t="inlineStr">
        <is>
          <t>ATR%(1h)</t>
        </is>
      </c>
      <c r="AM1" s="3" t="inlineStr">
        <is>
          <t>24h成交額</t>
        </is>
      </c>
    </row>
    <row r="2">
      <c r="A2" s="2" t="n">
        <v>1</v>
      </c>
      <c r="B2" s="2" t="inlineStr">
        <is>
          <t>AGT_USDT_PERP</t>
        </is>
      </c>
      <c r="C2" s="2" t="inlineStr">
        <is>
          <t>做空</t>
        </is>
      </c>
      <c r="D2" s="7" t="n">
        <v>46266.02083333334</v>
      </c>
      <c r="E2" s="17" t="n">
        <v>0.017237</v>
      </c>
      <c r="F2" s="17" t="n">
        <v>0.01654752</v>
      </c>
      <c r="G2" s="17" t="n">
        <v>0.01809885</v>
      </c>
      <c r="H2" s="7" t="n">
        <v>46266.02430555555</v>
      </c>
      <c r="I2" s="17" t="n">
        <v>0.01654752</v>
      </c>
      <c r="J2" s="2" t="inlineStr">
        <is>
          <t>止盈</t>
        </is>
      </c>
      <c r="K2" s="5">
        <f>(H2-D2)*24</f>
        <v/>
      </c>
      <c r="L2" s="4">
        <f>IF(C2="做多",I2/E2-1,1-I2/E2)-2*參數!$B$7</f>
        <v/>
      </c>
      <c r="M2" s="2" t="inlineStr"/>
      <c r="N2" s="4" t="n">
        <v>-0.008741158203462107</v>
      </c>
      <c r="O2" s="4" t="n">
        <v>0.01578178924994062</v>
      </c>
      <c r="P2" s="4" t="n">
        <v>0.1447628830376473</v>
      </c>
      <c r="Q2" s="19" t="n">
        <v>1248219</v>
      </c>
      <c r="R2" s="19" t="n">
        <v>25607.774779</v>
      </c>
      <c r="S2" s="4" t="n">
        <v>0.04</v>
      </c>
      <c r="T2" s="4" t="n">
        <v>0</v>
      </c>
      <c r="U2" s="16" t="n">
        <v>10.82045507209848</v>
      </c>
      <c r="V2" s="16" t="n">
        <v>0.7357859531772608</v>
      </c>
      <c r="W2" s="4" t="n">
        <v>-0.1389699250355989</v>
      </c>
      <c r="X2" s="4" t="n">
        <v>-0.1403903407211378</v>
      </c>
      <c r="Y2" s="4" t="n"/>
      <c r="Z2" s="4" t="n"/>
      <c r="AA2" s="4" t="n">
        <v>0.04</v>
      </c>
      <c r="AB2" s="4" t="n">
        <v>0.05</v>
      </c>
      <c r="AC2" s="4">
        <f>(AB2+2*參數!$B$7)/(AA2+AB2)</f>
        <v/>
      </c>
      <c r="AD2" s="2" t="n">
        <v>0.1493632059745282</v>
      </c>
      <c r="AE2" s="2" t="n">
        <v>0.1432645751807389</v>
      </c>
      <c r="AF2" s="2" t="n">
        <v>10.82045507209848</v>
      </c>
      <c r="AG2" s="2" t="n">
        <v>0.2642140468227392</v>
      </c>
      <c r="AH2" s="2" t="n">
        <v>0.09503349677543192</v>
      </c>
      <c r="AI2" s="2" t="n">
        <v>5</v>
      </c>
      <c r="AJ2" s="2" t="n">
        <v>0.1447628830376473</v>
      </c>
      <c r="AK2" s="2" t="n">
        <v>88.65182501852534</v>
      </c>
      <c r="AL2" s="2" t="n">
        <v>0.05466972163048296</v>
      </c>
      <c r="AM2" s="2" t="n">
        <v>25607.774779</v>
      </c>
    </row>
    <row r="3">
      <c r="A3" s="2" t="n">
        <v>2</v>
      </c>
      <c r="B3" s="2" t="inlineStr">
        <is>
          <t>AGT_USDT_PERP</t>
        </is>
      </c>
      <c r="C3" s="2" t="inlineStr">
        <is>
          <t>做空</t>
        </is>
      </c>
      <c r="D3" s="7" t="n">
        <v>46266.07638888889</v>
      </c>
      <c r="E3" s="17" t="n">
        <v>0.017307</v>
      </c>
      <c r="F3" s="17" t="n">
        <v>0.01661472</v>
      </c>
      <c r="G3" s="17" t="n">
        <v>0.01817235</v>
      </c>
      <c r="H3" s="7" t="n">
        <v>46266.23263888889</v>
      </c>
      <c r="I3" s="17" t="n">
        <v>0.01661472</v>
      </c>
      <c r="J3" s="2" t="inlineStr">
        <is>
          <t>止盈</t>
        </is>
      </c>
      <c r="K3" s="5">
        <f>(H3-D3)*24</f>
        <v/>
      </c>
      <c r="L3" s="4">
        <f>IF(C3="做多",I3/E3-1,1-I3/E3)-2*參數!$B$7</f>
        <v/>
      </c>
      <c r="M3" s="2" t="inlineStr"/>
      <c r="N3" s="4" t="n">
        <v>0.001099028227672161</v>
      </c>
      <c r="O3" s="4" t="n">
        <v>0.01669984033548852</v>
      </c>
      <c r="P3" s="4" t="n">
        <v>0.1395177279437363</v>
      </c>
      <c r="Q3" s="19" t="n">
        <v>1746159</v>
      </c>
      <c r="R3" s="19" t="n">
        <v>52035.999617</v>
      </c>
      <c r="S3" s="4" t="n">
        <v>0.04</v>
      </c>
      <c r="T3" s="4" t="n">
        <v>0.02478765817299355</v>
      </c>
      <c r="U3" s="16" t="n">
        <v>4.574467380378873</v>
      </c>
      <c r="V3" s="16" t="n">
        <v>0.4661654135338393</v>
      </c>
      <c r="W3" s="4" t="n">
        <v>-0.1204189837443113</v>
      </c>
      <c r="X3" s="4" t="n">
        <v>-0.1421500692932092</v>
      </c>
      <c r="Y3" s="4" t="n"/>
      <c r="Z3" s="4" t="n"/>
      <c r="AA3" s="4" t="n">
        <v>0.04</v>
      </c>
      <c r="AB3" s="4" t="n">
        <v>0.05</v>
      </c>
      <c r="AC3" s="4">
        <f>(AB3+2*參數!$B$7)/(AA3+AB3)</f>
        <v/>
      </c>
      <c r="AD3" s="2" t="n">
        <v>0.1509609629580368</v>
      </c>
      <c r="AE3" s="2" t="n">
        <v>0.02130296235099727</v>
      </c>
      <c r="AF3" s="2" t="n">
        <v>4.574467380378873</v>
      </c>
      <c r="AG3" s="2" t="n">
        <v>0.5338345864661607</v>
      </c>
      <c r="AH3" s="2" t="n">
        <v>0.08300756312458332</v>
      </c>
      <c r="AI3" s="2" t="n">
        <v>8</v>
      </c>
      <c r="AJ3" s="2" t="n">
        <v>0.1395177279437363</v>
      </c>
      <c r="AK3" s="2" t="n">
        <v>81.12517716348837</v>
      </c>
      <c r="AL3" s="2" t="n">
        <v>0.05784994387870838</v>
      </c>
      <c r="AM3" s="2" t="n">
        <v>52035.999617</v>
      </c>
    </row>
    <row r="4">
      <c r="A4" s="2" t="n">
        <v>3</v>
      </c>
      <c r="B4" s="2" t="inlineStr">
        <is>
          <t>DOGS_USDT_PERP</t>
        </is>
      </c>
      <c r="C4" s="2" t="inlineStr">
        <is>
          <t>做空</t>
        </is>
      </c>
      <c r="D4" s="7" t="n">
        <v>46266.09375</v>
      </c>
      <c r="E4" s="17" t="n">
        <v>4.62e-05</v>
      </c>
      <c r="F4" s="17" t="n">
        <v>4.4352e-05</v>
      </c>
      <c r="G4" s="17" t="n">
        <v>4.851e-05</v>
      </c>
      <c r="H4" s="7" t="n">
        <v>46266.18055555555</v>
      </c>
      <c r="I4" s="17" t="n">
        <v>4.4352e-05</v>
      </c>
      <c r="J4" s="2" t="inlineStr">
        <is>
          <t>止盈</t>
        </is>
      </c>
      <c r="K4" s="5">
        <f>(H4-D4)*24</f>
        <v/>
      </c>
      <c r="L4" s="4">
        <f>IF(C4="做多",I4/E4-1,1-I4/E4)-2*參數!$B$7</f>
        <v/>
      </c>
      <c r="M4" s="2" t="inlineStr"/>
      <c r="N4" s="4" t="n">
        <v>0.01094091903719918</v>
      </c>
      <c r="O4" s="4" t="n">
        <v>0.02286933458858992</v>
      </c>
      <c r="P4" s="4" t="n">
        <v>0.1444259807817354</v>
      </c>
      <c r="Q4" s="19" t="n">
        <v>138089459</v>
      </c>
      <c r="R4" s="19" t="n">
        <v>128745.1912348</v>
      </c>
      <c r="S4" s="4" t="n">
        <v>0.04</v>
      </c>
      <c r="T4" s="4" t="n">
        <v>0.02380952380952372</v>
      </c>
      <c r="U4" s="16" t="n">
        <v>6.402038683655584</v>
      </c>
      <c r="V4" s="16" t="n">
        <v>0.5384615384615392</v>
      </c>
      <c r="W4" s="4" t="n">
        <v>-0.110550227158001</v>
      </c>
      <c r="X4" s="4" t="n">
        <v>-0.1521197007481296</v>
      </c>
      <c r="Y4" s="4" t="n"/>
      <c r="Z4" s="4" t="n"/>
      <c r="AA4" s="4" t="n">
        <v>0.04</v>
      </c>
      <c r="AB4" s="4" t="n">
        <v>0.05</v>
      </c>
      <c r="AC4" s="4">
        <f>(AB4+2*參數!$B$7)/(AA4+AB4)</f>
        <v/>
      </c>
      <c r="AD4" s="2" t="n">
        <v>0.1435643564356435</v>
      </c>
      <c r="AE4" s="2" t="n">
        <v>0.01762114537444925</v>
      </c>
      <c r="AF4" s="2" t="n">
        <v>6.402038683655584</v>
      </c>
      <c r="AG4" s="2" t="n">
        <v>0.4615384615384607</v>
      </c>
      <c r="AH4" s="2" t="n">
        <v>0.06443187325547248</v>
      </c>
      <c r="AI4" s="2" t="n">
        <v>2</v>
      </c>
      <c r="AJ4" s="2" t="n">
        <v>0.1444259807817354</v>
      </c>
      <c r="AK4" s="2" t="n">
        <v>72.87729784496346</v>
      </c>
      <c r="AL4" s="2" t="n">
        <v>0.07922169888546006</v>
      </c>
      <c r="AM4" s="2" t="n">
        <v>128745.1912348</v>
      </c>
    </row>
    <row r="5">
      <c r="A5" s="2" t="n">
        <v>4</v>
      </c>
      <c r="B5" s="2" t="inlineStr">
        <is>
          <t>AGT_USDT_PERP</t>
        </is>
      </c>
      <c r="C5" s="2" t="inlineStr">
        <is>
          <t>做空</t>
        </is>
      </c>
      <c r="D5" s="7" t="n">
        <v>46266.51388888889</v>
      </c>
      <c r="E5" s="17" t="n">
        <v>0.018968</v>
      </c>
      <c r="F5" s="17" t="n">
        <v>0.01820928</v>
      </c>
      <c r="G5" s="17" t="n">
        <v>0.0199164</v>
      </c>
      <c r="H5" s="7" t="n">
        <v>46266.51736111111</v>
      </c>
      <c r="I5" s="17" t="n">
        <v>0.01820928</v>
      </c>
      <c r="J5" s="2" t="inlineStr">
        <is>
          <t>止盈</t>
        </is>
      </c>
      <c r="K5" s="5">
        <f>(H5-D5)*24</f>
        <v/>
      </c>
      <c r="L5" s="4">
        <f>IF(C5="做多",I5/E5-1,1-I5/E5)-2*參數!$B$7</f>
        <v/>
      </c>
      <c r="M5" s="2" t="inlineStr"/>
      <c r="N5" s="4" t="n">
        <v>-0.009969205073333653</v>
      </c>
      <c r="O5" s="4" t="n">
        <v>0.01798691078749718</v>
      </c>
      <c r="P5" s="4" t="n">
        <v>0.1771517257946442</v>
      </c>
      <c r="Q5" s="19" t="n">
        <v>135637</v>
      </c>
      <c r="R5" s="19" t="n">
        <v>104906.860052</v>
      </c>
      <c r="S5" s="4" t="n">
        <v>0.04</v>
      </c>
      <c r="T5" s="4" t="n">
        <v>0</v>
      </c>
      <c r="U5" s="16" t="n">
        <v>38.91978269286385</v>
      </c>
      <c r="V5" s="16" t="n">
        <v>0.492808478425436</v>
      </c>
      <c r="W5" s="4" t="n">
        <v>-0.1440593115860733</v>
      </c>
      <c r="X5" s="4" t="n">
        <v>-0.2674061205398903</v>
      </c>
      <c r="Y5" s="4" t="n"/>
      <c r="Z5" s="4" t="n"/>
      <c r="AA5" s="4" t="n">
        <v>0.04</v>
      </c>
      <c r="AB5" s="4" t="n">
        <v>0.05</v>
      </c>
      <c r="AC5" s="4">
        <f>(AB5+2*參數!$B$7)/(AA5+AB5)</f>
        <v/>
      </c>
      <c r="AD5" s="2" t="n">
        <v>0.1758725435496868</v>
      </c>
      <c r="AE5" s="2" t="n">
        <v>0.1707919264242947</v>
      </c>
      <c r="AF5" s="2" t="n">
        <v>38.91978269286385</v>
      </c>
      <c r="AG5" s="2" t="n">
        <v>0.507191521574564</v>
      </c>
      <c r="AH5" s="2" t="n">
        <v>1</v>
      </c>
      <c r="AI5" s="2" t="n">
        <v>4</v>
      </c>
      <c r="AJ5" s="2" t="n">
        <v>0.1771517257946442</v>
      </c>
      <c r="AK5" s="2" t="n">
        <v>53.28368197574375</v>
      </c>
      <c r="AL5" s="2" t="n">
        <v>0.06230848671030768</v>
      </c>
      <c r="AM5" s="2" t="n">
        <v>104906.860052</v>
      </c>
    </row>
    <row r="6">
      <c r="A6" s="2" t="n">
        <v>5</v>
      </c>
      <c r="B6" s="2" t="inlineStr">
        <is>
          <t>ACE_USDT_PERP</t>
        </is>
      </c>
      <c r="C6" s="2" t="inlineStr">
        <is>
          <t>做空</t>
        </is>
      </c>
      <c r="D6" s="7" t="n">
        <v>46266.85416666666</v>
      </c>
      <c r="E6" s="17" t="n">
        <v>0.18806</v>
      </c>
      <c r="F6" s="17" t="n">
        <v>0.1805376</v>
      </c>
      <c r="G6" s="17" t="n">
        <v>0.197463</v>
      </c>
      <c r="H6" s="7" t="n">
        <v>46266.86458333334</v>
      </c>
      <c r="I6" s="17" t="n">
        <v>0.1805376</v>
      </c>
      <c r="J6" s="2" t="inlineStr">
        <is>
          <t>止盈</t>
        </is>
      </c>
      <c r="K6" s="5">
        <f>(H6-D6)*24</f>
        <v/>
      </c>
      <c r="L6" s="4">
        <f>IF(C6="做多",I6/E6-1,1-I6/E6)-2*參數!$B$7</f>
        <v/>
      </c>
      <c r="M6" s="2" t="inlineStr"/>
      <c r="N6" s="4" t="n">
        <v>-0.01565035331065168</v>
      </c>
      <c r="O6" s="4" t="n">
        <v>0.01757534106036072</v>
      </c>
      <c r="P6" s="4" t="n">
        <v>0.1370226916318706</v>
      </c>
      <c r="Q6" s="19" t="n">
        <v>355130.1399999998</v>
      </c>
      <c r="R6" s="19" t="n">
        <v>492671.6597381</v>
      </c>
      <c r="S6" s="4" t="n">
        <v>0.04</v>
      </c>
      <c r="T6" s="4" t="n">
        <v>0.0007444432627885522</v>
      </c>
      <c r="U6" s="16" t="n">
        <v>7.383185651059138</v>
      </c>
      <c r="V6" s="16" t="n">
        <v>0.5240549828178697</v>
      </c>
      <c r="W6" s="4" t="n">
        <v>-0.1370280194031179</v>
      </c>
      <c r="X6" s="4" t="n">
        <v>-0.1085828813958971</v>
      </c>
      <c r="Y6" s="4" t="n"/>
      <c r="Z6" s="4" t="n"/>
      <c r="AA6" s="4" t="n">
        <v>0.04</v>
      </c>
      <c r="AB6" s="4" t="n">
        <v>0.05</v>
      </c>
      <c r="AC6" s="4">
        <f>(AB6+2*參數!$B$7)/(AA6+AB6)</f>
        <v/>
      </c>
      <c r="AD6" s="2" t="n">
        <v>0.1493704926048161</v>
      </c>
      <c r="AE6" s="2" t="n">
        <v>0.1011183324550617</v>
      </c>
      <c r="AF6" s="2" t="n">
        <v>7.383185651059138</v>
      </c>
      <c r="AG6" s="2" t="n">
        <v>0.4759450171821303</v>
      </c>
      <c r="AH6" s="2" t="n">
        <v>0.3950871658870863</v>
      </c>
      <c r="AI6" s="2" t="n">
        <v>8</v>
      </c>
      <c r="AJ6" s="2" t="n">
        <v>0.1370226916318706</v>
      </c>
      <c r="AK6" s="2" t="n">
        <v>72.80584968387288</v>
      </c>
      <c r="AL6" s="2" t="n">
        <v>0.06088276735379246</v>
      </c>
      <c r="AM6" s="2" t="n">
        <v>492671.6597381</v>
      </c>
    </row>
    <row r="7">
      <c r="A7" s="2" t="n">
        <v>6</v>
      </c>
      <c r="B7" s="2" t="inlineStr">
        <is>
          <t>FF_USDT_PERP</t>
        </is>
      </c>
      <c r="C7" s="2" t="inlineStr">
        <is>
          <t>做空</t>
        </is>
      </c>
      <c r="D7" s="7" t="n">
        <v>46266.90277777778</v>
      </c>
      <c r="E7" s="17" t="n">
        <v>0.09488000000000001</v>
      </c>
      <c r="F7" s="17" t="n">
        <v>0.09108480000000001</v>
      </c>
      <c r="G7" s="17" t="n">
        <v>0.099624</v>
      </c>
      <c r="H7" s="7" t="n">
        <v>46266.90972222222</v>
      </c>
      <c r="I7" s="17" t="n">
        <v>0.099624</v>
      </c>
      <c r="J7" s="2" t="inlineStr">
        <is>
          <t>止損</t>
        </is>
      </c>
      <c r="K7" s="5">
        <f>(H7-D7)*24</f>
        <v/>
      </c>
      <c r="L7" s="4">
        <f>IF(C7="做多",I7/E7-1,1-I7/E7)-2*參數!$B$7</f>
        <v/>
      </c>
      <c r="M7" s="2" t="inlineStr"/>
      <c r="N7" s="4" t="n">
        <v>0.00593723494486853</v>
      </c>
      <c r="O7" s="4" t="n">
        <v>0.02169686478378512</v>
      </c>
      <c r="P7" s="4" t="n">
        <v>0.1200742938542299</v>
      </c>
      <c r="Q7" s="19" t="n">
        <v>336733</v>
      </c>
      <c r="R7" s="19" t="n">
        <v>247930.59018</v>
      </c>
      <c r="S7" s="4" t="n">
        <v>0.01222596964586853</v>
      </c>
      <c r="T7" s="4" t="n">
        <v>0.05</v>
      </c>
      <c r="U7" s="16" t="n">
        <v>7.56812485368016</v>
      </c>
      <c r="V7" s="16" t="n">
        <v>0.6363636363636331</v>
      </c>
      <c r="W7" s="4" t="n">
        <v>-0.1317684836831143</v>
      </c>
      <c r="X7" s="4" t="n">
        <v>-0.07172709815881628</v>
      </c>
      <c r="Y7" s="4" t="n"/>
      <c r="Z7" s="4" t="n"/>
      <c r="AA7" s="4" t="n">
        <v>0.04</v>
      </c>
      <c r="AB7" s="4" t="n">
        <v>0.05</v>
      </c>
      <c r="AC7" s="4">
        <f>(AB7+2*參數!$B$7)/(AA7+AB7)</f>
        <v/>
      </c>
      <c r="AD7" s="2" t="n">
        <v>0.1465861027190332</v>
      </c>
      <c r="AE7" s="2" t="n">
        <v>0.1295238095238096</v>
      </c>
      <c r="AF7" s="2" t="n">
        <v>7.56812485368016</v>
      </c>
      <c r="AG7" s="2" t="n">
        <v>0.3636363636363669</v>
      </c>
      <c r="AH7" s="2" t="n">
        <v>0.1190970668248996</v>
      </c>
      <c r="AI7" s="2" t="n">
        <v>9</v>
      </c>
      <c r="AJ7" s="2" t="n">
        <v>0.1200742938542299</v>
      </c>
      <c r="AK7" s="2" t="n">
        <v>69.73482840057071</v>
      </c>
      <c r="AL7" s="2" t="n">
        <v>0.07516014434093549</v>
      </c>
      <c r="AM7" s="2" t="n">
        <v>247930.59018</v>
      </c>
    </row>
    <row r="8">
      <c r="A8" s="2" t="n">
        <v>7</v>
      </c>
      <c r="B8" s="2" t="inlineStr">
        <is>
          <t>FF_USDT_PERP</t>
        </is>
      </c>
      <c r="C8" s="2" t="inlineStr">
        <is>
          <t>做空</t>
        </is>
      </c>
      <c r="D8" s="7" t="n">
        <v>46266.95138888889</v>
      </c>
      <c r="E8" s="17" t="n">
        <v>0.10179</v>
      </c>
      <c r="F8" s="17" t="n">
        <v>0.0977184</v>
      </c>
      <c r="G8" s="17" t="n">
        <v>0.1068795</v>
      </c>
      <c r="H8" s="7" t="n">
        <v>46266.96875</v>
      </c>
      <c r="I8" s="17" t="n">
        <v>0.0977184</v>
      </c>
      <c r="J8" s="2" t="inlineStr">
        <is>
          <t>止盈</t>
        </is>
      </c>
      <c r="K8" s="5">
        <f>(H8-D8)*24</f>
        <v/>
      </c>
      <c r="L8" s="4">
        <f>IF(C8="做多",I8/E8-1,1-I8/E8)-2*參數!$B$7</f>
        <v/>
      </c>
      <c r="M8" s="2" t="inlineStr"/>
      <c r="N8" s="4" t="n">
        <v>0.01820546163849146</v>
      </c>
      <c r="O8" s="4" t="n">
        <v>0.02606293732129189</v>
      </c>
      <c r="P8" s="4" t="n">
        <v>0.1904735218857252</v>
      </c>
      <c r="Q8" s="19" t="n">
        <v>565436</v>
      </c>
      <c r="R8" s="19" t="n">
        <v>418234.56252</v>
      </c>
      <c r="S8" s="4" t="n">
        <v>0.04</v>
      </c>
      <c r="T8" s="4" t="n">
        <v>0.01031535514294135</v>
      </c>
      <c r="U8" s="16" t="n">
        <v>17.05922937686183</v>
      </c>
      <c r="V8" s="16" t="n">
        <v>0.489417989417988</v>
      </c>
      <c r="W8" s="4" t="n">
        <v>-0.1821242467282256</v>
      </c>
      <c r="X8" s="4" t="n">
        <v>-0.1694623161764706</v>
      </c>
      <c r="Y8" s="4" t="n"/>
      <c r="Z8" s="4" t="n"/>
      <c r="AA8" s="4" t="n">
        <v>0.04</v>
      </c>
      <c r="AB8" s="4" t="n">
        <v>0.05</v>
      </c>
      <c r="AC8" s="4">
        <f>(AB8+2*參數!$B$7)/(AA8+AB8)</f>
        <v/>
      </c>
      <c r="AD8" s="2" t="n">
        <v>0.2094819391634981</v>
      </c>
      <c r="AE8" s="2" t="n">
        <v>0.0221932114882506</v>
      </c>
      <c r="AF8" s="2" t="n">
        <v>17.05922937686183</v>
      </c>
      <c r="AG8" s="2" t="n">
        <v>0.510582010582012</v>
      </c>
      <c r="AH8" s="2" t="n">
        <v>0.4158893308458587</v>
      </c>
      <c r="AI8" s="2" t="n">
        <v>11</v>
      </c>
      <c r="AJ8" s="2" t="n">
        <v>0.1904735218857252</v>
      </c>
      <c r="AK8" s="2" t="n">
        <v>79.56179356313753</v>
      </c>
      <c r="AL8" s="2" t="n">
        <v>0.09028466326992131</v>
      </c>
      <c r="AM8" s="2" t="n">
        <v>418234.56252</v>
      </c>
    </row>
    <row r="9">
      <c r="A9" s="2" t="n">
        <v>8</v>
      </c>
      <c r="B9" s="2" t="inlineStr">
        <is>
          <t>LA_USDT_PERP</t>
        </is>
      </c>
      <c r="C9" s="2" t="inlineStr">
        <is>
          <t>做空</t>
        </is>
      </c>
      <c r="D9" s="7" t="n">
        <v>46267.39236111111</v>
      </c>
      <c r="E9" s="17" t="n">
        <v>0.06491</v>
      </c>
      <c r="F9" s="17" t="n">
        <v>0.0623136</v>
      </c>
      <c r="G9" s="17" t="n">
        <v>0.06815549999999999</v>
      </c>
      <c r="H9" s="7" t="n">
        <v>46267.47222222222</v>
      </c>
      <c r="I9" s="17" t="n">
        <v>0.0623136</v>
      </c>
      <c r="J9" s="2" t="inlineStr">
        <is>
          <t>止盈</t>
        </is>
      </c>
      <c r="K9" s="5">
        <f>(H9-D9)*24</f>
        <v/>
      </c>
      <c r="L9" s="4">
        <f>IF(C9="做多",I9/E9-1,1-I9/E9)-2*參數!$B$7</f>
        <v/>
      </c>
      <c r="M9" s="2" t="inlineStr"/>
      <c r="N9" s="4" t="n">
        <v>-0.001691787142417689</v>
      </c>
      <c r="O9" s="4" t="n">
        <v>0.01651812118124422</v>
      </c>
      <c r="P9" s="4" t="n">
        <v>0.1056179392514807</v>
      </c>
      <c r="Q9" s="19" t="n">
        <v>-107363.1000000001</v>
      </c>
      <c r="R9" s="19" t="n">
        <v>160827.51252</v>
      </c>
      <c r="S9" s="4" t="n">
        <v>0.04</v>
      </c>
      <c r="T9" s="4" t="n">
        <v>0.03851486673856108</v>
      </c>
      <c r="U9" s="16" t="n">
        <v>15.40967647590159</v>
      </c>
      <c r="V9" s="16" t="n">
        <v>0.4571428571428588</v>
      </c>
      <c r="W9" s="4" t="n">
        <v>-0.1197827714580464</v>
      </c>
      <c r="X9" s="4" t="n">
        <v>-0.06079424742604989</v>
      </c>
      <c r="Y9" s="4" t="n"/>
      <c r="Z9" s="4" t="n"/>
      <c r="AA9" s="4" t="n">
        <v>0.04</v>
      </c>
      <c r="AB9" s="4" t="n">
        <v>0.05</v>
      </c>
      <c r="AC9" s="4">
        <f>(AB9+2*參數!$B$7)/(AA9+AB9)</f>
        <v/>
      </c>
      <c r="AD9" s="2" t="n">
        <v>0.1425805315965498</v>
      </c>
      <c r="AE9" s="2" t="n">
        <v>0.07841834191726194</v>
      </c>
      <c r="AF9" s="2" t="n">
        <v>15.40967647590159</v>
      </c>
      <c r="AG9" s="2" t="n">
        <v>0.5428571428571412</v>
      </c>
      <c r="AH9" s="2" t="n">
        <v>0.3904925137100602</v>
      </c>
      <c r="AI9" s="2" t="n">
        <v>4</v>
      </c>
      <c r="AJ9" s="2" t="n">
        <v>0.1056179392514807</v>
      </c>
      <c r="AK9" s="2" t="n">
        <v>70.57916032440235</v>
      </c>
      <c r="AL9" s="2" t="n">
        <v>0.05722045026298927</v>
      </c>
      <c r="AM9" s="2" t="n">
        <v>160827.51252</v>
      </c>
    </row>
    <row r="10">
      <c r="A10" s="2" t="n">
        <v>9</v>
      </c>
      <c r="B10" s="2" t="inlineStr">
        <is>
          <t>CLO_USDT_PERP</t>
        </is>
      </c>
      <c r="C10" s="2" t="inlineStr">
        <is>
          <t>做空</t>
        </is>
      </c>
      <c r="D10" s="7" t="n">
        <v>46267.48263888889</v>
      </c>
      <c r="E10" s="17" t="n">
        <v>0.1616</v>
      </c>
      <c r="F10" s="17" t="n">
        <v>0.155136</v>
      </c>
      <c r="G10" s="17" t="n">
        <v>0.16968</v>
      </c>
      <c r="H10" s="7" t="n">
        <v>46267.51388888889</v>
      </c>
      <c r="I10" s="17" t="n">
        <v>0.16968</v>
      </c>
      <c r="J10" s="2" t="inlineStr">
        <is>
          <t>止損</t>
        </is>
      </c>
      <c r="K10" s="5">
        <f>(H10-D10)*24</f>
        <v/>
      </c>
      <c r="L10" s="4">
        <f>IF(C10="做多",I10/E10-1,1-I10/E10)-2*參數!$B$7</f>
        <v/>
      </c>
      <c r="M10" s="2" t="inlineStr"/>
      <c r="N10" s="4" t="n">
        <v>-0.003084515731030191</v>
      </c>
      <c r="O10" s="4" t="n">
        <v>0.01402345284158621</v>
      </c>
      <c r="P10" s="4" t="n">
        <v>0.1514242878560719</v>
      </c>
      <c r="Q10" s="19" t="n">
        <v>119452</v>
      </c>
      <c r="R10" s="19" t="n">
        <v>157652.455</v>
      </c>
      <c r="S10" s="4" t="n">
        <v>0.007425742574257432</v>
      </c>
      <c r="T10" s="4" t="n">
        <v>0.05</v>
      </c>
      <c r="U10" s="16" t="n">
        <v>6.404035577975433</v>
      </c>
      <c r="V10" s="16" t="n">
        <v>0.6875000000000033</v>
      </c>
      <c r="W10" s="4" t="n">
        <v>-0.1319538812849357</v>
      </c>
      <c r="X10" s="4" t="n">
        <v>-0.1542857142857141</v>
      </c>
      <c r="Y10" s="4" t="n"/>
      <c r="Z10" s="4" t="n"/>
      <c r="AA10" s="4" t="n">
        <v>0.04</v>
      </c>
      <c r="AB10" s="4" t="n">
        <v>0.05</v>
      </c>
      <c r="AC10" s="4">
        <f>(AB10+2*參數!$B$7)/(AA10+AB10)</f>
        <v/>
      </c>
      <c r="AD10" s="2" t="n">
        <v>0.1404375441072689</v>
      </c>
      <c r="AE10" s="2" t="n">
        <v>0.04123711340206171</v>
      </c>
      <c r="AF10" s="2" t="n">
        <v>6.404035577975433</v>
      </c>
      <c r="AG10" s="2" t="n">
        <v>0.3124999999999967</v>
      </c>
      <c r="AH10" s="2" t="n">
        <v>0.2137269385829855</v>
      </c>
      <c r="AI10" s="2" t="n">
        <v>6</v>
      </c>
      <c r="AJ10" s="2" t="n">
        <v>0.1514242878560719</v>
      </c>
      <c r="AK10" s="2" t="n">
        <v>73.72559793748485</v>
      </c>
      <c r="AL10" s="2" t="n">
        <v>0.04857866563834693</v>
      </c>
      <c r="AM10" s="2" t="n">
        <v>157652.455</v>
      </c>
    </row>
    <row r="11">
      <c r="A11" s="2" t="n">
        <v>10</v>
      </c>
      <c r="B11" s="2" t="inlineStr">
        <is>
          <t>MUBARAK_USDT_PERP</t>
        </is>
      </c>
      <c r="C11" s="2" t="inlineStr">
        <is>
          <t>做空</t>
        </is>
      </c>
      <c r="D11" s="7" t="n">
        <v>46267.98611111111</v>
      </c>
      <c r="E11" s="17" t="n">
        <v>0.02662</v>
      </c>
      <c r="F11" s="17" t="n">
        <v>0.0255552</v>
      </c>
      <c r="G11" s="17" t="n">
        <v>0.027951</v>
      </c>
      <c r="H11" s="7" t="n">
        <v>46267.99305555555</v>
      </c>
      <c r="I11" s="17" t="n">
        <v>0.027951</v>
      </c>
      <c r="J11" s="2" t="inlineStr">
        <is>
          <t>止損</t>
        </is>
      </c>
      <c r="K11" s="5">
        <f>(H11-D11)*24</f>
        <v/>
      </c>
      <c r="L11" s="4">
        <f>IF(C11="做多",I11/E11-1,1-I11/E11)-2*參數!$B$7</f>
        <v/>
      </c>
      <c r="M11" s="2" t="inlineStr"/>
      <c r="N11" s="4" t="n">
        <v>0.004528301886792541</v>
      </c>
      <c r="O11" s="4" t="n">
        <v>0.01574969292934687</v>
      </c>
      <c r="P11" s="4" t="n">
        <v>0.2162933968945377</v>
      </c>
      <c r="Q11" s="19" t="n">
        <v>2080134</v>
      </c>
      <c r="R11" s="19" t="n">
        <v>169789.35028</v>
      </c>
      <c r="S11" s="4" t="n">
        <v>0.001878287002254009</v>
      </c>
      <c r="T11" s="4" t="n">
        <v>0.05</v>
      </c>
      <c r="U11" s="16" t="n">
        <v>15.49600970323184</v>
      </c>
      <c r="V11" s="16" t="n">
        <v>0.4285714285714215</v>
      </c>
      <c r="W11" s="4" t="n">
        <v>-0.1787314688535042</v>
      </c>
      <c r="X11" s="4" t="n">
        <v>-0.2329782306623436</v>
      </c>
      <c r="Y11" s="4" t="n"/>
      <c r="Z11" s="4" t="n"/>
      <c r="AA11" s="4" t="n">
        <v>0.04</v>
      </c>
      <c r="AB11" s="4" t="n">
        <v>0.05</v>
      </c>
      <c r="AC11" s="4">
        <f>(AB11+2*參數!$B$7)/(AA11+AB11)</f>
        <v/>
      </c>
      <c r="AD11" s="2" t="n">
        <v>0.176314626601856</v>
      </c>
      <c r="AE11" s="2" t="n">
        <v>0.1119465329991647</v>
      </c>
      <c r="AF11" s="2" t="n">
        <v>15.49600970323184</v>
      </c>
      <c r="AG11" s="2" t="n">
        <v>0.5714285714285785</v>
      </c>
      <c r="AH11" s="2" t="n">
        <v>0.5427608857639041</v>
      </c>
      <c r="AI11" s="2" t="n">
        <v>11</v>
      </c>
      <c r="AJ11" s="2" t="n">
        <v>0.2162933968945377</v>
      </c>
      <c r="AK11" s="2" t="n">
        <v>89.50135855345663</v>
      </c>
      <c r="AL11" s="2" t="n">
        <v>0.05455853671447417</v>
      </c>
      <c r="AM11" s="2" t="n">
        <v>169789.35028</v>
      </c>
    </row>
    <row r="12">
      <c r="A12" s="2" t="n">
        <v>11</v>
      </c>
      <c r="B12" s="2" t="inlineStr">
        <is>
          <t>CHIP_USDT_PERP</t>
        </is>
      </c>
      <c r="C12" s="2" t="inlineStr">
        <is>
          <t>做空</t>
        </is>
      </c>
      <c r="D12" s="7" t="n">
        <v>46268.67708333334</v>
      </c>
      <c r="E12" s="17" t="n">
        <v>0.05177</v>
      </c>
      <c r="F12" s="17" t="n">
        <v>0.04969919999999999</v>
      </c>
      <c r="G12" s="17" t="n">
        <v>0.0543585</v>
      </c>
      <c r="H12" s="7" t="n">
        <v>46268.80555555555</v>
      </c>
      <c r="I12" s="17" t="n">
        <v>0.04969919999999999</v>
      </c>
      <c r="J12" s="2" t="inlineStr">
        <is>
          <t>止盈</t>
        </is>
      </c>
      <c r="K12" s="5">
        <f>(H12-D12)*24</f>
        <v/>
      </c>
      <c r="L12" s="4">
        <f>IF(C12="做多",I12/E12-1,1-I12/E12)-2*參數!$B$7</f>
        <v/>
      </c>
      <c r="M12" s="2" t="inlineStr"/>
      <c r="N12" s="4" t="n">
        <v>0.002323330106485777</v>
      </c>
      <c r="O12" s="4" t="n">
        <v>0.01271466837012892</v>
      </c>
      <c r="P12" s="4" t="n">
        <v>0.207708854373726</v>
      </c>
      <c r="Q12" s="19" t="n">
        <v>3090786</v>
      </c>
      <c r="R12" s="19" t="n">
        <v>435000.77614</v>
      </c>
      <c r="S12" s="4" t="n">
        <v>0.04</v>
      </c>
      <c r="T12" s="4" t="n">
        <v>0.03824608846822497</v>
      </c>
      <c r="U12" s="16" t="n">
        <v>13.25635742718667</v>
      </c>
      <c r="V12" s="16" t="n">
        <v>0.7017543859649189</v>
      </c>
      <c r="W12" s="4" t="n">
        <v>-0.1634858278121882</v>
      </c>
      <c r="X12" s="4" t="n">
        <v>-0.1278867102396513</v>
      </c>
      <c r="Y12" s="4" t="n"/>
      <c r="Z12" s="4" t="n"/>
      <c r="AA12" s="4" t="n">
        <v>0.04</v>
      </c>
      <c r="AB12" s="4" t="n">
        <v>0.05</v>
      </c>
      <c r="AC12" s="4">
        <f>(AB12+2*參數!$B$7)/(AA12+AB12)</f>
        <v/>
      </c>
      <c r="AD12" s="2" t="n">
        <v>0.1519804183355584</v>
      </c>
      <c r="AE12" s="2" t="n">
        <v>0.08509746384405781</v>
      </c>
      <c r="AF12" s="2" t="n">
        <v>13.25635742718667</v>
      </c>
      <c r="AG12" s="2" t="n">
        <v>0.2982456140350811</v>
      </c>
      <c r="AH12" s="2" t="n">
        <v>0.5429859241556708</v>
      </c>
      <c r="AI12" s="2" t="n">
        <v>8</v>
      </c>
      <c r="AJ12" s="2" t="n">
        <v>0.207708854373726</v>
      </c>
      <c r="AK12" s="2" t="n">
        <v>73.76424768754708</v>
      </c>
      <c r="AL12" s="2" t="n">
        <v>0.0440449032369045</v>
      </c>
      <c r="AM12" s="2" t="n">
        <v>435000.77614</v>
      </c>
    </row>
    <row r="13">
      <c r="A13" s="2" t="n">
        <v>12</v>
      </c>
      <c r="B13" s="2" t="inlineStr">
        <is>
          <t>ZEST_USDT_PERP</t>
        </is>
      </c>
      <c r="C13" s="2" t="inlineStr">
        <is>
          <t>做空</t>
        </is>
      </c>
      <c r="D13" s="7" t="n">
        <v>46268.71875</v>
      </c>
      <c r="E13" s="17" t="n">
        <v>0.15617</v>
      </c>
      <c r="F13" s="17" t="n">
        <v>0.1499232</v>
      </c>
      <c r="G13" s="17" t="n">
        <v>0.1639785</v>
      </c>
      <c r="H13" s="7" t="n">
        <v>46268.72222222222</v>
      </c>
      <c r="I13" s="17" t="n">
        <v>0.1639785</v>
      </c>
      <c r="J13" s="2" t="inlineStr">
        <is>
          <t>止損</t>
        </is>
      </c>
      <c r="K13" s="5">
        <f>(H13-D13)*24</f>
        <v/>
      </c>
      <c r="L13" s="4">
        <f>IF(C13="做多",I13/E13-1,1-I13/E13)-2*參數!$B$7</f>
        <v/>
      </c>
      <c r="M13" s="2" t="inlineStr">
        <is>
          <t>同1h觸發；無小週期K資料→保守計止損</t>
        </is>
      </c>
      <c r="N13" s="4" t="n">
        <v>0.2106201550387596</v>
      </c>
      <c r="O13" s="4" t="n">
        <v>0.02389427039033402</v>
      </c>
      <c r="P13" s="4" t="n">
        <v>0.1882453718703814</v>
      </c>
      <c r="Q13" s="19" t="n">
        <v>59969</v>
      </c>
      <c r="R13" s="19" t="n">
        <v>23878.75843</v>
      </c>
      <c r="S13" s="4" t="n">
        <v>0</v>
      </c>
      <c r="T13" s="4" t="n">
        <v>0.05</v>
      </c>
      <c r="U13" s="16" t="n">
        <v>157.2392634699595</v>
      </c>
      <c r="V13" s="16" t="n">
        <v>0.4097327829676296</v>
      </c>
      <c r="W13" s="4" t="n">
        <v>-0.2091644709895761</v>
      </c>
      <c r="X13" s="4" t="n">
        <v>-0.1835543766578249</v>
      </c>
      <c r="Y13" s="4" t="n"/>
      <c r="Z13" s="4" t="n"/>
      <c r="AA13" s="4" t="n">
        <v>0.04</v>
      </c>
      <c r="AB13" s="4" t="n">
        <v>0.05</v>
      </c>
      <c r="AC13" s="4">
        <f>(AB13+2*參數!$B$7)/(AA13+AB13)</f>
        <v/>
      </c>
      <c r="AD13" s="2" t="n">
        <v>0.2202687919987498</v>
      </c>
      <c r="AE13" s="2" t="n">
        <v>0.2184598580010924</v>
      </c>
      <c r="AF13" s="2" t="n">
        <v>157.2392634699595</v>
      </c>
      <c r="AG13" s="2" t="n">
        <v>0.5902672170323704</v>
      </c>
      <c r="AH13" s="2" t="n">
        <v>1</v>
      </c>
      <c r="AI13" s="2" t="n">
        <v>1</v>
      </c>
      <c r="AJ13" s="2" t="n">
        <v>0.1882453718703814</v>
      </c>
      <c r="AK13" s="2" t="n">
        <v>30.84508980932195</v>
      </c>
      <c r="AL13" s="2" t="n">
        <v>0.08277218065169431</v>
      </c>
      <c r="AM13" s="2" t="n">
        <v>23878.75843</v>
      </c>
    </row>
    <row r="14">
      <c r="A14" s="2" t="n">
        <v>13</v>
      </c>
      <c r="B14" s="2" t="inlineStr">
        <is>
          <t>ZEST_USDT_PERP</t>
        </is>
      </c>
      <c r="C14" s="2" t="inlineStr">
        <is>
          <t>做空</t>
        </is>
      </c>
      <c r="D14" s="7" t="n">
        <v>46268.79513888889</v>
      </c>
      <c r="E14" s="17" t="n">
        <v>0.14801</v>
      </c>
      <c r="F14" s="17" t="n">
        <v>0.1420896</v>
      </c>
      <c r="G14" s="17" t="n">
        <v>0.1554105</v>
      </c>
      <c r="H14" s="7" t="n">
        <v>46269.03472222222</v>
      </c>
      <c r="I14" s="17" t="n">
        <v>0.1554105</v>
      </c>
      <c r="J14" s="2" t="inlineStr">
        <is>
          <t>止損</t>
        </is>
      </c>
      <c r="K14" s="5">
        <f>(H14-D14)*24</f>
        <v/>
      </c>
      <c r="L14" s="4">
        <f>IF(C14="做多",I14/E14-1,1-I14/E14)-2*參數!$B$7</f>
        <v/>
      </c>
      <c r="M14" s="2" t="inlineStr"/>
      <c r="N14" s="4" t="n">
        <v>-0.005375982796855028</v>
      </c>
      <c r="O14" s="4" t="n">
        <v>0.02299008195351351</v>
      </c>
      <c r="P14" s="4" t="n">
        <v>0.1142171020769711</v>
      </c>
      <c r="Q14" s="19" t="n">
        <v>-17436</v>
      </c>
      <c r="R14" s="19" t="n">
        <v>40384.07617</v>
      </c>
      <c r="S14" s="4" t="n">
        <v>0.021620160799946</v>
      </c>
      <c r="T14" s="4" t="n">
        <v>0.05</v>
      </c>
      <c r="U14" s="16" t="n">
        <v>7.061140317755381</v>
      </c>
      <c r="V14" s="16" t="n">
        <v>0.8699186991869952</v>
      </c>
      <c r="W14" s="4" t="n">
        <v>-0.1136517710757525</v>
      </c>
      <c r="X14" s="4" t="n">
        <v>-0.08131209818819407</v>
      </c>
      <c r="Y14" s="4" t="n"/>
      <c r="Z14" s="4" t="n"/>
      <c r="AA14" s="4" t="n">
        <v>0.04</v>
      </c>
      <c r="AB14" s="4" t="n">
        <v>0.05</v>
      </c>
      <c r="AC14" s="4">
        <f>(AB14+2*參數!$B$7)/(AA14+AB14)</f>
        <v/>
      </c>
      <c r="AD14" s="2" t="n">
        <v>0.1565992029381886</v>
      </c>
      <c r="AE14" s="2" t="n">
        <v>0.002777777777777768</v>
      </c>
      <c r="AF14" s="2" t="n">
        <v>7.061140317755381</v>
      </c>
      <c r="AG14" s="2" t="n">
        <v>0.1300813008130048</v>
      </c>
      <c r="AH14" s="2" t="n">
        <v>0.1121369621892695</v>
      </c>
      <c r="AI14" s="2" t="n">
        <v>4</v>
      </c>
      <c r="AJ14" s="2" t="n">
        <v>0.1142171020769711</v>
      </c>
      <c r="AK14" s="2" t="n">
        <v>66.49280688080124</v>
      </c>
      <c r="AL14" s="2" t="n">
        <v>0.0796399800273155</v>
      </c>
      <c r="AM14" s="2" t="n">
        <v>40384.07617</v>
      </c>
    </row>
    <row r="15">
      <c r="A15" s="2" t="n">
        <v>14</v>
      </c>
      <c r="B15" s="2" t="inlineStr">
        <is>
          <t>PORTAL_USDT_PERP</t>
        </is>
      </c>
      <c r="C15" s="2" t="inlineStr">
        <is>
          <t>做空</t>
        </is>
      </c>
      <c r="D15" s="7" t="n">
        <v>46268.92708333334</v>
      </c>
      <c r="E15" s="17" t="n">
        <v>0.01665</v>
      </c>
      <c r="F15" s="17" t="n">
        <v>0.015984</v>
      </c>
      <c r="G15" s="17" t="n">
        <v>0.0174825</v>
      </c>
      <c r="H15" s="7" t="n">
        <v>46268.93055555555</v>
      </c>
      <c r="I15" s="17" t="n">
        <v>0.015984</v>
      </c>
      <c r="J15" s="2" t="inlineStr">
        <is>
          <t>止盈</t>
        </is>
      </c>
      <c r="K15" s="5">
        <f>(H15-D15)*24</f>
        <v/>
      </c>
      <c r="L15" s="4">
        <f>IF(C15="做多",I15/E15-1,1-I15/E15)-2*參數!$B$7</f>
        <v/>
      </c>
      <c r="M15" s="2" t="inlineStr"/>
      <c r="N15" s="4" t="n">
        <v>-0.006563245823388963</v>
      </c>
      <c r="O15" s="4" t="n">
        <v>0.01728538863225937</v>
      </c>
      <c r="P15" s="4" t="n">
        <v>0.1737027148483969</v>
      </c>
      <c r="Q15" s="19" t="n">
        <v>-10504.8000000001</v>
      </c>
      <c r="R15" s="19" t="n">
        <v>104199.677534</v>
      </c>
      <c r="S15" s="4" t="n">
        <v>0.04</v>
      </c>
      <c r="T15" s="4" t="n">
        <v>0</v>
      </c>
      <c r="U15" s="16" t="n">
        <v>46.70472485026579</v>
      </c>
      <c r="V15" s="16" t="n">
        <v>0.4489795918367298</v>
      </c>
      <c r="W15" s="4" t="n">
        <v>-0.1375514972637275</v>
      </c>
      <c r="X15" s="4" t="n">
        <v>-0.1995677233429396</v>
      </c>
      <c r="Y15" s="4" t="n"/>
      <c r="Z15" s="4" t="n"/>
      <c r="AA15" s="4" t="n">
        <v>0.04</v>
      </c>
      <c r="AB15" s="4" t="n">
        <v>0.05</v>
      </c>
      <c r="AC15" s="4">
        <f>(AB15+2*參數!$B$7)/(AA15+AB15)</f>
        <v/>
      </c>
      <c r="AD15" s="2" t="n">
        <v>0.1594707520891367</v>
      </c>
      <c r="AE15" s="2" t="n">
        <v>0.1578581363004172</v>
      </c>
      <c r="AF15" s="2" t="n">
        <v>46.70472485026579</v>
      </c>
      <c r="AG15" s="2" t="n">
        <v>0.5510204081632702</v>
      </c>
      <c r="AH15" s="2" t="n">
        <v>1</v>
      </c>
      <c r="AI15" s="2" t="n">
        <v>9</v>
      </c>
      <c r="AJ15" s="2" t="n">
        <v>0.1737027148483969</v>
      </c>
      <c r="AK15" s="2" t="n">
        <v>56.55436253400508</v>
      </c>
      <c r="AL15" s="2" t="n">
        <v>0.05987834267929347</v>
      </c>
      <c r="AM15" s="2" t="n">
        <v>104199.677534</v>
      </c>
    </row>
    <row r="16">
      <c r="A16" s="2" t="n">
        <v>15</v>
      </c>
      <c r="B16" s="2" t="inlineStr">
        <is>
          <t>CATI_USDT_PERP</t>
        </is>
      </c>
      <c r="C16" s="2" t="inlineStr">
        <is>
          <t>做空</t>
        </is>
      </c>
      <c r="D16" s="7" t="n">
        <v>46268.95138888889</v>
      </c>
      <c r="E16" s="17" t="n">
        <v>0.06712</v>
      </c>
      <c r="F16" s="17" t="n">
        <v>0.0644352</v>
      </c>
      <c r="G16" s="17" t="n">
        <v>0.070476</v>
      </c>
      <c r="H16" s="7" t="n">
        <v>46269.02777777778</v>
      </c>
      <c r="I16" s="17" t="n">
        <v>0.0644352</v>
      </c>
      <c r="J16" s="2" t="inlineStr">
        <is>
          <t>止盈</t>
        </is>
      </c>
      <c r="K16" s="5">
        <f>(H16-D16)*24</f>
        <v/>
      </c>
      <c r="L16" s="4">
        <f>IF(C16="做多",I16/E16-1,1-I16/E16)-2*參數!$B$7</f>
        <v/>
      </c>
      <c r="M16" s="2" t="inlineStr"/>
      <c r="N16" s="4" t="n">
        <v>-0.01554708125550019</v>
      </c>
      <c r="O16" s="4" t="n">
        <v>0.03064006489734419</v>
      </c>
      <c r="P16" s="4" t="n">
        <v>0.1930712281772422</v>
      </c>
      <c r="Q16" s="19" t="n">
        <v>964405</v>
      </c>
      <c r="R16" s="19" t="n">
        <v>115516.39885</v>
      </c>
      <c r="S16" s="4" t="n">
        <v>0.04</v>
      </c>
      <c r="T16" s="4" t="n">
        <v>0.01668653158522049</v>
      </c>
      <c r="U16" s="16" t="n">
        <v>3.757737812982771</v>
      </c>
      <c r="V16" s="16" t="n">
        <v>0.8078602620087354</v>
      </c>
      <c r="W16" s="4" t="n">
        <v>-0.1700249100952997</v>
      </c>
      <c r="X16" s="4" t="n">
        <v>-0.2277300164624108</v>
      </c>
      <c r="Y16" s="4" t="n"/>
      <c r="Z16" s="4" t="n"/>
      <c r="AA16" s="4" t="n">
        <v>0.04</v>
      </c>
      <c r="AB16" s="4" t="n">
        <v>0.05</v>
      </c>
      <c r="AC16" s="4">
        <f>(AB16+2*參數!$B$7)/(AA16+AB16)</f>
        <v/>
      </c>
      <c r="AD16" s="2" t="n">
        <v>0.1888062345023025</v>
      </c>
      <c r="AE16" s="2" t="n">
        <v>0.01527756769021327</v>
      </c>
      <c r="AF16" s="2" t="n">
        <v>3.757737812982771</v>
      </c>
      <c r="AG16" s="2" t="n">
        <v>0.1921397379912646</v>
      </c>
      <c r="AH16" s="2" t="n">
        <v>0.04582738631016418</v>
      </c>
      <c r="AI16" s="2" t="n">
        <v>11</v>
      </c>
      <c r="AJ16" s="2" t="n">
        <v>0.1930712281772422</v>
      </c>
      <c r="AK16" s="2" t="n">
        <v>89.31334880939202</v>
      </c>
      <c r="AL16" s="2" t="n">
        <v>0.1061402982988156</v>
      </c>
      <c r="AM16" s="2" t="n">
        <v>115516.39885</v>
      </c>
    </row>
    <row r="17">
      <c r="A17" s="2" t="n">
        <v>16</v>
      </c>
      <c r="B17" s="2" t="inlineStr">
        <is>
          <t>APR_USDT_PERP</t>
        </is>
      </c>
      <c r="C17" s="2" t="inlineStr">
        <is>
          <t>做空</t>
        </is>
      </c>
      <c r="D17" s="7" t="n">
        <v>46269.03472222222</v>
      </c>
      <c r="E17" s="17" t="n">
        <v>0.269</v>
      </c>
      <c r="F17" s="17" t="n">
        <v>0.25824</v>
      </c>
      <c r="G17" s="17" t="n">
        <v>0.28245</v>
      </c>
      <c r="H17" s="7" t="n">
        <v>46269.03819444445</v>
      </c>
      <c r="I17" s="17" t="n">
        <v>0.25824</v>
      </c>
      <c r="J17" s="2" t="inlineStr">
        <is>
          <t>止盈</t>
        </is>
      </c>
      <c r="K17" s="5">
        <f>(H17-D17)*24</f>
        <v/>
      </c>
      <c r="L17" s="4">
        <f>IF(C17="做多",I17/E17-1,1-I17/E17)-2*參數!$B$7</f>
        <v/>
      </c>
      <c r="M17" s="2" t="inlineStr"/>
      <c r="N17" s="4" t="n">
        <v>-0.08844459505252444</v>
      </c>
      <c r="O17" s="4" t="n">
        <v>0.03305154017981478</v>
      </c>
      <c r="P17" s="4" t="n">
        <v>0.2596763474693111</v>
      </c>
      <c r="Q17" s="19" t="n">
        <v>66607</v>
      </c>
      <c r="R17" s="19" t="n">
        <v>234620.91883</v>
      </c>
      <c r="S17" s="4" t="n">
        <v>0.04</v>
      </c>
      <c r="T17" s="4" t="n">
        <v>0</v>
      </c>
      <c r="U17" s="16" t="n">
        <v>19.8723280944112</v>
      </c>
      <c r="V17" s="16" t="n">
        <v>0.8890756302521</v>
      </c>
      <c r="W17" s="4" t="n">
        <v>-0.1691133296738783</v>
      </c>
      <c r="X17" s="4" t="n">
        <v>-0.3150818870691763</v>
      </c>
      <c r="Y17" s="4" t="n"/>
      <c r="Z17" s="4" t="n"/>
      <c r="AA17" s="4" t="n">
        <v>0.04</v>
      </c>
      <c r="AB17" s="4" t="n">
        <v>0.05</v>
      </c>
      <c r="AC17" s="4">
        <f>(AB17+2*參數!$B$7)/(AA17+AB17)</f>
        <v/>
      </c>
      <c r="AD17" s="2" t="n">
        <v>0.1728798779158491</v>
      </c>
      <c r="AE17" s="2" t="n">
        <v>0.09683995922528044</v>
      </c>
      <c r="AF17" s="2" t="n">
        <v>19.8723280944112</v>
      </c>
      <c r="AG17" s="2" t="n">
        <v>0.1109243697479</v>
      </c>
      <c r="AH17" s="2" t="n">
        <v>0.5209730352654302</v>
      </c>
      <c r="AI17" s="2" t="n">
        <v>5</v>
      </c>
      <c r="AJ17" s="2" t="n">
        <v>0.2596763474693111</v>
      </c>
      <c r="AK17" s="2" t="n">
        <v>75.99821026194185</v>
      </c>
      <c r="AL17" s="2" t="n">
        <v>0.1144938937196868</v>
      </c>
      <c r="AM17" s="2" t="n">
        <v>234620.91883</v>
      </c>
    </row>
    <row r="18">
      <c r="A18" s="2" t="n">
        <v>17</v>
      </c>
      <c r="B18" s="2" t="inlineStr">
        <is>
          <t>APR_USDT_PERP</t>
        </is>
      </c>
      <c r="C18" s="2" t="inlineStr">
        <is>
          <t>做空</t>
        </is>
      </c>
      <c r="D18" s="7" t="n">
        <v>46269.13888888889</v>
      </c>
      <c r="E18" s="17" t="n">
        <v>0.2691</v>
      </c>
      <c r="F18" s="17" t="n">
        <v>0.258336</v>
      </c>
      <c r="G18" s="17" t="n">
        <v>0.282555</v>
      </c>
      <c r="H18" s="7" t="n">
        <v>46269.14930555555</v>
      </c>
      <c r="I18" s="17" t="n">
        <v>0.282555</v>
      </c>
      <c r="J18" s="2" t="inlineStr">
        <is>
          <t>止損</t>
        </is>
      </c>
      <c r="K18" s="5">
        <f>(H18-D18)*24</f>
        <v/>
      </c>
      <c r="L18" s="4">
        <f>IF(C18="做多",I18/E18-1,1-I18/E18)-2*參數!$B$7</f>
        <v/>
      </c>
      <c r="M18" s="2" t="inlineStr"/>
      <c r="N18" s="4" t="n">
        <v>0.01108397520195381</v>
      </c>
      <c r="O18" s="4" t="n">
        <v>0.0229587662933623</v>
      </c>
      <c r="P18" s="4" t="n">
        <v>0.2326999897504043</v>
      </c>
      <c r="Q18" s="19" t="n">
        <v>48633</v>
      </c>
      <c r="R18" s="19" t="n">
        <v>282901.97731</v>
      </c>
      <c r="S18" s="4" t="n">
        <v>0</v>
      </c>
      <c r="T18" s="4" t="n">
        <v>0.05</v>
      </c>
      <c r="U18" s="16" t="n">
        <v>2.900769489518932</v>
      </c>
      <c r="V18" s="16" t="n">
        <v>0.5419254658385082</v>
      </c>
      <c r="W18" s="4" t="n">
        <v>-0.1275232575240495</v>
      </c>
      <c r="X18" s="4" t="n">
        <v>-0.3478587528174306</v>
      </c>
      <c r="Y18" s="4" t="n"/>
      <c r="Z18" s="4" t="n"/>
      <c r="AA18" s="4" t="n">
        <v>0.04</v>
      </c>
      <c r="AB18" s="4" t="n">
        <v>0.05</v>
      </c>
      <c r="AC18" s="4">
        <f>(AB18+2*參數!$B$7)/(AA18+AB18)</f>
        <v/>
      </c>
      <c r="AD18" s="2" t="n">
        <v>0.1606141637194858</v>
      </c>
      <c r="AE18" s="2" t="n">
        <v>0.1463258785942494</v>
      </c>
      <c r="AF18" s="2" t="n">
        <v>2.900769489518932</v>
      </c>
      <c r="AG18" s="2" t="n">
        <v>0.4580745341614919</v>
      </c>
      <c r="AH18" s="2" t="n">
        <v>0.09676907531586902</v>
      </c>
      <c r="AI18" s="2" t="n">
        <v>0</v>
      </c>
      <c r="AJ18" s="2" t="n">
        <v>0.2326999897504043</v>
      </c>
      <c r="AK18" s="2" t="n">
        <v>57.10578612211845</v>
      </c>
      <c r="AL18" s="2" t="n">
        <v>0.07953149939840658</v>
      </c>
      <c r="AM18" s="2" t="n">
        <v>282901.97731</v>
      </c>
    </row>
    <row r="19">
      <c r="A19" s="2" t="n">
        <v>18</v>
      </c>
      <c r="B19" s="2" t="inlineStr">
        <is>
          <t>APR_USDT_PERP</t>
        </is>
      </c>
      <c r="C19" s="2" t="inlineStr">
        <is>
          <t>做空</t>
        </is>
      </c>
      <c r="D19" s="7" t="n">
        <v>46269.19791666666</v>
      </c>
      <c r="E19" s="17" t="n">
        <v>0.27595</v>
      </c>
      <c r="F19" s="17" t="n">
        <v>0.264912</v>
      </c>
      <c r="G19" s="17" t="n">
        <v>0.2897475</v>
      </c>
      <c r="H19" s="7" t="n">
        <v>46269.27777777778</v>
      </c>
      <c r="I19" s="17" t="n">
        <v>0.264912</v>
      </c>
      <c r="J19" s="2" t="inlineStr">
        <is>
          <t>止盈</t>
        </is>
      </c>
      <c r="K19" s="5">
        <f>(H19-D19)*24</f>
        <v/>
      </c>
      <c r="L19" s="4">
        <f>IF(C19="做多",I19/E19-1,1-I19/E19)-2*參數!$B$7</f>
        <v/>
      </c>
      <c r="M19" s="2" t="inlineStr"/>
      <c r="N19" s="4" t="n">
        <v>0</v>
      </c>
      <c r="O19" s="4" t="n">
        <v>0.02317581480715283</v>
      </c>
      <c r="P19" s="4" t="n">
        <v>0.2340539869737501</v>
      </c>
      <c r="Q19" s="19" t="n">
        <v>206192</v>
      </c>
      <c r="R19" s="19" t="n">
        <v>411511.99279</v>
      </c>
      <c r="S19" s="4" t="n">
        <v>0.04</v>
      </c>
      <c r="T19" s="4" t="n">
        <v>0.02736002899075918</v>
      </c>
      <c r="U19" s="16" t="n">
        <v>4.958938723941882</v>
      </c>
      <c r="V19" s="16" t="n">
        <v>0.5934959349593611</v>
      </c>
      <c r="W19" s="4" t="n">
        <v>-0.1147517672622915</v>
      </c>
      <c r="X19" s="4" t="n">
        <v>-0.3842488086280409</v>
      </c>
      <c r="Y19" s="4" t="n"/>
      <c r="Z19" s="4" t="n"/>
      <c r="AA19" s="4" t="n">
        <v>0.04</v>
      </c>
      <c r="AB19" s="4" t="n">
        <v>0.05</v>
      </c>
      <c r="AC19" s="4">
        <f>(AB19+2*參數!$B$7)/(AA19+AB19)</f>
        <v/>
      </c>
      <c r="AD19" s="2" t="n">
        <v>0.1645916860097065</v>
      </c>
      <c r="AE19" s="2" t="n">
        <v>-0.02549705124130386</v>
      </c>
      <c r="AF19" s="2" t="n">
        <v>4.958938723941882</v>
      </c>
      <c r="AG19" s="2" t="n">
        <v>0.4065040650406389</v>
      </c>
      <c r="AH19" s="2" t="n">
        <v>0.1611144014871196</v>
      </c>
      <c r="AI19" s="2" t="n">
        <v>3</v>
      </c>
      <c r="AJ19" s="2" t="n">
        <v>0.2340539869737501</v>
      </c>
      <c r="AK19" s="2" t="n">
        <v>66.23328631030077</v>
      </c>
      <c r="AL19" s="2" t="n">
        <v>0.0802833775055916</v>
      </c>
      <c r="AM19" s="2" t="n">
        <v>411511.99279</v>
      </c>
    </row>
    <row r="20">
      <c r="A20" s="2" t="n">
        <v>19</v>
      </c>
      <c r="B20" s="2" t="inlineStr">
        <is>
          <t>CAP_USDT_PERP</t>
        </is>
      </c>
      <c r="C20" s="2" t="inlineStr">
        <is>
          <t>做空</t>
        </is>
      </c>
      <c r="D20" s="7" t="n">
        <v>46269.47222222222</v>
      </c>
      <c r="E20" s="17" t="n">
        <v>0.05311</v>
      </c>
      <c r="F20" s="17" t="n">
        <v>0.0509856</v>
      </c>
      <c r="G20" s="17" t="n">
        <v>0.0557655</v>
      </c>
      <c r="H20" s="7" t="n">
        <v>46269.47916666666</v>
      </c>
      <c r="I20" s="17" t="n">
        <v>0.0509856</v>
      </c>
      <c r="J20" s="2" t="inlineStr">
        <is>
          <t>止盈</t>
        </is>
      </c>
      <c r="K20" s="5">
        <f>(H20-D20)*24</f>
        <v/>
      </c>
      <c r="L20" s="4">
        <f>IF(C20="做多",I20/E20-1,1-I20/E20)-2*參數!$B$7</f>
        <v/>
      </c>
      <c r="M20" s="2" t="inlineStr"/>
      <c r="N20" s="4" t="n">
        <v>0.01645933014354073</v>
      </c>
      <c r="O20" s="4" t="n">
        <v>0.03162671116167251</v>
      </c>
      <c r="P20" s="4" t="n">
        <v>0.0687837076390565</v>
      </c>
      <c r="Q20" s="19" t="n">
        <v>520925</v>
      </c>
      <c r="R20" s="19" t="n">
        <v>303150.91817</v>
      </c>
      <c r="S20" s="4" t="n">
        <v>0.04</v>
      </c>
      <c r="T20" s="4" t="n">
        <v>0.007719826774618799</v>
      </c>
      <c r="U20" s="16" t="n">
        <v>10.80064755446213</v>
      </c>
      <c r="V20" s="16" t="n">
        <v>0.6083550913838135</v>
      </c>
      <c r="W20" s="4" t="n">
        <v>-0.1154141796843826</v>
      </c>
      <c r="X20" s="4" t="n">
        <v>0.2501764788931244</v>
      </c>
      <c r="Y20" s="4" t="n"/>
      <c r="Z20" s="4" t="n"/>
      <c r="AA20" s="4" t="n">
        <v>0.04</v>
      </c>
      <c r="AB20" s="4" t="n">
        <v>0.05</v>
      </c>
      <c r="AC20" s="4">
        <f>(AB20+2*參數!$B$7)/(AA20+AB20)</f>
        <v/>
      </c>
      <c r="AD20" s="2" t="n">
        <v>0.1820609837525038</v>
      </c>
      <c r="AE20" s="2" t="n">
        <v>0.1299999999999999</v>
      </c>
      <c r="AF20" s="2" t="n">
        <v>10.80064755446213</v>
      </c>
      <c r="AG20" s="2" t="n">
        <v>0.3916449086161865</v>
      </c>
      <c r="AH20" s="2" t="n">
        <v>0.5521769051504362</v>
      </c>
      <c r="AI20" s="2" t="n">
        <v>5</v>
      </c>
      <c r="AJ20" s="2" t="n">
        <v>0.0687837076390565</v>
      </c>
      <c r="AK20" s="2" t="n">
        <v>30.77900405316576</v>
      </c>
      <c r="AL20" s="2" t="n">
        <v>0.109558141216645</v>
      </c>
      <c r="AM20" s="2" t="n">
        <v>303150.91817</v>
      </c>
    </row>
    <row r="21">
      <c r="A21" s="2" t="n">
        <v>20</v>
      </c>
      <c r="B21" s="2" t="inlineStr">
        <is>
          <t>TRIA_USDT_PERP</t>
        </is>
      </c>
      <c r="C21" s="2" t="inlineStr">
        <is>
          <t>做空</t>
        </is>
      </c>
      <c r="D21" s="7" t="n">
        <v>46269.51041666666</v>
      </c>
      <c r="E21" s="17" t="n">
        <v>0.0049</v>
      </c>
      <c r="F21" s="17" t="n">
        <v>0.004704</v>
      </c>
      <c r="G21" s="17" t="n">
        <v>0.005145</v>
      </c>
      <c r="H21" s="7" t="n">
        <v>46269.51388888889</v>
      </c>
      <c r="I21" s="17" t="n">
        <v>0.004704</v>
      </c>
      <c r="J21" s="2" t="inlineStr">
        <is>
          <t>止盈</t>
        </is>
      </c>
      <c r="K21" s="5">
        <f>(H21-D21)*24</f>
        <v/>
      </c>
      <c r="L21" s="4">
        <f>IF(C21="做多",I21/E21-1,1-I21/E21)-2*參數!$B$7</f>
        <v/>
      </c>
      <c r="M21" s="2" t="inlineStr"/>
      <c r="N21" s="4" t="n">
        <v>0.01449275362318825</v>
      </c>
      <c r="O21" s="4" t="n">
        <v>0.01686385881367395</v>
      </c>
      <c r="P21" s="4" t="n">
        <v>0.2591006423982869</v>
      </c>
      <c r="Q21" s="19" t="n">
        <v>9783441</v>
      </c>
      <c r="R21" s="19" t="n">
        <v>101870.77068</v>
      </c>
      <c r="S21" s="4" t="n">
        <v>0.04</v>
      </c>
      <c r="T21" s="4" t="n">
        <v>0</v>
      </c>
      <c r="U21" s="16" t="n">
        <v>12.42410468845696</v>
      </c>
      <c r="V21" s="16" t="n">
        <v>0.4285714285714286</v>
      </c>
      <c r="W21" s="4" t="n">
        <v>-0.2135621764866136</v>
      </c>
      <c r="X21" s="4" t="n">
        <v>-0.3136729222520107</v>
      </c>
      <c r="Y21" s="4" t="n"/>
      <c r="Z21" s="4" t="n"/>
      <c r="AA21" s="4" t="n">
        <v>0.04</v>
      </c>
      <c r="AB21" s="4" t="n">
        <v>0.05</v>
      </c>
      <c r="AC21" s="4">
        <f>(AB21+2*參數!$B$7)/(AA21+AB21)</f>
        <v/>
      </c>
      <c r="AD21" s="2" t="n">
        <v>0.1807228915662651</v>
      </c>
      <c r="AE21" s="2" t="n">
        <v>0.1161731207289294</v>
      </c>
      <c r="AF21" s="2" t="n">
        <v>12.42410468845696</v>
      </c>
      <c r="AG21" s="2" t="n">
        <v>0.5714285714285714</v>
      </c>
      <c r="AH21" s="2" t="n">
        <v>0.3054597361971206</v>
      </c>
      <c r="AI21" s="2" t="n">
        <v>12</v>
      </c>
      <c r="AJ21" s="2" t="n">
        <v>0.2591006423982869</v>
      </c>
      <c r="AK21" s="2" t="n">
        <v>84.87354645765359</v>
      </c>
      <c r="AL21" s="2" t="n">
        <v>0.05841812055390298</v>
      </c>
      <c r="AM21" s="2" t="n">
        <v>101870.77068</v>
      </c>
    </row>
    <row r="22">
      <c r="A22" s="2" t="n">
        <v>21</v>
      </c>
      <c r="B22" s="2" t="inlineStr">
        <is>
          <t>Q_USDT_PERP</t>
        </is>
      </c>
      <c r="C22" s="2" t="inlineStr">
        <is>
          <t>做空</t>
        </is>
      </c>
      <c r="D22" s="7" t="n">
        <v>46269.52083333334</v>
      </c>
      <c r="E22" s="17" t="n">
        <v>0.026302</v>
      </c>
      <c r="F22" s="17" t="n">
        <v>0.02524992</v>
      </c>
      <c r="G22" s="17" t="n">
        <v>0.0276171</v>
      </c>
      <c r="H22" s="7" t="n">
        <v>46269.52777777778</v>
      </c>
      <c r="I22" s="17" t="n">
        <v>0.02524992</v>
      </c>
      <c r="J22" s="2" t="inlineStr">
        <is>
          <t>止盈</t>
        </is>
      </c>
      <c r="K22" s="5">
        <f>(H22-D22)*24</f>
        <v/>
      </c>
      <c r="L22" s="4">
        <f>IF(C22="做多",I22/E22-1,1-I22/E22)-2*參數!$B$7</f>
        <v/>
      </c>
      <c r="M22" s="2" t="inlineStr"/>
      <c r="N22" s="4" t="n">
        <v>0.02402180260852638</v>
      </c>
      <c r="O22" s="4" t="n">
        <v>0.01864579375933181</v>
      </c>
      <c r="P22" s="4" t="n">
        <v>0.2089054626230142</v>
      </c>
      <c r="Q22" s="19" t="n">
        <v>1320740</v>
      </c>
      <c r="R22" s="19" t="n">
        <v>39843.53728</v>
      </c>
      <c r="S22" s="4" t="n">
        <v>0.04</v>
      </c>
      <c r="T22" s="4" t="n">
        <v>0.03113831647783449</v>
      </c>
      <c r="U22" s="16" t="n">
        <v>138.3767803026814</v>
      </c>
      <c r="V22" s="16" t="n">
        <v>0.4066243833685702</v>
      </c>
      <c r="W22" s="4" t="n">
        <v>-0.2031730246247461</v>
      </c>
      <c r="X22" s="4" t="n">
        <v>-0.2139758146404505</v>
      </c>
      <c r="Y22" s="4" t="n"/>
      <c r="Z22" s="4" t="n"/>
      <c r="AA22" s="4" t="n">
        <v>0.04</v>
      </c>
      <c r="AB22" s="4" t="n">
        <v>0.05</v>
      </c>
      <c r="AC22" s="4">
        <f>(AB22+2*參數!$B$7)/(AA22+AB22)</f>
        <v/>
      </c>
      <c r="AD22" s="2" t="n">
        <v>0.2211337573703516</v>
      </c>
      <c r="AE22" s="2" t="n">
        <v>0.1888984314966324</v>
      </c>
      <c r="AF22" s="2" t="n">
        <v>138.3767803026814</v>
      </c>
      <c r="AG22" s="2" t="n">
        <v>0.5933756166314298</v>
      </c>
      <c r="AH22" s="2" t="n">
        <v>1</v>
      </c>
      <c r="AI22" s="2" t="n">
        <v>12</v>
      </c>
      <c r="AJ22" s="2" t="n">
        <v>0.2089054626230142</v>
      </c>
      <c r="AK22" s="2" t="n">
        <v>89.86831176871584</v>
      </c>
      <c r="AL22" s="2" t="n">
        <v>0.06459092427722679</v>
      </c>
      <c r="AM22" s="2" t="n">
        <v>39843.53728</v>
      </c>
    </row>
    <row r="23">
      <c r="A23" s="2" t="n">
        <v>22</v>
      </c>
      <c r="B23" s="2" t="inlineStr">
        <is>
          <t>TRIA_USDT_PERP</t>
        </is>
      </c>
      <c r="C23" s="2" t="inlineStr">
        <is>
          <t>做空</t>
        </is>
      </c>
      <c r="D23" s="7" t="n">
        <v>46269.60763888889</v>
      </c>
      <c r="E23" s="17" t="n">
        <v>0.00525</v>
      </c>
      <c r="F23" s="17" t="n">
        <v>0.00504</v>
      </c>
      <c r="G23" s="17" t="n">
        <v>0.005512500000000001</v>
      </c>
      <c r="H23" s="7" t="n">
        <v>46269.63888888889</v>
      </c>
      <c r="I23" s="17" t="n">
        <v>0.00504</v>
      </c>
      <c r="J23" s="2" t="inlineStr">
        <is>
          <t>止盈</t>
        </is>
      </c>
      <c r="K23" s="5">
        <f>(H23-D23)*24</f>
        <v/>
      </c>
      <c r="L23" s="4">
        <f>IF(C23="做多",I23/E23-1,1-I23/E23)-2*參數!$B$7</f>
        <v/>
      </c>
      <c r="M23" s="2" t="inlineStr"/>
      <c r="N23" s="4" t="n">
        <v>-0.007561436672967936</v>
      </c>
      <c r="O23" s="4" t="n">
        <v>0.02247100376299462</v>
      </c>
      <c r="P23" s="4" t="n">
        <v>0.3132934481249088</v>
      </c>
      <c r="Q23" s="19" t="n">
        <v>8918211</v>
      </c>
      <c r="R23" s="19" t="n">
        <v>334629.99303</v>
      </c>
      <c r="S23" s="4" t="n">
        <v>0.04</v>
      </c>
      <c r="T23" s="4" t="n">
        <v>0.03809523809523796</v>
      </c>
      <c r="U23" s="16" t="n">
        <v>7.038760822410627</v>
      </c>
      <c r="V23" s="16" t="n">
        <v>0.4285714285714251</v>
      </c>
      <c r="W23" s="4" t="n">
        <v>-0.2287887653598595</v>
      </c>
      <c r="X23" s="4" t="n">
        <v>-0.3815789473684212</v>
      </c>
      <c r="Y23" s="4" t="n"/>
      <c r="Z23" s="4" t="n"/>
      <c r="AA23" s="4" t="n">
        <v>0.04</v>
      </c>
      <c r="AB23" s="4" t="n">
        <v>0.05</v>
      </c>
      <c r="AC23" s="4">
        <f>(AB23+2*參數!$B$7)/(AA23+AB23)</f>
        <v/>
      </c>
      <c r="AD23" s="2" t="n">
        <v>0.1958997722095672</v>
      </c>
      <c r="AE23" s="2" t="n">
        <v>0.1388286334056399</v>
      </c>
      <c r="AF23" s="2" t="n">
        <v>7.038760822410627</v>
      </c>
      <c r="AG23" s="2" t="n">
        <v>0.5714285714285749</v>
      </c>
      <c r="AH23" s="2" t="n">
        <v>0.2290049746492384</v>
      </c>
      <c r="AI23" s="2" t="n">
        <v>10</v>
      </c>
      <c r="AJ23" s="2" t="n">
        <v>0.3132934481249088</v>
      </c>
      <c r="AK23" s="2" t="n">
        <v>92.808857187729</v>
      </c>
      <c r="AL23" s="2" t="n">
        <v>0.07784184042915623</v>
      </c>
      <c r="AM23" s="2" t="n">
        <v>334629.99303</v>
      </c>
    </row>
    <row r="24">
      <c r="A24" s="2" t="n">
        <v>23</v>
      </c>
      <c r="B24" s="2" t="inlineStr">
        <is>
          <t>PTB_USDT_PERP</t>
        </is>
      </c>
      <c r="C24" s="2" t="inlineStr">
        <is>
          <t>做空</t>
        </is>
      </c>
      <c r="D24" s="7" t="n">
        <v>46269.90972222222</v>
      </c>
      <c r="E24" s="17" t="n">
        <v>0.000816</v>
      </c>
      <c r="F24" s="17" t="n">
        <v>0.00078336</v>
      </c>
      <c r="G24" s="17" t="n">
        <v>0.0008568</v>
      </c>
      <c r="H24" s="7" t="n">
        <v>46269.91319444445</v>
      </c>
      <c r="I24" s="17" t="n">
        <v>0.00078336</v>
      </c>
      <c r="J24" s="2" t="inlineStr">
        <is>
          <t>止盈</t>
        </is>
      </c>
      <c r="K24" s="5">
        <f>(H24-D24)*24</f>
        <v/>
      </c>
      <c r="L24" s="4">
        <f>IF(C24="做多",I24/E24-1,1-I24/E24)-2*參數!$B$7</f>
        <v/>
      </c>
      <c r="M24" s="2" t="inlineStr"/>
      <c r="N24" s="4" t="n">
        <v>-0.04337631887456039</v>
      </c>
      <c r="O24" s="4" t="n">
        <v>0.02437026860112865</v>
      </c>
      <c r="P24" s="4" t="n">
        <v>0.131003257178498</v>
      </c>
      <c r="Q24" s="19" t="n">
        <v>9863073</v>
      </c>
      <c r="R24" s="19" t="n">
        <v>32046.606739</v>
      </c>
      <c r="S24" s="4" t="n">
        <v>0.04</v>
      </c>
      <c r="T24" s="4" t="n">
        <v>0</v>
      </c>
      <c r="U24" s="16" t="n">
        <v>91.39870063722886</v>
      </c>
      <c r="V24" s="16" t="n">
        <v>0.4767441860465117</v>
      </c>
      <c r="W24" s="4" t="n">
        <v>-0.1334907626059174</v>
      </c>
      <c r="X24" s="4" t="n">
        <v>-0.1412587412587412</v>
      </c>
      <c r="Y24" s="4" t="n"/>
      <c r="Z24" s="4" t="n"/>
      <c r="AA24" s="4" t="n">
        <v>0.04</v>
      </c>
      <c r="AB24" s="4" t="n">
        <v>0.05</v>
      </c>
      <c r="AC24" s="4">
        <f>(AB24+2*參數!$B$7)/(AA24+AB24)</f>
        <v/>
      </c>
      <c r="AD24" s="2" t="n">
        <v>0.1476793248945147</v>
      </c>
      <c r="AE24" s="2" t="n">
        <v>0.1349095966620306</v>
      </c>
      <c r="AF24" s="2" t="n">
        <v>91.39870063722886</v>
      </c>
      <c r="AG24" s="2" t="n">
        <v>0.5232558139534883</v>
      </c>
      <c r="AH24" s="2" t="n">
        <v>1</v>
      </c>
      <c r="AI24" s="2" t="n">
        <v>12</v>
      </c>
      <c r="AJ24" s="2" t="n">
        <v>0.131003257178498</v>
      </c>
      <c r="AK24" s="2" t="n">
        <v>79.75206857803238</v>
      </c>
      <c r="AL24" s="2" t="n">
        <v>0.08442108682251066</v>
      </c>
      <c r="AM24" s="2" t="n">
        <v>32046.606739</v>
      </c>
    </row>
    <row r="25">
      <c r="A25" s="2" t="n">
        <v>24</v>
      </c>
      <c r="B25" s="2" t="inlineStr">
        <is>
          <t>4_USDT_PERP</t>
        </is>
      </c>
      <c r="C25" s="2" t="inlineStr">
        <is>
          <t>做空</t>
        </is>
      </c>
      <c r="D25" s="7" t="n">
        <v>46270.02430555555</v>
      </c>
      <c r="E25" s="17" t="n">
        <v>0.01808</v>
      </c>
      <c r="F25" s="17" t="n">
        <v>0.0173568</v>
      </c>
      <c r="G25" s="17" t="n">
        <v>0.018984</v>
      </c>
      <c r="H25" s="7" t="n">
        <v>46270.03125</v>
      </c>
      <c r="I25" s="17" t="n">
        <v>0.018984</v>
      </c>
      <c r="J25" s="2" t="inlineStr">
        <is>
          <t>止損</t>
        </is>
      </c>
      <c r="K25" s="5">
        <f>(H25-D25)*24</f>
        <v/>
      </c>
      <c r="L25" s="4">
        <f>IF(C25="做多",I25/E25-1,1-I25/E25)-2*參數!$B$7</f>
        <v/>
      </c>
      <c r="M25" s="2" t="inlineStr"/>
      <c r="N25" s="4" t="n">
        <v>0.01118568232662187</v>
      </c>
      <c r="O25" s="4" t="n">
        <v>0.0205045299939307</v>
      </c>
      <c r="P25" s="4" t="n">
        <v>0.1102639026062748</v>
      </c>
      <c r="Q25" s="19" t="n">
        <v>901083</v>
      </c>
      <c r="R25" s="19" t="n">
        <v>91172.69407</v>
      </c>
      <c r="S25" s="4" t="n">
        <v>0.03152654867256621</v>
      </c>
      <c r="T25" s="4" t="n">
        <v>0.05</v>
      </c>
      <c r="U25" s="16" t="n">
        <v>11.75736486296425</v>
      </c>
      <c r="V25" s="16" t="n">
        <v>0.7083333333333349</v>
      </c>
      <c r="W25" s="4" t="n">
        <v>-0.1390913730209233</v>
      </c>
      <c r="X25" s="4" t="n">
        <v>-0.1356783919597988</v>
      </c>
      <c r="Y25" s="4" t="n"/>
      <c r="Z25" s="4" t="n"/>
      <c r="AA25" s="4" t="n">
        <v>0.04</v>
      </c>
      <c r="AB25" s="4" t="n">
        <v>0.05</v>
      </c>
      <c r="AC25" s="4">
        <f>(AB25+2*參數!$B$7)/(AA25+AB25)</f>
        <v/>
      </c>
      <c r="AD25" s="2" t="n">
        <v>0.201328903654485</v>
      </c>
      <c r="AE25" s="2" t="n">
        <v>0.1392564587271581</v>
      </c>
      <c r="AF25" s="2" t="n">
        <v>11.75736486296425</v>
      </c>
      <c r="AG25" s="2" t="n">
        <v>0.2916666666666651</v>
      </c>
      <c r="AH25" s="2" t="n">
        <v>0.4786948185024584</v>
      </c>
      <c r="AI25" s="2" t="n">
        <v>4</v>
      </c>
      <c r="AJ25" s="2" t="n">
        <v>0.1102639026062748</v>
      </c>
      <c r="AK25" s="2" t="n">
        <v>64.46738702697837</v>
      </c>
      <c r="AL25" s="2" t="n">
        <v>0.07102977546961588</v>
      </c>
      <c r="AM25" s="2" t="n">
        <v>91172.69407</v>
      </c>
    </row>
    <row r="26">
      <c r="A26" s="2" t="n">
        <v>25</v>
      </c>
      <c r="B26" s="2" t="inlineStr">
        <is>
          <t>4_USDT_PERP</t>
        </is>
      </c>
      <c r="C26" s="2" t="inlineStr">
        <is>
          <t>做空</t>
        </is>
      </c>
      <c r="D26" s="7" t="n">
        <v>46270.07986111111</v>
      </c>
      <c r="E26" s="17" t="n">
        <v>0.02088</v>
      </c>
      <c r="F26" s="17" t="n">
        <v>0.0200448</v>
      </c>
      <c r="G26" s="17" t="n">
        <v>0.021924</v>
      </c>
      <c r="H26" s="7" t="n">
        <v>46270.09375</v>
      </c>
      <c r="I26" s="17" t="n">
        <v>0.021924</v>
      </c>
      <c r="J26" s="2" t="inlineStr">
        <is>
          <t>止損</t>
        </is>
      </c>
      <c r="K26" s="5">
        <f>(H26-D26)*24</f>
        <v/>
      </c>
      <c r="L26" s="4">
        <f>IF(C26="做多",I26/E26-1,1-I26/E26)-2*參數!$B$7</f>
        <v/>
      </c>
      <c r="M26" s="2" t="inlineStr"/>
      <c r="N26" s="4" t="n">
        <v>0.0009587727708533222</v>
      </c>
      <c r="O26" s="4" t="n">
        <v>0.02363742655103594</v>
      </c>
      <c r="P26" s="4" t="n">
        <v>0.2692655473125116</v>
      </c>
      <c r="Q26" s="19" t="n">
        <v>3376207</v>
      </c>
      <c r="R26" s="19" t="n">
        <v>228487.9211</v>
      </c>
      <c r="S26" s="4" t="n">
        <v>0.003352490421456022</v>
      </c>
      <c r="T26" s="4" t="n">
        <v>0.05</v>
      </c>
      <c r="U26" s="16" t="n">
        <v>13.0306322029232</v>
      </c>
      <c r="V26" s="16" t="n">
        <v>0.4242424242424274</v>
      </c>
      <c r="W26" s="4" t="n">
        <v>-0.2691543226010371</v>
      </c>
      <c r="X26" s="4" t="n">
        <v>-0.2662219526986052</v>
      </c>
      <c r="Y26" s="4" t="n"/>
      <c r="Z26" s="4" t="n"/>
      <c r="AA26" s="4" t="n">
        <v>0.04</v>
      </c>
      <c r="AB26" s="4" t="n">
        <v>0.05</v>
      </c>
      <c r="AC26" s="4">
        <f>(AB26+2*參數!$B$7)/(AA26+AB26)</f>
        <v/>
      </c>
      <c r="AD26" s="2" t="n">
        <v>0.3123821495914518</v>
      </c>
      <c r="AE26" s="2" t="n">
        <v>0.08298755186722007</v>
      </c>
      <c r="AF26" s="2" t="n">
        <v>13.0306322029232</v>
      </c>
      <c r="AG26" s="2" t="n">
        <v>0.5757575757575726</v>
      </c>
      <c r="AH26" s="2" t="n">
        <v>0.39073283687209</v>
      </c>
      <c r="AI26" s="2" t="n">
        <v>10</v>
      </c>
      <c r="AJ26" s="2" t="n">
        <v>0.2692655473125116</v>
      </c>
      <c r="AK26" s="2" t="n">
        <v>73.83858347860253</v>
      </c>
      <c r="AL26" s="2" t="n">
        <v>0.08188244749314365</v>
      </c>
      <c r="AM26" s="2" t="n">
        <v>228487.9211</v>
      </c>
    </row>
    <row r="27">
      <c r="A27" s="2" t="n">
        <v>26</v>
      </c>
      <c r="B27" s="2" t="inlineStr">
        <is>
          <t>4_USDT_PERP</t>
        </is>
      </c>
      <c r="C27" s="2" t="inlineStr">
        <is>
          <t>做空</t>
        </is>
      </c>
      <c r="D27" s="7" t="n">
        <v>46270.13541666666</v>
      </c>
      <c r="E27" s="17" t="n">
        <v>0.02226</v>
      </c>
      <c r="F27" s="17" t="n">
        <v>0.0213696</v>
      </c>
      <c r="G27" s="17" t="n">
        <v>0.023373</v>
      </c>
      <c r="H27" s="7" t="n">
        <v>46270.14583333334</v>
      </c>
      <c r="I27" s="17" t="n">
        <v>0.0213696</v>
      </c>
      <c r="J27" s="2" t="inlineStr">
        <is>
          <t>止盈</t>
        </is>
      </c>
      <c r="K27" s="5">
        <f>(H27-D27)*24</f>
        <v/>
      </c>
      <c r="L27" s="4">
        <f>IF(C27="做多",I27/E27-1,1-I27/E27)-2*參數!$B$7</f>
        <v/>
      </c>
      <c r="M27" s="2" t="inlineStr"/>
      <c r="N27" s="4" t="n">
        <v>-0.009786476868327454</v>
      </c>
      <c r="O27" s="4" t="n">
        <v>0.02844508164613507</v>
      </c>
      <c r="P27" s="4" t="n">
        <v>0.3259207783182765</v>
      </c>
      <c r="Q27" s="19" t="n">
        <v>4117890</v>
      </c>
      <c r="R27" s="19" t="n">
        <v>348916.6634</v>
      </c>
      <c r="S27" s="4" t="n">
        <v>0.04</v>
      </c>
      <c r="T27" s="4" t="n">
        <v>0.0296495956873315</v>
      </c>
      <c r="U27" s="16" t="n">
        <v>2.56966754139735</v>
      </c>
      <c r="V27" s="16" t="n">
        <v>0.5857142857142873</v>
      </c>
      <c r="W27" s="4" t="n">
        <v>-0.2792809360704351</v>
      </c>
      <c r="X27" s="4" t="n">
        <v>-0.3361344537815125</v>
      </c>
      <c r="Y27" s="4" t="n"/>
      <c r="Z27" s="4" t="n"/>
      <c r="AA27" s="4" t="n">
        <v>0.04</v>
      </c>
      <c r="AB27" s="4" t="n">
        <v>0.05</v>
      </c>
      <c r="AC27" s="4">
        <f>(AB27+2*參數!$B$7)/(AA27+AB27)</f>
        <v/>
      </c>
      <c r="AD27" s="2" t="n">
        <v>0.1654450261780105</v>
      </c>
      <c r="AE27" s="2" t="n">
        <v>0.01736745886654467</v>
      </c>
      <c r="AF27" s="2" t="n">
        <v>2.56966754139735</v>
      </c>
      <c r="AG27" s="2" t="n">
        <v>0.4142857142857127</v>
      </c>
      <c r="AH27" s="2" t="n">
        <v>0.1149270837738248</v>
      </c>
      <c r="AI27" s="2" t="n">
        <v>9</v>
      </c>
      <c r="AJ27" s="2" t="n">
        <v>0.3259207783182765</v>
      </c>
      <c r="AK27" s="2" t="n">
        <v>81.74382932804517</v>
      </c>
      <c r="AL27" s="2" t="n">
        <v>0.09853665327310179</v>
      </c>
      <c r="AM27" s="2" t="n">
        <v>348916.6634</v>
      </c>
    </row>
    <row r="28">
      <c r="A28" s="2" t="n">
        <v>27</v>
      </c>
      <c r="B28" s="2" t="inlineStr">
        <is>
          <t>ELSA_USDT_PERP</t>
        </is>
      </c>
      <c r="C28" s="2" t="inlineStr">
        <is>
          <t>做空</t>
        </is>
      </c>
      <c r="D28" s="7" t="n">
        <v>46270.37152777778</v>
      </c>
      <c r="E28" s="17" t="n">
        <v>0.05706</v>
      </c>
      <c r="F28" s="17" t="n">
        <v>0.0547776</v>
      </c>
      <c r="G28" s="17" t="n">
        <v>0.059913</v>
      </c>
      <c r="H28" s="7" t="n">
        <v>46270.39583333334</v>
      </c>
      <c r="I28" s="17" t="n">
        <v>0.0547776</v>
      </c>
      <c r="J28" s="2" t="inlineStr">
        <is>
          <t>止盈</t>
        </is>
      </c>
      <c r="K28" s="5">
        <f>(H28-D28)*24</f>
        <v/>
      </c>
      <c r="L28" s="4">
        <f>IF(C28="做多",I28/E28-1,1-I28/E28)-2*參數!$B$7</f>
        <v/>
      </c>
      <c r="M28" s="2" t="inlineStr"/>
      <c r="N28" s="4" t="n">
        <v>-0.01433753670754878</v>
      </c>
      <c r="O28" s="4" t="n">
        <v>0.01837180322759043</v>
      </c>
      <c r="P28" s="4" t="n">
        <v>0.1356843596267461</v>
      </c>
      <c r="Q28" s="19" t="n">
        <v>283157</v>
      </c>
      <c r="R28" s="19" t="n">
        <v>65414.67929</v>
      </c>
      <c r="S28" s="4" t="n">
        <v>0.04</v>
      </c>
      <c r="T28" s="4" t="n">
        <v>0.01524710830704534</v>
      </c>
      <c r="U28" s="16" t="n">
        <v>11.04003599033738</v>
      </c>
      <c r="V28" s="16" t="n">
        <v>0.9835164835164824</v>
      </c>
      <c r="W28" s="4" t="n">
        <v>-0.1288146457072996</v>
      </c>
      <c r="X28" s="4" t="n">
        <v>-0.1721446179129005</v>
      </c>
      <c r="Y28" s="4" t="n"/>
      <c r="Z28" s="4" t="n"/>
      <c r="AA28" s="4" t="n">
        <v>0.04</v>
      </c>
      <c r="AB28" s="4" t="n">
        <v>0.05</v>
      </c>
      <c r="AC28" s="4">
        <f>(AB28+2*參數!$B$7)/(AA28+AB28)</f>
        <v/>
      </c>
      <c r="AD28" s="2" t="n">
        <v>0.1522617124394183</v>
      </c>
      <c r="AE28" s="2" t="n">
        <v>0.1421136909527623</v>
      </c>
      <c r="AF28" s="2" t="n">
        <v>11.04003599033738</v>
      </c>
      <c r="AG28" s="2" t="n">
        <v>0.0164835164835177</v>
      </c>
      <c r="AH28" s="2" t="n">
        <v>0.8164806360338154</v>
      </c>
      <c r="AI28" s="2" t="n">
        <v>11</v>
      </c>
      <c r="AJ28" s="2" t="n">
        <v>0.1356843596267461</v>
      </c>
      <c r="AK28" s="2" t="n">
        <v>71.67770096752236</v>
      </c>
      <c r="AL28" s="2" t="n">
        <v>0.06364179323368901</v>
      </c>
      <c r="AM28" s="2" t="n">
        <v>65414.67929</v>
      </c>
    </row>
    <row r="29">
      <c r="A29" s="2" t="n">
        <v>28</v>
      </c>
      <c r="B29" s="2" t="inlineStr">
        <is>
          <t>NOM_USDT_PERP</t>
        </is>
      </c>
      <c r="C29" s="2" t="inlineStr">
        <is>
          <t>做空</t>
        </is>
      </c>
      <c r="D29" s="7" t="n">
        <v>46270.44444444445</v>
      </c>
      <c r="E29" s="17" t="n">
        <v>0.001789</v>
      </c>
      <c r="F29" s="17" t="n">
        <v>0.00171744</v>
      </c>
      <c r="G29" s="17" t="n">
        <v>0.00187845</v>
      </c>
      <c r="H29" s="7" t="n">
        <v>46270.45833333334</v>
      </c>
      <c r="I29" s="17" t="n">
        <v>0.00187845</v>
      </c>
      <c r="J29" s="2" t="inlineStr">
        <is>
          <t>止損</t>
        </is>
      </c>
      <c r="K29" s="5">
        <f>(H29-D29)*24</f>
        <v/>
      </c>
      <c r="L29" s="4">
        <f>IF(C29="做多",I29/E29-1,1-I29/E29)-2*參數!$B$7</f>
        <v/>
      </c>
      <c r="M29" s="2" t="inlineStr"/>
      <c r="N29" s="4" t="n">
        <v>-0.01703296703296708</v>
      </c>
      <c r="O29" s="4" t="n">
        <v>0.02057095219266099</v>
      </c>
      <c r="P29" s="4" t="n">
        <v>0.1450699267129645</v>
      </c>
      <c r="Q29" s="19" t="n">
        <v>17083741</v>
      </c>
      <c r="R29" s="19" t="n">
        <v>85977.01693500001</v>
      </c>
      <c r="S29" s="4" t="n">
        <v>0.01173840134153159</v>
      </c>
      <c r="T29" s="4" t="n">
        <v>0.05</v>
      </c>
      <c r="U29" s="16" t="n">
        <v>13.45609089663708</v>
      </c>
      <c r="V29" s="16" t="n">
        <v>0.8181818181818175</v>
      </c>
      <c r="W29" s="4" t="n">
        <v>-0.134180746188227</v>
      </c>
      <c r="X29" s="4" t="n">
        <v>-0.1344324667089409</v>
      </c>
      <c r="Y29" s="4" t="n"/>
      <c r="Z29" s="4" t="n"/>
      <c r="AA29" s="4" t="n">
        <v>0.04</v>
      </c>
      <c r="AB29" s="4" t="n">
        <v>0.05</v>
      </c>
      <c r="AC29" s="4">
        <f>(AB29+2*參數!$B$7)/(AA29+AB29)</f>
        <v/>
      </c>
      <c r="AD29" s="2" t="n">
        <v>0.1482670089858793</v>
      </c>
      <c r="AE29" s="2" t="n">
        <v>0.1132545115121344</v>
      </c>
      <c r="AF29" s="2" t="n">
        <v>13.45609089663708</v>
      </c>
      <c r="AG29" s="2" t="n">
        <v>0.1818181818181825</v>
      </c>
      <c r="AH29" s="2" t="n">
        <v>0.2588687316881919</v>
      </c>
      <c r="AI29" s="2" t="n">
        <v>12</v>
      </c>
      <c r="AJ29" s="2" t="n">
        <v>0.1450699267129645</v>
      </c>
      <c r="AK29" s="2" t="n">
        <v>84.30856172696564</v>
      </c>
      <c r="AL29" s="2" t="n">
        <v>0.07125986871551845</v>
      </c>
      <c r="AM29" s="2" t="n">
        <v>85977.01693500001</v>
      </c>
    </row>
    <row r="30">
      <c r="A30" s="2" t="n">
        <v>29</v>
      </c>
      <c r="B30" s="2" t="inlineStr">
        <is>
          <t>NOM_USDT_PERP</t>
        </is>
      </c>
      <c r="C30" s="2" t="inlineStr">
        <is>
          <t>做空</t>
        </is>
      </c>
      <c r="D30" s="7" t="n">
        <v>46270.56944444445</v>
      </c>
      <c r="E30" s="17" t="n">
        <v>0.002085</v>
      </c>
      <c r="F30" s="17" t="n">
        <v>0.0020016</v>
      </c>
      <c r="G30" s="17" t="n">
        <v>0.00218925</v>
      </c>
      <c r="H30" s="7" t="n">
        <v>46270.58333333334</v>
      </c>
      <c r="I30" s="17" t="n">
        <v>0.0020016</v>
      </c>
      <c r="J30" s="2" t="inlineStr">
        <is>
          <t>止盈</t>
        </is>
      </c>
      <c r="K30" s="5">
        <f>(H30-D30)*24</f>
        <v/>
      </c>
      <c r="L30" s="4">
        <f>IF(C30="做多",I30/E30-1,1-I30/E30)-2*參數!$B$7</f>
        <v/>
      </c>
      <c r="M30" s="2" t="inlineStr"/>
      <c r="N30" s="4" t="n">
        <v>0.01806640625</v>
      </c>
      <c r="O30" s="4" t="n">
        <v>0.04028698899428593</v>
      </c>
      <c r="P30" s="4" t="n">
        <v>0.3017893099267941</v>
      </c>
      <c r="Q30" s="19" t="n">
        <v>2248922</v>
      </c>
      <c r="R30" s="19" t="n">
        <v>258642.812045</v>
      </c>
      <c r="S30" s="4" t="n">
        <v>0.04</v>
      </c>
      <c r="T30" s="4" t="n">
        <v>0.01486810551558748</v>
      </c>
      <c r="U30" s="16" t="n">
        <v>6.098072496517265</v>
      </c>
      <c r="V30" s="16" t="n">
        <v>0.4912280701754393</v>
      </c>
      <c r="W30" s="4" t="n">
        <v>-0.2465920505093986</v>
      </c>
      <c r="X30" s="4" t="n">
        <v>-0.3331202046035806</v>
      </c>
      <c r="Y30" s="4" t="n"/>
      <c r="Z30" s="4" t="n"/>
      <c r="AA30" s="4" t="n">
        <v>0.04</v>
      </c>
      <c r="AB30" s="4" t="n">
        <v>0.05</v>
      </c>
      <c r="AC30" s="4">
        <f>(AB30+2*參數!$B$7)/(AA30+AB30)</f>
        <v/>
      </c>
      <c r="AD30" s="2" t="n">
        <v>0.1860068259385665</v>
      </c>
      <c r="AE30" s="2" t="n">
        <v>0.2395957193816887</v>
      </c>
      <c r="AF30" s="2" t="n">
        <v>6.098072496517265</v>
      </c>
      <c r="AG30" s="2" t="n">
        <v>0.5087719298245607</v>
      </c>
      <c r="AH30" s="2" t="n">
        <v>0.1807743340015253</v>
      </c>
      <c r="AI30" s="2" t="n">
        <v>5</v>
      </c>
      <c r="AJ30" s="2" t="n">
        <v>0.3017893099267941</v>
      </c>
      <c r="AK30" s="2" t="n">
        <v>81.18310690007606</v>
      </c>
      <c r="AL30" s="2" t="n">
        <v>0.1395582236441428</v>
      </c>
      <c r="AM30" s="2" t="n">
        <v>258642.812045</v>
      </c>
    </row>
    <row r="31">
      <c r="A31" s="2" t="n">
        <v>30</v>
      </c>
      <c r="B31" s="2" t="inlineStr">
        <is>
          <t>B_USDT_PERP</t>
        </is>
      </c>
      <c r="C31" s="2" t="inlineStr">
        <is>
          <t>做空</t>
        </is>
      </c>
      <c r="D31" s="7" t="n">
        <v>46270.60069444445</v>
      </c>
      <c r="E31" s="17" t="n">
        <v>0.2168</v>
      </c>
      <c r="F31" s="17" t="n">
        <v>0.208128</v>
      </c>
      <c r="G31" s="17" t="n">
        <v>0.22764</v>
      </c>
      <c r="H31" s="7" t="n">
        <v>46270.60416666666</v>
      </c>
      <c r="I31" s="17" t="n">
        <v>0.208128</v>
      </c>
      <c r="J31" s="2" t="inlineStr">
        <is>
          <t>止盈</t>
        </is>
      </c>
      <c r="K31" s="5">
        <f>(H31-D31)*24</f>
        <v/>
      </c>
      <c r="L31" s="4">
        <f>IF(C31="做多",I31/E31-1,1-I31/E31)-2*參數!$B$7</f>
        <v/>
      </c>
      <c r="M31" s="2" t="inlineStr"/>
      <c r="N31" s="4" t="n">
        <v>-0.01049748973071651</v>
      </c>
      <c r="O31" s="4" t="n">
        <v>0.02910155529424353</v>
      </c>
      <c r="P31" s="4" t="n">
        <v>0.6143865070648027</v>
      </c>
      <c r="Q31" s="19" t="n">
        <v>233985</v>
      </c>
      <c r="R31" s="19" t="n">
        <v>80785.15579999999</v>
      </c>
      <c r="S31" s="4" t="n">
        <v>0.04</v>
      </c>
      <c r="T31" s="4" t="n">
        <v>0</v>
      </c>
      <c r="U31" s="16" t="n">
        <v>30.88554153706357</v>
      </c>
      <c r="V31" s="16" t="n">
        <v>0.4098360655737713</v>
      </c>
      <c r="W31" s="4" t="n">
        <v>-0.5657386343119202</v>
      </c>
      <c r="X31" s="4" t="n">
        <v>-0.6924277907884466</v>
      </c>
      <c r="Y31" s="4" t="n"/>
      <c r="Z31" s="4" t="n"/>
      <c r="AA31" s="4" t="n">
        <v>0.04</v>
      </c>
      <c r="AB31" s="4" t="n">
        <v>0.05</v>
      </c>
      <c r="AC31" s="4">
        <f>(AB31+2*參數!$B$7)/(AA31+AB31)</f>
        <v/>
      </c>
      <c r="AD31" s="2" t="n">
        <v>0.5859546452084858</v>
      </c>
      <c r="AE31" s="2" t="n">
        <v>0.5824817518248173</v>
      </c>
      <c r="AF31" s="2" t="n">
        <v>30.88554153706357</v>
      </c>
      <c r="AG31" s="2" t="n">
        <v>0.5901639344262287</v>
      </c>
      <c r="AH31" s="2" t="n">
        <v>0.3078041929982947</v>
      </c>
      <c r="AI31" s="2" t="n">
        <v>4</v>
      </c>
      <c r="AJ31" s="2" t="n">
        <v>0.6143865070648027</v>
      </c>
      <c r="AK31" s="2" t="n">
        <v>94.9041995962435</v>
      </c>
      <c r="AL31" s="2" t="n">
        <v>0.1008107446978097</v>
      </c>
      <c r="AM31" s="2" t="n">
        <v>80785.15579999999</v>
      </c>
    </row>
    <row r="32">
      <c r="A32" s="2" t="n">
        <v>31</v>
      </c>
      <c r="B32" s="2" t="inlineStr">
        <is>
          <t>NAORIS_USDT_PERP</t>
        </is>
      </c>
      <c r="C32" s="2" t="inlineStr">
        <is>
          <t>做空</t>
        </is>
      </c>
      <c r="D32" s="7" t="n">
        <v>46270.61805555555</v>
      </c>
      <c r="E32" s="17" t="n">
        <v>0.03141</v>
      </c>
      <c r="F32" s="17" t="n">
        <v>0.0301536</v>
      </c>
      <c r="G32" s="17" t="n">
        <v>0.0329805</v>
      </c>
      <c r="H32" s="7" t="n">
        <v>46270.63194444445</v>
      </c>
      <c r="I32" s="17" t="n">
        <v>0.0301536</v>
      </c>
      <c r="J32" s="2" t="inlineStr">
        <is>
          <t>止盈</t>
        </is>
      </c>
      <c r="K32" s="5">
        <f>(H32-D32)*24</f>
        <v/>
      </c>
      <c r="L32" s="4">
        <f>IF(C32="做多",I32/E32-1,1-I32/E32)-2*參數!$B$7</f>
        <v/>
      </c>
      <c r="M32" s="2" t="inlineStr"/>
      <c r="N32" s="4" t="n">
        <v>-0.03709380748007363</v>
      </c>
      <c r="O32" s="4" t="n">
        <v>0.0275645116608186</v>
      </c>
      <c r="P32" s="4" t="n">
        <v>0.2331671312473009</v>
      </c>
      <c r="Q32" s="19" t="n">
        <v>277161</v>
      </c>
      <c r="R32" s="19" t="n">
        <v>69139.5478</v>
      </c>
      <c r="S32" s="4" t="n">
        <v>0.04</v>
      </c>
      <c r="T32" s="4" t="n">
        <v>0.02515122572429163</v>
      </c>
      <c r="U32" s="16" t="n">
        <v>106.4184220575352</v>
      </c>
      <c r="V32" s="16" t="n">
        <v>0.5547169811320752</v>
      </c>
      <c r="W32" s="4" t="n">
        <v>-0.2114783816099048</v>
      </c>
      <c r="X32" s="4" t="n">
        <v>-0.2609393817743877</v>
      </c>
      <c r="Y32" s="4" t="n"/>
      <c r="Z32" s="4" t="n"/>
      <c r="AA32" s="4" t="n">
        <v>0.04</v>
      </c>
      <c r="AB32" s="4" t="n">
        <v>0.05</v>
      </c>
      <c r="AC32" s="4">
        <f>(AB32+2*參數!$B$7)/(AA32+AB32)</f>
        <v/>
      </c>
      <c r="AD32" s="2" t="n">
        <v>0.2146171693735499</v>
      </c>
      <c r="AE32" s="2" t="n">
        <v>0.1764044943820224</v>
      </c>
      <c r="AF32" s="2" t="n">
        <v>106.4184220575352</v>
      </c>
      <c r="AG32" s="2" t="n">
        <v>0.4452830188679248</v>
      </c>
      <c r="AH32" s="2" t="n">
        <v>1</v>
      </c>
      <c r="AI32" s="2" t="n">
        <v>12</v>
      </c>
      <c r="AJ32" s="2" t="n">
        <v>0.2331671312473009</v>
      </c>
      <c r="AK32" s="2" t="n">
        <v>89.24081535129608</v>
      </c>
      <c r="AL32" s="2" t="n">
        <v>0.09548626936472517</v>
      </c>
      <c r="AM32" s="2" t="n">
        <v>69139.5478</v>
      </c>
    </row>
    <row r="33">
      <c r="A33" s="2" t="n">
        <v>32</v>
      </c>
      <c r="B33" s="2" t="inlineStr">
        <is>
          <t>TRADOOR_USDT_PERP</t>
        </is>
      </c>
      <c r="C33" s="2" t="inlineStr">
        <is>
          <t>做空</t>
        </is>
      </c>
      <c r="D33" s="7" t="n">
        <v>46270.63194444445</v>
      </c>
      <c r="E33" s="17" t="n">
        <v>0.7411</v>
      </c>
      <c r="F33" s="17" t="n">
        <v>0.711456</v>
      </c>
      <c r="G33" s="17" t="n">
        <v>0.778155</v>
      </c>
      <c r="H33" s="7" t="n">
        <v>46270.63541666666</v>
      </c>
      <c r="I33" s="17" t="n">
        <v>0.778155</v>
      </c>
      <c r="J33" s="2" t="inlineStr">
        <is>
          <t>止損</t>
        </is>
      </c>
      <c r="K33" s="5">
        <f>(H33-D33)*24</f>
        <v/>
      </c>
      <c r="L33" s="4">
        <f>IF(C33="做多",I33/E33-1,1-I33/E33)-2*參數!$B$7</f>
        <v/>
      </c>
      <c r="M33" s="2" t="inlineStr">
        <is>
          <t>同1h觸發；無小週期K資料→保守計止損</t>
        </is>
      </c>
      <c r="N33" s="4" t="n">
        <v>-0.0009436505796711625</v>
      </c>
      <c r="O33" s="4" t="n">
        <v>0.01721242024533929</v>
      </c>
      <c r="P33" s="4" t="n">
        <v>0.1668974910234364</v>
      </c>
      <c r="Q33" s="19" t="n">
        <v>5608</v>
      </c>
      <c r="R33" s="19" t="n">
        <v>116863.3092</v>
      </c>
      <c r="S33" s="4" t="n">
        <v>0</v>
      </c>
      <c r="T33" s="4" t="n">
        <v>0.05</v>
      </c>
      <c r="U33" s="16" t="n">
        <v>8.401592757717047</v>
      </c>
      <c r="V33" s="16" t="n">
        <v>0.9326424870466338</v>
      </c>
      <c r="W33" s="4" t="n">
        <v>-0.1660344287752942</v>
      </c>
      <c r="X33" s="4" t="n">
        <v>-0.1608709273182958</v>
      </c>
      <c r="Y33" s="4" t="n"/>
      <c r="Z33" s="4" t="n"/>
      <c r="AA33" s="4" t="n">
        <v>0.04</v>
      </c>
      <c r="AB33" s="4" t="n">
        <v>0.05</v>
      </c>
      <c r="AC33" s="4">
        <f>(AB33+2*參數!$B$7)/(AA33+AB33)</f>
        <v/>
      </c>
      <c r="AD33" s="2" t="n">
        <v>0.16232747804266</v>
      </c>
      <c r="AE33" s="2" t="n">
        <v>0.1610527964906783</v>
      </c>
      <c r="AF33" s="2" t="n">
        <v>8.401592757717047</v>
      </c>
      <c r="AG33" s="2" t="n">
        <v>0.06735751295336627</v>
      </c>
      <c r="AH33" s="2" t="n">
        <v>0.1608645334834694</v>
      </c>
      <c r="AI33" s="2" t="n">
        <v>4</v>
      </c>
      <c r="AJ33" s="2" t="n">
        <v>0.1668974910234364</v>
      </c>
      <c r="AK33" s="2" t="n">
        <v>58.64417812348868</v>
      </c>
      <c r="AL33" s="2" t="n">
        <v>0.05962557277230961</v>
      </c>
      <c r="AM33" s="2" t="n">
        <v>116863.3092</v>
      </c>
    </row>
    <row r="34">
      <c r="A34" s="2" t="n">
        <v>33</v>
      </c>
      <c r="B34" s="2" t="inlineStr">
        <is>
          <t>B_USDT_PERP</t>
        </is>
      </c>
      <c r="C34" s="2" t="inlineStr">
        <is>
          <t>做空</t>
        </is>
      </c>
      <c r="D34" s="7" t="n">
        <v>46270.64583333334</v>
      </c>
      <c r="E34" s="17" t="n">
        <v>0.1992</v>
      </c>
      <c r="F34" s="17" t="n">
        <v>0.191232</v>
      </c>
      <c r="G34" s="17" t="n">
        <v>0.20916</v>
      </c>
      <c r="H34" s="7" t="n">
        <v>46270.73611111111</v>
      </c>
      <c r="I34" s="17" t="n">
        <v>0.191232</v>
      </c>
      <c r="J34" s="2" t="inlineStr">
        <is>
          <t>止盈</t>
        </is>
      </c>
      <c r="K34" s="5">
        <f>(H34-D34)*24</f>
        <v/>
      </c>
      <c r="L34" s="4">
        <f>IF(C34="做多",I34/E34-1,1-I34/E34)-2*參數!$B$7</f>
        <v/>
      </c>
      <c r="M34" s="2" t="inlineStr"/>
      <c r="N34" s="4" t="n">
        <v>0.01116751269035521</v>
      </c>
      <c r="O34" s="4" t="n">
        <v>0.03911163473740106</v>
      </c>
      <c r="P34" s="4" t="n">
        <v>0.4420457938822848</v>
      </c>
      <c r="Q34" s="19" t="n">
        <v>62137</v>
      </c>
      <c r="R34" s="19" t="n">
        <v>168484.8679</v>
      </c>
      <c r="S34" s="4" t="n">
        <v>0.04</v>
      </c>
      <c r="T34" s="4" t="n">
        <v>0.01907630522088377</v>
      </c>
      <c r="U34" s="16" t="n">
        <v>6.248157917835051</v>
      </c>
      <c r="V34" s="16" t="n">
        <v>0.465116279069768</v>
      </c>
      <c r="W34" s="4" t="n">
        <v>-0.3576696064666511</v>
      </c>
      <c r="X34" s="4" t="n">
        <v>-0.5489891135303266</v>
      </c>
      <c r="Y34" s="4" t="n"/>
      <c r="Z34" s="4" t="n"/>
      <c r="AA34" s="4" t="n">
        <v>0.04</v>
      </c>
      <c r="AB34" s="4" t="n">
        <v>0.05</v>
      </c>
      <c r="AC34" s="4">
        <f>(AB34+2*參數!$B$7)/(AA34+AB34)</f>
        <v/>
      </c>
      <c r="AD34" s="2" t="n">
        <v>0.4550766983199415</v>
      </c>
      <c r="AE34" s="2" t="n">
        <v>-0.04780114722753348</v>
      </c>
      <c r="AF34" s="2" t="n">
        <v>6.248157917835051</v>
      </c>
      <c r="AG34" s="2" t="n">
        <v>0.534883720930232</v>
      </c>
      <c r="AH34" s="2" t="n">
        <v>0.1345958184658154</v>
      </c>
      <c r="AI34" s="2" t="n">
        <v>12</v>
      </c>
      <c r="AJ34" s="2" t="n">
        <v>0.4420457938822848</v>
      </c>
      <c r="AK34" s="2" t="n">
        <v>77.24557866333932</v>
      </c>
      <c r="AL34" s="2" t="n">
        <v>0.1354866770645089</v>
      </c>
      <c r="AM34" s="2" t="n">
        <v>168484.8679</v>
      </c>
    </row>
    <row r="35">
      <c r="A35" s="2" t="n">
        <v>34</v>
      </c>
      <c r="B35" s="2" t="inlineStr">
        <is>
          <t>COLLECT_USDT_PERP</t>
        </is>
      </c>
      <c r="C35" s="2" t="inlineStr">
        <is>
          <t>做空</t>
        </is>
      </c>
      <c r="D35" s="7" t="n">
        <v>46270.75694444445</v>
      </c>
      <c r="E35" s="17" t="n">
        <v>0.09433</v>
      </c>
      <c r="F35" s="17" t="n">
        <v>0.09055679999999999</v>
      </c>
      <c r="G35" s="17" t="n">
        <v>0.0990465</v>
      </c>
      <c r="H35" s="7" t="n">
        <v>46270.76041666666</v>
      </c>
      <c r="I35" s="17" t="n">
        <v>0.09055679999999999</v>
      </c>
      <c r="J35" s="2" t="inlineStr">
        <is>
          <t>止盈</t>
        </is>
      </c>
      <c r="K35" s="5">
        <f>(H35-D35)*24</f>
        <v/>
      </c>
      <c r="L35" s="4">
        <f>IF(C35="做多",I35/E35-1,1-I35/E35)-2*參數!$B$7</f>
        <v/>
      </c>
      <c r="M35" s="2" t="inlineStr"/>
      <c r="N35" s="4" t="n">
        <v>0.01038988860325629</v>
      </c>
      <c r="O35" s="4" t="n">
        <v>0.01873711895780194</v>
      </c>
      <c r="P35" s="4" t="n">
        <v>0.1633752022746229</v>
      </c>
      <c r="Q35" s="19" t="n">
        <v>64394</v>
      </c>
      <c r="R35" s="19" t="n">
        <v>52570.93895</v>
      </c>
      <c r="S35" s="4" t="n">
        <v>0.04</v>
      </c>
      <c r="T35" s="4" t="n">
        <v>0</v>
      </c>
      <c r="U35" s="16" t="n">
        <v>5.132269539006586</v>
      </c>
      <c r="V35" s="16" t="n">
        <v>0.5288888888888902</v>
      </c>
      <c r="W35" s="4" t="n">
        <v>-0.1474245288297558</v>
      </c>
      <c r="X35" s="4" t="n">
        <v>-0.1825247586812084</v>
      </c>
      <c r="Y35" s="4" t="n"/>
      <c r="Z35" s="4" t="n"/>
      <c r="AA35" s="4" t="n">
        <v>0.04</v>
      </c>
      <c r="AB35" s="4" t="n">
        <v>0.05</v>
      </c>
      <c r="AC35" s="4">
        <f>(AB35+2*參數!$B$7)/(AA35+AB35)</f>
        <v/>
      </c>
      <c r="AD35" s="2" t="n">
        <v>0.1516298376266634</v>
      </c>
      <c r="AE35" s="2" t="n">
        <v>0.1378769601930037</v>
      </c>
      <c r="AF35" s="2" t="n">
        <v>5.132269539006586</v>
      </c>
      <c r="AG35" s="2" t="n">
        <v>0.4711111111111098</v>
      </c>
      <c r="AH35" s="2" t="n">
        <v>0.2238996470095527</v>
      </c>
      <c r="AI35" s="2" t="n">
        <v>12</v>
      </c>
      <c r="AJ35" s="2" t="n">
        <v>0.1633752022746229</v>
      </c>
      <c r="AK35" s="2" t="n">
        <v>76.58809013416754</v>
      </c>
      <c r="AL35" s="2" t="n">
        <v>0.06490728404474995</v>
      </c>
      <c r="AM35" s="2" t="n">
        <v>52570.93895</v>
      </c>
    </row>
    <row r="36">
      <c r="A36" s="2" t="n">
        <v>35</v>
      </c>
      <c r="B36" s="2" t="inlineStr">
        <is>
          <t>MOODENG_USDT_PERP</t>
        </is>
      </c>
      <c r="C36" s="2" t="inlineStr">
        <is>
          <t>做空</t>
        </is>
      </c>
      <c r="D36" s="7" t="n">
        <v>46271.05902777778</v>
      </c>
      <c r="E36" s="17" t="n">
        <v>0.04783</v>
      </c>
      <c r="F36" s="17" t="n">
        <v>0.04591679999999999</v>
      </c>
      <c r="G36" s="17" t="n">
        <v>0.0502215</v>
      </c>
      <c r="H36" s="7" t="n">
        <v>46271.07291666666</v>
      </c>
      <c r="I36" s="17" t="n">
        <v>0.04591679999999999</v>
      </c>
      <c r="J36" s="2" t="inlineStr">
        <is>
          <t>止盈</t>
        </is>
      </c>
      <c r="K36" s="5">
        <f>(H36-D36)*24</f>
        <v/>
      </c>
      <c r="L36" s="4">
        <f>IF(C36="做多",I36/E36-1,1-I36/E36)-2*參數!$B$7</f>
        <v/>
      </c>
      <c r="M36" s="2" t="inlineStr"/>
      <c r="N36" s="4" t="n">
        <v>-0.006233118637024804</v>
      </c>
      <c r="O36" s="4" t="n">
        <v>0.01668673565348473</v>
      </c>
      <c r="P36" s="4" t="n">
        <v>0.1322295627198284</v>
      </c>
      <c r="Q36" s="19" t="n">
        <v>-352322</v>
      </c>
      <c r="R36" s="19" t="n">
        <v>134398.94128</v>
      </c>
      <c r="S36" s="4" t="n">
        <v>0.04</v>
      </c>
      <c r="T36" s="4" t="n">
        <v>0.004808697470207068</v>
      </c>
      <c r="U36" s="16" t="n">
        <v>86.09823844311926</v>
      </c>
      <c r="V36" s="16" t="n">
        <v>0.5520833333333347</v>
      </c>
      <c r="W36" s="4" t="n">
        <v>-0.1166519585183523</v>
      </c>
      <c r="X36" s="4" t="n">
        <v>-0.1612041757708182</v>
      </c>
      <c r="Y36" s="4" t="n"/>
      <c r="Z36" s="4" t="n"/>
      <c r="AA36" s="4" t="n">
        <v>0.04</v>
      </c>
      <c r="AB36" s="4" t="n">
        <v>0.05</v>
      </c>
      <c r="AC36" s="4">
        <f>(AB36+2*參數!$B$7)/(AA36+AB36)</f>
        <v/>
      </c>
      <c r="AD36" s="2" t="n">
        <v>0.143984692657259</v>
      </c>
      <c r="AE36" s="2" t="n">
        <v>0.03148587448781526</v>
      </c>
      <c r="AF36" s="2" t="n">
        <v>86.09823844311926</v>
      </c>
      <c r="AG36" s="2" t="n">
        <v>0.4479166666666653</v>
      </c>
      <c r="AH36" s="2" t="n">
        <v>1</v>
      </c>
      <c r="AI36" s="2" t="n">
        <v>11</v>
      </c>
      <c r="AJ36" s="2" t="n">
        <v>0.1322295627198284</v>
      </c>
      <c r="AK36" s="2" t="n">
        <v>85.86791560410063</v>
      </c>
      <c r="AL36" s="2" t="n">
        <v>0.05780454792861319</v>
      </c>
      <c r="AM36" s="2" t="n">
        <v>134398.94128</v>
      </c>
    </row>
    <row r="37">
      <c r="A37" s="2" t="n">
        <v>36</v>
      </c>
      <c r="B37" s="2" t="inlineStr">
        <is>
          <t>SUSHI_USDT_PERP</t>
        </is>
      </c>
      <c r="C37" s="2" t="inlineStr">
        <is>
          <t>做空</t>
        </is>
      </c>
      <c r="D37" s="7" t="n">
        <v>46271.06944444445</v>
      </c>
      <c r="E37" s="17" t="n">
        <v>0.2401</v>
      </c>
      <c r="F37" s="17" t="n">
        <v>0.230496</v>
      </c>
      <c r="G37" s="17" t="n">
        <v>0.252105</v>
      </c>
      <c r="H37" s="7" t="n">
        <v>46271.08333333334</v>
      </c>
      <c r="I37" s="17" t="n">
        <v>0.252105</v>
      </c>
      <c r="J37" s="2" t="inlineStr">
        <is>
          <t>止損</t>
        </is>
      </c>
      <c r="K37" s="5">
        <f>(H37-D37)*24</f>
        <v/>
      </c>
      <c r="L37" s="4">
        <f>IF(C37="做多",I37/E37-1,1-I37/E37)-2*參數!$B$7</f>
        <v/>
      </c>
      <c r="M37" s="2" t="inlineStr"/>
      <c r="N37" s="4" t="n">
        <v>-0.003734439834024883</v>
      </c>
      <c r="O37" s="4" t="n">
        <v>0.01513301513026677</v>
      </c>
      <c r="P37" s="4" t="n">
        <v>0.2085545122598316</v>
      </c>
      <c r="Q37" s="19" t="n">
        <v>55375</v>
      </c>
      <c r="R37" s="19" t="n">
        <v>73988.3698</v>
      </c>
      <c r="S37" s="4" t="n">
        <v>0.005830903790087549</v>
      </c>
      <c r="T37" s="4" t="n">
        <v>0.05</v>
      </c>
      <c r="U37" s="16" t="n">
        <v>19.32812219397159</v>
      </c>
      <c r="V37" s="16" t="n">
        <v>0.526315789473685</v>
      </c>
      <c r="W37" s="4" t="n">
        <v>-0.1554323607682349</v>
      </c>
      <c r="X37" s="4" t="n">
        <v>-0.2623554153522607</v>
      </c>
      <c r="Y37" s="4" t="n"/>
      <c r="Z37" s="4" t="n"/>
      <c r="AA37" s="4" t="n">
        <v>0.04</v>
      </c>
      <c r="AB37" s="4" t="n">
        <v>0.05</v>
      </c>
      <c r="AC37" s="4">
        <f>(AB37+2*參數!$B$7)/(AA37+AB37)</f>
        <v/>
      </c>
      <c r="AD37" s="2" t="n">
        <v>0.1482544237207077</v>
      </c>
      <c r="AE37" s="2" t="n">
        <v>0.1034007352941178</v>
      </c>
      <c r="AF37" s="2" t="n">
        <v>19.32812219397159</v>
      </c>
      <c r="AG37" s="2" t="n">
        <v>0.473684210526315</v>
      </c>
      <c r="AH37" s="2" t="n">
        <v>0.5401272916296879</v>
      </c>
      <c r="AI37" s="2" t="n">
        <v>12</v>
      </c>
      <c r="AJ37" s="2" t="n">
        <v>0.2085545122598316</v>
      </c>
      <c r="AK37" s="2" t="n">
        <v>89.01815436614156</v>
      </c>
      <c r="AL37" s="2" t="n">
        <v>0.0524223021546612</v>
      </c>
      <c r="AM37" s="2" t="n">
        <v>73988.3698</v>
      </c>
    </row>
    <row r="38">
      <c r="A38" s="2" t="n">
        <v>37</v>
      </c>
      <c r="B38" s="2" t="inlineStr">
        <is>
          <t>SUSHI_USDT_PERP</t>
        </is>
      </c>
      <c r="C38" s="2" t="inlineStr">
        <is>
          <t>做空</t>
        </is>
      </c>
      <c r="D38" s="7" t="n">
        <v>46271.14236111111</v>
      </c>
      <c r="E38" s="17" t="n">
        <v>0.2775</v>
      </c>
      <c r="F38" s="17" t="n">
        <v>0.2664</v>
      </c>
      <c r="G38" s="17" t="n">
        <v>0.2913750000000001</v>
      </c>
      <c r="H38" s="7" t="n">
        <v>46271.15277777778</v>
      </c>
      <c r="I38" s="17" t="n">
        <v>0.2664</v>
      </c>
      <c r="J38" s="2" t="inlineStr">
        <is>
          <t>止盈</t>
        </is>
      </c>
      <c r="K38" s="5">
        <f>(H38-D38)*24</f>
        <v/>
      </c>
      <c r="L38" s="4">
        <f>IF(C38="做多",I38/E38-1,1-I38/E38)-2*參數!$B$7</f>
        <v/>
      </c>
      <c r="M38" s="2" t="inlineStr"/>
      <c r="N38" s="4" t="n">
        <v>0.0007212405337180261</v>
      </c>
      <c r="O38" s="4" t="n">
        <v>0.02274180560949057</v>
      </c>
      <c r="P38" s="4" t="n">
        <v>0.3572170935990708</v>
      </c>
      <c r="Q38" s="19" t="n">
        <v>290632</v>
      </c>
      <c r="R38" s="19" t="n">
        <v>265454.0202</v>
      </c>
      <c r="S38" s="4" t="n">
        <v>0.04</v>
      </c>
      <c r="T38" s="4" t="n">
        <v>0.00432432432432428</v>
      </c>
      <c r="U38" s="16" t="n">
        <v>13.04635153205452</v>
      </c>
      <c r="V38" s="16" t="n">
        <v>0.7692307692307618</v>
      </c>
      <c r="W38" s="4" t="n">
        <v>-0.2670307192168608</v>
      </c>
      <c r="X38" s="4" t="n">
        <v>-0.4475743348982786</v>
      </c>
      <c r="Y38" s="4" t="n"/>
      <c r="Z38" s="4" t="n"/>
      <c r="AA38" s="4" t="n">
        <v>0.04</v>
      </c>
      <c r="AB38" s="4" t="n">
        <v>0.05</v>
      </c>
      <c r="AC38" s="4">
        <f>(AB38+2*參數!$B$7)/(AA38+AB38)</f>
        <v/>
      </c>
      <c r="AD38" s="2" t="n">
        <v>0.1961206896551724</v>
      </c>
      <c r="AE38" s="2" t="n">
        <v>0.1007536691788975</v>
      </c>
      <c r="AF38" s="2" t="n">
        <v>13.04635153205452</v>
      </c>
      <c r="AG38" s="2" t="n">
        <v>0.2307692307692382</v>
      </c>
      <c r="AH38" s="2" t="n">
        <v>0.3937736358725014</v>
      </c>
      <c r="AI38" s="2" t="n">
        <v>12</v>
      </c>
      <c r="AJ38" s="2" t="n">
        <v>0.3572170935990708</v>
      </c>
      <c r="AK38" s="2" t="n">
        <v>94.97809964471776</v>
      </c>
      <c r="AL38" s="2" t="n">
        <v>0.07877992554298512</v>
      </c>
      <c r="AM38" s="2" t="n">
        <v>265454.0202</v>
      </c>
    </row>
    <row r="39">
      <c r="A39" s="2" t="n">
        <v>38</v>
      </c>
      <c r="B39" s="2" t="inlineStr">
        <is>
          <t>RAY_USDT_PERP</t>
        </is>
      </c>
      <c r="C39" s="2" t="inlineStr">
        <is>
          <t>做空</t>
        </is>
      </c>
      <c r="D39" s="7" t="n">
        <v>46271.47916666666</v>
      </c>
      <c r="E39" s="17" t="n">
        <v>1.109</v>
      </c>
      <c r="F39" s="17" t="n">
        <v>1.06464</v>
      </c>
      <c r="G39" s="17" t="n">
        <v>1.16445</v>
      </c>
      <c r="H39" s="7" t="n">
        <v>46271.49305555555</v>
      </c>
      <c r="I39" s="17" t="n">
        <v>1.16445</v>
      </c>
      <c r="J39" s="2" t="inlineStr">
        <is>
          <t>止損</t>
        </is>
      </c>
      <c r="K39" s="5">
        <f>(H39-D39)*24</f>
        <v/>
      </c>
      <c r="L39" s="4">
        <f>IF(C39="做多",I39/E39-1,1-I39/E39)-2*參數!$B$7</f>
        <v/>
      </c>
      <c r="M39" s="2" t="inlineStr"/>
      <c r="N39" s="4" t="n">
        <v>0.002712477396021651</v>
      </c>
      <c r="O39" s="4" t="n">
        <v>0.01692640165371572</v>
      </c>
      <c r="P39" s="4" t="n">
        <v>0.2758308287435827</v>
      </c>
      <c r="Q39" s="19" t="n">
        <v>100145.5</v>
      </c>
      <c r="R39" s="19" t="n">
        <v>216333.2328</v>
      </c>
      <c r="S39" s="4" t="n">
        <v>0.001803426510369688</v>
      </c>
      <c r="T39" s="4" t="n">
        <v>0.05</v>
      </c>
      <c r="U39" s="16" t="n">
        <v>31.43812191711219</v>
      </c>
      <c r="V39" s="16" t="n">
        <v>0.7916666666666694</v>
      </c>
      <c r="W39" s="4" t="n">
        <v>-0.2201025370211454</v>
      </c>
      <c r="X39" s="4" t="n">
        <v>-0.3426150121065377</v>
      </c>
      <c r="Y39" s="4" t="n"/>
      <c r="Z39" s="4" t="n"/>
      <c r="AA39" s="4" t="n">
        <v>0.04</v>
      </c>
      <c r="AB39" s="4" t="n">
        <v>0.05</v>
      </c>
      <c r="AC39" s="4">
        <f>(AB39+2*參數!$B$7)/(AA39+AB39)</f>
        <v/>
      </c>
      <c r="AD39" s="2" t="n">
        <v>0.2146768893756845</v>
      </c>
      <c r="AE39" s="2" t="n">
        <v>0.1576200417536535</v>
      </c>
      <c r="AF39" s="2" t="n">
        <v>31.43812191711219</v>
      </c>
      <c r="AG39" s="2" t="n">
        <v>0.2083333333333306</v>
      </c>
      <c r="AH39" s="2" t="n">
        <v>0.4536709239237639</v>
      </c>
      <c r="AI39" s="2" t="n">
        <v>7</v>
      </c>
      <c r="AJ39" s="2" t="n">
        <v>0.2758308287435827</v>
      </c>
      <c r="AK39" s="2" t="n">
        <v>94.0482966940565</v>
      </c>
      <c r="AL39" s="2" t="n">
        <v>0.05863477530710697</v>
      </c>
      <c r="AM39" s="2" t="n">
        <v>216333.2328</v>
      </c>
    </row>
    <row r="40">
      <c r="A40" s="2" t="n">
        <v>39</v>
      </c>
      <c r="B40" s="2" t="inlineStr">
        <is>
          <t>RAY_USDT_PERP</t>
        </is>
      </c>
      <c r="C40" s="2" t="inlineStr">
        <is>
          <t>做空</t>
        </is>
      </c>
      <c r="D40" s="7" t="n">
        <v>46271.53819444445</v>
      </c>
      <c r="E40" s="17" t="n">
        <v>1.154</v>
      </c>
      <c r="F40" s="17" t="n">
        <v>1.10784</v>
      </c>
      <c r="G40" s="17" t="n">
        <v>1.2117</v>
      </c>
      <c r="H40" s="7" t="n">
        <v>46271.60763888889</v>
      </c>
      <c r="I40" s="17" t="n">
        <v>1.10784</v>
      </c>
      <c r="J40" s="2" t="inlineStr">
        <is>
          <t>止盈</t>
        </is>
      </c>
      <c r="K40" s="5">
        <f>(H40-D40)*24</f>
        <v/>
      </c>
      <c r="L40" s="4">
        <f>IF(C40="做多",I40/E40-1,1-I40/E40)-2*參數!$B$7</f>
        <v/>
      </c>
      <c r="M40" s="2" t="inlineStr"/>
      <c r="N40" s="4" t="n">
        <v>-0.00602928509905265</v>
      </c>
      <c r="O40" s="4" t="n">
        <v>0.02000596731309121</v>
      </c>
      <c r="P40" s="4" t="n">
        <v>0.2939516543482121</v>
      </c>
      <c r="Q40" s="19" t="n">
        <v>54235.19999999997</v>
      </c>
      <c r="R40" s="19" t="n">
        <v>411247.2593</v>
      </c>
      <c r="S40" s="4" t="n">
        <v>0.04</v>
      </c>
      <c r="T40" s="4" t="n">
        <v>0.01126516464471417</v>
      </c>
      <c r="U40" s="16" t="n">
        <v>4.034547608089766</v>
      </c>
      <c r="V40" s="16" t="n">
        <v>0.5833333333333426</v>
      </c>
      <c r="W40" s="4" t="n">
        <v>-0.2057382273349424</v>
      </c>
      <c r="X40" s="4" t="n">
        <v>-0.3920386007237635</v>
      </c>
      <c r="Y40" s="4" t="n"/>
      <c r="Z40" s="4" t="n"/>
      <c r="AA40" s="4" t="n">
        <v>0.04</v>
      </c>
      <c r="AB40" s="4" t="n">
        <v>0.05</v>
      </c>
      <c r="AC40" s="4">
        <f>(AB40+2*參數!$B$7)/(AA40+AB40)</f>
        <v/>
      </c>
      <c r="AD40" s="2" t="n">
        <v>0.1872427983539093</v>
      </c>
      <c r="AE40" s="2" t="n">
        <v>-0.003454231433506094</v>
      </c>
      <c r="AF40" s="2" t="n">
        <v>4.034547608089766</v>
      </c>
      <c r="AG40" s="2" t="n">
        <v>0.4166666666666574</v>
      </c>
      <c r="AH40" s="2" t="n">
        <v>0.1120577065627926</v>
      </c>
      <c r="AI40" s="2" t="n">
        <v>11</v>
      </c>
      <c r="AJ40" s="2" t="n">
        <v>0.2939516543482121</v>
      </c>
      <c r="AK40" s="2" t="n">
        <v>95.07386624545182</v>
      </c>
      <c r="AL40" s="2" t="n">
        <v>0.06930270368167239</v>
      </c>
      <c r="AM40" s="2" t="n">
        <v>411247.2593</v>
      </c>
    </row>
    <row r="41">
      <c r="A41" s="2" t="n">
        <v>40</v>
      </c>
      <c r="B41" s="2" t="inlineStr">
        <is>
          <t>SOLV_USDT_PERP</t>
        </is>
      </c>
      <c r="C41" s="2" t="inlineStr">
        <is>
          <t>做空</t>
        </is>
      </c>
      <c r="D41" s="7" t="n">
        <v>46271.69444444445</v>
      </c>
      <c r="E41" s="17" t="n">
        <v>0.00374</v>
      </c>
      <c r="F41" s="17" t="n">
        <v>0.0035904</v>
      </c>
      <c r="G41" s="17" t="n">
        <v>0.003927</v>
      </c>
      <c r="H41" s="7" t="n">
        <v>46271.71527777778</v>
      </c>
      <c r="I41" s="17" t="n">
        <v>0.003927</v>
      </c>
      <c r="J41" s="2" t="inlineStr">
        <is>
          <t>止損</t>
        </is>
      </c>
      <c r="K41" s="5">
        <f>(H41-D41)*24</f>
        <v/>
      </c>
      <c r="L41" s="4">
        <f>IF(C41="做多",I41/E41-1,1-I41/E41)-2*參數!$B$7</f>
        <v/>
      </c>
      <c r="M41" s="2" t="inlineStr"/>
      <c r="N41" s="4" t="n">
        <v>0.002680965147453085</v>
      </c>
      <c r="O41" s="4" t="n">
        <v>0.01253925642095096</v>
      </c>
      <c r="P41" s="4" t="n">
        <v>0.1274257363562141</v>
      </c>
      <c r="Q41" s="19" t="n">
        <v>43486590</v>
      </c>
      <c r="R41" s="19" t="n">
        <v>384629.87922</v>
      </c>
      <c r="S41" s="4" t="n">
        <v>0</v>
      </c>
      <c r="T41" s="4" t="n">
        <v>0.05</v>
      </c>
      <c r="U41" s="16" t="n">
        <v>7.87655518475756</v>
      </c>
      <c r="V41" s="16" t="n">
        <v>0.6000000000000052</v>
      </c>
      <c r="W41" s="4" t="n">
        <v>-0.1283753205611704</v>
      </c>
      <c r="X41" s="4" t="n">
        <v>-0.1724137931034482</v>
      </c>
      <c r="Y41" s="4" t="n"/>
      <c r="Z41" s="4" t="n"/>
      <c r="AA41" s="4" t="n">
        <v>0.04</v>
      </c>
      <c r="AB41" s="4" t="n">
        <v>0.05</v>
      </c>
      <c r="AC41" s="4">
        <f>(AB41+2*參數!$B$7)/(AA41+AB41)</f>
        <v/>
      </c>
      <c r="AD41" s="2" t="n">
        <v>0.154320987654321</v>
      </c>
      <c r="AE41" s="2" t="n">
        <v>0.04761904761904767</v>
      </c>
      <c r="AF41" s="2" t="n">
        <v>7.87655518475756</v>
      </c>
      <c r="AG41" s="2" t="n">
        <v>0.3999999999999948</v>
      </c>
      <c r="AH41" s="2" t="n">
        <v>0.1783553535538016</v>
      </c>
      <c r="AI41" s="2" t="n">
        <v>11</v>
      </c>
      <c r="AJ41" s="2" t="n">
        <v>0.1274257363562141</v>
      </c>
      <c r="AK41" s="2" t="n">
        <v>74.96982073748117</v>
      </c>
      <c r="AL41" s="2" t="n">
        <v>0.04343725842044269</v>
      </c>
      <c r="AM41" s="2" t="n">
        <v>384629.87922</v>
      </c>
    </row>
    <row r="42">
      <c r="A42" s="2" t="n">
        <v>41</v>
      </c>
      <c r="B42" s="2" t="inlineStr">
        <is>
          <t>COTI_USDT_PERP</t>
        </is>
      </c>
      <c r="C42" s="2" t="inlineStr">
        <is>
          <t>做空</t>
        </is>
      </c>
      <c r="D42" s="7" t="n">
        <v>46271.77083333334</v>
      </c>
      <c r="E42" s="17" t="n">
        <v>0.01845</v>
      </c>
      <c r="F42" s="17" t="n">
        <v>0.017712</v>
      </c>
      <c r="G42" s="17" t="n">
        <v>0.0193725</v>
      </c>
      <c r="H42" s="7" t="n">
        <v>46271.8125</v>
      </c>
      <c r="I42" s="17" t="n">
        <v>0.017712</v>
      </c>
      <c r="J42" s="2" t="inlineStr">
        <is>
          <t>止盈</t>
        </is>
      </c>
      <c r="K42" s="5">
        <f>(H42-D42)*24</f>
        <v/>
      </c>
      <c r="L42" s="4">
        <f>IF(C42="做多",I42/E42-1,1-I42/E42)-2*參數!$B$7</f>
        <v/>
      </c>
      <c r="M42" s="2" t="inlineStr"/>
      <c r="N42" s="4" t="n">
        <v>0.001628664495114229</v>
      </c>
      <c r="O42" s="4" t="n">
        <v>0.01522204615672356</v>
      </c>
      <c r="P42" s="4" t="n">
        <v>0.1589044322598376</v>
      </c>
      <c r="Q42" s="19" t="n">
        <v>1976410</v>
      </c>
      <c r="R42" s="19" t="n">
        <v>230897.00419</v>
      </c>
      <c r="S42" s="4" t="n">
        <v>0.04</v>
      </c>
      <c r="T42" s="4" t="n">
        <v>0.04281842818428183</v>
      </c>
      <c r="U42" s="16" t="n">
        <v>11.79028425897819</v>
      </c>
      <c r="V42" s="16" t="n">
        <v>0.4324324324324309</v>
      </c>
      <c r="W42" s="4" t="n">
        <v>-0.1142582784256649</v>
      </c>
      <c r="X42" s="4" t="n">
        <v>-0.2466216216216217</v>
      </c>
      <c r="Y42" s="4" t="n"/>
      <c r="Z42" s="4" t="n"/>
      <c r="AA42" s="4" t="n">
        <v>0.04</v>
      </c>
      <c r="AB42" s="4" t="n">
        <v>0.05</v>
      </c>
      <c r="AC42" s="4">
        <f>(AB42+2*參數!$B$7)/(AA42+AB42)</f>
        <v/>
      </c>
      <c r="AD42" s="2" t="n">
        <v>0.1438313701177931</v>
      </c>
      <c r="AE42" s="2" t="n">
        <v>0.1291309669522644</v>
      </c>
      <c r="AF42" s="2" t="n">
        <v>11.79028425897819</v>
      </c>
      <c r="AG42" s="2" t="n">
        <v>0.5675675675675691</v>
      </c>
      <c r="AH42" s="2" t="n">
        <v>0.7922885025931178</v>
      </c>
      <c r="AI42" s="2" t="n">
        <v>4</v>
      </c>
      <c r="AJ42" s="2" t="n">
        <v>0.1589044322598376</v>
      </c>
      <c r="AK42" s="2" t="n">
        <v>75.39389693440134</v>
      </c>
      <c r="AL42" s="2" t="n">
        <v>0.05273071467720754</v>
      </c>
      <c r="AM42" s="2" t="n">
        <v>230897.00419</v>
      </c>
    </row>
    <row r="43">
      <c r="A43" s="2" t="n">
        <v>42</v>
      </c>
      <c r="B43" s="2" t="inlineStr">
        <is>
          <t>NAORIS_USDT_PERP</t>
        </is>
      </c>
      <c r="C43" s="2" t="inlineStr">
        <is>
          <t>做空</t>
        </is>
      </c>
      <c r="D43" s="7" t="n">
        <v>46271.77777777778</v>
      </c>
      <c r="E43" s="17" t="n">
        <v>0.03484</v>
      </c>
      <c r="F43" s="17" t="n">
        <v>0.0334464</v>
      </c>
      <c r="G43" s="17" t="n">
        <v>0.036582</v>
      </c>
      <c r="H43" s="7" t="n">
        <v>46271.84027777778</v>
      </c>
      <c r="I43" s="17" t="n">
        <v>0.036582</v>
      </c>
      <c r="J43" s="2" t="inlineStr">
        <is>
          <t>止損</t>
        </is>
      </c>
      <c r="K43" s="5">
        <f>(H43-D43)*24</f>
        <v/>
      </c>
      <c r="L43" s="4">
        <f>IF(C43="做多",I43/E43-1,1-I43/E43)-2*參數!$B$7</f>
        <v/>
      </c>
      <c r="M43" s="2" t="inlineStr"/>
      <c r="N43" s="4" t="n">
        <v>-0.02817294281729421</v>
      </c>
      <c r="O43" s="4" t="n">
        <v>0.0167881717094576</v>
      </c>
      <c r="P43" s="4" t="n">
        <v>0.1280541686172243</v>
      </c>
      <c r="Q43" s="19" t="n">
        <v>661666</v>
      </c>
      <c r="R43" s="19" t="n">
        <v>256120.62239</v>
      </c>
      <c r="S43" s="4" t="n">
        <v>0.01349024110218155</v>
      </c>
      <c r="T43" s="4" t="n">
        <v>0.05</v>
      </c>
      <c r="U43" s="16" t="n">
        <v>12.66951485102637</v>
      </c>
      <c r="V43" s="16" t="n">
        <v>0.9268292682926828</v>
      </c>
      <c r="W43" s="4" t="n">
        <v>-0.1353045835804458</v>
      </c>
      <c r="X43" s="4" t="n">
        <v>-0.15862986365148</v>
      </c>
      <c r="Y43" s="4" t="n"/>
      <c r="Z43" s="4" t="n"/>
      <c r="AA43" s="4" t="n">
        <v>0.04</v>
      </c>
      <c r="AB43" s="4" t="n">
        <v>0.05</v>
      </c>
      <c r="AC43" s="4">
        <f>(AB43+2*參數!$B$7)/(AA43+AB43)</f>
        <v/>
      </c>
      <c r="AD43" s="2" t="n">
        <v>0.1419206817436907</v>
      </c>
      <c r="AE43" s="2" t="n">
        <v>0.06642179369452106</v>
      </c>
      <c r="AF43" s="2" t="n">
        <v>12.66951485102637</v>
      </c>
      <c r="AG43" s="2" t="n">
        <v>0.07317073170731721</v>
      </c>
      <c r="AH43" s="2" t="n">
        <v>1</v>
      </c>
      <c r="AI43" s="2" t="n">
        <v>9</v>
      </c>
      <c r="AJ43" s="2" t="n">
        <v>0.1280541686172243</v>
      </c>
      <c r="AK43" s="2" t="n">
        <v>76.3793746077254</v>
      </c>
      <c r="AL43" s="2" t="n">
        <v>0.05815593273394205</v>
      </c>
      <c r="AM43" s="2" t="n">
        <v>256120.62239</v>
      </c>
    </row>
    <row r="44">
      <c r="A44" s="2" t="n">
        <v>43</v>
      </c>
      <c r="B44" s="2" t="inlineStr">
        <is>
          <t>LAYER_USDT_PERP</t>
        </is>
      </c>
      <c r="C44" s="2" t="inlineStr">
        <is>
          <t>做空</t>
        </is>
      </c>
      <c r="D44" s="7" t="n">
        <v>46272</v>
      </c>
      <c r="E44" s="17" t="n">
        <v>0.0881</v>
      </c>
      <c r="F44" s="17" t="n">
        <v>0.084576</v>
      </c>
      <c r="G44" s="17" t="n">
        <v>0.092505</v>
      </c>
      <c r="H44" s="7" t="n">
        <v>46272.01041666666</v>
      </c>
      <c r="I44" s="17" t="n">
        <v>0.084576</v>
      </c>
      <c r="J44" s="2" t="inlineStr">
        <is>
          <t>止盈</t>
        </is>
      </c>
      <c r="K44" s="5">
        <f>(H44-D44)*24</f>
        <v/>
      </c>
      <c r="L44" s="4">
        <f>IF(C44="做多",I44/E44-1,1-I44/E44)-2*參數!$B$7</f>
        <v/>
      </c>
      <c r="M44" s="2" t="inlineStr"/>
      <c r="N44" s="4" t="n">
        <v>0.002275312855517519</v>
      </c>
      <c r="O44" s="4" t="n">
        <v>0.02105749628249218</v>
      </c>
      <c r="P44" s="4" t="n">
        <v>0.2313282901518194</v>
      </c>
      <c r="Q44" s="19" t="n">
        <v>277488.7000000002</v>
      </c>
      <c r="R44" s="19" t="n">
        <v>63278.17664</v>
      </c>
      <c r="S44" s="4" t="n">
        <v>0.04</v>
      </c>
      <c r="T44" s="4" t="n">
        <v>0.01816118047673099</v>
      </c>
      <c r="U44" s="16" t="n">
        <v>24.121896037269</v>
      </c>
      <c r="V44" s="16" t="n">
        <v>0.444444444444447</v>
      </c>
      <c r="W44" s="4" t="n">
        <v>-0.2026975372686071</v>
      </c>
      <c r="X44" s="4" t="n">
        <v>-0.2621776504297995</v>
      </c>
      <c r="Y44" s="4" t="n"/>
      <c r="Z44" s="4" t="n"/>
      <c r="AA44" s="4" t="n">
        <v>0.04</v>
      </c>
      <c r="AB44" s="4" t="n">
        <v>0.05</v>
      </c>
      <c r="AC44" s="4">
        <f>(AB44+2*參數!$B$7)/(AA44+AB44)</f>
        <v/>
      </c>
      <c r="AD44" s="2" t="n">
        <v>0.1889338731443995</v>
      </c>
      <c r="AE44" s="2" t="n">
        <v>0.1699867197875164</v>
      </c>
      <c r="AF44" s="2" t="n">
        <v>24.121896037269</v>
      </c>
      <c r="AG44" s="2" t="n">
        <v>0.555555555555553</v>
      </c>
      <c r="AH44" s="2" t="n">
        <v>0.3449373516892423</v>
      </c>
      <c r="AI44" s="2" t="n">
        <v>12</v>
      </c>
      <c r="AJ44" s="2" t="n">
        <v>0.2313282901518194</v>
      </c>
      <c r="AK44" s="2" t="n">
        <v>90.63916744268863</v>
      </c>
      <c r="AL44" s="2" t="n">
        <v>0.07294530688293843</v>
      </c>
      <c r="AM44" s="2" t="n">
        <v>63278.17664</v>
      </c>
    </row>
    <row r="45">
      <c r="A45" s="2" t="n">
        <v>44</v>
      </c>
      <c r="B45" s="2" t="inlineStr">
        <is>
          <t>ORCA_USDT_PERP</t>
        </is>
      </c>
      <c r="C45" s="2" t="inlineStr">
        <is>
          <t>做空</t>
        </is>
      </c>
      <c r="D45" s="7" t="n">
        <v>46272.40972222222</v>
      </c>
      <c r="E45" s="17" t="n">
        <v>1.642</v>
      </c>
      <c r="F45" s="17" t="n">
        <v>1.57632</v>
      </c>
      <c r="G45" s="17" t="n">
        <v>1.7241</v>
      </c>
      <c r="H45" s="7" t="n">
        <v>46272.48611111111</v>
      </c>
      <c r="I45" s="17" t="n">
        <v>1.57632</v>
      </c>
      <c r="J45" s="2" t="inlineStr">
        <is>
          <t>止盈</t>
        </is>
      </c>
      <c r="K45" s="5">
        <f>(H45-D45)*24</f>
        <v/>
      </c>
      <c r="L45" s="4">
        <f>IF(C45="做多",I45/E45-1,1-I45/E45)-2*參數!$B$7</f>
        <v/>
      </c>
      <c r="M45" s="2" t="inlineStr"/>
      <c r="N45" s="4" t="n">
        <v>-0.00545124167171418</v>
      </c>
      <c r="O45" s="4" t="n">
        <v>0.02019067274685428</v>
      </c>
      <c r="P45" s="4" t="n">
        <v>0.1677655460566281</v>
      </c>
      <c r="Q45" s="19" t="n">
        <v>9045.600000000013</v>
      </c>
      <c r="R45" s="19" t="n">
        <v>353262.3417</v>
      </c>
      <c r="S45" s="4" t="n">
        <v>0.04</v>
      </c>
      <c r="T45" s="4" t="n">
        <v>0.03654080389768577</v>
      </c>
      <c r="U45" s="16" t="n">
        <v>24.88139333023604</v>
      </c>
      <c r="V45" s="16" t="n">
        <v>0.8809523809523836</v>
      </c>
      <c r="W45" s="4" t="n">
        <v>-0.1460238138444143</v>
      </c>
      <c r="X45" s="4" t="n">
        <v>-0.263076923076923</v>
      </c>
      <c r="Y45" s="4" t="n"/>
      <c r="Z45" s="4" t="n"/>
      <c r="AA45" s="4" t="n">
        <v>0.04</v>
      </c>
      <c r="AB45" s="4" t="n">
        <v>0.05</v>
      </c>
      <c r="AC45" s="4">
        <f>(AB45+2*參數!$B$7)/(AA45+AB45)</f>
        <v/>
      </c>
      <c r="AD45" s="2" t="n">
        <v>0.1661931818181819</v>
      </c>
      <c r="AE45" s="2" t="n">
        <v>0.08597883597883582</v>
      </c>
      <c r="AF45" s="2" t="n">
        <v>24.88139333023604</v>
      </c>
      <c r="AG45" s="2" t="n">
        <v>0.1190476190476164</v>
      </c>
      <c r="AH45" s="2" t="n">
        <v>1</v>
      </c>
      <c r="AI45" s="2" t="n">
        <v>7</v>
      </c>
      <c r="AJ45" s="2" t="n">
        <v>0.1677655460566281</v>
      </c>
      <c r="AK45" s="2" t="n">
        <v>79.32977542078486</v>
      </c>
      <c r="AL45" s="2" t="n">
        <v>0.06994254207309576</v>
      </c>
      <c r="AM45" s="2" t="n">
        <v>353262.3417</v>
      </c>
    </row>
    <row r="46">
      <c r="A46" s="2" t="n">
        <v>45</v>
      </c>
      <c r="B46" s="2" t="inlineStr">
        <is>
          <t>CFG_USDT_PERP</t>
        </is>
      </c>
      <c r="C46" s="2" t="inlineStr">
        <is>
          <t>做空</t>
        </is>
      </c>
      <c r="D46" s="7" t="n">
        <v>46272.47916666666</v>
      </c>
      <c r="E46" s="17" t="n">
        <v>0.1336</v>
      </c>
      <c r="F46" s="17" t="n">
        <v>0.128256</v>
      </c>
      <c r="G46" s="17" t="n">
        <v>0.14028</v>
      </c>
      <c r="H46" s="7" t="n">
        <v>46272.49305555555</v>
      </c>
      <c r="I46" s="17" t="n">
        <v>0.128256</v>
      </c>
      <c r="J46" s="2" t="inlineStr">
        <is>
          <t>止盈</t>
        </is>
      </c>
      <c r="K46" s="5">
        <f>(H46-D46)*24</f>
        <v/>
      </c>
      <c r="L46" s="4">
        <f>IF(C46="做多",I46/E46-1,1-I46/E46)-2*參數!$B$7</f>
        <v/>
      </c>
      <c r="M46" s="2" t="inlineStr"/>
      <c r="N46" s="4" t="n">
        <v>-0.0132939438700147</v>
      </c>
      <c r="O46" s="4" t="n">
        <v>0.02076264359473402</v>
      </c>
      <c r="P46" s="4" t="n">
        <v>0.2443871789000618</v>
      </c>
      <c r="Q46" s="19" t="n">
        <v>71122</v>
      </c>
      <c r="R46" s="19" t="n">
        <v>92539.0364</v>
      </c>
      <c r="S46" s="4" t="n">
        <v>0.04</v>
      </c>
      <c r="T46" s="4" t="n">
        <v>0.02844311377245501</v>
      </c>
      <c r="U46" s="16" t="n">
        <v>39.05839701662002</v>
      </c>
      <c r="V46" s="16" t="n">
        <v>0.6862745098039231</v>
      </c>
      <c r="W46" s="4" t="n">
        <v>-0.2114727191940442</v>
      </c>
      <c r="X46" s="4" t="n">
        <v>-0.3034146341463415</v>
      </c>
      <c r="Y46" s="4" t="n"/>
      <c r="Z46" s="4" t="n"/>
      <c r="AA46" s="4" t="n">
        <v>0.04</v>
      </c>
      <c r="AB46" s="4" t="n">
        <v>0.05</v>
      </c>
      <c r="AC46" s="4">
        <f>(AB46+2*參數!$B$7)/(AA46+AB46)</f>
        <v/>
      </c>
      <c r="AD46" s="2" t="n">
        <v>0.1823008849557521</v>
      </c>
      <c r="AE46" s="2" t="n">
        <v>0.1379897785349233</v>
      </c>
      <c r="AF46" s="2" t="n">
        <v>39.05839701662002</v>
      </c>
      <c r="AG46" s="2" t="n">
        <v>0.3137254901960769</v>
      </c>
      <c r="AH46" s="2" t="n">
        <v>0.9639956713897064</v>
      </c>
      <c r="AI46" s="2" t="n">
        <v>11</v>
      </c>
      <c r="AJ46" s="2" t="n">
        <v>0.2443871789000618</v>
      </c>
      <c r="AK46" s="2" t="n">
        <v>92.82257995859234</v>
      </c>
      <c r="AL46" s="2" t="n">
        <v>0.07192390721104767</v>
      </c>
      <c r="AM46" s="2" t="n">
        <v>92539.0364</v>
      </c>
    </row>
    <row r="47">
      <c r="A47" s="2" t="n">
        <v>46</v>
      </c>
      <c r="B47" s="2" t="inlineStr">
        <is>
          <t>IOST_USDT_PERP</t>
        </is>
      </c>
      <c r="C47" s="2" t="inlineStr">
        <is>
          <t>做空</t>
        </is>
      </c>
      <c r="D47" s="7" t="n">
        <v>46272.61458333334</v>
      </c>
      <c r="E47" s="17" t="n">
        <v>0.000892</v>
      </c>
      <c r="F47" s="17" t="n">
        <v>0.0008563199999999999</v>
      </c>
      <c r="G47" s="17" t="n">
        <v>0.0009366</v>
      </c>
      <c r="H47" s="7" t="n">
        <v>46272.62152777778</v>
      </c>
      <c r="I47" s="17" t="n">
        <v>0.0008563199999999999</v>
      </c>
      <c r="J47" s="2" t="inlineStr">
        <is>
          <t>止盈</t>
        </is>
      </c>
      <c r="K47" s="5">
        <f>(H47-D47)*24</f>
        <v/>
      </c>
      <c r="L47" s="4">
        <f>IF(C47="做多",I47/E47-1,1-I47/E47)-2*參數!$B$7</f>
        <v/>
      </c>
      <c r="M47" s="2" t="inlineStr"/>
      <c r="N47" s="4" t="n">
        <v>-0.01870187018701863</v>
      </c>
      <c r="O47" s="4" t="n">
        <v>0.02103225923861882</v>
      </c>
      <c r="P47" s="4" t="n">
        <v>0.213020936623509</v>
      </c>
      <c r="Q47" s="19" t="n">
        <v>43217625</v>
      </c>
      <c r="R47" s="19" t="n">
        <v>233256.51619</v>
      </c>
      <c r="S47" s="4" t="n">
        <v>0.04</v>
      </c>
      <c r="T47" s="4" t="n">
        <v>0</v>
      </c>
      <c r="U47" s="16" t="n">
        <v>7.501532882372214</v>
      </c>
      <c r="V47" s="16" t="n">
        <v>0.5405405405405415</v>
      </c>
      <c r="W47" s="4" t="n">
        <v>-0.1990536616840519</v>
      </c>
      <c r="X47" s="4" t="n">
        <v>-0.1554404145077719</v>
      </c>
      <c r="Y47" s="4" t="n"/>
      <c r="Z47" s="4" t="n"/>
      <c r="AA47" s="4" t="n">
        <v>0.04</v>
      </c>
      <c r="AB47" s="4" t="n">
        <v>0.05</v>
      </c>
      <c r="AC47" s="4">
        <f>(AB47+2*參數!$B$7)/(AA47+AB47)</f>
        <v/>
      </c>
      <c r="AD47" s="2" t="n">
        <v>0.1435897435897435</v>
      </c>
      <c r="AE47" s="2" t="n">
        <v>0.1291139240506329</v>
      </c>
      <c r="AF47" s="2" t="n">
        <v>7.501532882372214</v>
      </c>
      <c r="AG47" s="2" t="n">
        <v>0.4594594594594585</v>
      </c>
      <c r="AH47" s="2" t="n">
        <v>0.3004494007521215</v>
      </c>
      <c r="AI47" s="2" t="n">
        <v>9</v>
      </c>
      <c r="AJ47" s="2" t="n">
        <v>0.213020936623509</v>
      </c>
      <c r="AK47" s="2" t="n">
        <v>74.85630070644272</v>
      </c>
      <c r="AL47" s="2" t="n">
        <v>0.0728578831984954</v>
      </c>
      <c r="AM47" s="2" t="n">
        <v>233256.51619</v>
      </c>
    </row>
    <row r="48">
      <c r="A48" s="2" t="n">
        <v>47</v>
      </c>
      <c r="B48" s="2" t="inlineStr">
        <is>
          <t>CAP_USDT_PERP</t>
        </is>
      </c>
      <c r="C48" s="2" t="inlineStr">
        <is>
          <t>做空</t>
        </is>
      </c>
      <c r="D48" s="7" t="n">
        <v>46272.72569444445</v>
      </c>
      <c r="E48" s="17" t="n">
        <v>0.04997</v>
      </c>
      <c r="F48" s="17" t="n">
        <v>0.0479712</v>
      </c>
      <c r="G48" s="17" t="n">
        <v>0.0524685</v>
      </c>
      <c r="H48" s="7" t="n">
        <v>46272.79513888889</v>
      </c>
      <c r="I48" s="17" t="n">
        <v>0.0479712</v>
      </c>
      <c r="J48" s="2" t="inlineStr">
        <is>
          <t>止盈</t>
        </is>
      </c>
      <c r="K48" s="5">
        <f>(H48-D48)*24</f>
        <v/>
      </c>
      <c r="L48" s="4">
        <f>IF(C48="做多",I48/E48-1,1-I48/E48)-2*參數!$B$7</f>
        <v/>
      </c>
      <c r="M48" s="2" t="inlineStr"/>
      <c r="N48" s="4" t="n">
        <v>0.007053607416364516</v>
      </c>
      <c r="O48" s="4" t="n">
        <v>0.01745629485814132</v>
      </c>
      <c r="P48" s="4" t="n">
        <v>0.1543148204829088</v>
      </c>
      <c r="Q48" s="19" t="n">
        <v>644814</v>
      </c>
      <c r="R48" s="19" t="n">
        <v>80672.94287</v>
      </c>
      <c r="S48" s="4" t="n">
        <v>0.04</v>
      </c>
      <c r="T48" s="4" t="n">
        <v>0.004202521512907786</v>
      </c>
      <c r="U48" s="16" t="n">
        <v>18.36242080304738</v>
      </c>
      <c r="V48" s="16" t="n">
        <v>0.538461538461537</v>
      </c>
      <c r="W48" s="4" t="n">
        <v>-0.1477013817433483</v>
      </c>
      <c r="X48" s="4" t="n">
        <v>-0.1338779214885411</v>
      </c>
      <c r="Y48" s="4" t="n"/>
      <c r="Z48" s="4" t="n"/>
      <c r="AA48" s="4" t="n">
        <v>0.04</v>
      </c>
      <c r="AB48" s="4" t="n">
        <v>0.05</v>
      </c>
      <c r="AC48" s="4">
        <f>(AB48+2*參數!$B$7)/(AA48+AB48)</f>
        <v/>
      </c>
      <c r="AD48" s="2" t="n">
        <v>0.1442637966567437</v>
      </c>
      <c r="AE48" s="2" t="n">
        <v>0.05891078618351342</v>
      </c>
      <c r="AF48" s="2" t="n">
        <v>18.36242080304738</v>
      </c>
      <c r="AG48" s="2" t="n">
        <v>0.4615384615384631</v>
      </c>
      <c r="AH48" s="2" t="n">
        <v>0.6673277648524607</v>
      </c>
      <c r="AI48" s="2" t="n">
        <v>12</v>
      </c>
      <c r="AJ48" s="2" t="n">
        <v>0.1543148204829088</v>
      </c>
      <c r="AK48" s="2" t="n">
        <v>80.97903918686539</v>
      </c>
      <c r="AL48" s="2" t="n">
        <v>0.06047037921240821</v>
      </c>
      <c r="AM48" s="2" t="n">
        <v>80672.94287</v>
      </c>
    </row>
    <row r="49">
      <c r="A49" s="2" t="n">
        <v>48</v>
      </c>
      <c r="B49" s="2" t="inlineStr">
        <is>
          <t>4_USDT_PERP</t>
        </is>
      </c>
      <c r="C49" s="2" t="inlineStr">
        <is>
          <t>做空</t>
        </is>
      </c>
      <c r="D49" s="7" t="n">
        <v>46272.78125</v>
      </c>
      <c r="E49" s="17" t="n">
        <v>0.02664</v>
      </c>
      <c r="F49" s="17" t="n">
        <v>0.0255744</v>
      </c>
      <c r="G49" s="17" t="n">
        <v>0.027972</v>
      </c>
      <c r="H49" s="7" t="n">
        <v>46272.79513888889</v>
      </c>
      <c r="I49" s="17" t="n">
        <v>0.0255744</v>
      </c>
      <c r="J49" s="2" t="inlineStr">
        <is>
          <t>止盈</t>
        </is>
      </c>
      <c r="K49" s="5">
        <f>(H49-D49)*24</f>
        <v/>
      </c>
      <c r="L49" s="4">
        <f>IF(C49="做多",I49/E49-1,1-I49/E49)-2*參數!$B$7</f>
        <v/>
      </c>
      <c r="M49" s="2" t="inlineStr"/>
      <c r="N49" s="4" t="n">
        <v>-0.0147928994082841</v>
      </c>
      <c r="O49" s="4" t="n">
        <v>0.01778820519980939</v>
      </c>
      <c r="P49" s="4" t="n">
        <v>0.1039893910929384</v>
      </c>
      <c r="Q49" s="19" t="n">
        <v>997907</v>
      </c>
      <c r="R49" s="19" t="n">
        <v>495654.04866</v>
      </c>
      <c r="S49" s="4" t="n">
        <v>0.04</v>
      </c>
      <c r="T49" s="4" t="n">
        <v>0.01876876876876876</v>
      </c>
      <c r="U49" s="16" t="n">
        <v>6.48580868019858</v>
      </c>
      <c r="V49" s="16" t="n">
        <v>0.8421052631578945</v>
      </c>
      <c r="W49" s="4" t="n">
        <v>-0.1590974355404335</v>
      </c>
      <c r="X49" s="4" t="n">
        <v>-0.1448216587881392</v>
      </c>
      <c r="Y49" s="4" t="n"/>
      <c r="Z49" s="4" t="n"/>
      <c r="AA49" s="4" t="n">
        <v>0.04</v>
      </c>
      <c r="AB49" s="4" t="n">
        <v>0.05</v>
      </c>
      <c r="AC49" s="4">
        <f>(AB49+2*參數!$B$7)/(AA49+AB49)</f>
        <v/>
      </c>
      <c r="AD49" s="2" t="n">
        <v>0.1477811288237827</v>
      </c>
      <c r="AE49" s="2" t="n">
        <v>0.08073022312373235</v>
      </c>
      <c r="AF49" s="2" t="n">
        <v>6.48580868019858</v>
      </c>
      <c r="AG49" s="2" t="n">
        <v>0.1578947368421056</v>
      </c>
      <c r="AH49" s="2" t="n">
        <v>0.2870383753245699</v>
      </c>
      <c r="AI49" s="2" t="n">
        <v>5</v>
      </c>
      <c r="AJ49" s="2" t="n">
        <v>0.1039893910929384</v>
      </c>
      <c r="AK49" s="2" t="n">
        <v>53.55647227336242</v>
      </c>
      <c r="AL49" s="2" t="n">
        <v>0.06162015036306152</v>
      </c>
      <c r="AM49" s="2" t="n">
        <v>495654.04866</v>
      </c>
    </row>
    <row r="50">
      <c r="A50" s="2" t="n">
        <v>49</v>
      </c>
      <c r="B50" s="2" t="inlineStr">
        <is>
          <t>LUNA2_USDT_PERP</t>
        </is>
      </c>
      <c r="C50" s="2" t="inlineStr">
        <is>
          <t>做空</t>
        </is>
      </c>
      <c r="D50" s="7" t="n">
        <v>46272.83680555555</v>
      </c>
      <c r="E50" s="17" t="n">
        <v>0.05437</v>
      </c>
      <c r="F50" s="17" t="n">
        <v>0.0521952</v>
      </c>
      <c r="G50" s="17" t="n">
        <v>0.05708850000000001</v>
      </c>
      <c r="H50" s="7" t="n">
        <v>46272.85763888889</v>
      </c>
      <c r="I50" s="17" t="n">
        <v>0.0521952</v>
      </c>
      <c r="J50" s="2" t="inlineStr">
        <is>
          <t>止盈</t>
        </is>
      </c>
      <c r="K50" s="5">
        <f>(H50-D50)*24</f>
        <v/>
      </c>
      <c r="L50" s="4">
        <f>IF(C50="做多",I50/E50-1,1-I50/E50)-2*參數!$B$7</f>
        <v/>
      </c>
      <c r="M50" s="2" t="inlineStr"/>
      <c r="N50" s="4" t="n">
        <v>-0.01521463502988585</v>
      </c>
      <c r="O50" s="4" t="n">
        <v>0.02192157783561765</v>
      </c>
      <c r="P50" s="4" t="n">
        <v>0.1489836063264187</v>
      </c>
      <c r="Q50" s="19" t="n">
        <v>-136373</v>
      </c>
      <c r="R50" s="19" t="n">
        <v>128595.87992</v>
      </c>
      <c r="S50" s="4" t="n">
        <v>0.04</v>
      </c>
      <c r="T50" s="4" t="n">
        <v>0.009196247930844281</v>
      </c>
      <c r="U50" s="16" t="n">
        <v>18.27547013862815</v>
      </c>
      <c r="V50" s="16" t="n">
        <v>0.7003610108303235</v>
      </c>
      <c r="W50" s="4" t="n">
        <v>-0.142402091076993</v>
      </c>
      <c r="X50" s="4" t="n">
        <v>-0.1509314140558848</v>
      </c>
      <c r="Y50" s="4" t="n"/>
      <c r="Z50" s="4" t="n"/>
      <c r="AA50" s="4" t="n">
        <v>0.04</v>
      </c>
      <c r="AB50" s="4" t="n">
        <v>0.05</v>
      </c>
      <c r="AC50" s="4">
        <f>(AB50+2*參數!$B$7)/(AA50+AB50)</f>
        <v/>
      </c>
      <c r="AD50" s="2" t="n">
        <v>0.1617521367521368</v>
      </c>
      <c r="AE50" s="2" t="n">
        <v>0.08783513405362164</v>
      </c>
      <c r="AF50" s="2" t="n">
        <v>18.27547013862815</v>
      </c>
      <c r="AG50" s="2" t="n">
        <v>0.2996389891696765</v>
      </c>
      <c r="AH50" s="2" t="n">
        <v>0.3893664109053145</v>
      </c>
      <c r="AI50" s="2" t="n">
        <v>9</v>
      </c>
      <c r="AJ50" s="2" t="n">
        <v>0.1489836063264187</v>
      </c>
      <c r="AK50" s="2" t="n">
        <v>69.50741631616563</v>
      </c>
      <c r="AL50" s="2" t="n">
        <v>0.07593857318673111</v>
      </c>
      <c r="AM50" s="2" t="n">
        <v>128595.87992</v>
      </c>
    </row>
    <row r="51">
      <c r="A51" s="2" t="n">
        <v>50</v>
      </c>
      <c r="B51" s="2" t="inlineStr">
        <is>
          <t>PIEVERSE_USDT_PERP</t>
        </is>
      </c>
      <c r="C51" s="2" t="inlineStr">
        <is>
          <t>做空</t>
        </is>
      </c>
      <c r="D51" s="7" t="n">
        <v>46272.91319444445</v>
      </c>
      <c r="E51" s="17" t="n">
        <v>1.3018</v>
      </c>
      <c r="F51" s="17" t="n">
        <v>1.249728</v>
      </c>
      <c r="G51" s="17" t="n">
        <v>1.36689</v>
      </c>
      <c r="H51" s="7" t="n">
        <v>46272.96527777778</v>
      </c>
      <c r="I51" s="17" t="n">
        <v>1.249728</v>
      </c>
      <c r="J51" s="2" t="inlineStr">
        <is>
          <t>止盈</t>
        </is>
      </c>
      <c r="K51" s="5">
        <f>(H51-D51)*24</f>
        <v/>
      </c>
      <c r="L51" s="4">
        <f>IF(C51="做多",I51/E51-1,1-I51/E51)-2*參數!$B$7</f>
        <v/>
      </c>
      <c r="M51" s="2" t="inlineStr"/>
      <c r="N51" s="4" t="n">
        <v>0.001230579910783014</v>
      </c>
      <c r="O51" s="4" t="n">
        <v>0.01216894542003848</v>
      </c>
      <c r="P51" s="4" t="n">
        <v>0.187110756652402</v>
      </c>
      <c r="Q51" s="19" t="n">
        <v>114340</v>
      </c>
      <c r="R51" s="19" t="n">
        <v>321063.4837</v>
      </c>
      <c r="S51" s="4" t="n">
        <v>0.04</v>
      </c>
      <c r="T51" s="4" t="n">
        <v>0.009755722845291137</v>
      </c>
      <c r="U51" s="16" t="n">
        <v>22.3709450262398</v>
      </c>
      <c r="V51" s="16" t="n">
        <v>0.7083333333333325</v>
      </c>
      <c r="W51" s="4" t="n">
        <v>-0.1498049800740511</v>
      </c>
      <c r="X51" s="4" t="n">
        <v>-0.275899245320004</v>
      </c>
      <c r="Y51" s="4" t="n"/>
      <c r="Z51" s="4" t="n"/>
      <c r="AA51" s="4" t="n">
        <v>0.04</v>
      </c>
      <c r="AB51" s="4" t="n">
        <v>0.05</v>
      </c>
      <c r="AC51" s="4">
        <f>(AB51+2*參數!$B$7)/(AA51+AB51)</f>
        <v/>
      </c>
      <c r="AD51" s="2" t="n">
        <v>0.1441378098084023</v>
      </c>
      <c r="AE51" s="2" t="n">
        <v>0.07845248943749472</v>
      </c>
      <c r="AF51" s="2" t="n">
        <v>22.3709450262398</v>
      </c>
      <c r="AG51" s="2" t="n">
        <v>0.2916666666666675</v>
      </c>
      <c r="AH51" s="2" t="n">
        <v>1</v>
      </c>
      <c r="AI51" s="2" t="n">
        <v>12</v>
      </c>
      <c r="AJ51" s="2" t="n">
        <v>0.187110756652402</v>
      </c>
      <c r="AK51" s="2" t="n">
        <v>86.24849059918861</v>
      </c>
      <c r="AL51" s="2" t="n">
        <v>0.04215446348407849</v>
      </c>
      <c r="AM51" s="2" t="n">
        <v>321063.4837</v>
      </c>
    </row>
    <row r="52">
      <c r="A52" s="2" t="n">
        <v>51</v>
      </c>
      <c r="B52" s="2" t="inlineStr">
        <is>
          <t>HAEDAL_USDT_PERP</t>
        </is>
      </c>
      <c r="C52" s="2" t="inlineStr">
        <is>
          <t>做空</t>
        </is>
      </c>
      <c r="D52" s="7" t="n">
        <v>46273.6875</v>
      </c>
      <c r="E52" s="17" t="n">
        <v>0.02249</v>
      </c>
      <c r="F52" s="17" t="n">
        <v>0.0215904</v>
      </c>
      <c r="G52" s="17" t="n">
        <v>0.0236145</v>
      </c>
      <c r="H52" s="7" t="n">
        <v>46273.72916666666</v>
      </c>
      <c r="I52" s="17" t="n">
        <v>0.0215904</v>
      </c>
      <c r="J52" s="2" t="inlineStr">
        <is>
          <t>止盈</t>
        </is>
      </c>
      <c r="K52" s="5">
        <f>(H52-D52)*24</f>
        <v/>
      </c>
      <c r="L52" s="4">
        <f>IF(C52="做多",I52/E52-1,1-I52/E52)-2*參數!$B$7</f>
        <v/>
      </c>
      <c r="M52" s="2" t="inlineStr"/>
      <c r="N52" s="4" t="n">
        <v>-0.03600514359194174</v>
      </c>
      <c r="O52" s="4" t="n">
        <v>0.030344582344676</v>
      </c>
      <c r="P52" s="4" t="n">
        <v>0.1990962791493294</v>
      </c>
      <c r="Q52" s="19" t="n">
        <v>-75587</v>
      </c>
      <c r="R52" s="19" t="n">
        <v>217534.25815</v>
      </c>
      <c r="S52" s="4" t="n">
        <v>0.04</v>
      </c>
      <c r="T52" s="4" t="n">
        <v>0.04224099599822151</v>
      </c>
      <c r="U52" s="16" t="n">
        <v>174.6045537288737</v>
      </c>
      <c r="V52" s="16" t="n">
        <v>0.6842105263157894</v>
      </c>
      <c r="W52" s="4" t="n">
        <v>-0.1772711806736986</v>
      </c>
      <c r="X52" s="4" t="n">
        <v>-0.2216186854970126</v>
      </c>
      <c r="Y52" s="4" t="n"/>
      <c r="Z52" s="4" t="n"/>
      <c r="AA52" s="4" t="n">
        <v>0.04</v>
      </c>
      <c r="AB52" s="4" t="n">
        <v>0.05</v>
      </c>
      <c r="AC52" s="4">
        <f>(AB52+2*參數!$B$7)/(AA52+AB52)</f>
        <v/>
      </c>
      <c r="AD52" s="2" t="n">
        <v>0.1527421834956433</v>
      </c>
      <c r="AE52" s="2" t="n">
        <v>0.122255489021956</v>
      </c>
      <c r="AF52" s="2" t="n">
        <v>174.6045537288737</v>
      </c>
      <c r="AG52" s="2" t="n">
        <v>0.3157894736842106</v>
      </c>
      <c r="AH52" s="2" t="n">
        <v>1</v>
      </c>
      <c r="AI52" s="2" t="n">
        <v>10</v>
      </c>
      <c r="AJ52" s="2" t="n">
        <v>0.1990962791493294</v>
      </c>
      <c r="AK52" s="2" t="n">
        <v>91.72629315568176</v>
      </c>
      <c r="AL52" s="2" t="n">
        <v>0.1051167167108727</v>
      </c>
      <c r="AM52" s="2" t="n">
        <v>217534.25815</v>
      </c>
    </row>
    <row r="53">
      <c r="A53" s="2" t="n">
        <v>52</v>
      </c>
      <c r="B53" s="2" t="inlineStr">
        <is>
          <t>ON_USDT_PERP</t>
        </is>
      </c>
      <c r="C53" s="2" t="inlineStr">
        <is>
          <t>做空</t>
        </is>
      </c>
      <c r="D53" s="7" t="n">
        <v>46273.75347222222</v>
      </c>
      <c r="E53" s="17" t="n">
        <v>0.211</v>
      </c>
      <c r="F53" s="17" t="n">
        <v>0.20256</v>
      </c>
      <c r="G53" s="17" t="n">
        <v>0.22155</v>
      </c>
      <c r="H53" s="7" t="n">
        <v>46273.76388888889</v>
      </c>
      <c r="I53" s="17" t="n">
        <v>0.20256</v>
      </c>
      <c r="J53" s="2" t="inlineStr">
        <is>
          <t>止盈</t>
        </is>
      </c>
      <c r="K53" s="5">
        <f>(H53-D53)*24</f>
        <v/>
      </c>
      <c r="L53" s="4">
        <f>IF(C53="做多",I53/E53-1,1-I53/E53)-2*參數!$B$7</f>
        <v/>
      </c>
      <c r="M53" s="2" t="inlineStr"/>
      <c r="N53" s="4" t="n">
        <v>0.001804197132276197</v>
      </c>
      <c r="O53" s="4" t="n">
        <v>0.01533853607999465</v>
      </c>
      <c r="P53" s="4" t="n">
        <v>0.2027969303976283</v>
      </c>
      <c r="Q53" s="19" t="n">
        <v>223777</v>
      </c>
      <c r="R53" s="19" t="n">
        <v>95985.15217999999</v>
      </c>
      <c r="S53" s="4" t="n">
        <v>0.04</v>
      </c>
      <c r="T53" s="4" t="n">
        <v>0.004502369668246464</v>
      </c>
      <c r="U53" s="16" t="n">
        <v>74.47545618613458</v>
      </c>
      <c r="V53" s="16" t="n">
        <v>0.601398601398602</v>
      </c>
      <c r="W53" s="4" t="n">
        <v>-0.1688248380263588</v>
      </c>
      <c r="X53" s="4" t="n">
        <v>-0.2210648148148147</v>
      </c>
      <c r="Y53" s="4" t="n"/>
      <c r="Z53" s="4" t="n"/>
      <c r="AA53" s="4" t="n">
        <v>0.04</v>
      </c>
      <c r="AB53" s="4" t="n">
        <v>0.05</v>
      </c>
      <c r="AC53" s="4">
        <f>(AB53+2*參數!$B$7)/(AA53+AB53)</f>
        <v/>
      </c>
      <c r="AD53" s="2" t="n">
        <v>0.1414660535569381</v>
      </c>
      <c r="AE53" s="2" t="n">
        <v>0.1175847457627119</v>
      </c>
      <c r="AF53" s="2" t="n">
        <v>74.47545618613458</v>
      </c>
      <c r="AG53" s="2" t="n">
        <v>0.398601398601398</v>
      </c>
      <c r="AH53" s="2" t="n">
        <v>1</v>
      </c>
      <c r="AI53" s="2" t="n">
        <v>8</v>
      </c>
      <c r="AJ53" s="2" t="n">
        <v>0.2027969303976283</v>
      </c>
      <c r="AK53" s="2" t="n">
        <v>77.37355476156911</v>
      </c>
      <c r="AL53" s="2" t="n">
        <v>0.05313424760855821</v>
      </c>
      <c r="AM53" s="2" t="n">
        <v>95985.15217999999</v>
      </c>
    </row>
    <row r="54">
      <c r="A54" s="2" t="n">
        <v>53</v>
      </c>
      <c r="B54" s="2" t="inlineStr">
        <is>
          <t>KAT_USDT_PERP</t>
        </is>
      </c>
      <c r="C54" s="2" t="inlineStr">
        <is>
          <t>做空</t>
        </is>
      </c>
      <c r="D54" s="7" t="n">
        <v>46274.48611111111</v>
      </c>
      <c r="E54" s="17" t="n">
        <v>0.006139</v>
      </c>
      <c r="F54" s="17" t="n">
        <v>0.00589344</v>
      </c>
      <c r="G54" s="17" t="n">
        <v>0.006445950000000001</v>
      </c>
      <c r="H54" s="7" t="n">
        <v>46274.50347222222</v>
      </c>
      <c r="I54" s="17" t="n">
        <v>0.00589344</v>
      </c>
      <c r="J54" s="2" t="inlineStr">
        <is>
          <t>止盈</t>
        </is>
      </c>
      <c r="K54" s="5">
        <f>(H54-D54)*24</f>
        <v/>
      </c>
      <c r="L54" s="4">
        <f>IF(C54="做多",I54/E54-1,1-I54/E54)-2*參數!$B$7</f>
        <v/>
      </c>
      <c r="M54" s="2" t="inlineStr"/>
      <c r="N54" s="4" t="n">
        <v>-0.01460674157303365</v>
      </c>
      <c r="O54" s="4" t="n">
        <v>0.02428278739376929</v>
      </c>
      <c r="P54" s="4" t="n">
        <v>0.2758252520503035</v>
      </c>
      <c r="Q54" s="19" t="n">
        <v>17136284</v>
      </c>
      <c r="R54" s="19" t="n">
        <v>165272.125795</v>
      </c>
      <c r="S54" s="4" t="n">
        <v>0.04</v>
      </c>
      <c r="T54" s="4" t="n">
        <v>0.02394526795895091</v>
      </c>
      <c r="U54" s="16" t="n">
        <v>45.4943858494041</v>
      </c>
      <c r="V54" s="16" t="n">
        <v>0.4591029023746693</v>
      </c>
      <c r="W54" s="4" t="n">
        <v>-0.2562361617575437</v>
      </c>
      <c r="X54" s="4" t="n">
        <v>-0.3114719077120274</v>
      </c>
      <c r="Y54" s="4" t="n"/>
      <c r="Z54" s="4" t="n"/>
      <c r="AA54" s="4" t="n">
        <v>0.04</v>
      </c>
      <c r="AB54" s="4" t="n">
        <v>0.05</v>
      </c>
      <c r="AC54" s="4">
        <f>(AB54+2*參數!$B$7)/(AA54+AB54)</f>
        <v/>
      </c>
      <c r="AD54" s="2" t="n">
        <v>0.2715410107705054</v>
      </c>
      <c r="AE54" s="2" t="n">
        <v>0.2270637617429543</v>
      </c>
      <c r="AF54" s="2" t="n">
        <v>45.4943858494041</v>
      </c>
      <c r="AG54" s="2" t="n">
        <v>0.5408970976253307</v>
      </c>
      <c r="AH54" s="2" t="n">
        <v>0.4860774396076513</v>
      </c>
      <c r="AI54" s="2" t="n">
        <v>12</v>
      </c>
      <c r="AJ54" s="2" t="n">
        <v>0.2758252520503035</v>
      </c>
      <c r="AK54" s="2" t="n">
        <v>90.51876007331751</v>
      </c>
      <c r="AL54" s="2" t="n">
        <v>0.08411804303080291</v>
      </c>
      <c r="AM54" s="2" t="n">
        <v>165272.125795</v>
      </c>
    </row>
    <row r="55">
      <c r="A55" s="2" t="n">
        <v>54</v>
      </c>
      <c r="B55" s="2" t="inlineStr">
        <is>
          <t>PROS_USDT_PERP</t>
        </is>
      </c>
      <c r="C55" s="2" t="inlineStr">
        <is>
          <t>做空</t>
        </is>
      </c>
      <c r="D55" s="7" t="n">
        <v>46274.51388888889</v>
      </c>
      <c r="E55" s="17" t="n">
        <v>0.5004999999999999</v>
      </c>
      <c r="F55" s="17" t="n">
        <v>0.4804799999999999</v>
      </c>
      <c r="G55" s="17" t="n">
        <v>0.525525</v>
      </c>
      <c r="H55" s="7" t="n">
        <v>46274.53125</v>
      </c>
      <c r="I55" s="17" t="n">
        <v>0.525525</v>
      </c>
      <c r="J55" s="2" t="inlineStr">
        <is>
          <t>止損</t>
        </is>
      </c>
      <c r="K55" s="5">
        <f>(H55-D55)*24</f>
        <v/>
      </c>
      <c r="L55" s="4">
        <f>IF(C55="做多",I55/E55-1,1-I55/E55)-2*參數!$B$7</f>
        <v/>
      </c>
      <c r="M55" s="2" t="inlineStr"/>
      <c r="N55" s="4" t="n">
        <v>-0.00969529085872578</v>
      </c>
      <c r="O55" s="4" t="n">
        <v>0.02433804920434951</v>
      </c>
      <c r="P55" s="4" t="n">
        <v>0.1411200303994677</v>
      </c>
      <c r="Q55" s="19" t="n">
        <v>-105147</v>
      </c>
      <c r="R55" s="19" t="n">
        <v>106307.0314</v>
      </c>
      <c r="S55" s="4" t="n">
        <v>0.01778221778221767</v>
      </c>
      <c r="T55" s="4" t="n">
        <v>0.05</v>
      </c>
      <c r="U55" s="16" t="n">
        <v>51.54589013471001</v>
      </c>
      <c r="V55" s="16" t="n">
        <v>0.4615384615384659</v>
      </c>
      <c r="W55" s="4" t="n">
        <v>-0.134951517955137</v>
      </c>
      <c r="X55" s="4" t="n">
        <v>-0.1550888529886914</v>
      </c>
      <c r="Y55" s="4" t="n"/>
      <c r="Z55" s="4" t="n"/>
      <c r="AA55" s="4" t="n">
        <v>0.04</v>
      </c>
      <c r="AB55" s="4" t="n">
        <v>0.05</v>
      </c>
      <c r="AC55" s="4">
        <f>(AB55+2*參數!$B$7)/(AA55+AB55)</f>
        <v/>
      </c>
      <c r="AD55" s="2" t="n">
        <v>0.166394779771615</v>
      </c>
      <c r="AE55" s="2" t="n">
        <v>0.1707602339181284</v>
      </c>
      <c r="AF55" s="2" t="n">
        <v>51.54589013471001</v>
      </c>
      <c r="AG55" s="2" t="n">
        <v>0.5384615384615341</v>
      </c>
      <c r="AH55" s="2" t="n">
        <v>0.2921806003037513</v>
      </c>
      <c r="AI55" s="2" t="n">
        <v>10</v>
      </c>
      <c r="AJ55" s="2" t="n">
        <v>0.1411200303994677</v>
      </c>
      <c r="AK55" s="2" t="n">
        <v>52.50860965668419</v>
      </c>
      <c r="AL55" s="2" t="n">
        <v>0.08430947555808929</v>
      </c>
      <c r="AM55" s="2" t="n">
        <v>106307.0314</v>
      </c>
    </row>
    <row r="56">
      <c r="A56" s="2" t="n">
        <v>55</v>
      </c>
      <c r="B56" s="2" t="inlineStr">
        <is>
          <t>PHA_USDT_PERP</t>
        </is>
      </c>
      <c r="C56" s="2" t="inlineStr">
        <is>
          <t>做空</t>
        </is>
      </c>
      <c r="D56" s="7" t="n">
        <v>46275.03472222222</v>
      </c>
      <c r="E56" s="17" t="n">
        <v>0.03342</v>
      </c>
      <c r="F56" s="17" t="n">
        <v>0.0320832</v>
      </c>
      <c r="G56" s="17" t="n">
        <v>0.035091</v>
      </c>
      <c r="H56" s="7" t="n">
        <v>46275.04861111111</v>
      </c>
      <c r="I56" s="17" t="n">
        <v>0.0320832</v>
      </c>
      <c r="J56" s="2" t="inlineStr">
        <is>
          <t>止盈</t>
        </is>
      </c>
      <c r="K56" s="5">
        <f>(H56-D56)*24</f>
        <v/>
      </c>
      <c r="L56" s="4">
        <f>IF(C56="做多",I56/E56-1,1-I56/E56)-2*參數!$B$7</f>
        <v/>
      </c>
      <c r="M56" s="2" t="inlineStr"/>
      <c r="N56" s="4" t="n">
        <v>-0.002388059701492695</v>
      </c>
      <c r="O56" s="4" t="n">
        <v>0.02018733177816259</v>
      </c>
      <c r="P56" s="4" t="n">
        <v>0.2218205748077193</v>
      </c>
      <c r="Q56" s="19" t="n">
        <v>941577</v>
      </c>
      <c r="R56" s="19" t="n">
        <v>230979.3289</v>
      </c>
      <c r="S56" s="4" t="n">
        <v>0.04</v>
      </c>
      <c r="T56" s="4" t="n">
        <v>0.0442848593656493</v>
      </c>
      <c r="U56" s="16" t="n">
        <v>2.804928032070223</v>
      </c>
      <c r="V56" s="16" t="n">
        <v>0.5405405405405433</v>
      </c>
      <c r="W56" s="4" t="n">
        <v>-0.1522508886674643</v>
      </c>
      <c r="X56" s="4" t="n">
        <v>-0.2923433874709975</v>
      </c>
      <c r="Y56" s="4" t="n"/>
      <c r="Z56" s="4" t="n"/>
      <c r="AA56" s="4" t="n">
        <v>0.04</v>
      </c>
      <c r="AB56" s="4" t="n">
        <v>0.05</v>
      </c>
      <c r="AC56" s="4">
        <f>(AB56+2*參數!$B$7)/(AA56+AB56)</f>
        <v/>
      </c>
      <c r="AD56" s="2" t="n">
        <v>0.1445205479452054</v>
      </c>
      <c r="AE56" s="2" t="n">
        <v>0.1080901856763925</v>
      </c>
      <c r="AF56" s="2" t="n">
        <v>2.804928032070223</v>
      </c>
      <c r="AG56" s="2" t="n">
        <v>0.4594594594594567</v>
      </c>
      <c r="AH56" s="2" t="n">
        <v>0.1357464610334585</v>
      </c>
      <c r="AI56" s="2" t="n">
        <v>9</v>
      </c>
      <c r="AJ56" s="2" t="n">
        <v>0.2218205748077193</v>
      </c>
      <c r="AK56" s="2" t="n">
        <v>80.4266059826863</v>
      </c>
      <c r="AL56" s="2" t="n">
        <v>0.06993096861805474</v>
      </c>
      <c r="AM56" s="2" t="n">
        <v>230979.3289</v>
      </c>
    </row>
    <row r="57">
      <c r="A57" s="2" t="n">
        <v>56</v>
      </c>
      <c r="B57" s="2" t="inlineStr">
        <is>
          <t>REZ_USDT_PERP</t>
        </is>
      </c>
      <c r="C57" s="2" t="inlineStr">
        <is>
          <t>做空</t>
        </is>
      </c>
      <c r="D57" s="7" t="n">
        <v>46275.54513888889</v>
      </c>
      <c r="E57" s="17" t="n">
        <v>0.00362</v>
      </c>
      <c r="F57" s="17" t="n">
        <v>0.0034752</v>
      </c>
      <c r="G57" s="17" t="n">
        <v>0.003801</v>
      </c>
      <c r="H57" s="7" t="n">
        <v>46275.55555555555</v>
      </c>
      <c r="I57" s="17" t="n">
        <v>0.003801</v>
      </c>
      <c r="J57" s="2" t="inlineStr">
        <is>
          <t>止損</t>
        </is>
      </c>
      <c r="K57" s="5">
        <f>(H57-D57)*24</f>
        <v/>
      </c>
      <c r="L57" s="4">
        <f>IF(C57="做多",I57/E57-1,1-I57/E57)-2*參數!$B$7</f>
        <v/>
      </c>
      <c r="M57" s="2" t="inlineStr"/>
      <c r="N57" s="4" t="n">
        <v>-0.02688172043010761</v>
      </c>
      <c r="O57" s="4" t="n">
        <v>0.02572909776682849</v>
      </c>
      <c r="P57" s="4" t="n">
        <v>0.1373573721389336</v>
      </c>
      <c r="Q57" s="19" t="n">
        <v>1363493</v>
      </c>
      <c r="R57" s="19" t="n">
        <v>115235.532015</v>
      </c>
      <c r="S57" s="4" t="n">
        <v>0.004419889502762397</v>
      </c>
      <c r="T57" s="4" t="n">
        <v>0.05</v>
      </c>
      <c r="U57" s="16" t="n">
        <v>184.0897526405562</v>
      </c>
      <c r="V57" s="16" t="n">
        <v>0.6757990867579915</v>
      </c>
      <c r="W57" s="4" t="n">
        <v>-0.1504700401075467</v>
      </c>
      <c r="X57" s="4" t="n">
        <v>-0.14702154626109</v>
      </c>
      <c r="Y57" s="4" t="n"/>
      <c r="Z57" s="4" t="n"/>
      <c r="AA57" s="4" t="n">
        <v>0.04</v>
      </c>
      <c r="AB57" s="4" t="n">
        <v>0.05</v>
      </c>
      <c r="AC57" s="4">
        <f>(AB57+2*參數!$B$7)/(AA57+AB57)</f>
        <v/>
      </c>
      <c r="AD57" s="2" t="n">
        <v>0.1558109833971904</v>
      </c>
      <c r="AE57" s="2" t="n">
        <v>0.1576590981771666</v>
      </c>
      <c r="AF57" s="2" t="n">
        <v>184.0897526405562</v>
      </c>
      <c r="AG57" s="2" t="n">
        <v>0.3242009132420086</v>
      </c>
      <c r="AH57" s="2" t="n">
        <v>1</v>
      </c>
      <c r="AI57" s="2" t="n">
        <v>7</v>
      </c>
      <c r="AJ57" s="2" t="n">
        <v>0.1373573721389336</v>
      </c>
      <c r="AK57" s="2" t="n">
        <v>46.13807772532023</v>
      </c>
      <c r="AL57" s="2" t="n">
        <v>0.08912820913010777</v>
      </c>
      <c r="AM57" s="2" t="n">
        <v>115235.532015</v>
      </c>
    </row>
    <row r="58">
      <c r="A58" s="2" t="n">
        <v>57</v>
      </c>
      <c r="B58" s="2" t="inlineStr">
        <is>
          <t>ANIME_USDT_PERP</t>
        </is>
      </c>
      <c r="C58" s="2" t="inlineStr">
        <is>
          <t>做空</t>
        </is>
      </c>
      <c r="D58" s="7" t="n">
        <v>46275.63541666666</v>
      </c>
      <c r="E58" s="17" t="n">
        <v>0.003552</v>
      </c>
      <c r="F58" s="17" t="n">
        <v>0.00340992</v>
      </c>
      <c r="G58" s="17" t="n">
        <v>0.0037296</v>
      </c>
      <c r="H58" s="7" t="n">
        <v>46275.64583333334</v>
      </c>
      <c r="I58" s="17" t="n">
        <v>0.00340992</v>
      </c>
      <c r="J58" s="2" t="inlineStr">
        <is>
          <t>止盈</t>
        </is>
      </c>
      <c r="K58" s="5">
        <f>(H58-D58)*24</f>
        <v/>
      </c>
      <c r="L58" s="4">
        <f>IF(C58="做多",I58/E58-1,1-I58/E58)-2*參數!$B$7</f>
        <v/>
      </c>
      <c r="M58" s="2" t="inlineStr"/>
      <c r="N58" s="4" t="n">
        <v>-0.02175709171027262</v>
      </c>
      <c r="O58" s="4" t="n">
        <v>0.01832290178780784</v>
      </c>
      <c r="P58" s="4" t="n">
        <v>0.1615260835146628</v>
      </c>
      <c r="Q58" s="19" t="n">
        <v>7442246</v>
      </c>
      <c r="R58" s="19" t="n">
        <v>203953.257142</v>
      </c>
      <c r="S58" s="4" t="n">
        <v>0.04</v>
      </c>
      <c r="T58" s="4" t="n">
        <v>0.02083333333333326</v>
      </c>
      <c r="U58" s="16" t="n">
        <v>136.2752968755439</v>
      </c>
      <c r="V58" s="16" t="n">
        <v>0.8986486486486497</v>
      </c>
      <c r="W58" s="4" t="n">
        <v>-0.1577612704083129</v>
      </c>
      <c r="X58" s="4" t="n">
        <v>-0.1975724881995955</v>
      </c>
      <c r="Y58" s="4" t="n"/>
      <c r="Z58" s="4" t="n"/>
      <c r="AA58" s="4" t="n">
        <v>0.04</v>
      </c>
      <c r="AB58" s="4" t="n">
        <v>0.05</v>
      </c>
      <c r="AC58" s="4">
        <f>(AB58+2*參數!$B$7)/(AA58+AB58)</f>
        <v/>
      </c>
      <c r="AD58" s="2" t="n">
        <v>0.1749917300694674</v>
      </c>
      <c r="AE58" s="2" t="n">
        <v>0.1585127201565557</v>
      </c>
      <c r="AF58" s="2" t="n">
        <v>136.2752968755439</v>
      </c>
      <c r="AG58" s="2" t="n">
        <v>0.1013513513513504</v>
      </c>
      <c r="AH58" s="2" t="n">
        <v>0.8320209359269626</v>
      </c>
      <c r="AI58" s="2" t="n">
        <v>9</v>
      </c>
      <c r="AJ58" s="2" t="n">
        <v>0.1615260835146628</v>
      </c>
      <c r="AK58" s="2" t="n">
        <v>53.51482352250129</v>
      </c>
      <c r="AL58" s="2" t="n">
        <v>0.0634723936771556</v>
      </c>
      <c r="AM58" s="2" t="n">
        <v>203953.257142</v>
      </c>
    </row>
    <row r="59">
      <c r="A59" s="2" t="n">
        <v>58</v>
      </c>
      <c r="B59" s="2" t="inlineStr">
        <is>
          <t>SAGA_USDT_PERP</t>
        </is>
      </c>
      <c r="C59" s="2" t="inlineStr">
        <is>
          <t>做空</t>
        </is>
      </c>
      <c r="D59" s="7" t="n">
        <v>46276.02430555555</v>
      </c>
      <c r="E59" s="17" t="n">
        <v>0.01776</v>
      </c>
      <c r="F59" s="17" t="n">
        <v>0.0170496</v>
      </c>
      <c r="G59" s="17" t="n">
        <v>0.018648</v>
      </c>
      <c r="H59" s="7" t="n">
        <v>46276.07638888889</v>
      </c>
      <c r="I59" s="17" t="n">
        <v>0.0170496</v>
      </c>
      <c r="J59" s="2" t="inlineStr">
        <is>
          <t>止盈</t>
        </is>
      </c>
      <c r="K59" s="5">
        <f>(H59-D59)*24</f>
        <v/>
      </c>
      <c r="L59" s="4">
        <f>IF(C59="做多",I59/E59-1,1-I59/E59)-2*參數!$B$7</f>
        <v/>
      </c>
      <c r="M59" s="2" t="inlineStr"/>
      <c r="N59" s="4" t="n">
        <v>0.007945516458569779</v>
      </c>
      <c r="O59" s="4" t="n">
        <v>0.01787643422477274</v>
      </c>
      <c r="P59" s="4" t="n">
        <v>0.2185353219152826</v>
      </c>
      <c r="Q59" s="19" t="n">
        <v>15316871.8</v>
      </c>
      <c r="R59" s="19" t="n">
        <v>456561.923971</v>
      </c>
      <c r="S59" s="4" t="n">
        <v>0.04</v>
      </c>
      <c r="T59" s="4" t="n">
        <v>0.04617117117117098</v>
      </c>
      <c r="U59" s="16" t="n">
        <v>80.15320996229781</v>
      </c>
      <c r="V59" s="16" t="n">
        <v>0.7619047619047601</v>
      </c>
      <c r="W59" s="4" t="n">
        <v>-0.1735553573198534</v>
      </c>
      <c r="X59" s="4" t="n">
        <v>-0.2181069958847739</v>
      </c>
      <c r="Y59" s="4" t="n"/>
      <c r="Z59" s="4" t="n"/>
      <c r="AA59" s="4" t="n">
        <v>0.04</v>
      </c>
      <c r="AB59" s="4" t="n">
        <v>0.05</v>
      </c>
      <c r="AC59" s="4">
        <f>(AB59+2*參數!$B$7)/(AA59+AB59)</f>
        <v/>
      </c>
      <c r="AD59" s="2" t="n">
        <v>0.162303664921466</v>
      </c>
      <c r="AE59" s="2" t="n">
        <v>0.1148775894538607</v>
      </c>
      <c r="AF59" s="2" t="n">
        <v>80.15320996229781</v>
      </c>
      <c r="AG59" s="2" t="n">
        <v>0.2380952380952399</v>
      </c>
      <c r="AH59" s="2" t="n">
        <v>1</v>
      </c>
      <c r="AI59" s="2" t="n">
        <v>12</v>
      </c>
      <c r="AJ59" s="2" t="n">
        <v>0.2185353219152826</v>
      </c>
      <c r="AK59" s="2" t="n">
        <v>83.47785607563219</v>
      </c>
      <c r="AL59" s="2" t="n">
        <v>0.06192578467093906</v>
      </c>
      <c r="AM59" s="2" t="n">
        <v>456561.923971</v>
      </c>
    </row>
    <row r="60">
      <c r="A60" s="2" t="n">
        <v>59</v>
      </c>
      <c r="B60" s="2" t="inlineStr">
        <is>
          <t>哈基米_USDT_PERP</t>
        </is>
      </c>
      <c r="C60" s="2" t="inlineStr">
        <is>
          <t>做空</t>
        </is>
      </c>
      <c r="D60" s="7" t="n">
        <v>46276.14236111111</v>
      </c>
      <c r="E60" s="17" t="n">
        <v>0.03622</v>
      </c>
      <c r="F60" s="17" t="n">
        <v>0.0347712</v>
      </c>
      <c r="G60" s="17" t="n">
        <v>0.038031</v>
      </c>
      <c r="H60" s="7" t="n">
        <v>46276.15625</v>
      </c>
      <c r="I60" s="17" t="n">
        <v>0.038031</v>
      </c>
      <c r="J60" s="2" t="inlineStr">
        <is>
          <t>止損</t>
        </is>
      </c>
      <c r="K60" s="5">
        <f>(H60-D60)*24</f>
        <v/>
      </c>
      <c r="L60" s="4">
        <f>IF(C60="做多",I60/E60-1,1-I60/E60)-2*參數!$B$7</f>
        <v/>
      </c>
      <c r="M60" s="2" t="inlineStr"/>
      <c r="N60" s="4" t="n">
        <v>-0.03180967655707023</v>
      </c>
      <c r="O60" s="4" t="n">
        <v>0.02072547375113655</v>
      </c>
      <c r="P60" s="4" t="n">
        <v>0.12175148497092</v>
      </c>
      <c r="Q60" s="19" t="n">
        <v>297331</v>
      </c>
      <c r="R60" s="19" t="n">
        <v>91989.83894</v>
      </c>
      <c r="S60" s="4" t="n">
        <v>0</v>
      </c>
      <c r="T60" s="4" t="n">
        <v>0.05</v>
      </c>
      <c r="U60" s="16" t="n">
        <v>4.8768022672256</v>
      </c>
      <c r="V60" s="16" t="n">
        <v>0.8272251308900505</v>
      </c>
      <c r="W60" s="4" t="n">
        <v>-0.1593219470975342</v>
      </c>
      <c r="X60" s="4" t="n">
        <v>-0.000828958275766789</v>
      </c>
      <c r="Y60" s="4" t="n"/>
      <c r="Z60" s="4" t="n"/>
      <c r="AA60" s="4" t="n">
        <v>0.04</v>
      </c>
      <c r="AB60" s="4" t="n">
        <v>0.05</v>
      </c>
      <c r="AC60" s="4">
        <f>(AB60+2*參數!$B$7)/(AA60+AB60)</f>
        <v/>
      </c>
      <c r="AD60" s="2" t="n">
        <v>0.1623876765083441</v>
      </c>
      <c r="AE60" s="2" t="n">
        <v>0.08670867086708678</v>
      </c>
      <c r="AF60" s="2" t="n">
        <v>4.8768022672256</v>
      </c>
      <c r="AG60" s="2" t="n">
        <v>0.1727748691099495</v>
      </c>
      <c r="AH60" s="2" t="n">
        <v>0.4935081187623189</v>
      </c>
      <c r="AI60" s="2" t="n">
        <v>7</v>
      </c>
      <c r="AJ60" s="2" t="n">
        <v>0.12175148497092</v>
      </c>
      <c r="AK60" s="2" t="n">
        <v>52.51372721624652</v>
      </c>
      <c r="AL60" s="2" t="n">
        <v>0.07179514709580727</v>
      </c>
      <c r="AM60" s="2" t="n">
        <v>91989.83894</v>
      </c>
    </row>
    <row r="61">
      <c r="A61" s="2" t="n">
        <v>60</v>
      </c>
      <c r="B61" s="2" t="inlineStr">
        <is>
          <t>我踏马来了_USDT_PERP</t>
        </is>
      </c>
      <c r="C61" s="2" t="inlineStr">
        <is>
          <t>做空</t>
        </is>
      </c>
      <c r="D61" s="7" t="n">
        <v>46276.31944444445</v>
      </c>
      <c r="E61" s="17" t="n">
        <v>0.012087</v>
      </c>
      <c r="F61" s="17" t="n">
        <v>0.01160352</v>
      </c>
      <c r="G61" s="17" t="n">
        <v>0.01269135</v>
      </c>
      <c r="H61" s="7" t="n">
        <v>46276.44097222222</v>
      </c>
      <c r="I61" s="17" t="n">
        <v>0.01269135</v>
      </c>
      <c r="J61" s="2" t="inlineStr">
        <is>
          <t>止損</t>
        </is>
      </c>
      <c r="K61" s="5">
        <f>(H61-D61)*24</f>
        <v/>
      </c>
      <c r="L61" s="4">
        <f>IF(C61="做多",I61/E61-1,1-I61/E61)-2*參數!$B$7</f>
        <v/>
      </c>
      <c r="M61" s="2" t="inlineStr"/>
      <c r="N61" s="4" t="n">
        <v>0.01588502269288949</v>
      </c>
      <c r="O61" s="4" t="n">
        <v>0.01596446170172047</v>
      </c>
      <c r="P61" s="4" t="n">
        <v>0.1658595203742481</v>
      </c>
      <c r="Q61" s="19" t="n">
        <v>1827629</v>
      </c>
      <c r="R61" s="19" t="n">
        <v>66488.960852</v>
      </c>
      <c r="S61" s="4" t="n">
        <v>0.03714734839083311</v>
      </c>
      <c r="T61" s="4" t="n">
        <v>0.05</v>
      </c>
      <c r="U61" s="16" t="n">
        <v>5.833294639060695</v>
      </c>
      <c r="V61" s="16" t="n">
        <v>0.4155124653739585</v>
      </c>
      <c r="W61" s="4" t="n">
        <v>-0.1845180637289729</v>
      </c>
      <c r="X61" s="4" t="n">
        <v>-0.08306451612903243</v>
      </c>
      <c r="Y61" s="4" t="n"/>
      <c r="Z61" s="4" t="n"/>
      <c r="AA61" s="4" t="n">
        <v>0.04</v>
      </c>
      <c r="AB61" s="4" t="n">
        <v>0.05</v>
      </c>
      <c r="AC61" s="4">
        <f>(AB61+2*參數!$B$7)/(AA61+AB61)</f>
        <v/>
      </c>
      <c r="AD61" s="2" t="n">
        <v>0.1609835750648354</v>
      </c>
      <c r="AE61" s="2" t="n">
        <v>0.155876446399541</v>
      </c>
      <c r="AF61" s="2" t="n">
        <v>5.833294639060695</v>
      </c>
      <c r="AG61" s="2" t="n">
        <v>0.5844875346260415</v>
      </c>
      <c r="AH61" s="2" t="n">
        <v>0.1316573424572462</v>
      </c>
      <c r="AI61" s="2" t="n">
        <v>5</v>
      </c>
      <c r="AJ61" s="2" t="n">
        <v>0.1658595203742481</v>
      </c>
      <c r="AK61" s="2" t="n">
        <v>63.60779658165353</v>
      </c>
      <c r="AL61" s="2" t="n">
        <v>0.05530251756573471</v>
      </c>
      <c r="AM61" s="2" t="n">
        <v>66488.960852</v>
      </c>
    </row>
    <row r="62">
      <c r="A62" s="2" t="n">
        <v>61</v>
      </c>
      <c r="B62" s="2" t="inlineStr">
        <is>
          <t>哈基米_USDT_PERP</t>
        </is>
      </c>
      <c r="C62" s="2" t="inlineStr">
        <is>
          <t>做空</t>
        </is>
      </c>
      <c r="D62" s="7" t="n">
        <v>46276.48958333334</v>
      </c>
      <c r="E62" s="17" t="n">
        <v>0.0411</v>
      </c>
      <c r="F62" s="17" t="n">
        <v>0.039456</v>
      </c>
      <c r="G62" s="17" t="n">
        <v>0.043155</v>
      </c>
      <c r="H62" s="7" t="n">
        <v>46276.50347222222</v>
      </c>
      <c r="I62" s="17" t="n">
        <v>0.039456</v>
      </c>
      <c r="J62" s="2" t="inlineStr">
        <is>
          <t>止盈</t>
        </is>
      </c>
      <c r="K62" s="5">
        <f>(H62-D62)*24</f>
        <v/>
      </c>
      <c r="L62" s="4">
        <f>IF(C62="做多",I62/E62-1,1-I62/E62)-2*參數!$B$7</f>
        <v/>
      </c>
      <c r="M62" s="2" t="inlineStr"/>
      <c r="N62" s="4" t="n">
        <v>0.008588957055214674</v>
      </c>
      <c r="O62" s="4" t="n">
        <v>0.02504594095132378</v>
      </c>
      <c r="P62" s="4" t="n">
        <v>0.2444300903801413</v>
      </c>
      <c r="Q62" s="19" t="n">
        <v>354180</v>
      </c>
      <c r="R62" s="19" t="n">
        <v>144607.27633</v>
      </c>
      <c r="S62" s="4" t="n">
        <v>0.04</v>
      </c>
      <c r="T62" s="4" t="n">
        <v>0.003649635036496512</v>
      </c>
      <c r="U62" s="16" t="n">
        <v>5.412148489716829</v>
      </c>
      <c r="V62" s="16" t="n">
        <v>0.5970149253731347</v>
      </c>
      <c r="W62" s="4" t="n">
        <v>-0.1532957319639698</v>
      </c>
      <c r="X62" s="4" t="n">
        <v>-0.1790017211703958</v>
      </c>
      <c r="Y62" s="4" t="n"/>
      <c r="Z62" s="4" t="n"/>
      <c r="AA62" s="4" t="n">
        <v>0.04</v>
      </c>
      <c r="AB62" s="4" t="n">
        <v>0.05</v>
      </c>
      <c r="AC62" s="4">
        <f>(AB62+2*參數!$B$7)/(AA62+AB62)</f>
        <v/>
      </c>
      <c r="AD62" s="2" t="n">
        <v>0.1746213203772506</v>
      </c>
      <c r="AE62" s="2" t="n">
        <v>0.1810344827586208</v>
      </c>
      <c r="AF62" s="2" t="n">
        <v>5.412148489716829</v>
      </c>
      <c r="AG62" s="2" t="n">
        <v>0.4029850746268652</v>
      </c>
      <c r="AH62" s="2" t="n">
        <v>0.641996911146162</v>
      </c>
      <c r="AI62" s="2" t="n">
        <v>2</v>
      </c>
      <c r="AJ62" s="2" t="n">
        <v>0.2444300903801413</v>
      </c>
      <c r="AK62" s="2" t="n">
        <v>51.47186630017069</v>
      </c>
      <c r="AL62" s="2" t="n">
        <v>0.08676168450212553</v>
      </c>
      <c r="AM62" s="2" t="n">
        <v>144607.27633</v>
      </c>
    </row>
    <row r="63">
      <c r="A63" s="2" t="n">
        <v>62</v>
      </c>
      <c r="B63" s="2" t="inlineStr">
        <is>
          <t>哈基米_USDT_PERP</t>
        </is>
      </c>
      <c r="C63" s="2" t="inlineStr">
        <is>
          <t>做空</t>
        </is>
      </c>
      <c r="D63" s="7" t="n">
        <v>46276.54513888889</v>
      </c>
      <c r="E63" s="17" t="n">
        <v>0.04118</v>
      </c>
      <c r="F63" s="17" t="n">
        <v>0.0395328</v>
      </c>
      <c r="G63" s="17" t="n">
        <v>0.04323900000000001</v>
      </c>
      <c r="H63" s="7" t="n">
        <v>46276.55208333334</v>
      </c>
      <c r="I63" s="17" t="n">
        <v>0.0395328</v>
      </c>
      <c r="J63" s="2" t="inlineStr">
        <is>
          <t>止盈</t>
        </is>
      </c>
      <c r="K63" s="5">
        <f>(H63-D63)*24</f>
        <v/>
      </c>
      <c r="L63" s="4">
        <f>IF(C63="做多",I63/E63-1,1-I63/E63)-2*參數!$B$7</f>
        <v/>
      </c>
      <c r="M63" s="2" t="inlineStr"/>
      <c r="N63" s="4" t="n">
        <v>-0.009143407122232827</v>
      </c>
      <c r="O63" s="4" t="n">
        <v>0.02652192575188217</v>
      </c>
      <c r="P63" s="4" t="n">
        <v>0.2303968986110232</v>
      </c>
      <c r="Q63" s="19" t="n">
        <v>124326</v>
      </c>
      <c r="R63" s="19" t="n">
        <v>159835.63652</v>
      </c>
      <c r="S63" s="4" t="n">
        <v>0.04</v>
      </c>
      <c r="T63" s="4" t="n">
        <v>0.03399708596406015</v>
      </c>
      <c r="U63" s="16" t="n">
        <v>3.020375253605158</v>
      </c>
      <c r="V63" s="16" t="n">
        <v>0.4772727272727256</v>
      </c>
      <c r="W63" s="4" t="n">
        <v>-0.1477625876221136</v>
      </c>
      <c r="X63" s="4" t="n">
        <v>-0.1887990762124712</v>
      </c>
      <c r="Y63" s="4" t="n"/>
      <c r="Z63" s="4" t="n"/>
      <c r="AA63" s="4" t="n">
        <v>0.04</v>
      </c>
      <c r="AB63" s="4" t="n">
        <v>0.05</v>
      </c>
      <c r="AC63" s="4">
        <f>(AB63+2*參數!$B$7)/(AA63+AB63)</f>
        <v/>
      </c>
      <c r="AD63" s="2" t="n">
        <v>0.1435712302138294</v>
      </c>
      <c r="AE63" s="2" t="n">
        <v>0.05806783144912631</v>
      </c>
      <c r="AF63" s="2" t="n">
        <v>3.020375253605158</v>
      </c>
      <c r="AG63" s="2" t="n">
        <v>0.5227272727272744</v>
      </c>
      <c r="AH63" s="2" t="n">
        <v>0.3938617245005258</v>
      </c>
      <c r="AI63" s="2" t="n">
        <v>1</v>
      </c>
      <c r="AJ63" s="2" t="n">
        <v>0.2303968986110232</v>
      </c>
      <c r="AK63" s="2" t="n">
        <v>60.23885682127936</v>
      </c>
      <c r="AL63" s="2" t="n">
        <v>0.09187464583365861</v>
      </c>
      <c r="AM63" s="2" t="n">
        <v>159835.63652</v>
      </c>
    </row>
    <row r="64">
      <c r="A64" s="2" t="n">
        <v>63</v>
      </c>
      <c r="B64" s="2" t="inlineStr">
        <is>
          <t>LAB_USDT_PERP</t>
        </is>
      </c>
      <c r="C64" s="2" t="inlineStr">
        <is>
          <t>做空</t>
        </is>
      </c>
      <c r="D64" s="7" t="n">
        <v>46276.76388888889</v>
      </c>
      <c r="E64" s="17" t="n">
        <v>0.05873</v>
      </c>
      <c r="F64" s="17" t="n">
        <v>0.05638079999999999</v>
      </c>
      <c r="G64" s="17" t="n">
        <v>0.0616665</v>
      </c>
      <c r="H64" s="7" t="n">
        <v>46276.78125</v>
      </c>
      <c r="I64" s="17" t="n">
        <v>0.0616665</v>
      </c>
      <c r="J64" s="2" t="inlineStr">
        <is>
          <t>止損</t>
        </is>
      </c>
      <c r="K64" s="5">
        <f>(H64-D64)*24</f>
        <v/>
      </c>
      <c r="L64" s="4">
        <f>IF(C64="做多",I64/E64-1,1-I64/E64)-2*參數!$B$7</f>
        <v/>
      </c>
      <c r="M64" s="2" t="inlineStr"/>
      <c r="N64" s="4" t="n">
        <v>0.002560600887674847</v>
      </c>
      <c r="O64" s="4" t="n">
        <v>0.02119252232604689</v>
      </c>
      <c r="P64" s="4" t="n">
        <v>0.2418689355673442</v>
      </c>
      <c r="Q64" s="19" t="n">
        <v>1478857</v>
      </c>
      <c r="R64" s="19" t="n">
        <v>307672.4554</v>
      </c>
      <c r="S64" s="4" t="n">
        <v>0.001532436574152918</v>
      </c>
      <c r="T64" s="4" t="n">
        <v>0.05</v>
      </c>
      <c r="U64" s="16" t="n">
        <v>5.589058824402443</v>
      </c>
      <c r="V64" s="16" t="n">
        <v>0.5515151515151526</v>
      </c>
      <c r="W64" s="4" t="n">
        <v>-0.2301150942013048</v>
      </c>
      <c r="X64" s="4" t="n">
        <v>-0.194913530010173</v>
      </c>
      <c r="Y64" s="4" t="n"/>
      <c r="Z64" s="4" t="n"/>
      <c r="AA64" s="4" t="n">
        <v>0.04</v>
      </c>
      <c r="AB64" s="4" t="n">
        <v>0.05</v>
      </c>
      <c r="AC64" s="4">
        <f>(AB64+2*參數!$B$7)/(AA64+AB64)</f>
        <v/>
      </c>
      <c r="AD64" s="2" t="n">
        <v>0.2049651210504719</v>
      </c>
      <c r="AE64" s="2" t="n">
        <v>0.2421742808798646</v>
      </c>
      <c r="AF64" s="2" t="n">
        <v>5.589058824402443</v>
      </c>
      <c r="AG64" s="2" t="n">
        <v>0.4484848484848474</v>
      </c>
      <c r="AH64" s="2" t="n">
        <v>0.3055476942809444</v>
      </c>
      <c r="AI64" s="2" t="n">
        <v>9</v>
      </c>
      <c r="AJ64" s="2" t="n">
        <v>0.2418689355673442</v>
      </c>
      <c r="AK64" s="2" t="n">
        <v>42.74977000167494</v>
      </c>
      <c r="AL64" s="2" t="n">
        <v>0.07341305081850195</v>
      </c>
      <c r="AM64" s="2" t="n">
        <v>307672.4554</v>
      </c>
    </row>
    <row r="65">
      <c r="A65" s="2" t="n">
        <v>64</v>
      </c>
      <c r="B65" s="2" t="inlineStr">
        <is>
          <t>CASHCAT_USDT_PERP</t>
        </is>
      </c>
      <c r="C65" s="2" t="inlineStr">
        <is>
          <t>做空</t>
        </is>
      </c>
      <c r="D65" s="7" t="n">
        <v>46276.92013888889</v>
      </c>
      <c r="E65" s="17" t="n">
        <v>0.1886</v>
      </c>
      <c r="F65" s="17" t="n">
        <v>0.181056</v>
      </c>
      <c r="G65" s="17" t="n">
        <v>0.19803</v>
      </c>
      <c r="H65" s="7" t="n">
        <v>46276.99652777778</v>
      </c>
      <c r="I65" s="17" t="n">
        <v>0.181056</v>
      </c>
      <c r="J65" s="2" t="inlineStr">
        <is>
          <t>止盈</t>
        </is>
      </c>
      <c r="K65" s="5">
        <f>(H65-D65)*24</f>
        <v/>
      </c>
      <c r="L65" s="4">
        <f>IF(C65="做多",I65/E65-1,1-I65/E65)-2*參數!$B$7</f>
        <v/>
      </c>
      <c r="M65" s="2" t="inlineStr"/>
      <c r="N65" s="4" t="n">
        <v>0.004794885455513986</v>
      </c>
      <c r="O65" s="4" t="n">
        <v>0.01847184603163247</v>
      </c>
      <c r="P65" s="4" t="n">
        <v>0.1202435312024352</v>
      </c>
      <c r="Q65" s="19" t="n">
        <v>246212</v>
      </c>
      <c r="R65" s="19" t="n">
        <v>172599.785</v>
      </c>
      <c r="S65" s="4" t="n">
        <v>0.04</v>
      </c>
      <c r="T65" s="4" t="n">
        <v>0.03128313891834589</v>
      </c>
      <c r="U65" s="16" t="n">
        <v>6.099240134210581</v>
      </c>
      <c r="V65" s="16" t="n">
        <v>0.537037037037038</v>
      </c>
      <c r="W65" s="4" t="n">
        <v>-0.1234750285932138</v>
      </c>
      <c r="X65" s="4" t="n">
        <v>-0.1634793337446021</v>
      </c>
      <c r="Y65" s="4" t="n"/>
      <c r="Z65" s="4" t="n"/>
      <c r="AA65" s="4" t="n">
        <v>0.04</v>
      </c>
      <c r="AB65" s="4" t="n">
        <v>0.05</v>
      </c>
      <c r="AC65" s="4">
        <f>(AB65+2*參數!$B$7)/(AA65+AB65)</f>
        <v/>
      </c>
      <c r="AD65" s="2" t="n">
        <v>0.174346201743462</v>
      </c>
      <c r="AE65" s="2" t="n">
        <v>0.118623962040332</v>
      </c>
      <c r="AF65" s="2" t="n">
        <v>6.099240134210581</v>
      </c>
      <c r="AG65" s="2" t="n">
        <v>0.462962962962962</v>
      </c>
      <c r="AH65" s="2" t="n">
        <v>0.312279458445911</v>
      </c>
      <c r="AI65" s="2" t="n">
        <v>4</v>
      </c>
      <c r="AJ65" s="2" t="n">
        <v>0.1202435312024352</v>
      </c>
      <c r="AK65" s="2" t="n">
        <v>54.45963336515353</v>
      </c>
      <c r="AL65" s="2" t="n">
        <v>0.06398835167275396</v>
      </c>
      <c r="AM65" s="2" t="n">
        <v>172599.785</v>
      </c>
    </row>
    <row r="66">
      <c r="A66" s="2" t="n">
        <v>65</v>
      </c>
      <c r="B66" s="2" t="inlineStr">
        <is>
          <t>BLUR_USDT_PERP</t>
        </is>
      </c>
      <c r="C66" s="2" t="inlineStr">
        <is>
          <t>做空</t>
        </is>
      </c>
      <c r="D66" s="7" t="n">
        <v>46276.97222222222</v>
      </c>
      <c r="E66" s="17" t="n">
        <v>0.02085</v>
      </c>
      <c r="F66" s="17" t="n">
        <v>0.020016</v>
      </c>
      <c r="G66" s="17" t="n">
        <v>0.0218925</v>
      </c>
      <c r="H66" s="7" t="n">
        <v>46276.98263888889</v>
      </c>
      <c r="I66" s="17" t="n">
        <v>0.020016</v>
      </c>
      <c r="J66" s="2" t="inlineStr">
        <is>
          <t>止盈</t>
        </is>
      </c>
      <c r="K66" s="5">
        <f>(H66-D66)*24</f>
        <v/>
      </c>
      <c r="L66" s="4">
        <f>IF(C66="做多",I66/E66-1,1-I66/E66)-2*參數!$B$7</f>
        <v/>
      </c>
      <c r="M66" s="2" t="inlineStr"/>
      <c r="N66" s="4" t="n">
        <v>0.0116448326055314</v>
      </c>
      <c r="O66" s="4" t="n">
        <v>0.0175886924665684</v>
      </c>
      <c r="P66" s="4" t="n">
        <v>0.2165503358641665</v>
      </c>
      <c r="Q66" s="19" t="n">
        <v>2700828</v>
      </c>
      <c r="R66" s="19" t="n">
        <v>136541.57067</v>
      </c>
      <c r="S66" s="4" t="n">
        <v>0.04</v>
      </c>
      <c r="T66" s="4" t="n">
        <v>0.01486810551558748</v>
      </c>
      <c r="U66" s="16" t="n">
        <v>43.8921963331126</v>
      </c>
      <c r="V66" s="16" t="n">
        <v>0.6739130434782593</v>
      </c>
      <c r="W66" s="4" t="n">
        <v>-0.1929965096984609</v>
      </c>
      <c r="X66" s="4" t="n">
        <v>-0.2910216718266254</v>
      </c>
      <c r="Y66" s="4" t="n"/>
      <c r="Z66" s="4" t="n"/>
      <c r="AA66" s="4" t="n">
        <v>0.04</v>
      </c>
      <c r="AB66" s="4" t="n">
        <v>0.05</v>
      </c>
      <c r="AC66" s="4">
        <f>(AB66+2*參數!$B$7)/(AA66+AB66)</f>
        <v/>
      </c>
      <c r="AD66" s="2" t="n">
        <v>0.2200117027501463</v>
      </c>
      <c r="AE66" s="2" t="n">
        <v>0.1570477247502775</v>
      </c>
      <c r="AF66" s="2" t="n">
        <v>43.8921963331126</v>
      </c>
      <c r="AG66" s="2" t="n">
        <v>0.3260869565217407</v>
      </c>
      <c r="AH66" s="2" t="n">
        <v>1</v>
      </c>
      <c r="AI66" s="2" t="n">
        <v>8</v>
      </c>
      <c r="AJ66" s="2" t="n">
        <v>0.2165503358641665</v>
      </c>
      <c r="AK66" s="2" t="n">
        <v>65.33283413263675</v>
      </c>
      <c r="AL66" s="2" t="n">
        <v>0.06092901798160087</v>
      </c>
      <c r="AM66" s="2" t="n">
        <v>136541.57067</v>
      </c>
    </row>
    <row r="67">
      <c r="A67" s="2" t="n">
        <v>66</v>
      </c>
      <c r="B67" s="2" t="inlineStr">
        <is>
          <t>CYS_USDT_PERP</t>
        </is>
      </c>
      <c r="C67" s="2" t="inlineStr">
        <is>
          <t>做空</t>
        </is>
      </c>
      <c r="D67" s="7" t="n">
        <v>46277.30208333334</v>
      </c>
      <c r="E67" s="17" t="n">
        <v>0.1593</v>
      </c>
      <c r="F67" s="17" t="n">
        <v>0.152928</v>
      </c>
      <c r="G67" s="17" t="n">
        <v>0.167265</v>
      </c>
      <c r="H67" s="7" t="n">
        <v>46277.31944444445</v>
      </c>
      <c r="I67" s="17" t="n">
        <v>0.152928</v>
      </c>
      <c r="J67" s="2" t="inlineStr">
        <is>
          <t>止盈</t>
        </is>
      </c>
      <c r="K67" s="5">
        <f>(H67-D67)*24</f>
        <v/>
      </c>
      <c r="L67" s="4">
        <f>IF(C67="做多",I67/E67-1,1-I67/E67)-2*參數!$B$7</f>
        <v/>
      </c>
      <c r="M67" s="2" t="inlineStr"/>
      <c r="N67" s="4" t="n">
        <v>0.003780718336483968</v>
      </c>
      <c r="O67" s="4" t="n">
        <v>0.02358836065256801</v>
      </c>
      <c r="P67" s="4" t="n">
        <v>0.2099959489568566</v>
      </c>
      <c r="Q67" s="19" t="n">
        <v>142108</v>
      </c>
      <c r="R67" s="19" t="n">
        <v>258408.1158</v>
      </c>
      <c r="S67" s="4" t="n">
        <v>0.04</v>
      </c>
      <c r="T67" s="4" t="n">
        <v>0.01129943502824848</v>
      </c>
      <c r="U67" s="16" t="n">
        <v>2.353827649188904</v>
      </c>
      <c r="V67" s="16" t="n">
        <v>0.4722222222222252</v>
      </c>
      <c r="W67" s="4" t="n">
        <v>-0.1894450749656531</v>
      </c>
      <c r="X67" s="4" t="n">
        <v>-0.1468682505399568</v>
      </c>
      <c r="Y67" s="4" t="n"/>
      <c r="Z67" s="4" t="n"/>
      <c r="AA67" s="4" t="n">
        <v>0.04</v>
      </c>
      <c r="AB67" s="4" t="n">
        <v>0.05</v>
      </c>
      <c r="AC67" s="4">
        <f>(AB67+2*參數!$B$7)/(AA67+AB67)</f>
        <v/>
      </c>
      <c r="AD67" s="2" t="n">
        <v>0.2086494688922609</v>
      </c>
      <c r="AE67" s="2" t="n">
        <v>0.1661786237188871</v>
      </c>
      <c r="AF67" s="2" t="n">
        <v>2.353827649188904</v>
      </c>
      <c r="AG67" s="2" t="n">
        <v>0.5277777777777748</v>
      </c>
      <c r="AH67" s="2" t="n">
        <v>0.05653753026634382</v>
      </c>
      <c r="AI67" s="2" t="n">
        <v>6</v>
      </c>
      <c r="AJ67" s="2" t="n">
        <v>0.2099959489568566</v>
      </c>
      <c r="AK67" s="2" t="n">
        <v>63.0595531136139</v>
      </c>
      <c r="AL67" s="2" t="n">
        <v>0.08171247823501271</v>
      </c>
      <c r="AM67" s="2" t="n">
        <v>258408.1158</v>
      </c>
    </row>
    <row r="68">
      <c r="A68" s="2" t="n">
        <v>67</v>
      </c>
      <c r="B68" s="2" t="inlineStr">
        <is>
          <t>TREE_USDT_PERP</t>
        </is>
      </c>
      <c r="C68" s="2" t="inlineStr">
        <is>
          <t>做空</t>
        </is>
      </c>
      <c r="D68" s="7" t="n">
        <v>46277.34722222222</v>
      </c>
      <c r="E68" s="17" t="n">
        <v>0.04535</v>
      </c>
      <c r="F68" s="17" t="n">
        <v>0.043536</v>
      </c>
      <c r="G68" s="17" t="n">
        <v>0.0476175</v>
      </c>
      <c r="H68" s="7" t="n">
        <v>46277.35069444445</v>
      </c>
      <c r="I68" s="17" t="n">
        <v>0.043536</v>
      </c>
      <c r="J68" s="2" t="inlineStr">
        <is>
          <t>止盈</t>
        </is>
      </c>
      <c r="K68" s="5">
        <f>(H68-D68)*24</f>
        <v/>
      </c>
      <c r="L68" s="4">
        <f>IF(C68="做多",I68/E68-1,1-I68/E68)-2*參數!$B$7</f>
        <v/>
      </c>
      <c r="M68" s="2" t="inlineStr"/>
      <c r="N68" s="4" t="n">
        <v>-0.01112080244221536</v>
      </c>
      <c r="O68" s="4" t="n">
        <v>0.0178305496420541</v>
      </c>
      <c r="P68" s="4" t="n">
        <v>0.1533216277475364</v>
      </c>
      <c r="Q68" s="19" t="n">
        <v>196256</v>
      </c>
      <c r="R68" s="19" t="n">
        <v>29752.21494</v>
      </c>
      <c r="S68" s="4" t="n">
        <v>0.04</v>
      </c>
      <c r="T68" s="4" t="n">
        <v>0</v>
      </c>
      <c r="U68" s="16" t="n">
        <v>18.12890308521833</v>
      </c>
      <c r="V68" s="16" t="n">
        <v>0.8636363636363602</v>
      </c>
      <c r="W68" s="4" t="n">
        <v>-0.1478193962495287</v>
      </c>
      <c r="X68" s="4" t="n">
        <v>-0.1902887139107612</v>
      </c>
      <c r="Y68" s="4" t="n"/>
      <c r="Z68" s="4" t="n"/>
      <c r="AA68" s="4" t="n">
        <v>0.04</v>
      </c>
      <c r="AB68" s="4" t="n">
        <v>0.05</v>
      </c>
      <c r="AC68" s="4">
        <f>(AB68+2*參數!$B$7)/(AA68+AB68)</f>
        <v/>
      </c>
      <c r="AD68" s="2" t="n">
        <v>0.1568877551020409</v>
      </c>
      <c r="AE68" s="2" t="n">
        <v>0.1580694586312563</v>
      </c>
      <c r="AF68" s="2" t="n">
        <v>18.12890308521833</v>
      </c>
      <c r="AG68" s="2" t="n">
        <v>0.1363636363636398</v>
      </c>
      <c r="AH68" s="2" t="n">
        <v>0.1935377655614728</v>
      </c>
      <c r="AI68" s="2" t="n">
        <v>5</v>
      </c>
      <c r="AJ68" s="2" t="n">
        <v>0.1533216277475364</v>
      </c>
      <c r="AK68" s="2" t="n">
        <v>45.59716647618711</v>
      </c>
      <c r="AL68" s="2" t="n">
        <v>0.06176683581383351</v>
      </c>
      <c r="AM68" s="2" t="n">
        <v>29752.21494</v>
      </c>
    </row>
    <row r="69">
      <c r="A69" s="2" t="n">
        <v>68</v>
      </c>
      <c r="B69" s="2" t="inlineStr">
        <is>
          <t>我踏马来了_USDT_PERP</t>
        </is>
      </c>
      <c r="C69" s="2" t="inlineStr">
        <is>
          <t>做空</t>
        </is>
      </c>
      <c r="D69" s="7" t="n">
        <v>46277.55208333334</v>
      </c>
      <c r="E69" s="17" t="n">
        <v>0.015</v>
      </c>
      <c r="F69" s="17" t="n">
        <v>0.0144</v>
      </c>
      <c r="G69" s="17" t="n">
        <v>0.01575</v>
      </c>
      <c r="H69" s="7" t="n">
        <v>46277.55555555555</v>
      </c>
      <c r="I69" s="17" t="n">
        <v>0.0144</v>
      </c>
      <c r="J69" s="2" t="inlineStr">
        <is>
          <t>止盈</t>
        </is>
      </c>
      <c r="K69" s="5">
        <f>(H69-D69)*24</f>
        <v/>
      </c>
      <c r="L69" s="4">
        <f>IF(C69="做多",I69/E69-1,1-I69/E69)-2*參數!$B$7</f>
        <v/>
      </c>
      <c r="M69" s="2" t="inlineStr"/>
      <c r="N69" s="4" t="n">
        <v>-0.0730441230997404</v>
      </c>
      <c r="O69" s="4" t="n">
        <v>0.04280809318299815</v>
      </c>
      <c r="P69" s="4" t="n">
        <v>0.2184369822700496</v>
      </c>
      <c r="Q69" s="19" t="n">
        <v>2307802</v>
      </c>
      <c r="R69" s="19" t="n">
        <v>250006.492562</v>
      </c>
      <c r="S69" s="4" t="n">
        <v>0.04</v>
      </c>
      <c r="T69" s="4" t="n">
        <v>0</v>
      </c>
      <c r="U69" s="16" t="n">
        <v>7.884083447952517</v>
      </c>
      <c r="V69" s="16" t="n">
        <v>0.5620726880172726</v>
      </c>
      <c r="W69" s="4" t="n">
        <v>-0.1673288015035197</v>
      </c>
      <c r="X69" s="4" t="n">
        <v>-0.2283000327546674</v>
      </c>
      <c r="Y69" s="4" t="n"/>
      <c r="Z69" s="4" t="n"/>
      <c r="AA69" s="4" t="n">
        <v>0.04</v>
      </c>
      <c r="AB69" s="4" t="n">
        <v>0.05</v>
      </c>
      <c r="AC69" s="4">
        <f>(AB69+2*參數!$B$7)/(AA69+AB69)</f>
        <v/>
      </c>
      <c r="AD69" s="2" t="n">
        <v>0.1850213303839467</v>
      </c>
      <c r="AE69" s="2" t="n">
        <v>0.05507491031863254</v>
      </c>
      <c r="AF69" s="2" t="n">
        <v>7.884083447952517</v>
      </c>
      <c r="AG69" s="2" t="n">
        <v>0.4379273119827273</v>
      </c>
      <c r="AH69" s="2" t="n">
        <v>0.3912277596759213</v>
      </c>
      <c r="AI69" s="2" t="n">
        <v>5</v>
      </c>
      <c r="AJ69" s="2" t="n">
        <v>0.2184369822700496</v>
      </c>
      <c r="AK69" s="2" t="n">
        <v>65.33981484062997</v>
      </c>
      <c r="AL69" s="2" t="n">
        <v>0.1482915847361914</v>
      </c>
      <c r="AM69" s="2" t="n">
        <v>250006.492562</v>
      </c>
    </row>
    <row r="70">
      <c r="A70" s="2" t="n">
        <v>69</v>
      </c>
      <c r="B70" s="2" t="inlineStr">
        <is>
          <t>GRIFFAIN_USDT_PERP</t>
        </is>
      </c>
      <c r="C70" s="2" t="inlineStr">
        <is>
          <t>做空</t>
        </is>
      </c>
      <c r="D70" s="7" t="n">
        <v>46277.64236111111</v>
      </c>
      <c r="E70" s="17" t="n">
        <v>0.01287</v>
      </c>
      <c r="F70" s="17" t="n">
        <v>0.0123552</v>
      </c>
      <c r="G70" s="17" t="n">
        <v>0.0135135</v>
      </c>
      <c r="H70" s="7" t="n">
        <v>46277.68402777778</v>
      </c>
      <c r="I70" s="17" t="n">
        <v>0.0135135</v>
      </c>
      <c r="J70" s="2" t="inlineStr">
        <is>
          <t>止損</t>
        </is>
      </c>
      <c r="K70" s="5">
        <f>(H70-D70)*24</f>
        <v/>
      </c>
      <c r="L70" s="4">
        <f>IF(C70="做多",I70/E70-1,1-I70/E70)-2*參數!$B$7</f>
        <v/>
      </c>
      <c r="M70" s="2" t="inlineStr"/>
      <c r="N70" s="4" t="n">
        <v>-0.008474576271186529</v>
      </c>
      <c r="O70" s="4" t="n">
        <v>0.01596830645568615</v>
      </c>
      <c r="P70" s="4" t="n">
        <v>0.1519570365674006</v>
      </c>
      <c r="Q70" s="19" t="n">
        <v>641045</v>
      </c>
      <c r="R70" s="19" t="n">
        <v>25011.74084</v>
      </c>
      <c r="S70" s="4" t="n">
        <v>0.003885003885003901</v>
      </c>
      <c r="T70" s="4" t="n">
        <v>0.05</v>
      </c>
      <c r="U70" s="16" t="n">
        <v>6.577599589942425</v>
      </c>
      <c r="V70" s="16" t="n">
        <v>1</v>
      </c>
      <c r="W70" s="4" t="n">
        <v>-0.137347779211368</v>
      </c>
      <c r="X70" s="4" t="n">
        <v>-0.1521933751119069</v>
      </c>
      <c r="Y70" s="4" t="n"/>
      <c r="Z70" s="4" t="n"/>
      <c r="AA70" s="4" t="n">
        <v>0.04</v>
      </c>
      <c r="AB70" s="4" t="n">
        <v>0.05</v>
      </c>
      <c r="AC70" s="4">
        <f>(AB70+2*參數!$B$7)/(AA70+AB70)</f>
        <v/>
      </c>
      <c r="AD70" s="2" t="n">
        <v>0.1439999999999999</v>
      </c>
      <c r="AE70" s="2" t="n">
        <v>0.1171874999999998</v>
      </c>
      <c r="AF70" s="2" t="n">
        <v>6.577599589942425</v>
      </c>
      <c r="AG70" s="2" t="n">
        <v>0</v>
      </c>
      <c r="AH70" s="2" t="n">
        <v>0.1180171297000467</v>
      </c>
      <c r="AI70" s="2" t="n">
        <v>12</v>
      </c>
      <c r="AJ70" s="2" t="n">
        <v>0.1519570365674006</v>
      </c>
      <c r="AK70" s="2" t="n">
        <v>86.4339265295351</v>
      </c>
      <c r="AL70" s="2" t="n">
        <v>0.05531583618415701</v>
      </c>
      <c r="AM70" s="2" t="n">
        <v>25011.74084</v>
      </c>
    </row>
    <row r="71">
      <c r="A71" s="2" t="n">
        <v>70</v>
      </c>
      <c r="B71" s="2" t="inlineStr">
        <is>
          <t>TA_USDT_PERP</t>
        </is>
      </c>
      <c r="C71" s="2" t="inlineStr">
        <is>
          <t>做空</t>
        </is>
      </c>
      <c r="D71" s="7" t="n">
        <v>46277.83333333334</v>
      </c>
      <c r="E71" s="17" t="n">
        <v>0.06008</v>
      </c>
      <c r="F71" s="17" t="n">
        <v>0.0576768</v>
      </c>
      <c r="G71" s="17" t="n">
        <v>0.063084</v>
      </c>
      <c r="H71" s="7" t="n">
        <v>46278.14236111111</v>
      </c>
      <c r="I71" s="17" t="n">
        <v>0.0576768</v>
      </c>
      <c r="J71" s="2" t="inlineStr">
        <is>
          <t>止盈</t>
        </is>
      </c>
      <c r="K71" s="5">
        <f>(H71-D71)*24</f>
        <v/>
      </c>
      <c r="L71" s="4">
        <f>IF(C71="做多",I71/E71-1,1-I71/E71)-2*參數!$B$7</f>
        <v/>
      </c>
      <c r="M71" s="2" t="inlineStr"/>
      <c r="N71" s="4" t="n">
        <v>-0.0009976720984369303</v>
      </c>
      <c r="O71" s="4" t="n">
        <v>0.01354665529935232</v>
      </c>
      <c r="P71" s="4" t="n">
        <v>0.214051105799226</v>
      </c>
      <c r="Q71" s="19" t="n">
        <v>291824</v>
      </c>
      <c r="R71" s="19" t="n">
        <v>163785.97981</v>
      </c>
      <c r="S71" s="4" t="n">
        <v>0.04</v>
      </c>
      <c r="T71" s="4" t="n">
        <v>0.04543941411451402</v>
      </c>
      <c r="U71" s="16" t="n">
        <v>4.512846576807917</v>
      </c>
      <c r="V71" s="16" t="n">
        <v>0.4857142857142863</v>
      </c>
      <c r="W71" s="4" t="n">
        <v>-0.1548560466555693</v>
      </c>
      <c r="X71" s="4" t="n">
        <v>-0.2802045599829535</v>
      </c>
      <c r="Y71" s="4" t="n"/>
      <c r="Z71" s="4" t="n"/>
      <c r="AA71" s="4" t="n">
        <v>0.04</v>
      </c>
      <c r="AB71" s="4" t="n">
        <v>0.05</v>
      </c>
      <c r="AC71" s="4">
        <f>(AB71+2*參數!$B$7)/(AA71+AB71)</f>
        <v/>
      </c>
      <c r="AD71" s="2" t="n">
        <v>0.1531669865642995</v>
      </c>
      <c r="AE71" s="2" t="n">
        <v>0.07902298850574718</v>
      </c>
      <c r="AF71" s="2" t="n">
        <v>4.512846576807917</v>
      </c>
      <c r="AG71" s="2" t="n">
        <v>0.5142857142857137</v>
      </c>
      <c r="AH71" s="2" t="n">
        <v>0.1001095452779875</v>
      </c>
      <c r="AI71" s="2" t="n">
        <v>6</v>
      </c>
      <c r="AJ71" s="2" t="n">
        <v>0.214051105799226</v>
      </c>
      <c r="AK71" s="2" t="n">
        <v>80.99491768118494</v>
      </c>
      <c r="AL71" s="2" t="n">
        <v>0.04692699050220079</v>
      </c>
      <c r="AM71" s="2" t="n">
        <v>163785.97981</v>
      </c>
    </row>
    <row r="72">
      <c r="A72" s="2" t="n">
        <v>71</v>
      </c>
      <c r="B72" s="2" t="inlineStr">
        <is>
          <t>POWR_USDT_PERP</t>
        </is>
      </c>
      <c r="C72" s="2" t="inlineStr">
        <is>
          <t>做空</t>
        </is>
      </c>
      <c r="D72" s="7" t="n">
        <v>46278.34027777778</v>
      </c>
      <c r="E72" s="17" t="n">
        <v>0.06576</v>
      </c>
      <c r="F72" s="17" t="n">
        <v>0.06312959999999999</v>
      </c>
      <c r="G72" s="17" t="n">
        <v>0.069048</v>
      </c>
      <c r="H72" s="7" t="n">
        <v>46278.34375</v>
      </c>
      <c r="I72" s="17" t="n">
        <v>0.069048</v>
      </c>
      <c r="J72" s="2" t="inlineStr">
        <is>
          <t>止損</t>
        </is>
      </c>
      <c r="K72" s="5">
        <f>(H72-D72)*24</f>
        <v/>
      </c>
      <c r="L72" s="4">
        <f>IF(C72="做多",I72/E72-1,1-I72/E72)-2*參數!$B$7</f>
        <v/>
      </c>
      <c r="M72" s="2" t="inlineStr"/>
      <c r="N72" s="4" t="n">
        <v>0.003816211265455616</v>
      </c>
      <c r="O72" s="4" t="n">
        <v>0.01770328233611666</v>
      </c>
      <c r="P72" s="4" t="n">
        <v>0.198930698213956</v>
      </c>
      <c r="Q72" s="19" t="n">
        <v>256134</v>
      </c>
      <c r="R72" s="19" t="n">
        <v>55930.46621</v>
      </c>
      <c r="S72" s="4" t="n">
        <v>0</v>
      </c>
      <c r="T72" s="4" t="n">
        <v>0.05</v>
      </c>
      <c r="U72" s="16" t="n">
        <v>42.83964162594054</v>
      </c>
      <c r="V72" s="16" t="n">
        <v>0.6659919028340083</v>
      </c>
      <c r="W72" s="4" t="n">
        <v>-0.1920947584811667</v>
      </c>
      <c r="X72" s="4" t="n">
        <v>-0.2209431860378761</v>
      </c>
      <c r="Y72" s="4" t="n"/>
      <c r="Z72" s="4" t="n"/>
      <c r="AA72" s="4" t="n">
        <v>0.04</v>
      </c>
      <c r="AB72" s="4" t="n">
        <v>0.05</v>
      </c>
      <c r="AC72" s="4">
        <f>(AB72+2*參數!$B$7)/(AA72+AB72)</f>
        <v/>
      </c>
      <c r="AD72" s="2" t="n">
        <v>0.2024136039495337</v>
      </c>
      <c r="AE72" s="2" t="n">
        <v>0.1880758807588074</v>
      </c>
      <c r="AF72" s="2" t="n">
        <v>42.83964162594054</v>
      </c>
      <c r="AG72" s="2" t="n">
        <v>0.3340080971659917</v>
      </c>
      <c r="AH72" s="2" t="n">
        <v>0.9730807189872631</v>
      </c>
      <c r="AI72" s="2" t="n">
        <v>2</v>
      </c>
      <c r="AJ72" s="2" t="n">
        <v>0.198930698213956</v>
      </c>
      <c r="AK72" s="2" t="n">
        <v>64.17011982414027</v>
      </c>
      <c r="AL72" s="2" t="n">
        <v>0.06132596893378141</v>
      </c>
      <c r="AM72" s="2" t="n">
        <v>55930.46621</v>
      </c>
    </row>
    <row r="73">
      <c r="A73" s="2" t="n">
        <v>72</v>
      </c>
      <c r="B73" s="2" t="inlineStr">
        <is>
          <t>POWR_USDT_PERP</t>
        </is>
      </c>
      <c r="C73" s="2" t="inlineStr">
        <is>
          <t>做空</t>
        </is>
      </c>
      <c r="D73" s="7" t="n">
        <v>46278.39583333334</v>
      </c>
      <c r="E73" s="17" t="n">
        <v>0.0824</v>
      </c>
      <c r="F73" s="17" t="n">
        <v>0.07910399999999999</v>
      </c>
      <c r="G73" s="17" t="n">
        <v>0.08652</v>
      </c>
      <c r="H73" s="7" t="n">
        <v>46278.40277777778</v>
      </c>
      <c r="I73" s="17" t="n">
        <v>0.07910399999999999</v>
      </c>
      <c r="J73" s="2" t="inlineStr">
        <is>
          <t>止盈</t>
        </is>
      </c>
      <c r="K73" s="5">
        <f>(H73-D73)*24</f>
        <v/>
      </c>
      <c r="L73" s="4">
        <f>IF(C73="做多",I73/E73-1,1-I73/E73)-2*參數!$B$7</f>
        <v/>
      </c>
      <c r="M73" s="2" t="inlineStr"/>
      <c r="N73" s="4" t="n">
        <v>0.009061964241978915</v>
      </c>
      <c r="O73" s="4" t="n">
        <v>0.03942347456193043</v>
      </c>
      <c r="P73" s="4" t="n">
        <v>0.4703684620240318</v>
      </c>
      <c r="Q73" s="19" t="n">
        <v>679657</v>
      </c>
      <c r="R73" s="19" t="n">
        <v>138105.95295</v>
      </c>
      <c r="S73" s="4" t="n">
        <v>0.04</v>
      </c>
      <c r="T73" s="4" t="n">
        <v>0.009830097087378808</v>
      </c>
      <c r="U73" s="16" t="n">
        <v>11.6940519536707</v>
      </c>
      <c r="V73" s="16" t="n">
        <v>0.6804979253112037</v>
      </c>
      <c r="W73" s="4" t="n">
        <v>-0.4164841625381195</v>
      </c>
      <c r="X73" s="4" t="n">
        <v>-0.522823877287008</v>
      </c>
      <c r="Y73" s="4" t="n"/>
      <c r="Z73" s="4" t="n"/>
      <c r="AA73" s="4" t="n">
        <v>0.04</v>
      </c>
      <c r="AB73" s="4" t="n">
        <v>0.05</v>
      </c>
      <c r="AC73" s="4">
        <f>(AB73+2*參數!$B$7)/(AA73+AB73)</f>
        <v/>
      </c>
      <c r="AD73" s="2" t="n">
        <v>0.4656705798648169</v>
      </c>
      <c r="AE73" s="2" t="n">
        <v>0.1691259931895572</v>
      </c>
      <c r="AF73" s="2" t="n">
        <v>11.6940519536707</v>
      </c>
      <c r="AG73" s="2" t="n">
        <v>0.3195020746887963</v>
      </c>
      <c r="AH73" s="2" t="n">
        <v>0.3832323617802795</v>
      </c>
      <c r="AI73" s="2" t="n">
        <v>12</v>
      </c>
      <c r="AJ73" s="2" t="n">
        <v>0.4703684620240318</v>
      </c>
      <c r="AK73" s="2" t="n">
        <v>93.92053444241289</v>
      </c>
      <c r="AL73" s="2" t="n">
        <v>0.1365669219043254</v>
      </c>
      <c r="AM73" s="2" t="n">
        <v>138105.95295</v>
      </c>
    </row>
    <row r="74">
      <c r="A74" s="2" t="n">
        <v>73</v>
      </c>
      <c r="B74" s="2" t="inlineStr">
        <is>
          <t>POWR_USDT_PERP</t>
        </is>
      </c>
      <c r="C74" s="2" t="inlineStr">
        <is>
          <t>做空</t>
        </is>
      </c>
      <c r="D74" s="7" t="n">
        <v>46278.45138888889</v>
      </c>
      <c r="E74" s="17" t="n">
        <v>0.08243</v>
      </c>
      <c r="F74" s="17" t="n">
        <v>0.0791328</v>
      </c>
      <c r="G74" s="17" t="n">
        <v>0.0865515</v>
      </c>
      <c r="H74" s="7" t="n">
        <v>46278.45486111111</v>
      </c>
      <c r="I74" s="17" t="n">
        <v>0.0791328</v>
      </c>
      <c r="J74" s="2" t="inlineStr">
        <is>
          <t>止盈</t>
        </is>
      </c>
      <c r="K74" s="5">
        <f>(H74-D74)*24</f>
        <v/>
      </c>
      <c r="L74" s="4">
        <f>IF(C74="做多",I74/E74-1,1-I74/E74)-2*參數!$B$7</f>
        <v/>
      </c>
      <c r="M74" s="2" t="inlineStr"/>
      <c r="N74" s="4" t="n">
        <v>0.01803136964307761</v>
      </c>
      <c r="O74" s="4" t="n">
        <v>0.0327239405948686</v>
      </c>
      <c r="P74" s="4" t="n">
        <v>0.4285136618335164</v>
      </c>
      <c r="Q74" s="19" t="n">
        <v>1118426</v>
      </c>
      <c r="R74" s="19" t="n">
        <v>253033.27421</v>
      </c>
      <c r="S74" s="4" t="n">
        <v>0.04</v>
      </c>
      <c r="T74" s="4" t="n">
        <v>0</v>
      </c>
      <c r="U74" s="16" t="n">
        <v>23.81639638125648</v>
      </c>
      <c r="V74" s="16" t="n">
        <v>0.6805251641137853</v>
      </c>
      <c r="W74" s="4" t="n">
        <v>-0.3227381626728842</v>
      </c>
      <c r="X74" s="4" t="n">
        <v>-0.5278962001853569</v>
      </c>
      <c r="Y74" s="4" t="n"/>
      <c r="Z74" s="4" t="n"/>
      <c r="AA74" s="4" t="n">
        <v>0.04</v>
      </c>
      <c r="AB74" s="4" t="n">
        <v>0.05</v>
      </c>
      <c r="AC74" s="4">
        <f>(AB74+2*參數!$B$7)/(AA74+AB74)</f>
        <v/>
      </c>
      <c r="AD74" s="2" t="n">
        <v>0.1702157864849518</v>
      </c>
      <c r="AE74" s="2" t="n">
        <v>0.04065143289988637</v>
      </c>
      <c r="AF74" s="2" t="n">
        <v>23.81639638125648</v>
      </c>
      <c r="AG74" s="2" t="n">
        <v>0.3194748358862148</v>
      </c>
      <c r="AH74" s="2" t="n">
        <v>0.9910156526798268</v>
      </c>
      <c r="AI74" s="2" t="n">
        <v>9</v>
      </c>
      <c r="AJ74" s="2" t="n">
        <v>0.4285136618335164</v>
      </c>
      <c r="AK74" s="2" t="n">
        <v>91.83676230722196</v>
      </c>
      <c r="AL74" s="2" t="n">
        <v>0.1133590554683562</v>
      </c>
      <c r="AM74" s="2" t="n">
        <v>253033.27421</v>
      </c>
    </row>
    <row r="75">
      <c r="A75" s="2" t="n">
        <v>74</v>
      </c>
      <c r="B75" s="2" t="inlineStr">
        <is>
          <t>CTR_USDT_PERP</t>
        </is>
      </c>
      <c r="C75" s="2" t="inlineStr">
        <is>
          <t>做空</t>
        </is>
      </c>
      <c r="D75" s="7" t="n">
        <v>46278.60069444445</v>
      </c>
      <c r="E75" s="17" t="n">
        <v>0.01166</v>
      </c>
      <c r="F75" s="17" t="n">
        <v>0.0111936</v>
      </c>
      <c r="G75" s="17" t="n">
        <v>0.012243</v>
      </c>
      <c r="H75" s="7" t="n">
        <v>46278.60416666666</v>
      </c>
      <c r="I75" s="17" t="n">
        <v>0.0111936</v>
      </c>
      <c r="J75" s="2" t="inlineStr">
        <is>
          <t>止盈</t>
        </is>
      </c>
      <c r="K75" s="5">
        <f>(H75-D75)*24</f>
        <v/>
      </c>
      <c r="L75" s="4">
        <f>IF(C75="做多",I75/E75-1,1-I75/E75)-2*參數!$B$7</f>
        <v/>
      </c>
      <c r="M75" s="2" t="inlineStr"/>
      <c r="N75" s="4" t="n">
        <v>0.021015761821366</v>
      </c>
      <c r="O75" s="4" t="n">
        <v>0.03208731293113014</v>
      </c>
      <c r="P75" s="4" t="n">
        <v>0.1569660236321391</v>
      </c>
      <c r="Q75" s="19" t="n">
        <v>5512673</v>
      </c>
      <c r="R75" s="19" t="n">
        <v>162809.89436</v>
      </c>
      <c r="S75" s="4" t="n">
        <v>0.04</v>
      </c>
      <c r="T75" s="4" t="n">
        <v>0</v>
      </c>
      <c r="U75" s="16" t="n">
        <v>3.223534241859662</v>
      </c>
      <c r="V75" s="16" t="n">
        <v>0.7499999999999996</v>
      </c>
      <c r="W75" s="4" t="n">
        <v>-0.1293196962653029</v>
      </c>
      <c r="X75" s="4" t="n">
        <v>-0.1648351648351649</v>
      </c>
      <c r="Y75" s="4" t="n"/>
      <c r="Z75" s="4" t="n"/>
      <c r="AA75" s="4" t="n">
        <v>0.04</v>
      </c>
      <c r="AB75" s="4" t="n">
        <v>0.05</v>
      </c>
      <c r="AC75" s="4">
        <f>(AB75+2*參數!$B$7)/(AA75+AB75)</f>
        <v/>
      </c>
      <c r="AD75" s="2" t="n">
        <v>0.1706827309236947</v>
      </c>
      <c r="AE75" s="2" t="n">
        <v>0.029126213592233</v>
      </c>
      <c r="AF75" s="2" t="n">
        <v>3.223534241859662</v>
      </c>
      <c r="AG75" s="2" t="n">
        <v>0.2500000000000004</v>
      </c>
      <c r="AH75" s="2" t="n">
        <v>0.04621563056717366</v>
      </c>
      <c r="AI75" s="2" t="n">
        <v>10</v>
      </c>
      <c r="AJ75" s="2" t="n">
        <v>0.1569660236321391</v>
      </c>
      <c r="AK75" s="2" t="n">
        <v>81.31471339120321</v>
      </c>
      <c r="AL75" s="2" t="n">
        <v>0.1111537125501585</v>
      </c>
      <c r="AM75" s="2" t="n">
        <v>162809.89436</v>
      </c>
    </row>
    <row r="76">
      <c r="A76" s="2" t="n">
        <v>75</v>
      </c>
      <c r="B76" s="2" t="inlineStr">
        <is>
          <t>REZ_USDT_PERP</t>
        </is>
      </c>
      <c r="C76" s="2" t="inlineStr">
        <is>
          <t>做空</t>
        </is>
      </c>
      <c r="D76" s="7" t="n">
        <v>46278.68055555555</v>
      </c>
      <c r="E76" s="17" t="n">
        <v>0.003949</v>
      </c>
      <c r="F76" s="17" t="n">
        <v>0.00379104</v>
      </c>
      <c r="G76" s="17" t="n">
        <v>0.00414645</v>
      </c>
      <c r="H76" s="7" t="n">
        <v>46278.69791666666</v>
      </c>
      <c r="I76" s="17" t="n">
        <v>0.00379104</v>
      </c>
      <c r="J76" s="2" t="inlineStr">
        <is>
          <t>止盈</t>
        </is>
      </c>
      <c r="K76" s="5">
        <f>(H76-D76)*24</f>
        <v/>
      </c>
      <c r="L76" s="4">
        <f>IF(C76="做多",I76/E76-1,1-I76/E76)-2*參數!$B$7</f>
        <v/>
      </c>
      <c r="M76" s="2" t="inlineStr"/>
      <c r="N76" s="4" t="n">
        <v>0.02279202279202286</v>
      </c>
      <c r="O76" s="4" t="n">
        <v>0.01638598978778854</v>
      </c>
      <c r="P76" s="4" t="n">
        <v>0.04633062263605203</v>
      </c>
      <c r="Q76" s="19" t="n">
        <v>9990817</v>
      </c>
      <c r="R76" s="19" t="n">
        <v>378808.935149</v>
      </c>
      <c r="S76" s="4" t="n">
        <v>0.04</v>
      </c>
      <c r="T76" s="4" t="n">
        <v>0.03038743985819181</v>
      </c>
      <c r="U76" s="16" t="n">
        <v>3.36226138231943</v>
      </c>
      <c r="V76" s="16" t="n">
        <v>0.4210526315789456</v>
      </c>
      <c r="W76" s="4" t="n">
        <v>-0.05187734401636557</v>
      </c>
      <c r="X76" s="4" t="n">
        <v>-0.2226006191950467</v>
      </c>
      <c r="Y76" s="4" t="n"/>
      <c r="Z76" s="4" t="n"/>
      <c r="AA76" s="4" t="n">
        <v>0.04</v>
      </c>
      <c r="AB76" s="4" t="n">
        <v>0.05</v>
      </c>
      <c r="AC76" s="4">
        <f>(AB76+2*參數!$B$7)/(AA76+AB76)</f>
        <v/>
      </c>
      <c r="AD76" s="2" t="n">
        <v>0.1624963202826024</v>
      </c>
      <c r="AE76" s="2" t="n">
        <v>0.1202836879432625</v>
      </c>
      <c r="AF76" s="2" t="n">
        <v>3.36226138231943</v>
      </c>
      <c r="AG76" s="2" t="n">
        <v>0.5789473684210544</v>
      </c>
      <c r="AH76" s="2" t="n">
        <v>0.2693209168186302</v>
      </c>
      <c r="AI76" s="2" t="n">
        <v>4</v>
      </c>
      <c r="AJ76" s="2" t="n">
        <v>0.04633062263605203</v>
      </c>
      <c r="AK76" s="2" t="n">
        <v>49.63775664035177</v>
      </c>
      <c r="AL76" s="2" t="n">
        <v>0.05676273368950902</v>
      </c>
      <c r="AM76" s="2" t="n">
        <v>378808.935149</v>
      </c>
    </row>
    <row r="77">
      <c r="A77" s="2" t="n">
        <v>76</v>
      </c>
      <c r="B77" s="2" t="inlineStr">
        <is>
          <t>BTW_USDT_PERP</t>
        </is>
      </c>
      <c r="C77" s="2" t="inlineStr">
        <is>
          <t>做空</t>
        </is>
      </c>
      <c r="D77" s="7" t="n">
        <v>46278.85069444445</v>
      </c>
      <c r="E77" s="17" t="n">
        <v>0.699394</v>
      </c>
      <c r="F77" s="17" t="n">
        <v>0.6714182399999999</v>
      </c>
      <c r="G77" s="17" t="n">
        <v>0.7343637</v>
      </c>
      <c r="H77" s="7" t="n">
        <v>46278.86805555555</v>
      </c>
      <c r="I77" s="17" t="n">
        <v>0.6714182399999999</v>
      </c>
      <c r="J77" s="2" t="inlineStr">
        <is>
          <t>止盈</t>
        </is>
      </c>
      <c r="K77" s="5">
        <f>(H77-D77)*24</f>
        <v/>
      </c>
      <c r="L77" s="4">
        <f>IF(C77="做多",I77/E77-1,1-I77/E77)-2*參數!$B$7</f>
        <v/>
      </c>
      <c r="M77" s="2" t="inlineStr"/>
      <c r="N77" s="4" t="n">
        <v>-0.006676655848997792</v>
      </c>
      <c r="O77" s="4" t="n">
        <v>0.03522131090874502</v>
      </c>
      <c r="P77" s="4" t="n">
        <v>0.2454010077850992</v>
      </c>
      <c r="Q77" s="19" t="n">
        <v>73617</v>
      </c>
      <c r="R77" s="19" t="n">
        <v>343506.596626</v>
      </c>
      <c r="S77" s="4" t="n">
        <v>0.04</v>
      </c>
      <c r="T77" s="4" t="n">
        <v>0.04821602701767524</v>
      </c>
      <c r="U77" s="16" t="n">
        <v>2.160512512180457</v>
      </c>
      <c r="V77" s="16" t="n">
        <v>0.462496358869794</v>
      </c>
      <c r="W77" s="4" t="n">
        <v>-0.2189125188879468</v>
      </c>
      <c r="X77" s="4" t="n">
        <v>-0.271292607026524</v>
      </c>
      <c r="Y77" s="4" t="n"/>
      <c r="Z77" s="4" t="n"/>
      <c r="AA77" s="4" t="n">
        <v>0.04</v>
      </c>
      <c r="AB77" s="4" t="n">
        <v>0.05</v>
      </c>
      <c r="AC77" s="4">
        <f>(AB77+2*參數!$B$7)/(AA77+AB77)</f>
        <v/>
      </c>
      <c r="AD77" s="2" t="n">
        <v>0.2955579430942501</v>
      </c>
      <c r="AE77" s="2" t="n">
        <v>0.1466885272779439</v>
      </c>
      <c r="AF77" s="2" t="n">
        <v>2.160512512180457</v>
      </c>
      <c r="AG77" s="2" t="n">
        <v>0.537503641130206</v>
      </c>
      <c r="AH77" s="2" t="n">
        <v>0.1289920085558955</v>
      </c>
      <c r="AI77" s="2" t="n">
        <v>9</v>
      </c>
      <c r="AJ77" s="2" t="n">
        <v>0.2454010077850992</v>
      </c>
      <c r="AK77" s="2" t="n">
        <v>81.98187043681469</v>
      </c>
      <c r="AL77" s="2" t="n">
        <v>0.1220102000062526</v>
      </c>
      <c r="AM77" s="2" t="n">
        <v>343506.596626</v>
      </c>
    </row>
    <row r="78">
      <c r="A78" s="2" t="n">
        <v>77</v>
      </c>
      <c r="B78" s="2" t="inlineStr">
        <is>
          <t>MAGMA_USDT_PERP</t>
        </is>
      </c>
      <c r="C78" s="2" t="inlineStr">
        <is>
          <t>做空</t>
        </is>
      </c>
      <c r="D78" s="7" t="n">
        <v>46279.09375</v>
      </c>
      <c r="E78" s="17" t="n">
        <v>0.26632</v>
      </c>
      <c r="F78" s="17" t="n">
        <v>0.2556672</v>
      </c>
      <c r="G78" s="17" t="n">
        <v>0.279636</v>
      </c>
      <c r="H78" s="7" t="n">
        <v>46279.10763888889</v>
      </c>
      <c r="I78" s="17" t="n">
        <v>0.279636</v>
      </c>
      <c r="J78" s="2" t="inlineStr">
        <is>
          <t>止損</t>
        </is>
      </c>
      <c r="K78" s="5">
        <f>(H78-D78)*24</f>
        <v/>
      </c>
      <c r="L78" s="4">
        <f>IF(C78="做多",I78/E78-1,1-I78/E78)-2*參數!$B$7</f>
        <v/>
      </c>
      <c r="M78" s="2" t="inlineStr"/>
      <c r="N78" s="4" t="n">
        <v>-0.004187855219862424</v>
      </c>
      <c r="O78" s="4" t="n">
        <v>0.01805019178355691</v>
      </c>
      <c r="P78" s="4" t="n">
        <v>0.116181406720929</v>
      </c>
      <c r="Q78" s="19" t="n">
        <v>3641</v>
      </c>
      <c r="R78" s="19" t="n">
        <v>72090.47331</v>
      </c>
      <c r="S78" s="4" t="n">
        <v>0.0177605887653951</v>
      </c>
      <c r="T78" s="4" t="n">
        <v>0.05</v>
      </c>
      <c r="U78" s="16" t="n">
        <v>7.333107739480536</v>
      </c>
      <c r="V78" s="16" t="n">
        <v>0.7454545454545509</v>
      </c>
      <c r="W78" s="4" t="n">
        <v>-0.1355878795011292</v>
      </c>
      <c r="X78" s="4" t="n">
        <v>-0.03703126825279401</v>
      </c>
      <c r="Y78" s="4" t="n"/>
      <c r="Z78" s="4" t="n"/>
      <c r="AA78" s="4" t="n">
        <v>0.04</v>
      </c>
      <c r="AB78" s="4" t="n">
        <v>0.05</v>
      </c>
      <c r="AC78" s="4">
        <f>(AB78+2*參數!$B$7)/(AA78+AB78)</f>
        <v/>
      </c>
      <c r="AD78" s="2" t="n">
        <v>0.145413100511806</v>
      </c>
      <c r="AE78" s="2" t="n">
        <v>0.0998595853638391</v>
      </c>
      <c r="AF78" s="2" t="n">
        <v>7.333107739480536</v>
      </c>
      <c r="AG78" s="2" t="n">
        <v>0.254545454545449</v>
      </c>
      <c r="AH78" s="2" t="n">
        <v>0.3670482827277252</v>
      </c>
      <c r="AI78" s="2" t="n">
        <v>11</v>
      </c>
      <c r="AJ78" s="2" t="n">
        <v>0.116181406720929</v>
      </c>
      <c r="AK78" s="2" t="n">
        <v>51.25993647350046</v>
      </c>
      <c r="AL78" s="2" t="n">
        <v>0.06252769851096573</v>
      </c>
      <c r="AM78" s="2" t="n">
        <v>72090.47331</v>
      </c>
    </row>
    <row r="79">
      <c r="A79" s="2" t="n">
        <v>78</v>
      </c>
      <c r="B79" s="2" t="inlineStr">
        <is>
          <t>BR_USDT_PERP</t>
        </is>
      </c>
      <c r="C79" s="2" t="inlineStr">
        <is>
          <t>做空</t>
        </is>
      </c>
      <c r="D79" s="7" t="n">
        <v>46279.49652777778</v>
      </c>
      <c r="E79" s="17" t="n">
        <v>0.36686</v>
      </c>
      <c r="F79" s="17" t="n">
        <v>0.3521856</v>
      </c>
      <c r="G79" s="17" t="n">
        <v>0.385203</v>
      </c>
      <c r="H79" s="7" t="n">
        <v>46279.5</v>
      </c>
      <c r="I79" s="17" t="n">
        <v>0.385203</v>
      </c>
      <c r="J79" s="2" t="inlineStr">
        <is>
          <t>止損</t>
        </is>
      </c>
      <c r="K79" s="5">
        <f>(H79-D79)*24</f>
        <v/>
      </c>
      <c r="L79" s="4">
        <f>IF(C79="做多",I79/E79-1,1-I79/E79)-2*參數!$B$7</f>
        <v/>
      </c>
      <c r="M79" s="2" t="inlineStr"/>
      <c r="N79" s="4" t="n">
        <v>0.005922676172196217</v>
      </c>
      <c r="O79" s="4" t="n">
        <v>0.0229941724569759</v>
      </c>
      <c r="P79" s="4" t="n">
        <v>0.2414557421614481</v>
      </c>
      <c r="Q79" s="19" t="n">
        <v>296837</v>
      </c>
      <c r="R79" s="19" t="n">
        <v>464471.52355</v>
      </c>
      <c r="S79" s="4" t="n">
        <v>0</v>
      </c>
      <c r="T79" s="4" t="n">
        <v>0.05</v>
      </c>
      <c r="U79" s="16" t="n">
        <v>4.430089757253476</v>
      </c>
      <c r="V79" s="16" t="n">
        <v>0.610132158590305</v>
      </c>
      <c r="W79" s="4" t="n">
        <v>-0.1452149830056415</v>
      </c>
      <c r="X79" s="4" t="n">
        <v>-0.4433078920450075</v>
      </c>
      <c r="Y79" s="4" t="n"/>
      <c r="Z79" s="4" t="n"/>
      <c r="AA79" s="4" t="n">
        <v>0.04</v>
      </c>
      <c r="AB79" s="4" t="n">
        <v>0.05</v>
      </c>
      <c r="AC79" s="4">
        <f>(AB79+2*參數!$B$7)/(AA79+AB79)</f>
        <v/>
      </c>
      <c r="AD79" s="2" t="n">
        <v>0.1590420826488057</v>
      </c>
      <c r="AE79" s="2" t="n">
        <v>0.1052663292359606</v>
      </c>
      <c r="AF79" s="2" t="n">
        <v>4.430089757253476</v>
      </c>
      <c r="AG79" s="2" t="n">
        <v>0.389867841409695</v>
      </c>
      <c r="AH79" s="2" t="n">
        <v>0.2100477142119505</v>
      </c>
      <c r="AI79" s="2" t="n">
        <v>11</v>
      </c>
      <c r="AJ79" s="2" t="n">
        <v>0.2414557421614481</v>
      </c>
      <c r="AK79" s="2" t="n">
        <v>81.98212550584483</v>
      </c>
      <c r="AL79" s="2" t="n">
        <v>0.07965414994696628</v>
      </c>
      <c r="AM79" s="2" t="n">
        <v>464471.52355</v>
      </c>
    </row>
    <row r="80">
      <c r="A80" s="2" t="n">
        <v>79</v>
      </c>
      <c r="B80" s="2" t="inlineStr">
        <is>
          <t>AIN_USDT_PERP</t>
        </is>
      </c>
      <c r="C80" s="2" t="inlineStr">
        <is>
          <t>做空</t>
        </is>
      </c>
      <c r="D80" s="7" t="n">
        <v>46279.57638888889</v>
      </c>
      <c r="E80" s="17" t="n">
        <v>0.10972</v>
      </c>
      <c r="F80" s="17" t="n">
        <v>0.1053312</v>
      </c>
      <c r="G80" s="17" t="n">
        <v>0.115206</v>
      </c>
      <c r="H80" s="7" t="n">
        <v>46279.58333333334</v>
      </c>
      <c r="I80" s="17" t="n">
        <v>0.1053312</v>
      </c>
      <c r="J80" s="2" t="inlineStr">
        <is>
          <t>止盈</t>
        </is>
      </c>
      <c r="K80" s="5">
        <f>(H80-D80)*24</f>
        <v/>
      </c>
      <c r="L80" s="4">
        <f>IF(C80="做多",I80/E80-1,1-I80/E80)-2*參數!$B$7</f>
        <v/>
      </c>
      <c r="M80" s="2" t="inlineStr"/>
      <c r="N80" s="4" t="n">
        <v>0.0504547630445189</v>
      </c>
      <c r="O80" s="4" t="n">
        <v>0.03863486141161759</v>
      </c>
      <c r="P80" s="4" t="n">
        <v>0.564707098724718</v>
      </c>
      <c r="Q80" s="19" t="n">
        <v>1489869</v>
      </c>
      <c r="R80" s="19" t="n">
        <v>146004.27567</v>
      </c>
      <c r="S80" s="4" t="n">
        <v>0.04</v>
      </c>
      <c r="T80" s="4" t="n">
        <v>0.0161319722931097</v>
      </c>
      <c r="U80" s="16" t="n">
        <v>50.46717394916099</v>
      </c>
      <c r="V80" s="16" t="n">
        <v>0.4256086564472499</v>
      </c>
      <c r="W80" s="4" t="n">
        <v>-0.5554141084508659</v>
      </c>
      <c r="X80" s="4" t="n">
        <v>-0.5486238532110093</v>
      </c>
      <c r="Y80" s="4" t="n"/>
      <c r="Z80" s="4" t="n"/>
      <c r="AA80" s="4" t="n">
        <v>0.04</v>
      </c>
      <c r="AB80" s="4" t="n">
        <v>0.05</v>
      </c>
      <c r="AC80" s="4">
        <f>(AB80+2*參數!$B$7)/(AA80+AB80)</f>
        <v/>
      </c>
      <c r="AD80" s="2" t="n">
        <v>0.5915288656803017</v>
      </c>
      <c r="AE80" s="2" t="n">
        <v>0.5768899108939349</v>
      </c>
      <c r="AF80" s="2" t="n">
        <v>50.46717394916099</v>
      </c>
      <c r="AG80" s="2" t="n">
        <v>0.5743913435527501</v>
      </c>
      <c r="AH80" s="2" t="n">
        <v>0.911946446961895</v>
      </c>
      <c r="AI80" s="2" t="n">
        <v>8</v>
      </c>
      <c r="AJ80" s="2" t="n">
        <v>0.564707098724718</v>
      </c>
      <c r="AK80" s="2" t="n">
        <v>84.29529213680388</v>
      </c>
      <c r="AL80" s="2" t="n">
        <v>0.1338350858166078</v>
      </c>
      <c r="AM80" s="2" t="n">
        <v>146004.27567</v>
      </c>
    </row>
    <row r="81">
      <c r="A81" s="2" t="n">
        <v>80</v>
      </c>
      <c r="B81" s="2" t="inlineStr">
        <is>
          <t>XPIN_USDT_PERP</t>
        </is>
      </c>
      <c r="C81" s="2" t="inlineStr">
        <is>
          <t>做空</t>
        </is>
      </c>
      <c r="D81" s="7" t="n">
        <v>46279.60416666666</v>
      </c>
      <c r="E81" s="17" t="n">
        <v>0.000886</v>
      </c>
      <c r="F81" s="17" t="n">
        <v>0.0008505599999999999</v>
      </c>
      <c r="G81" s="17" t="n">
        <v>0.0009303</v>
      </c>
      <c r="H81" s="7" t="n">
        <v>46279.60763888889</v>
      </c>
      <c r="I81" s="17" t="n">
        <v>0.0009303</v>
      </c>
      <c r="J81" s="2" t="inlineStr">
        <is>
          <t>止損</t>
        </is>
      </c>
      <c r="K81" s="5">
        <f>(H81-D81)*24</f>
        <v/>
      </c>
      <c r="L81" s="4">
        <f>IF(C81="做多",I81/E81-1,1-I81/E81)-2*參數!$B$7</f>
        <v/>
      </c>
      <c r="M81" s="2" t="inlineStr"/>
      <c r="N81" s="4" t="n">
        <v>-0.01555555555555554</v>
      </c>
      <c r="O81" s="4" t="n">
        <v>0.01967602747269053</v>
      </c>
      <c r="P81" s="4" t="n">
        <v>0.1431336182565921</v>
      </c>
      <c r="Q81" s="19" t="n">
        <v>-1880861</v>
      </c>
      <c r="R81" s="19" t="n">
        <v>46512.118328</v>
      </c>
      <c r="S81" s="4" t="n">
        <v>0</v>
      </c>
      <c r="T81" s="4" t="n">
        <v>0.05</v>
      </c>
      <c r="U81" s="16" t="n">
        <v>24.5356006844947</v>
      </c>
      <c r="V81" s="16" t="n">
        <v>0.4947368421052636</v>
      </c>
      <c r="W81" s="4" t="n">
        <v>-0.1510380128355029</v>
      </c>
      <c r="X81" s="4" t="n">
        <v>-0.05854241338112298</v>
      </c>
      <c r="Y81" s="4" t="n"/>
      <c r="Z81" s="4" t="n"/>
      <c r="AA81" s="4" t="n">
        <v>0.04</v>
      </c>
      <c r="AB81" s="4" t="n">
        <v>0.05</v>
      </c>
      <c r="AC81" s="4">
        <f>(AB81+2*參數!$B$7)/(AA81+AB81)</f>
        <v/>
      </c>
      <c r="AD81" s="2" t="n">
        <v>0.1673254281949934</v>
      </c>
      <c r="AE81" s="2" t="n">
        <v>0.1506493506493507</v>
      </c>
      <c r="AF81" s="2" t="n">
        <v>24.5356006844947</v>
      </c>
      <c r="AG81" s="2" t="n">
        <v>0.5052631578947364</v>
      </c>
      <c r="AH81" s="2" t="n">
        <v>0.6280233482155111</v>
      </c>
      <c r="AI81" s="2" t="n">
        <v>2</v>
      </c>
      <c r="AJ81" s="2" t="n">
        <v>0.1431336182565921</v>
      </c>
      <c r="AK81" s="2" t="n">
        <v>71.57558694125927</v>
      </c>
      <c r="AL81" s="2" t="n">
        <v>0.06815975854764211</v>
      </c>
      <c r="AM81" s="2" t="n">
        <v>46512.118328</v>
      </c>
    </row>
    <row r="82">
      <c r="A82" s="2" t="n">
        <v>81</v>
      </c>
      <c r="B82" s="2" t="inlineStr">
        <is>
          <t>AIN_USDT_PERP</t>
        </is>
      </c>
      <c r="C82" s="2" t="inlineStr">
        <is>
          <t>做空</t>
        </is>
      </c>
      <c r="D82" s="7" t="n">
        <v>46279.625</v>
      </c>
      <c r="E82" s="17" t="n">
        <v>0.10454</v>
      </c>
      <c r="F82" s="17" t="n">
        <v>0.1003584</v>
      </c>
      <c r="G82" s="17" t="n">
        <v>0.109767</v>
      </c>
      <c r="H82" s="7" t="n">
        <v>46279.64583333334</v>
      </c>
      <c r="I82" s="17" t="n">
        <v>0.1003584</v>
      </c>
      <c r="J82" s="2" t="inlineStr">
        <is>
          <t>止盈</t>
        </is>
      </c>
      <c r="K82" s="5">
        <f>(H82-D82)*24</f>
        <v/>
      </c>
      <c r="L82" s="4">
        <f>IF(C82="做多",I82/E82-1,1-I82/E82)-2*參數!$B$7</f>
        <v/>
      </c>
      <c r="M82" s="2" t="inlineStr"/>
      <c r="N82" s="4" t="n">
        <v>-0.007877004840087465</v>
      </c>
      <c r="O82" s="4" t="n">
        <v>0.04550985933302</v>
      </c>
      <c r="P82" s="4" t="n">
        <v>0.4501502192310667</v>
      </c>
      <c r="Q82" s="19" t="n">
        <v>1753221</v>
      </c>
      <c r="R82" s="19" t="n">
        <v>353622.98583</v>
      </c>
      <c r="S82" s="4" t="n">
        <v>0.04</v>
      </c>
      <c r="T82" s="4" t="n">
        <v>0.02515783432179086</v>
      </c>
      <c r="U82" s="16" t="n">
        <v>3.015863839110425</v>
      </c>
      <c r="V82" s="16" t="n">
        <v>0.7286135693215361</v>
      </c>
      <c r="W82" s="4" t="n">
        <v>-0.3861026437249488</v>
      </c>
      <c r="X82" s="4" t="n">
        <v>-0.4705303136868757</v>
      </c>
      <c r="Y82" s="4" t="n"/>
      <c r="Z82" s="4" t="n"/>
      <c r="AA82" s="4" t="n">
        <v>0.04</v>
      </c>
      <c r="AB82" s="4" t="n">
        <v>0.05</v>
      </c>
      <c r="AC82" s="4">
        <f>(AB82+2*參數!$B$7)/(AA82+AB82)</f>
        <v/>
      </c>
      <c r="AD82" s="2" t="n">
        <v>0.5046056419113414</v>
      </c>
      <c r="AE82" s="2" t="n">
        <v>0.04268900857769786</v>
      </c>
      <c r="AF82" s="2" t="n">
        <v>3.015863839110425</v>
      </c>
      <c r="AG82" s="2" t="n">
        <v>0.271386430678464</v>
      </c>
      <c r="AH82" s="2" t="n">
        <v>0.08425372137210098</v>
      </c>
      <c r="AI82" s="2" t="n">
        <v>12</v>
      </c>
      <c r="AJ82" s="2" t="n">
        <v>0.4501502192310667</v>
      </c>
      <c r="AK82" s="2" t="n">
        <v>93.72309506643671</v>
      </c>
      <c r="AL82" s="2" t="n">
        <v>0.1576507772202066</v>
      </c>
      <c r="AM82" s="2" t="n">
        <v>353622.98583</v>
      </c>
    </row>
    <row r="83">
      <c r="A83" s="2" t="n">
        <v>82</v>
      </c>
      <c r="B83" s="2" t="inlineStr">
        <is>
          <t>CAP_USDT_PERP</t>
        </is>
      </c>
      <c r="C83" s="2" t="inlineStr">
        <is>
          <t>做空</t>
        </is>
      </c>
      <c r="D83" s="7" t="n">
        <v>46279.85069444445</v>
      </c>
      <c r="E83" s="17" t="n">
        <v>0.06824</v>
      </c>
      <c r="F83" s="17" t="n">
        <v>0.0655104</v>
      </c>
      <c r="G83" s="17" t="n">
        <v>0.07165199999999999</v>
      </c>
      <c r="H83" s="7" t="n">
        <v>46279.85416666666</v>
      </c>
      <c r="I83" s="17" t="n">
        <v>0.0655104</v>
      </c>
      <c r="J83" s="2" t="inlineStr">
        <is>
          <t>止盈</t>
        </is>
      </c>
      <c r="K83" s="5">
        <f>(H83-D83)*24</f>
        <v/>
      </c>
      <c r="L83" s="4">
        <f>IF(C83="做多",I83/E83-1,1-I83/E83)-2*參數!$B$7</f>
        <v/>
      </c>
      <c r="M83" s="2" t="inlineStr"/>
      <c r="N83" s="4" t="n">
        <v>-0.008571843672817159</v>
      </c>
      <c r="O83" s="4" t="n">
        <v>0.0243079274747861</v>
      </c>
      <c r="P83" s="4" t="n">
        <v>0.4056976002650443</v>
      </c>
      <c r="Q83" s="19" t="n">
        <v>2442294</v>
      </c>
      <c r="R83" s="19" t="n">
        <v>428697.34845</v>
      </c>
      <c r="S83" s="4" t="n">
        <v>0.04</v>
      </c>
      <c r="T83" s="4" t="n">
        <v>0</v>
      </c>
      <c r="U83" s="16" t="n">
        <v>72.09773833162896</v>
      </c>
      <c r="V83" s="16" t="n">
        <v>0.7323076923076939</v>
      </c>
      <c r="W83" s="4" t="n">
        <v>-0.3486565807286777</v>
      </c>
      <c r="X83" s="4" t="n">
        <v>-0.4668959587274291</v>
      </c>
      <c r="Y83" s="4" t="n"/>
      <c r="Z83" s="4" t="n"/>
      <c r="AA83" s="4" t="n">
        <v>0.04</v>
      </c>
      <c r="AB83" s="4" t="n">
        <v>0.05</v>
      </c>
      <c r="AC83" s="4">
        <f>(AB83+2*參數!$B$7)/(AA83+AB83)</f>
        <v/>
      </c>
      <c r="AD83" s="2" t="n">
        <v>0.3120553739665448</v>
      </c>
      <c r="AE83" s="2" t="n">
        <v>0.244574138245486</v>
      </c>
      <c r="AF83" s="2" t="n">
        <v>72.09773833162896</v>
      </c>
      <c r="AG83" s="2" t="n">
        <v>0.2676923076923062</v>
      </c>
      <c r="AH83" s="2" t="n">
        <v>1</v>
      </c>
      <c r="AI83" s="2" t="n">
        <v>11</v>
      </c>
      <c r="AJ83" s="2" t="n">
        <v>0.4056976002650443</v>
      </c>
      <c r="AK83" s="2" t="n">
        <v>94.46676118304705</v>
      </c>
      <c r="AL83" s="2" t="n">
        <v>0.08420513082605793</v>
      </c>
      <c r="AM83" s="2" t="n">
        <v>428697.34845</v>
      </c>
    </row>
    <row r="84">
      <c r="A84" s="2" t="n">
        <v>83</v>
      </c>
      <c r="B84" s="2" t="inlineStr">
        <is>
          <t>HEMI_USDT_PERP</t>
        </is>
      </c>
      <c r="C84" s="2" t="inlineStr">
        <is>
          <t>做空</t>
        </is>
      </c>
      <c r="D84" s="7" t="n">
        <v>46280.02083333334</v>
      </c>
      <c r="E84" s="17" t="n">
        <v>0.00705</v>
      </c>
      <c r="F84" s="17" t="n">
        <v>0.006768</v>
      </c>
      <c r="G84" s="17" t="n">
        <v>0.0074025</v>
      </c>
      <c r="H84" s="7" t="n">
        <v>46280.02430555555</v>
      </c>
      <c r="I84" s="17" t="n">
        <v>0.006768</v>
      </c>
      <c r="J84" s="2" t="inlineStr">
        <is>
          <t>止盈</t>
        </is>
      </c>
      <c r="K84" s="5">
        <f>(H84-D84)*24</f>
        <v/>
      </c>
      <c r="L84" s="4">
        <f>IF(C84="做多",I84/E84-1,1-I84/E84)-2*參數!$B$7</f>
        <v/>
      </c>
      <c r="M84" s="2" t="inlineStr"/>
      <c r="N84" s="4" t="n">
        <v>-0.01947148817802513</v>
      </c>
      <c r="O84" s="4" t="n">
        <v>0.01697444968657837</v>
      </c>
      <c r="P84" s="4" t="n">
        <v>0.1228275079467254</v>
      </c>
      <c r="Q84" s="19" t="n">
        <v>-5787753</v>
      </c>
      <c r="R84" s="19" t="n">
        <v>179210.24066</v>
      </c>
      <c r="S84" s="4" t="n">
        <v>0.04</v>
      </c>
      <c r="T84" s="4" t="n">
        <v>0</v>
      </c>
      <c r="U84" s="16" t="n">
        <v>3.340402817976596</v>
      </c>
      <c r="V84" s="16" t="n">
        <v>0.5384615384615403</v>
      </c>
      <c r="W84" s="4" t="n">
        <v>-0.1315666982328301</v>
      </c>
      <c r="X84" s="4" t="n">
        <v>-0.115506329113924</v>
      </c>
      <c r="Y84" s="4" t="n"/>
      <c r="Z84" s="4" t="n"/>
      <c r="AA84" s="4" t="n">
        <v>0.04</v>
      </c>
      <c r="AB84" s="4" t="n">
        <v>0.05</v>
      </c>
      <c r="AC84" s="4">
        <f>(AB84+2*參數!$B$7)/(AA84+AB84)</f>
        <v/>
      </c>
      <c r="AD84" s="2" t="n">
        <v>0.1482084690553747</v>
      </c>
      <c r="AE84" s="2" t="n">
        <v>0.08294930875576023</v>
      </c>
      <c r="AF84" s="2" t="n">
        <v>3.340402817976596</v>
      </c>
      <c r="AG84" s="2" t="n">
        <v>0.4615384615384597</v>
      </c>
      <c r="AH84" s="2" t="n">
        <v>0.03386817031518535</v>
      </c>
      <c r="AI84" s="2" t="n">
        <v>3</v>
      </c>
      <c r="AJ84" s="2" t="n">
        <v>0.1228275079467254</v>
      </c>
      <c r="AK84" s="2" t="n">
        <v>73.61542241108583</v>
      </c>
      <c r="AL84" s="2" t="n">
        <v>0.05880121857535069</v>
      </c>
      <c r="AM84" s="2" t="n">
        <v>179210.24066</v>
      </c>
    </row>
    <row r="85">
      <c r="A85" s="2" t="n">
        <v>84</v>
      </c>
      <c r="B85" s="2" t="inlineStr">
        <is>
          <t>ASTR_USDT_PERP</t>
        </is>
      </c>
      <c r="C85" s="2" t="inlineStr">
        <is>
          <t>做空</t>
        </is>
      </c>
      <c r="D85" s="7" t="n">
        <v>46280.37847222222</v>
      </c>
      <c r="E85" s="17" t="n">
        <v>0.006865</v>
      </c>
      <c r="F85" s="17" t="n">
        <v>0.0065904</v>
      </c>
      <c r="G85" s="17" t="n">
        <v>0.00720825</v>
      </c>
      <c r="H85" s="7" t="n">
        <v>46280.38194444445</v>
      </c>
      <c r="I85" s="17" t="n">
        <v>0.00720825</v>
      </c>
      <c r="J85" s="2" t="inlineStr">
        <is>
          <t>止損</t>
        </is>
      </c>
      <c r="K85" s="5">
        <f>(H85-D85)*24</f>
        <v/>
      </c>
      <c r="L85" s="4">
        <f>IF(C85="做多",I85/E85-1,1-I85/E85)-2*參數!$B$7</f>
        <v/>
      </c>
      <c r="M85" s="2" t="inlineStr"/>
      <c r="N85" s="4" t="n">
        <v>0.02523894862604537</v>
      </c>
      <c r="O85" s="4" t="n">
        <v>0.0219801121868151</v>
      </c>
      <c r="P85" s="4" t="n">
        <v>0.1185533485316101</v>
      </c>
      <c r="Q85" s="19" t="n">
        <v>4520210</v>
      </c>
      <c r="R85" s="19" t="n">
        <v>61523.703745</v>
      </c>
      <c r="S85" s="4" t="n">
        <v>0</v>
      </c>
      <c r="T85" s="4" t="n">
        <v>0.05</v>
      </c>
      <c r="U85" s="16" t="n">
        <v>41.54243002145525</v>
      </c>
      <c r="V85" s="16" t="n">
        <v>0.7713125845737485</v>
      </c>
      <c r="W85" s="4" t="n">
        <v>-0.1215542634582427</v>
      </c>
      <c r="X85" s="4" t="n">
        <v>-0.1017493179264963</v>
      </c>
      <c r="Y85" s="4" t="n"/>
      <c r="Z85" s="4" t="n"/>
      <c r="AA85" s="4" t="n">
        <v>0.04</v>
      </c>
      <c r="AB85" s="4" t="n">
        <v>0.05</v>
      </c>
      <c r="AC85" s="4">
        <f>(AB85+2*參數!$B$7)/(AA85+AB85)</f>
        <v/>
      </c>
      <c r="AD85" s="2" t="n">
        <v>0.1464595858383433</v>
      </c>
      <c r="AE85" s="2" t="n">
        <v>0.0589233379608205</v>
      </c>
      <c r="AF85" s="2" t="n">
        <v>41.54243002145525</v>
      </c>
      <c r="AG85" s="2" t="n">
        <v>0.2286874154262515</v>
      </c>
      <c r="AH85" s="2" t="n">
        <v>0.2562857685491344</v>
      </c>
      <c r="AI85" s="2" t="n">
        <v>6</v>
      </c>
      <c r="AJ85" s="2" t="n">
        <v>0.1185533485316101</v>
      </c>
      <c r="AK85" s="2" t="n">
        <v>65.23212893077874</v>
      </c>
      <c r="AL85" s="2" t="n">
        <v>0.07614134212725522</v>
      </c>
      <c r="AM85" s="2" t="n">
        <v>61523.703745</v>
      </c>
    </row>
    <row r="86">
      <c r="A86" s="2" t="n">
        <v>85</v>
      </c>
      <c r="B86" s="2" t="inlineStr">
        <is>
          <t>ASTR_USDT_PERP</t>
        </is>
      </c>
      <c r="C86" s="2" t="inlineStr">
        <is>
          <t>做空</t>
        </is>
      </c>
      <c r="D86" s="7" t="n">
        <v>46280.43055555555</v>
      </c>
      <c r="E86" s="17" t="n">
        <v>0.007216</v>
      </c>
      <c r="F86" s="17" t="n">
        <v>0.00692736</v>
      </c>
      <c r="G86" s="17" t="n">
        <v>0.007576800000000001</v>
      </c>
      <c r="H86" s="7" t="n">
        <v>46280.43402777778</v>
      </c>
      <c r="I86" s="17" t="n">
        <v>0.007576800000000001</v>
      </c>
      <c r="J86" s="2" t="inlineStr">
        <is>
          <t>止損</t>
        </is>
      </c>
      <c r="K86" s="5">
        <f>(H86-D86)*24</f>
        <v/>
      </c>
      <c r="L86" s="4">
        <f>IF(C86="做多",I86/E86-1,1-I86/E86)-2*參數!$B$7</f>
        <v/>
      </c>
      <c r="M86" s="2" t="inlineStr"/>
      <c r="N86" s="4" t="n">
        <v>-0.03322615219721325</v>
      </c>
      <c r="O86" s="4" t="n">
        <v>0.03515932699881551</v>
      </c>
      <c r="P86" s="4" t="n">
        <v>0.161980406878325</v>
      </c>
      <c r="Q86" s="19" t="n">
        <v>-315180</v>
      </c>
      <c r="R86" s="19" t="n">
        <v>146832.093784</v>
      </c>
      <c r="S86" s="4" t="n">
        <v>0</v>
      </c>
      <c r="T86" s="4" t="n">
        <v>0.05</v>
      </c>
      <c r="U86" s="16" t="n">
        <v>2.621852474591524</v>
      </c>
      <c r="V86" s="16" t="n">
        <v>0.9833333333333335</v>
      </c>
      <c r="W86" s="4" t="n">
        <v>-0.1410752293694042</v>
      </c>
      <c r="X86" s="4" t="n">
        <v>-0.1328100470957614</v>
      </c>
      <c r="Y86" s="4" t="n"/>
      <c r="Z86" s="4" t="n"/>
      <c r="AA86" s="4" t="n">
        <v>0.04</v>
      </c>
      <c r="AB86" s="4" t="n">
        <v>0.05</v>
      </c>
      <c r="AC86" s="4">
        <f>(AB86+2*參數!$B$7)/(AA86+AB86)</f>
        <v/>
      </c>
      <c r="AD86" s="2" t="n">
        <v>0.1586384071933205</v>
      </c>
      <c r="AE86" s="2" t="n">
        <v>-0.003727737125500452</v>
      </c>
      <c r="AF86" s="2" t="n">
        <v>2.621852474591524</v>
      </c>
      <c r="AG86" s="2" t="n">
        <v>0.01666666666666647</v>
      </c>
      <c r="AH86" s="2" t="n">
        <v>0.03962244448078885</v>
      </c>
      <c r="AI86" s="2" t="n">
        <v>8</v>
      </c>
      <c r="AJ86" s="2" t="n">
        <v>0.161980406878325</v>
      </c>
      <c r="AK86" s="2" t="n">
        <v>84.17503614018469</v>
      </c>
      <c r="AL86" s="2" t="n">
        <v>0.1217954814437533</v>
      </c>
      <c r="AM86" s="2" t="n">
        <v>146832.093784</v>
      </c>
    </row>
    <row r="87">
      <c r="A87" s="2" t="n">
        <v>86</v>
      </c>
      <c r="B87" s="2" t="inlineStr">
        <is>
          <t>FF_USDT_PERP</t>
        </is>
      </c>
      <c r="C87" s="2" t="inlineStr">
        <is>
          <t>做空</t>
        </is>
      </c>
      <c r="D87" s="7" t="n">
        <v>46280.53472222222</v>
      </c>
      <c r="E87" s="17" t="n">
        <v>0.15524</v>
      </c>
      <c r="F87" s="17" t="n">
        <v>0.1490304</v>
      </c>
      <c r="G87" s="17" t="n">
        <v>0.163002</v>
      </c>
      <c r="H87" s="7" t="n">
        <v>46280.53819444445</v>
      </c>
      <c r="I87" s="17" t="n">
        <v>0.1490304</v>
      </c>
      <c r="J87" s="2" t="inlineStr">
        <is>
          <t>止盈</t>
        </is>
      </c>
      <c r="K87" s="5">
        <f>(H87-D87)*24</f>
        <v/>
      </c>
      <c r="L87" s="4">
        <f>IF(C87="做多",I87/E87-1,1-I87/E87)-2*參數!$B$7</f>
        <v/>
      </c>
      <c r="M87" s="2" t="inlineStr"/>
      <c r="N87" s="4" t="n">
        <v>-0.04279195955111603</v>
      </c>
      <c r="O87" s="4" t="n">
        <v>0.02820506530070383</v>
      </c>
      <c r="P87" s="4" t="n">
        <v>0.187071367466223</v>
      </c>
      <c r="Q87" s="19" t="n">
        <v>329987</v>
      </c>
      <c r="R87" s="19" t="n">
        <v>324358.35279</v>
      </c>
      <c r="S87" s="4" t="n">
        <v>0.04</v>
      </c>
      <c r="T87" s="4" t="n">
        <v>0</v>
      </c>
      <c r="U87" s="16" t="n">
        <v>52.20914990186956</v>
      </c>
      <c r="V87" s="16" t="n">
        <v>0.9034090909090924</v>
      </c>
      <c r="W87" s="4" t="n">
        <v>-0.2097965150940115</v>
      </c>
      <c r="X87" s="4" t="n">
        <v>-0.09024510148184572</v>
      </c>
      <c r="Y87" s="4" t="n"/>
      <c r="Z87" s="4" t="n"/>
      <c r="AA87" s="4" t="n">
        <v>0.04</v>
      </c>
      <c r="AB87" s="4" t="n">
        <v>0.05</v>
      </c>
      <c r="AC87" s="4">
        <f>(AB87+2*參數!$B$7)/(AA87+AB87)</f>
        <v/>
      </c>
      <c r="AD87" s="2" t="n">
        <v>0.2287478233338609</v>
      </c>
      <c r="AE87" s="2" t="n">
        <v>0.2285533396644508</v>
      </c>
      <c r="AF87" s="2" t="n">
        <v>52.20914990186956</v>
      </c>
      <c r="AG87" s="2" t="n">
        <v>0.0965909090909076</v>
      </c>
      <c r="AH87" s="2" t="n">
        <v>1</v>
      </c>
      <c r="AI87" s="2" t="n">
        <v>7</v>
      </c>
      <c r="AJ87" s="2" t="n">
        <v>0.187071367466223</v>
      </c>
      <c r="AK87" s="2" t="n">
        <v>55.41680282009644</v>
      </c>
      <c r="AL87" s="2" t="n">
        <v>0.09770521226323398</v>
      </c>
      <c r="AM87" s="2" t="n">
        <v>324358.35279</v>
      </c>
    </row>
    <row r="88">
      <c r="A88" s="2" t="n">
        <v>87</v>
      </c>
      <c r="B88" s="2" t="inlineStr">
        <is>
          <t>AXL_USDT_PERP</t>
        </is>
      </c>
      <c r="C88" s="2" t="inlineStr">
        <is>
          <t>做空</t>
        </is>
      </c>
      <c r="D88" s="7" t="n">
        <v>46280.59375</v>
      </c>
      <c r="E88" s="17" t="n">
        <v>0.0529</v>
      </c>
      <c r="F88" s="17" t="n">
        <v>0.050784</v>
      </c>
      <c r="G88" s="17" t="n">
        <v>0.055545</v>
      </c>
      <c r="H88" s="7" t="n">
        <v>46280.60069444445</v>
      </c>
      <c r="I88" s="17" t="n">
        <v>0.050784</v>
      </c>
      <c r="J88" s="2" t="inlineStr">
        <is>
          <t>止盈</t>
        </is>
      </c>
      <c r="K88" s="5">
        <f>(H88-D88)*24</f>
        <v/>
      </c>
      <c r="L88" s="4">
        <f>IF(C88="做多",I88/E88-1,1-I88/E88)-2*參數!$B$7</f>
        <v/>
      </c>
      <c r="M88" s="2" t="inlineStr"/>
      <c r="N88" s="4" t="n">
        <v>-0.009363295880149836</v>
      </c>
      <c r="O88" s="4" t="n">
        <v>0.01601382571006306</v>
      </c>
      <c r="P88" s="4" t="n">
        <v>0.1741639538324951</v>
      </c>
      <c r="Q88" s="19" t="n">
        <v>247035</v>
      </c>
      <c r="R88" s="19" t="n">
        <v>53389.8842</v>
      </c>
      <c r="S88" s="4" t="n">
        <v>0.04</v>
      </c>
      <c r="T88" s="4" t="n">
        <v>0.01323251417769367</v>
      </c>
      <c r="U88" s="16" t="n">
        <v>38.16982898088975</v>
      </c>
      <c r="V88" s="16" t="n">
        <v>0.7391304347826076</v>
      </c>
      <c r="W88" s="4" t="n">
        <v>-0.1550974954691358</v>
      </c>
      <c r="X88" s="4" t="n">
        <v>-0.1755555555555557</v>
      </c>
      <c r="Y88" s="4" t="n"/>
      <c r="Z88" s="4" t="n"/>
      <c r="AA88" s="4" t="n">
        <v>0.04</v>
      </c>
      <c r="AB88" s="4" t="n">
        <v>0.05</v>
      </c>
      <c r="AC88" s="4">
        <f>(AB88+2*參數!$B$7)/(AA88+AB88)</f>
        <v/>
      </c>
      <c r="AD88" s="2" t="n">
        <v>0.1400862068965518</v>
      </c>
      <c r="AE88" s="2" t="n">
        <v>0.1279317697228146</v>
      </c>
      <c r="AF88" s="2" t="n">
        <v>38.16982898088975</v>
      </c>
      <c r="AG88" s="2" t="n">
        <v>0.2608695652173924</v>
      </c>
      <c r="AH88" s="2" t="n">
        <v>0.6071224060008045</v>
      </c>
      <c r="AI88" s="2" t="n">
        <v>11</v>
      </c>
      <c r="AJ88" s="2" t="n">
        <v>0.1741639538324951</v>
      </c>
      <c r="AK88" s="2" t="n">
        <v>72.50672280602507</v>
      </c>
      <c r="AL88" s="2" t="n">
        <v>0.05547351950676393</v>
      </c>
      <c r="AM88" s="2" t="n">
        <v>53389.8842</v>
      </c>
    </row>
    <row r="89">
      <c r="A89" s="2" t="n">
        <v>88</v>
      </c>
      <c r="B89" s="2" t="inlineStr">
        <is>
          <t>CTR_USDT_PERP</t>
        </is>
      </c>
      <c r="C89" s="2" t="inlineStr">
        <is>
          <t>做空</t>
        </is>
      </c>
      <c r="D89" s="7" t="n">
        <v>46280.59722222222</v>
      </c>
      <c r="E89" s="17" t="n">
        <v>0.01231</v>
      </c>
      <c r="F89" s="17" t="n">
        <v>0.0118176</v>
      </c>
      <c r="G89" s="17" t="n">
        <v>0.0129255</v>
      </c>
      <c r="H89" s="7" t="n">
        <v>46280.61111111111</v>
      </c>
      <c r="I89" s="17" t="n">
        <v>0.0118176</v>
      </c>
      <c r="J89" s="2" t="inlineStr">
        <is>
          <t>止盈</t>
        </is>
      </c>
      <c r="K89" s="5">
        <f>(H89-D89)*24</f>
        <v/>
      </c>
      <c r="L89" s="4">
        <f>IF(C89="做多",I89/E89-1,1-I89/E89)-2*參數!$B$7</f>
        <v/>
      </c>
      <c r="M89" s="2" t="inlineStr"/>
      <c r="N89" s="4" t="n">
        <v>0.004897959183673306</v>
      </c>
      <c r="O89" s="4" t="n">
        <v>0.03630655350369405</v>
      </c>
      <c r="P89" s="4" t="n">
        <v>0.1188408651096915</v>
      </c>
      <c r="Q89" s="19" t="n">
        <v>-535099</v>
      </c>
      <c r="R89" s="19" t="n">
        <v>102658.82125</v>
      </c>
      <c r="S89" s="4" t="n">
        <v>0.04</v>
      </c>
      <c r="T89" s="4" t="n">
        <v>0.02761982128350926</v>
      </c>
      <c r="U89" s="16" t="n">
        <v>2.030993865445389</v>
      </c>
      <c r="V89" s="16" t="n">
        <v>0.5</v>
      </c>
      <c r="W89" s="4" t="n">
        <v>-0.09942126321806222</v>
      </c>
      <c r="X89" s="4" t="n">
        <v>-0.1504672897196262</v>
      </c>
      <c r="Y89" s="4" t="n"/>
      <c r="Z89" s="4" t="n"/>
      <c r="AA89" s="4" t="n">
        <v>0.04</v>
      </c>
      <c r="AB89" s="4" t="n">
        <v>0.05</v>
      </c>
      <c r="AC89" s="4">
        <f>(AB89+2*參數!$B$7)/(AA89+AB89)</f>
        <v/>
      </c>
      <c r="AD89" s="2" t="n">
        <v>0.1451162790697675</v>
      </c>
      <c r="AE89" s="2" t="n">
        <v>0.0423370025402201</v>
      </c>
      <c r="AF89" s="2" t="n">
        <v>2.030993865445389</v>
      </c>
      <c r="AG89" s="2" t="n">
        <v>0.5</v>
      </c>
      <c r="AH89" s="2" t="n">
        <v>0.02442976878518716</v>
      </c>
      <c r="AI89" s="2" t="n">
        <v>11</v>
      </c>
      <c r="AJ89" s="2" t="n">
        <v>0.1188408651096915</v>
      </c>
      <c r="AK89" s="2" t="n">
        <v>83.39613714915004</v>
      </c>
      <c r="AL89" s="2" t="n">
        <v>0.1257695906322319</v>
      </c>
      <c r="AM89" s="2" t="n">
        <v>102658.82125</v>
      </c>
    </row>
    <row r="90">
      <c r="A90" s="2" t="n">
        <v>89</v>
      </c>
      <c r="B90" s="2" t="inlineStr">
        <is>
          <t>IDOL_USDT_PERP</t>
        </is>
      </c>
      <c r="C90" s="2" t="inlineStr">
        <is>
          <t>做空</t>
        </is>
      </c>
      <c r="D90" s="7" t="n">
        <v>46280.82986111111</v>
      </c>
      <c r="E90" s="17" t="n">
        <v>0.01197</v>
      </c>
      <c r="F90" s="17" t="n">
        <v>0.0114912</v>
      </c>
      <c r="G90" s="17" t="n">
        <v>0.0125685</v>
      </c>
      <c r="H90" s="7" t="n">
        <v>46280.83680555555</v>
      </c>
      <c r="I90" s="17" t="n">
        <v>0.0114912</v>
      </c>
      <c r="J90" s="2" t="inlineStr">
        <is>
          <t>止盈</t>
        </is>
      </c>
      <c r="K90" s="5">
        <f>(H90-D90)*24</f>
        <v/>
      </c>
      <c r="L90" s="4">
        <f>IF(C90="做多",I90/E90-1,1-I90/E90)-2*參數!$B$7</f>
        <v/>
      </c>
      <c r="M90" s="2" t="inlineStr"/>
      <c r="N90" s="4" t="n">
        <v>0.01959114139693341</v>
      </c>
      <c r="O90" s="4" t="n">
        <v>0.02336918029178993</v>
      </c>
      <c r="P90" s="4" t="n">
        <v>0.3106676521310667</v>
      </c>
      <c r="Q90" s="19" t="n">
        <v>3809661</v>
      </c>
      <c r="R90" s="19" t="n">
        <v>51723.71428</v>
      </c>
      <c r="S90" s="4" t="n">
        <v>0.04</v>
      </c>
      <c r="T90" s="4" t="n">
        <v>0.03258145363408516</v>
      </c>
      <c r="U90" s="16" t="n">
        <v>58.77933380102385</v>
      </c>
      <c r="V90" s="16" t="n">
        <v>0.4423076923076932</v>
      </c>
      <c r="W90" s="4" t="n">
        <v>-0.2892871760625579</v>
      </c>
      <c r="X90" s="4" t="n">
        <v>-0.3081967213114754</v>
      </c>
      <c r="Y90" s="4" t="n"/>
      <c r="Z90" s="4" t="n"/>
      <c r="AA90" s="4" t="n">
        <v>0.04</v>
      </c>
      <c r="AB90" s="4" t="n">
        <v>0.05</v>
      </c>
      <c r="AC90" s="4">
        <f>(AB90+2*參數!$B$7)/(AA90+AB90)</f>
        <v/>
      </c>
      <c r="AD90" s="2" t="n">
        <v>0.3153846153846154</v>
      </c>
      <c r="AE90" s="2" t="n">
        <v>0.3241150442477876</v>
      </c>
      <c r="AF90" s="2" t="n">
        <v>58.77933380102385</v>
      </c>
      <c r="AG90" s="2" t="n">
        <v>0.5576923076923068</v>
      </c>
      <c r="AH90" s="2" t="n">
        <v>0.5251294502165514</v>
      </c>
      <c r="AI90" s="2" t="n">
        <v>5</v>
      </c>
      <c r="AJ90" s="2" t="n">
        <v>0.3106676521310667</v>
      </c>
      <c r="AK90" s="2" t="n">
        <v>37.57342393733918</v>
      </c>
      <c r="AL90" s="2" t="n">
        <v>0.08095321519323488</v>
      </c>
      <c r="AM90" s="2" t="n">
        <v>51723.71428</v>
      </c>
    </row>
    <row r="91">
      <c r="A91" s="2" t="n">
        <v>90</v>
      </c>
      <c r="B91" s="2" t="inlineStr">
        <is>
          <t>IDOL_USDT_PERP</t>
        </is>
      </c>
      <c r="C91" s="2" t="inlineStr">
        <is>
          <t>做空</t>
        </is>
      </c>
      <c r="D91" s="7" t="n">
        <v>46280.88888888889</v>
      </c>
      <c r="E91" s="17" t="n">
        <v>0.0114</v>
      </c>
      <c r="F91" s="17" t="n">
        <v>0.010944</v>
      </c>
      <c r="G91" s="17" t="n">
        <v>0.01197</v>
      </c>
      <c r="H91" s="7" t="n">
        <v>46280.89583333334</v>
      </c>
      <c r="I91" s="17" t="n">
        <v>0.010944</v>
      </c>
      <c r="J91" s="2" t="inlineStr">
        <is>
          <t>止盈</t>
        </is>
      </c>
      <c r="K91" s="5">
        <f>(H91-D91)*24</f>
        <v/>
      </c>
      <c r="L91" s="4">
        <f>IF(C91="做多",I91/E91-1,1-I91/E91)-2*參數!$B$7</f>
        <v/>
      </c>
      <c r="M91" s="2" t="inlineStr"/>
      <c r="N91" s="4" t="n">
        <v>-0.02229845626072036</v>
      </c>
      <c r="O91" s="4" t="n">
        <v>0.02737159269474078</v>
      </c>
      <c r="P91" s="4" t="n">
        <v>0.2241775057383322</v>
      </c>
      <c r="Q91" s="19" t="n">
        <v>3729920</v>
      </c>
      <c r="R91" s="19" t="n">
        <v>108318.39754</v>
      </c>
      <c r="S91" s="4" t="n">
        <v>0.04</v>
      </c>
      <c r="T91" s="4" t="n">
        <v>0.01052631578947372</v>
      </c>
      <c r="U91" s="16" t="n">
        <v>2.468408796786413</v>
      </c>
      <c r="V91" s="16" t="n">
        <v>0.8285714285714263</v>
      </c>
      <c r="W91" s="4" t="n">
        <v>-0.1766162992321032</v>
      </c>
      <c r="X91" s="4" t="n">
        <v>-0.2527472527472527</v>
      </c>
      <c r="Y91" s="4" t="n"/>
      <c r="Z91" s="4" t="n"/>
      <c r="AA91" s="4" t="n">
        <v>0.04</v>
      </c>
      <c r="AB91" s="4" t="n">
        <v>0.05</v>
      </c>
      <c r="AC91" s="4">
        <f>(AB91+2*參數!$B$7)/(AA91+AB91)</f>
        <v/>
      </c>
      <c r="AD91" s="2" t="n">
        <v>0.2723214285714288</v>
      </c>
      <c r="AE91" s="2" t="n">
        <v>-0.008695652173912993</v>
      </c>
      <c r="AF91" s="2" t="n">
        <v>2.468408796786413</v>
      </c>
      <c r="AG91" s="2" t="n">
        <v>0.1714285714285737</v>
      </c>
      <c r="AH91" s="2" t="n">
        <v>0.04688162199244737</v>
      </c>
      <c r="AI91" s="2" t="n">
        <v>7</v>
      </c>
      <c r="AJ91" s="2" t="n">
        <v>0.2241775057383322</v>
      </c>
      <c r="AK91" s="2" t="n">
        <v>86.43537574116034</v>
      </c>
      <c r="AL91" s="2" t="n">
        <v>0.09481797846274428</v>
      </c>
      <c r="AM91" s="2" t="n">
        <v>108318.39754</v>
      </c>
    </row>
    <row r="92">
      <c r="A92" s="2" t="n">
        <v>91</v>
      </c>
      <c r="B92" s="2" t="inlineStr">
        <is>
          <t>MOODENG_USDT_PERP</t>
        </is>
      </c>
      <c r="C92" s="2" t="inlineStr">
        <is>
          <t>做空</t>
        </is>
      </c>
      <c r="D92" s="7" t="n">
        <v>46282.54166666666</v>
      </c>
      <c r="E92" s="17" t="n">
        <v>0.04393</v>
      </c>
      <c r="F92" s="17" t="n">
        <v>0.0421728</v>
      </c>
      <c r="G92" s="17" t="n">
        <v>0.0461265</v>
      </c>
      <c r="H92" s="7" t="n">
        <v>46282.55208333334</v>
      </c>
      <c r="I92" s="17" t="n">
        <v>0.0421728</v>
      </c>
      <c r="J92" s="2" t="inlineStr">
        <is>
          <t>止盈</t>
        </is>
      </c>
      <c r="K92" s="5">
        <f>(H92-D92)*24</f>
        <v/>
      </c>
      <c r="L92" s="4">
        <f>IF(C92="做多",I92/E92-1,1-I92/E92)-2*參數!$B$7</f>
        <v/>
      </c>
      <c r="M92" s="2" t="inlineStr"/>
      <c r="N92" s="4" t="n">
        <v>-0.003854875283446746</v>
      </c>
      <c r="O92" s="4" t="n">
        <v>0.01265623168226123</v>
      </c>
      <c r="P92" s="4" t="n">
        <v>0.1591780909271818</v>
      </c>
      <c r="Q92" s="19" t="n">
        <v>804020</v>
      </c>
      <c r="R92" s="19" t="n">
        <v>78377.07574999999</v>
      </c>
      <c r="S92" s="4" t="n">
        <v>0.04</v>
      </c>
      <c r="T92" s="4" t="n">
        <v>0.0006829046209879674</v>
      </c>
      <c r="U92" s="16" t="n">
        <v>13.32761650926087</v>
      </c>
      <c r="V92" s="16" t="n">
        <v>0.4225352112676107</v>
      </c>
      <c r="W92" s="4" t="n">
        <v>-0.1377851909215464</v>
      </c>
      <c r="X92" s="4" t="n">
        <v>-0.1609408033826638</v>
      </c>
      <c r="Y92" s="4" t="n"/>
      <c r="Z92" s="4" t="n"/>
      <c r="AA92" s="4" t="n">
        <v>0.04</v>
      </c>
      <c r="AB92" s="4" t="n">
        <v>0.05</v>
      </c>
      <c r="AC92" s="4">
        <f>(AB92+2*參數!$B$7)/(AA92+AB92)</f>
        <v/>
      </c>
      <c r="AD92" s="2" t="n">
        <v>0.1437125748502994</v>
      </c>
      <c r="AE92" s="2" t="n">
        <v>0.132800412583806</v>
      </c>
      <c r="AF92" s="2" t="n">
        <v>13.32761650926087</v>
      </c>
      <c r="AG92" s="2" t="n">
        <v>0.5774647887323893</v>
      </c>
      <c r="AH92" s="2" t="n">
        <v>0.3207857312864453</v>
      </c>
      <c r="AI92" s="2" t="n">
        <v>10</v>
      </c>
      <c r="AJ92" s="2" t="n">
        <v>0.1591780909271818</v>
      </c>
      <c r="AK92" s="2" t="n">
        <v>74.9708403820383</v>
      </c>
      <c r="AL92" s="2" t="n">
        <v>0.04384247261207873</v>
      </c>
      <c r="AM92" s="2" t="n">
        <v>78377.07574999999</v>
      </c>
    </row>
    <row r="93">
      <c r="A93" s="2" t="n">
        <v>92</v>
      </c>
      <c r="B93" s="2" t="inlineStr">
        <is>
          <t>GENIUS_USDT_PERP</t>
        </is>
      </c>
      <c r="C93" s="2" t="inlineStr">
        <is>
          <t>做空</t>
        </is>
      </c>
      <c r="D93" s="7" t="n">
        <v>46282.83333333334</v>
      </c>
      <c r="E93" s="17" t="n">
        <v>0.4164</v>
      </c>
      <c r="F93" s="17" t="n">
        <v>0.399744</v>
      </c>
      <c r="G93" s="17" t="n">
        <v>0.43722</v>
      </c>
      <c r="H93" s="7" t="n">
        <v>46282.83680555555</v>
      </c>
      <c r="I93" s="17" t="n">
        <v>0.399744</v>
      </c>
      <c r="J93" s="2" t="inlineStr">
        <is>
          <t>止盈</t>
        </is>
      </c>
      <c r="K93" s="5">
        <f>(H93-D93)*24</f>
        <v/>
      </c>
      <c r="L93" s="4">
        <f>IF(C93="做多",I93/E93-1,1-I93/E93)-2*參數!$B$7</f>
        <v/>
      </c>
      <c r="M93" s="2" t="inlineStr"/>
      <c r="N93" s="4" t="n">
        <v>-0.03072625698324016</v>
      </c>
      <c r="O93" s="4" t="n">
        <v>0.03159814582009703</v>
      </c>
      <c r="P93" s="4" t="n">
        <v>0.3639639246172994</v>
      </c>
      <c r="Q93" s="19" t="n">
        <v>597495</v>
      </c>
      <c r="R93" s="19" t="n">
        <v>344467.8061</v>
      </c>
      <c r="S93" s="4" t="n">
        <v>0.04</v>
      </c>
      <c r="T93" s="4" t="n">
        <v>0</v>
      </c>
      <c r="U93" s="16" t="n">
        <v>37.38021559216895</v>
      </c>
      <c r="V93" s="16" t="n">
        <v>0.8125000000000003</v>
      </c>
      <c r="W93" s="4" t="n">
        <v>-0.341572642743458</v>
      </c>
      <c r="X93" s="4" t="n">
        <v>-0.3724456163480554</v>
      </c>
      <c r="Y93" s="4" t="n"/>
      <c r="Z93" s="4" t="n"/>
      <c r="AA93" s="4" t="n">
        <v>0.04</v>
      </c>
      <c r="AB93" s="4" t="n">
        <v>0.05</v>
      </c>
      <c r="AC93" s="4">
        <f>(AB93+2*參數!$B$7)/(AA93+AB93)</f>
        <v/>
      </c>
      <c r="AD93" s="2" t="n">
        <v>0.3679369250985545</v>
      </c>
      <c r="AE93" s="2" t="n">
        <v>0.3643512450851898</v>
      </c>
      <c r="AF93" s="2" t="n">
        <v>37.38021559216895</v>
      </c>
      <c r="AG93" s="2" t="n">
        <v>0.1874999999999996</v>
      </c>
      <c r="AH93" s="2" t="n">
        <v>0.4857924637461233</v>
      </c>
      <c r="AI93" s="2" t="n">
        <v>6</v>
      </c>
      <c r="AJ93" s="2" t="n">
        <v>0.3639639246172994</v>
      </c>
      <c r="AK93" s="2" t="n">
        <v>53.20151988539478</v>
      </c>
      <c r="AL93" s="2" t="n">
        <v>0.1094591879707564</v>
      </c>
      <c r="AM93" s="2" t="n">
        <v>344467.8061</v>
      </c>
    </row>
    <row r="94">
      <c r="A94" s="2" t="n">
        <v>93</v>
      </c>
      <c r="B94" s="2" t="inlineStr">
        <is>
          <t>CROSS_USDT_PERP</t>
        </is>
      </c>
      <c r="C94" s="2" t="inlineStr">
        <is>
          <t>做空</t>
        </is>
      </c>
      <c r="D94" s="7" t="n">
        <v>46283.08333333334</v>
      </c>
      <c r="E94" s="17" t="n">
        <v>0.18272</v>
      </c>
      <c r="F94" s="17" t="n">
        <v>0.1754112</v>
      </c>
      <c r="G94" s="17" t="n">
        <v>0.191856</v>
      </c>
      <c r="H94" s="7" t="n">
        <v>46283.09375</v>
      </c>
      <c r="I94" s="17" t="n">
        <v>0.1754112</v>
      </c>
      <c r="J94" s="2" t="inlineStr">
        <is>
          <t>止盈</t>
        </is>
      </c>
      <c r="K94" s="5">
        <f>(H94-D94)*24</f>
        <v/>
      </c>
      <c r="L94" s="4">
        <f>IF(C94="做多",I94/E94-1,1-I94/E94)-2*參數!$B$7</f>
        <v/>
      </c>
      <c r="M94" s="2" t="inlineStr"/>
      <c r="N94" s="4" t="n">
        <v>-0.007334166349758364</v>
      </c>
      <c r="O94" s="4" t="n">
        <v>0.02306839856482394</v>
      </c>
      <c r="P94" s="4" t="n">
        <v>0.3104956076545984</v>
      </c>
      <c r="Q94" s="19" t="n">
        <v>431861</v>
      </c>
      <c r="R94" s="19" t="n">
        <v>251245.59323</v>
      </c>
      <c r="S94" s="4" t="n">
        <v>0.04</v>
      </c>
      <c r="T94" s="4" t="n">
        <v>0.02024956217162877</v>
      </c>
      <c r="U94" s="16" t="n">
        <v>12.6833791164147</v>
      </c>
      <c r="V94" s="16" t="n">
        <v>0.6321353065539117</v>
      </c>
      <c r="W94" s="4" t="n">
        <v>-0.2408735826082113</v>
      </c>
      <c r="X94" s="4" t="n">
        <v>-0.4071621101270697</v>
      </c>
      <c r="Y94" s="4" t="n"/>
      <c r="Z94" s="4" t="n"/>
      <c r="AA94" s="4" t="n">
        <v>0.04</v>
      </c>
      <c r="AB94" s="4" t="n">
        <v>0.05</v>
      </c>
      <c r="AC94" s="4">
        <f>(AB94+2*參數!$B$7)/(AA94+AB94)</f>
        <v/>
      </c>
      <c r="AD94" s="2" t="n">
        <v>0.2188646521246083</v>
      </c>
      <c r="AE94" s="2" t="n">
        <v>0.144431917825379</v>
      </c>
      <c r="AF94" s="2" t="n">
        <v>12.6833791164147</v>
      </c>
      <c r="AG94" s="2" t="n">
        <v>0.3678646934460882</v>
      </c>
      <c r="AH94" s="2" t="n">
        <v>0.2357409288925385</v>
      </c>
      <c r="AI94" s="2" t="n">
        <v>6</v>
      </c>
      <c r="AJ94" s="2" t="n">
        <v>0.3104956076545984</v>
      </c>
      <c r="AK94" s="2" t="n">
        <v>80.5311546788019</v>
      </c>
      <c r="AL94" s="2" t="n">
        <v>0.07991127672704806</v>
      </c>
      <c r="AM94" s="2" t="n">
        <v>251245.59323</v>
      </c>
    </row>
    <row r="95">
      <c r="A95" s="2" t="n">
        <v>94</v>
      </c>
      <c r="B95" s="2" t="inlineStr">
        <is>
          <t>DRIFT_USDT_PERP</t>
        </is>
      </c>
      <c r="C95" s="2" t="inlineStr">
        <is>
          <t>做空</t>
        </is>
      </c>
      <c r="D95" s="7" t="n">
        <v>46283.35069444445</v>
      </c>
      <c r="E95" s="17" t="n">
        <v>0.01577</v>
      </c>
      <c r="F95" s="17" t="n">
        <v>0.0151392</v>
      </c>
      <c r="G95" s="17" t="n">
        <v>0.0165585</v>
      </c>
      <c r="H95" s="7" t="n">
        <v>46283.35416666666</v>
      </c>
      <c r="I95" s="17" t="n">
        <v>0.0151392</v>
      </c>
      <c r="J95" s="2" t="inlineStr">
        <is>
          <t>止盈</t>
        </is>
      </c>
      <c r="K95" s="5">
        <f>(H95-D95)*24</f>
        <v/>
      </c>
      <c r="L95" s="4">
        <f>IF(C95="做多",I95/E95-1,1-I95/E95)-2*參數!$B$7</f>
        <v/>
      </c>
      <c r="M95" s="2" t="inlineStr"/>
      <c r="N95" s="4" t="n">
        <v>-0.008176100628930927</v>
      </c>
      <c r="O95" s="4" t="n">
        <v>0.02658116830419847</v>
      </c>
      <c r="P95" s="4" t="n">
        <v>0.2280855454642796</v>
      </c>
      <c r="Q95" s="19" t="n">
        <v>740372</v>
      </c>
      <c r="R95" s="19" t="n">
        <v>192526.72277</v>
      </c>
      <c r="S95" s="4" t="n">
        <v>0.04</v>
      </c>
      <c r="T95" s="4" t="n">
        <v>0</v>
      </c>
      <c r="U95" s="16" t="n">
        <v>14.42737817560455</v>
      </c>
      <c r="V95" s="16" t="n">
        <v>0.5526315789473706</v>
      </c>
      <c r="W95" s="4" t="n">
        <v>-0.1481449123420115</v>
      </c>
      <c r="X95" s="4" t="n">
        <v>-0.3375742154368109</v>
      </c>
      <c r="Y95" s="4" t="n"/>
      <c r="Z95" s="4" t="n"/>
      <c r="AA95" s="4" t="n">
        <v>0.04</v>
      </c>
      <c r="AB95" s="4" t="n">
        <v>0.05</v>
      </c>
      <c r="AC95" s="4">
        <f>(AB95+2*參數!$B$7)/(AA95+AB95)</f>
        <v/>
      </c>
      <c r="AD95" s="2" t="n">
        <v>0.1460755813953487</v>
      </c>
      <c r="AE95" s="2" t="n">
        <v>0.06626098715348205</v>
      </c>
      <c r="AF95" s="2" t="n">
        <v>14.42737817560455</v>
      </c>
      <c r="AG95" s="2" t="n">
        <v>0.4473684210526294</v>
      </c>
      <c r="AH95" s="2" t="n">
        <v>0.7147660150481682</v>
      </c>
      <c r="AI95" s="2" t="n">
        <v>6</v>
      </c>
      <c r="AJ95" s="2" t="n">
        <v>0.2280855454642796</v>
      </c>
      <c r="AK95" s="2" t="n">
        <v>90.61252726429824</v>
      </c>
      <c r="AL95" s="2" t="n">
        <v>0.09207986805482242</v>
      </c>
      <c r="AM95" s="2" t="n">
        <v>192526.72277</v>
      </c>
    </row>
    <row r="96">
      <c r="A96" s="2" t="n">
        <v>95</v>
      </c>
      <c r="B96" s="2" t="inlineStr">
        <is>
          <t>BABY_USDT_PERP</t>
        </is>
      </c>
      <c r="C96" s="2" t="inlineStr">
        <is>
          <t>做空</t>
        </is>
      </c>
      <c r="D96" s="7" t="n">
        <v>46283.36111111111</v>
      </c>
      <c r="E96" s="17" t="n">
        <v>0.01258</v>
      </c>
      <c r="F96" s="17" t="n">
        <v>0.0120768</v>
      </c>
      <c r="G96" s="17" t="n">
        <v>0.013209</v>
      </c>
      <c r="H96" s="7" t="n">
        <v>46283.36805555555</v>
      </c>
      <c r="I96" s="17" t="n">
        <v>0.0120768</v>
      </c>
      <c r="J96" s="2" t="inlineStr">
        <is>
          <t>止盈</t>
        </is>
      </c>
      <c r="K96" s="5">
        <f>(H96-D96)*24</f>
        <v/>
      </c>
      <c r="L96" s="4">
        <f>IF(C96="做多",I96/E96-1,1-I96/E96)-2*參數!$B$7</f>
        <v/>
      </c>
      <c r="M96" s="2" t="inlineStr"/>
      <c r="N96" s="4" t="n">
        <v>-0.009448818897637823</v>
      </c>
      <c r="O96" s="4" t="n">
        <v>0.01614183124750519</v>
      </c>
      <c r="P96" s="4" t="n">
        <v>0.1724820877264517</v>
      </c>
      <c r="Q96" s="19" t="n">
        <v>1609610</v>
      </c>
      <c r="R96" s="19" t="n">
        <v>32281.6662</v>
      </c>
      <c r="S96" s="4" t="n">
        <v>0.04</v>
      </c>
      <c r="T96" s="4" t="n">
        <v>0.002384737678855275</v>
      </c>
      <c r="U96" s="16" t="n">
        <v>24.32406435967452</v>
      </c>
      <c r="V96" s="16" t="n">
        <v>0.692307692307698</v>
      </c>
      <c r="W96" s="4" t="n">
        <v>-0.1577397386342718</v>
      </c>
      <c r="X96" s="4" t="n">
        <v>-0.1834430856067732</v>
      </c>
      <c r="Y96" s="4" t="n"/>
      <c r="Z96" s="4" t="n"/>
      <c r="AA96" s="4" t="n">
        <v>0.04</v>
      </c>
      <c r="AB96" s="4" t="n">
        <v>0.05</v>
      </c>
      <c r="AC96" s="4">
        <f>(AB96+2*參數!$B$7)/(AA96+AB96)</f>
        <v/>
      </c>
      <c r="AD96" s="2" t="n">
        <v>0.1713221601489758</v>
      </c>
      <c r="AE96" s="2" t="n">
        <v>0.1669758812615956</v>
      </c>
      <c r="AF96" s="2" t="n">
        <v>24.32406435967452</v>
      </c>
      <c r="AG96" s="2" t="n">
        <v>0.307692307692302</v>
      </c>
      <c r="AH96" s="2" t="n">
        <v>0.5604303904085017</v>
      </c>
      <c r="AI96" s="2" t="n">
        <v>10</v>
      </c>
      <c r="AJ96" s="2" t="n">
        <v>0.1724820877264517</v>
      </c>
      <c r="AK96" s="2" t="n">
        <v>85.92353476312218</v>
      </c>
      <c r="AL96" s="2" t="n">
        <v>0.05591694369576378</v>
      </c>
      <c r="AM96" s="2" t="n">
        <v>32281.6662</v>
      </c>
    </row>
    <row r="97">
      <c r="A97" s="2" t="n">
        <v>96</v>
      </c>
      <c r="B97" s="2" t="inlineStr">
        <is>
          <t>DRIFT_USDT_PERP</t>
        </is>
      </c>
      <c r="C97" s="2" t="inlineStr">
        <is>
          <t>做空</t>
        </is>
      </c>
      <c r="D97" s="7" t="n">
        <v>46283.4375</v>
      </c>
      <c r="E97" s="17" t="n">
        <v>0.01771</v>
      </c>
      <c r="F97" s="17" t="n">
        <v>0.0170016</v>
      </c>
      <c r="G97" s="17" t="n">
        <v>0.0185955</v>
      </c>
      <c r="H97" s="7" t="n">
        <v>46283.44097222222</v>
      </c>
      <c r="I97" s="17" t="n">
        <v>0.0170016</v>
      </c>
      <c r="J97" s="2" t="inlineStr">
        <is>
          <t>止盈</t>
        </is>
      </c>
      <c r="K97" s="5">
        <f>(H97-D97)*24</f>
        <v/>
      </c>
      <c r="L97" s="4">
        <f>IF(C97="做多",I97/E97-1,1-I97/E97)-2*參數!$B$7</f>
        <v/>
      </c>
      <c r="M97" s="2" t="inlineStr"/>
      <c r="N97" s="4" t="n">
        <v>-0.01720310765815769</v>
      </c>
      <c r="O97" s="4" t="n">
        <v>0.04222735599617217</v>
      </c>
      <c r="P97" s="4" t="n">
        <v>0.3222749699794054</v>
      </c>
      <c r="Q97" s="19" t="n">
        <v>128946</v>
      </c>
      <c r="R97" s="19" t="n">
        <v>451361.60317</v>
      </c>
      <c r="S97" s="4" t="n">
        <v>0.04</v>
      </c>
      <c r="T97" s="4" t="n">
        <v>0</v>
      </c>
      <c r="U97" s="16" t="n">
        <v>2.114965819278435</v>
      </c>
      <c r="V97" s="16" t="n">
        <v>0.6666666666666667</v>
      </c>
      <c r="W97" s="4" t="n">
        <v>-0.1979085639301683</v>
      </c>
      <c r="X97" s="4" t="n">
        <v>-0.483249581239531</v>
      </c>
      <c r="Y97" s="4" t="n"/>
      <c r="Z97" s="4" t="n"/>
      <c r="AA97" s="4" t="n">
        <v>0.04</v>
      </c>
      <c r="AB97" s="4" t="n">
        <v>0.05</v>
      </c>
      <c r="AC97" s="4">
        <f>(AB97+2*參數!$B$7)/(AA97+AB97)</f>
        <v/>
      </c>
      <c r="AD97" s="2" t="n">
        <v>0.1917900403768507</v>
      </c>
      <c r="AE97" s="2" t="n">
        <v>0.02310803004043915</v>
      </c>
      <c r="AF97" s="2" t="n">
        <v>2.114965819278435</v>
      </c>
      <c r="AG97" s="2" t="n">
        <v>0.3333333333333333</v>
      </c>
      <c r="AH97" s="2" t="n">
        <v>0.1416773462514317</v>
      </c>
      <c r="AI97" s="2" t="n">
        <v>6</v>
      </c>
      <c r="AJ97" s="2" t="n">
        <v>0.3222749699794054</v>
      </c>
      <c r="AK97" s="2" t="n">
        <v>94.36642798523648</v>
      </c>
      <c r="AL97" s="2" t="n">
        <v>0.1462798521093369</v>
      </c>
      <c r="AM97" s="2" t="n">
        <v>451361.60317</v>
      </c>
    </row>
    <row r="98">
      <c r="A98" s="2" t="n">
        <v>97</v>
      </c>
      <c r="B98" s="2" t="inlineStr">
        <is>
          <t>STRK_USDT_PERP</t>
        </is>
      </c>
      <c r="C98" s="2" t="inlineStr">
        <is>
          <t>做空</t>
        </is>
      </c>
      <c r="D98" s="7" t="n">
        <v>46283.72569444445</v>
      </c>
      <c r="E98" s="17" t="n">
        <v>0.0359</v>
      </c>
      <c r="F98" s="17" t="n">
        <v>0.034464</v>
      </c>
      <c r="G98" s="17" t="n">
        <v>0.03769500000000001</v>
      </c>
      <c r="H98" s="7" t="n">
        <v>46283.74652777778</v>
      </c>
      <c r="I98" s="17" t="n">
        <v>0.034464</v>
      </c>
      <c r="J98" s="2" t="inlineStr">
        <is>
          <t>止盈</t>
        </is>
      </c>
      <c r="K98" s="5">
        <f>(H98-D98)*24</f>
        <v/>
      </c>
      <c r="L98" s="4">
        <f>IF(C98="做多",I98/E98-1,1-I98/E98)-2*參數!$B$7</f>
        <v/>
      </c>
      <c r="M98" s="2" t="inlineStr"/>
      <c r="N98" s="4" t="n">
        <v>0.005602240896358524</v>
      </c>
      <c r="O98" s="4" t="n">
        <v>0.01848251747046416</v>
      </c>
      <c r="P98" s="4" t="n">
        <v>0.2168116596994691</v>
      </c>
      <c r="Q98" s="19" t="n">
        <v>877500.7</v>
      </c>
      <c r="R98" s="19" t="n">
        <v>191419.89269</v>
      </c>
      <c r="S98" s="4" t="n">
        <v>0.04</v>
      </c>
      <c r="T98" s="4" t="n">
        <v>0.01671309192200554</v>
      </c>
      <c r="U98" s="16" t="n">
        <v>4.746003751508724</v>
      </c>
      <c r="V98" s="16" t="n">
        <v>0.5</v>
      </c>
      <c r="W98" s="4" t="n">
        <v>-0.1524139702105805</v>
      </c>
      <c r="X98" s="4" t="n">
        <v>-0.2821428571428573</v>
      </c>
      <c r="Y98" s="4" t="n"/>
      <c r="Z98" s="4" t="n"/>
      <c r="AA98" s="4" t="n">
        <v>0.04</v>
      </c>
      <c r="AB98" s="4" t="n">
        <v>0.05</v>
      </c>
      <c r="AC98" s="4">
        <f>(AB98+2*參數!$B$7)/(AA98+AB98)</f>
        <v/>
      </c>
      <c r="AD98" s="2" t="n">
        <v>0.1469648562300319</v>
      </c>
      <c r="AE98" s="2" t="n">
        <v>0.03160919540229901</v>
      </c>
      <c r="AF98" s="2" t="n">
        <v>4.746003751508724</v>
      </c>
      <c r="AG98" s="2" t="n">
        <v>0.5</v>
      </c>
      <c r="AH98" s="2" t="n">
        <v>0.1256704149593862</v>
      </c>
      <c r="AI98" s="2" t="n">
        <v>12</v>
      </c>
      <c r="AJ98" s="2" t="n">
        <v>0.2168116596994691</v>
      </c>
      <c r="AK98" s="2" t="n">
        <v>86.91848698919159</v>
      </c>
      <c r="AL98" s="2" t="n">
        <v>0.06402531862124665</v>
      </c>
      <c r="AM98" s="2" t="n">
        <v>191419.89269</v>
      </c>
    </row>
    <row r="99">
      <c r="A99" s="2" t="n">
        <v>98</v>
      </c>
      <c r="B99" s="2" t="inlineStr">
        <is>
          <t>ENSO_USDT_PERP</t>
        </is>
      </c>
      <c r="C99" s="2" t="inlineStr">
        <is>
          <t>做空</t>
        </is>
      </c>
      <c r="D99" s="7" t="n">
        <v>46283.78125</v>
      </c>
      <c r="E99" s="17" t="n">
        <v>1.0033</v>
      </c>
      <c r="F99" s="17" t="n">
        <v>0.963168</v>
      </c>
      <c r="G99" s="17" t="n">
        <v>1.053465</v>
      </c>
      <c r="H99" s="7" t="n">
        <v>46283.78472222222</v>
      </c>
      <c r="I99" s="17" t="n">
        <v>0.963168</v>
      </c>
      <c r="J99" s="2" t="inlineStr">
        <is>
          <t>止盈</t>
        </is>
      </c>
      <c r="K99" s="5">
        <f>(H99-D99)*24</f>
        <v/>
      </c>
      <c r="L99" s="4">
        <f>IF(C99="做多",I99/E99-1,1-I99/E99)-2*參數!$B$7</f>
        <v/>
      </c>
      <c r="M99" s="2" t="inlineStr"/>
      <c r="N99" s="4" t="n">
        <v>-0.0003985254558134255</v>
      </c>
      <c r="O99" s="4" t="n">
        <v>0.01800164623452362</v>
      </c>
      <c r="P99" s="4" t="n">
        <v>0.1215245788786805</v>
      </c>
      <c r="Q99" s="19" t="n">
        <v>9636.900000000001</v>
      </c>
      <c r="R99" s="19" t="n">
        <v>119304.48086</v>
      </c>
      <c r="S99" s="4" t="n">
        <v>0.04</v>
      </c>
      <c r="T99" s="4" t="n">
        <v>0</v>
      </c>
      <c r="U99" s="16" t="n">
        <v>13.94689816868386</v>
      </c>
      <c r="V99" s="16" t="n">
        <v>0.5938566552900977</v>
      </c>
      <c r="W99" s="4" t="n">
        <v>-0.1379050660762975</v>
      </c>
      <c r="X99" s="4" t="n">
        <v>-0.09746226208707065</v>
      </c>
      <c r="Y99" s="4" t="n"/>
      <c r="Z99" s="4" t="n"/>
      <c r="AA99" s="4" t="n">
        <v>0.04</v>
      </c>
      <c r="AB99" s="4" t="n">
        <v>0.05</v>
      </c>
      <c r="AC99" s="4">
        <f>(AB99+2*參數!$B$7)/(AA99+AB99)</f>
        <v/>
      </c>
      <c r="AD99" s="2" t="n">
        <v>0.1485975958786492</v>
      </c>
      <c r="AE99" s="2" t="n">
        <v>0.1521589343132752</v>
      </c>
      <c r="AF99" s="2" t="n">
        <v>13.94689816868386</v>
      </c>
      <c r="AG99" s="2" t="n">
        <v>0.4061433447099023</v>
      </c>
      <c r="AH99" s="2" t="n">
        <v>0.2189640047540891</v>
      </c>
      <c r="AI99" s="2" t="n">
        <v>9</v>
      </c>
      <c r="AJ99" s="2" t="n">
        <v>0.1215245788786805</v>
      </c>
      <c r="AK99" s="2" t="n">
        <v>74.87405252868203</v>
      </c>
      <c r="AL99" s="2" t="n">
        <v>0.06235953179615174</v>
      </c>
      <c r="AM99" s="2" t="n">
        <v>119304.48086</v>
      </c>
    </row>
    <row r="100">
      <c r="A100" s="2" t="n">
        <v>99</v>
      </c>
      <c r="B100" s="2" t="inlineStr">
        <is>
          <t>MYX_USDT_PERP</t>
        </is>
      </c>
      <c r="C100" s="2" t="inlineStr">
        <is>
          <t>做空</t>
        </is>
      </c>
      <c r="D100" s="7" t="n">
        <v>46283.85416666666</v>
      </c>
      <c r="E100" s="17" t="n">
        <v>0.07063</v>
      </c>
      <c r="F100" s="17" t="n">
        <v>0.0678048</v>
      </c>
      <c r="G100" s="17" t="n">
        <v>0.07416150000000001</v>
      </c>
      <c r="H100" s="7" t="n">
        <v>46283.85763888889</v>
      </c>
      <c r="I100" s="17" t="n">
        <v>0.07416150000000001</v>
      </c>
      <c r="J100" s="2" t="inlineStr">
        <is>
          <t>止損</t>
        </is>
      </c>
      <c r="K100" s="5">
        <f>(H100-D100)*24</f>
        <v/>
      </c>
      <c r="L100" s="4">
        <f>IF(C100="做多",I100/E100-1,1-I100/E100)-2*參數!$B$7</f>
        <v/>
      </c>
      <c r="M100" s="2" t="inlineStr"/>
      <c r="N100" s="4" t="n">
        <v>0.0459055234710497</v>
      </c>
      <c r="O100" s="4" t="n">
        <v>0.01764204268234697</v>
      </c>
      <c r="P100" s="4" t="n">
        <v>0.141408094872242</v>
      </c>
      <c r="Q100" s="19" t="n">
        <v>1030818</v>
      </c>
      <c r="R100" s="19" t="n">
        <v>169547.49055</v>
      </c>
      <c r="S100" s="4" t="n">
        <v>0</v>
      </c>
      <c r="T100" s="4" t="n">
        <v>0.05</v>
      </c>
      <c r="U100" s="16" t="n">
        <v>147.7047674010574</v>
      </c>
      <c r="V100" s="16" t="n">
        <v>0.4133333333333332</v>
      </c>
      <c r="W100" s="4" t="n">
        <v>-0.1457186006108984</v>
      </c>
      <c r="X100" s="4" t="n">
        <v>-0.186659946236559</v>
      </c>
      <c r="Y100" s="4" t="n"/>
      <c r="Z100" s="4" t="n"/>
      <c r="AA100" s="4" t="n">
        <v>0.04</v>
      </c>
      <c r="AB100" s="4" t="n">
        <v>0.05</v>
      </c>
      <c r="AC100" s="4">
        <f>(AB100+2*參數!$B$7)/(AA100+AB100)</f>
        <v/>
      </c>
      <c r="AD100" s="2" t="n">
        <v>0.1516386760150008</v>
      </c>
      <c r="AE100" s="2" t="n">
        <v>0.1703396851698424</v>
      </c>
      <c r="AF100" s="2" t="n">
        <v>147.7047674010574</v>
      </c>
      <c r="AG100" s="2" t="n">
        <v>0.5866666666666668</v>
      </c>
      <c r="AH100" s="2" t="n">
        <v>1</v>
      </c>
      <c r="AI100" s="2" t="n">
        <v>4</v>
      </c>
      <c r="AJ100" s="2" t="n">
        <v>0.141408094872242</v>
      </c>
      <c r="AK100" s="2" t="n">
        <v>48.87510472015253</v>
      </c>
      <c r="AL100" s="2" t="n">
        <v>0.06111382855024734</v>
      </c>
      <c r="AM100" s="2" t="n">
        <v>169547.49055</v>
      </c>
    </row>
    <row r="101">
      <c r="A101" s="2" t="n">
        <v>100</v>
      </c>
      <c r="B101" s="2" t="inlineStr">
        <is>
          <t>AIA_USDT_PERP</t>
        </is>
      </c>
      <c r="C101" s="2" t="inlineStr">
        <is>
          <t>做空</t>
        </is>
      </c>
      <c r="D101" s="7" t="n">
        <v>46283.86805555555</v>
      </c>
      <c r="E101" s="17" t="n">
        <v>0.06952999999999999</v>
      </c>
      <c r="F101" s="17" t="n">
        <v>0.0667488</v>
      </c>
      <c r="G101" s="17" t="n">
        <v>0.0730065</v>
      </c>
      <c r="H101" s="7" t="n">
        <v>46283.875</v>
      </c>
      <c r="I101" s="17" t="n">
        <v>0.0667488</v>
      </c>
      <c r="J101" s="2" t="inlineStr">
        <is>
          <t>止盈</t>
        </is>
      </c>
      <c r="K101" s="5">
        <f>(H101-D101)*24</f>
        <v/>
      </c>
      <c r="L101" s="4">
        <f>IF(C101="做多",I101/E101-1,1-I101/E101)-2*參數!$B$7</f>
        <v/>
      </c>
      <c r="M101" s="2" t="inlineStr"/>
      <c r="N101" s="4" t="n">
        <v>0.005059265683723391</v>
      </c>
      <c r="O101" s="4" t="n">
        <v>0.01558488711468582</v>
      </c>
      <c r="P101" s="4" t="n">
        <v>0.06620935712569676</v>
      </c>
      <c r="Q101" s="19" t="n">
        <v>11645</v>
      </c>
      <c r="R101" s="19" t="n">
        <v>29834.5842</v>
      </c>
      <c r="S101" s="4" t="n">
        <v>0.04</v>
      </c>
      <c r="T101" s="4" t="n">
        <v>0.004458507119229127</v>
      </c>
      <c r="U101" s="16" t="n">
        <v>30.41761880633443</v>
      </c>
      <c r="V101" s="16" t="n">
        <v>0.7463768115942055</v>
      </c>
      <c r="W101" s="4" t="n">
        <v>-0.07817672918427299</v>
      </c>
      <c r="X101" s="4" t="n">
        <v>-0.02961646675551588</v>
      </c>
      <c r="Y101" s="4" t="n"/>
      <c r="Z101" s="4" t="n"/>
      <c r="AA101" s="4" t="n">
        <v>0.04</v>
      </c>
      <c r="AB101" s="4" t="n">
        <v>0.05</v>
      </c>
      <c r="AC101" s="4">
        <f>(AB101+2*參數!$B$7)/(AA101+AB101)</f>
        <v/>
      </c>
      <c r="AD101" s="2" t="n">
        <v>0.1523036128604573</v>
      </c>
      <c r="AE101" s="2" t="n">
        <v>0.09772655509946326</v>
      </c>
      <c r="AF101" s="2" t="n">
        <v>30.41761880633443</v>
      </c>
      <c r="AG101" s="2" t="n">
        <v>0.2536231884057945</v>
      </c>
      <c r="AH101" s="2" t="n">
        <v>0.7922272581278327</v>
      </c>
      <c r="AI101" s="2" t="n">
        <v>4</v>
      </c>
      <c r="AJ101" s="2" t="n">
        <v>0.06620935712569676</v>
      </c>
      <c r="AK101" s="2" t="n">
        <v>61.64358098690323</v>
      </c>
      <c r="AL101" s="2" t="n">
        <v>0.05398763262572273</v>
      </c>
      <c r="AM101" s="2" t="n">
        <v>29834.5842</v>
      </c>
    </row>
    <row r="102">
      <c r="A102" s="2" t="n">
        <v>101</v>
      </c>
      <c r="B102" s="2" t="inlineStr">
        <is>
          <t>EVAA_USDT_PERP</t>
        </is>
      </c>
      <c r="C102" s="2" t="inlineStr">
        <is>
          <t>做空</t>
        </is>
      </c>
      <c r="D102" s="7" t="n">
        <v>46283.94444444445</v>
      </c>
      <c r="E102" s="17" t="n">
        <v>0.679</v>
      </c>
      <c r="F102" s="17" t="n">
        <v>0.65184</v>
      </c>
      <c r="G102" s="17" t="n">
        <v>0.7129500000000001</v>
      </c>
      <c r="H102" s="7" t="n">
        <v>46283.94791666666</v>
      </c>
      <c r="I102" s="17" t="n">
        <v>0.65184</v>
      </c>
      <c r="J102" s="2" t="inlineStr">
        <is>
          <t>止盈</t>
        </is>
      </c>
      <c r="K102" s="5">
        <f>(H102-D102)*24</f>
        <v/>
      </c>
      <c r="L102" s="4">
        <f>IF(C102="做多",I102/E102-1,1-I102/E102)-2*參數!$B$7</f>
        <v/>
      </c>
      <c r="M102" s="2" t="inlineStr"/>
      <c r="N102" s="4" t="n">
        <v>-0.04674996490242878</v>
      </c>
      <c r="O102" s="4" t="n">
        <v>0.03766183151582111</v>
      </c>
      <c r="P102" s="4" t="n">
        <v>0.4526770138109508</v>
      </c>
      <c r="Q102" s="19" t="n">
        <v>191162.2</v>
      </c>
      <c r="R102" s="19" t="n">
        <v>228924.42358</v>
      </c>
      <c r="S102" s="4" t="n">
        <v>0.04</v>
      </c>
      <c r="T102" s="4" t="n">
        <v>0</v>
      </c>
      <c r="U102" s="16" t="n">
        <v>69.16094931295929</v>
      </c>
      <c r="V102" s="16" t="n">
        <v>0.8390624999999988</v>
      </c>
      <c r="W102" s="4" t="n">
        <v>-0.4132966445132247</v>
      </c>
      <c r="X102" s="4" t="n">
        <v>-0.4985654380931364</v>
      </c>
      <c r="Y102" s="4" t="n"/>
      <c r="Z102" s="4" t="n"/>
      <c r="AA102" s="4" t="n">
        <v>0.04</v>
      </c>
      <c r="AB102" s="4" t="n">
        <v>0.05</v>
      </c>
      <c r="AC102" s="4">
        <f>(AB102+2*參數!$B$7)/(AA102+AB102)</f>
        <v/>
      </c>
      <c r="AD102" s="2" t="n">
        <v>0.4655730628102743</v>
      </c>
      <c r="AE102" s="2" t="n">
        <v>0.4425323985553431</v>
      </c>
      <c r="AF102" s="2" t="n">
        <v>69.16094931295929</v>
      </c>
      <c r="AG102" s="2" t="n">
        <v>0.1609375000000012</v>
      </c>
      <c r="AH102" s="2" t="n">
        <v>1</v>
      </c>
      <c r="AI102" s="2" t="n">
        <v>8</v>
      </c>
      <c r="AJ102" s="2" t="n">
        <v>0.4526770138109508</v>
      </c>
      <c r="AK102" s="2" t="n">
        <v>64.86700627161642</v>
      </c>
      <c r="AL102" s="2" t="n">
        <v>0.1304644113830019</v>
      </c>
      <c r="AM102" s="2" t="n">
        <v>228924.42358</v>
      </c>
    </row>
    <row r="103">
      <c r="A103" s="2" t="n">
        <v>102</v>
      </c>
      <c r="B103" s="2" t="inlineStr">
        <is>
          <t>STRK_USDT_PERP</t>
        </is>
      </c>
      <c r="C103" s="2" t="inlineStr">
        <is>
          <t>做空</t>
        </is>
      </c>
      <c r="D103" s="7" t="n">
        <v>46284.13194444445</v>
      </c>
      <c r="E103" s="17" t="n">
        <v>0.0425</v>
      </c>
      <c r="F103" s="17" t="n">
        <v>0.0408</v>
      </c>
      <c r="G103" s="17" t="n">
        <v>0.044625</v>
      </c>
      <c r="H103" s="7" t="n">
        <v>46284.15277777778</v>
      </c>
      <c r="I103" s="17" t="n">
        <v>0.0408</v>
      </c>
      <c r="J103" s="2" t="inlineStr">
        <is>
          <t>止盈</t>
        </is>
      </c>
      <c r="K103" s="5">
        <f>(H103-D103)*24</f>
        <v/>
      </c>
      <c r="L103" s="4">
        <f>IF(C103="做多",I103/E103-1,1-I103/E103)-2*參數!$B$7</f>
        <v/>
      </c>
      <c r="M103" s="2" t="inlineStr"/>
      <c r="N103" s="4" t="n">
        <v>-0.01847575057736706</v>
      </c>
      <c r="O103" s="4" t="n">
        <v>0.0170936201714115</v>
      </c>
      <c r="P103" s="4" t="n">
        <v>0.2825026404466129</v>
      </c>
      <c r="Q103" s="19" t="n">
        <v>607414.2</v>
      </c>
      <c r="R103" s="19" t="n">
        <v>497853.44056</v>
      </c>
      <c r="S103" s="4" t="n">
        <v>0.04</v>
      </c>
      <c r="T103" s="4" t="n">
        <v>0.01647058823529401</v>
      </c>
      <c r="U103" s="16" t="n">
        <v>5.521107188664024</v>
      </c>
      <c r="V103" s="16" t="n">
        <v>0.6666666666666627</v>
      </c>
      <c r="W103" s="4" t="n">
        <v>-0.1851314798806503</v>
      </c>
      <c r="X103" s="4" t="n">
        <v>-0.4912280701754386</v>
      </c>
      <c r="Y103" s="4" t="n"/>
      <c r="Z103" s="4" t="n"/>
      <c r="AA103" s="4" t="n">
        <v>0.04</v>
      </c>
      <c r="AB103" s="4" t="n">
        <v>0.05</v>
      </c>
      <c r="AC103" s="4">
        <f>(AB103+2*參數!$B$7)/(AA103+AB103)</f>
        <v/>
      </c>
      <c r="AD103" s="2" t="n">
        <v>0.1517615176151761</v>
      </c>
      <c r="AE103" s="2" t="n">
        <v>0.1154855643044619</v>
      </c>
      <c r="AF103" s="2" t="n">
        <v>5.521107188664024</v>
      </c>
      <c r="AG103" s="2" t="n">
        <v>0.3333333333333372</v>
      </c>
      <c r="AH103" s="2" t="n">
        <v>0.1985791435583964</v>
      </c>
      <c r="AI103" s="2" t="n">
        <v>3</v>
      </c>
      <c r="AJ103" s="2" t="n">
        <v>0.2825026404466129</v>
      </c>
      <c r="AK103" s="2" t="n">
        <v>78.21199668861998</v>
      </c>
      <c r="AL103" s="2" t="n">
        <v>0.05921403724433789</v>
      </c>
      <c r="AM103" s="2" t="n">
        <v>497853.44056</v>
      </c>
    </row>
    <row r="104">
      <c r="A104" s="2" t="n">
        <v>103</v>
      </c>
      <c r="B104" s="2" t="inlineStr">
        <is>
          <t>MAGMA_USDT_PERP</t>
        </is>
      </c>
      <c r="C104" s="2" t="inlineStr">
        <is>
          <t>做空</t>
        </is>
      </c>
      <c r="D104" s="7" t="n">
        <v>46284.22916666666</v>
      </c>
      <c r="E104" s="17" t="n">
        <v>0.2652</v>
      </c>
      <c r="F104" s="17" t="n">
        <v>0.254592</v>
      </c>
      <c r="G104" s="17" t="n">
        <v>0.27846</v>
      </c>
      <c r="H104" s="7" t="n">
        <v>46284.23611111111</v>
      </c>
      <c r="I104" s="17" t="n">
        <v>0.254592</v>
      </c>
      <c r="J104" s="2" t="inlineStr">
        <is>
          <t>止盈</t>
        </is>
      </c>
      <c r="K104" s="5">
        <f>(H104-D104)*24</f>
        <v/>
      </c>
      <c r="L104" s="4">
        <f>IF(C104="做多",I104/E104-1,1-I104/E104)-2*參數!$B$7</f>
        <v/>
      </c>
      <c r="M104" s="2" t="inlineStr"/>
      <c r="N104" s="4" t="n">
        <v>-0.01912194400266309</v>
      </c>
      <c r="O104" s="4" t="n">
        <v>0.02233124050857365</v>
      </c>
      <c r="P104" s="4" t="n">
        <v>0.2628100380382636</v>
      </c>
      <c r="Q104" s="19" t="n">
        <v>145723</v>
      </c>
      <c r="R104" s="19" t="n">
        <v>425016.86545</v>
      </c>
      <c r="S104" s="4" t="n">
        <v>0.04</v>
      </c>
      <c r="T104" s="4" t="n">
        <v>0.003959276018099533</v>
      </c>
      <c r="U104" s="16" t="n">
        <v>9.628882168650346</v>
      </c>
      <c r="V104" s="16" t="n">
        <v>0.6709677419354834</v>
      </c>
      <c r="W104" s="4" t="n">
        <v>-0.2353920250134276</v>
      </c>
      <c r="X104" s="4" t="n">
        <v>-0.3481089873932492</v>
      </c>
      <c r="Y104" s="4" t="n"/>
      <c r="Z104" s="4" t="n"/>
      <c r="AA104" s="4" t="n">
        <v>0.04</v>
      </c>
      <c r="AB104" s="4" t="n">
        <v>0.05</v>
      </c>
      <c r="AC104" s="4">
        <f>(AB104+2*參數!$B$7)/(AA104+AB104)</f>
        <v/>
      </c>
      <c r="AD104" s="2" t="n">
        <v>0.2484700122399019</v>
      </c>
      <c r="AE104" s="2" t="n">
        <v>0.1736071159888479</v>
      </c>
      <c r="AF104" s="2" t="n">
        <v>9.628882168650346</v>
      </c>
      <c r="AG104" s="2" t="n">
        <v>0.3290322580645166</v>
      </c>
      <c r="AH104" s="2" t="n">
        <v>0.4362055325277742</v>
      </c>
      <c r="AI104" s="2" t="n">
        <v>4</v>
      </c>
      <c r="AJ104" s="2" t="n">
        <v>0.2628100380382636</v>
      </c>
      <c r="AK104" s="2" t="n">
        <v>81.68443142401925</v>
      </c>
      <c r="AL104" s="2" t="n">
        <v>0.07735768631377962</v>
      </c>
      <c r="AM104" s="2" t="n">
        <v>425016.86545</v>
      </c>
    </row>
    <row r="105">
      <c r="A105" s="2" t="n">
        <v>104</v>
      </c>
      <c r="B105" s="2" t="inlineStr">
        <is>
          <t>ESP_USDT_PERP</t>
        </is>
      </c>
      <c r="C105" s="2" t="inlineStr">
        <is>
          <t>做空</t>
        </is>
      </c>
      <c r="D105" s="7" t="n">
        <v>46284.60416666666</v>
      </c>
      <c r="E105" s="17" t="n">
        <v>0.10843</v>
      </c>
      <c r="F105" s="17" t="n">
        <v>0.1040928</v>
      </c>
      <c r="G105" s="17" t="n">
        <v>0.1138515</v>
      </c>
      <c r="H105" s="7" t="n">
        <v>46284.60763888889</v>
      </c>
      <c r="I105" s="17" t="n">
        <v>0.1040928</v>
      </c>
      <c r="J105" s="2" t="inlineStr">
        <is>
          <t>止盈</t>
        </is>
      </c>
      <c r="K105" s="5">
        <f>(H105-D105)*24</f>
        <v/>
      </c>
      <c r="L105" s="4">
        <f>IF(C105="做多",I105/E105-1,1-I105/E105)-2*參數!$B$7</f>
        <v/>
      </c>
      <c r="M105" s="2" t="inlineStr"/>
      <c r="N105" s="4" t="n">
        <v>-0.03514860295426225</v>
      </c>
      <c r="O105" s="4" t="n">
        <v>0.02676763748295842</v>
      </c>
      <c r="P105" s="4" t="n">
        <v>0.2173018981867612</v>
      </c>
      <c r="Q105" s="19" t="n">
        <v>-10766</v>
      </c>
      <c r="R105" s="19" t="n">
        <v>47044.35215</v>
      </c>
      <c r="S105" s="4" t="n">
        <v>0.04</v>
      </c>
      <c r="T105" s="4" t="n">
        <v>0</v>
      </c>
      <c r="U105" s="16" t="n">
        <v>80.94209390106616</v>
      </c>
      <c r="V105" s="16" t="n">
        <v>0.7356321839080464</v>
      </c>
      <c r="W105" s="4" t="n">
        <v>-0.1802701243512488</v>
      </c>
      <c r="X105" s="4" t="n">
        <v>-0.2653751896370637</v>
      </c>
      <c r="Y105" s="4" t="n"/>
      <c r="Z105" s="4" t="n"/>
      <c r="AA105" s="4" t="n">
        <v>0.04</v>
      </c>
      <c r="AB105" s="4" t="n">
        <v>0.05</v>
      </c>
      <c r="AC105" s="4">
        <f>(AB105+2*參數!$B$7)/(AA105+AB105)</f>
        <v/>
      </c>
      <c r="AD105" s="2" t="n">
        <v>0.171203283646576</v>
      </c>
      <c r="AE105" s="2" t="n">
        <v>0.1560934001492698</v>
      </c>
      <c r="AF105" s="2" t="n">
        <v>80.94209390106616</v>
      </c>
      <c r="AG105" s="2" t="n">
        <v>0.2643678160919536</v>
      </c>
      <c r="AH105" s="2" t="n">
        <v>1</v>
      </c>
      <c r="AI105" s="2" t="n">
        <v>8</v>
      </c>
      <c r="AJ105" s="2" t="n">
        <v>0.2173018981867612</v>
      </c>
      <c r="AK105" s="2" t="n">
        <v>81.71341763782391</v>
      </c>
      <c r="AL105" s="2" t="n">
        <v>0.09272581623813816</v>
      </c>
      <c r="AM105" s="2" t="n">
        <v>47044.35215</v>
      </c>
    </row>
    <row r="106">
      <c r="A106" s="2" t="n">
        <v>105</v>
      </c>
      <c r="B106" s="2" t="inlineStr">
        <is>
          <t>CAP_USDT_PERP</t>
        </is>
      </c>
      <c r="C106" s="2" t="inlineStr">
        <is>
          <t>做空</t>
        </is>
      </c>
      <c r="D106" s="7" t="n">
        <v>46284.84027777778</v>
      </c>
      <c r="E106" s="17" t="n">
        <v>0.06956</v>
      </c>
      <c r="F106" s="17" t="n">
        <v>0.06677759999999999</v>
      </c>
      <c r="G106" s="17" t="n">
        <v>0.07303800000000001</v>
      </c>
      <c r="H106" s="7" t="n">
        <v>46284.86805555555</v>
      </c>
      <c r="I106" s="17" t="n">
        <v>0.07303800000000001</v>
      </c>
      <c r="J106" s="2" t="inlineStr">
        <is>
          <t>止損</t>
        </is>
      </c>
      <c r="K106" s="5">
        <f>(H106-D106)*24</f>
        <v/>
      </c>
      <c r="L106" s="4">
        <f>IF(C106="做多",I106/E106-1,1-I106/E106)-2*參數!$B$7</f>
        <v/>
      </c>
      <c r="M106" s="2" t="inlineStr"/>
      <c r="N106" s="4" t="n">
        <v>-0.006427653192401128</v>
      </c>
      <c r="O106" s="4" t="n">
        <v>0.02111269230450053</v>
      </c>
      <c r="P106" s="4" t="n">
        <v>0.236535206781745</v>
      </c>
      <c r="Q106" s="19" t="n">
        <v>1260349</v>
      </c>
      <c r="R106" s="19" t="n">
        <v>312489.87433</v>
      </c>
      <c r="S106" s="4" t="n">
        <v>0.03622771707878081</v>
      </c>
      <c r="T106" s="4" t="n">
        <v>0.05</v>
      </c>
      <c r="U106" s="16" t="n">
        <v>15.40073819845058</v>
      </c>
      <c r="V106" s="16" t="n">
        <v>0.6083333333333347</v>
      </c>
      <c r="W106" s="4" t="n">
        <v>-0.1922840913376</v>
      </c>
      <c r="X106" s="4" t="n">
        <v>-0.2644973641156152</v>
      </c>
      <c r="Y106" s="4" t="n"/>
      <c r="Z106" s="4" t="n"/>
      <c r="AA106" s="4" t="n">
        <v>0.04</v>
      </c>
      <c r="AB106" s="4" t="n">
        <v>0.05</v>
      </c>
      <c r="AC106" s="4">
        <f>(AB106+2*參數!$B$7)/(AA106+AB106)</f>
        <v/>
      </c>
      <c r="AD106" s="2" t="n">
        <v>0.1751985132623755</v>
      </c>
      <c r="AE106" s="2" t="n">
        <v>0.1595265877646272</v>
      </c>
      <c r="AF106" s="2" t="n">
        <v>15.40073819845058</v>
      </c>
      <c r="AG106" s="2" t="n">
        <v>0.3916666666666653</v>
      </c>
      <c r="AH106" s="2" t="n">
        <v>0.4638769516487788</v>
      </c>
      <c r="AI106" s="2" t="n">
        <v>6</v>
      </c>
      <c r="AJ106" s="2" t="n">
        <v>0.236535206781745</v>
      </c>
      <c r="AK106" s="2" t="n">
        <v>65.06717772905483</v>
      </c>
      <c r="AL106" s="2" t="n">
        <v>0.07313651151192674</v>
      </c>
      <c r="AM106" s="2" t="n">
        <v>312489.87433</v>
      </c>
    </row>
    <row r="107">
      <c r="A107" s="2" t="n">
        <v>106</v>
      </c>
      <c r="B107" s="2" t="inlineStr">
        <is>
          <t>BANK_USDT_PERP</t>
        </is>
      </c>
      <c r="C107" s="2" t="inlineStr">
        <is>
          <t>做空</t>
        </is>
      </c>
      <c r="D107" s="7" t="n">
        <v>46285.02430555555</v>
      </c>
      <c r="E107" s="17" t="n">
        <v>0.03616</v>
      </c>
      <c r="F107" s="17" t="n">
        <v>0.0347136</v>
      </c>
      <c r="G107" s="17" t="n">
        <v>0.037968</v>
      </c>
      <c r="H107" s="7" t="n">
        <v>46285.03819444445</v>
      </c>
      <c r="I107" s="17" t="n">
        <v>0.037968</v>
      </c>
      <c r="J107" s="2" t="inlineStr">
        <is>
          <t>止損</t>
        </is>
      </c>
      <c r="K107" s="5">
        <f>(H107-D107)*24</f>
        <v/>
      </c>
      <c r="L107" s="4">
        <f>IF(C107="做多",I107/E107-1,1-I107/E107)-2*參數!$B$7</f>
        <v/>
      </c>
      <c r="M107" s="2" t="inlineStr"/>
      <c r="N107" s="4" t="n">
        <v>-0.01978856058552458</v>
      </c>
      <c r="O107" s="4" t="n">
        <v>0.02081975016562262</v>
      </c>
      <c r="P107" s="4" t="n">
        <v>0.2081372184611787</v>
      </c>
      <c r="Q107" s="19" t="n">
        <v>969303</v>
      </c>
      <c r="R107" s="19" t="n">
        <v>255008.1856</v>
      </c>
      <c r="S107" s="4" t="n">
        <v>0.01769911504424759</v>
      </c>
      <c r="T107" s="4" t="n">
        <v>0.05</v>
      </c>
      <c r="U107" s="16" t="n">
        <v>9.594756334427638</v>
      </c>
      <c r="V107" s="16" t="n">
        <v>0.5731707317073185</v>
      </c>
      <c r="W107" s="4" t="n">
        <v>-0.1954232743886513</v>
      </c>
      <c r="X107" s="4" t="n">
        <v>-0.1989389920424403</v>
      </c>
      <c r="Y107" s="4" t="n"/>
      <c r="Z107" s="4" t="n"/>
      <c r="AA107" s="4" t="n">
        <v>0.04</v>
      </c>
      <c r="AB107" s="4" t="n">
        <v>0.05</v>
      </c>
      <c r="AC107" s="4">
        <f>(AB107+2*參數!$B$7)/(AA107+AB107)</f>
        <v/>
      </c>
      <c r="AD107" s="2" t="n">
        <v>0.187910643889619</v>
      </c>
      <c r="AE107" s="2" t="n">
        <v>0.1271820448877805</v>
      </c>
      <c r="AF107" s="2" t="n">
        <v>9.594756334427638</v>
      </c>
      <c r="AG107" s="2" t="n">
        <v>0.4268292682926816</v>
      </c>
      <c r="AH107" s="2" t="n">
        <v>0.2446156372921883</v>
      </c>
      <c r="AI107" s="2" t="n">
        <v>8</v>
      </c>
      <c r="AJ107" s="2" t="n">
        <v>0.2081372184611787</v>
      </c>
      <c r="AK107" s="2" t="n">
        <v>86.12900605240097</v>
      </c>
      <c r="AL107" s="2" t="n">
        <v>0.07212173017549786</v>
      </c>
      <c r="AM107" s="2" t="n">
        <v>255008.1856</v>
      </c>
    </row>
    <row r="108">
      <c r="A108" s="2" t="n">
        <v>107</v>
      </c>
      <c r="B108" s="2" t="inlineStr">
        <is>
          <t>OFC_USDT_PERP</t>
        </is>
      </c>
      <c r="C108" s="2" t="inlineStr">
        <is>
          <t>做空</t>
        </is>
      </c>
      <c r="D108" s="7" t="n">
        <v>46285.02777777778</v>
      </c>
      <c r="E108" s="17" t="n">
        <v>0.01164</v>
      </c>
      <c r="F108" s="17" t="n">
        <v>0.0111744</v>
      </c>
      <c r="G108" s="17" t="n">
        <v>0.012222</v>
      </c>
      <c r="H108" s="7" t="n">
        <v>46285.03125</v>
      </c>
      <c r="I108" s="17" t="n">
        <v>0.012222</v>
      </c>
      <c r="J108" s="2" t="inlineStr">
        <is>
          <t>止損</t>
        </is>
      </c>
      <c r="K108" s="5">
        <f>(H108-D108)*24</f>
        <v/>
      </c>
      <c r="L108" s="4">
        <f>IF(C108="做多",I108/E108-1,1-I108/E108)-2*參數!$B$7</f>
        <v/>
      </c>
      <c r="M108" s="2" t="inlineStr"/>
      <c r="N108" s="4" t="n">
        <v>-0.03161397670549082</v>
      </c>
      <c r="O108" s="4" t="n">
        <v>0.03425172744361967</v>
      </c>
      <c r="P108" s="4" t="n">
        <v>0.5361773730575077</v>
      </c>
      <c r="Q108" s="19" t="n">
        <v>5519334</v>
      </c>
      <c r="R108" s="19" t="n">
        <v>129628.21964</v>
      </c>
      <c r="S108" s="4" t="n">
        <v>0</v>
      </c>
      <c r="T108" s="4" t="n">
        <v>0.05</v>
      </c>
      <c r="U108" s="16" t="n">
        <v>95.29624615320071</v>
      </c>
      <c r="V108" s="16" t="n">
        <v>0.5000000000000011</v>
      </c>
      <c r="W108" s="4" t="n">
        <v>-0.5102565100618892</v>
      </c>
      <c r="X108" s="4" t="n">
        <v>-0.5561497326203209</v>
      </c>
      <c r="Y108" s="4" t="n"/>
      <c r="Z108" s="4" t="n"/>
      <c r="AA108" s="4" t="n">
        <v>0.04</v>
      </c>
      <c r="AB108" s="4" t="n">
        <v>0.05</v>
      </c>
      <c r="AC108" s="4">
        <f>(AB108+2*參數!$B$7)/(AA108+AB108)</f>
        <v/>
      </c>
      <c r="AD108" s="2" t="n">
        <v>0.5275590551181102</v>
      </c>
      <c r="AE108" s="2" t="n">
        <v>0.5396825396825395</v>
      </c>
      <c r="AF108" s="2" t="n">
        <v>95.29624615320071</v>
      </c>
      <c r="AG108" s="2" t="n">
        <v>0.4999999999999989</v>
      </c>
      <c r="AH108" s="2" t="n">
        <v>1</v>
      </c>
      <c r="AI108" s="2" t="n">
        <v>8</v>
      </c>
      <c r="AJ108" s="2" t="n">
        <v>0.5361773730575077</v>
      </c>
      <c r="AK108" s="2" t="n">
        <v>54.92208997337385</v>
      </c>
      <c r="AL108" s="2" t="n">
        <v>0.1186514643587011</v>
      </c>
      <c r="AM108" s="2" t="n">
        <v>129628.21964</v>
      </c>
    </row>
    <row r="109">
      <c r="A109" s="2" t="n">
        <v>108</v>
      </c>
      <c r="B109" s="2" t="inlineStr">
        <is>
          <t>OFC_USDT_PERP</t>
        </is>
      </c>
      <c r="C109" s="2" t="inlineStr">
        <is>
          <t>做空</t>
        </is>
      </c>
      <c r="D109" s="7" t="n">
        <v>46285.07638888889</v>
      </c>
      <c r="E109" s="17" t="n">
        <v>0.01099</v>
      </c>
      <c r="F109" s="17" t="n">
        <v>0.0105504</v>
      </c>
      <c r="G109" s="17" t="n">
        <v>0.0115395</v>
      </c>
      <c r="H109" s="7" t="n">
        <v>46285.09027777778</v>
      </c>
      <c r="I109" s="17" t="n">
        <v>0.0105504</v>
      </c>
      <c r="J109" s="2" t="inlineStr">
        <is>
          <t>止盈</t>
        </is>
      </c>
      <c r="K109" s="5">
        <f>(H109-D109)*24</f>
        <v/>
      </c>
      <c r="L109" s="4">
        <f>IF(C109="做多",I109/E109-1,1-I109/E109)-2*參數!$B$7</f>
        <v/>
      </c>
      <c r="M109" s="2" t="inlineStr"/>
      <c r="N109" s="4" t="n">
        <v>0.003652968036529591</v>
      </c>
      <c r="O109" s="4" t="n">
        <v>0.03767561737603006</v>
      </c>
      <c r="P109" s="4" t="n">
        <v>0.4122409205052284</v>
      </c>
      <c r="Q109" s="19" t="n">
        <v>4655525</v>
      </c>
      <c r="R109" s="19" t="n">
        <v>270422.95599</v>
      </c>
      <c r="S109" s="4" t="n">
        <v>0.04</v>
      </c>
      <c r="T109" s="4" t="n">
        <v>0</v>
      </c>
      <c r="U109" s="16" t="n">
        <v>4.539065247638522</v>
      </c>
      <c r="V109" s="16" t="n">
        <v>0.5625000000000003</v>
      </c>
      <c r="W109" s="4" t="n">
        <v>-0.340881638828223</v>
      </c>
      <c r="X109" s="4" t="n">
        <v>-0.4731903485254692</v>
      </c>
      <c r="Y109" s="4" t="n"/>
      <c r="Z109" s="4" t="n"/>
      <c r="AA109" s="4" t="n">
        <v>0.04</v>
      </c>
      <c r="AB109" s="4" t="n">
        <v>0.05</v>
      </c>
      <c r="AC109" s="4">
        <f>(AB109+2*參數!$B$7)/(AA109+AB109)</f>
        <v/>
      </c>
      <c r="AD109" s="2" t="n">
        <v>0.4575596816976126</v>
      </c>
      <c r="AE109" s="2" t="n">
        <v>-0.05665236051502154</v>
      </c>
      <c r="AF109" s="2" t="n">
        <v>4.539065247638522</v>
      </c>
      <c r="AG109" s="2" t="n">
        <v>0.4374999999999997</v>
      </c>
      <c r="AH109" s="2" t="n">
        <v>0.1275741211858069</v>
      </c>
      <c r="AI109" s="2" t="n">
        <v>11</v>
      </c>
      <c r="AJ109" s="2" t="n">
        <v>0.4122409205052284</v>
      </c>
      <c r="AK109" s="2" t="n">
        <v>93.15123855570688</v>
      </c>
      <c r="AL109" s="2" t="n">
        <v>0.1305121670036178</v>
      </c>
      <c r="AM109" s="2" t="n">
        <v>270422.95599</v>
      </c>
    </row>
    <row r="110">
      <c r="A110" s="2" t="n">
        <v>109</v>
      </c>
      <c r="B110" s="2" t="inlineStr">
        <is>
          <t>SKL_USDT_PERP</t>
        </is>
      </c>
      <c r="C110" s="2" t="inlineStr">
        <is>
          <t>做空</t>
        </is>
      </c>
      <c r="D110" s="7" t="n">
        <v>46285.19097222222</v>
      </c>
      <c r="E110" s="17" t="n">
        <v>0.004631</v>
      </c>
      <c r="F110" s="17" t="n">
        <v>0.004445759999999999</v>
      </c>
      <c r="G110" s="17" t="n">
        <v>0.00486255</v>
      </c>
      <c r="H110" s="7" t="n">
        <v>46285.20486111111</v>
      </c>
      <c r="I110" s="17" t="n">
        <v>0.004445759999999999</v>
      </c>
      <c r="J110" s="2" t="inlineStr">
        <is>
          <t>止盈</t>
        </is>
      </c>
      <c r="K110" s="5">
        <f>(H110-D110)*24</f>
        <v/>
      </c>
      <c r="L110" s="4">
        <f>IF(C110="做多",I110/E110-1,1-I110/E110)-2*參數!$B$7</f>
        <v/>
      </c>
      <c r="M110" s="2" t="inlineStr"/>
      <c r="N110" s="4" t="n">
        <v>0.04348805768364117</v>
      </c>
      <c r="O110" s="4" t="n">
        <v>0.01920229716006105</v>
      </c>
      <c r="P110" s="4" t="n">
        <v>0.1554223054804176</v>
      </c>
      <c r="Q110" s="19" t="n">
        <v>2919718</v>
      </c>
      <c r="R110" s="19" t="n">
        <v>79439.74976000001</v>
      </c>
      <c r="S110" s="4" t="n">
        <v>0.04</v>
      </c>
      <c r="T110" s="4" t="n">
        <v>0.0138199093068454</v>
      </c>
      <c r="U110" s="16" t="n">
        <v>56.9450657822283</v>
      </c>
      <c r="V110" s="16" t="n">
        <v>0.4070080862533697</v>
      </c>
      <c r="W110" s="4" t="n">
        <v>-0.1476023264285555</v>
      </c>
      <c r="X110" s="4" t="n">
        <v>-0.1712190187152249</v>
      </c>
      <c r="Y110" s="4" t="n"/>
      <c r="Z110" s="4" t="n"/>
      <c r="AA110" s="4" t="n">
        <v>0.04</v>
      </c>
      <c r="AB110" s="4" t="n">
        <v>0.05</v>
      </c>
      <c r="AC110" s="4">
        <f>(AB110+2*參數!$B$7)/(AA110+AB110)</f>
        <v/>
      </c>
      <c r="AD110" s="2" t="n">
        <v>0.1612337011033098</v>
      </c>
      <c r="AE110" s="2" t="n">
        <v>0.1545749189728247</v>
      </c>
      <c r="AF110" s="2" t="n">
        <v>56.9450657822283</v>
      </c>
      <c r="AG110" s="2" t="n">
        <v>0.5929919137466303</v>
      </c>
      <c r="AH110" s="2" t="n">
        <v>1</v>
      </c>
      <c r="AI110" s="2" t="n">
        <v>9</v>
      </c>
      <c r="AJ110" s="2" t="n">
        <v>0.1554223054804176</v>
      </c>
      <c r="AK110" s="2" t="n">
        <v>87.50199335870212</v>
      </c>
      <c r="AL110" s="2" t="n">
        <v>0.06651870860652262</v>
      </c>
      <c r="AM110" s="2" t="n">
        <v>79439.74976000001</v>
      </c>
    </row>
    <row r="111">
      <c r="A111" s="2" t="n">
        <v>110</v>
      </c>
      <c r="B111" s="2" t="inlineStr">
        <is>
          <t>SKL_USDT_PERP</t>
        </is>
      </c>
      <c r="C111" s="2" t="inlineStr">
        <is>
          <t>做空</t>
        </is>
      </c>
      <c r="D111" s="7" t="n">
        <v>46285.25347222222</v>
      </c>
      <c r="E111" s="17" t="n">
        <v>0.00519</v>
      </c>
      <c r="F111" s="17" t="n">
        <v>0.0049824</v>
      </c>
      <c r="G111" s="17" t="n">
        <v>0.0054495</v>
      </c>
      <c r="H111" s="7" t="n">
        <v>46285.25694444445</v>
      </c>
      <c r="I111" s="17" t="n">
        <v>0.0049824</v>
      </c>
      <c r="J111" s="2" t="inlineStr">
        <is>
          <t>止盈</t>
        </is>
      </c>
      <c r="K111" s="5">
        <f>(H111-D111)*24</f>
        <v/>
      </c>
      <c r="L111" s="4">
        <f>IF(C111="做多",I111/E111-1,1-I111/E111)-2*參數!$B$7</f>
        <v/>
      </c>
      <c r="M111" s="2" t="inlineStr"/>
      <c r="N111" s="4" t="n">
        <v>-0.001731102135025808</v>
      </c>
      <c r="O111" s="4" t="n">
        <v>0.03195752679228381</v>
      </c>
      <c r="P111" s="4" t="n">
        <v>0.2797396136739809</v>
      </c>
      <c r="Q111" s="19" t="n">
        <v>-34176875</v>
      </c>
      <c r="R111" s="19" t="n">
        <v>336422.752716</v>
      </c>
      <c r="S111" s="4" t="n">
        <v>0.04</v>
      </c>
      <c r="T111" s="4" t="n">
        <v>0</v>
      </c>
      <c r="U111" s="16" t="n">
        <v>8.024378093433681</v>
      </c>
      <c r="V111" s="16" t="n">
        <v>0.7731629392971249</v>
      </c>
      <c r="W111" s="4" t="n">
        <v>-0.2542533446755859</v>
      </c>
      <c r="X111" s="4" t="n">
        <v>-0.3139240506329113</v>
      </c>
      <c r="Y111" s="4" t="n"/>
      <c r="Z111" s="4" t="n"/>
      <c r="AA111" s="4" t="n">
        <v>0.04</v>
      </c>
      <c r="AB111" s="4" t="n">
        <v>0.05</v>
      </c>
      <c r="AC111" s="4">
        <f>(AB111+2*參數!$B$7)/(AA111+AB111)</f>
        <v/>
      </c>
      <c r="AD111" s="2" t="n">
        <v>0.219168428470754</v>
      </c>
      <c r="AE111" s="2" t="n">
        <v>0.1925551470588236</v>
      </c>
      <c r="AF111" s="2" t="n">
        <v>8.024378093433681</v>
      </c>
      <c r="AG111" s="2" t="n">
        <v>0.2268370607028751</v>
      </c>
      <c r="AH111" s="2" t="n">
        <v>0.1031816690039668</v>
      </c>
      <c r="AI111" s="2" t="n">
        <v>6</v>
      </c>
      <c r="AJ111" s="2" t="n">
        <v>0.2797396136739809</v>
      </c>
      <c r="AK111" s="2" t="n">
        <v>92.01187326874098</v>
      </c>
      <c r="AL111" s="2" t="n">
        <v>0.1107041201769584</v>
      </c>
      <c r="AM111" s="2" t="n">
        <v>336422.752716</v>
      </c>
    </row>
    <row r="112">
      <c r="A112" s="2" t="n">
        <v>111</v>
      </c>
      <c r="B112" s="2" t="inlineStr">
        <is>
          <t>GUN_USDT_PERP</t>
        </is>
      </c>
      <c r="C112" s="2" t="inlineStr">
        <is>
          <t>做空</t>
        </is>
      </c>
      <c r="D112" s="7" t="n">
        <v>46285.71527777778</v>
      </c>
      <c r="E112" s="17" t="n">
        <v>0.00355</v>
      </c>
      <c r="F112" s="17" t="n">
        <v>0.003408</v>
      </c>
      <c r="G112" s="17" t="n">
        <v>0.0037275</v>
      </c>
      <c r="H112" s="7" t="n">
        <v>46285.72222222222</v>
      </c>
      <c r="I112" s="17" t="n">
        <v>0.0037275</v>
      </c>
      <c r="J112" s="2" t="inlineStr">
        <is>
          <t>止損</t>
        </is>
      </c>
      <c r="K112" s="5">
        <f>(H112-D112)*24</f>
        <v/>
      </c>
      <c r="L112" s="4">
        <f>IF(C112="做多",I112/E112-1,1-I112/E112)-2*參數!$B$7</f>
        <v/>
      </c>
      <c r="M112" s="2" t="inlineStr"/>
      <c r="N112" s="4" t="n">
        <v>-0.01933701657458553</v>
      </c>
      <c r="O112" s="4" t="n">
        <v>0.02758211366397097</v>
      </c>
      <c r="P112" s="4" t="n">
        <v>0.2493401372514521</v>
      </c>
      <c r="Q112" s="19" t="n">
        <v>8287649</v>
      </c>
      <c r="R112" s="19" t="n">
        <v>132097.37488</v>
      </c>
      <c r="S112" s="4" t="n">
        <v>0.0112676056338028</v>
      </c>
      <c r="T112" s="4" t="n">
        <v>0.05</v>
      </c>
      <c r="U112" s="16" t="n">
        <v>12.01971569720611</v>
      </c>
      <c r="V112" s="16" t="n">
        <v>0.9166666666666664</v>
      </c>
      <c r="W112" s="4" t="n">
        <v>-0.2075240654444028</v>
      </c>
      <c r="X112" s="4" t="n">
        <v>-0.2862318840579712</v>
      </c>
      <c r="Y112" s="4" t="n"/>
      <c r="Z112" s="4" t="n"/>
      <c r="AA112" s="4" t="n">
        <v>0.04</v>
      </c>
      <c r="AB112" s="4" t="n">
        <v>0.05</v>
      </c>
      <c r="AC112" s="4">
        <f>(AB112+2*參數!$B$7)/(AA112+AB112)</f>
        <v/>
      </c>
      <c r="AD112" s="2" t="n">
        <v>0.1601307189542485</v>
      </c>
      <c r="AE112" s="2" t="n">
        <v>0.1912751677852349</v>
      </c>
      <c r="AF112" s="2" t="n">
        <v>12.01971569720611</v>
      </c>
      <c r="AG112" s="2" t="n">
        <v>0.08333333333333363</v>
      </c>
      <c r="AH112" s="2" t="n">
        <v>0.3429332375082564</v>
      </c>
      <c r="AI112" s="2" t="n">
        <v>6</v>
      </c>
      <c r="AJ112" s="2" t="n">
        <v>0.2493401372514521</v>
      </c>
      <c r="AK112" s="2" t="n">
        <v>67.55948792422973</v>
      </c>
      <c r="AL112" s="2" t="n">
        <v>0.09554724449227495</v>
      </c>
      <c r="AM112" s="2" t="n">
        <v>132097.37488</v>
      </c>
    </row>
    <row r="113">
      <c r="A113" s="2" t="n">
        <v>112</v>
      </c>
      <c r="B113" s="2" t="inlineStr">
        <is>
          <t>BTW_USDT_PERP</t>
        </is>
      </c>
      <c r="C113" s="2" t="inlineStr">
        <is>
          <t>做空</t>
        </is>
      </c>
      <c r="D113" s="7" t="n">
        <v>46285.77430555555</v>
      </c>
      <c r="E113" s="17" t="n">
        <v>0.757973</v>
      </c>
      <c r="F113" s="17" t="n">
        <v>0.72765408</v>
      </c>
      <c r="G113" s="17" t="n">
        <v>0.79587165</v>
      </c>
      <c r="H113" s="7" t="n">
        <v>46285.77777777778</v>
      </c>
      <c r="I113" s="17" t="n">
        <v>0.72765408</v>
      </c>
      <c r="J113" s="2" t="inlineStr">
        <is>
          <t>止盈</t>
        </is>
      </c>
      <c r="K113" s="5">
        <f>(H113-D113)*24</f>
        <v/>
      </c>
      <c r="L113" s="4">
        <f>IF(C113="做多",I113/E113-1,1-I113/E113)-2*參數!$B$7</f>
        <v/>
      </c>
      <c r="M113" s="2" t="inlineStr"/>
      <c r="N113" s="4" t="n">
        <v>0.07286392685015475</v>
      </c>
      <c r="O113" s="4" t="n">
        <v>0.02958437886960478</v>
      </c>
      <c r="P113" s="4" t="n">
        <v>0.2676665012992372</v>
      </c>
      <c r="Q113" s="19" t="n">
        <v>86503</v>
      </c>
      <c r="R113" s="19" t="n">
        <v>473060.2535</v>
      </c>
      <c r="S113" s="4" t="n">
        <v>0.04</v>
      </c>
      <c r="T113" s="4" t="n">
        <v>0</v>
      </c>
      <c r="U113" s="16" t="n">
        <v>18.54200704182054</v>
      </c>
      <c r="V113" s="16" t="n">
        <v>0.670415046940477</v>
      </c>
      <c r="W113" s="4" t="n">
        <v>-0.2329377620126738</v>
      </c>
      <c r="X113" s="4" t="n">
        <v>-0.2604502195888925</v>
      </c>
      <c r="Y113" s="4" t="n"/>
      <c r="Z113" s="4" t="n"/>
      <c r="AA113" s="4" t="n">
        <v>0.04</v>
      </c>
      <c r="AB113" s="4" t="n">
        <v>0.05</v>
      </c>
      <c r="AC113" s="4">
        <f>(AB113+2*參數!$B$7)/(AA113+AB113)</f>
        <v/>
      </c>
      <c r="AD113" s="2" t="n">
        <v>0.2130925840272586</v>
      </c>
      <c r="AE113" s="2" t="n">
        <v>0.2136481031669657</v>
      </c>
      <c r="AF113" s="2" t="n">
        <v>18.54200704182054</v>
      </c>
      <c r="AG113" s="2" t="n">
        <v>0.3295849530595229</v>
      </c>
      <c r="AH113" s="2" t="n">
        <v>0.3697322066081334</v>
      </c>
      <c r="AI113" s="2" t="n">
        <v>3</v>
      </c>
      <c r="AJ113" s="2" t="n">
        <v>0.2676665012992372</v>
      </c>
      <c r="AK113" s="2" t="n">
        <v>59.90726533899981</v>
      </c>
      <c r="AL113" s="2" t="n">
        <v>0.1024832946250452</v>
      </c>
      <c r="AM113" s="2" t="n">
        <v>473060.2535</v>
      </c>
    </row>
    <row r="114">
      <c r="A114" s="2" t="n">
        <v>113</v>
      </c>
      <c r="B114" s="2" t="inlineStr">
        <is>
          <t>ENSO_USDT_PERP</t>
        </is>
      </c>
      <c r="C114" s="2" t="inlineStr">
        <is>
          <t>做空</t>
        </is>
      </c>
      <c r="D114" s="7" t="n">
        <v>46285.79861111111</v>
      </c>
      <c r="E114" s="17" t="n">
        <v>1.0558</v>
      </c>
      <c r="F114" s="17" t="n">
        <v>1.013568</v>
      </c>
      <c r="G114" s="17" t="n">
        <v>1.10859</v>
      </c>
      <c r="H114" s="7" t="n">
        <v>46285.84375</v>
      </c>
      <c r="I114" s="17" t="n">
        <v>1.10859</v>
      </c>
      <c r="J114" s="2" t="inlineStr">
        <is>
          <t>止損</t>
        </is>
      </c>
      <c r="K114" s="5">
        <f>(H114-D114)*24</f>
        <v/>
      </c>
      <c r="L114" s="4">
        <f>IF(C114="做多",I114/E114-1,1-I114/E114)-2*參數!$B$7</f>
        <v/>
      </c>
      <c r="M114" s="2" t="inlineStr"/>
      <c r="N114" s="4" t="n">
        <v>-0.006586375611591921</v>
      </c>
      <c r="O114" s="4" t="n">
        <v>0.01935991877919346</v>
      </c>
      <c r="P114" s="4" t="n">
        <v>0.1129294510458092</v>
      </c>
      <c r="Q114" s="19" t="n">
        <v>13491.09999999999</v>
      </c>
      <c r="R114" s="19" t="n">
        <v>79204.393</v>
      </c>
      <c r="S114" s="4" t="n">
        <v>0.01032392498579293</v>
      </c>
      <c r="T114" s="4" t="n">
        <v>0.05</v>
      </c>
      <c r="U114" s="16" t="n">
        <v>4.39697088906373</v>
      </c>
      <c r="V114" s="16" t="n">
        <v>0.8771929824561401</v>
      </c>
      <c r="W114" s="4" t="n">
        <v>-0.1181810864509243</v>
      </c>
      <c r="X114" s="4" t="n">
        <v>-0.1092666526581216</v>
      </c>
      <c r="Y114" s="4" t="n"/>
      <c r="Z114" s="4" t="n"/>
      <c r="AA114" s="4" t="n">
        <v>0.04</v>
      </c>
      <c r="AB114" s="4" t="n">
        <v>0.05</v>
      </c>
      <c r="AC114" s="4">
        <f>(AB114+2*參數!$B$7)/(AA114+AB114)</f>
        <v/>
      </c>
      <c r="AD114" s="2" t="n">
        <v>0.142393421337373</v>
      </c>
      <c r="AE114" s="2" t="n">
        <v>0.1512375967724349</v>
      </c>
      <c r="AF114" s="2" t="n">
        <v>4.39697088906373</v>
      </c>
      <c r="AG114" s="2" t="n">
        <v>0.1228070175438599</v>
      </c>
      <c r="AH114" s="2" t="n">
        <v>0.04405728617901754</v>
      </c>
      <c r="AI114" s="2" t="n">
        <v>9</v>
      </c>
      <c r="AJ114" s="2" t="n">
        <v>0.1129294510458092</v>
      </c>
      <c r="AK114" s="2" t="n">
        <v>32.38906872843326</v>
      </c>
      <c r="AL114" s="2" t="n">
        <v>0.06706472591193979</v>
      </c>
      <c r="AM114" s="2" t="n">
        <v>79204.393</v>
      </c>
    </row>
    <row r="115">
      <c r="A115" s="2" t="n">
        <v>114</v>
      </c>
      <c r="B115" s="2" t="inlineStr">
        <is>
          <t>PTB_USDT_PERP</t>
        </is>
      </c>
      <c r="C115" s="2" t="inlineStr">
        <is>
          <t>做空</t>
        </is>
      </c>
      <c r="D115" s="7" t="n">
        <v>46285.82986111111</v>
      </c>
      <c r="E115" s="17" t="n">
        <v>0.000852</v>
      </c>
      <c r="F115" s="17" t="n">
        <v>0.00081792</v>
      </c>
      <c r="G115" s="17" t="n">
        <v>0.0008946000000000001</v>
      </c>
      <c r="H115" s="7" t="n">
        <v>46285.83680555555</v>
      </c>
      <c r="I115" s="17" t="n">
        <v>0.00081792</v>
      </c>
      <c r="J115" s="2" t="inlineStr">
        <is>
          <t>止盈</t>
        </is>
      </c>
      <c r="K115" s="5">
        <f>(H115-D115)*24</f>
        <v/>
      </c>
      <c r="L115" s="4">
        <f>IF(C115="做多",I115/E115-1,1-I115/E115)-2*參數!$B$7</f>
        <v/>
      </c>
      <c r="M115" s="2" t="inlineStr"/>
      <c r="N115" s="4" t="n">
        <v>-0.01274623406720743</v>
      </c>
      <c r="O115" s="4" t="n">
        <v>0.02022236732697951</v>
      </c>
      <c r="P115" s="4" t="n">
        <v>0.1935071529881454</v>
      </c>
      <c r="Q115" s="19" t="n">
        <v>29362599</v>
      </c>
      <c r="R115" s="19" t="n">
        <v>57224.499527</v>
      </c>
      <c r="S115" s="4" t="n">
        <v>0.04</v>
      </c>
      <c r="T115" s="4" t="n">
        <v>0.008215962441314506</v>
      </c>
      <c r="U115" s="16" t="n">
        <v>13.55762469125345</v>
      </c>
      <c r="V115" s="16" t="n">
        <v>0.7647058823529416</v>
      </c>
      <c r="W115" s="4" t="n">
        <v>-0.1858202619382314</v>
      </c>
      <c r="X115" s="4" t="n">
        <v>-0.2241379310344827</v>
      </c>
      <c r="Y115" s="4" t="n"/>
      <c r="Z115" s="4" t="n"/>
      <c r="AA115" s="4" t="n">
        <v>0.04</v>
      </c>
      <c r="AB115" s="4" t="n">
        <v>0.05</v>
      </c>
      <c r="AC115" s="4">
        <f>(AB115+2*參數!$B$7)/(AA115+AB115)</f>
        <v/>
      </c>
      <c r="AD115" s="2" t="n">
        <v>0.1932773109243697</v>
      </c>
      <c r="AE115" s="2" t="n">
        <v>0.1751724137931034</v>
      </c>
      <c r="AF115" s="2" t="n">
        <v>13.55762469125345</v>
      </c>
      <c r="AG115" s="2" t="n">
        <v>0.2352941176470585</v>
      </c>
      <c r="AH115" s="2" t="n">
        <v>0.3150028215765779</v>
      </c>
      <c r="AI115" s="2" t="n">
        <v>6</v>
      </c>
      <c r="AJ115" s="2" t="n">
        <v>0.1935071529881454</v>
      </c>
      <c r="AK115" s="2" t="n">
        <v>62.41766505699218</v>
      </c>
      <c r="AL115" s="2" t="n">
        <v>0.07005233531929866</v>
      </c>
      <c r="AM115" s="2" t="n">
        <v>57224.499527</v>
      </c>
    </row>
    <row r="116">
      <c r="A116" s="2" t="n">
        <v>115</v>
      </c>
      <c r="B116" s="2" t="inlineStr">
        <is>
          <t>LUNA2_USDT_PERP</t>
        </is>
      </c>
      <c r="C116" s="2" t="inlineStr">
        <is>
          <t>做空</t>
        </is>
      </c>
      <c r="D116" s="7" t="n">
        <v>46286.01041666666</v>
      </c>
      <c r="E116" s="17" t="n">
        <v>0.05456</v>
      </c>
      <c r="F116" s="17" t="n">
        <v>0.0523776</v>
      </c>
      <c r="G116" s="17" t="n">
        <v>0.057288</v>
      </c>
      <c r="H116" s="7" t="n">
        <v>46286.01736111111</v>
      </c>
      <c r="I116" s="17" t="n">
        <v>0.057288</v>
      </c>
      <c r="J116" s="2" t="inlineStr">
        <is>
          <t>止損</t>
        </is>
      </c>
      <c r="K116" s="5">
        <f>(H116-D116)*24</f>
        <v/>
      </c>
      <c r="L116" s="4">
        <f>IF(C116="做多",I116/E116-1,1-I116/E116)-2*參數!$B$7</f>
        <v/>
      </c>
      <c r="M116" s="2" t="inlineStr"/>
      <c r="N116" s="4" t="n">
        <v>-0.007458613789339652</v>
      </c>
      <c r="O116" s="4" t="n">
        <v>0.01395615688005708</v>
      </c>
      <c r="P116" s="4" t="n">
        <v>0.146855964230818</v>
      </c>
      <c r="Q116" s="19" t="n">
        <v>1163067</v>
      </c>
      <c r="R116" s="19" t="n">
        <v>332846.3506</v>
      </c>
      <c r="S116" s="4" t="n">
        <v>0.01502932551319636</v>
      </c>
      <c r="T116" s="4" t="n">
        <v>0.05</v>
      </c>
      <c r="U116" s="16" t="n">
        <v>38.09332212350959</v>
      </c>
      <c r="V116" s="16" t="n">
        <v>0.6220930232558151</v>
      </c>
      <c r="W116" s="4" t="n">
        <v>-0.1547774259638666</v>
      </c>
      <c r="X116" s="4" t="n">
        <v>-0.1340677613801704</v>
      </c>
      <c r="Y116" s="4" t="n"/>
      <c r="Z116" s="4" t="n"/>
      <c r="AA116" s="4" t="n">
        <v>0.04</v>
      </c>
      <c r="AB116" s="4" t="n">
        <v>0.05</v>
      </c>
      <c r="AC116" s="4">
        <f>(AB116+2*參數!$B$7)/(AA116+AB116)</f>
        <v/>
      </c>
      <c r="AD116" s="2" t="n">
        <v>0.1640708342223169</v>
      </c>
      <c r="AE116" s="2" t="n">
        <v>0.1530008453085376</v>
      </c>
      <c r="AF116" s="2" t="n">
        <v>38.09332212350959</v>
      </c>
      <c r="AG116" s="2" t="n">
        <v>0.3779069767441849</v>
      </c>
      <c r="AH116" s="2" t="n">
        <v>0.845616783375238</v>
      </c>
      <c r="AI116" s="2" t="n">
        <v>4</v>
      </c>
      <c r="AJ116" s="2" t="n">
        <v>0.146855964230818</v>
      </c>
      <c r="AK116" s="2" t="n">
        <v>49.82686396437818</v>
      </c>
      <c r="AL116" s="2" t="n">
        <v>0.04834554558932162</v>
      </c>
      <c r="AM116" s="2" t="n">
        <v>332846.3506</v>
      </c>
    </row>
    <row r="117">
      <c r="A117" s="2" t="n">
        <v>116</v>
      </c>
      <c r="B117" s="2" t="inlineStr">
        <is>
          <t>KMNO_USDT_PERP</t>
        </is>
      </c>
      <c r="C117" s="2" t="inlineStr">
        <is>
          <t>做空</t>
        </is>
      </c>
      <c r="D117" s="7" t="n">
        <v>46286.05902777778</v>
      </c>
      <c r="E117" s="17" t="n">
        <v>0.03203</v>
      </c>
      <c r="F117" s="17" t="n">
        <v>0.0307488</v>
      </c>
      <c r="G117" s="17" t="n">
        <v>0.0336315</v>
      </c>
      <c r="H117" s="7" t="n">
        <v>46286.31597222222</v>
      </c>
      <c r="I117" s="17" t="n">
        <v>0.0336315</v>
      </c>
      <c r="J117" s="2" t="inlineStr">
        <is>
          <t>止損</t>
        </is>
      </c>
      <c r="K117" s="5">
        <f>(H117-D117)*24</f>
        <v/>
      </c>
      <c r="L117" s="4">
        <f>IF(C117="做多",I117/E117-1,1-I117/E117)-2*參數!$B$7</f>
        <v/>
      </c>
      <c r="M117" s="2" t="inlineStr"/>
      <c r="N117" s="4" t="n">
        <v>0.0006248047485162278</v>
      </c>
      <c r="O117" s="4" t="n">
        <v>0.0128327812171614</v>
      </c>
      <c r="P117" s="4" t="n">
        <v>0.1565490689322626</v>
      </c>
      <c r="Q117" s="19" t="n">
        <v>669860</v>
      </c>
      <c r="R117" s="19" t="n">
        <v>75732.48043</v>
      </c>
      <c r="S117" s="4" t="n">
        <v>0.03559163284420863</v>
      </c>
      <c r="T117" s="4" t="n">
        <v>0.05</v>
      </c>
      <c r="U117" s="16" t="n">
        <v>4.055804425319034</v>
      </c>
      <c r="V117" s="16" t="n">
        <v>0.568181818181815</v>
      </c>
      <c r="W117" s="4" t="n">
        <v>-0.1482015213759775</v>
      </c>
      <c r="X117" s="4" t="n">
        <v>-0.1517439769866955</v>
      </c>
      <c r="Y117" s="4" t="n"/>
      <c r="Z117" s="4" t="n"/>
      <c r="AA117" s="4" t="n">
        <v>0.04</v>
      </c>
      <c r="AB117" s="4" t="n">
        <v>0.05</v>
      </c>
      <c r="AC117" s="4">
        <f>(AB117+2*參數!$B$7)/(AA117+AB117)</f>
        <v/>
      </c>
      <c r="AD117" s="2" t="n">
        <v>0.1505028735632186</v>
      </c>
      <c r="AE117" s="2" t="n">
        <v>0.06731089636787746</v>
      </c>
      <c r="AF117" s="2" t="n">
        <v>4.055804425319034</v>
      </c>
      <c r="AG117" s="2" t="n">
        <v>0.431818181818185</v>
      </c>
      <c r="AH117" s="2" t="n">
        <v>0.1721124166917128</v>
      </c>
      <c r="AI117" s="2" t="n">
        <v>12</v>
      </c>
      <c r="AJ117" s="2" t="n">
        <v>0.1565490689322626</v>
      </c>
      <c r="AK117" s="2" t="n">
        <v>80.55987224775679</v>
      </c>
      <c r="AL117" s="2" t="n">
        <v>0.04445405814107825</v>
      </c>
      <c r="AM117" s="2" t="n">
        <v>75732.48043</v>
      </c>
    </row>
    <row r="118">
      <c r="A118" s="2" t="n">
        <v>117</v>
      </c>
      <c r="B118" s="2" t="inlineStr">
        <is>
          <t>PTB_USDT_PERP</t>
        </is>
      </c>
      <c r="C118" s="2" t="inlineStr">
        <is>
          <t>做空</t>
        </is>
      </c>
      <c r="D118" s="7" t="n">
        <v>46286.06944444445</v>
      </c>
      <c r="E118" s="17" t="n">
        <v>0.0009479999999999999</v>
      </c>
      <c r="F118" s="17" t="n">
        <v>0.00091008</v>
      </c>
      <c r="G118" s="17" t="n">
        <v>0.0009954</v>
      </c>
      <c r="H118" s="7" t="n">
        <v>46286.10069444445</v>
      </c>
      <c r="I118" s="17" t="n">
        <v>0.00091008</v>
      </c>
      <c r="J118" s="2" t="inlineStr">
        <is>
          <t>止盈</t>
        </is>
      </c>
      <c r="K118" s="5">
        <f>(H118-D118)*24</f>
        <v/>
      </c>
      <c r="L118" s="4">
        <f>IF(C118="做多",I118/E118-1,1-I118/E118)-2*參數!$B$7</f>
        <v/>
      </c>
      <c r="M118" s="2" t="inlineStr"/>
      <c r="N118" s="4" t="n">
        <v>-0.05200000000000005</v>
      </c>
      <c r="O118" s="4" t="n">
        <v>0.03029625694187739</v>
      </c>
      <c r="P118" s="4" t="n">
        <v>0.2667234554291729</v>
      </c>
      <c r="Q118" s="19" t="n">
        <v>33478326</v>
      </c>
      <c r="R118" s="19" t="n">
        <v>180016.365144</v>
      </c>
      <c r="S118" s="4" t="n">
        <v>0.04</v>
      </c>
      <c r="T118" s="4" t="n">
        <v>0.02742616033755274</v>
      </c>
      <c r="U118" s="16" t="n">
        <v>3.459353894666442</v>
      </c>
      <c r="V118" s="16" t="n">
        <v>0.9154929577464799</v>
      </c>
      <c r="W118" s="4" t="n">
        <v>-0.1812936910443483</v>
      </c>
      <c r="X118" s="4" t="n">
        <v>-0.3221757322175731</v>
      </c>
      <c r="Y118" s="4" t="n"/>
      <c r="Z118" s="4" t="n"/>
      <c r="AA118" s="4" t="n">
        <v>0.04</v>
      </c>
      <c r="AB118" s="4" t="n">
        <v>0.05</v>
      </c>
      <c r="AC118" s="4">
        <f>(AB118+2*參數!$B$7)/(AA118+AB118)</f>
        <v/>
      </c>
      <c r="AD118" s="2" t="n">
        <v>0.1518833535844473</v>
      </c>
      <c r="AE118" s="2" t="n">
        <v>0.07604994324631109</v>
      </c>
      <c r="AF118" s="2" t="n">
        <v>3.459353894666442</v>
      </c>
      <c r="AG118" s="2" t="n">
        <v>0.08450704225352014</v>
      </c>
      <c r="AH118" s="2" t="n">
        <v>0.1075635877684025</v>
      </c>
      <c r="AI118" s="2" t="n">
        <v>3</v>
      </c>
      <c r="AJ118" s="2" t="n">
        <v>0.2667234554291729</v>
      </c>
      <c r="AK118" s="2" t="n">
        <v>79.24502577997312</v>
      </c>
      <c r="AL118" s="2" t="n">
        <v>0.1049493126049859</v>
      </c>
      <c r="AM118" s="2" t="n">
        <v>180016.365144</v>
      </c>
    </row>
    <row r="119">
      <c r="A119" s="2" t="n">
        <v>118</v>
      </c>
      <c r="B119" s="2" t="inlineStr">
        <is>
          <t>NIL_USDT_PERP</t>
        </is>
      </c>
      <c r="C119" s="2" t="inlineStr">
        <is>
          <t>做空</t>
        </is>
      </c>
      <c r="D119" s="7" t="n">
        <v>46286.13194444445</v>
      </c>
      <c r="E119" s="17" t="n">
        <v>0.05927</v>
      </c>
      <c r="F119" s="17" t="n">
        <v>0.0568992</v>
      </c>
      <c r="G119" s="17" t="n">
        <v>0.0622335</v>
      </c>
      <c r="H119" s="7" t="n">
        <v>46286.18402777778</v>
      </c>
      <c r="I119" s="17" t="n">
        <v>0.0622335</v>
      </c>
      <c r="J119" s="2" t="inlineStr">
        <is>
          <t>止損</t>
        </is>
      </c>
      <c r="K119" s="5">
        <f>(H119-D119)*24</f>
        <v/>
      </c>
      <c r="L119" s="4">
        <f>IF(C119="做多",I119/E119-1,1-I119/E119)-2*參數!$B$7</f>
        <v/>
      </c>
      <c r="M119" s="2" t="inlineStr"/>
      <c r="N119" s="4" t="n">
        <v>0.001690045631232096</v>
      </c>
      <c r="O119" s="4" t="n">
        <v>0.01450386770194029</v>
      </c>
      <c r="P119" s="4" t="n">
        <v>0.1685859951727888</v>
      </c>
      <c r="Q119" s="19" t="n">
        <v>295587.1</v>
      </c>
      <c r="R119" s="19" t="n">
        <v>92070.19938599999</v>
      </c>
      <c r="S119" s="4" t="n">
        <v>0.02969461785051464</v>
      </c>
      <c r="T119" s="4" t="n">
        <v>0.05</v>
      </c>
      <c r="U119" s="16" t="n">
        <v>2.841221420347176</v>
      </c>
      <c r="V119" s="16" t="n">
        <v>0.5111111111110991</v>
      </c>
      <c r="W119" s="4" t="n">
        <v>-0.1511375421941337</v>
      </c>
      <c r="X119" s="4" t="n">
        <v>-0.1780958060027829</v>
      </c>
      <c r="Y119" s="4" t="n"/>
      <c r="Z119" s="4" t="n"/>
      <c r="AA119" s="4" t="n">
        <v>0.04</v>
      </c>
      <c r="AB119" s="4" t="n">
        <v>0.05</v>
      </c>
      <c r="AC119" s="4">
        <f>(AB119+2*參數!$B$7)/(AA119+AB119)</f>
        <v/>
      </c>
      <c r="AD119" s="2" t="n">
        <v>0.158295876490131</v>
      </c>
      <c r="AE119" s="2" t="n">
        <v>0.04569513055751595</v>
      </c>
      <c r="AF119" s="2" t="n">
        <v>2.841221420347176</v>
      </c>
      <c r="AG119" s="2" t="n">
        <v>0.4888888888889009</v>
      </c>
      <c r="AH119" s="2" t="n">
        <v>0.1497096688302643</v>
      </c>
      <c r="AI119" s="2" t="n">
        <v>8</v>
      </c>
      <c r="AJ119" s="2" t="n">
        <v>0.1685859951727888</v>
      </c>
      <c r="AK119" s="2" t="n">
        <v>84.25916421234513</v>
      </c>
      <c r="AL119" s="2" t="n">
        <v>0.05024287153203566</v>
      </c>
      <c r="AM119" s="2" t="n">
        <v>92070.19938599999</v>
      </c>
    </row>
    <row r="120">
      <c r="A120" s="2" t="n">
        <v>119</v>
      </c>
      <c r="B120" s="2" t="inlineStr">
        <is>
          <t>ZETA_USDT_PERP</t>
        </is>
      </c>
      <c r="C120" s="2" t="inlineStr">
        <is>
          <t>做空</t>
        </is>
      </c>
      <c r="D120" s="7" t="n">
        <v>46286.50694444445</v>
      </c>
      <c r="E120" s="17" t="n">
        <v>0.0644</v>
      </c>
      <c r="F120" s="17" t="n">
        <v>0.061824</v>
      </c>
      <c r="G120" s="17" t="n">
        <v>0.06762</v>
      </c>
      <c r="H120" s="7" t="n">
        <v>46286.51388888889</v>
      </c>
      <c r="I120" s="17" t="n">
        <v>0.06762</v>
      </c>
      <c r="J120" s="2" t="inlineStr">
        <is>
          <t>止損</t>
        </is>
      </c>
      <c r="K120" s="5">
        <f>(H120-D120)*24</f>
        <v/>
      </c>
      <c r="L120" s="4">
        <f>IF(C120="做多",I120/E120-1,1-I120/E120)-2*參數!$B$7</f>
        <v/>
      </c>
      <c r="M120" s="2" t="inlineStr"/>
      <c r="N120" s="4" t="n">
        <v>-0.009687836383207804</v>
      </c>
      <c r="O120" s="4" t="n">
        <v>0.03185962761287448</v>
      </c>
      <c r="P120" s="4" t="n">
        <v>0.6420874143816515</v>
      </c>
      <c r="Q120" s="19" t="n">
        <v>1752862</v>
      </c>
      <c r="R120" s="19" t="n">
        <v>213055.31845</v>
      </c>
      <c r="S120" s="4" t="n">
        <v>0.01506211180124217</v>
      </c>
      <c r="T120" s="4" t="n">
        <v>0.05</v>
      </c>
      <c r="U120" s="16" t="n">
        <v>68.918078537811</v>
      </c>
      <c r="V120" s="16" t="n">
        <v>0.6446540880503157</v>
      </c>
      <c r="W120" s="4" t="n">
        <v>-0.5850707990085926</v>
      </c>
      <c r="X120" s="4" t="n">
        <v>-0.655101516319712</v>
      </c>
      <c r="Y120" s="4" t="n"/>
      <c r="Z120" s="4" t="n"/>
      <c r="AA120" s="4" t="n">
        <v>0.04</v>
      </c>
      <c r="AB120" s="4" t="n">
        <v>0.05</v>
      </c>
      <c r="AC120" s="4">
        <f>(AB120+2*參數!$B$7)/(AA120+AB120)</f>
        <v/>
      </c>
      <c r="AD120" s="2" t="n">
        <v>0.6312056737588652</v>
      </c>
      <c r="AE120" s="2" t="n">
        <v>0.5264280635221616</v>
      </c>
      <c r="AF120" s="2" t="n">
        <v>68.918078537811</v>
      </c>
      <c r="AG120" s="2" t="n">
        <v>0.3553459119496843</v>
      </c>
      <c r="AH120" s="2" t="n">
        <v>0.7510223282609819</v>
      </c>
      <c r="AI120" s="2" t="n">
        <v>10</v>
      </c>
      <c r="AJ120" s="2" t="n">
        <v>0.6420874143816515</v>
      </c>
      <c r="AK120" s="2" t="n">
        <v>77.71614599202857</v>
      </c>
      <c r="AL120" s="2" t="n">
        <v>0.1103649874714459</v>
      </c>
      <c r="AM120" s="2" t="n">
        <v>213055.31845</v>
      </c>
    </row>
    <row r="121">
      <c r="A121" s="2" t="n">
        <v>120</v>
      </c>
      <c r="B121" s="2" t="inlineStr">
        <is>
          <t>KERNEL_USDT_PERP</t>
        </is>
      </c>
      <c r="C121" s="2" t="inlineStr">
        <is>
          <t>做空</t>
        </is>
      </c>
      <c r="D121" s="7" t="n">
        <v>46286.56597222222</v>
      </c>
      <c r="E121" s="17" t="n">
        <v>0.04964</v>
      </c>
      <c r="F121" s="17" t="n">
        <v>0.04765439999999999</v>
      </c>
      <c r="G121" s="17" t="n">
        <v>0.052122</v>
      </c>
      <c r="H121" s="7" t="n">
        <v>46286.63541666666</v>
      </c>
      <c r="I121" s="17" t="n">
        <v>0.04765439999999999</v>
      </c>
      <c r="J121" s="2" t="inlineStr">
        <is>
          <t>止盈</t>
        </is>
      </c>
      <c r="K121" s="5">
        <f>(H121-D121)*24</f>
        <v/>
      </c>
      <c r="L121" s="4">
        <f>IF(C121="做多",I121/E121-1,1-I121/E121)-2*參數!$B$7</f>
        <v/>
      </c>
      <c r="M121" s="2" t="inlineStr"/>
      <c r="N121" s="4" t="n">
        <v>-0.02990033222591371</v>
      </c>
      <c r="O121" s="4" t="n">
        <v>0.03645680968460514</v>
      </c>
      <c r="P121" s="4" t="n">
        <v>0.1791429004088634</v>
      </c>
      <c r="Q121" s="19" t="n">
        <v>218751</v>
      </c>
      <c r="R121" s="19" t="n">
        <v>28472.68731</v>
      </c>
      <c r="S121" s="4" t="n">
        <v>0.04</v>
      </c>
      <c r="T121" s="4" t="n">
        <v>0.03263497179693808</v>
      </c>
      <c r="U121" s="16" t="n">
        <v>11.43648280832662</v>
      </c>
      <c r="V121" s="16" t="n">
        <v>0.6165413533834589</v>
      </c>
      <c r="W121" s="4" t="n">
        <v>-0.1501550067887876</v>
      </c>
      <c r="X121" s="4" t="n">
        <v>-0.1776986951364175</v>
      </c>
      <c r="Y121" s="4" t="n"/>
      <c r="Z121" s="4" t="n"/>
      <c r="AA121" s="4" t="n">
        <v>0.04</v>
      </c>
      <c r="AB121" s="4" t="n">
        <v>0.05</v>
      </c>
      <c r="AC121" s="4">
        <f>(AB121+2*參數!$B$7)/(AA121+AB121)</f>
        <v/>
      </c>
      <c r="AD121" s="2" t="n">
        <v>0.1606266074351179</v>
      </c>
      <c r="AE121" s="2" t="n">
        <v>0.1256235827664398</v>
      </c>
      <c r="AF121" s="2" t="n">
        <v>11.43648280832662</v>
      </c>
      <c r="AG121" s="2" t="n">
        <v>0.383458646616541</v>
      </c>
      <c r="AH121" s="2" t="n">
        <v>0.2848280643709479</v>
      </c>
      <c r="AI121" s="2" t="n">
        <v>12</v>
      </c>
      <c r="AJ121" s="2" t="n">
        <v>0.1791429004088634</v>
      </c>
      <c r="AK121" s="2" t="n">
        <v>81.03682520634726</v>
      </c>
      <c r="AL121" s="2" t="n">
        <v>0.1262900933112104</v>
      </c>
      <c r="AM121" s="2" t="n">
        <v>28472.68731</v>
      </c>
    </row>
    <row r="122">
      <c r="A122" s="2" t="n">
        <v>121</v>
      </c>
      <c r="B122" s="2" t="inlineStr">
        <is>
          <t>PHA_USDT_PERP</t>
        </is>
      </c>
      <c r="C122" s="2" t="inlineStr">
        <is>
          <t>做空</t>
        </is>
      </c>
      <c r="D122" s="7" t="n">
        <v>46286.73611111111</v>
      </c>
      <c r="E122" s="17" t="n">
        <v>0.05492</v>
      </c>
      <c r="F122" s="17" t="n">
        <v>0.0527232</v>
      </c>
      <c r="G122" s="17" t="n">
        <v>0.057666</v>
      </c>
      <c r="H122" s="7" t="n">
        <v>46286.73958333334</v>
      </c>
      <c r="I122" s="17" t="n">
        <v>0.0527232</v>
      </c>
      <c r="J122" s="2" t="inlineStr">
        <is>
          <t>止盈</t>
        </is>
      </c>
      <c r="K122" s="5">
        <f>(H122-D122)*24</f>
        <v/>
      </c>
      <c r="L122" s="4">
        <f>IF(C122="做多",I122/E122-1,1-I122/E122)-2*參數!$B$7</f>
        <v/>
      </c>
      <c r="M122" s="2" t="inlineStr"/>
      <c r="N122" s="4" t="n">
        <v>-0.01223021582733808</v>
      </c>
      <c r="O122" s="4" t="n">
        <v>0.02768508965078952</v>
      </c>
      <c r="P122" s="4" t="n">
        <v>0.4297274137388682</v>
      </c>
      <c r="Q122" s="19" t="n">
        <v>802407</v>
      </c>
      <c r="R122" s="19" t="n">
        <v>161220.15181</v>
      </c>
      <c r="S122" s="4" t="n">
        <v>0.04</v>
      </c>
      <c r="T122" s="4" t="n">
        <v>0</v>
      </c>
      <c r="U122" s="16" t="n">
        <v>16.21328490535104</v>
      </c>
      <c r="V122" s="16" t="n">
        <v>0.4511278195488743</v>
      </c>
      <c r="W122" s="4" t="n">
        <v>-0.3570110176841366</v>
      </c>
      <c r="X122" s="4" t="n">
        <v>-0.5336498184864562</v>
      </c>
      <c r="Y122" s="4" t="n"/>
      <c r="Z122" s="4" t="n"/>
      <c r="AA122" s="4" t="n">
        <v>0.04</v>
      </c>
      <c r="AB122" s="4" t="n">
        <v>0.05</v>
      </c>
      <c r="AC122" s="4">
        <f>(AB122+2*參數!$B$7)/(AA122+AB122)</f>
        <v/>
      </c>
      <c r="AD122" s="2" t="n">
        <v>0.3259295026557218</v>
      </c>
      <c r="AE122" s="2" t="n">
        <v>0.2666051660516604</v>
      </c>
      <c r="AF122" s="2" t="n">
        <v>16.21328490535104</v>
      </c>
      <c r="AG122" s="2" t="n">
        <v>0.5488721804511257</v>
      </c>
      <c r="AH122" s="2" t="n">
        <v>0.4341694314460787</v>
      </c>
      <c r="AI122" s="2" t="n">
        <v>5</v>
      </c>
      <c r="AJ122" s="2" t="n">
        <v>0.4297274137388682</v>
      </c>
      <c r="AK122" s="2" t="n">
        <v>86.22037583718893</v>
      </c>
      <c r="AL122" s="2" t="n">
        <v>0.09590396377453349</v>
      </c>
      <c r="AM122" s="2" t="n">
        <v>161220.15181</v>
      </c>
    </row>
    <row r="123">
      <c r="A123" s="2" t="n">
        <v>122</v>
      </c>
      <c r="B123" s="2" t="inlineStr">
        <is>
          <t>MUBARAK_USDT_PERP</t>
        </is>
      </c>
      <c r="C123" s="2" t="inlineStr">
        <is>
          <t>做空</t>
        </is>
      </c>
      <c r="D123" s="7" t="n">
        <v>46286.75</v>
      </c>
      <c r="E123" s="17" t="n">
        <v>0.03925</v>
      </c>
      <c r="F123" s="17" t="n">
        <v>0.03768</v>
      </c>
      <c r="G123" s="17" t="n">
        <v>0.0412125</v>
      </c>
      <c r="H123" s="7" t="n">
        <v>46286.77083333334</v>
      </c>
      <c r="I123" s="17" t="n">
        <v>0.0412125</v>
      </c>
      <c r="J123" s="2" t="inlineStr">
        <is>
          <t>止損</t>
        </is>
      </c>
      <c r="K123" s="5">
        <f>(H123-D123)*24</f>
        <v/>
      </c>
      <c r="L123" s="4">
        <f>IF(C123="做多",I123/E123-1,1-I123/E123)-2*參數!$B$7</f>
        <v/>
      </c>
      <c r="M123" s="2" t="inlineStr"/>
      <c r="N123" s="4" t="n">
        <v>-0.0128269617706237</v>
      </c>
      <c r="O123" s="4" t="n">
        <v>0.01517553968682592</v>
      </c>
      <c r="P123" s="4" t="n">
        <v>0.1683909321948758</v>
      </c>
      <c r="Q123" s="19" t="n">
        <v>27899</v>
      </c>
      <c r="R123" s="19" t="n">
        <v>64676.6609</v>
      </c>
      <c r="S123" s="4" t="n">
        <v>0.005350318471337601</v>
      </c>
      <c r="T123" s="4" t="n">
        <v>0.05</v>
      </c>
      <c r="U123" s="16" t="n">
        <v>18.57386996454569</v>
      </c>
      <c r="V123" s="16" t="n">
        <v>0.7323232323232314</v>
      </c>
      <c r="W123" s="4" t="n">
        <v>-0.1352428552008587</v>
      </c>
      <c r="X123" s="4" t="n">
        <v>-0.2129171817058098</v>
      </c>
      <c r="Y123" s="4" t="n"/>
      <c r="Z123" s="4" t="n"/>
      <c r="AA123" s="4" t="n">
        <v>0.04</v>
      </c>
      <c r="AB123" s="4" t="n">
        <v>0.05</v>
      </c>
      <c r="AC123" s="4">
        <f>(AB123+2*參數!$B$7)/(AA123+AB123)</f>
        <v/>
      </c>
      <c r="AD123" s="2" t="n">
        <v>0.1554312628790109</v>
      </c>
      <c r="AE123" s="2" t="n">
        <v>0.1115831209289153</v>
      </c>
      <c r="AF123" s="2" t="n">
        <v>18.57386996454569</v>
      </c>
      <c r="AG123" s="2" t="n">
        <v>0.2676767676767687</v>
      </c>
      <c r="AH123" s="2" t="n">
        <v>0.4194828667330604</v>
      </c>
      <c r="AI123" s="2" t="n">
        <v>7</v>
      </c>
      <c r="AJ123" s="2" t="n">
        <v>0.1683909321948758</v>
      </c>
      <c r="AK123" s="2" t="n">
        <v>82.03157004633881</v>
      </c>
      <c r="AL123" s="2" t="n">
        <v>0.05256961153972077</v>
      </c>
      <c r="AM123" s="2" t="n">
        <v>64676.6609</v>
      </c>
    </row>
    <row r="124">
      <c r="A124" s="2" t="n">
        <v>123</v>
      </c>
      <c r="B124" s="2" t="inlineStr">
        <is>
          <t>MUBARAK_USDT_PERP</t>
        </is>
      </c>
      <c r="C124" s="2" t="inlineStr">
        <is>
          <t>做空</t>
        </is>
      </c>
      <c r="D124" s="7" t="n">
        <v>46286.81597222222</v>
      </c>
      <c r="E124" s="17" t="n">
        <v>0.04401</v>
      </c>
      <c r="F124" s="17" t="n">
        <v>0.0422496</v>
      </c>
      <c r="G124" s="17" t="n">
        <v>0.0462105</v>
      </c>
      <c r="H124" s="7" t="n">
        <v>46286.87152777778</v>
      </c>
      <c r="I124" s="17" t="n">
        <v>0.0422496</v>
      </c>
      <c r="J124" s="2" t="inlineStr">
        <is>
          <t>止盈</t>
        </is>
      </c>
      <c r="K124" s="5">
        <f>(H124-D124)*24</f>
        <v/>
      </c>
      <c r="L124" s="4">
        <f>IF(C124="做多",I124/E124-1,1-I124/E124)-2*參數!$B$7</f>
        <v/>
      </c>
      <c r="M124" s="2" t="inlineStr"/>
      <c r="N124" s="4" t="n">
        <v>-0.005648441030275619</v>
      </c>
      <c r="O124" s="4" t="n">
        <v>0.01869556225595294</v>
      </c>
      <c r="P124" s="4" t="n">
        <v>0.2803141875306825</v>
      </c>
      <c r="Q124" s="19" t="n">
        <v>471796</v>
      </c>
      <c r="R124" s="19" t="n">
        <v>122958.35045</v>
      </c>
      <c r="S124" s="4" t="n">
        <v>0.04</v>
      </c>
      <c r="T124" s="4" t="n">
        <v>0.04862531242899326</v>
      </c>
      <c r="U124" s="16" t="n">
        <v>5.318377300432311</v>
      </c>
      <c r="V124" s="16" t="n">
        <v>0.833333333333335</v>
      </c>
      <c r="W124" s="4" t="n">
        <v>-0.2238700545332692</v>
      </c>
      <c r="X124" s="4" t="n">
        <v>-0.3450488997555012</v>
      </c>
      <c r="Y124" s="4" t="n"/>
      <c r="Z124" s="4" t="n"/>
      <c r="AA124" s="4" t="n">
        <v>0.04</v>
      </c>
      <c r="AB124" s="4" t="n">
        <v>0.05</v>
      </c>
      <c r="AC124" s="4">
        <f>(AB124+2*參數!$B$7)/(AA124+AB124)</f>
        <v/>
      </c>
      <c r="AD124" s="2" t="n">
        <v>0.1526977475117863</v>
      </c>
      <c r="AE124" s="2" t="n">
        <v>0.08292322834645671</v>
      </c>
      <c r="AF124" s="2" t="n">
        <v>5.318377300432311</v>
      </c>
      <c r="AG124" s="2" t="n">
        <v>0.1666666666666649</v>
      </c>
      <c r="AH124" s="2" t="n">
        <v>0.2179521227546015</v>
      </c>
      <c r="AI124" s="2" t="n">
        <v>12</v>
      </c>
      <c r="AJ124" s="2" t="n">
        <v>0.2803141875306825</v>
      </c>
      <c r="AK124" s="2" t="n">
        <v>85.55803817357528</v>
      </c>
      <c r="AL124" s="2" t="n">
        <v>0.06476332740675503</v>
      </c>
      <c r="AM124" s="2" t="n">
        <v>122958.35045</v>
      </c>
    </row>
    <row r="125">
      <c r="A125" s="2" t="n">
        <v>124</v>
      </c>
      <c r="B125" s="2" t="inlineStr">
        <is>
          <t>PROVE_USDT_PERP</t>
        </is>
      </c>
      <c r="C125" s="2" t="inlineStr">
        <is>
          <t>做空</t>
        </is>
      </c>
      <c r="D125" s="7" t="n">
        <v>46286.90972222222</v>
      </c>
      <c r="E125" s="17" t="n">
        <v>0.2843</v>
      </c>
      <c r="F125" s="17" t="n">
        <v>0.272928</v>
      </c>
      <c r="G125" s="17" t="n">
        <v>0.298515</v>
      </c>
      <c r="H125" s="7" t="n">
        <v>46286.92013888889</v>
      </c>
      <c r="I125" s="17" t="n">
        <v>0.272928</v>
      </c>
      <c r="J125" s="2" t="inlineStr">
        <is>
          <t>止盈</t>
        </is>
      </c>
      <c r="K125" s="5">
        <f>(H125-D125)*24</f>
        <v/>
      </c>
      <c r="L125" s="4">
        <f>IF(C125="做多",I125/E125-1,1-I125/E125)-2*參數!$B$7</f>
        <v/>
      </c>
      <c r="M125" s="2" t="inlineStr"/>
      <c r="N125" s="4" t="n">
        <v>-0.001054111033028882</v>
      </c>
      <c r="O125" s="4" t="n">
        <v>0.02174626747832842</v>
      </c>
      <c r="P125" s="4" t="n">
        <v>0.1983687347859229</v>
      </c>
      <c r="Q125" s="19" t="n">
        <v>19178.89999999999</v>
      </c>
      <c r="R125" s="19" t="n">
        <v>129924.09089</v>
      </c>
      <c r="S125" s="4" t="n">
        <v>0.04</v>
      </c>
      <c r="T125" s="4" t="n">
        <v>0.004924375659514535</v>
      </c>
      <c r="U125" s="16" t="n">
        <v>27.69240051412976</v>
      </c>
      <c r="V125" s="16" t="n">
        <v>0.7719298245614009</v>
      </c>
      <c r="W125" s="4" t="n">
        <v>-0.1615887166957439</v>
      </c>
      <c r="X125" s="4" t="n">
        <v>-0.2743164500224116</v>
      </c>
      <c r="Y125" s="4" t="n"/>
      <c r="Z125" s="4" t="n"/>
      <c r="AA125" s="4" t="n">
        <v>0.04</v>
      </c>
      <c r="AB125" s="4" t="n">
        <v>0.05</v>
      </c>
      <c r="AC125" s="4">
        <f>(AB125+2*參數!$B$7)/(AA125+AB125)</f>
        <v/>
      </c>
      <c r="AD125" s="2" t="n">
        <v>0.1436041834271924</v>
      </c>
      <c r="AE125" s="2" t="n">
        <v>0.09810737736577813</v>
      </c>
      <c r="AF125" s="2" t="n">
        <v>27.69240051412976</v>
      </c>
      <c r="AG125" s="2" t="n">
        <v>0.2280701754385991</v>
      </c>
      <c r="AH125" s="2" t="n">
        <v>1</v>
      </c>
      <c r="AI125" s="2" t="n">
        <v>9</v>
      </c>
      <c r="AJ125" s="2" t="n">
        <v>0.1983687347859229</v>
      </c>
      <c r="AK125" s="2" t="n">
        <v>73.24078739730061</v>
      </c>
      <c r="AL125" s="2" t="n">
        <v>0.07533128029489511</v>
      </c>
      <c r="AM125" s="2" t="n">
        <v>129924.09089</v>
      </c>
    </row>
    <row r="126">
      <c r="A126" s="2" t="n">
        <v>125</v>
      </c>
      <c r="B126" s="2" t="inlineStr">
        <is>
          <t>SKR_USDT_PERP</t>
        </is>
      </c>
      <c r="C126" s="2" t="inlineStr">
        <is>
          <t>做空</t>
        </is>
      </c>
      <c r="D126" s="7" t="n">
        <v>46286.98611111111</v>
      </c>
      <c r="E126" s="17" t="n">
        <v>0.021666</v>
      </c>
      <c r="F126" s="17" t="n">
        <v>0.02079936</v>
      </c>
      <c r="G126" s="17" t="n">
        <v>0.0227493</v>
      </c>
      <c r="H126" s="7" t="n">
        <v>46286.99652777778</v>
      </c>
      <c r="I126" s="17" t="n">
        <v>0.02079936</v>
      </c>
      <c r="J126" s="2" t="inlineStr">
        <is>
          <t>止盈</t>
        </is>
      </c>
      <c r="K126" s="5">
        <f>(H126-D126)*24</f>
        <v/>
      </c>
      <c r="L126" s="4">
        <f>IF(C126="做多",I126/E126-1,1-I126/E126)-2*參數!$B$7</f>
        <v/>
      </c>
      <c r="M126" s="2" t="inlineStr"/>
      <c r="N126" s="4" t="n">
        <v>0.002034964388123228</v>
      </c>
      <c r="O126" s="4" t="n">
        <v>0.01994964464588708</v>
      </c>
      <c r="P126" s="4" t="n">
        <v>0.1506389894069358</v>
      </c>
      <c r="Q126" s="19" t="n">
        <v>5773822</v>
      </c>
      <c r="R126" s="19" t="n">
        <v>268561.34545</v>
      </c>
      <c r="S126" s="4" t="n">
        <v>0.04</v>
      </c>
      <c r="T126" s="4" t="n">
        <v>0.001892365918951366</v>
      </c>
      <c r="U126" s="16" t="n">
        <v>18.75917274160714</v>
      </c>
      <c r="V126" s="16" t="n">
        <v>0.5315985130111485</v>
      </c>
      <c r="W126" s="4" t="n">
        <v>-0.1496881684426357</v>
      </c>
      <c r="X126" s="4" t="n">
        <v>-0.1517116733999575</v>
      </c>
      <c r="Y126" s="4" t="n"/>
      <c r="Z126" s="4" t="n"/>
      <c r="AA126" s="4" t="n">
        <v>0.04</v>
      </c>
      <c r="AB126" s="4" t="n">
        <v>0.05</v>
      </c>
      <c r="AC126" s="4">
        <f>(AB126+2*參數!$B$7)/(AA126+AB126)</f>
        <v/>
      </c>
      <c r="AD126" s="2" t="n">
        <v>0.140075773521364</v>
      </c>
      <c r="AE126" s="2" t="n">
        <v>0.09790209790209792</v>
      </c>
      <c r="AF126" s="2" t="n">
        <v>18.75917274160714</v>
      </c>
      <c r="AG126" s="2" t="n">
        <v>0.4684014869888515</v>
      </c>
      <c r="AH126" s="2" t="n">
        <v>0.2847614828750776</v>
      </c>
      <c r="AI126" s="2" t="n">
        <v>12</v>
      </c>
      <c r="AJ126" s="2" t="n">
        <v>0.1506389894069358</v>
      </c>
      <c r="AK126" s="2" t="n">
        <v>76.34981498148358</v>
      </c>
      <c r="AL126" s="2" t="n">
        <v>0.0691075962392417</v>
      </c>
      <c r="AM126" s="2" t="n">
        <v>268561.34545</v>
      </c>
    </row>
    <row r="127">
      <c r="A127" s="2" t="n">
        <v>126</v>
      </c>
      <c r="B127" s="2" t="inlineStr">
        <is>
          <t>ALCH_USDT_PERP</t>
        </is>
      </c>
      <c r="C127" s="2" t="inlineStr">
        <is>
          <t>做空</t>
        </is>
      </c>
      <c r="D127" s="7" t="n">
        <v>46287.20138888889</v>
      </c>
      <c r="E127" s="17" t="n">
        <v>0.05641</v>
      </c>
      <c r="F127" s="17" t="n">
        <v>0.0541536</v>
      </c>
      <c r="G127" s="17" t="n">
        <v>0.05923050000000001</v>
      </c>
      <c r="H127" s="7" t="n">
        <v>46287.20486111111</v>
      </c>
      <c r="I127" s="17" t="n">
        <v>0.05923050000000001</v>
      </c>
      <c r="J127" s="2" t="inlineStr">
        <is>
          <t>止損</t>
        </is>
      </c>
      <c r="K127" s="5">
        <f>(H127-D127)*24</f>
        <v/>
      </c>
      <c r="L127" s="4">
        <f>IF(C127="做多",I127/E127-1,1-I127/E127)-2*參數!$B$7</f>
        <v/>
      </c>
      <c r="M127" s="2" t="inlineStr"/>
      <c r="N127" s="4" t="n">
        <v>-0.03999319264805989</v>
      </c>
      <c r="O127" s="4" t="n">
        <v>0.02988577191965481</v>
      </c>
      <c r="P127" s="4" t="n">
        <v>0.3251634626678674</v>
      </c>
      <c r="Q127" s="19" t="n">
        <v>94874</v>
      </c>
      <c r="R127" s="19" t="n">
        <v>34173.29934</v>
      </c>
      <c r="S127" s="4" t="n">
        <v>0</v>
      </c>
      <c r="T127" s="4" t="n">
        <v>0.05</v>
      </c>
      <c r="U127" s="16" t="n">
        <v>90.91143618691034</v>
      </c>
      <c r="V127" s="16" t="n">
        <v>0.9374999999999999</v>
      </c>
      <c r="W127" s="4" t="n">
        <v>-0.3051042741528738</v>
      </c>
      <c r="X127" s="4" t="n">
        <v>-0.4324530218384968</v>
      </c>
      <c r="Y127" s="4" t="n"/>
      <c r="Z127" s="4" t="n"/>
      <c r="AA127" s="4" t="n">
        <v>0.04</v>
      </c>
      <c r="AB127" s="4" t="n">
        <v>0.05</v>
      </c>
      <c r="AC127" s="4">
        <f>(AB127+2*參數!$B$7)/(AA127+AB127)</f>
        <v/>
      </c>
      <c r="AD127" s="2" t="n">
        <v>0.3370466935292724</v>
      </c>
      <c r="AE127" s="2" t="n">
        <v>0.3260460742830278</v>
      </c>
      <c r="AF127" s="2" t="n">
        <v>90.91143618691034</v>
      </c>
      <c r="AG127" s="2" t="n">
        <v>0.06250000000000007</v>
      </c>
      <c r="AH127" s="2" t="n">
        <v>1</v>
      </c>
      <c r="AI127" s="2" t="n">
        <v>7</v>
      </c>
      <c r="AJ127" s="2" t="n">
        <v>0.3251634626678674</v>
      </c>
      <c r="AK127" s="2" t="n">
        <v>60.40786221187892</v>
      </c>
      <c r="AL127" s="2" t="n">
        <v>0.1035273507765148</v>
      </c>
      <c r="AM127" s="2" t="n">
        <v>34173.29934</v>
      </c>
    </row>
    <row r="128">
      <c r="A128" s="2" t="n">
        <v>127</v>
      </c>
      <c r="B128" s="2" t="inlineStr">
        <is>
          <t>GRASS_USDT_PERP</t>
        </is>
      </c>
      <c r="C128" s="2" t="inlineStr">
        <is>
          <t>做空</t>
        </is>
      </c>
      <c r="D128" s="7" t="n">
        <v>46287.21180555555</v>
      </c>
      <c r="E128" s="17" t="n">
        <v>0.4374</v>
      </c>
      <c r="F128" s="17" t="n">
        <v>0.419904</v>
      </c>
      <c r="G128" s="17" t="n">
        <v>0.45927</v>
      </c>
      <c r="H128" s="7" t="n">
        <v>46287.26041666666</v>
      </c>
      <c r="I128" s="17" t="n">
        <v>0.419904</v>
      </c>
      <c r="J128" s="2" t="inlineStr">
        <is>
          <t>止盈</t>
        </is>
      </c>
      <c r="K128" s="5">
        <f>(H128-D128)*24</f>
        <v/>
      </c>
      <c r="L128" s="4">
        <f>IF(C128="做多",I128/E128-1,1-I128/E128)-2*參數!$B$7</f>
        <v/>
      </c>
      <c r="M128" s="2" t="inlineStr"/>
      <c r="N128" s="4" t="n">
        <v>0.01086202911948231</v>
      </c>
      <c r="O128" s="4" t="n">
        <v>0.01422966834255963</v>
      </c>
      <c r="P128" s="4" t="n">
        <v>0.1787599529735682</v>
      </c>
      <c r="Q128" s="19" t="n">
        <v>121841</v>
      </c>
      <c r="R128" s="19" t="n">
        <v>149095.8166</v>
      </c>
      <c r="S128" s="4" t="n">
        <v>0.04</v>
      </c>
      <c r="T128" s="4" t="n">
        <v>0.03223593964334714</v>
      </c>
      <c r="U128" s="16" t="n">
        <v>9.094841664583189</v>
      </c>
      <c r="V128" s="16" t="n">
        <v>0.4685314685314681</v>
      </c>
      <c r="W128" s="4" t="n">
        <v>-0.1585926304608676</v>
      </c>
      <c r="X128" s="4" t="n">
        <v>-0.2269284712482469</v>
      </c>
      <c r="Y128" s="4" t="n"/>
      <c r="Z128" s="4" t="n"/>
      <c r="AA128" s="4" t="n">
        <v>0.04</v>
      </c>
      <c r="AB128" s="4" t="n">
        <v>0.05</v>
      </c>
      <c r="AC128" s="4">
        <f>(AB128+2*參數!$B$7)/(AA128+AB128)</f>
        <v/>
      </c>
      <c r="AD128" s="2" t="n">
        <v>0.1834415584415585</v>
      </c>
      <c r="AE128" s="2" t="n">
        <v>0.1742281879194632</v>
      </c>
      <c r="AF128" s="2" t="n">
        <v>9.094841664583189</v>
      </c>
      <c r="AG128" s="2" t="n">
        <v>0.5314685314685319</v>
      </c>
      <c r="AH128" s="2" t="n">
        <v>0.3703946342224302</v>
      </c>
      <c r="AI128" s="2" t="n">
        <v>12</v>
      </c>
      <c r="AJ128" s="2" t="n">
        <v>0.1787599529735682</v>
      </c>
      <c r="AK128" s="2" t="n">
        <v>68.63138183817613</v>
      </c>
      <c r="AL128" s="2" t="n">
        <v>0.0492930170883354</v>
      </c>
      <c r="AM128" s="2" t="n">
        <v>149095.8166</v>
      </c>
    </row>
    <row r="129">
      <c r="A129" s="2" t="n">
        <v>128</v>
      </c>
      <c r="B129" s="2" t="inlineStr">
        <is>
          <t>ALCH_USDT_PERP</t>
        </is>
      </c>
      <c r="C129" s="2" t="inlineStr">
        <is>
          <t>做空</t>
        </is>
      </c>
      <c r="D129" s="7" t="n">
        <v>46287.24652777778</v>
      </c>
      <c r="E129" s="17" t="n">
        <v>0.05535</v>
      </c>
      <c r="F129" s="17" t="n">
        <v>0.053136</v>
      </c>
      <c r="G129" s="17" t="n">
        <v>0.05811750000000001</v>
      </c>
      <c r="H129" s="7" t="n">
        <v>46287.32291666666</v>
      </c>
      <c r="I129" s="17" t="n">
        <v>0.053136</v>
      </c>
      <c r="J129" s="2" t="inlineStr">
        <is>
          <t>止盈</t>
        </is>
      </c>
      <c r="K129" s="5">
        <f>(H129-D129)*24</f>
        <v/>
      </c>
      <c r="L129" s="4">
        <f>IF(C129="做多",I129/E129-1,1-I129/E129)-2*參數!$B$7</f>
        <v/>
      </c>
      <c r="M129" s="2" t="inlineStr"/>
      <c r="N129" s="4" t="n">
        <v>0.001991310644460675</v>
      </c>
      <c r="O129" s="4" t="n">
        <v>0.02888924562207406</v>
      </c>
      <c r="P129" s="4" t="n">
        <v>0.2757167263518479</v>
      </c>
      <c r="Q129" s="19" t="n">
        <v>-362238</v>
      </c>
      <c r="R129" s="19" t="n">
        <v>101655.16357</v>
      </c>
      <c r="S129" s="4" t="n">
        <v>0.04</v>
      </c>
      <c r="T129" s="4" t="n">
        <v>0.02204155374887073</v>
      </c>
      <c r="U129" s="16" t="n">
        <v>2.202805657556923</v>
      </c>
      <c r="V129" s="16" t="n">
        <v>0.4305555555555534</v>
      </c>
      <c r="W129" s="4" t="n">
        <v>-0.2316449302290391</v>
      </c>
      <c r="X129" s="4" t="n">
        <v>-0.4030418250950571</v>
      </c>
      <c r="Y129" s="4" t="n"/>
      <c r="Z129" s="4" t="n"/>
      <c r="AA129" s="4" t="n">
        <v>0.04</v>
      </c>
      <c r="AB129" s="4" t="n">
        <v>0.05</v>
      </c>
      <c r="AC129" s="4">
        <f>(AB129+2*參數!$B$7)/(AA129+AB129)</f>
        <v/>
      </c>
      <c r="AD129" s="2" t="n">
        <v>0.3029661016949154</v>
      </c>
      <c r="AE129" s="2" t="n">
        <v>-0.07657657657657657</v>
      </c>
      <c r="AF129" s="2" t="n">
        <v>2.202805657556923</v>
      </c>
      <c r="AG129" s="2" t="n">
        <v>0.5694444444444466</v>
      </c>
      <c r="AH129" s="2" t="n">
        <v>0.03059548914032477</v>
      </c>
      <c r="AI129" s="2" t="n">
        <v>7</v>
      </c>
      <c r="AJ129" s="2" t="n">
        <v>0.2757167263518479</v>
      </c>
      <c r="AK129" s="2" t="n">
        <v>91.0343373599473</v>
      </c>
      <c r="AL129" s="2" t="n">
        <v>0.1000752824195381</v>
      </c>
      <c r="AM129" s="2" t="n">
        <v>101655.16357</v>
      </c>
    </row>
    <row r="130">
      <c r="A130" s="2" t="n">
        <v>129</v>
      </c>
      <c r="B130" s="2" t="inlineStr">
        <is>
          <t>KERNEL_USDT_PERP</t>
        </is>
      </c>
      <c r="C130" s="2" t="inlineStr">
        <is>
          <t>做空</t>
        </is>
      </c>
      <c r="D130" s="7" t="n">
        <v>46287.39583333334</v>
      </c>
      <c r="E130" s="17" t="n">
        <v>0.06475</v>
      </c>
      <c r="F130" s="17" t="n">
        <v>0.06216</v>
      </c>
      <c r="G130" s="17" t="n">
        <v>0.06798750000000001</v>
      </c>
      <c r="H130" s="7" t="n">
        <v>46287.42013888889</v>
      </c>
      <c r="I130" s="17" t="n">
        <v>0.06798750000000001</v>
      </c>
      <c r="J130" s="2" t="inlineStr">
        <is>
          <t>止損</t>
        </is>
      </c>
      <c r="K130" s="5">
        <f>(H130-D130)*24</f>
        <v/>
      </c>
      <c r="L130" s="4">
        <f>IF(C130="做多",I130/E130-1,1-I130/E130)-2*參數!$B$7</f>
        <v/>
      </c>
      <c r="M130" s="2" t="inlineStr"/>
      <c r="N130" s="4" t="n">
        <v>-0.03559725945784931</v>
      </c>
      <c r="O130" s="4" t="n">
        <v>0.03243378138027452</v>
      </c>
      <c r="P130" s="4" t="n">
        <v>0.3463451148638581</v>
      </c>
      <c r="Q130" s="19" t="n">
        <v>891743</v>
      </c>
      <c r="R130" s="19" t="n">
        <v>223134.25803</v>
      </c>
      <c r="S130" s="4" t="n">
        <v>0.01806949806949809</v>
      </c>
      <c r="T130" s="4" t="n">
        <v>0.05</v>
      </c>
      <c r="U130" s="16" t="n">
        <v>21.8573927762002</v>
      </c>
      <c r="V130" s="16" t="n">
        <v>0.659133709981167</v>
      </c>
      <c r="W130" s="4" t="n">
        <v>-0.3429904196559872</v>
      </c>
      <c r="X130" s="4" t="n">
        <v>-0.5224547378321187</v>
      </c>
      <c r="Y130" s="4" t="n"/>
      <c r="Z130" s="4" t="n"/>
      <c r="AA130" s="4" t="n">
        <v>0.04</v>
      </c>
      <c r="AB130" s="4" t="n">
        <v>0.05</v>
      </c>
      <c r="AC130" s="4">
        <f>(AB130+2*參數!$B$7)/(AA130+AB130)</f>
        <v/>
      </c>
      <c r="AD130" s="2" t="n">
        <v>0.3588667366211964</v>
      </c>
      <c r="AE130" s="2" t="n">
        <v>0.3184687436367339</v>
      </c>
      <c r="AF130" s="2" t="n">
        <v>21.8573927762002</v>
      </c>
      <c r="AG130" s="2" t="n">
        <v>0.340866290018833</v>
      </c>
      <c r="AH130" s="2" t="n">
        <v>0.3874588617782354</v>
      </c>
      <c r="AI130" s="2" t="n">
        <v>5</v>
      </c>
      <c r="AJ130" s="2" t="n">
        <v>0.3463451148638581</v>
      </c>
      <c r="AK130" s="2" t="n">
        <v>65.96885150366757</v>
      </c>
      <c r="AL130" s="2" t="n">
        <v>0.1123539144644338</v>
      </c>
      <c r="AM130" s="2" t="n">
        <v>223134.25803</v>
      </c>
    </row>
    <row r="131">
      <c r="A131" s="2" t="n">
        <v>130</v>
      </c>
      <c r="B131" s="2" t="inlineStr">
        <is>
          <t>KERNEL_USDT_PERP</t>
        </is>
      </c>
      <c r="C131" s="2" t="inlineStr">
        <is>
          <t>做空</t>
        </is>
      </c>
      <c r="D131" s="7" t="n">
        <v>46287.46527777778</v>
      </c>
      <c r="E131" s="17" t="n">
        <v>0.06519</v>
      </c>
      <c r="F131" s="17" t="n">
        <v>0.0625824</v>
      </c>
      <c r="G131" s="17" t="n">
        <v>0.0684495</v>
      </c>
      <c r="H131" s="7" t="n">
        <v>46287.54861111111</v>
      </c>
      <c r="I131" s="17" t="n">
        <v>0.0625824</v>
      </c>
      <c r="J131" s="2" t="inlineStr">
        <is>
          <t>止盈</t>
        </is>
      </c>
      <c r="K131" s="5">
        <f>(H131-D131)*24</f>
        <v/>
      </c>
      <c r="L131" s="4">
        <f>IF(C131="做多",I131/E131-1,1-I131/E131)-2*參數!$B$7</f>
        <v/>
      </c>
      <c r="M131" s="2" t="inlineStr"/>
      <c r="N131" s="4" t="n">
        <v>-0.01866626524160775</v>
      </c>
      <c r="O131" s="4" t="n">
        <v>0.0286737903314681</v>
      </c>
      <c r="P131" s="4" t="n">
        <v>0.3164123271039281</v>
      </c>
      <c r="Q131" s="19" t="n">
        <v>-250937</v>
      </c>
      <c r="R131" s="19" t="n">
        <v>430460.46503</v>
      </c>
      <c r="S131" s="4" t="n">
        <v>0.04</v>
      </c>
      <c r="T131" s="4" t="n">
        <v>0.02592422150636597</v>
      </c>
      <c r="U131" s="16" t="n">
        <v>4.522323696626839</v>
      </c>
      <c r="V131" s="16" t="n">
        <v>0.6479591836734719</v>
      </c>
      <c r="W131" s="4" t="n">
        <v>-0.2497579660328091</v>
      </c>
      <c r="X131" s="4" t="n">
        <v>-0.5270555165144062</v>
      </c>
      <c r="Y131" s="4" t="n"/>
      <c r="Z131" s="4" t="n"/>
      <c r="AA131" s="4" t="n">
        <v>0.04</v>
      </c>
      <c r="AB131" s="4" t="n">
        <v>0.05</v>
      </c>
      <c r="AC131" s="4">
        <f>(AB131+2*參數!$B$7)/(AA131+AB131)</f>
        <v/>
      </c>
      <c r="AD131" s="2" t="n">
        <v>0.2852917981072554</v>
      </c>
      <c r="AE131" s="2" t="n">
        <v>-0.02686968204209583</v>
      </c>
      <c r="AF131" s="2" t="n">
        <v>4.522323696626839</v>
      </c>
      <c r="AG131" s="2" t="n">
        <v>0.3520408163265281</v>
      </c>
      <c r="AH131" s="2" t="n">
        <v>0.1484261720236147</v>
      </c>
      <c r="AI131" s="2" t="n">
        <v>10</v>
      </c>
      <c r="AJ131" s="2" t="n">
        <v>0.3164123271039281</v>
      </c>
      <c r="AK131" s="2" t="n">
        <v>83.12025289426413</v>
      </c>
      <c r="AL131" s="2" t="n">
        <v>0.09932892339935996</v>
      </c>
      <c r="AM131" s="2" t="n">
        <v>430460.46503</v>
      </c>
    </row>
    <row r="132">
      <c r="A132" s="2" t="n">
        <v>131</v>
      </c>
      <c r="B132" s="2" t="inlineStr">
        <is>
          <t>AGT_USDT_PERP</t>
        </is>
      </c>
      <c r="C132" s="2" t="inlineStr">
        <is>
          <t>做空</t>
        </is>
      </c>
      <c r="D132" s="7" t="n">
        <v>46287.49652777778</v>
      </c>
      <c r="E132" s="17" t="n">
        <v>0.018558</v>
      </c>
      <c r="F132" s="17" t="n">
        <v>0.01781568</v>
      </c>
      <c r="G132" s="17" t="n">
        <v>0.0194859</v>
      </c>
      <c r="H132" s="7" t="n">
        <v>46287.50347222222</v>
      </c>
      <c r="I132" s="17" t="n">
        <v>0.0194859</v>
      </c>
      <c r="J132" s="2" t="inlineStr">
        <is>
          <t>止損</t>
        </is>
      </c>
      <c r="K132" s="5">
        <f>(H132-D132)*24</f>
        <v/>
      </c>
      <c r="L132" s="4">
        <f>IF(C132="做多",I132/E132-1,1-I132/E132)-2*參數!$B$7</f>
        <v/>
      </c>
      <c r="M132" s="2" t="inlineStr"/>
      <c r="N132" s="4" t="n">
        <v>-0.03909283902034888</v>
      </c>
      <c r="O132" s="4" t="n">
        <v>0.02748650457235772</v>
      </c>
      <c r="P132" s="4" t="n">
        <v>0.1659598529827537</v>
      </c>
      <c r="Q132" s="19" t="n">
        <v>554276</v>
      </c>
      <c r="R132" s="19" t="n">
        <v>30718.034469</v>
      </c>
      <c r="S132" s="4" t="n">
        <v>0.002263174911089627</v>
      </c>
      <c r="T132" s="4" t="n">
        <v>0.05</v>
      </c>
      <c r="U132" s="16" t="n">
        <v>38.91394413323809</v>
      </c>
      <c r="V132" s="16" t="n">
        <v>0.6372391653290523</v>
      </c>
      <c r="W132" s="4" t="n">
        <v>-0.1653045910790594</v>
      </c>
      <c r="X132" s="4" t="n">
        <v>-0.1443546895233399</v>
      </c>
      <c r="Y132" s="4" t="n"/>
      <c r="Z132" s="4" t="n"/>
      <c r="AA132" s="4" t="n">
        <v>0.04</v>
      </c>
      <c r="AB132" s="4" t="n">
        <v>0.05</v>
      </c>
      <c r="AC132" s="4">
        <f>(AB132+2*參數!$B$7)/(AA132+AB132)</f>
        <v/>
      </c>
      <c r="AD132" s="2" t="n">
        <v>0.1659964815280222</v>
      </c>
      <c r="AE132" s="2" t="n">
        <v>0.1789594053744996</v>
      </c>
      <c r="AF132" s="2" t="n">
        <v>38.91394413323809</v>
      </c>
      <c r="AG132" s="2" t="n">
        <v>0.3627608346709477</v>
      </c>
      <c r="AH132" s="2" t="n">
        <v>0.4739472235203753</v>
      </c>
      <c r="AI132" s="2" t="n">
        <v>6</v>
      </c>
      <c r="AJ132" s="2" t="n">
        <v>0.1659598529827537</v>
      </c>
      <c r="AK132" s="2" t="n">
        <v>44.82415584903253</v>
      </c>
      <c r="AL132" s="2" t="n">
        <v>0.09521604488359564</v>
      </c>
      <c r="AM132" s="2" t="n">
        <v>30718.034469</v>
      </c>
    </row>
    <row r="133">
      <c r="A133" s="2" t="n">
        <v>132</v>
      </c>
      <c r="B133" s="2" t="inlineStr">
        <is>
          <t>AGT_USDT_PERP</t>
        </is>
      </c>
      <c r="C133" s="2" t="inlineStr">
        <is>
          <t>做空</t>
        </is>
      </c>
      <c r="D133" s="7" t="n">
        <v>46287.54861111111</v>
      </c>
      <c r="E133" s="17" t="n">
        <v>0.026065</v>
      </c>
      <c r="F133" s="17" t="n">
        <v>0.0250224</v>
      </c>
      <c r="G133" s="17" t="n">
        <v>0.02736825</v>
      </c>
      <c r="H133" s="7" t="n">
        <v>46287.55208333334</v>
      </c>
      <c r="I133" s="17" t="n">
        <v>0.0250224</v>
      </c>
      <c r="J133" s="2" t="inlineStr">
        <is>
          <t>止盈</t>
        </is>
      </c>
      <c r="K133" s="5">
        <f>(H133-D133)*24</f>
        <v/>
      </c>
      <c r="L133" s="4">
        <f>IF(C133="做多",I133/E133-1,1-I133/E133)-2*參數!$B$7</f>
        <v/>
      </c>
      <c r="M133" s="2" t="inlineStr"/>
      <c r="N133" s="4" t="n">
        <v>-0.01596949562065841</v>
      </c>
      <c r="O133" s="4" t="n">
        <v>0.04326749556675583</v>
      </c>
      <c r="P133" s="4" t="n">
        <v>0.5992494091269909</v>
      </c>
      <c r="Q133" s="19" t="n">
        <v>6906838</v>
      </c>
      <c r="R133" s="19" t="n">
        <v>440722.164081</v>
      </c>
      <c r="S133" s="4" t="n">
        <v>0.04</v>
      </c>
      <c r="T133" s="4" t="n">
        <v>0</v>
      </c>
      <c r="U133" s="16" t="n">
        <v>10.57173340227092</v>
      </c>
      <c r="V133" s="16" t="n">
        <v>0.9989949748743708</v>
      </c>
      <c r="W133" s="4" t="n">
        <v>-0.539471966726379</v>
      </c>
      <c r="X133" s="4" t="n">
        <v>-0.619346421471173</v>
      </c>
      <c r="Y133" s="4" t="n"/>
      <c r="Z133" s="4" t="n"/>
      <c r="AA133" s="4" t="n">
        <v>0.04</v>
      </c>
      <c r="AB133" s="4" t="n">
        <v>0.05</v>
      </c>
      <c r="AC133" s="4">
        <f>(AB133+2*參數!$B$7)/(AA133+AB133)</f>
        <v/>
      </c>
      <c r="AD133" s="2" t="n">
        <v>0.6484315709587656</v>
      </c>
      <c r="AE133" s="2" t="n">
        <v>0.2802062868369353</v>
      </c>
      <c r="AF133" s="2" t="n">
        <v>10.57173340227092</v>
      </c>
      <c r="AG133" s="2" t="n">
        <v>0.001005025125629147</v>
      </c>
      <c r="AH133" s="2" t="n">
        <v>0.1490077012848521</v>
      </c>
      <c r="AI133" s="2" t="n">
        <v>12</v>
      </c>
      <c r="AJ133" s="2" t="n">
        <v>0.5992494091269909</v>
      </c>
      <c r="AK133" s="2" t="n">
        <v>94.30069444443136</v>
      </c>
      <c r="AL133" s="2" t="n">
        <v>0.1498830012757645</v>
      </c>
      <c r="AM133" s="2" t="n">
        <v>440722.164081</v>
      </c>
    </row>
    <row r="134">
      <c r="A134" s="2" t="n">
        <v>133</v>
      </c>
      <c r="B134" s="2" t="inlineStr">
        <is>
          <t>哈基米_USDT_PERP</t>
        </is>
      </c>
      <c r="C134" s="2" t="inlineStr">
        <is>
          <t>做空</t>
        </is>
      </c>
      <c r="D134" s="7" t="n">
        <v>46287.82986111111</v>
      </c>
      <c r="E134" s="17" t="n">
        <v>0.03989</v>
      </c>
      <c r="F134" s="17" t="n">
        <v>0.0382944</v>
      </c>
      <c r="G134" s="17" t="n">
        <v>0.04188450000000001</v>
      </c>
      <c r="H134" s="7" t="n">
        <v>46287.85069444445</v>
      </c>
      <c r="I134" s="17" t="n">
        <v>0.04188450000000001</v>
      </c>
      <c r="J134" s="2" t="inlineStr">
        <is>
          <t>止損</t>
        </is>
      </c>
      <c r="K134" s="5">
        <f>(H134-D134)*24</f>
        <v/>
      </c>
      <c r="L134" s="4">
        <f>IF(C134="做多",I134/E134-1,1-I134/E134)-2*參數!$B$7</f>
        <v/>
      </c>
      <c r="M134" s="2" t="inlineStr"/>
      <c r="N134" s="4" t="n">
        <v>0.01269357705001273</v>
      </c>
      <c r="O134" s="4" t="n">
        <v>0.01759940863353154</v>
      </c>
      <c r="P134" s="4" t="n">
        <v>0.173852429770063</v>
      </c>
      <c r="Q134" s="19" t="n">
        <v>616232</v>
      </c>
      <c r="R134" s="19" t="n">
        <v>83054.77441</v>
      </c>
      <c r="S134" s="4" t="n">
        <v>0.02632238656304842</v>
      </c>
      <c r="T134" s="4" t="n">
        <v>0.05</v>
      </c>
      <c r="U134" s="16" t="n">
        <v>53.45364122226685</v>
      </c>
      <c r="V134" s="16" t="n">
        <v>0.8015873015873015</v>
      </c>
      <c r="W134" s="4" t="n">
        <v>-0.1588889308530574</v>
      </c>
      <c r="X134" s="4" t="n">
        <v>-0.1274731486715659</v>
      </c>
      <c r="Y134" s="4" t="n"/>
      <c r="Z134" s="4" t="n"/>
      <c r="AA134" s="4" t="n">
        <v>0.04</v>
      </c>
      <c r="AB134" s="4" t="n">
        <v>0.05</v>
      </c>
      <c r="AC134" s="4">
        <f>(AB134+2*參數!$B$7)/(AA134+AB134)</f>
        <v/>
      </c>
      <c r="AD134" s="2" t="n">
        <v>0.1492365312590034</v>
      </c>
      <c r="AE134" s="2" t="n">
        <v>0.1332386363636364</v>
      </c>
      <c r="AF134" s="2" t="n">
        <v>53.45364122226685</v>
      </c>
      <c r="AG134" s="2" t="n">
        <v>0.1984126984126985</v>
      </c>
      <c r="AH134" s="2" t="n">
        <v>1</v>
      </c>
      <c r="AI134" s="2" t="n">
        <v>5</v>
      </c>
      <c r="AJ134" s="2" t="n">
        <v>0.173852429770063</v>
      </c>
      <c r="AK134" s="2" t="n">
        <v>75.73809190775661</v>
      </c>
      <c r="AL134" s="2" t="n">
        <v>0.06096613987288593</v>
      </c>
      <c r="AM134" s="2" t="n">
        <v>83054.77441</v>
      </c>
    </row>
    <row r="135">
      <c r="A135" s="2" t="n">
        <v>134</v>
      </c>
      <c r="B135" s="2" t="inlineStr">
        <is>
          <t>DRIFT_USDT_PERP</t>
        </is>
      </c>
      <c r="C135" s="2" t="inlineStr">
        <is>
          <t>做空</t>
        </is>
      </c>
      <c r="D135" s="7" t="n">
        <v>46288.08333333334</v>
      </c>
      <c r="E135" s="17" t="n">
        <v>0.02134</v>
      </c>
      <c r="F135" s="17" t="n">
        <v>0.0204864</v>
      </c>
      <c r="G135" s="17" t="n">
        <v>0.022407</v>
      </c>
      <c r="H135" s="7" t="n">
        <v>46288.09027777778</v>
      </c>
      <c r="I135" s="17" t="n">
        <v>0.022407</v>
      </c>
      <c r="J135" s="2" t="inlineStr">
        <is>
          <t>止損</t>
        </is>
      </c>
      <c r="K135" s="5">
        <f>(H135-D135)*24</f>
        <v/>
      </c>
      <c r="L135" s="4">
        <f>IF(C135="做多",I135/E135-1,1-I135/E135)-2*參數!$B$7</f>
        <v/>
      </c>
      <c r="M135" s="2" t="inlineStr"/>
      <c r="N135" s="4" t="n">
        <v>-0.003269500233535561</v>
      </c>
      <c r="O135" s="4" t="n">
        <v>0.01506252802377044</v>
      </c>
      <c r="P135" s="4" t="n">
        <v>0.191346824842987</v>
      </c>
      <c r="Q135" s="19" t="n">
        <v>1491062</v>
      </c>
      <c r="R135" s="19" t="n">
        <v>64212.28706</v>
      </c>
      <c r="S135" s="4" t="n">
        <v>0.009840674789128534</v>
      </c>
      <c r="T135" s="4" t="n">
        <v>0.05</v>
      </c>
      <c r="U135" s="16" t="n">
        <v>5.76856165949033</v>
      </c>
      <c r="V135" s="16" t="n">
        <v>0.521739130434778</v>
      </c>
      <c r="W135" s="4" t="n">
        <v>-0.1699561403508774</v>
      </c>
      <c r="X135" s="4" t="n">
        <v>-0.2604843473124632</v>
      </c>
      <c r="Y135" s="4" t="n"/>
      <c r="Z135" s="4" t="n"/>
      <c r="AA135" s="4" t="n">
        <v>0.04</v>
      </c>
      <c r="AB135" s="4" t="n">
        <v>0.05</v>
      </c>
      <c r="AC135" s="4">
        <f>(AB135+2*參數!$B$7)/(AA135+AB135)</f>
        <v/>
      </c>
      <c r="AD135" s="2" t="n">
        <v>0.1731720725673447</v>
      </c>
      <c r="AE135" s="2" t="n">
        <v>0.162942779291553</v>
      </c>
      <c r="AF135" s="2" t="n">
        <v>5.76856165949033</v>
      </c>
      <c r="AG135" s="2" t="n">
        <v>0.478260869565222</v>
      </c>
      <c r="AH135" s="2" t="n">
        <v>0.05419364049814189</v>
      </c>
      <c r="AI135" s="2" t="n">
        <v>6</v>
      </c>
      <c r="AJ135" s="2" t="n">
        <v>0.191346824842987</v>
      </c>
      <c r="AK135" s="2" t="n">
        <v>72.48456433573764</v>
      </c>
      <c r="AL135" s="2" t="n">
        <v>0.05217812765520088</v>
      </c>
      <c r="AM135" s="2" t="n">
        <v>64212.28706</v>
      </c>
    </row>
    <row r="136">
      <c r="A136" s="2" t="n">
        <v>135</v>
      </c>
      <c r="B136" s="2" t="inlineStr">
        <is>
          <t>4_USDT_PERP</t>
        </is>
      </c>
      <c r="C136" s="2" t="inlineStr">
        <is>
          <t>做空</t>
        </is>
      </c>
      <c r="D136" s="7" t="n">
        <v>46288.08680555555</v>
      </c>
      <c r="E136" s="17" t="n">
        <v>0.02609</v>
      </c>
      <c r="F136" s="17" t="n">
        <v>0.0250464</v>
      </c>
      <c r="G136" s="17" t="n">
        <v>0.0273945</v>
      </c>
      <c r="H136" s="7" t="n">
        <v>46288.25694444445</v>
      </c>
      <c r="I136" s="17" t="n">
        <v>0.0273945</v>
      </c>
      <c r="J136" s="2" t="inlineStr">
        <is>
          <t>止損</t>
        </is>
      </c>
      <c r="K136" s="5">
        <f>(H136-D136)*24</f>
        <v/>
      </c>
      <c r="L136" s="4">
        <f>IF(C136="做多",I136/E136-1,1-I136/E136)-2*參數!$B$7</f>
        <v/>
      </c>
      <c r="M136" s="2" t="inlineStr"/>
      <c r="N136" s="4" t="n">
        <v>0.01715399610136448</v>
      </c>
      <c r="O136" s="4" t="n">
        <v>0.01678123194109322</v>
      </c>
      <c r="P136" s="4" t="n">
        <v>0.2355437864673462</v>
      </c>
      <c r="Q136" s="19" t="n">
        <v>1047066</v>
      </c>
      <c r="R136" s="19" t="n">
        <v>152211.69462</v>
      </c>
      <c r="S136" s="4" t="n">
        <v>0.009198926791874174</v>
      </c>
      <c r="T136" s="4" t="n">
        <v>0.05</v>
      </c>
      <c r="U136" s="16" t="n">
        <v>7.998972322284014</v>
      </c>
      <c r="V136" s="16" t="n">
        <v>0.4205607476635531</v>
      </c>
      <c r="W136" s="4" t="n">
        <v>-0.1948268439901444</v>
      </c>
      <c r="X136" s="4" t="n">
        <v>-0.1590404264771212</v>
      </c>
      <c r="Y136" s="4" t="n"/>
      <c r="Z136" s="4" t="n"/>
      <c r="AA136" s="4" t="n">
        <v>0.04</v>
      </c>
      <c r="AB136" s="4" t="n">
        <v>0.05</v>
      </c>
      <c r="AC136" s="4">
        <f>(AB136+2*參數!$B$7)/(AA136+AB136)</f>
        <v/>
      </c>
      <c r="AD136" s="2" t="n">
        <v>0.1662941439427803</v>
      </c>
      <c r="AE136" s="2" t="n">
        <v>0.09437919463087252</v>
      </c>
      <c r="AF136" s="2" t="n">
        <v>7.998972322284014</v>
      </c>
      <c r="AG136" s="2" t="n">
        <v>0.5794392523364469</v>
      </c>
      <c r="AH136" s="2" t="n">
        <v>0.4145225462719488</v>
      </c>
      <c r="AI136" s="2" t="n">
        <v>4</v>
      </c>
      <c r="AJ136" s="2" t="n">
        <v>0.2355437864673462</v>
      </c>
      <c r="AK136" s="2" t="n">
        <v>72.37988497215986</v>
      </c>
      <c r="AL136" s="2" t="n">
        <v>0.0581318926711423</v>
      </c>
      <c r="AM136" s="2" t="n">
        <v>152211.69462</v>
      </c>
    </row>
    <row r="137">
      <c r="A137" s="2" t="n">
        <v>136</v>
      </c>
      <c r="B137" s="2" t="inlineStr">
        <is>
          <t>SXT_USDT_PERP</t>
        </is>
      </c>
      <c r="C137" s="2" t="inlineStr">
        <is>
          <t>做空</t>
        </is>
      </c>
      <c r="D137" s="7" t="n">
        <v>46288.10416666666</v>
      </c>
      <c r="E137" s="17" t="n">
        <v>0.010309</v>
      </c>
      <c r="F137" s="17" t="n">
        <v>0.00989664</v>
      </c>
      <c r="G137" s="17" t="n">
        <v>0.01082445</v>
      </c>
      <c r="H137" s="7" t="n">
        <v>46288.12847222222</v>
      </c>
      <c r="I137" s="17" t="n">
        <v>0.00989664</v>
      </c>
      <c r="J137" s="2" t="inlineStr">
        <is>
          <t>止盈</t>
        </is>
      </c>
      <c r="K137" s="5">
        <f>(H137-D137)*24</f>
        <v/>
      </c>
      <c r="L137" s="4">
        <f>IF(C137="做多",I137/E137-1,1-I137/E137)-2*參數!$B$7</f>
        <v/>
      </c>
      <c r="M137" s="2" t="inlineStr"/>
      <c r="N137" s="4" t="n">
        <v>0.02628173220507724</v>
      </c>
      <c r="O137" s="4" t="n">
        <v>0.02163654220850055</v>
      </c>
      <c r="P137" s="4" t="n">
        <v>0.1548435880919707</v>
      </c>
      <c r="Q137" s="19" t="n">
        <v>1719991</v>
      </c>
      <c r="R137" s="19" t="n">
        <v>60431.188586</v>
      </c>
      <c r="S137" s="4" t="n">
        <v>0.04</v>
      </c>
      <c r="T137" s="4" t="n">
        <v>0.02667572024444653</v>
      </c>
      <c r="U137" s="16" t="n">
        <v>4.623337511140909</v>
      </c>
      <c r="V137" s="16" t="n">
        <v>0.5</v>
      </c>
      <c r="W137" s="4" t="n">
        <v>-0.1484840990265348</v>
      </c>
      <c r="X137" s="4" t="n">
        <v>-0.1420183892766147</v>
      </c>
      <c r="Y137" s="4" t="n"/>
      <c r="Z137" s="4" t="n"/>
      <c r="AA137" s="4" t="n">
        <v>0.04</v>
      </c>
      <c r="AB137" s="4" t="n">
        <v>0.05</v>
      </c>
      <c r="AC137" s="4">
        <f>(AB137+2*參數!$B$7)/(AA137+AB137)</f>
        <v/>
      </c>
      <c r="AD137" s="2" t="n">
        <v>0.161184951565668</v>
      </c>
      <c r="AE137" s="2" t="n">
        <v>0.0665218290916616</v>
      </c>
      <c r="AF137" s="2" t="n">
        <v>4.623337511140909</v>
      </c>
      <c r="AG137" s="2" t="n">
        <v>0.5</v>
      </c>
      <c r="AH137" s="2" t="n">
        <v>0.0901068133547087</v>
      </c>
      <c r="AI137" s="2" t="n">
        <v>11</v>
      </c>
      <c r="AJ137" s="2" t="n">
        <v>0.1548435880919707</v>
      </c>
      <c r="AK137" s="2" t="n">
        <v>79.97339768277324</v>
      </c>
      <c r="AL137" s="2" t="n">
        <v>0.07495118081046295</v>
      </c>
      <c r="AM137" s="2" t="n">
        <v>60431.188586</v>
      </c>
    </row>
    <row r="138">
      <c r="A138" s="2" t="n">
        <v>137</v>
      </c>
      <c r="B138" s="2" t="inlineStr">
        <is>
          <t>ON_USDT_PERP</t>
        </is>
      </c>
      <c r="C138" s="2" t="inlineStr">
        <is>
          <t>做空</t>
        </is>
      </c>
      <c r="D138" s="7" t="n">
        <v>46288.11458333334</v>
      </c>
      <c r="E138" s="17" t="n">
        <v>0.1524</v>
      </c>
      <c r="F138" s="17" t="n">
        <v>0.146304</v>
      </c>
      <c r="G138" s="17" t="n">
        <v>0.16002</v>
      </c>
      <c r="H138" s="7" t="n">
        <v>46288.13194444445</v>
      </c>
      <c r="I138" s="17" t="n">
        <v>0.16002</v>
      </c>
      <c r="J138" s="2" t="inlineStr">
        <is>
          <t>止損</t>
        </is>
      </c>
      <c r="K138" s="5">
        <f>(H138-D138)*24</f>
        <v/>
      </c>
      <c r="L138" s="4">
        <f>IF(C138="做多",I138/E138-1,1-I138/E138)-2*參數!$B$7</f>
        <v/>
      </c>
      <c r="M138" s="2" t="inlineStr"/>
      <c r="N138" s="4" t="n">
        <v>-0.01263362487852271</v>
      </c>
      <c r="O138" s="4" t="n">
        <v>0.0182283365606525</v>
      </c>
      <c r="P138" s="4" t="n">
        <v>0.1553390207415195</v>
      </c>
      <c r="Q138" s="19" t="n">
        <v>107137</v>
      </c>
      <c r="R138" s="19" t="n">
        <v>105334.60597</v>
      </c>
      <c r="S138" s="4" t="n">
        <v>0.01049868766404216</v>
      </c>
      <c r="T138" s="4" t="n">
        <v>0.05</v>
      </c>
      <c r="U138" s="16" t="n">
        <v>6.993156540663679</v>
      </c>
      <c r="V138" s="16" t="n">
        <v>0.6176470588235292</v>
      </c>
      <c r="W138" s="4" t="n">
        <v>-0.1779828512286501</v>
      </c>
      <c r="X138" s="4" t="n">
        <v>-0.1234795429413935</v>
      </c>
      <c r="Y138" s="4" t="n"/>
      <c r="Z138" s="4" t="n"/>
      <c r="AA138" s="4" t="n">
        <v>0.04</v>
      </c>
      <c r="AB138" s="4" t="n">
        <v>0.05</v>
      </c>
      <c r="AC138" s="4">
        <f>(AB138+2*參數!$B$7)/(AA138+AB138)</f>
        <v/>
      </c>
      <c r="AD138" s="2" t="n">
        <v>0.2061733280569846</v>
      </c>
      <c r="AE138" s="2" t="n">
        <v>0.149754809505847</v>
      </c>
      <c r="AF138" s="2" t="n">
        <v>6.993156540663679</v>
      </c>
      <c r="AG138" s="2" t="n">
        <v>0.3823529411764708</v>
      </c>
      <c r="AH138" s="2" t="n">
        <v>0.1242503127218635</v>
      </c>
      <c r="AI138" s="2" t="n">
        <v>9</v>
      </c>
      <c r="AJ138" s="2" t="n">
        <v>0.1553390207415195</v>
      </c>
      <c r="AK138" s="2" t="n">
        <v>72.82600583653637</v>
      </c>
      <c r="AL138" s="2" t="n">
        <v>0.0631448101210309</v>
      </c>
      <c r="AM138" s="2" t="n">
        <v>105334.60597</v>
      </c>
    </row>
    <row r="139">
      <c r="A139" s="2" t="n">
        <v>138</v>
      </c>
      <c r="B139" s="2" t="inlineStr">
        <is>
          <t>DRIFT_USDT_PERP</t>
        </is>
      </c>
      <c r="C139" s="2" t="inlineStr">
        <is>
          <t>做空</t>
        </is>
      </c>
      <c r="D139" s="7" t="n">
        <v>46288.14236111111</v>
      </c>
      <c r="E139" s="17" t="n">
        <v>0.02642</v>
      </c>
      <c r="F139" s="17" t="n">
        <v>0.0253632</v>
      </c>
      <c r="G139" s="17" t="n">
        <v>0.027741</v>
      </c>
      <c r="H139" s="7" t="n">
        <v>46288.15277777778</v>
      </c>
      <c r="I139" s="17" t="n">
        <v>0.0253632</v>
      </c>
      <c r="J139" s="2" t="inlineStr">
        <is>
          <t>止盈</t>
        </is>
      </c>
      <c r="K139" s="5">
        <f>(H139-D139)*24</f>
        <v/>
      </c>
      <c r="L139" s="4">
        <f>IF(C139="做多",I139/E139-1,1-I139/E139)-2*參數!$B$7</f>
        <v/>
      </c>
      <c r="M139" s="2" t="inlineStr"/>
      <c r="N139" s="4" t="n">
        <v>-0.01307433694434068</v>
      </c>
      <c r="O139" s="4" t="n">
        <v>0.02764127969354132</v>
      </c>
      <c r="P139" s="4" t="n">
        <v>0.4300986508247966</v>
      </c>
      <c r="Q139" s="19" t="n">
        <v>4575458</v>
      </c>
      <c r="R139" s="19" t="n">
        <v>233395.24913</v>
      </c>
      <c r="S139" s="4" t="n">
        <v>0.04</v>
      </c>
      <c r="T139" s="4" t="n">
        <v>0.00416351249053748</v>
      </c>
      <c r="U139" s="16" t="n">
        <v>9.154179622044166</v>
      </c>
      <c r="V139" s="16" t="n">
        <v>0.4666666666666679</v>
      </c>
      <c r="W139" s="4" t="n">
        <v>-0.3591443872275406</v>
      </c>
      <c r="X139" s="4" t="n">
        <v>-0.5541176470588234</v>
      </c>
      <c r="Y139" s="4" t="n"/>
      <c r="Z139" s="4" t="n"/>
      <c r="AA139" s="4" t="n">
        <v>0.04</v>
      </c>
      <c r="AB139" s="4" t="n">
        <v>0.05</v>
      </c>
      <c r="AC139" s="4">
        <f>(AB139+2*參數!$B$7)/(AA139+AB139)</f>
        <v/>
      </c>
      <c r="AD139" s="2" t="n">
        <v>0.3846960167714883</v>
      </c>
      <c r="AE139" s="2" t="n">
        <v>0.09083402146985975</v>
      </c>
      <c r="AF139" s="2" t="n">
        <v>9.154179622044166</v>
      </c>
      <c r="AG139" s="2" t="n">
        <v>0.5333333333333321</v>
      </c>
      <c r="AH139" s="2" t="n">
        <v>0.2330293657889775</v>
      </c>
      <c r="AI139" s="2" t="n">
        <v>12</v>
      </c>
      <c r="AJ139" s="2" t="n">
        <v>0.4300986508247966</v>
      </c>
      <c r="AK139" s="2" t="n">
        <v>90.72903077841598</v>
      </c>
      <c r="AL139" s="2" t="n">
        <v>0.09575220163087088</v>
      </c>
      <c r="AM139" s="2" t="n">
        <v>233395.24913</v>
      </c>
    </row>
    <row r="140">
      <c r="A140" s="2" t="n">
        <v>139</v>
      </c>
      <c r="B140" s="2" t="inlineStr">
        <is>
          <t>FOLKS_USDT_PERP</t>
        </is>
      </c>
      <c r="C140" s="2" t="inlineStr">
        <is>
          <t>做空</t>
        </is>
      </c>
      <c r="D140" s="7" t="n">
        <v>46288.16666666666</v>
      </c>
      <c r="E140" s="17" t="n">
        <v>2.56</v>
      </c>
      <c r="F140" s="17" t="n">
        <v>2.4576</v>
      </c>
      <c r="G140" s="17" t="n">
        <v>2.688</v>
      </c>
      <c r="H140" s="7" t="n">
        <v>46288.19444444445</v>
      </c>
      <c r="I140" s="17" t="n">
        <v>2.688</v>
      </c>
      <c r="J140" s="2" t="inlineStr">
        <is>
          <t>止損</t>
        </is>
      </c>
      <c r="K140" s="5">
        <f>(H140-D140)*24</f>
        <v/>
      </c>
      <c r="L140" s="4">
        <f>IF(C140="做多",I140/E140-1,1-I140/E140)-2*參數!$B$7</f>
        <v/>
      </c>
      <c r="M140" s="2" t="inlineStr"/>
      <c r="N140" s="4" t="n">
        <v>-0.01043679938152309</v>
      </c>
      <c r="O140" s="4" t="n">
        <v>0.01614487509564293</v>
      </c>
      <c r="P140" s="4" t="n">
        <v>0.1701096406445506</v>
      </c>
      <c r="Q140" s="19" t="n">
        <v>2352.699999999999</v>
      </c>
      <c r="R140" s="19" t="n">
        <v>26279.7954</v>
      </c>
      <c r="S140" s="4" t="n">
        <v>0.01718750000000002</v>
      </c>
      <c r="T140" s="4" t="n">
        <v>0.05</v>
      </c>
      <c r="U140" s="16" t="n">
        <v>5.895572420821154</v>
      </c>
      <c r="V140" s="16" t="n">
        <v>0.9210526315789449</v>
      </c>
      <c r="W140" s="4" t="n">
        <v>-0.1412726081199764</v>
      </c>
      <c r="X140" s="4" t="n">
        <v>-0.2138454243717403</v>
      </c>
      <c r="Y140" s="4" t="n"/>
      <c r="Z140" s="4" t="n"/>
      <c r="AA140" s="4" t="n">
        <v>0.04</v>
      </c>
      <c r="AB140" s="4" t="n">
        <v>0.05</v>
      </c>
      <c r="AC140" s="4">
        <f>(AB140+2*參數!$B$7)/(AA140+AB140)</f>
        <v/>
      </c>
      <c r="AD140" s="2" t="n">
        <v>0.1443898077782744</v>
      </c>
      <c r="AE140" s="2" t="n">
        <v>0.1053540587219344</v>
      </c>
      <c r="AF140" s="2" t="n">
        <v>5.895572420821154</v>
      </c>
      <c r="AG140" s="2" t="n">
        <v>0.0789473684210551</v>
      </c>
      <c r="AH140" s="2" t="n">
        <v>0.1403960517442217</v>
      </c>
      <c r="AI140" s="2" t="n">
        <v>9</v>
      </c>
      <c r="AJ140" s="2" t="n">
        <v>0.1701096406445506</v>
      </c>
      <c r="AK140" s="2" t="n">
        <v>74.65431666478581</v>
      </c>
      <c r="AL140" s="2" t="n">
        <v>0.05592748789501398</v>
      </c>
      <c r="AM140" s="2" t="n">
        <v>26279.7954</v>
      </c>
    </row>
    <row r="141">
      <c r="A141" s="2" t="n">
        <v>140</v>
      </c>
      <c r="B141" s="2" t="inlineStr">
        <is>
          <t>FOLKS_USDT_PERP</t>
        </is>
      </c>
      <c r="C141" s="2" t="inlineStr">
        <is>
          <t>做空</t>
        </is>
      </c>
      <c r="D141" s="7" t="n">
        <v>46288.34027777778</v>
      </c>
      <c r="E141" s="17" t="n">
        <v>3.096</v>
      </c>
      <c r="F141" s="17" t="n">
        <v>2.97216</v>
      </c>
      <c r="G141" s="17" t="n">
        <v>3.2508</v>
      </c>
      <c r="H141" s="7" t="n">
        <v>46288.34722222222</v>
      </c>
      <c r="I141" s="17" t="n">
        <v>3.2508</v>
      </c>
      <c r="J141" s="2" t="inlineStr">
        <is>
          <t>止損</t>
        </is>
      </c>
      <c r="K141" s="5">
        <f>(H141-D141)*24</f>
        <v/>
      </c>
      <c r="L141" s="4">
        <f>IF(C141="做多",I141/E141-1,1-I141/E141)-2*參數!$B$7</f>
        <v/>
      </c>
      <c r="M141" s="2" t="inlineStr"/>
      <c r="N141" s="4" t="n">
        <v>0.0006464124111182912</v>
      </c>
      <c r="O141" s="4" t="n">
        <v>0.01674391018505069</v>
      </c>
      <c r="P141" s="4" t="n">
        <v>0.34012437416134</v>
      </c>
      <c r="Q141" s="19" t="n">
        <v>41183.5</v>
      </c>
      <c r="R141" s="19" t="n">
        <v>224144.6905</v>
      </c>
      <c r="S141" s="4" t="n">
        <v>0</v>
      </c>
      <c r="T141" s="4" t="n">
        <v>0.05</v>
      </c>
      <c r="U141" s="16" t="n">
        <v>21.1275462362588</v>
      </c>
      <c r="V141" s="16" t="n">
        <v>0.6231884057970976</v>
      </c>
      <c r="W141" s="4" t="n">
        <v>-0.2263474571907296</v>
      </c>
      <c r="X141" s="4" t="n">
        <v>-0.4440298507462686</v>
      </c>
      <c r="Y141" s="4" t="n"/>
      <c r="Z141" s="4" t="n"/>
      <c r="AA141" s="4" t="n">
        <v>0.04</v>
      </c>
      <c r="AB141" s="4" t="n">
        <v>0.05</v>
      </c>
      <c r="AC141" s="4">
        <f>(AB141+2*參數!$B$7)/(AA141+AB141)</f>
        <v/>
      </c>
      <c r="AD141" s="2" t="n">
        <v>0.1462421325435024</v>
      </c>
      <c r="AE141" s="2" t="n">
        <v>0.1160778658976207</v>
      </c>
      <c r="AF141" s="2" t="n">
        <v>21.1275462362588</v>
      </c>
      <c r="AG141" s="2" t="n">
        <v>0.3768115942029024</v>
      </c>
      <c r="AH141" s="2" t="n">
        <v>0.5323327864105781</v>
      </c>
      <c r="AI141" s="2" t="n">
        <v>11</v>
      </c>
      <c r="AJ141" s="2" t="n">
        <v>0.34012437416134</v>
      </c>
      <c r="AK141" s="2" t="n">
        <v>88.4298535256373</v>
      </c>
      <c r="AL141" s="2" t="n">
        <v>0.05800260631575559</v>
      </c>
      <c r="AM141" s="2" t="n">
        <v>224144.6905</v>
      </c>
    </row>
    <row r="142">
      <c r="A142" s="2" t="n">
        <v>141</v>
      </c>
      <c r="B142" s="2" t="inlineStr">
        <is>
          <t>BSV_USDT_PERP</t>
        </is>
      </c>
      <c r="C142" s="2" t="inlineStr">
        <is>
          <t>做空</t>
        </is>
      </c>
      <c r="D142" s="7" t="n">
        <v>46288.40277777778</v>
      </c>
      <c r="E142" s="17" t="n">
        <v>24.22</v>
      </c>
      <c r="F142" s="17" t="n">
        <v>23.2512</v>
      </c>
      <c r="G142" s="17" t="n">
        <v>25.431</v>
      </c>
      <c r="H142" s="7" t="n">
        <v>46288.42013888889</v>
      </c>
      <c r="I142" s="17" t="n">
        <v>23.2512</v>
      </c>
      <c r="J142" s="2" t="inlineStr">
        <is>
          <t>止盈</t>
        </is>
      </c>
      <c r="K142" s="5">
        <f>(H142-D142)*24</f>
        <v/>
      </c>
      <c r="L142" s="4">
        <f>IF(C142="做多",I142/E142-1,1-I142/E142)-2*參數!$B$7</f>
        <v/>
      </c>
      <c r="M142" s="2" t="inlineStr"/>
      <c r="N142" s="4" t="n">
        <v>-0.004521167283189409</v>
      </c>
      <c r="O142" s="4" t="n">
        <v>0.02007622904829285</v>
      </c>
      <c r="P142" s="4" t="n">
        <v>0.1692716190935972</v>
      </c>
      <c r="Q142" s="19" t="n">
        <v>349.9999999999991</v>
      </c>
      <c r="R142" s="19" t="n">
        <v>293877.655</v>
      </c>
      <c r="S142" s="4" t="n">
        <v>0.04</v>
      </c>
      <c r="T142" s="4" t="n">
        <v>0.001651527663088403</v>
      </c>
      <c r="U142" s="16" t="n">
        <v>2.474524858310172</v>
      </c>
      <c r="V142" s="16" t="n">
        <v>0.7580645161290349</v>
      </c>
      <c r="W142" s="4" t="n">
        <v>-0.1109021608010237</v>
      </c>
      <c r="X142" s="4" t="n">
        <v>-0.2801268498942915</v>
      </c>
      <c r="Y142" s="4" t="n"/>
      <c r="Z142" s="4" t="n"/>
      <c r="AA142" s="4" t="n">
        <v>0.04</v>
      </c>
      <c r="AB142" s="4" t="n">
        <v>0.05</v>
      </c>
      <c r="AC142" s="4">
        <f>(AB142+2*參數!$B$7)/(AA142+AB142)</f>
        <v/>
      </c>
      <c r="AD142" s="2" t="n">
        <v>0.1511406844106464</v>
      </c>
      <c r="AE142" s="2" t="n">
        <v>0.09741730856366093</v>
      </c>
      <c r="AF142" s="2" t="n">
        <v>2.474524858310172</v>
      </c>
      <c r="AG142" s="2" t="n">
        <v>0.2419354838709651</v>
      </c>
      <c r="AH142" s="2" t="n">
        <v>0.3199135368819238</v>
      </c>
      <c r="AI142" s="2" t="n">
        <v>7</v>
      </c>
      <c r="AJ142" s="2" t="n">
        <v>0.1692716190935972</v>
      </c>
      <c r="AK142" s="2" t="n">
        <v>84.59852112600291</v>
      </c>
      <c r="AL142" s="2" t="n">
        <v>0.06954609747206675</v>
      </c>
      <c r="AM142" s="2" t="n">
        <v>293877.655</v>
      </c>
    </row>
    <row r="143">
      <c r="A143" s="2" t="n">
        <v>142</v>
      </c>
      <c r="B143" s="2" t="inlineStr">
        <is>
          <t>TAKE_USDT_PERP</t>
        </is>
      </c>
      <c r="C143" s="2" t="inlineStr">
        <is>
          <t>做空</t>
        </is>
      </c>
      <c r="D143" s="7" t="n">
        <v>46288.59027777778</v>
      </c>
      <c r="E143" s="17" t="n">
        <v>0.09045</v>
      </c>
      <c r="F143" s="17" t="n">
        <v>0.08683199999999999</v>
      </c>
      <c r="G143" s="17" t="n">
        <v>0.0949725</v>
      </c>
      <c r="H143" s="7" t="n">
        <v>46288.59722222222</v>
      </c>
      <c r="I143" s="17" t="n">
        <v>0.08683199999999999</v>
      </c>
      <c r="J143" s="2" t="inlineStr">
        <is>
          <t>止盈</t>
        </is>
      </c>
      <c r="K143" s="5">
        <f>(H143-D143)*24</f>
        <v/>
      </c>
      <c r="L143" s="4">
        <f>IF(C143="做多",I143/E143-1,1-I143/E143)-2*參數!$B$7</f>
        <v/>
      </c>
      <c r="M143" s="2" t="inlineStr"/>
      <c r="N143" s="4" t="n">
        <v>-0.002976190476190355</v>
      </c>
      <c r="O143" s="4" t="n">
        <v>0.0283098123938801</v>
      </c>
      <c r="P143" s="4" t="n">
        <v>0.4993421211671223</v>
      </c>
      <c r="Q143" s="19" t="n">
        <v>327668</v>
      </c>
      <c r="R143" s="19" t="n">
        <v>56451.41063</v>
      </c>
      <c r="S143" s="4" t="n">
        <v>0.04</v>
      </c>
      <c r="T143" s="4" t="n">
        <v>0.0184632393587616</v>
      </c>
      <c r="U143" s="16" t="n">
        <v>55.80502344065324</v>
      </c>
      <c r="V143" s="16" t="n">
        <v>0.5152354570637118</v>
      </c>
      <c r="W143" s="4" t="n">
        <v>-0.4732638046202986</v>
      </c>
      <c r="X143" s="4" t="n">
        <v>-0.5541237113402062</v>
      </c>
      <c r="Y143" s="4" t="n"/>
      <c r="Z143" s="4" t="n"/>
      <c r="AA143" s="4" t="n">
        <v>0.04</v>
      </c>
      <c r="AB143" s="4" t="n">
        <v>0.05</v>
      </c>
      <c r="AC143" s="4">
        <f>(AB143+2*參數!$B$7)/(AA143+AB143)</f>
        <v/>
      </c>
      <c r="AD143" s="2" t="n">
        <v>0.4825438452712669</v>
      </c>
      <c r="AE143" s="2" t="n">
        <v>0.488643844634628</v>
      </c>
      <c r="AF143" s="2" t="n">
        <v>55.80502344065324</v>
      </c>
      <c r="AG143" s="2" t="n">
        <v>0.4847645429362882</v>
      </c>
      <c r="AH143" s="2" t="n">
        <v>0.4823962864516462</v>
      </c>
      <c r="AI143" s="2" t="n">
        <v>4</v>
      </c>
      <c r="AJ143" s="2" t="n">
        <v>0.4993421211671223</v>
      </c>
      <c r="AK143" s="2" t="n">
        <v>64.18168060478064</v>
      </c>
      <c r="AL143" s="2" t="n">
        <v>0.09806806683788685</v>
      </c>
      <c r="AM143" s="2" t="n">
        <v>56451.41063</v>
      </c>
    </row>
    <row r="144">
      <c r="A144" s="2" t="n">
        <v>143</v>
      </c>
      <c r="B144" s="2" t="inlineStr">
        <is>
          <t>XNY_USDT_PERP</t>
        </is>
      </c>
      <c r="C144" s="2" t="inlineStr">
        <is>
          <t>做空</t>
        </is>
      </c>
      <c r="D144" s="7" t="n">
        <v>46288.875</v>
      </c>
      <c r="E144" s="17" t="n">
        <v>0.00766</v>
      </c>
      <c r="F144" s="17" t="n">
        <v>0.0073536</v>
      </c>
      <c r="G144" s="17" t="n">
        <v>0.008043</v>
      </c>
      <c r="H144" s="7" t="n">
        <v>46288.92708333334</v>
      </c>
      <c r="I144" s="17" t="n">
        <v>0.0073536</v>
      </c>
      <c r="J144" s="2" t="inlineStr">
        <is>
          <t>止盈</t>
        </is>
      </c>
      <c r="K144" s="5">
        <f>(H144-D144)*24</f>
        <v/>
      </c>
      <c r="L144" s="4">
        <f>IF(C144="做多",I144/E144-1,1-I144/E144)-2*參數!$B$7</f>
        <v/>
      </c>
      <c r="M144" s="2" t="inlineStr"/>
      <c r="N144" s="4" t="n">
        <v>0.01095420351062426</v>
      </c>
      <c r="O144" s="4" t="n">
        <v>0.02045177301901088</v>
      </c>
      <c r="P144" s="4" t="n">
        <v>0.1601409788373978</v>
      </c>
      <c r="Q144" s="19" t="n">
        <v>182101</v>
      </c>
      <c r="R144" s="19" t="n">
        <v>41028.08170800001</v>
      </c>
      <c r="S144" s="4" t="n">
        <v>0.04</v>
      </c>
      <c r="T144" s="4" t="n">
        <v>0.04125326370757176</v>
      </c>
      <c r="U144" s="16" t="n">
        <v>2.6934166740372</v>
      </c>
      <c r="V144" s="16" t="n">
        <v>0.4787234042553186</v>
      </c>
      <c r="W144" s="4" t="n">
        <v>-0.143240923846125</v>
      </c>
      <c r="X144" s="4" t="n">
        <v>-0.170359052711994</v>
      </c>
      <c r="Y144" s="4" t="n"/>
      <c r="Z144" s="4" t="n"/>
      <c r="AA144" s="4" t="n">
        <v>0.04</v>
      </c>
      <c r="AB144" s="4" t="n">
        <v>0.05</v>
      </c>
      <c r="AC144" s="4">
        <f>(AB144+2*參數!$B$7)/(AA144+AB144)</f>
        <v/>
      </c>
      <c r="AD144" s="2" t="n">
        <v>0.142601431980907</v>
      </c>
      <c r="AE144" s="2" t="n">
        <v>0.1159673659673659</v>
      </c>
      <c r="AF144" s="2" t="n">
        <v>2.6934166740372</v>
      </c>
      <c r="AG144" s="2" t="n">
        <v>0.5212765957446814</v>
      </c>
      <c r="AH144" s="2" t="n">
        <v>0.07744391885026587</v>
      </c>
      <c r="AI144" s="2" t="n">
        <v>6</v>
      </c>
      <c r="AJ144" s="2" t="n">
        <v>0.1601409788373978</v>
      </c>
      <c r="AK144" s="2" t="n">
        <v>86.72401648448205</v>
      </c>
      <c r="AL144" s="2" t="n">
        <v>0.07084701994758633</v>
      </c>
      <c r="AM144" s="2" t="n">
        <v>41028.08170800001</v>
      </c>
    </row>
    <row r="145">
      <c r="A145" s="2" t="n">
        <v>144</v>
      </c>
      <c r="B145" s="2" t="inlineStr">
        <is>
          <t>NOM_USDT_PERP</t>
        </is>
      </c>
      <c r="C145" s="2" t="inlineStr">
        <is>
          <t>做空</t>
        </is>
      </c>
      <c r="D145" s="7" t="n">
        <v>46289.22916666666</v>
      </c>
      <c r="E145" s="17" t="n">
        <v>0.002063</v>
      </c>
      <c r="F145" s="17" t="n">
        <v>0.00198048</v>
      </c>
      <c r="G145" s="17" t="n">
        <v>0.00216615</v>
      </c>
      <c r="H145" s="7" t="n">
        <v>46289.24652777778</v>
      </c>
      <c r="I145" s="17" t="n">
        <v>0.00198048</v>
      </c>
      <c r="J145" s="2" t="inlineStr">
        <is>
          <t>止盈</t>
        </is>
      </c>
      <c r="K145" s="5">
        <f>(H145-D145)*24</f>
        <v/>
      </c>
      <c r="L145" s="4">
        <f>IF(C145="做多",I145/E145-1,1-I145/E145)-2*參數!$B$7</f>
        <v/>
      </c>
      <c r="M145" s="2" t="inlineStr"/>
      <c r="N145" s="4" t="n">
        <v>-0.01386233269598469</v>
      </c>
      <c r="O145" s="4" t="n">
        <v>0.02675191317924952</v>
      </c>
      <c r="P145" s="4" t="n">
        <v>0.1682896844966602</v>
      </c>
      <c r="Q145" s="19" t="n">
        <v>9799500</v>
      </c>
      <c r="R145" s="19" t="n">
        <v>118565.814559</v>
      </c>
      <c r="S145" s="4" t="n">
        <v>0.04</v>
      </c>
      <c r="T145" s="4" t="n">
        <v>0.006786233640329487</v>
      </c>
      <c r="U145" s="16" t="n">
        <v>38.51185078002202</v>
      </c>
      <c r="V145" s="16" t="n">
        <v>0.8374999999999997</v>
      </c>
      <c r="W145" s="4" t="n">
        <v>-0.165056219751176</v>
      </c>
      <c r="X145" s="4" t="n">
        <v>-0.2036172695449243</v>
      </c>
      <c r="Y145" s="4" t="n"/>
      <c r="Z145" s="4" t="n"/>
      <c r="AA145" s="4" t="n">
        <v>0.04</v>
      </c>
      <c r="AB145" s="4" t="n">
        <v>0.05</v>
      </c>
      <c r="AC145" s="4">
        <f>(AB145+2*參數!$B$7)/(AA145+AB145)</f>
        <v/>
      </c>
      <c r="AD145" s="2" t="n">
        <v>0.1563901345291481</v>
      </c>
      <c r="AE145" s="2" t="n">
        <v>0.06395048994326991</v>
      </c>
      <c r="AF145" s="2" t="n">
        <v>38.51185078002202</v>
      </c>
      <c r="AG145" s="2" t="n">
        <v>0.1625000000000003</v>
      </c>
      <c r="AH145" s="2" t="n">
        <v>0.56932838683496</v>
      </c>
      <c r="AI145" s="2" t="n">
        <v>12</v>
      </c>
      <c r="AJ145" s="2" t="n">
        <v>0.1682896844966602</v>
      </c>
      <c r="AK145" s="2" t="n">
        <v>74.01771604154639</v>
      </c>
      <c r="AL145" s="2" t="n">
        <v>0.09267134565226326</v>
      </c>
      <c r="AM145" s="2" t="n">
        <v>118565.814559</v>
      </c>
    </row>
    <row r="146">
      <c r="A146" s="2" t="n">
        <v>145</v>
      </c>
      <c r="B146" s="2" t="inlineStr">
        <is>
          <t>NOM_USDT_PERP</t>
        </is>
      </c>
      <c r="C146" s="2" t="inlineStr">
        <is>
          <t>做空</t>
        </is>
      </c>
      <c r="D146" s="7" t="n">
        <v>46289.37152777778</v>
      </c>
      <c r="E146" s="17" t="n">
        <v>0.002522</v>
      </c>
      <c r="F146" s="17" t="n">
        <v>0.00242112</v>
      </c>
      <c r="G146" s="17" t="n">
        <v>0.0026481</v>
      </c>
      <c r="H146" s="7" t="n">
        <v>46289.37847222222</v>
      </c>
      <c r="I146" s="17" t="n">
        <v>0.0026481</v>
      </c>
      <c r="J146" s="2" t="inlineStr">
        <is>
          <t>止損</t>
        </is>
      </c>
      <c r="K146" s="5">
        <f>(H146-D146)*24</f>
        <v/>
      </c>
      <c r="L146" s="4">
        <f>IF(C146="做多",I146/E146-1,1-I146/E146)-2*參數!$B$7</f>
        <v/>
      </c>
      <c r="M146" s="2" t="inlineStr"/>
      <c r="N146" s="4" t="n">
        <v>0.007993605115907298</v>
      </c>
      <c r="O146" s="4" t="n">
        <v>0.02764113450895558</v>
      </c>
      <c r="P146" s="4" t="n">
        <v>0.3918098264606666</v>
      </c>
      <c r="Q146" s="19" t="n">
        <v>39590931</v>
      </c>
      <c r="R146" s="19" t="n">
        <v>277101.768412</v>
      </c>
      <c r="S146" s="4" t="n">
        <v>0.0202220459952418</v>
      </c>
      <c r="T146" s="4" t="n">
        <v>0.05</v>
      </c>
      <c r="U146" s="16" t="n">
        <v>23.56114642233772</v>
      </c>
      <c r="V146" s="16" t="n">
        <v>0.6956521739130457</v>
      </c>
      <c r="W146" s="4" t="n">
        <v>-0.331650729451024</v>
      </c>
      <c r="X146" s="4" t="n">
        <v>-0.4444444444444444</v>
      </c>
      <c r="Y146" s="4" t="n"/>
      <c r="Z146" s="4" t="n"/>
      <c r="AA146" s="4" t="n">
        <v>0.04</v>
      </c>
      <c r="AB146" s="4" t="n">
        <v>0.05</v>
      </c>
      <c r="AC146" s="4">
        <f>(AB146+2*參數!$B$7)/(AA146+AB146)</f>
        <v/>
      </c>
      <c r="AD146" s="2" t="n">
        <v>0.2673366834170854</v>
      </c>
      <c r="AE146" s="2" t="n">
        <v>0.2584830339321356</v>
      </c>
      <c r="AF146" s="2" t="n">
        <v>23.56114642233772</v>
      </c>
      <c r="AG146" s="2" t="n">
        <v>0.3043478260869543</v>
      </c>
      <c r="AH146" s="2" t="n">
        <v>0.7835878153290469</v>
      </c>
      <c r="AI146" s="2" t="n">
        <v>6</v>
      </c>
      <c r="AJ146" s="2" t="n">
        <v>0.3918098264606666</v>
      </c>
      <c r="AK146" s="2" t="n">
        <v>83.3510621501527</v>
      </c>
      <c r="AL146" s="2" t="n">
        <v>0.09575169869671296</v>
      </c>
      <c r="AM146" s="2" t="n">
        <v>277101.768412</v>
      </c>
    </row>
    <row r="147">
      <c r="A147" s="2" t="n">
        <v>146</v>
      </c>
      <c r="B147" s="2" t="inlineStr">
        <is>
          <t>TUT_USDT_PERP</t>
        </is>
      </c>
      <c r="C147" s="2" t="inlineStr">
        <is>
          <t>做空</t>
        </is>
      </c>
      <c r="D147" s="7" t="n">
        <v>46289.78472222222</v>
      </c>
      <c r="E147" s="17" t="n">
        <v>0.02989</v>
      </c>
      <c r="F147" s="17" t="n">
        <v>0.0286944</v>
      </c>
      <c r="G147" s="17" t="n">
        <v>0.0313845</v>
      </c>
      <c r="H147" s="7" t="n">
        <v>46289.81944444445</v>
      </c>
      <c r="I147" s="17" t="n">
        <v>0.0286944</v>
      </c>
      <c r="J147" s="2" t="inlineStr">
        <is>
          <t>止盈</t>
        </is>
      </c>
      <c r="K147" s="5">
        <f>(H147-D147)*24</f>
        <v/>
      </c>
      <c r="L147" s="4">
        <f>IF(C147="做多",I147/E147-1,1-I147/E147)-2*參數!$B$7</f>
        <v/>
      </c>
      <c r="M147" s="2" t="inlineStr"/>
      <c r="N147" s="4" t="n">
        <v>-0.004330446369087304</v>
      </c>
      <c r="O147" s="4" t="n">
        <v>0.01790869163192716</v>
      </c>
      <c r="P147" s="4" t="n">
        <v>0.1866369356791699</v>
      </c>
      <c r="Q147" s="19" t="n">
        <v>349001</v>
      </c>
      <c r="R147" s="19" t="n">
        <v>184851.48821</v>
      </c>
      <c r="S147" s="4" t="n">
        <v>0.04</v>
      </c>
      <c r="T147" s="4" t="n">
        <v>0.01104048176647709</v>
      </c>
      <c r="U147" s="16" t="n">
        <v>7.990258637009416</v>
      </c>
      <c r="V147" s="16" t="n">
        <v>0.709677419354839</v>
      </c>
      <c r="W147" s="4" t="n">
        <v>-0.1467177171531937</v>
      </c>
      <c r="X147" s="4" t="n">
        <v>-0.1772351319417094</v>
      </c>
      <c r="Y147" s="4" t="n"/>
      <c r="Z147" s="4" t="n"/>
      <c r="AA147" s="4" t="n">
        <v>0.04</v>
      </c>
      <c r="AB147" s="4" t="n">
        <v>0.05</v>
      </c>
      <c r="AC147" s="4">
        <f>(AB147+2*參數!$B$7)/(AA147+AB147)</f>
        <v/>
      </c>
      <c r="AD147" s="2" t="n">
        <v>0.1518304431599229</v>
      </c>
      <c r="AE147" s="2" t="n">
        <v>0.1283503208758021</v>
      </c>
      <c r="AF147" s="2" t="n">
        <v>7.990258637009416</v>
      </c>
      <c r="AG147" s="2" t="n">
        <v>0.2903225806451611</v>
      </c>
      <c r="AH147" s="2" t="n">
        <v>0.2028096276457582</v>
      </c>
      <c r="AI147" s="2" t="n">
        <v>12</v>
      </c>
      <c r="AJ147" s="2" t="n">
        <v>0.1866369356791699</v>
      </c>
      <c r="AK147" s="2" t="n">
        <v>77.56723374267487</v>
      </c>
      <c r="AL147" s="2" t="n">
        <v>0.06203752760716288</v>
      </c>
      <c r="AM147" s="2" t="n">
        <v>184851.48821</v>
      </c>
    </row>
    <row r="148">
      <c r="A148" s="2" t="n">
        <v>147</v>
      </c>
      <c r="B148" s="2" t="inlineStr">
        <is>
          <t>BROCCOLI_USDT_PERP</t>
        </is>
      </c>
      <c r="C148" s="2" t="inlineStr">
        <is>
          <t>做空</t>
        </is>
      </c>
      <c r="D148" s="7" t="n">
        <v>46289.79513888889</v>
      </c>
      <c r="E148" s="17" t="n">
        <v>0.02826</v>
      </c>
      <c r="F148" s="17" t="n">
        <v>0.0271296</v>
      </c>
      <c r="G148" s="17" t="n">
        <v>0.029673</v>
      </c>
      <c r="H148" s="7" t="n">
        <v>46289.80555555555</v>
      </c>
      <c r="I148" s="17" t="n">
        <v>0.029673</v>
      </c>
      <c r="J148" s="2" t="inlineStr">
        <is>
          <t>止損</t>
        </is>
      </c>
      <c r="K148" s="5">
        <f>(H148-D148)*24</f>
        <v/>
      </c>
      <c r="L148" s="4">
        <f>IF(C148="做多",I148/E148-1,1-I148/E148)-2*參數!$B$7</f>
        <v/>
      </c>
      <c r="M148" s="2" t="inlineStr"/>
      <c r="N148" s="4" t="n">
        <v>0.01181525241675629</v>
      </c>
      <c r="O148" s="4" t="n">
        <v>0.02022325389941889</v>
      </c>
      <c r="P148" s="4" t="n">
        <v>0.1915084992305367</v>
      </c>
      <c r="Q148" s="19" t="n">
        <v>1088597</v>
      </c>
      <c r="R148" s="19" t="n">
        <v>148751.65698</v>
      </c>
      <c r="S148" s="4" t="n">
        <v>0.00990799716914359</v>
      </c>
      <c r="T148" s="4" t="n">
        <v>0.05</v>
      </c>
      <c r="U148" s="16" t="n">
        <v>47.87250997284266</v>
      </c>
      <c r="V148" s="16" t="n">
        <v>0.4555555555555555</v>
      </c>
      <c r="W148" s="4" t="n">
        <v>-0.1411127666533416</v>
      </c>
      <c r="X148" s="4" t="n">
        <v>-0.1934121621621623</v>
      </c>
      <c r="Y148" s="4" t="n"/>
      <c r="Z148" s="4" t="n"/>
      <c r="AA148" s="4" t="n">
        <v>0.04</v>
      </c>
      <c r="AB148" s="4" t="n">
        <v>0.05</v>
      </c>
      <c r="AC148" s="4">
        <f>(AB148+2*參數!$B$7)/(AA148+AB148)</f>
        <v/>
      </c>
      <c r="AD148" s="2" t="n">
        <v>0.1413570274636511</v>
      </c>
      <c r="AE148" s="2" t="n">
        <v>0.1200951248513675</v>
      </c>
      <c r="AF148" s="2" t="n">
        <v>47.87250997284266</v>
      </c>
      <c r="AG148" s="2" t="n">
        <v>0.5444444444444445</v>
      </c>
      <c r="AH148" s="2" t="n">
        <v>1</v>
      </c>
      <c r="AI148" s="2" t="n">
        <v>11</v>
      </c>
      <c r="AJ148" s="2" t="n">
        <v>0.1915084992305367</v>
      </c>
      <c r="AK148" s="2" t="n">
        <v>63.68159562080774</v>
      </c>
      <c r="AL148" s="2" t="n">
        <v>0.07005540649631785</v>
      </c>
      <c r="AM148" s="2" t="n">
        <v>148751.65698</v>
      </c>
    </row>
    <row r="149">
      <c r="A149" s="2" t="n">
        <v>148</v>
      </c>
      <c r="B149" s="2" t="inlineStr">
        <is>
          <t>BULLA_USDT_PERP</t>
        </is>
      </c>
      <c r="C149" s="2" t="inlineStr">
        <is>
          <t>做空</t>
        </is>
      </c>
      <c r="D149" s="7" t="n">
        <v>46290</v>
      </c>
      <c r="E149" s="17" t="n">
        <v>0.10611</v>
      </c>
      <c r="F149" s="17" t="n">
        <v>0.1018656</v>
      </c>
      <c r="G149" s="17" t="n">
        <v>0.1114155</v>
      </c>
      <c r="H149" s="7" t="n">
        <v>46290.00694444445</v>
      </c>
      <c r="I149" s="17" t="n">
        <v>0.1114155</v>
      </c>
      <c r="J149" s="2" t="inlineStr">
        <is>
          <t>止損</t>
        </is>
      </c>
      <c r="K149" s="5">
        <f>(H149-D149)*24</f>
        <v/>
      </c>
      <c r="L149" s="4">
        <f>IF(C149="做多",I149/E149-1,1-I149/E149)-2*參數!$B$7</f>
        <v/>
      </c>
      <c r="M149" s="2" t="inlineStr"/>
      <c r="N149" s="4" t="n">
        <v>0.001793806646525731</v>
      </c>
      <c r="O149" s="4" t="n">
        <v>0.02108731212903016</v>
      </c>
      <c r="P149" s="4" t="n">
        <v>0.1517561676510215</v>
      </c>
      <c r="Q149" s="19" t="n">
        <v>48572</v>
      </c>
      <c r="R149" s="19" t="n">
        <v>141757.79173</v>
      </c>
      <c r="S149" s="4" t="n">
        <v>0.003581189331825385</v>
      </c>
      <c r="T149" s="4" t="n">
        <v>0.05</v>
      </c>
      <c r="U149" s="16" t="n">
        <v>2.611930063254681</v>
      </c>
      <c r="V149" s="16" t="n">
        <v>0.4857142857142873</v>
      </c>
      <c r="W149" s="4" t="n">
        <v>-0.1366387371966125</v>
      </c>
      <c r="X149" s="4" t="n">
        <v>-0.152743074416078</v>
      </c>
      <c r="Y149" s="4" t="n"/>
      <c r="Z149" s="4" t="n"/>
      <c r="AA149" s="4" t="n">
        <v>0.04</v>
      </c>
      <c r="AB149" s="4" t="n">
        <v>0.05</v>
      </c>
      <c r="AC149" s="4">
        <f>(AB149+2*參數!$B$7)/(AA149+AB149)</f>
        <v/>
      </c>
      <c r="AD149" s="2" t="n">
        <v>0.1517421035493325</v>
      </c>
      <c r="AE149" s="2" t="n">
        <v>0.03300233644859807</v>
      </c>
      <c r="AF149" s="2" t="n">
        <v>2.611930063254681</v>
      </c>
      <c r="AG149" s="2" t="n">
        <v>0.5142857142857127</v>
      </c>
      <c r="AH149" s="2" t="n">
        <v>0.1136568722660043</v>
      </c>
      <c r="AI149" s="2" t="n">
        <v>7</v>
      </c>
      <c r="AJ149" s="2" t="n">
        <v>0.1517561676510215</v>
      </c>
      <c r="AK149" s="2" t="n">
        <v>70.66372145115049</v>
      </c>
      <c r="AL149" s="2" t="n">
        <v>0.07304859200508733</v>
      </c>
      <c r="AM149" s="2" t="n">
        <v>141757.79173</v>
      </c>
    </row>
    <row r="150">
      <c r="A150" s="2" t="n">
        <v>149</v>
      </c>
      <c r="B150" s="2" t="inlineStr">
        <is>
          <t>XAI_USDT_PERP</t>
        </is>
      </c>
      <c r="C150" s="2" t="inlineStr">
        <is>
          <t>做空</t>
        </is>
      </c>
      <c r="D150" s="7" t="n">
        <v>46290.07986111111</v>
      </c>
      <c r="E150" s="17" t="n">
        <v>0.01165</v>
      </c>
      <c r="F150" s="17" t="n">
        <v>0.011184</v>
      </c>
      <c r="G150" s="17" t="n">
        <v>0.0122325</v>
      </c>
      <c r="H150" s="7" t="n">
        <v>46290.09375</v>
      </c>
      <c r="I150" s="17" t="n">
        <v>0.0122325</v>
      </c>
      <c r="J150" s="2" t="inlineStr">
        <is>
          <t>止損</t>
        </is>
      </c>
      <c r="K150" s="5">
        <f>(H150-D150)*24</f>
        <v/>
      </c>
      <c r="L150" s="4">
        <f>IF(C150="做多",I150/E150-1,1-I150/E150)-2*參數!$B$7</f>
        <v/>
      </c>
      <c r="M150" s="2" t="inlineStr"/>
      <c r="N150" s="4" t="n">
        <v>-0.02997502081598657</v>
      </c>
      <c r="O150" s="4" t="n">
        <v>0.03053743682370205</v>
      </c>
      <c r="P150" s="4" t="n">
        <v>0.4303399871085238</v>
      </c>
      <c r="Q150" s="19" t="n">
        <v>6939500</v>
      </c>
      <c r="R150" s="19" t="n">
        <v>190868.74336</v>
      </c>
      <c r="S150" s="4" t="n">
        <v>0.01888412017167396</v>
      </c>
      <c r="T150" s="4" t="n">
        <v>0.05</v>
      </c>
      <c r="U150" s="16" t="n">
        <v>22.62056507226012</v>
      </c>
      <c r="V150" s="16" t="n">
        <v>0.8703703703703694</v>
      </c>
      <c r="W150" s="4" t="n">
        <v>-0.386277636307385</v>
      </c>
      <c r="X150" s="4" t="n">
        <v>-0.4803049555273189</v>
      </c>
      <c r="Y150" s="4" t="n"/>
      <c r="Z150" s="4" t="n"/>
      <c r="AA150" s="4" t="n">
        <v>0.04</v>
      </c>
      <c r="AB150" s="4" t="n">
        <v>0.05</v>
      </c>
      <c r="AC150" s="4">
        <f>(AB150+2*參數!$B$7)/(AA150+AB150)</f>
        <v/>
      </c>
      <c r="AD150" s="2" t="n">
        <v>0.3238636363636365</v>
      </c>
      <c r="AE150" s="2" t="n">
        <v>0.2406815761448349</v>
      </c>
      <c r="AF150" s="2" t="n">
        <v>22.62056507226012</v>
      </c>
      <c r="AG150" s="2" t="n">
        <v>0.1296296296296306</v>
      </c>
      <c r="AH150" s="2" t="n">
        <v>0.2210759966897043</v>
      </c>
      <c r="AI150" s="2" t="n">
        <v>7</v>
      </c>
      <c r="AJ150" s="2" t="n">
        <v>0.4303399871085238</v>
      </c>
      <c r="AK150" s="2" t="n">
        <v>80.98544731976091</v>
      </c>
      <c r="AL150" s="2" t="n">
        <v>0.1057847842231534</v>
      </c>
      <c r="AM150" s="2" t="n">
        <v>190868.74336</v>
      </c>
    </row>
    <row r="151">
      <c r="A151" s="2" t="n">
        <v>150</v>
      </c>
      <c r="B151" s="2" t="inlineStr">
        <is>
          <t>2Z_USDT_PERP</t>
        </is>
      </c>
      <c r="C151" s="2" t="inlineStr">
        <is>
          <t>做空</t>
        </is>
      </c>
      <c r="D151" s="7" t="n">
        <v>46291.60069444445</v>
      </c>
      <c r="E151" s="17" t="n">
        <v>0.06751</v>
      </c>
      <c r="F151" s="17" t="n">
        <v>0.06480959999999999</v>
      </c>
      <c r="G151" s="17" t="n">
        <v>0.0708855</v>
      </c>
      <c r="H151" s="7" t="n">
        <v>46291.62847222222</v>
      </c>
      <c r="I151" s="17" t="n">
        <v>0.0708855</v>
      </c>
      <c r="J151" s="2" t="inlineStr">
        <is>
          <t>止損</t>
        </is>
      </c>
      <c r="K151" s="5">
        <f>(H151-D151)*24</f>
        <v/>
      </c>
      <c r="L151" s="4">
        <f>IF(C151="做多",I151/E151-1,1-I151/E151)-2*參數!$B$7</f>
        <v/>
      </c>
      <c r="M151" s="2" t="inlineStr"/>
      <c r="N151" s="4" t="n">
        <v>-0.01257861635220126</v>
      </c>
      <c r="O151" s="4" t="n">
        <v>0.0165095886851185</v>
      </c>
      <c r="P151" s="4" t="n">
        <v>0.1686636795623786</v>
      </c>
      <c r="Q151" s="19" t="n">
        <v>103033</v>
      </c>
      <c r="R151" s="19" t="n">
        <v>118217.68309</v>
      </c>
      <c r="S151" s="4" t="n">
        <v>0.004888164716338239</v>
      </c>
      <c r="T151" s="4" t="n">
        <v>0.05</v>
      </c>
      <c r="U151" s="16" t="n">
        <v>47.17698277850207</v>
      </c>
      <c r="V151" s="16" t="n">
        <v>0.5733333333333326</v>
      </c>
      <c r="W151" s="4" t="n">
        <v>-0.1549706851982064</v>
      </c>
      <c r="X151" s="4" t="n">
        <v>-0.240308653316186</v>
      </c>
      <c r="Y151" s="4" t="n"/>
      <c r="Z151" s="4" t="n"/>
      <c r="AA151" s="4" t="n">
        <v>0.04</v>
      </c>
      <c r="AB151" s="4" t="n">
        <v>0.05</v>
      </c>
      <c r="AC151" s="4">
        <f>(AB151+2*參數!$B$7)/(AA151+AB151)</f>
        <v/>
      </c>
      <c r="AD151" s="2" t="n">
        <v>0.1781849912739966</v>
      </c>
      <c r="AE151" s="2" t="n">
        <v>0.1371062826343272</v>
      </c>
      <c r="AF151" s="2" t="n">
        <v>47.17698277850207</v>
      </c>
      <c r="AG151" s="2" t="n">
        <v>0.4266666666666674</v>
      </c>
      <c r="AH151" s="2" t="n">
        <v>1</v>
      </c>
      <c r="AI151" s="2" t="n">
        <v>3</v>
      </c>
      <c r="AJ151" s="2" t="n">
        <v>0.1686636795623786</v>
      </c>
      <c r="AK151" s="2" t="n">
        <v>66.44433737805618</v>
      </c>
      <c r="AL151" s="2" t="n">
        <v>0.05719089282937899</v>
      </c>
      <c r="AM151" s="2" t="n">
        <v>118217.68309</v>
      </c>
    </row>
    <row r="152">
      <c r="A152" s="2" t="n">
        <v>151</v>
      </c>
      <c r="B152" s="2" t="inlineStr">
        <is>
          <t>Q_USDT_PERP</t>
        </is>
      </c>
      <c r="C152" s="2" t="inlineStr">
        <is>
          <t>做空</t>
        </is>
      </c>
      <c r="D152" s="7" t="n">
        <v>46291.63194444445</v>
      </c>
      <c r="E152" s="17" t="n">
        <v>0.029962</v>
      </c>
      <c r="F152" s="17" t="n">
        <v>0.02876352</v>
      </c>
      <c r="G152" s="17" t="n">
        <v>0.0314601</v>
      </c>
      <c r="H152" s="7" t="n">
        <v>46291.64236111111</v>
      </c>
      <c r="I152" s="17" t="n">
        <v>0.0314601</v>
      </c>
      <c r="J152" s="2" t="inlineStr">
        <is>
          <t>止損</t>
        </is>
      </c>
      <c r="K152" s="5">
        <f>(H152-D152)*24</f>
        <v/>
      </c>
      <c r="L152" s="4">
        <f>IF(C152="做多",I152/E152-1,1-I152/E152)-2*參數!$B$7</f>
        <v/>
      </c>
      <c r="M152" s="2" t="inlineStr"/>
      <c r="N152" s="4" t="n">
        <v>-0.004220811592276275</v>
      </c>
      <c r="O152" s="4" t="n">
        <v>0.02422191938487431</v>
      </c>
      <c r="P152" s="4" t="n">
        <v>0.2151633831416122</v>
      </c>
      <c r="Q152" s="19" t="n">
        <v>1051398</v>
      </c>
      <c r="R152" s="19" t="n">
        <v>67534.729236</v>
      </c>
      <c r="S152" s="4" t="n">
        <v>0.007809892530538654</v>
      </c>
      <c r="T152" s="4" t="n">
        <v>0.05</v>
      </c>
      <c r="U152" s="16" t="n">
        <v>5.897439515154206</v>
      </c>
      <c r="V152" s="16" t="n">
        <v>0.5812064965197221</v>
      </c>
      <c r="W152" s="4" t="n">
        <v>-0.2361631989570052</v>
      </c>
      <c r="X152" s="4" t="n">
        <v>-0.1437624064742709</v>
      </c>
      <c r="Y152" s="4" t="n"/>
      <c r="Z152" s="4" t="n"/>
      <c r="AA152" s="4" t="n">
        <v>0.04</v>
      </c>
      <c r="AB152" s="4" t="n">
        <v>0.05</v>
      </c>
      <c r="AC152" s="4">
        <f>(AB152+2*參數!$B$7)/(AA152+AB152)</f>
        <v/>
      </c>
      <c r="AD152" s="2" t="n">
        <v>0.2789516370000427</v>
      </c>
      <c r="AE152" s="2" t="n">
        <v>0.2731908383971444</v>
      </c>
      <c r="AF152" s="2" t="n">
        <v>5.897439515154206</v>
      </c>
      <c r="AG152" s="2" t="n">
        <v>0.4187935034802779</v>
      </c>
      <c r="AH152" s="2" t="n">
        <v>0.09347021844330876</v>
      </c>
      <c r="AI152" s="2" t="n">
        <v>8</v>
      </c>
      <c r="AJ152" s="2" t="n">
        <v>0.2151633831416122</v>
      </c>
      <c r="AK152" s="2" t="n">
        <v>79.42052993897538</v>
      </c>
      <c r="AL152" s="2" t="n">
        <v>0.08390719006287957</v>
      </c>
      <c r="AM152" s="2" t="n">
        <v>67534.729236</v>
      </c>
    </row>
    <row r="153">
      <c r="A153" s="2" t="n">
        <v>152</v>
      </c>
      <c r="B153" s="2" t="inlineStr">
        <is>
          <t>US_USDT_PERP</t>
        </is>
      </c>
      <c r="C153" s="2" t="inlineStr">
        <is>
          <t>做空</t>
        </is>
      </c>
      <c r="D153" s="7" t="n">
        <v>46291.96180555555</v>
      </c>
      <c r="E153" s="17" t="n">
        <v>0.02612</v>
      </c>
      <c r="F153" s="17" t="n">
        <v>0.0250752</v>
      </c>
      <c r="G153" s="17" t="n">
        <v>0.027426</v>
      </c>
      <c r="H153" s="7" t="n">
        <v>46291.98263888889</v>
      </c>
      <c r="I153" s="17" t="n">
        <v>0.027426</v>
      </c>
      <c r="J153" s="2" t="inlineStr">
        <is>
          <t>止損</t>
        </is>
      </c>
      <c r="K153" s="5">
        <f>(H153-D153)*24</f>
        <v/>
      </c>
      <c r="L153" s="4">
        <f>IF(C153="做多",I153/E153-1,1-I153/E153)-2*參數!$B$7</f>
        <v/>
      </c>
      <c r="M153" s="2" t="inlineStr"/>
      <c r="N153" s="4" t="n">
        <v>0.01515740380878361</v>
      </c>
      <c r="O153" s="4" t="n">
        <v>0.01665147000597482</v>
      </c>
      <c r="P153" s="4" t="n">
        <v>0.1940184794016191</v>
      </c>
      <c r="Q153" s="19" t="n">
        <v>-266624</v>
      </c>
      <c r="R153" s="19" t="n">
        <v>125900.39178</v>
      </c>
      <c r="S153" s="4" t="n">
        <v>0.009188361408882129</v>
      </c>
      <c r="T153" s="4" t="n">
        <v>0.05</v>
      </c>
      <c r="U153" s="16" t="n">
        <v>7.424920783945547</v>
      </c>
      <c r="V153" s="16" t="n">
        <v>0.4732142857142853</v>
      </c>
      <c r="W153" s="4" t="n">
        <v>-0.1652703052365783</v>
      </c>
      <c r="X153" s="4" t="n">
        <v>-0.2154490460679388</v>
      </c>
      <c r="Y153" s="4" t="n"/>
      <c r="Z153" s="4" t="n"/>
      <c r="AA153" s="4" t="n">
        <v>0.04</v>
      </c>
      <c r="AB153" s="4" t="n">
        <v>0.05</v>
      </c>
      <c r="AC153" s="4">
        <f>(AB153+2*參數!$B$7)/(AA153+AB153)</f>
        <v/>
      </c>
      <c r="AD153" s="2" t="n">
        <v>0.1491421029476463</v>
      </c>
      <c r="AE153" s="2" t="n">
        <v>0.05877584110255363</v>
      </c>
      <c r="AF153" s="2" t="n">
        <v>7.424920783945547</v>
      </c>
      <c r="AG153" s="2" t="n">
        <v>0.5267857142857147</v>
      </c>
      <c r="AH153" s="2" t="n">
        <v>0.1589533128699103</v>
      </c>
      <c r="AI153" s="2" t="n">
        <v>10</v>
      </c>
      <c r="AJ153" s="2" t="n">
        <v>0.1940184794016191</v>
      </c>
      <c r="AK153" s="2" t="n">
        <v>77.85211187978011</v>
      </c>
      <c r="AL153" s="2" t="n">
        <v>0.05768238414211523</v>
      </c>
      <c r="AM153" s="2" t="n">
        <v>125900.39178</v>
      </c>
    </row>
    <row r="154">
      <c r="A154" s="2" t="n">
        <v>153</v>
      </c>
      <c r="B154" s="2" t="inlineStr">
        <is>
          <t>CLANKER_USDT_PERP</t>
        </is>
      </c>
      <c r="C154" s="2" t="inlineStr">
        <is>
          <t>做空</t>
        </is>
      </c>
      <c r="D154" s="7" t="n">
        <v>46292.02083333334</v>
      </c>
      <c r="E154" s="17" t="n">
        <v>16.55</v>
      </c>
      <c r="F154" s="17" t="n">
        <v>15.888</v>
      </c>
      <c r="G154" s="17" t="n">
        <v>17.3775</v>
      </c>
      <c r="H154" s="7" t="n">
        <v>46292.02430555555</v>
      </c>
      <c r="I154" s="17" t="n">
        <v>15.888</v>
      </c>
      <c r="J154" s="2" t="inlineStr">
        <is>
          <t>止盈</t>
        </is>
      </c>
      <c r="K154" s="5">
        <f>(H154-D154)*24</f>
        <v/>
      </c>
      <c r="L154" s="4">
        <f>IF(C154="做多",I154/E154-1,1-I154/E154)-2*參數!$B$7</f>
        <v/>
      </c>
      <c r="M154" s="2" t="inlineStr"/>
      <c r="N154" s="4" t="n">
        <v>-0.02647058823529402</v>
      </c>
      <c r="O154" s="4" t="n">
        <v>0.02506188814746942</v>
      </c>
      <c r="P154" s="4" t="n">
        <v>0.1827060505002382</v>
      </c>
      <c r="Q154" s="19" t="n">
        <v>-245.17</v>
      </c>
      <c r="R154" s="19" t="n">
        <v>34140.9857</v>
      </c>
      <c r="S154" s="4" t="n">
        <v>0.04</v>
      </c>
      <c r="T154" s="4" t="n">
        <v>0</v>
      </c>
      <c r="U154" s="16" t="n">
        <v>87.33099209833188</v>
      </c>
      <c r="V154" s="16" t="n">
        <v>0.7702702702702686</v>
      </c>
      <c r="W154" s="4" t="n">
        <v>-0.1459869682932065</v>
      </c>
      <c r="X154" s="4" t="n">
        <v>-0.2359970126960418</v>
      </c>
      <c r="Y154" s="4" t="n"/>
      <c r="Z154" s="4" t="n"/>
      <c r="AA154" s="4" t="n">
        <v>0.04</v>
      </c>
      <c r="AB154" s="4" t="n">
        <v>0.05</v>
      </c>
      <c r="AC154" s="4">
        <f>(AB154+2*參數!$B$7)/(AA154+AB154)</f>
        <v/>
      </c>
      <c r="AD154" s="2" t="n">
        <v>0.1638537271448663</v>
      </c>
      <c r="AE154" s="2" t="n">
        <v>0.1461218836565097</v>
      </c>
      <c r="AF154" s="2" t="n">
        <v>87.33099209833188</v>
      </c>
      <c r="AG154" s="2" t="n">
        <v>0.2297297297297314</v>
      </c>
      <c r="AH154" s="2" t="n">
        <v>1</v>
      </c>
      <c r="AI154" s="2" t="n">
        <v>6</v>
      </c>
      <c r="AJ154" s="2" t="n">
        <v>0.1827060505002382</v>
      </c>
      <c r="AK154" s="2" t="n">
        <v>68.23596971879573</v>
      </c>
      <c r="AL154" s="2" t="n">
        <v>0.08681692721005055</v>
      </c>
      <c r="AM154" s="2" t="n">
        <v>34140.9857</v>
      </c>
    </row>
    <row r="155">
      <c r="A155" s="2" t="n">
        <v>154</v>
      </c>
      <c r="B155" s="2" t="inlineStr">
        <is>
          <t>SOON_USDT_PERP</t>
        </is>
      </c>
      <c r="C155" s="2" t="inlineStr">
        <is>
          <t>做空</t>
        </is>
      </c>
      <c r="D155" s="7" t="n">
        <v>46292.44791666666</v>
      </c>
      <c r="E155" s="17" t="n">
        <v>0.2743</v>
      </c>
      <c r="F155" s="17" t="n">
        <v>0.263328</v>
      </c>
      <c r="G155" s="17" t="n">
        <v>0.288015</v>
      </c>
      <c r="H155" s="7" t="n">
        <v>46292.48263888889</v>
      </c>
      <c r="I155" s="17" t="n">
        <v>0.288015</v>
      </c>
      <c r="J155" s="2" t="inlineStr">
        <is>
          <t>止損</t>
        </is>
      </c>
      <c r="K155" s="5">
        <f>(H155-D155)*24</f>
        <v/>
      </c>
      <c r="L155" s="4">
        <f>IF(C155="做多",I155/E155-1,1-I155/E155)-2*參數!$B$7</f>
        <v/>
      </c>
      <c r="M155" s="2" t="inlineStr"/>
      <c r="N155" s="4" t="n">
        <v>0.009941089837997019</v>
      </c>
      <c r="O155" s="4" t="n">
        <v>0.0180315730581906</v>
      </c>
      <c r="P155" s="4" t="n">
        <v>0.2311236864890944</v>
      </c>
      <c r="Q155" s="19" t="n">
        <v>275918</v>
      </c>
      <c r="R155" s="19" t="n">
        <v>175658.226</v>
      </c>
      <c r="S155" s="4" t="n">
        <v>0.03062340503098782</v>
      </c>
      <c r="T155" s="4" t="n">
        <v>0.05</v>
      </c>
      <c r="U155" s="16" t="n">
        <v>16.16863904468761</v>
      </c>
      <c r="V155" s="16" t="n">
        <v>0.4252873563218412</v>
      </c>
      <c r="W155" s="4" t="n">
        <v>-0.1849375132295703</v>
      </c>
      <c r="X155" s="4" t="n">
        <v>-0.3532313764183523</v>
      </c>
      <c r="Y155" s="4" t="n"/>
      <c r="Z155" s="4" t="n"/>
      <c r="AA155" s="4" t="n">
        <v>0.04</v>
      </c>
      <c r="AB155" s="4" t="n">
        <v>0.05</v>
      </c>
      <c r="AC155" s="4">
        <f>(AB155+2*參數!$B$7)/(AA155+AB155)</f>
        <v/>
      </c>
      <c r="AD155" s="2" t="n">
        <v>0.1895056374674762</v>
      </c>
      <c r="AE155" s="2" t="n">
        <v>0.1672340425531915</v>
      </c>
      <c r="AF155" s="2" t="n">
        <v>16.16863904468761</v>
      </c>
      <c r="AG155" s="2" t="n">
        <v>0.5747126436781588</v>
      </c>
      <c r="AH155" s="2" t="n">
        <v>0.2764296611015269</v>
      </c>
      <c r="AI155" s="2" t="n">
        <v>8</v>
      </c>
      <c r="AJ155" s="2" t="n">
        <v>0.2311236864890944</v>
      </c>
      <c r="AK155" s="2" t="n">
        <v>83.96511889348402</v>
      </c>
      <c r="AL155" s="2" t="n">
        <v>0.06246320135435249</v>
      </c>
      <c r="AM155" s="2" t="n">
        <v>175658.226</v>
      </c>
    </row>
    <row r="156">
      <c r="A156" s="2" t="n">
        <v>155</v>
      </c>
      <c r="B156" s="2" t="inlineStr">
        <is>
          <t>ARX_USDT_PERP</t>
        </is>
      </c>
      <c r="C156" s="2" t="inlineStr">
        <is>
          <t>做空</t>
        </is>
      </c>
      <c r="D156" s="7" t="n">
        <v>46292.75347222222</v>
      </c>
      <c r="E156" s="17" t="n">
        <v>0.2565</v>
      </c>
      <c r="F156" s="17" t="n">
        <v>0.24624</v>
      </c>
      <c r="G156" s="17" t="n">
        <v>0.269325</v>
      </c>
      <c r="H156" s="7" t="n">
        <v>46292.8125</v>
      </c>
      <c r="I156" s="17" t="n">
        <v>0.269325</v>
      </c>
      <c r="J156" s="2" t="inlineStr">
        <is>
          <t>止損</t>
        </is>
      </c>
      <c r="K156" s="5">
        <f>(H156-D156)*24</f>
        <v/>
      </c>
      <c r="L156" s="4">
        <f>IF(C156="做多",I156/E156-1,1-I156/E156)-2*參數!$B$7</f>
        <v/>
      </c>
      <c r="M156" s="2" t="inlineStr"/>
      <c r="N156" s="4" t="n">
        <v>0.001170960187353742</v>
      </c>
      <c r="O156" s="4" t="n">
        <v>0.01474387014973112</v>
      </c>
      <c r="P156" s="4" t="n">
        <v>0.1238847415667566</v>
      </c>
      <c r="Q156" s="19" t="n">
        <v>129994</v>
      </c>
      <c r="R156" s="19" t="n">
        <v>72316.7129</v>
      </c>
      <c r="S156" s="4" t="n">
        <v>0.007797270955165692</v>
      </c>
      <c r="T156" s="4" t="n">
        <v>0.05</v>
      </c>
      <c r="U156" s="16" t="n">
        <v>6.860725614257447</v>
      </c>
      <c r="V156" s="16" t="n">
        <v>0.5142857142857129</v>
      </c>
      <c r="W156" s="4" t="n">
        <v>-0.1259481668773705</v>
      </c>
      <c r="X156" s="4" t="n">
        <v>-0.0772784544309113</v>
      </c>
      <c r="Y156" s="4" t="n"/>
      <c r="Z156" s="4" t="n"/>
      <c r="AA156" s="4" t="n">
        <v>0.04</v>
      </c>
      <c r="AB156" s="4" t="n">
        <v>0.05</v>
      </c>
      <c r="AC156" s="4">
        <f>(AB156+2*參數!$B$7)/(AA156+AB156)</f>
        <v/>
      </c>
      <c r="AD156" s="2" t="n">
        <v>0.1471377459749554</v>
      </c>
      <c r="AE156" s="2" t="n">
        <v>0.04865085854456241</v>
      </c>
      <c r="AF156" s="2" t="n">
        <v>6.860725614257447</v>
      </c>
      <c r="AG156" s="2" t="n">
        <v>0.4857142857142871</v>
      </c>
      <c r="AH156" s="2" t="n">
        <v>0.1208922797954052</v>
      </c>
      <c r="AI156" s="2" t="n">
        <v>11</v>
      </c>
      <c r="AJ156" s="2" t="n">
        <v>0.1238847415667566</v>
      </c>
      <c r="AK156" s="2" t="n">
        <v>68.8874156815971</v>
      </c>
      <c r="AL156" s="2" t="n">
        <v>0.05107426439906491</v>
      </c>
      <c r="AM156" s="2" t="n">
        <v>72316.7129</v>
      </c>
    </row>
    <row r="157">
      <c r="A157" s="2" t="n">
        <v>156</v>
      </c>
      <c r="B157" s="2" t="inlineStr">
        <is>
          <t>MAGIC_USDT_PERP</t>
        </is>
      </c>
      <c r="C157" s="2" t="inlineStr">
        <is>
          <t>做空</t>
        </is>
      </c>
      <c r="D157" s="7" t="n">
        <v>46292.9375</v>
      </c>
      <c r="E157" s="17" t="n">
        <v>0.0602</v>
      </c>
      <c r="F157" s="17" t="n">
        <v>0.057792</v>
      </c>
      <c r="G157" s="17" t="n">
        <v>0.06321</v>
      </c>
      <c r="H157" s="7" t="n">
        <v>46292.95138888889</v>
      </c>
      <c r="I157" s="17" t="n">
        <v>0.057792</v>
      </c>
      <c r="J157" s="2" t="inlineStr">
        <is>
          <t>止盈</t>
        </is>
      </c>
      <c r="K157" s="5">
        <f>(H157-D157)*24</f>
        <v/>
      </c>
      <c r="L157" s="4">
        <f>IF(C157="做多",I157/E157-1,1-I157/E157)-2*參數!$B$7</f>
        <v/>
      </c>
      <c r="M157" s="2" t="inlineStr"/>
      <c r="N157" s="4" t="n">
        <v>-0.04292527821939585</v>
      </c>
      <c r="O157" s="4" t="n">
        <v>0.02407774740040173</v>
      </c>
      <c r="P157" s="4" t="n">
        <v>0.1609015306737374</v>
      </c>
      <c r="Q157" s="19" t="n">
        <v>899163.2</v>
      </c>
      <c r="R157" s="19" t="n">
        <v>106276.32449</v>
      </c>
      <c r="S157" s="4" t="n">
        <v>0.04</v>
      </c>
      <c r="T157" s="4" t="n">
        <v>0.04152823920265791</v>
      </c>
      <c r="U157" s="16" t="n">
        <v>50.17107641903915</v>
      </c>
      <c r="V157" s="16" t="n">
        <v>0.8378378378378386</v>
      </c>
      <c r="W157" s="4" t="n">
        <v>-0.1490084553280018</v>
      </c>
      <c r="X157" s="4" t="n">
        <v>-0.1644100580270791</v>
      </c>
      <c r="Y157" s="4" t="n"/>
      <c r="Z157" s="4" t="n"/>
      <c r="AA157" s="4" t="n">
        <v>0.04</v>
      </c>
      <c r="AB157" s="4" t="n">
        <v>0.05</v>
      </c>
      <c r="AC157" s="4">
        <f>(AB157+2*參數!$B$7)/(AA157+AB157)</f>
        <v/>
      </c>
      <c r="AD157" s="2" t="n">
        <v>0.1532567049808429</v>
      </c>
      <c r="AE157" s="2" t="n">
        <v>0.144486692015209</v>
      </c>
      <c r="AF157" s="2" t="n">
        <v>50.17107641903915</v>
      </c>
      <c r="AG157" s="2" t="n">
        <v>0.1621621621621614</v>
      </c>
      <c r="AH157" s="2" t="n">
        <v>0.4382527863282323</v>
      </c>
      <c r="AI157" s="2" t="n">
        <v>10</v>
      </c>
      <c r="AJ157" s="2" t="n">
        <v>0.1609015306737374</v>
      </c>
      <c r="AK157" s="2" t="n">
        <v>90.63978802379856</v>
      </c>
      <c r="AL157" s="2" t="n">
        <v>0.08340776365861051</v>
      </c>
      <c r="AM157" s="2" t="n">
        <v>106276.32449</v>
      </c>
    </row>
  </sheetData>
  <autoFilter ref="A1:AM157"/>
  <conditionalFormatting sqref="J2:J157">
    <cfRule type="cellIs" priority="1" operator="equal" dxfId="0">
      <formula>"止盈"</formula>
    </cfRule>
    <cfRule type="cellIs" priority="2" operator="equal" dxfId="1">
      <formula>"止損"</formula>
    </cfRule>
    <cfRule type="cellIs" priority="3" operator="equal" dxfId="2">
      <formula>"未平倉"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7" customWidth="1" min="3" max="3"/>
    <col width="7" customWidth="1" min="4" max="4"/>
    <col width="8" customWidth="1" min="5" max="5"/>
    <col width="7" customWidth="1" min="6" max="6"/>
    <col width="7" customWidth="1" min="7" max="7"/>
    <col width="9" customWidth="1" min="8" max="8"/>
    <col width="12" customWidth="1" min="9" max="9"/>
    <col width="11" customWidth="1" min="10" max="10"/>
    <col width="11" customWidth="1" min="11" max="11"/>
    <col width="8" customWidth="1" min="12" max="12"/>
  </cols>
  <sheetData>
    <row r="1">
      <c r="A1" s="3" t="inlineStr">
        <is>
          <t>交易對</t>
        </is>
      </c>
      <c r="B1" s="3" t="inlineStr">
        <is>
          <t>總筆數</t>
        </is>
      </c>
      <c r="C1" s="3" t="inlineStr">
        <is>
          <t>做多</t>
        </is>
      </c>
      <c r="D1" s="3" t="inlineStr">
        <is>
          <t>做空</t>
        </is>
      </c>
      <c r="E1" s="3" t="inlineStr">
        <is>
          <t>已平倉</t>
        </is>
      </c>
      <c r="F1" s="3" t="inlineStr">
        <is>
          <t>止盈</t>
        </is>
      </c>
      <c r="G1" s="3" t="inlineStr">
        <is>
          <t>止損</t>
        </is>
      </c>
      <c r="H1" s="3" t="inlineStr">
        <is>
          <t>勝率</t>
        </is>
      </c>
      <c r="I1" s="3" t="inlineStr">
        <is>
          <t>平均報酬/筆</t>
        </is>
      </c>
      <c r="J1" s="3" t="inlineStr">
        <is>
          <t>累計報酬</t>
        </is>
      </c>
      <c r="K1" s="3" t="inlineStr">
        <is>
          <t>平均持倉h</t>
        </is>
      </c>
      <c r="L1" s="3" t="inlineStr">
        <is>
          <t>未平倉</t>
        </is>
      </c>
    </row>
    <row r="2">
      <c r="A2" s="2" t="inlineStr">
        <is>
          <t>AGT_USDT_PERP</t>
        </is>
      </c>
      <c r="B2" s="2">
        <f>COUNTIFS(交易明細!$B$2:$B$157,$A2)</f>
        <v/>
      </c>
      <c r="C2" s="2">
        <f>COUNTIFS(交易明細!$B$2:$B$157,$A2,交易明細!$C$2:$C$157,"做多")</f>
        <v/>
      </c>
      <c r="D2" s="2">
        <f>COUNTIFS(交易明細!$B$2:$B$157,$A2,交易明細!$C$2:$C$157,"做空")</f>
        <v/>
      </c>
      <c r="E2" s="2">
        <f>F2+G2+COUNTIFS(交易明細!$B$2:$B$157,$A2,交易明細!$J$2:$J$157,"時間出場")</f>
        <v/>
      </c>
      <c r="F2" s="2">
        <f>COUNTIFS(交易明細!$B$2:$B$157,$A2,交易明細!$J$2:$J$157,"止盈")</f>
        <v/>
      </c>
      <c r="G2" s="2">
        <f>COUNTIFS(交易明細!$B$2:$B$157,$A2,交易明細!$J$2:$J$157,"止損")</f>
        <v/>
      </c>
      <c r="H2" s="4">
        <f>IFERROR(F2/E2,0)</f>
        <v/>
      </c>
      <c r="I2" s="4">
        <f>IFERROR(AVERAGEIFS(交易明細!$L$2:$L$157,交易明細!$B$2:$B$157,$A2,交易明細!$J$2:$J$157,"&lt;&gt;未平倉"),0)</f>
        <v/>
      </c>
      <c r="J2" s="4">
        <f>SUMIFS(交易明細!$L$2:$L$157,交易明細!$B$2:$B$157,$A2,交易明細!$J$2:$J$157,"&lt;&gt;未平倉")</f>
        <v/>
      </c>
      <c r="K2" s="5">
        <f>IFERROR(AVERAGEIFS(交易明細!$K$2:$K$157,交易明細!$B$2:$B$157,$A2,交易明細!$J$2:$J$157,"&lt;&gt;未平倉"),0)</f>
        <v/>
      </c>
      <c r="L2" s="2">
        <f>COUNTIFS(交易明細!$B$2:$B$157,$A2,交易明細!$J$2:$J$157,"未平倉")</f>
        <v/>
      </c>
    </row>
    <row r="3">
      <c r="A3" s="2" t="inlineStr">
        <is>
          <t>4_USDT_PERP</t>
        </is>
      </c>
      <c r="B3" s="2">
        <f>COUNTIFS(交易明細!$B$2:$B$157,$A3)</f>
        <v/>
      </c>
      <c r="C3" s="2">
        <f>COUNTIFS(交易明細!$B$2:$B$157,$A3,交易明細!$C$2:$C$157,"做多")</f>
        <v/>
      </c>
      <c r="D3" s="2">
        <f>COUNTIFS(交易明細!$B$2:$B$157,$A3,交易明細!$C$2:$C$157,"做空")</f>
        <v/>
      </c>
      <c r="E3" s="2">
        <f>F3+G3+COUNTIFS(交易明細!$B$2:$B$157,$A3,交易明細!$J$2:$J$157,"時間出場")</f>
        <v/>
      </c>
      <c r="F3" s="2">
        <f>COUNTIFS(交易明細!$B$2:$B$157,$A3,交易明細!$J$2:$J$157,"止盈")</f>
        <v/>
      </c>
      <c r="G3" s="2">
        <f>COUNTIFS(交易明細!$B$2:$B$157,$A3,交易明細!$J$2:$J$157,"止損")</f>
        <v/>
      </c>
      <c r="H3" s="4">
        <f>IFERROR(F3/E3,0)</f>
        <v/>
      </c>
      <c r="I3" s="4">
        <f>IFERROR(AVERAGEIFS(交易明細!$L$2:$L$157,交易明細!$B$2:$B$157,$A3,交易明細!$J$2:$J$157,"&lt;&gt;未平倉"),0)</f>
        <v/>
      </c>
      <c r="J3" s="4">
        <f>SUMIFS(交易明細!$L$2:$L$157,交易明細!$B$2:$B$157,$A3,交易明細!$J$2:$J$157,"&lt;&gt;未平倉")</f>
        <v/>
      </c>
      <c r="K3" s="5">
        <f>IFERROR(AVERAGEIFS(交易明細!$K$2:$K$157,交易明細!$B$2:$B$157,$A3,交易明細!$J$2:$J$157,"&lt;&gt;未平倉"),0)</f>
        <v/>
      </c>
      <c r="L3" s="2">
        <f>COUNTIFS(交易明細!$B$2:$B$157,$A3,交易明細!$J$2:$J$157,"未平倉")</f>
        <v/>
      </c>
    </row>
    <row r="4">
      <c r="A4" s="2" t="inlineStr">
        <is>
          <t>CAP_USDT_PERP</t>
        </is>
      </c>
      <c r="B4" s="2">
        <f>COUNTIFS(交易明細!$B$2:$B$157,$A4)</f>
        <v/>
      </c>
      <c r="C4" s="2">
        <f>COUNTIFS(交易明細!$B$2:$B$157,$A4,交易明細!$C$2:$C$157,"做多")</f>
        <v/>
      </c>
      <c r="D4" s="2">
        <f>COUNTIFS(交易明細!$B$2:$B$157,$A4,交易明細!$C$2:$C$157,"做空")</f>
        <v/>
      </c>
      <c r="E4" s="2">
        <f>F4+G4+COUNTIFS(交易明細!$B$2:$B$157,$A4,交易明細!$J$2:$J$157,"時間出場")</f>
        <v/>
      </c>
      <c r="F4" s="2">
        <f>COUNTIFS(交易明細!$B$2:$B$157,$A4,交易明細!$J$2:$J$157,"止盈")</f>
        <v/>
      </c>
      <c r="G4" s="2">
        <f>COUNTIFS(交易明細!$B$2:$B$157,$A4,交易明細!$J$2:$J$157,"止損")</f>
        <v/>
      </c>
      <c r="H4" s="4">
        <f>IFERROR(F4/E4,0)</f>
        <v/>
      </c>
      <c r="I4" s="4">
        <f>IFERROR(AVERAGEIFS(交易明細!$L$2:$L$157,交易明細!$B$2:$B$157,$A4,交易明細!$J$2:$J$157,"&lt;&gt;未平倉"),0)</f>
        <v/>
      </c>
      <c r="J4" s="4">
        <f>SUMIFS(交易明細!$L$2:$L$157,交易明細!$B$2:$B$157,$A4,交易明細!$J$2:$J$157,"&lt;&gt;未平倉")</f>
        <v/>
      </c>
      <c r="K4" s="5">
        <f>IFERROR(AVERAGEIFS(交易明細!$K$2:$K$157,交易明細!$B$2:$B$157,$A4,交易明細!$J$2:$J$157,"&lt;&gt;未平倉"),0)</f>
        <v/>
      </c>
      <c r="L4" s="2">
        <f>COUNTIFS(交易明細!$B$2:$B$157,$A4,交易明細!$J$2:$J$157,"未平倉")</f>
        <v/>
      </c>
    </row>
    <row r="5">
      <c r="A5" s="2" t="inlineStr">
        <is>
          <t>NOM_USDT_PERP</t>
        </is>
      </c>
      <c r="B5" s="2">
        <f>COUNTIFS(交易明細!$B$2:$B$157,$A5)</f>
        <v/>
      </c>
      <c r="C5" s="2">
        <f>COUNTIFS(交易明細!$B$2:$B$157,$A5,交易明細!$C$2:$C$157,"做多")</f>
        <v/>
      </c>
      <c r="D5" s="2">
        <f>COUNTIFS(交易明細!$B$2:$B$157,$A5,交易明細!$C$2:$C$157,"做空")</f>
        <v/>
      </c>
      <c r="E5" s="2">
        <f>F5+G5+COUNTIFS(交易明細!$B$2:$B$157,$A5,交易明細!$J$2:$J$157,"時間出場")</f>
        <v/>
      </c>
      <c r="F5" s="2">
        <f>COUNTIFS(交易明細!$B$2:$B$157,$A5,交易明細!$J$2:$J$157,"止盈")</f>
        <v/>
      </c>
      <c r="G5" s="2">
        <f>COUNTIFS(交易明細!$B$2:$B$157,$A5,交易明細!$J$2:$J$157,"止損")</f>
        <v/>
      </c>
      <c r="H5" s="4">
        <f>IFERROR(F5/E5,0)</f>
        <v/>
      </c>
      <c r="I5" s="4">
        <f>IFERROR(AVERAGEIFS(交易明細!$L$2:$L$157,交易明細!$B$2:$B$157,$A5,交易明細!$J$2:$J$157,"&lt;&gt;未平倉"),0)</f>
        <v/>
      </c>
      <c r="J5" s="4">
        <f>SUMIFS(交易明細!$L$2:$L$157,交易明細!$B$2:$B$157,$A5,交易明細!$J$2:$J$157,"&lt;&gt;未平倉")</f>
        <v/>
      </c>
      <c r="K5" s="5">
        <f>IFERROR(AVERAGEIFS(交易明細!$K$2:$K$157,交易明細!$B$2:$B$157,$A5,交易明細!$J$2:$J$157,"&lt;&gt;未平倉"),0)</f>
        <v/>
      </c>
      <c r="L5" s="2">
        <f>COUNTIFS(交易明細!$B$2:$B$157,$A5,交易明細!$J$2:$J$157,"未平倉")</f>
        <v/>
      </c>
    </row>
    <row r="6">
      <c r="A6" s="2" t="inlineStr">
        <is>
          <t>哈基米_USDT_PERP</t>
        </is>
      </c>
      <c r="B6" s="2">
        <f>COUNTIFS(交易明細!$B$2:$B$157,$A6)</f>
        <v/>
      </c>
      <c r="C6" s="2">
        <f>COUNTIFS(交易明細!$B$2:$B$157,$A6,交易明細!$C$2:$C$157,"做多")</f>
        <v/>
      </c>
      <c r="D6" s="2">
        <f>COUNTIFS(交易明細!$B$2:$B$157,$A6,交易明細!$C$2:$C$157,"做空")</f>
        <v/>
      </c>
      <c r="E6" s="2">
        <f>F6+G6+COUNTIFS(交易明細!$B$2:$B$157,$A6,交易明細!$J$2:$J$157,"時間出場")</f>
        <v/>
      </c>
      <c r="F6" s="2">
        <f>COUNTIFS(交易明細!$B$2:$B$157,$A6,交易明細!$J$2:$J$157,"止盈")</f>
        <v/>
      </c>
      <c r="G6" s="2">
        <f>COUNTIFS(交易明細!$B$2:$B$157,$A6,交易明細!$J$2:$J$157,"止損")</f>
        <v/>
      </c>
      <c r="H6" s="4">
        <f>IFERROR(F6/E6,0)</f>
        <v/>
      </c>
      <c r="I6" s="4">
        <f>IFERROR(AVERAGEIFS(交易明細!$L$2:$L$157,交易明細!$B$2:$B$157,$A6,交易明細!$J$2:$J$157,"&lt;&gt;未平倉"),0)</f>
        <v/>
      </c>
      <c r="J6" s="4">
        <f>SUMIFS(交易明細!$L$2:$L$157,交易明細!$B$2:$B$157,$A6,交易明細!$J$2:$J$157,"&lt;&gt;未平倉")</f>
        <v/>
      </c>
      <c r="K6" s="5">
        <f>IFERROR(AVERAGEIFS(交易明細!$K$2:$K$157,交易明細!$B$2:$B$157,$A6,交易明細!$J$2:$J$157,"&lt;&gt;未平倉"),0)</f>
        <v/>
      </c>
      <c r="L6" s="2">
        <f>COUNTIFS(交易明細!$B$2:$B$157,$A6,交易明細!$J$2:$J$157,"未平倉")</f>
        <v/>
      </c>
    </row>
    <row r="7">
      <c r="A7" s="2" t="inlineStr">
        <is>
          <t>DRIFT_USDT_PERP</t>
        </is>
      </c>
      <c r="B7" s="2">
        <f>COUNTIFS(交易明細!$B$2:$B$157,$A7)</f>
        <v/>
      </c>
      <c r="C7" s="2">
        <f>COUNTIFS(交易明細!$B$2:$B$157,$A7,交易明細!$C$2:$C$157,"做多")</f>
        <v/>
      </c>
      <c r="D7" s="2">
        <f>COUNTIFS(交易明細!$B$2:$B$157,$A7,交易明細!$C$2:$C$157,"做空")</f>
        <v/>
      </c>
      <c r="E7" s="2">
        <f>F7+G7+COUNTIFS(交易明細!$B$2:$B$157,$A7,交易明細!$J$2:$J$157,"時間出場")</f>
        <v/>
      </c>
      <c r="F7" s="2">
        <f>COUNTIFS(交易明細!$B$2:$B$157,$A7,交易明細!$J$2:$J$157,"止盈")</f>
        <v/>
      </c>
      <c r="G7" s="2">
        <f>COUNTIFS(交易明細!$B$2:$B$157,$A7,交易明細!$J$2:$J$157,"止損")</f>
        <v/>
      </c>
      <c r="H7" s="4">
        <f>IFERROR(F7/E7,0)</f>
        <v/>
      </c>
      <c r="I7" s="4">
        <f>IFERROR(AVERAGEIFS(交易明細!$L$2:$L$157,交易明細!$B$2:$B$157,$A7,交易明細!$J$2:$J$157,"&lt;&gt;未平倉"),0)</f>
        <v/>
      </c>
      <c r="J7" s="4">
        <f>SUMIFS(交易明細!$L$2:$L$157,交易明細!$B$2:$B$157,$A7,交易明細!$J$2:$J$157,"&lt;&gt;未平倉")</f>
        <v/>
      </c>
      <c r="K7" s="5">
        <f>IFERROR(AVERAGEIFS(交易明細!$K$2:$K$157,交易明細!$B$2:$B$157,$A7,交易明細!$J$2:$J$157,"&lt;&gt;未平倉"),0)</f>
        <v/>
      </c>
      <c r="L7" s="2">
        <f>COUNTIFS(交易明細!$B$2:$B$157,$A7,交易明細!$J$2:$J$157,"未平倉")</f>
        <v/>
      </c>
    </row>
    <row r="8">
      <c r="A8" s="2" t="inlineStr">
        <is>
          <t>FF_USDT_PERP</t>
        </is>
      </c>
      <c r="B8" s="2">
        <f>COUNTIFS(交易明細!$B$2:$B$157,$A8)</f>
        <v/>
      </c>
      <c r="C8" s="2">
        <f>COUNTIFS(交易明細!$B$2:$B$157,$A8,交易明細!$C$2:$C$157,"做多")</f>
        <v/>
      </c>
      <c r="D8" s="2">
        <f>COUNTIFS(交易明細!$B$2:$B$157,$A8,交易明細!$C$2:$C$157,"做空")</f>
        <v/>
      </c>
      <c r="E8" s="2">
        <f>F8+G8+COUNTIFS(交易明細!$B$2:$B$157,$A8,交易明細!$J$2:$J$157,"時間出場")</f>
        <v/>
      </c>
      <c r="F8" s="2">
        <f>COUNTIFS(交易明細!$B$2:$B$157,$A8,交易明細!$J$2:$J$157,"止盈")</f>
        <v/>
      </c>
      <c r="G8" s="2">
        <f>COUNTIFS(交易明細!$B$2:$B$157,$A8,交易明細!$J$2:$J$157,"止損")</f>
        <v/>
      </c>
      <c r="H8" s="4">
        <f>IFERROR(F8/E8,0)</f>
        <v/>
      </c>
      <c r="I8" s="4">
        <f>IFERROR(AVERAGEIFS(交易明細!$L$2:$L$157,交易明細!$B$2:$B$157,$A8,交易明細!$J$2:$J$157,"&lt;&gt;未平倉"),0)</f>
        <v/>
      </c>
      <c r="J8" s="4">
        <f>SUMIFS(交易明細!$L$2:$L$157,交易明細!$B$2:$B$157,$A8,交易明細!$J$2:$J$157,"&lt;&gt;未平倉")</f>
        <v/>
      </c>
      <c r="K8" s="5">
        <f>IFERROR(AVERAGEIFS(交易明細!$K$2:$K$157,交易明細!$B$2:$B$157,$A8,交易明細!$J$2:$J$157,"&lt;&gt;未平倉"),0)</f>
        <v/>
      </c>
      <c r="L8" s="2">
        <f>COUNTIFS(交易明細!$B$2:$B$157,$A8,交易明細!$J$2:$J$157,"未平倉")</f>
        <v/>
      </c>
    </row>
    <row r="9">
      <c r="A9" s="2" t="inlineStr">
        <is>
          <t>MUBARAK_USDT_PERP</t>
        </is>
      </c>
      <c r="B9" s="2">
        <f>COUNTIFS(交易明細!$B$2:$B$157,$A9)</f>
        <v/>
      </c>
      <c r="C9" s="2">
        <f>COUNTIFS(交易明細!$B$2:$B$157,$A9,交易明細!$C$2:$C$157,"做多")</f>
        <v/>
      </c>
      <c r="D9" s="2">
        <f>COUNTIFS(交易明細!$B$2:$B$157,$A9,交易明細!$C$2:$C$157,"做空")</f>
        <v/>
      </c>
      <c r="E9" s="2">
        <f>F9+G9+COUNTIFS(交易明細!$B$2:$B$157,$A9,交易明細!$J$2:$J$157,"時間出場")</f>
        <v/>
      </c>
      <c r="F9" s="2">
        <f>COUNTIFS(交易明細!$B$2:$B$157,$A9,交易明細!$J$2:$J$157,"止盈")</f>
        <v/>
      </c>
      <c r="G9" s="2">
        <f>COUNTIFS(交易明細!$B$2:$B$157,$A9,交易明細!$J$2:$J$157,"止損")</f>
        <v/>
      </c>
      <c r="H9" s="4">
        <f>IFERROR(F9/E9,0)</f>
        <v/>
      </c>
      <c r="I9" s="4">
        <f>IFERROR(AVERAGEIFS(交易明細!$L$2:$L$157,交易明細!$B$2:$B$157,$A9,交易明細!$J$2:$J$157,"&lt;&gt;未平倉"),0)</f>
        <v/>
      </c>
      <c r="J9" s="4">
        <f>SUMIFS(交易明細!$L$2:$L$157,交易明細!$B$2:$B$157,$A9,交易明細!$J$2:$J$157,"&lt;&gt;未平倉")</f>
        <v/>
      </c>
      <c r="K9" s="5">
        <f>IFERROR(AVERAGEIFS(交易明細!$K$2:$K$157,交易明細!$B$2:$B$157,$A9,交易明細!$J$2:$J$157,"&lt;&gt;未平倉"),0)</f>
        <v/>
      </c>
      <c r="L9" s="2">
        <f>COUNTIFS(交易明細!$B$2:$B$157,$A9,交易明細!$J$2:$J$157,"未平倉")</f>
        <v/>
      </c>
    </row>
    <row r="10">
      <c r="A10" s="2" t="inlineStr">
        <is>
          <t>APR_USDT_PERP</t>
        </is>
      </c>
      <c r="B10" s="2">
        <f>COUNTIFS(交易明細!$B$2:$B$157,$A10)</f>
        <v/>
      </c>
      <c r="C10" s="2">
        <f>COUNTIFS(交易明細!$B$2:$B$157,$A10,交易明細!$C$2:$C$157,"做多")</f>
        <v/>
      </c>
      <c r="D10" s="2">
        <f>COUNTIFS(交易明細!$B$2:$B$157,$A10,交易明細!$C$2:$C$157,"做空")</f>
        <v/>
      </c>
      <c r="E10" s="2">
        <f>F10+G10+COUNTIFS(交易明細!$B$2:$B$157,$A10,交易明細!$J$2:$J$157,"時間出場")</f>
        <v/>
      </c>
      <c r="F10" s="2">
        <f>COUNTIFS(交易明細!$B$2:$B$157,$A10,交易明細!$J$2:$J$157,"止盈")</f>
        <v/>
      </c>
      <c r="G10" s="2">
        <f>COUNTIFS(交易明細!$B$2:$B$157,$A10,交易明細!$J$2:$J$157,"止損")</f>
        <v/>
      </c>
      <c r="H10" s="4">
        <f>IFERROR(F10/E10,0)</f>
        <v/>
      </c>
      <c r="I10" s="4">
        <f>IFERROR(AVERAGEIFS(交易明細!$L$2:$L$157,交易明細!$B$2:$B$157,$A10,交易明細!$J$2:$J$157,"&lt;&gt;未平倉"),0)</f>
        <v/>
      </c>
      <c r="J10" s="4">
        <f>SUMIFS(交易明細!$L$2:$L$157,交易明細!$B$2:$B$157,$A10,交易明細!$J$2:$J$157,"&lt;&gt;未平倉")</f>
        <v/>
      </c>
      <c r="K10" s="5">
        <f>IFERROR(AVERAGEIFS(交易明細!$K$2:$K$157,交易明細!$B$2:$B$157,$A10,交易明細!$J$2:$J$157,"&lt;&gt;未平倉"),0)</f>
        <v/>
      </c>
      <c r="L10" s="2">
        <f>COUNTIFS(交易明細!$B$2:$B$157,$A10,交易明細!$J$2:$J$157,"未平倉")</f>
        <v/>
      </c>
    </row>
    <row r="11">
      <c r="A11" s="2" t="inlineStr">
        <is>
          <t>PTB_USDT_PERP</t>
        </is>
      </c>
      <c r="B11" s="2">
        <f>COUNTIFS(交易明細!$B$2:$B$157,$A11)</f>
        <v/>
      </c>
      <c r="C11" s="2">
        <f>COUNTIFS(交易明細!$B$2:$B$157,$A11,交易明細!$C$2:$C$157,"做多")</f>
        <v/>
      </c>
      <c r="D11" s="2">
        <f>COUNTIFS(交易明細!$B$2:$B$157,$A11,交易明細!$C$2:$C$157,"做空")</f>
        <v/>
      </c>
      <c r="E11" s="2">
        <f>F11+G11+COUNTIFS(交易明細!$B$2:$B$157,$A11,交易明細!$J$2:$J$157,"時間出場")</f>
        <v/>
      </c>
      <c r="F11" s="2">
        <f>COUNTIFS(交易明細!$B$2:$B$157,$A11,交易明細!$J$2:$J$157,"止盈")</f>
        <v/>
      </c>
      <c r="G11" s="2">
        <f>COUNTIFS(交易明細!$B$2:$B$157,$A11,交易明細!$J$2:$J$157,"止損")</f>
        <v/>
      </c>
      <c r="H11" s="4">
        <f>IFERROR(F11/E11,0)</f>
        <v/>
      </c>
      <c r="I11" s="4">
        <f>IFERROR(AVERAGEIFS(交易明細!$L$2:$L$157,交易明細!$B$2:$B$157,$A11,交易明細!$J$2:$J$157,"&lt;&gt;未平倉"),0)</f>
        <v/>
      </c>
      <c r="J11" s="4">
        <f>SUMIFS(交易明細!$L$2:$L$157,交易明細!$B$2:$B$157,$A11,交易明細!$J$2:$J$157,"&lt;&gt;未平倉")</f>
        <v/>
      </c>
      <c r="K11" s="5">
        <f>IFERROR(AVERAGEIFS(交易明細!$K$2:$K$157,交易明細!$B$2:$B$157,$A11,交易明細!$J$2:$J$157,"&lt;&gt;未平倉"),0)</f>
        <v/>
      </c>
      <c r="L11" s="2">
        <f>COUNTIFS(交易明細!$B$2:$B$157,$A11,交易明細!$J$2:$J$157,"未平倉")</f>
        <v/>
      </c>
    </row>
    <row r="12">
      <c r="A12" s="2" t="inlineStr">
        <is>
          <t>POWR_USDT_PERP</t>
        </is>
      </c>
      <c r="B12" s="2">
        <f>COUNTIFS(交易明細!$B$2:$B$157,$A12)</f>
        <v/>
      </c>
      <c r="C12" s="2">
        <f>COUNTIFS(交易明細!$B$2:$B$157,$A12,交易明細!$C$2:$C$157,"做多")</f>
        <v/>
      </c>
      <c r="D12" s="2">
        <f>COUNTIFS(交易明細!$B$2:$B$157,$A12,交易明細!$C$2:$C$157,"做空")</f>
        <v/>
      </c>
      <c r="E12" s="2">
        <f>F12+G12+COUNTIFS(交易明細!$B$2:$B$157,$A12,交易明細!$J$2:$J$157,"時間出場")</f>
        <v/>
      </c>
      <c r="F12" s="2">
        <f>COUNTIFS(交易明細!$B$2:$B$157,$A12,交易明細!$J$2:$J$157,"止盈")</f>
        <v/>
      </c>
      <c r="G12" s="2">
        <f>COUNTIFS(交易明細!$B$2:$B$157,$A12,交易明細!$J$2:$J$157,"止損")</f>
        <v/>
      </c>
      <c r="H12" s="4">
        <f>IFERROR(F12/E12,0)</f>
        <v/>
      </c>
      <c r="I12" s="4">
        <f>IFERROR(AVERAGEIFS(交易明細!$L$2:$L$157,交易明細!$B$2:$B$157,$A12,交易明細!$J$2:$J$157,"&lt;&gt;未平倉"),0)</f>
        <v/>
      </c>
      <c r="J12" s="4">
        <f>SUMIFS(交易明細!$L$2:$L$157,交易明細!$B$2:$B$157,$A12,交易明細!$J$2:$J$157,"&lt;&gt;未平倉")</f>
        <v/>
      </c>
      <c r="K12" s="5">
        <f>IFERROR(AVERAGEIFS(交易明細!$K$2:$K$157,交易明細!$B$2:$B$157,$A12,交易明細!$J$2:$J$157,"&lt;&gt;未平倉"),0)</f>
        <v/>
      </c>
      <c r="L12" s="2">
        <f>COUNTIFS(交易明細!$B$2:$B$157,$A12,交易明細!$J$2:$J$157,"未平倉")</f>
        <v/>
      </c>
    </row>
    <row r="13">
      <c r="A13" s="2" t="inlineStr">
        <is>
          <t>KERNEL_USDT_PERP</t>
        </is>
      </c>
      <c r="B13" s="2">
        <f>COUNTIFS(交易明細!$B$2:$B$157,$A13)</f>
        <v/>
      </c>
      <c r="C13" s="2">
        <f>COUNTIFS(交易明細!$B$2:$B$157,$A13,交易明細!$C$2:$C$157,"做多")</f>
        <v/>
      </c>
      <c r="D13" s="2">
        <f>COUNTIFS(交易明細!$B$2:$B$157,$A13,交易明細!$C$2:$C$157,"做空")</f>
        <v/>
      </c>
      <c r="E13" s="2">
        <f>F13+G13+COUNTIFS(交易明細!$B$2:$B$157,$A13,交易明細!$J$2:$J$157,"時間出場")</f>
        <v/>
      </c>
      <c r="F13" s="2">
        <f>COUNTIFS(交易明細!$B$2:$B$157,$A13,交易明細!$J$2:$J$157,"止盈")</f>
        <v/>
      </c>
      <c r="G13" s="2">
        <f>COUNTIFS(交易明細!$B$2:$B$157,$A13,交易明細!$J$2:$J$157,"止損")</f>
        <v/>
      </c>
      <c r="H13" s="4">
        <f>IFERROR(F13/E13,0)</f>
        <v/>
      </c>
      <c r="I13" s="4">
        <f>IFERROR(AVERAGEIFS(交易明細!$L$2:$L$157,交易明細!$B$2:$B$157,$A13,交易明細!$J$2:$J$157,"&lt;&gt;未平倉"),0)</f>
        <v/>
      </c>
      <c r="J13" s="4">
        <f>SUMIFS(交易明細!$L$2:$L$157,交易明細!$B$2:$B$157,$A13,交易明細!$J$2:$J$157,"&lt;&gt;未平倉")</f>
        <v/>
      </c>
      <c r="K13" s="5">
        <f>IFERROR(AVERAGEIFS(交易明細!$K$2:$K$157,交易明細!$B$2:$B$157,$A13,交易明細!$J$2:$J$157,"&lt;&gt;未平倉"),0)</f>
        <v/>
      </c>
      <c r="L13" s="2">
        <f>COUNTIFS(交易明細!$B$2:$B$157,$A13,交易明細!$J$2:$J$157,"未平倉")</f>
        <v/>
      </c>
    </row>
    <row r="14">
      <c r="A14" s="2" t="inlineStr">
        <is>
          <t>ZEST_USDT_PERP</t>
        </is>
      </c>
      <c r="B14" s="2">
        <f>COUNTIFS(交易明細!$B$2:$B$157,$A14)</f>
        <v/>
      </c>
      <c r="C14" s="2">
        <f>COUNTIFS(交易明細!$B$2:$B$157,$A14,交易明細!$C$2:$C$157,"做多")</f>
        <v/>
      </c>
      <c r="D14" s="2">
        <f>COUNTIFS(交易明細!$B$2:$B$157,$A14,交易明細!$C$2:$C$157,"做空")</f>
        <v/>
      </c>
      <c r="E14" s="2">
        <f>F14+G14+COUNTIFS(交易明細!$B$2:$B$157,$A14,交易明細!$J$2:$J$157,"時間出場")</f>
        <v/>
      </c>
      <c r="F14" s="2">
        <f>COUNTIFS(交易明細!$B$2:$B$157,$A14,交易明細!$J$2:$J$157,"止盈")</f>
        <v/>
      </c>
      <c r="G14" s="2">
        <f>COUNTIFS(交易明細!$B$2:$B$157,$A14,交易明細!$J$2:$J$157,"止損")</f>
        <v/>
      </c>
      <c r="H14" s="4">
        <f>IFERROR(F14/E14,0)</f>
        <v/>
      </c>
      <c r="I14" s="4">
        <f>IFERROR(AVERAGEIFS(交易明細!$L$2:$L$157,交易明細!$B$2:$B$157,$A14,交易明細!$J$2:$J$157,"&lt;&gt;未平倉"),0)</f>
        <v/>
      </c>
      <c r="J14" s="4">
        <f>SUMIFS(交易明細!$L$2:$L$157,交易明細!$B$2:$B$157,$A14,交易明細!$J$2:$J$157,"&lt;&gt;未平倉")</f>
        <v/>
      </c>
      <c r="K14" s="5">
        <f>IFERROR(AVERAGEIFS(交易明細!$K$2:$K$157,交易明細!$B$2:$B$157,$A14,交易明細!$J$2:$J$157,"&lt;&gt;未平倉"),0)</f>
        <v/>
      </c>
      <c r="L14" s="2">
        <f>COUNTIFS(交易明細!$B$2:$B$157,$A14,交易明細!$J$2:$J$157,"未平倉")</f>
        <v/>
      </c>
    </row>
    <row r="15">
      <c r="A15" s="2" t="inlineStr">
        <is>
          <t>TRIA_USDT_PERP</t>
        </is>
      </c>
      <c r="B15" s="2">
        <f>COUNTIFS(交易明細!$B$2:$B$157,$A15)</f>
        <v/>
      </c>
      <c r="C15" s="2">
        <f>COUNTIFS(交易明細!$B$2:$B$157,$A15,交易明細!$C$2:$C$157,"做多")</f>
        <v/>
      </c>
      <c r="D15" s="2">
        <f>COUNTIFS(交易明細!$B$2:$B$157,$A15,交易明細!$C$2:$C$157,"做空")</f>
        <v/>
      </c>
      <c r="E15" s="2">
        <f>F15+G15+COUNTIFS(交易明細!$B$2:$B$157,$A15,交易明細!$J$2:$J$157,"時間出場")</f>
        <v/>
      </c>
      <c r="F15" s="2">
        <f>COUNTIFS(交易明細!$B$2:$B$157,$A15,交易明細!$J$2:$J$157,"止盈")</f>
        <v/>
      </c>
      <c r="G15" s="2">
        <f>COUNTIFS(交易明細!$B$2:$B$157,$A15,交易明細!$J$2:$J$157,"止損")</f>
        <v/>
      </c>
      <c r="H15" s="4">
        <f>IFERROR(F15/E15,0)</f>
        <v/>
      </c>
      <c r="I15" s="4">
        <f>IFERROR(AVERAGEIFS(交易明細!$L$2:$L$157,交易明細!$B$2:$B$157,$A15,交易明細!$J$2:$J$157,"&lt;&gt;未平倉"),0)</f>
        <v/>
      </c>
      <c r="J15" s="4">
        <f>SUMIFS(交易明細!$L$2:$L$157,交易明細!$B$2:$B$157,$A15,交易明細!$J$2:$J$157,"&lt;&gt;未平倉")</f>
        <v/>
      </c>
      <c r="K15" s="5">
        <f>IFERROR(AVERAGEIFS(交易明細!$K$2:$K$157,交易明細!$B$2:$B$157,$A15,交易明細!$J$2:$J$157,"&lt;&gt;未平倉"),0)</f>
        <v/>
      </c>
      <c r="L15" s="2">
        <f>COUNTIFS(交易明細!$B$2:$B$157,$A15,交易明細!$J$2:$J$157,"未平倉")</f>
        <v/>
      </c>
    </row>
    <row r="16">
      <c r="A16" s="2" t="inlineStr">
        <is>
          <t>Q_USDT_PERP</t>
        </is>
      </c>
      <c r="B16" s="2">
        <f>COUNTIFS(交易明細!$B$2:$B$157,$A16)</f>
        <v/>
      </c>
      <c r="C16" s="2">
        <f>COUNTIFS(交易明細!$B$2:$B$157,$A16,交易明細!$C$2:$C$157,"做多")</f>
        <v/>
      </c>
      <c r="D16" s="2">
        <f>COUNTIFS(交易明細!$B$2:$B$157,$A16,交易明細!$C$2:$C$157,"做空")</f>
        <v/>
      </c>
      <c r="E16" s="2">
        <f>F16+G16+COUNTIFS(交易明細!$B$2:$B$157,$A16,交易明細!$J$2:$J$157,"時間出場")</f>
        <v/>
      </c>
      <c r="F16" s="2">
        <f>COUNTIFS(交易明細!$B$2:$B$157,$A16,交易明細!$J$2:$J$157,"止盈")</f>
        <v/>
      </c>
      <c r="G16" s="2">
        <f>COUNTIFS(交易明細!$B$2:$B$157,$A16,交易明細!$J$2:$J$157,"止損")</f>
        <v/>
      </c>
      <c r="H16" s="4">
        <f>IFERROR(F16/E16,0)</f>
        <v/>
      </c>
      <c r="I16" s="4">
        <f>IFERROR(AVERAGEIFS(交易明細!$L$2:$L$157,交易明細!$B$2:$B$157,$A16,交易明細!$J$2:$J$157,"&lt;&gt;未平倉"),0)</f>
        <v/>
      </c>
      <c r="J16" s="4">
        <f>SUMIFS(交易明細!$L$2:$L$157,交易明細!$B$2:$B$157,$A16,交易明細!$J$2:$J$157,"&lt;&gt;未平倉")</f>
        <v/>
      </c>
      <c r="K16" s="5">
        <f>IFERROR(AVERAGEIFS(交易明細!$K$2:$K$157,交易明細!$B$2:$B$157,$A16,交易明細!$J$2:$J$157,"&lt;&gt;未平倉"),0)</f>
        <v/>
      </c>
      <c r="L16" s="2">
        <f>COUNTIFS(交易明細!$B$2:$B$157,$A16,交易明細!$J$2:$J$157,"未平倉")</f>
        <v/>
      </c>
    </row>
    <row r="17">
      <c r="A17" s="2" t="inlineStr">
        <is>
          <t>B_USDT_PERP</t>
        </is>
      </c>
      <c r="B17" s="2">
        <f>COUNTIFS(交易明細!$B$2:$B$157,$A17)</f>
        <v/>
      </c>
      <c r="C17" s="2">
        <f>COUNTIFS(交易明細!$B$2:$B$157,$A17,交易明細!$C$2:$C$157,"做多")</f>
        <v/>
      </c>
      <c r="D17" s="2">
        <f>COUNTIFS(交易明細!$B$2:$B$157,$A17,交易明細!$C$2:$C$157,"做空")</f>
        <v/>
      </c>
      <c r="E17" s="2">
        <f>F17+G17+COUNTIFS(交易明細!$B$2:$B$157,$A17,交易明細!$J$2:$J$157,"時間出場")</f>
        <v/>
      </c>
      <c r="F17" s="2">
        <f>COUNTIFS(交易明細!$B$2:$B$157,$A17,交易明細!$J$2:$J$157,"止盈")</f>
        <v/>
      </c>
      <c r="G17" s="2">
        <f>COUNTIFS(交易明細!$B$2:$B$157,$A17,交易明細!$J$2:$J$157,"止損")</f>
        <v/>
      </c>
      <c r="H17" s="4">
        <f>IFERROR(F17/E17,0)</f>
        <v/>
      </c>
      <c r="I17" s="4">
        <f>IFERROR(AVERAGEIFS(交易明細!$L$2:$L$157,交易明細!$B$2:$B$157,$A17,交易明細!$J$2:$J$157,"&lt;&gt;未平倉"),0)</f>
        <v/>
      </c>
      <c r="J17" s="4">
        <f>SUMIFS(交易明細!$L$2:$L$157,交易明細!$B$2:$B$157,$A17,交易明細!$J$2:$J$157,"&lt;&gt;未平倉")</f>
        <v/>
      </c>
      <c r="K17" s="5">
        <f>IFERROR(AVERAGEIFS(交易明細!$K$2:$K$157,交易明細!$B$2:$B$157,$A17,交易明細!$J$2:$J$157,"&lt;&gt;未平倉"),0)</f>
        <v/>
      </c>
      <c r="L17" s="2">
        <f>COUNTIFS(交易明細!$B$2:$B$157,$A17,交易明細!$J$2:$J$157,"未平倉")</f>
        <v/>
      </c>
    </row>
    <row r="18">
      <c r="A18" s="2" t="inlineStr">
        <is>
          <t>NAORIS_USDT_PERP</t>
        </is>
      </c>
      <c r="B18" s="2">
        <f>COUNTIFS(交易明細!$B$2:$B$157,$A18)</f>
        <v/>
      </c>
      <c r="C18" s="2">
        <f>COUNTIFS(交易明細!$B$2:$B$157,$A18,交易明細!$C$2:$C$157,"做多")</f>
        <v/>
      </c>
      <c r="D18" s="2">
        <f>COUNTIFS(交易明細!$B$2:$B$157,$A18,交易明細!$C$2:$C$157,"做空")</f>
        <v/>
      </c>
      <c r="E18" s="2">
        <f>F18+G18+COUNTIFS(交易明細!$B$2:$B$157,$A18,交易明細!$J$2:$J$157,"時間出場")</f>
        <v/>
      </c>
      <c r="F18" s="2">
        <f>COUNTIFS(交易明細!$B$2:$B$157,$A18,交易明細!$J$2:$J$157,"止盈")</f>
        <v/>
      </c>
      <c r="G18" s="2">
        <f>COUNTIFS(交易明細!$B$2:$B$157,$A18,交易明細!$J$2:$J$157,"止損")</f>
        <v/>
      </c>
      <c r="H18" s="4">
        <f>IFERROR(F18/E18,0)</f>
        <v/>
      </c>
      <c r="I18" s="4">
        <f>IFERROR(AVERAGEIFS(交易明細!$L$2:$L$157,交易明細!$B$2:$B$157,$A18,交易明細!$J$2:$J$157,"&lt;&gt;未平倉"),0)</f>
        <v/>
      </c>
      <c r="J18" s="4">
        <f>SUMIFS(交易明細!$L$2:$L$157,交易明細!$B$2:$B$157,$A18,交易明細!$J$2:$J$157,"&lt;&gt;未平倉")</f>
        <v/>
      </c>
      <c r="K18" s="5">
        <f>IFERROR(AVERAGEIFS(交易明細!$K$2:$K$157,交易明細!$B$2:$B$157,$A18,交易明細!$J$2:$J$157,"&lt;&gt;未平倉"),0)</f>
        <v/>
      </c>
      <c r="L18" s="2">
        <f>COUNTIFS(交易明細!$B$2:$B$157,$A18,交易明細!$J$2:$J$157,"未平倉")</f>
        <v/>
      </c>
    </row>
    <row r="19">
      <c r="A19" s="2" t="inlineStr">
        <is>
          <t>MOODENG_USDT_PERP</t>
        </is>
      </c>
      <c r="B19" s="2">
        <f>COUNTIFS(交易明細!$B$2:$B$157,$A19)</f>
        <v/>
      </c>
      <c r="C19" s="2">
        <f>COUNTIFS(交易明細!$B$2:$B$157,$A19,交易明細!$C$2:$C$157,"做多")</f>
        <v/>
      </c>
      <c r="D19" s="2">
        <f>COUNTIFS(交易明細!$B$2:$B$157,$A19,交易明細!$C$2:$C$157,"做空")</f>
        <v/>
      </c>
      <c r="E19" s="2">
        <f>F19+G19+COUNTIFS(交易明細!$B$2:$B$157,$A19,交易明細!$J$2:$J$157,"時間出場")</f>
        <v/>
      </c>
      <c r="F19" s="2">
        <f>COUNTIFS(交易明細!$B$2:$B$157,$A19,交易明細!$J$2:$J$157,"止盈")</f>
        <v/>
      </c>
      <c r="G19" s="2">
        <f>COUNTIFS(交易明細!$B$2:$B$157,$A19,交易明細!$J$2:$J$157,"止損")</f>
        <v/>
      </c>
      <c r="H19" s="4">
        <f>IFERROR(F19/E19,0)</f>
        <v/>
      </c>
      <c r="I19" s="4">
        <f>IFERROR(AVERAGEIFS(交易明細!$L$2:$L$157,交易明細!$B$2:$B$157,$A19,交易明細!$J$2:$J$157,"&lt;&gt;未平倉"),0)</f>
        <v/>
      </c>
      <c r="J19" s="4">
        <f>SUMIFS(交易明細!$L$2:$L$157,交易明細!$B$2:$B$157,$A19,交易明細!$J$2:$J$157,"&lt;&gt;未平倉")</f>
        <v/>
      </c>
      <c r="K19" s="5">
        <f>IFERROR(AVERAGEIFS(交易明細!$K$2:$K$157,交易明細!$B$2:$B$157,$A19,交易明細!$J$2:$J$157,"&lt;&gt;未平倉"),0)</f>
        <v/>
      </c>
      <c r="L19" s="2">
        <f>COUNTIFS(交易明細!$B$2:$B$157,$A19,交易明細!$J$2:$J$157,"未平倉")</f>
        <v/>
      </c>
    </row>
    <row r="20">
      <c r="A20" s="2" t="inlineStr">
        <is>
          <t>SUSHI_USDT_PERP</t>
        </is>
      </c>
      <c r="B20" s="2">
        <f>COUNTIFS(交易明細!$B$2:$B$157,$A20)</f>
        <v/>
      </c>
      <c r="C20" s="2">
        <f>COUNTIFS(交易明細!$B$2:$B$157,$A20,交易明細!$C$2:$C$157,"做多")</f>
        <v/>
      </c>
      <c r="D20" s="2">
        <f>COUNTIFS(交易明細!$B$2:$B$157,$A20,交易明細!$C$2:$C$157,"做空")</f>
        <v/>
      </c>
      <c r="E20" s="2">
        <f>F20+G20+COUNTIFS(交易明細!$B$2:$B$157,$A20,交易明細!$J$2:$J$157,"時間出場")</f>
        <v/>
      </c>
      <c r="F20" s="2">
        <f>COUNTIFS(交易明細!$B$2:$B$157,$A20,交易明細!$J$2:$J$157,"止盈")</f>
        <v/>
      </c>
      <c r="G20" s="2">
        <f>COUNTIFS(交易明細!$B$2:$B$157,$A20,交易明細!$J$2:$J$157,"止損")</f>
        <v/>
      </c>
      <c r="H20" s="4">
        <f>IFERROR(F20/E20,0)</f>
        <v/>
      </c>
      <c r="I20" s="4">
        <f>IFERROR(AVERAGEIFS(交易明細!$L$2:$L$157,交易明細!$B$2:$B$157,$A20,交易明細!$J$2:$J$157,"&lt;&gt;未平倉"),0)</f>
        <v/>
      </c>
      <c r="J20" s="4">
        <f>SUMIFS(交易明細!$L$2:$L$157,交易明細!$B$2:$B$157,$A20,交易明細!$J$2:$J$157,"&lt;&gt;未平倉")</f>
        <v/>
      </c>
      <c r="K20" s="5">
        <f>IFERROR(AVERAGEIFS(交易明細!$K$2:$K$157,交易明細!$B$2:$B$157,$A20,交易明細!$J$2:$J$157,"&lt;&gt;未平倉"),0)</f>
        <v/>
      </c>
      <c r="L20" s="2">
        <f>COUNTIFS(交易明細!$B$2:$B$157,$A20,交易明細!$J$2:$J$157,"未平倉")</f>
        <v/>
      </c>
    </row>
    <row r="21">
      <c r="A21" s="2" t="inlineStr">
        <is>
          <t>RAY_USDT_PERP</t>
        </is>
      </c>
      <c r="B21" s="2">
        <f>COUNTIFS(交易明細!$B$2:$B$157,$A21)</f>
        <v/>
      </c>
      <c r="C21" s="2">
        <f>COUNTIFS(交易明細!$B$2:$B$157,$A21,交易明細!$C$2:$C$157,"做多")</f>
        <v/>
      </c>
      <c r="D21" s="2">
        <f>COUNTIFS(交易明細!$B$2:$B$157,$A21,交易明細!$C$2:$C$157,"做空")</f>
        <v/>
      </c>
      <c r="E21" s="2">
        <f>F21+G21+COUNTIFS(交易明細!$B$2:$B$157,$A21,交易明細!$J$2:$J$157,"時間出場")</f>
        <v/>
      </c>
      <c r="F21" s="2">
        <f>COUNTIFS(交易明細!$B$2:$B$157,$A21,交易明細!$J$2:$J$157,"止盈")</f>
        <v/>
      </c>
      <c r="G21" s="2">
        <f>COUNTIFS(交易明細!$B$2:$B$157,$A21,交易明細!$J$2:$J$157,"止損")</f>
        <v/>
      </c>
      <c r="H21" s="4">
        <f>IFERROR(F21/E21,0)</f>
        <v/>
      </c>
      <c r="I21" s="4">
        <f>IFERROR(AVERAGEIFS(交易明細!$L$2:$L$157,交易明細!$B$2:$B$157,$A21,交易明細!$J$2:$J$157,"&lt;&gt;未平倉"),0)</f>
        <v/>
      </c>
      <c r="J21" s="4">
        <f>SUMIFS(交易明細!$L$2:$L$157,交易明細!$B$2:$B$157,$A21,交易明細!$J$2:$J$157,"&lt;&gt;未平倉")</f>
        <v/>
      </c>
      <c r="K21" s="5">
        <f>IFERROR(AVERAGEIFS(交易明細!$K$2:$K$157,交易明細!$B$2:$B$157,$A21,交易明細!$J$2:$J$157,"&lt;&gt;未平倉"),0)</f>
        <v/>
      </c>
      <c r="L21" s="2">
        <f>COUNTIFS(交易明細!$B$2:$B$157,$A21,交易明細!$J$2:$J$157,"未平倉")</f>
        <v/>
      </c>
    </row>
    <row r="22">
      <c r="A22" s="2" t="inlineStr">
        <is>
          <t>LUNA2_USDT_PERP</t>
        </is>
      </c>
      <c r="B22" s="2">
        <f>COUNTIFS(交易明細!$B$2:$B$157,$A22)</f>
        <v/>
      </c>
      <c r="C22" s="2">
        <f>COUNTIFS(交易明細!$B$2:$B$157,$A22,交易明細!$C$2:$C$157,"做多")</f>
        <v/>
      </c>
      <c r="D22" s="2">
        <f>COUNTIFS(交易明細!$B$2:$B$157,$A22,交易明細!$C$2:$C$157,"做空")</f>
        <v/>
      </c>
      <c r="E22" s="2">
        <f>F22+G22+COUNTIFS(交易明細!$B$2:$B$157,$A22,交易明細!$J$2:$J$157,"時間出場")</f>
        <v/>
      </c>
      <c r="F22" s="2">
        <f>COUNTIFS(交易明細!$B$2:$B$157,$A22,交易明細!$J$2:$J$157,"止盈")</f>
        <v/>
      </c>
      <c r="G22" s="2">
        <f>COUNTIFS(交易明細!$B$2:$B$157,$A22,交易明細!$J$2:$J$157,"止損")</f>
        <v/>
      </c>
      <c r="H22" s="4">
        <f>IFERROR(F22/E22,0)</f>
        <v/>
      </c>
      <c r="I22" s="4">
        <f>IFERROR(AVERAGEIFS(交易明細!$L$2:$L$157,交易明細!$B$2:$B$157,$A22,交易明細!$J$2:$J$157,"&lt;&gt;未平倉"),0)</f>
        <v/>
      </c>
      <c r="J22" s="4">
        <f>SUMIFS(交易明細!$L$2:$L$157,交易明細!$B$2:$B$157,$A22,交易明細!$J$2:$J$157,"&lt;&gt;未平倉")</f>
        <v/>
      </c>
      <c r="K22" s="5">
        <f>IFERROR(AVERAGEIFS(交易明細!$K$2:$K$157,交易明細!$B$2:$B$157,$A22,交易明細!$J$2:$J$157,"&lt;&gt;未平倉"),0)</f>
        <v/>
      </c>
      <c r="L22" s="2">
        <f>COUNTIFS(交易明細!$B$2:$B$157,$A22,交易明細!$J$2:$J$157,"未平倉")</f>
        <v/>
      </c>
    </row>
    <row r="23">
      <c r="A23" s="2" t="inlineStr">
        <is>
          <t>ON_USDT_PERP</t>
        </is>
      </c>
      <c r="B23" s="2">
        <f>COUNTIFS(交易明細!$B$2:$B$157,$A23)</f>
        <v/>
      </c>
      <c r="C23" s="2">
        <f>COUNTIFS(交易明細!$B$2:$B$157,$A23,交易明細!$C$2:$C$157,"做多")</f>
        <v/>
      </c>
      <c r="D23" s="2">
        <f>COUNTIFS(交易明細!$B$2:$B$157,$A23,交易明細!$C$2:$C$157,"做空")</f>
        <v/>
      </c>
      <c r="E23" s="2">
        <f>F23+G23+COUNTIFS(交易明細!$B$2:$B$157,$A23,交易明細!$J$2:$J$157,"時間出場")</f>
        <v/>
      </c>
      <c r="F23" s="2">
        <f>COUNTIFS(交易明細!$B$2:$B$157,$A23,交易明細!$J$2:$J$157,"止盈")</f>
        <v/>
      </c>
      <c r="G23" s="2">
        <f>COUNTIFS(交易明細!$B$2:$B$157,$A23,交易明細!$J$2:$J$157,"止損")</f>
        <v/>
      </c>
      <c r="H23" s="4">
        <f>IFERROR(F23/E23,0)</f>
        <v/>
      </c>
      <c r="I23" s="4">
        <f>IFERROR(AVERAGEIFS(交易明細!$L$2:$L$157,交易明細!$B$2:$B$157,$A23,交易明細!$J$2:$J$157,"&lt;&gt;未平倉"),0)</f>
        <v/>
      </c>
      <c r="J23" s="4">
        <f>SUMIFS(交易明細!$L$2:$L$157,交易明細!$B$2:$B$157,$A23,交易明細!$J$2:$J$157,"&lt;&gt;未平倉")</f>
        <v/>
      </c>
      <c r="K23" s="5">
        <f>IFERROR(AVERAGEIFS(交易明細!$K$2:$K$157,交易明細!$B$2:$B$157,$A23,交易明細!$J$2:$J$157,"&lt;&gt;未平倉"),0)</f>
        <v/>
      </c>
      <c r="L23" s="2">
        <f>COUNTIFS(交易明細!$B$2:$B$157,$A23,交易明細!$J$2:$J$157,"未平倉")</f>
        <v/>
      </c>
    </row>
    <row r="24">
      <c r="A24" s="2" t="inlineStr">
        <is>
          <t>PHA_USDT_PERP</t>
        </is>
      </c>
      <c r="B24" s="2">
        <f>COUNTIFS(交易明細!$B$2:$B$157,$A24)</f>
        <v/>
      </c>
      <c r="C24" s="2">
        <f>COUNTIFS(交易明細!$B$2:$B$157,$A24,交易明細!$C$2:$C$157,"做多")</f>
        <v/>
      </c>
      <c r="D24" s="2">
        <f>COUNTIFS(交易明細!$B$2:$B$157,$A24,交易明細!$C$2:$C$157,"做空")</f>
        <v/>
      </c>
      <c r="E24" s="2">
        <f>F24+G24+COUNTIFS(交易明細!$B$2:$B$157,$A24,交易明細!$J$2:$J$157,"時間出場")</f>
        <v/>
      </c>
      <c r="F24" s="2">
        <f>COUNTIFS(交易明細!$B$2:$B$157,$A24,交易明細!$J$2:$J$157,"止盈")</f>
        <v/>
      </c>
      <c r="G24" s="2">
        <f>COUNTIFS(交易明細!$B$2:$B$157,$A24,交易明細!$J$2:$J$157,"止損")</f>
        <v/>
      </c>
      <c r="H24" s="4">
        <f>IFERROR(F24/E24,0)</f>
        <v/>
      </c>
      <c r="I24" s="4">
        <f>IFERROR(AVERAGEIFS(交易明細!$L$2:$L$157,交易明細!$B$2:$B$157,$A24,交易明細!$J$2:$J$157,"&lt;&gt;未平倉"),0)</f>
        <v/>
      </c>
      <c r="J24" s="4">
        <f>SUMIFS(交易明細!$L$2:$L$157,交易明細!$B$2:$B$157,$A24,交易明細!$J$2:$J$157,"&lt;&gt;未平倉")</f>
        <v/>
      </c>
      <c r="K24" s="5">
        <f>IFERROR(AVERAGEIFS(交易明細!$K$2:$K$157,交易明細!$B$2:$B$157,$A24,交易明細!$J$2:$J$157,"&lt;&gt;未平倉"),0)</f>
        <v/>
      </c>
      <c r="L24" s="2">
        <f>COUNTIFS(交易明細!$B$2:$B$157,$A24,交易明細!$J$2:$J$157,"未平倉")</f>
        <v/>
      </c>
    </row>
    <row r="25">
      <c r="A25" s="2" t="inlineStr">
        <is>
          <t>REZ_USDT_PERP</t>
        </is>
      </c>
      <c r="B25" s="2">
        <f>COUNTIFS(交易明細!$B$2:$B$157,$A25)</f>
        <v/>
      </c>
      <c r="C25" s="2">
        <f>COUNTIFS(交易明細!$B$2:$B$157,$A25,交易明細!$C$2:$C$157,"做多")</f>
        <v/>
      </c>
      <c r="D25" s="2">
        <f>COUNTIFS(交易明細!$B$2:$B$157,$A25,交易明細!$C$2:$C$157,"做空")</f>
        <v/>
      </c>
      <c r="E25" s="2">
        <f>F25+G25+COUNTIFS(交易明細!$B$2:$B$157,$A25,交易明細!$J$2:$J$157,"時間出場")</f>
        <v/>
      </c>
      <c r="F25" s="2">
        <f>COUNTIFS(交易明細!$B$2:$B$157,$A25,交易明細!$J$2:$J$157,"止盈")</f>
        <v/>
      </c>
      <c r="G25" s="2">
        <f>COUNTIFS(交易明細!$B$2:$B$157,$A25,交易明細!$J$2:$J$157,"止損")</f>
        <v/>
      </c>
      <c r="H25" s="4">
        <f>IFERROR(F25/E25,0)</f>
        <v/>
      </c>
      <c r="I25" s="4">
        <f>IFERROR(AVERAGEIFS(交易明細!$L$2:$L$157,交易明細!$B$2:$B$157,$A25,交易明細!$J$2:$J$157,"&lt;&gt;未平倉"),0)</f>
        <v/>
      </c>
      <c r="J25" s="4">
        <f>SUMIFS(交易明細!$L$2:$L$157,交易明細!$B$2:$B$157,$A25,交易明細!$J$2:$J$157,"&lt;&gt;未平倉")</f>
        <v/>
      </c>
      <c r="K25" s="5">
        <f>IFERROR(AVERAGEIFS(交易明細!$K$2:$K$157,交易明細!$B$2:$B$157,$A25,交易明細!$J$2:$J$157,"&lt;&gt;未平倉"),0)</f>
        <v/>
      </c>
      <c r="L25" s="2">
        <f>COUNTIFS(交易明細!$B$2:$B$157,$A25,交易明細!$J$2:$J$157,"未平倉")</f>
        <v/>
      </c>
    </row>
    <row r="26">
      <c r="A26" s="2" t="inlineStr">
        <is>
          <t>我踏马来了_USDT_PERP</t>
        </is>
      </c>
      <c r="B26" s="2">
        <f>COUNTIFS(交易明細!$B$2:$B$157,$A26)</f>
        <v/>
      </c>
      <c r="C26" s="2">
        <f>COUNTIFS(交易明細!$B$2:$B$157,$A26,交易明細!$C$2:$C$157,"做多")</f>
        <v/>
      </c>
      <c r="D26" s="2">
        <f>COUNTIFS(交易明細!$B$2:$B$157,$A26,交易明細!$C$2:$C$157,"做空")</f>
        <v/>
      </c>
      <c r="E26" s="2">
        <f>F26+G26+COUNTIFS(交易明細!$B$2:$B$157,$A26,交易明細!$J$2:$J$157,"時間出場")</f>
        <v/>
      </c>
      <c r="F26" s="2">
        <f>COUNTIFS(交易明細!$B$2:$B$157,$A26,交易明細!$J$2:$J$157,"止盈")</f>
        <v/>
      </c>
      <c r="G26" s="2">
        <f>COUNTIFS(交易明細!$B$2:$B$157,$A26,交易明細!$J$2:$J$157,"止損")</f>
        <v/>
      </c>
      <c r="H26" s="4">
        <f>IFERROR(F26/E26,0)</f>
        <v/>
      </c>
      <c r="I26" s="4">
        <f>IFERROR(AVERAGEIFS(交易明細!$L$2:$L$157,交易明細!$B$2:$B$157,$A26,交易明細!$J$2:$J$157,"&lt;&gt;未平倉"),0)</f>
        <v/>
      </c>
      <c r="J26" s="4">
        <f>SUMIFS(交易明細!$L$2:$L$157,交易明細!$B$2:$B$157,$A26,交易明細!$J$2:$J$157,"&lt;&gt;未平倉")</f>
        <v/>
      </c>
      <c r="K26" s="5">
        <f>IFERROR(AVERAGEIFS(交易明細!$K$2:$K$157,交易明細!$B$2:$B$157,$A26,交易明細!$J$2:$J$157,"&lt;&gt;未平倉"),0)</f>
        <v/>
      </c>
      <c r="L26" s="2">
        <f>COUNTIFS(交易明細!$B$2:$B$157,$A26,交易明細!$J$2:$J$157,"未平倉")</f>
        <v/>
      </c>
    </row>
    <row r="27">
      <c r="A27" s="2" t="inlineStr">
        <is>
          <t>CTR_USDT_PERP</t>
        </is>
      </c>
      <c r="B27" s="2">
        <f>COUNTIFS(交易明細!$B$2:$B$157,$A27)</f>
        <v/>
      </c>
      <c r="C27" s="2">
        <f>COUNTIFS(交易明細!$B$2:$B$157,$A27,交易明細!$C$2:$C$157,"做多")</f>
        <v/>
      </c>
      <c r="D27" s="2">
        <f>COUNTIFS(交易明細!$B$2:$B$157,$A27,交易明細!$C$2:$C$157,"做空")</f>
        <v/>
      </c>
      <c r="E27" s="2">
        <f>F27+G27+COUNTIFS(交易明細!$B$2:$B$157,$A27,交易明細!$J$2:$J$157,"時間出場")</f>
        <v/>
      </c>
      <c r="F27" s="2">
        <f>COUNTIFS(交易明細!$B$2:$B$157,$A27,交易明細!$J$2:$J$157,"止盈")</f>
        <v/>
      </c>
      <c r="G27" s="2">
        <f>COUNTIFS(交易明細!$B$2:$B$157,$A27,交易明細!$J$2:$J$157,"止損")</f>
        <v/>
      </c>
      <c r="H27" s="4">
        <f>IFERROR(F27/E27,0)</f>
        <v/>
      </c>
      <c r="I27" s="4">
        <f>IFERROR(AVERAGEIFS(交易明細!$L$2:$L$157,交易明細!$B$2:$B$157,$A27,交易明細!$J$2:$J$157,"&lt;&gt;未平倉"),0)</f>
        <v/>
      </c>
      <c r="J27" s="4">
        <f>SUMIFS(交易明細!$L$2:$L$157,交易明細!$B$2:$B$157,$A27,交易明細!$J$2:$J$157,"&lt;&gt;未平倉")</f>
        <v/>
      </c>
      <c r="K27" s="5">
        <f>IFERROR(AVERAGEIFS(交易明細!$K$2:$K$157,交易明細!$B$2:$B$157,$A27,交易明細!$J$2:$J$157,"&lt;&gt;未平倉"),0)</f>
        <v/>
      </c>
      <c r="L27" s="2">
        <f>COUNTIFS(交易明細!$B$2:$B$157,$A27,交易明細!$J$2:$J$157,"未平倉")</f>
        <v/>
      </c>
    </row>
    <row r="28">
      <c r="A28" s="2" t="inlineStr">
        <is>
          <t>BTW_USDT_PERP</t>
        </is>
      </c>
      <c r="B28" s="2">
        <f>COUNTIFS(交易明細!$B$2:$B$157,$A28)</f>
        <v/>
      </c>
      <c r="C28" s="2">
        <f>COUNTIFS(交易明細!$B$2:$B$157,$A28,交易明細!$C$2:$C$157,"做多")</f>
        <v/>
      </c>
      <c r="D28" s="2">
        <f>COUNTIFS(交易明細!$B$2:$B$157,$A28,交易明細!$C$2:$C$157,"做空")</f>
        <v/>
      </c>
      <c r="E28" s="2">
        <f>F28+G28+COUNTIFS(交易明細!$B$2:$B$157,$A28,交易明細!$J$2:$J$157,"時間出場")</f>
        <v/>
      </c>
      <c r="F28" s="2">
        <f>COUNTIFS(交易明細!$B$2:$B$157,$A28,交易明細!$J$2:$J$157,"止盈")</f>
        <v/>
      </c>
      <c r="G28" s="2">
        <f>COUNTIFS(交易明細!$B$2:$B$157,$A28,交易明細!$J$2:$J$157,"止損")</f>
        <v/>
      </c>
      <c r="H28" s="4">
        <f>IFERROR(F28/E28,0)</f>
        <v/>
      </c>
      <c r="I28" s="4">
        <f>IFERROR(AVERAGEIFS(交易明細!$L$2:$L$157,交易明細!$B$2:$B$157,$A28,交易明細!$J$2:$J$157,"&lt;&gt;未平倉"),0)</f>
        <v/>
      </c>
      <c r="J28" s="4">
        <f>SUMIFS(交易明細!$L$2:$L$157,交易明細!$B$2:$B$157,$A28,交易明細!$J$2:$J$157,"&lt;&gt;未平倉")</f>
        <v/>
      </c>
      <c r="K28" s="5">
        <f>IFERROR(AVERAGEIFS(交易明細!$K$2:$K$157,交易明細!$B$2:$B$157,$A28,交易明細!$J$2:$J$157,"&lt;&gt;未平倉"),0)</f>
        <v/>
      </c>
      <c r="L28" s="2">
        <f>COUNTIFS(交易明細!$B$2:$B$157,$A28,交易明細!$J$2:$J$157,"未平倉")</f>
        <v/>
      </c>
    </row>
    <row r="29">
      <c r="A29" s="2" t="inlineStr">
        <is>
          <t>MAGMA_USDT_PERP</t>
        </is>
      </c>
      <c r="B29" s="2">
        <f>COUNTIFS(交易明細!$B$2:$B$157,$A29)</f>
        <v/>
      </c>
      <c r="C29" s="2">
        <f>COUNTIFS(交易明細!$B$2:$B$157,$A29,交易明細!$C$2:$C$157,"做多")</f>
        <v/>
      </c>
      <c r="D29" s="2">
        <f>COUNTIFS(交易明細!$B$2:$B$157,$A29,交易明細!$C$2:$C$157,"做空")</f>
        <v/>
      </c>
      <c r="E29" s="2">
        <f>F29+G29+COUNTIFS(交易明細!$B$2:$B$157,$A29,交易明細!$J$2:$J$157,"時間出場")</f>
        <v/>
      </c>
      <c r="F29" s="2">
        <f>COUNTIFS(交易明細!$B$2:$B$157,$A29,交易明細!$J$2:$J$157,"止盈")</f>
        <v/>
      </c>
      <c r="G29" s="2">
        <f>COUNTIFS(交易明細!$B$2:$B$157,$A29,交易明細!$J$2:$J$157,"止損")</f>
        <v/>
      </c>
      <c r="H29" s="4">
        <f>IFERROR(F29/E29,0)</f>
        <v/>
      </c>
      <c r="I29" s="4">
        <f>IFERROR(AVERAGEIFS(交易明細!$L$2:$L$157,交易明細!$B$2:$B$157,$A29,交易明細!$J$2:$J$157,"&lt;&gt;未平倉"),0)</f>
        <v/>
      </c>
      <c r="J29" s="4">
        <f>SUMIFS(交易明細!$L$2:$L$157,交易明細!$B$2:$B$157,$A29,交易明細!$J$2:$J$157,"&lt;&gt;未平倉")</f>
        <v/>
      </c>
      <c r="K29" s="5">
        <f>IFERROR(AVERAGEIFS(交易明細!$K$2:$K$157,交易明細!$B$2:$B$157,$A29,交易明細!$J$2:$J$157,"&lt;&gt;未平倉"),0)</f>
        <v/>
      </c>
      <c r="L29" s="2">
        <f>COUNTIFS(交易明細!$B$2:$B$157,$A29,交易明細!$J$2:$J$157,"未平倉")</f>
        <v/>
      </c>
    </row>
    <row r="30">
      <c r="A30" s="2" t="inlineStr">
        <is>
          <t>AIN_USDT_PERP</t>
        </is>
      </c>
      <c r="B30" s="2">
        <f>COUNTIFS(交易明細!$B$2:$B$157,$A30)</f>
        <v/>
      </c>
      <c r="C30" s="2">
        <f>COUNTIFS(交易明細!$B$2:$B$157,$A30,交易明細!$C$2:$C$157,"做多")</f>
        <v/>
      </c>
      <c r="D30" s="2">
        <f>COUNTIFS(交易明細!$B$2:$B$157,$A30,交易明細!$C$2:$C$157,"做空")</f>
        <v/>
      </c>
      <c r="E30" s="2">
        <f>F30+G30+COUNTIFS(交易明細!$B$2:$B$157,$A30,交易明細!$J$2:$J$157,"時間出場")</f>
        <v/>
      </c>
      <c r="F30" s="2">
        <f>COUNTIFS(交易明細!$B$2:$B$157,$A30,交易明細!$J$2:$J$157,"止盈")</f>
        <v/>
      </c>
      <c r="G30" s="2">
        <f>COUNTIFS(交易明細!$B$2:$B$157,$A30,交易明細!$J$2:$J$157,"止損")</f>
        <v/>
      </c>
      <c r="H30" s="4">
        <f>IFERROR(F30/E30,0)</f>
        <v/>
      </c>
      <c r="I30" s="4">
        <f>IFERROR(AVERAGEIFS(交易明細!$L$2:$L$157,交易明細!$B$2:$B$157,$A30,交易明細!$J$2:$J$157,"&lt;&gt;未平倉"),0)</f>
        <v/>
      </c>
      <c r="J30" s="4">
        <f>SUMIFS(交易明細!$L$2:$L$157,交易明細!$B$2:$B$157,$A30,交易明細!$J$2:$J$157,"&lt;&gt;未平倉")</f>
        <v/>
      </c>
      <c r="K30" s="5">
        <f>IFERROR(AVERAGEIFS(交易明細!$K$2:$K$157,交易明細!$B$2:$B$157,$A30,交易明細!$J$2:$J$157,"&lt;&gt;未平倉"),0)</f>
        <v/>
      </c>
      <c r="L30" s="2">
        <f>COUNTIFS(交易明細!$B$2:$B$157,$A30,交易明細!$J$2:$J$157,"未平倉")</f>
        <v/>
      </c>
    </row>
    <row r="31">
      <c r="A31" s="2" t="inlineStr">
        <is>
          <t>ASTR_USDT_PERP</t>
        </is>
      </c>
      <c r="B31" s="2">
        <f>COUNTIFS(交易明細!$B$2:$B$157,$A31)</f>
        <v/>
      </c>
      <c r="C31" s="2">
        <f>COUNTIFS(交易明細!$B$2:$B$157,$A31,交易明細!$C$2:$C$157,"做多")</f>
        <v/>
      </c>
      <c r="D31" s="2">
        <f>COUNTIFS(交易明細!$B$2:$B$157,$A31,交易明細!$C$2:$C$157,"做空")</f>
        <v/>
      </c>
      <c r="E31" s="2">
        <f>F31+G31+COUNTIFS(交易明細!$B$2:$B$157,$A31,交易明細!$J$2:$J$157,"時間出場")</f>
        <v/>
      </c>
      <c r="F31" s="2">
        <f>COUNTIFS(交易明細!$B$2:$B$157,$A31,交易明細!$J$2:$J$157,"止盈")</f>
        <v/>
      </c>
      <c r="G31" s="2">
        <f>COUNTIFS(交易明細!$B$2:$B$157,$A31,交易明細!$J$2:$J$157,"止損")</f>
        <v/>
      </c>
      <c r="H31" s="4">
        <f>IFERROR(F31/E31,0)</f>
        <v/>
      </c>
      <c r="I31" s="4">
        <f>IFERROR(AVERAGEIFS(交易明細!$L$2:$L$157,交易明細!$B$2:$B$157,$A31,交易明細!$J$2:$J$157,"&lt;&gt;未平倉"),0)</f>
        <v/>
      </c>
      <c r="J31" s="4">
        <f>SUMIFS(交易明細!$L$2:$L$157,交易明細!$B$2:$B$157,$A31,交易明細!$J$2:$J$157,"&lt;&gt;未平倉")</f>
        <v/>
      </c>
      <c r="K31" s="5">
        <f>IFERROR(AVERAGEIFS(交易明細!$K$2:$K$157,交易明細!$B$2:$B$157,$A31,交易明細!$J$2:$J$157,"&lt;&gt;未平倉"),0)</f>
        <v/>
      </c>
      <c r="L31" s="2">
        <f>COUNTIFS(交易明細!$B$2:$B$157,$A31,交易明細!$J$2:$J$157,"未平倉")</f>
        <v/>
      </c>
    </row>
    <row r="32">
      <c r="A32" s="2" t="inlineStr">
        <is>
          <t>IDOL_USDT_PERP</t>
        </is>
      </c>
      <c r="B32" s="2">
        <f>COUNTIFS(交易明細!$B$2:$B$157,$A32)</f>
        <v/>
      </c>
      <c r="C32" s="2">
        <f>COUNTIFS(交易明細!$B$2:$B$157,$A32,交易明細!$C$2:$C$157,"做多")</f>
        <v/>
      </c>
      <c r="D32" s="2">
        <f>COUNTIFS(交易明細!$B$2:$B$157,$A32,交易明細!$C$2:$C$157,"做空")</f>
        <v/>
      </c>
      <c r="E32" s="2">
        <f>F32+G32+COUNTIFS(交易明細!$B$2:$B$157,$A32,交易明細!$J$2:$J$157,"時間出場")</f>
        <v/>
      </c>
      <c r="F32" s="2">
        <f>COUNTIFS(交易明細!$B$2:$B$157,$A32,交易明細!$J$2:$J$157,"止盈")</f>
        <v/>
      </c>
      <c r="G32" s="2">
        <f>COUNTIFS(交易明細!$B$2:$B$157,$A32,交易明細!$J$2:$J$157,"止損")</f>
        <v/>
      </c>
      <c r="H32" s="4">
        <f>IFERROR(F32/E32,0)</f>
        <v/>
      </c>
      <c r="I32" s="4">
        <f>IFERROR(AVERAGEIFS(交易明細!$L$2:$L$157,交易明細!$B$2:$B$157,$A32,交易明細!$J$2:$J$157,"&lt;&gt;未平倉"),0)</f>
        <v/>
      </c>
      <c r="J32" s="4">
        <f>SUMIFS(交易明細!$L$2:$L$157,交易明細!$B$2:$B$157,$A32,交易明細!$J$2:$J$157,"&lt;&gt;未平倉")</f>
        <v/>
      </c>
      <c r="K32" s="5">
        <f>IFERROR(AVERAGEIFS(交易明細!$K$2:$K$157,交易明細!$B$2:$B$157,$A32,交易明細!$J$2:$J$157,"&lt;&gt;未平倉"),0)</f>
        <v/>
      </c>
      <c r="L32" s="2">
        <f>COUNTIFS(交易明細!$B$2:$B$157,$A32,交易明細!$J$2:$J$157,"未平倉")</f>
        <v/>
      </c>
    </row>
    <row r="33">
      <c r="A33" s="2" t="inlineStr">
        <is>
          <t>STRK_USDT_PERP</t>
        </is>
      </c>
      <c r="B33" s="2">
        <f>COUNTIFS(交易明細!$B$2:$B$157,$A33)</f>
        <v/>
      </c>
      <c r="C33" s="2">
        <f>COUNTIFS(交易明細!$B$2:$B$157,$A33,交易明細!$C$2:$C$157,"做多")</f>
        <v/>
      </c>
      <c r="D33" s="2">
        <f>COUNTIFS(交易明細!$B$2:$B$157,$A33,交易明細!$C$2:$C$157,"做空")</f>
        <v/>
      </c>
      <c r="E33" s="2">
        <f>F33+G33+COUNTIFS(交易明細!$B$2:$B$157,$A33,交易明細!$J$2:$J$157,"時間出場")</f>
        <v/>
      </c>
      <c r="F33" s="2">
        <f>COUNTIFS(交易明細!$B$2:$B$157,$A33,交易明細!$J$2:$J$157,"止盈")</f>
        <v/>
      </c>
      <c r="G33" s="2">
        <f>COUNTIFS(交易明細!$B$2:$B$157,$A33,交易明細!$J$2:$J$157,"止損")</f>
        <v/>
      </c>
      <c r="H33" s="4">
        <f>IFERROR(F33/E33,0)</f>
        <v/>
      </c>
      <c r="I33" s="4">
        <f>IFERROR(AVERAGEIFS(交易明細!$L$2:$L$157,交易明細!$B$2:$B$157,$A33,交易明細!$J$2:$J$157,"&lt;&gt;未平倉"),0)</f>
        <v/>
      </c>
      <c r="J33" s="4">
        <f>SUMIFS(交易明細!$L$2:$L$157,交易明細!$B$2:$B$157,$A33,交易明細!$J$2:$J$157,"&lt;&gt;未平倉")</f>
        <v/>
      </c>
      <c r="K33" s="5">
        <f>IFERROR(AVERAGEIFS(交易明細!$K$2:$K$157,交易明細!$B$2:$B$157,$A33,交易明細!$J$2:$J$157,"&lt;&gt;未平倉"),0)</f>
        <v/>
      </c>
      <c r="L33" s="2">
        <f>COUNTIFS(交易明細!$B$2:$B$157,$A33,交易明細!$J$2:$J$157,"未平倉")</f>
        <v/>
      </c>
    </row>
    <row r="34">
      <c r="A34" s="2" t="inlineStr">
        <is>
          <t>ENSO_USDT_PERP</t>
        </is>
      </c>
      <c r="B34" s="2">
        <f>COUNTIFS(交易明細!$B$2:$B$157,$A34)</f>
        <v/>
      </c>
      <c r="C34" s="2">
        <f>COUNTIFS(交易明細!$B$2:$B$157,$A34,交易明細!$C$2:$C$157,"做多")</f>
        <v/>
      </c>
      <c r="D34" s="2">
        <f>COUNTIFS(交易明細!$B$2:$B$157,$A34,交易明細!$C$2:$C$157,"做空")</f>
        <v/>
      </c>
      <c r="E34" s="2">
        <f>F34+G34+COUNTIFS(交易明細!$B$2:$B$157,$A34,交易明細!$J$2:$J$157,"時間出場")</f>
        <v/>
      </c>
      <c r="F34" s="2">
        <f>COUNTIFS(交易明細!$B$2:$B$157,$A34,交易明細!$J$2:$J$157,"止盈")</f>
        <v/>
      </c>
      <c r="G34" s="2">
        <f>COUNTIFS(交易明細!$B$2:$B$157,$A34,交易明細!$J$2:$J$157,"止損")</f>
        <v/>
      </c>
      <c r="H34" s="4">
        <f>IFERROR(F34/E34,0)</f>
        <v/>
      </c>
      <c r="I34" s="4">
        <f>IFERROR(AVERAGEIFS(交易明細!$L$2:$L$157,交易明細!$B$2:$B$157,$A34,交易明細!$J$2:$J$157,"&lt;&gt;未平倉"),0)</f>
        <v/>
      </c>
      <c r="J34" s="4">
        <f>SUMIFS(交易明細!$L$2:$L$157,交易明細!$B$2:$B$157,$A34,交易明細!$J$2:$J$157,"&lt;&gt;未平倉")</f>
        <v/>
      </c>
      <c r="K34" s="5">
        <f>IFERROR(AVERAGEIFS(交易明細!$K$2:$K$157,交易明細!$B$2:$B$157,$A34,交易明細!$J$2:$J$157,"&lt;&gt;未平倉"),0)</f>
        <v/>
      </c>
      <c r="L34" s="2">
        <f>COUNTIFS(交易明細!$B$2:$B$157,$A34,交易明細!$J$2:$J$157,"未平倉")</f>
        <v/>
      </c>
    </row>
    <row r="35">
      <c r="A35" s="2" t="inlineStr">
        <is>
          <t>OFC_USDT_PERP</t>
        </is>
      </c>
      <c r="B35" s="2">
        <f>COUNTIFS(交易明細!$B$2:$B$157,$A35)</f>
        <v/>
      </c>
      <c r="C35" s="2">
        <f>COUNTIFS(交易明細!$B$2:$B$157,$A35,交易明細!$C$2:$C$157,"做多")</f>
        <v/>
      </c>
      <c r="D35" s="2">
        <f>COUNTIFS(交易明細!$B$2:$B$157,$A35,交易明細!$C$2:$C$157,"做空")</f>
        <v/>
      </c>
      <c r="E35" s="2">
        <f>F35+G35+COUNTIFS(交易明細!$B$2:$B$157,$A35,交易明細!$J$2:$J$157,"時間出場")</f>
        <v/>
      </c>
      <c r="F35" s="2">
        <f>COUNTIFS(交易明細!$B$2:$B$157,$A35,交易明細!$J$2:$J$157,"止盈")</f>
        <v/>
      </c>
      <c r="G35" s="2">
        <f>COUNTIFS(交易明細!$B$2:$B$157,$A35,交易明細!$J$2:$J$157,"止損")</f>
        <v/>
      </c>
      <c r="H35" s="4">
        <f>IFERROR(F35/E35,0)</f>
        <v/>
      </c>
      <c r="I35" s="4">
        <f>IFERROR(AVERAGEIFS(交易明細!$L$2:$L$157,交易明細!$B$2:$B$157,$A35,交易明細!$J$2:$J$157,"&lt;&gt;未平倉"),0)</f>
        <v/>
      </c>
      <c r="J35" s="4">
        <f>SUMIFS(交易明細!$L$2:$L$157,交易明細!$B$2:$B$157,$A35,交易明細!$J$2:$J$157,"&lt;&gt;未平倉")</f>
        <v/>
      </c>
      <c r="K35" s="5">
        <f>IFERROR(AVERAGEIFS(交易明細!$K$2:$K$157,交易明細!$B$2:$B$157,$A35,交易明細!$J$2:$J$157,"&lt;&gt;未平倉"),0)</f>
        <v/>
      </c>
      <c r="L35" s="2">
        <f>COUNTIFS(交易明細!$B$2:$B$157,$A35,交易明細!$J$2:$J$157,"未平倉")</f>
        <v/>
      </c>
    </row>
    <row r="36">
      <c r="A36" s="2" t="inlineStr">
        <is>
          <t>SKL_USDT_PERP</t>
        </is>
      </c>
      <c r="B36" s="2">
        <f>COUNTIFS(交易明細!$B$2:$B$157,$A36)</f>
        <v/>
      </c>
      <c r="C36" s="2">
        <f>COUNTIFS(交易明細!$B$2:$B$157,$A36,交易明細!$C$2:$C$157,"做多")</f>
        <v/>
      </c>
      <c r="D36" s="2">
        <f>COUNTIFS(交易明細!$B$2:$B$157,$A36,交易明細!$C$2:$C$157,"做空")</f>
        <v/>
      </c>
      <c r="E36" s="2">
        <f>F36+G36+COUNTIFS(交易明細!$B$2:$B$157,$A36,交易明細!$J$2:$J$157,"時間出場")</f>
        <v/>
      </c>
      <c r="F36" s="2">
        <f>COUNTIFS(交易明細!$B$2:$B$157,$A36,交易明細!$J$2:$J$157,"止盈")</f>
        <v/>
      </c>
      <c r="G36" s="2">
        <f>COUNTIFS(交易明細!$B$2:$B$157,$A36,交易明細!$J$2:$J$157,"止損")</f>
        <v/>
      </c>
      <c r="H36" s="4">
        <f>IFERROR(F36/E36,0)</f>
        <v/>
      </c>
      <c r="I36" s="4">
        <f>IFERROR(AVERAGEIFS(交易明細!$L$2:$L$157,交易明細!$B$2:$B$157,$A36,交易明細!$J$2:$J$157,"&lt;&gt;未平倉"),0)</f>
        <v/>
      </c>
      <c r="J36" s="4">
        <f>SUMIFS(交易明細!$L$2:$L$157,交易明細!$B$2:$B$157,$A36,交易明細!$J$2:$J$157,"&lt;&gt;未平倉")</f>
        <v/>
      </c>
      <c r="K36" s="5">
        <f>IFERROR(AVERAGEIFS(交易明細!$K$2:$K$157,交易明細!$B$2:$B$157,$A36,交易明細!$J$2:$J$157,"&lt;&gt;未平倉"),0)</f>
        <v/>
      </c>
      <c r="L36" s="2">
        <f>COUNTIFS(交易明細!$B$2:$B$157,$A36,交易明細!$J$2:$J$157,"未平倉")</f>
        <v/>
      </c>
    </row>
    <row r="37">
      <c r="A37" s="2" t="inlineStr">
        <is>
          <t>ALCH_USDT_PERP</t>
        </is>
      </c>
      <c r="B37" s="2">
        <f>COUNTIFS(交易明細!$B$2:$B$157,$A37)</f>
        <v/>
      </c>
      <c r="C37" s="2">
        <f>COUNTIFS(交易明細!$B$2:$B$157,$A37,交易明細!$C$2:$C$157,"做多")</f>
        <v/>
      </c>
      <c r="D37" s="2">
        <f>COUNTIFS(交易明細!$B$2:$B$157,$A37,交易明細!$C$2:$C$157,"做空")</f>
        <v/>
      </c>
      <c r="E37" s="2">
        <f>F37+G37+COUNTIFS(交易明細!$B$2:$B$157,$A37,交易明細!$J$2:$J$157,"時間出場")</f>
        <v/>
      </c>
      <c r="F37" s="2">
        <f>COUNTIFS(交易明細!$B$2:$B$157,$A37,交易明細!$J$2:$J$157,"止盈")</f>
        <v/>
      </c>
      <c r="G37" s="2">
        <f>COUNTIFS(交易明細!$B$2:$B$157,$A37,交易明細!$J$2:$J$157,"止損")</f>
        <v/>
      </c>
      <c r="H37" s="4">
        <f>IFERROR(F37/E37,0)</f>
        <v/>
      </c>
      <c r="I37" s="4">
        <f>IFERROR(AVERAGEIFS(交易明細!$L$2:$L$157,交易明細!$B$2:$B$157,$A37,交易明細!$J$2:$J$157,"&lt;&gt;未平倉"),0)</f>
        <v/>
      </c>
      <c r="J37" s="4">
        <f>SUMIFS(交易明細!$L$2:$L$157,交易明細!$B$2:$B$157,$A37,交易明細!$J$2:$J$157,"&lt;&gt;未平倉")</f>
        <v/>
      </c>
      <c r="K37" s="5">
        <f>IFERROR(AVERAGEIFS(交易明細!$K$2:$K$157,交易明細!$B$2:$B$157,$A37,交易明細!$J$2:$J$157,"&lt;&gt;未平倉"),0)</f>
        <v/>
      </c>
      <c r="L37" s="2">
        <f>COUNTIFS(交易明細!$B$2:$B$157,$A37,交易明細!$J$2:$J$157,"未平倉")</f>
        <v/>
      </c>
    </row>
    <row r="38">
      <c r="A38" s="2" t="inlineStr">
        <is>
          <t>FOLKS_USDT_PERP</t>
        </is>
      </c>
      <c r="B38" s="2">
        <f>COUNTIFS(交易明細!$B$2:$B$157,$A38)</f>
        <v/>
      </c>
      <c r="C38" s="2">
        <f>COUNTIFS(交易明細!$B$2:$B$157,$A38,交易明細!$C$2:$C$157,"做多")</f>
        <v/>
      </c>
      <c r="D38" s="2">
        <f>COUNTIFS(交易明細!$B$2:$B$157,$A38,交易明細!$C$2:$C$157,"做空")</f>
        <v/>
      </c>
      <c r="E38" s="2">
        <f>F38+G38+COUNTIFS(交易明細!$B$2:$B$157,$A38,交易明細!$J$2:$J$157,"時間出場")</f>
        <v/>
      </c>
      <c r="F38" s="2">
        <f>COUNTIFS(交易明細!$B$2:$B$157,$A38,交易明細!$J$2:$J$157,"止盈")</f>
        <v/>
      </c>
      <c r="G38" s="2">
        <f>COUNTIFS(交易明細!$B$2:$B$157,$A38,交易明細!$J$2:$J$157,"止損")</f>
        <v/>
      </c>
      <c r="H38" s="4">
        <f>IFERROR(F38/E38,0)</f>
        <v/>
      </c>
      <c r="I38" s="4">
        <f>IFERROR(AVERAGEIFS(交易明細!$L$2:$L$157,交易明細!$B$2:$B$157,$A38,交易明細!$J$2:$J$157,"&lt;&gt;未平倉"),0)</f>
        <v/>
      </c>
      <c r="J38" s="4">
        <f>SUMIFS(交易明細!$L$2:$L$157,交易明細!$B$2:$B$157,$A38,交易明細!$J$2:$J$157,"&lt;&gt;未平倉")</f>
        <v/>
      </c>
      <c r="K38" s="5">
        <f>IFERROR(AVERAGEIFS(交易明細!$K$2:$K$157,交易明細!$B$2:$B$157,$A38,交易明細!$J$2:$J$157,"&lt;&gt;未平倉"),0)</f>
        <v/>
      </c>
      <c r="L38" s="2">
        <f>COUNTIFS(交易明細!$B$2:$B$157,$A38,交易明細!$J$2:$J$157,"未平倉")</f>
        <v/>
      </c>
    </row>
    <row r="39">
      <c r="A39" s="2" t="inlineStr">
        <is>
          <t>DOGS_USDT_PERP</t>
        </is>
      </c>
      <c r="B39" s="2">
        <f>COUNTIFS(交易明細!$B$2:$B$157,$A39)</f>
        <v/>
      </c>
      <c r="C39" s="2">
        <f>COUNTIFS(交易明細!$B$2:$B$157,$A39,交易明細!$C$2:$C$157,"做多")</f>
        <v/>
      </c>
      <c r="D39" s="2">
        <f>COUNTIFS(交易明細!$B$2:$B$157,$A39,交易明細!$C$2:$C$157,"做空")</f>
        <v/>
      </c>
      <c r="E39" s="2">
        <f>F39+G39+COUNTIFS(交易明細!$B$2:$B$157,$A39,交易明細!$J$2:$J$157,"時間出場")</f>
        <v/>
      </c>
      <c r="F39" s="2">
        <f>COUNTIFS(交易明細!$B$2:$B$157,$A39,交易明細!$J$2:$J$157,"止盈")</f>
        <v/>
      </c>
      <c r="G39" s="2">
        <f>COUNTIFS(交易明細!$B$2:$B$157,$A39,交易明細!$J$2:$J$157,"止損")</f>
        <v/>
      </c>
      <c r="H39" s="4">
        <f>IFERROR(F39/E39,0)</f>
        <v/>
      </c>
      <c r="I39" s="4">
        <f>IFERROR(AVERAGEIFS(交易明細!$L$2:$L$157,交易明細!$B$2:$B$157,$A39,交易明細!$J$2:$J$157,"&lt;&gt;未平倉"),0)</f>
        <v/>
      </c>
      <c r="J39" s="4">
        <f>SUMIFS(交易明細!$L$2:$L$157,交易明細!$B$2:$B$157,$A39,交易明細!$J$2:$J$157,"&lt;&gt;未平倉")</f>
        <v/>
      </c>
      <c r="K39" s="5">
        <f>IFERROR(AVERAGEIFS(交易明細!$K$2:$K$157,交易明細!$B$2:$B$157,$A39,交易明細!$J$2:$J$157,"&lt;&gt;未平倉"),0)</f>
        <v/>
      </c>
      <c r="L39" s="2">
        <f>COUNTIFS(交易明細!$B$2:$B$157,$A39,交易明細!$J$2:$J$157,"未平倉")</f>
        <v/>
      </c>
    </row>
    <row r="40">
      <c r="A40" s="2" t="inlineStr">
        <is>
          <t>ACE_USDT_PERP</t>
        </is>
      </c>
      <c r="B40" s="2">
        <f>COUNTIFS(交易明細!$B$2:$B$157,$A40)</f>
        <v/>
      </c>
      <c r="C40" s="2">
        <f>COUNTIFS(交易明細!$B$2:$B$157,$A40,交易明細!$C$2:$C$157,"做多")</f>
        <v/>
      </c>
      <c r="D40" s="2">
        <f>COUNTIFS(交易明細!$B$2:$B$157,$A40,交易明細!$C$2:$C$157,"做空")</f>
        <v/>
      </c>
      <c r="E40" s="2">
        <f>F40+G40+COUNTIFS(交易明細!$B$2:$B$157,$A40,交易明細!$J$2:$J$157,"時間出場")</f>
        <v/>
      </c>
      <c r="F40" s="2">
        <f>COUNTIFS(交易明細!$B$2:$B$157,$A40,交易明細!$J$2:$J$157,"止盈")</f>
        <v/>
      </c>
      <c r="G40" s="2">
        <f>COUNTIFS(交易明細!$B$2:$B$157,$A40,交易明細!$J$2:$J$157,"止損")</f>
        <v/>
      </c>
      <c r="H40" s="4">
        <f>IFERROR(F40/E40,0)</f>
        <v/>
      </c>
      <c r="I40" s="4">
        <f>IFERROR(AVERAGEIFS(交易明細!$L$2:$L$157,交易明細!$B$2:$B$157,$A40,交易明細!$J$2:$J$157,"&lt;&gt;未平倉"),0)</f>
        <v/>
      </c>
      <c r="J40" s="4">
        <f>SUMIFS(交易明細!$L$2:$L$157,交易明細!$B$2:$B$157,$A40,交易明細!$J$2:$J$157,"&lt;&gt;未平倉")</f>
        <v/>
      </c>
      <c r="K40" s="5">
        <f>IFERROR(AVERAGEIFS(交易明細!$K$2:$K$157,交易明細!$B$2:$B$157,$A40,交易明細!$J$2:$J$157,"&lt;&gt;未平倉"),0)</f>
        <v/>
      </c>
      <c r="L40" s="2">
        <f>COUNTIFS(交易明細!$B$2:$B$157,$A40,交易明細!$J$2:$J$157,"未平倉")</f>
        <v/>
      </c>
    </row>
    <row r="41">
      <c r="A41" s="2" t="inlineStr">
        <is>
          <t>LA_USDT_PERP</t>
        </is>
      </c>
      <c r="B41" s="2">
        <f>COUNTIFS(交易明細!$B$2:$B$157,$A41)</f>
        <v/>
      </c>
      <c r="C41" s="2">
        <f>COUNTIFS(交易明細!$B$2:$B$157,$A41,交易明細!$C$2:$C$157,"做多")</f>
        <v/>
      </c>
      <c r="D41" s="2">
        <f>COUNTIFS(交易明細!$B$2:$B$157,$A41,交易明細!$C$2:$C$157,"做空")</f>
        <v/>
      </c>
      <c r="E41" s="2">
        <f>F41+G41+COUNTIFS(交易明細!$B$2:$B$157,$A41,交易明細!$J$2:$J$157,"時間出場")</f>
        <v/>
      </c>
      <c r="F41" s="2">
        <f>COUNTIFS(交易明細!$B$2:$B$157,$A41,交易明細!$J$2:$J$157,"止盈")</f>
        <v/>
      </c>
      <c r="G41" s="2">
        <f>COUNTIFS(交易明細!$B$2:$B$157,$A41,交易明細!$J$2:$J$157,"止損")</f>
        <v/>
      </c>
      <c r="H41" s="4">
        <f>IFERROR(F41/E41,0)</f>
        <v/>
      </c>
      <c r="I41" s="4">
        <f>IFERROR(AVERAGEIFS(交易明細!$L$2:$L$157,交易明細!$B$2:$B$157,$A41,交易明細!$J$2:$J$157,"&lt;&gt;未平倉"),0)</f>
        <v/>
      </c>
      <c r="J41" s="4">
        <f>SUMIFS(交易明細!$L$2:$L$157,交易明細!$B$2:$B$157,$A41,交易明細!$J$2:$J$157,"&lt;&gt;未平倉")</f>
        <v/>
      </c>
      <c r="K41" s="5">
        <f>IFERROR(AVERAGEIFS(交易明細!$K$2:$K$157,交易明細!$B$2:$B$157,$A41,交易明細!$J$2:$J$157,"&lt;&gt;未平倉"),0)</f>
        <v/>
      </c>
      <c r="L41" s="2">
        <f>COUNTIFS(交易明細!$B$2:$B$157,$A41,交易明細!$J$2:$J$157,"未平倉")</f>
        <v/>
      </c>
    </row>
    <row r="42">
      <c r="A42" s="2" t="inlineStr">
        <is>
          <t>CLO_USDT_PERP</t>
        </is>
      </c>
      <c r="B42" s="2">
        <f>COUNTIFS(交易明細!$B$2:$B$157,$A42)</f>
        <v/>
      </c>
      <c r="C42" s="2">
        <f>COUNTIFS(交易明細!$B$2:$B$157,$A42,交易明細!$C$2:$C$157,"做多")</f>
        <v/>
      </c>
      <c r="D42" s="2">
        <f>COUNTIFS(交易明細!$B$2:$B$157,$A42,交易明細!$C$2:$C$157,"做空")</f>
        <v/>
      </c>
      <c r="E42" s="2">
        <f>F42+G42+COUNTIFS(交易明細!$B$2:$B$157,$A42,交易明細!$J$2:$J$157,"時間出場")</f>
        <v/>
      </c>
      <c r="F42" s="2">
        <f>COUNTIFS(交易明細!$B$2:$B$157,$A42,交易明細!$J$2:$J$157,"止盈")</f>
        <v/>
      </c>
      <c r="G42" s="2">
        <f>COUNTIFS(交易明細!$B$2:$B$157,$A42,交易明細!$J$2:$J$157,"止損")</f>
        <v/>
      </c>
      <c r="H42" s="4">
        <f>IFERROR(F42/E42,0)</f>
        <v/>
      </c>
      <c r="I42" s="4">
        <f>IFERROR(AVERAGEIFS(交易明細!$L$2:$L$157,交易明細!$B$2:$B$157,$A42,交易明細!$J$2:$J$157,"&lt;&gt;未平倉"),0)</f>
        <v/>
      </c>
      <c r="J42" s="4">
        <f>SUMIFS(交易明細!$L$2:$L$157,交易明細!$B$2:$B$157,$A42,交易明細!$J$2:$J$157,"&lt;&gt;未平倉")</f>
        <v/>
      </c>
      <c r="K42" s="5">
        <f>IFERROR(AVERAGEIFS(交易明細!$K$2:$K$157,交易明細!$B$2:$B$157,$A42,交易明細!$J$2:$J$157,"&lt;&gt;未平倉"),0)</f>
        <v/>
      </c>
      <c r="L42" s="2">
        <f>COUNTIFS(交易明細!$B$2:$B$157,$A42,交易明細!$J$2:$J$157,"未平倉")</f>
        <v/>
      </c>
    </row>
    <row r="43">
      <c r="A43" s="2" t="inlineStr">
        <is>
          <t>CHIP_USDT_PERP</t>
        </is>
      </c>
      <c r="B43" s="2">
        <f>COUNTIFS(交易明細!$B$2:$B$157,$A43)</f>
        <v/>
      </c>
      <c r="C43" s="2">
        <f>COUNTIFS(交易明細!$B$2:$B$157,$A43,交易明細!$C$2:$C$157,"做多")</f>
        <v/>
      </c>
      <c r="D43" s="2">
        <f>COUNTIFS(交易明細!$B$2:$B$157,$A43,交易明細!$C$2:$C$157,"做空")</f>
        <v/>
      </c>
      <c r="E43" s="2">
        <f>F43+G43+COUNTIFS(交易明細!$B$2:$B$157,$A43,交易明細!$J$2:$J$157,"時間出場")</f>
        <v/>
      </c>
      <c r="F43" s="2">
        <f>COUNTIFS(交易明細!$B$2:$B$157,$A43,交易明細!$J$2:$J$157,"止盈")</f>
        <v/>
      </c>
      <c r="G43" s="2">
        <f>COUNTIFS(交易明細!$B$2:$B$157,$A43,交易明細!$J$2:$J$157,"止損")</f>
        <v/>
      </c>
      <c r="H43" s="4">
        <f>IFERROR(F43/E43,0)</f>
        <v/>
      </c>
      <c r="I43" s="4">
        <f>IFERROR(AVERAGEIFS(交易明細!$L$2:$L$157,交易明細!$B$2:$B$157,$A43,交易明細!$J$2:$J$157,"&lt;&gt;未平倉"),0)</f>
        <v/>
      </c>
      <c r="J43" s="4">
        <f>SUMIFS(交易明細!$L$2:$L$157,交易明細!$B$2:$B$157,$A43,交易明細!$J$2:$J$157,"&lt;&gt;未平倉")</f>
        <v/>
      </c>
      <c r="K43" s="5">
        <f>IFERROR(AVERAGEIFS(交易明細!$K$2:$K$157,交易明細!$B$2:$B$157,$A43,交易明細!$J$2:$J$157,"&lt;&gt;未平倉"),0)</f>
        <v/>
      </c>
      <c r="L43" s="2">
        <f>COUNTIFS(交易明細!$B$2:$B$157,$A43,交易明細!$J$2:$J$157,"未平倉")</f>
        <v/>
      </c>
    </row>
    <row r="44">
      <c r="A44" s="2" t="inlineStr">
        <is>
          <t>PORTAL_USDT_PERP</t>
        </is>
      </c>
      <c r="B44" s="2">
        <f>COUNTIFS(交易明細!$B$2:$B$157,$A44)</f>
        <v/>
      </c>
      <c r="C44" s="2">
        <f>COUNTIFS(交易明細!$B$2:$B$157,$A44,交易明細!$C$2:$C$157,"做多")</f>
        <v/>
      </c>
      <c r="D44" s="2">
        <f>COUNTIFS(交易明細!$B$2:$B$157,$A44,交易明細!$C$2:$C$157,"做空")</f>
        <v/>
      </c>
      <c r="E44" s="2">
        <f>F44+G44+COUNTIFS(交易明細!$B$2:$B$157,$A44,交易明細!$J$2:$J$157,"時間出場")</f>
        <v/>
      </c>
      <c r="F44" s="2">
        <f>COUNTIFS(交易明細!$B$2:$B$157,$A44,交易明細!$J$2:$J$157,"止盈")</f>
        <v/>
      </c>
      <c r="G44" s="2">
        <f>COUNTIFS(交易明細!$B$2:$B$157,$A44,交易明細!$J$2:$J$157,"止損")</f>
        <v/>
      </c>
      <c r="H44" s="4">
        <f>IFERROR(F44/E44,0)</f>
        <v/>
      </c>
      <c r="I44" s="4">
        <f>IFERROR(AVERAGEIFS(交易明細!$L$2:$L$157,交易明細!$B$2:$B$157,$A44,交易明細!$J$2:$J$157,"&lt;&gt;未平倉"),0)</f>
        <v/>
      </c>
      <c r="J44" s="4">
        <f>SUMIFS(交易明細!$L$2:$L$157,交易明細!$B$2:$B$157,$A44,交易明細!$J$2:$J$157,"&lt;&gt;未平倉")</f>
        <v/>
      </c>
      <c r="K44" s="5">
        <f>IFERROR(AVERAGEIFS(交易明細!$K$2:$K$157,交易明細!$B$2:$B$157,$A44,交易明細!$J$2:$J$157,"&lt;&gt;未平倉"),0)</f>
        <v/>
      </c>
      <c r="L44" s="2">
        <f>COUNTIFS(交易明細!$B$2:$B$157,$A44,交易明細!$J$2:$J$157,"未平倉")</f>
        <v/>
      </c>
    </row>
    <row r="45">
      <c r="A45" s="2" t="inlineStr">
        <is>
          <t>CATI_USDT_PERP</t>
        </is>
      </c>
      <c r="B45" s="2">
        <f>COUNTIFS(交易明細!$B$2:$B$157,$A45)</f>
        <v/>
      </c>
      <c r="C45" s="2">
        <f>COUNTIFS(交易明細!$B$2:$B$157,$A45,交易明細!$C$2:$C$157,"做多")</f>
        <v/>
      </c>
      <c r="D45" s="2">
        <f>COUNTIFS(交易明細!$B$2:$B$157,$A45,交易明細!$C$2:$C$157,"做空")</f>
        <v/>
      </c>
      <c r="E45" s="2">
        <f>F45+G45+COUNTIFS(交易明細!$B$2:$B$157,$A45,交易明細!$J$2:$J$157,"時間出場")</f>
        <v/>
      </c>
      <c r="F45" s="2">
        <f>COUNTIFS(交易明細!$B$2:$B$157,$A45,交易明細!$J$2:$J$157,"止盈")</f>
        <v/>
      </c>
      <c r="G45" s="2">
        <f>COUNTIFS(交易明細!$B$2:$B$157,$A45,交易明細!$J$2:$J$157,"止損")</f>
        <v/>
      </c>
      <c r="H45" s="4">
        <f>IFERROR(F45/E45,0)</f>
        <v/>
      </c>
      <c r="I45" s="4">
        <f>IFERROR(AVERAGEIFS(交易明細!$L$2:$L$157,交易明細!$B$2:$B$157,$A45,交易明細!$J$2:$J$157,"&lt;&gt;未平倉"),0)</f>
        <v/>
      </c>
      <c r="J45" s="4">
        <f>SUMIFS(交易明細!$L$2:$L$157,交易明細!$B$2:$B$157,$A45,交易明細!$J$2:$J$157,"&lt;&gt;未平倉")</f>
        <v/>
      </c>
      <c r="K45" s="5">
        <f>IFERROR(AVERAGEIFS(交易明細!$K$2:$K$157,交易明細!$B$2:$B$157,$A45,交易明細!$J$2:$J$157,"&lt;&gt;未平倉"),0)</f>
        <v/>
      </c>
      <c r="L45" s="2">
        <f>COUNTIFS(交易明細!$B$2:$B$157,$A45,交易明細!$J$2:$J$157,"未平倉")</f>
        <v/>
      </c>
    </row>
    <row r="46">
      <c r="A46" s="2" t="inlineStr">
        <is>
          <t>ELSA_USDT_PERP</t>
        </is>
      </c>
      <c r="B46" s="2">
        <f>COUNTIFS(交易明細!$B$2:$B$157,$A46)</f>
        <v/>
      </c>
      <c r="C46" s="2">
        <f>COUNTIFS(交易明細!$B$2:$B$157,$A46,交易明細!$C$2:$C$157,"做多")</f>
        <v/>
      </c>
      <c r="D46" s="2">
        <f>COUNTIFS(交易明細!$B$2:$B$157,$A46,交易明細!$C$2:$C$157,"做空")</f>
        <v/>
      </c>
      <c r="E46" s="2">
        <f>F46+G46+COUNTIFS(交易明細!$B$2:$B$157,$A46,交易明細!$J$2:$J$157,"時間出場")</f>
        <v/>
      </c>
      <c r="F46" s="2">
        <f>COUNTIFS(交易明細!$B$2:$B$157,$A46,交易明細!$J$2:$J$157,"止盈")</f>
        <v/>
      </c>
      <c r="G46" s="2">
        <f>COUNTIFS(交易明細!$B$2:$B$157,$A46,交易明細!$J$2:$J$157,"止損")</f>
        <v/>
      </c>
      <c r="H46" s="4">
        <f>IFERROR(F46/E46,0)</f>
        <v/>
      </c>
      <c r="I46" s="4">
        <f>IFERROR(AVERAGEIFS(交易明細!$L$2:$L$157,交易明細!$B$2:$B$157,$A46,交易明細!$J$2:$J$157,"&lt;&gt;未平倉"),0)</f>
        <v/>
      </c>
      <c r="J46" s="4">
        <f>SUMIFS(交易明細!$L$2:$L$157,交易明細!$B$2:$B$157,$A46,交易明細!$J$2:$J$157,"&lt;&gt;未平倉")</f>
        <v/>
      </c>
      <c r="K46" s="5">
        <f>IFERROR(AVERAGEIFS(交易明細!$K$2:$K$157,交易明細!$B$2:$B$157,$A46,交易明細!$J$2:$J$157,"&lt;&gt;未平倉"),0)</f>
        <v/>
      </c>
      <c r="L46" s="2">
        <f>COUNTIFS(交易明細!$B$2:$B$157,$A46,交易明細!$J$2:$J$157,"未平倉")</f>
        <v/>
      </c>
    </row>
    <row r="47">
      <c r="A47" s="2" t="inlineStr">
        <is>
          <t>TRADOOR_USDT_PERP</t>
        </is>
      </c>
      <c r="B47" s="2">
        <f>COUNTIFS(交易明細!$B$2:$B$157,$A47)</f>
        <v/>
      </c>
      <c r="C47" s="2">
        <f>COUNTIFS(交易明細!$B$2:$B$157,$A47,交易明細!$C$2:$C$157,"做多")</f>
        <v/>
      </c>
      <c r="D47" s="2">
        <f>COUNTIFS(交易明細!$B$2:$B$157,$A47,交易明細!$C$2:$C$157,"做空")</f>
        <v/>
      </c>
      <c r="E47" s="2">
        <f>F47+G47+COUNTIFS(交易明細!$B$2:$B$157,$A47,交易明細!$J$2:$J$157,"時間出場")</f>
        <v/>
      </c>
      <c r="F47" s="2">
        <f>COUNTIFS(交易明細!$B$2:$B$157,$A47,交易明細!$J$2:$J$157,"止盈")</f>
        <v/>
      </c>
      <c r="G47" s="2">
        <f>COUNTIFS(交易明細!$B$2:$B$157,$A47,交易明細!$J$2:$J$157,"止損")</f>
        <v/>
      </c>
      <c r="H47" s="4">
        <f>IFERROR(F47/E47,0)</f>
        <v/>
      </c>
      <c r="I47" s="4">
        <f>IFERROR(AVERAGEIFS(交易明細!$L$2:$L$157,交易明細!$B$2:$B$157,$A47,交易明細!$J$2:$J$157,"&lt;&gt;未平倉"),0)</f>
        <v/>
      </c>
      <c r="J47" s="4">
        <f>SUMIFS(交易明細!$L$2:$L$157,交易明細!$B$2:$B$157,$A47,交易明細!$J$2:$J$157,"&lt;&gt;未平倉")</f>
        <v/>
      </c>
      <c r="K47" s="5">
        <f>IFERROR(AVERAGEIFS(交易明細!$K$2:$K$157,交易明細!$B$2:$B$157,$A47,交易明細!$J$2:$J$157,"&lt;&gt;未平倉"),0)</f>
        <v/>
      </c>
      <c r="L47" s="2">
        <f>COUNTIFS(交易明細!$B$2:$B$157,$A47,交易明細!$J$2:$J$157,"未平倉")</f>
        <v/>
      </c>
    </row>
    <row r="48">
      <c r="A48" s="2" t="inlineStr">
        <is>
          <t>COLLECT_USDT_PERP</t>
        </is>
      </c>
      <c r="B48" s="2">
        <f>COUNTIFS(交易明細!$B$2:$B$157,$A48)</f>
        <v/>
      </c>
      <c r="C48" s="2">
        <f>COUNTIFS(交易明細!$B$2:$B$157,$A48,交易明細!$C$2:$C$157,"做多")</f>
        <v/>
      </c>
      <c r="D48" s="2">
        <f>COUNTIFS(交易明細!$B$2:$B$157,$A48,交易明細!$C$2:$C$157,"做空")</f>
        <v/>
      </c>
      <c r="E48" s="2">
        <f>F48+G48+COUNTIFS(交易明細!$B$2:$B$157,$A48,交易明細!$J$2:$J$157,"時間出場")</f>
        <v/>
      </c>
      <c r="F48" s="2">
        <f>COUNTIFS(交易明細!$B$2:$B$157,$A48,交易明細!$J$2:$J$157,"止盈")</f>
        <v/>
      </c>
      <c r="G48" s="2">
        <f>COUNTIFS(交易明細!$B$2:$B$157,$A48,交易明細!$J$2:$J$157,"止損")</f>
        <v/>
      </c>
      <c r="H48" s="4">
        <f>IFERROR(F48/E48,0)</f>
        <v/>
      </c>
      <c r="I48" s="4">
        <f>IFERROR(AVERAGEIFS(交易明細!$L$2:$L$157,交易明細!$B$2:$B$157,$A48,交易明細!$J$2:$J$157,"&lt;&gt;未平倉"),0)</f>
        <v/>
      </c>
      <c r="J48" s="4">
        <f>SUMIFS(交易明細!$L$2:$L$157,交易明細!$B$2:$B$157,$A48,交易明細!$J$2:$J$157,"&lt;&gt;未平倉")</f>
        <v/>
      </c>
      <c r="K48" s="5">
        <f>IFERROR(AVERAGEIFS(交易明細!$K$2:$K$157,交易明細!$B$2:$B$157,$A48,交易明細!$J$2:$J$157,"&lt;&gt;未平倉"),0)</f>
        <v/>
      </c>
      <c r="L48" s="2">
        <f>COUNTIFS(交易明細!$B$2:$B$157,$A48,交易明細!$J$2:$J$157,"未平倉")</f>
        <v/>
      </c>
    </row>
    <row r="49">
      <c r="A49" s="2" t="inlineStr">
        <is>
          <t>SOLV_USDT_PERP</t>
        </is>
      </c>
      <c r="B49" s="2">
        <f>COUNTIFS(交易明細!$B$2:$B$157,$A49)</f>
        <v/>
      </c>
      <c r="C49" s="2">
        <f>COUNTIFS(交易明細!$B$2:$B$157,$A49,交易明細!$C$2:$C$157,"做多")</f>
        <v/>
      </c>
      <c r="D49" s="2">
        <f>COUNTIFS(交易明細!$B$2:$B$157,$A49,交易明細!$C$2:$C$157,"做空")</f>
        <v/>
      </c>
      <c r="E49" s="2">
        <f>F49+G49+COUNTIFS(交易明細!$B$2:$B$157,$A49,交易明細!$J$2:$J$157,"時間出場")</f>
        <v/>
      </c>
      <c r="F49" s="2">
        <f>COUNTIFS(交易明細!$B$2:$B$157,$A49,交易明細!$J$2:$J$157,"止盈")</f>
        <v/>
      </c>
      <c r="G49" s="2">
        <f>COUNTIFS(交易明細!$B$2:$B$157,$A49,交易明細!$J$2:$J$157,"止損")</f>
        <v/>
      </c>
      <c r="H49" s="4">
        <f>IFERROR(F49/E49,0)</f>
        <v/>
      </c>
      <c r="I49" s="4">
        <f>IFERROR(AVERAGEIFS(交易明細!$L$2:$L$157,交易明細!$B$2:$B$157,$A49,交易明細!$J$2:$J$157,"&lt;&gt;未平倉"),0)</f>
        <v/>
      </c>
      <c r="J49" s="4">
        <f>SUMIFS(交易明細!$L$2:$L$157,交易明細!$B$2:$B$157,$A49,交易明細!$J$2:$J$157,"&lt;&gt;未平倉")</f>
        <v/>
      </c>
      <c r="K49" s="5">
        <f>IFERROR(AVERAGEIFS(交易明細!$K$2:$K$157,交易明細!$B$2:$B$157,$A49,交易明細!$J$2:$J$157,"&lt;&gt;未平倉"),0)</f>
        <v/>
      </c>
      <c r="L49" s="2">
        <f>COUNTIFS(交易明細!$B$2:$B$157,$A49,交易明細!$J$2:$J$157,"未平倉")</f>
        <v/>
      </c>
    </row>
    <row r="50">
      <c r="A50" s="2" t="inlineStr">
        <is>
          <t>COTI_USDT_PERP</t>
        </is>
      </c>
      <c r="B50" s="2">
        <f>COUNTIFS(交易明細!$B$2:$B$157,$A50)</f>
        <v/>
      </c>
      <c r="C50" s="2">
        <f>COUNTIFS(交易明細!$B$2:$B$157,$A50,交易明細!$C$2:$C$157,"做多")</f>
        <v/>
      </c>
      <c r="D50" s="2">
        <f>COUNTIFS(交易明細!$B$2:$B$157,$A50,交易明細!$C$2:$C$157,"做空")</f>
        <v/>
      </c>
      <c r="E50" s="2">
        <f>F50+G50+COUNTIFS(交易明細!$B$2:$B$157,$A50,交易明細!$J$2:$J$157,"時間出場")</f>
        <v/>
      </c>
      <c r="F50" s="2">
        <f>COUNTIFS(交易明細!$B$2:$B$157,$A50,交易明細!$J$2:$J$157,"止盈")</f>
        <v/>
      </c>
      <c r="G50" s="2">
        <f>COUNTIFS(交易明細!$B$2:$B$157,$A50,交易明細!$J$2:$J$157,"止損")</f>
        <v/>
      </c>
      <c r="H50" s="4">
        <f>IFERROR(F50/E50,0)</f>
        <v/>
      </c>
      <c r="I50" s="4">
        <f>IFERROR(AVERAGEIFS(交易明細!$L$2:$L$157,交易明細!$B$2:$B$157,$A50,交易明細!$J$2:$J$157,"&lt;&gt;未平倉"),0)</f>
        <v/>
      </c>
      <c r="J50" s="4">
        <f>SUMIFS(交易明細!$L$2:$L$157,交易明細!$B$2:$B$157,$A50,交易明細!$J$2:$J$157,"&lt;&gt;未平倉")</f>
        <v/>
      </c>
      <c r="K50" s="5">
        <f>IFERROR(AVERAGEIFS(交易明細!$K$2:$K$157,交易明細!$B$2:$B$157,$A50,交易明細!$J$2:$J$157,"&lt;&gt;未平倉"),0)</f>
        <v/>
      </c>
      <c r="L50" s="2">
        <f>COUNTIFS(交易明細!$B$2:$B$157,$A50,交易明細!$J$2:$J$157,"未平倉")</f>
        <v/>
      </c>
    </row>
    <row r="51">
      <c r="A51" s="2" t="inlineStr">
        <is>
          <t>LAYER_USDT_PERP</t>
        </is>
      </c>
      <c r="B51" s="2">
        <f>COUNTIFS(交易明細!$B$2:$B$157,$A51)</f>
        <v/>
      </c>
      <c r="C51" s="2">
        <f>COUNTIFS(交易明細!$B$2:$B$157,$A51,交易明細!$C$2:$C$157,"做多")</f>
        <v/>
      </c>
      <c r="D51" s="2">
        <f>COUNTIFS(交易明細!$B$2:$B$157,$A51,交易明細!$C$2:$C$157,"做空")</f>
        <v/>
      </c>
      <c r="E51" s="2">
        <f>F51+G51+COUNTIFS(交易明細!$B$2:$B$157,$A51,交易明細!$J$2:$J$157,"時間出場")</f>
        <v/>
      </c>
      <c r="F51" s="2">
        <f>COUNTIFS(交易明細!$B$2:$B$157,$A51,交易明細!$J$2:$J$157,"止盈")</f>
        <v/>
      </c>
      <c r="G51" s="2">
        <f>COUNTIFS(交易明細!$B$2:$B$157,$A51,交易明細!$J$2:$J$157,"止損")</f>
        <v/>
      </c>
      <c r="H51" s="4">
        <f>IFERROR(F51/E51,0)</f>
        <v/>
      </c>
      <c r="I51" s="4">
        <f>IFERROR(AVERAGEIFS(交易明細!$L$2:$L$157,交易明細!$B$2:$B$157,$A51,交易明細!$J$2:$J$157,"&lt;&gt;未平倉"),0)</f>
        <v/>
      </c>
      <c r="J51" s="4">
        <f>SUMIFS(交易明細!$L$2:$L$157,交易明細!$B$2:$B$157,$A51,交易明細!$J$2:$J$157,"&lt;&gt;未平倉")</f>
        <v/>
      </c>
      <c r="K51" s="5">
        <f>IFERROR(AVERAGEIFS(交易明細!$K$2:$K$157,交易明細!$B$2:$B$157,$A51,交易明細!$J$2:$J$157,"&lt;&gt;未平倉"),0)</f>
        <v/>
      </c>
      <c r="L51" s="2">
        <f>COUNTIFS(交易明細!$B$2:$B$157,$A51,交易明細!$J$2:$J$157,"未平倉")</f>
        <v/>
      </c>
    </row>
    <row r="52">
      <c r="A52" s="2" t="inlineStr">
        <is>
          <t>ORCA_USDT_PERP</t>
        </is>
      </c>
      <c r="B52" s="2">
        <f>COUNTIFS(交易明細!$B$2:$B$157,$A52)</f>
        <v/>
      </c>
      <c r="C52" s="2">
        <f>COUNTIFS(交易明細!$B$2:$B$157,$A52,交易明細!$C$2:$C$157,"做多")</f>
        <v/>
      </c>
      <c r="D52" s="2">
        <f>COUNTIFS(交易明細!$B$2:$B$157,$A52,交易明細!$C$2:$C$157,"做空")</f>
        <v/>
      </c>
      <c r="E52" s="2">
        <f>F52+G52+COUNTIFS(交易明細!$B$2:$B$157,$A52,交易明細!$J$2:$J$157,"時間出場")</f>
        <v/>
      </c>
      <c r="F52" s="2">
        <f>COUNTIFS(交易明細!$B$2:$B$157,$A52,交易明細!$J$2:$J$157,"止盈")</f>
        <v/>
      </c>
      <c r="G52" s="2">
        <f>COUNTIFS(交易明細!$B$2:$B$157,$A52,交易明細!$J$2:$J$157,"止損")</f>
        <v/>
      </c>
      <c r="H52" s="4">
        <f>IFERROR(F52/E52,0)</f>
        <v/>
      </c>
      <c r="I52" s="4">
        <f>IFERROR(AVERAGEIFS(交易明細!$L$2:$L$157,交易明細!$B$2:$B$157,$A52,交易明細!$J$2:$J$157,"&lt;&gt;未平倉"),0)</f>
        <v/>
      </c>
      <c r="J52" s="4">
        <f>SUMIFS(交易明細!$L$2:$L$157,交易明細!$B$2:$B$157,$A52,交易明細!$J$2:$J$157,"&lt;&gt;未平倉")</f>
        <v/>
      </c>
      <c r="K52" s="5">
        <f>IFERROR(AVERAGEIFS(交易明細!$K$2:$K$157,交易明細!$B$2:$B$157,$A52,交易明細!$J$2:$J$157,"&lt;&gt;未平倉"),0)</f>
        <v/>
      </c>
      <c r="L52" s="2">
        <f>COUNTIFS(交易明細!$B$2:$B$157,$A52,交易明細!$J$2:$J$157,"未平倉")</f>
        <v/>
      </c>
    </row>
    <row r="53">
      <c r="A53" s="2" t="inlineStr">
        <is>
          <t>CFG_USDT_PERP</t>
        </is>
      </c>
      <c r="B53" s="2">
        <f>COUNTIFS(交易明細!$B$2:$B$157,$A53)</f>
        <v/>
      </c>
      <c r="C53" s="2">
        <f>COUNTIFS(交易明細!$B$2:$B$157,$A53,交易明細!$C$2:$C$157,"做多")</f>
        <v/>
      </c>
      <c r="D53" s="2">
        <f>COUNTIFS(交易明細!$B$2:$B$157,$A53,交易明細!$C$2:$C$157,"做空")</f>
        <v/>
      </c>
      <c r="E53" s="2">
        <f>F53+G53+COUNTIFS(交易明細!$B$2:$B$157,$A53,交易明細!$J$2:$J$157,"時間出場")</f>
        <v/>
      </c>
      <c r="F53" s="2">
        <f>COUNTIFS(交易明細!$B$2:$B$157,$A53,交易明細!$J$2:$J$157,"止盈")</f>
        <v/>
      </c>
      <c r="G53" s="2">
        <f>COUNTIFS(交易明細!$B$2:$B$157,$A53,交易明細!$J$2:$J$157,"止損")</f>
        <v/>
      </c>
      <c r="H53" s="4">
        <f>IFERROR(F53/E53,0)</f>
        <v/>
      </c>
      <c r="I53" s="4">
        <f>IFERROR(AVERAGEIFS(交易明細!$L$2:$L$157,交易明細!$B$2:$B$157,$A53,交易明細!$J$2:$J$157,"&lt;&gt;未平倉"),0)</f>
        <v/>
      </c>
      <c r="J53" s="4">
        <f>SUMIFS(交易明細!$L$2:$L$157,交易明細!$B$2:$B$157,$A53,交易明細!$J$2:$J$157,"&lt;&gt;未平倉")</f>
        <v/>
      </c>
      <c r="K53" s="5">
        <f>IFERROR(AVERAGEIFS(交易明細!$K$2:$K$157,交易明細!$B$2:$B$157,$A53,交易明細!$J$2:$J$157,"&lt;&gt;未平倉"),0)</f>
        <v/>
      </c>
      <c r="L53" s="2">
        <f>COUNTIFS(交易明細!$B$2:$B$157,$A53,交易明細!$J$2:$J$157,"未平倉")</f>
        <v/>
      </c>
    </row>
    <row r="54">
      <c r="A54" s="2" t="inlineStr">
        <is>
          <t>IOST_USDT_PERP</t>
        </is>
      </c>
      <c r="B54" s="2">
        <f>COUNTIFS(交易明細!$B$2:$B$157,$A54)</f>
        <v/>
      </c>
      <c r="C54" s="2">
        <f>COUNTIFS(交易明細!$B$2:$B$157,$A54,交易明細!$C$2:$C$157,"做多")</f>
        <v/>
      </c>
      <c r="D54" s="2">
        <f>COUNTIFS(交易明細!$B$2:$B$157,$A54,交易明細!$C$2:$C$157,"做空")</f>
        <v/>
      </c>
      <c r="E54" s="2">
        <f>F54+G54+COUNTIFS(交易明細!$B$2:$B$157,$A54,交易明細!$J$2:$J$157,"時間出場")</f>
        <v/>
      </c>
      <c r="F54" s="2">
        <f>COUNTIFS(交易明細!$B$2:$B$157,$A54,交易明細!$J$2:$J$157,"止盈")</f>
        <v/>
      </c>
      <c r="G54" s="2">
        <f>COUNTIFS(交易明細!$B$2:$B$157,$A54,交易明細!$J$2:$J$157,"止損")</f>
        <v/>
      </c>
      <c r="H54" s="4">
        <f>IFERROR(F54/E54,0)</f>
        <v/>
      </c>
      <c r="I54" s="4">
        <f>IFERROR(AVERAGEIFS(交易明細!$L$2:$L$157,交易明細!$B$2:$B$157,$A54,交易明細!$J$2:$J$157,"&lt;&gt;未平倉"),0)</f>
        <v/>
      </c>
      <c r="J54" s="4">
        <f>SUMIFS(交易明細!$L$2:$L$157,交易明細!$B$2:$B$157,$A54,交易明細!$J$2:$J$157,"&lt;&gt;未平倉")</f>
        <v/>
      </c>
      <c r="K54" s="5">
        <f>IFERROR(AVERAGEIFS(交易明細!$K$2:$K$157,交易明細!$B$2:$B$157,$A54,交易明細!$J$2:$J$157,"&lt;&gt;未平倉"),0)</f>
        <v/>
      </c>
      <c r="L54" s="2">
        <f>COUNTIFS(交易明細!$B$2:$B$157,$A54,交易明細!$J$2:$J$157,"未平倉")</f>
        <v/>
      </c>
    </row>
    <row r="55">
      <c r="A55" s="2" t="inlineStr">
        <is>
          <t>PIEVERSE_USDT_PERP</t>
        </is>
      </c>
      <c r="B55" s="2">
        <f>COUNTIFS(交易明細!$B$2:$B$157,$A55)</f>
        <v/>
      </c>
      <c r="C55" s="2">
        <f>COUNTIFS(交易明細!$B$2:$B$157,$A55,交易明細!$C$2:$C$157,"做多")</f>
        <v/>
      </c>
      <c r="D55" s="2">
        <f>COUNTIFS(交易明細!$B$2:$B$157,$A55,交易明細!$C$2:$C$157,"做空")</f>
        <v/>
      </c>
      <c r="E55" s="2">
        <f>F55+G55+COUNTIFS(交易明細!$B$2:$B$157,$A55,交易明細!$J$2:$J$157,"時間出場")</f>
        <v/>
      </c>
      <c r="F55" s="2">
        <f>COUNTIFS(交易明細!$B$2:$B$157,$A55,交易明細!$J$2:$J$157,"止盈")</f>
        <v/>
      </c>
      <c r="G55" s="2">
        <f>COUNTIFS(交易明細!$B$2:$B$157,$A55,交易明細!$J$2:$J$157,"止損")</f>
        <v/>
      </c>
      <c r="H55" s="4">
        <f>IFERROR(F55/E55,0)</f>
        <v/>
      </c>
      <c r="I55" s="4">
        <f>IFERROR(AVERAGEIFS(交易明細!$L$2:$L$157,交易明細!$B$2:$B$157,$A55,交易明細!$J$2:$J$157,"&lt;&gt;未平倉"),0)</f>
        <v/>
      </c>
      <c r="J55" s="4">
        <f>SUMIFS(交易明細!$L$2:$L$157,交易明細!$B$2:$B$157,$A55,交易明細!$J$2:$J$157,"&lt;&gt;未平倉")</f>
        <v/>
      </c>
      <c r="K55" s="5">
        <f>IFERROR(AVERAGEIFS(交易明細!$K$2:$K$157,交易明細!$B$2:$B$157,$A55,交易明細!$J$2:$J$157,"&lt;&gt;未平倉"),0)</f>
        <v/>
      </c>
      <c r="L55" s="2">
        <f>COUNTIFS(交易明細!$B$2:$B$157,$A55,交易明細!$J$2:$J$157,"未平倉")</f>
        <v/>
      </c>
    </row>
    <row r="56">
      <c r="A56" s="2" t="inlineStr">
        <is>
          <t>HAEDAL_USDT_PERP</t>
        </is>
      </c>
      <c r="B56" s="2">
        <f>COUNTIFS(交易明細!$B$2:$B$157,$A56)</f>
        <v/>
      </c>
      <c r="C56" s="2">
        <f>COUNTIFS(交易明細!$B$2:$B$157,$A56,交易明細!$C$2:$C$157,"做多")</f>
        <v/>
      </c>
      <c r="D56" s="2">
        <f>COUNTIFS(交易明細!$B$2:$B$157,$A56,交易明細!$C$2:$C$157,"做空")</f>
        <v/>
      </c>
      <c r="E56" s="2">
        <f>F56+G56+COUNTIFS(交易明細!$B$2:$B$157,$A56,交易明細!$J$2:$J$157,"時間出場")</f>
        <v/>
      </c>
      <c r="F56" s="2">
        <f>COUNTIFS(交易明細!$B$2:$B$157,$A56,交易明細!$J$2:$J$157,"止盈")</f>
        <v/>
      </c>
      <c r="G56" s="2">
        <f>COUNTIFS(交易明細!$B$2:$B$157,$A56,交易明細!$J$2:$J$157,"止損")</f>
        <v/>
      </c>
      <c r="H56" s="4">
        <f>IFERROR(F56/E56,0)</f>
        <v/>
      </c>
      <c r="I56" s="4">
        <f>IFERROR(AVERAGEIFS(交易明細!$L$2:$L$157,交易明細!$B$2:$B$157,$A56,交易明細!$J$2:$J$157,"&lt;&gt;未平倉"),0)</f>
        <v/>
      </c>
      <c r="J56" s="4">
        <f>SUMIFS(交易明細!$L$2:$L$157,交易明細!$B$2:$B$157,$A56,交易明細!$J$2:$J$157,"&lt;&gt;未平倉")</f>
        <v/>
      </c>
      <c r="K56" s="5">
        <f>IFERROR(AVERAGEIFS(交易明細!$K$2:$K$157,交易明細!$B$2:$B$157,$A56,交易明細!$J$2:$J$157,"&lt;&gt;未平倉"),0)</f>
        <v/>
      </c>
      <c r="L56" s="2">
        <f>COUNTIFS(交易明細!$B$2:$B$157,$A56,交易明細!$J$2:$J$157,"未平倉")</f>
        <v/>
      </c>
    </row>
    <row r="57">
      <c r="A57" s="2" t="inlineStr">
        <is>
          <t>KAT_USDT_PERP</t>
        </is>
      </c>
      <c r="B57" s="2">
        <f>COUNTIFS(交易明細!$B$2:$B$157,$A57)</f>
        <v/>
      </c>
      <c r="C57" s="2">
        <f>COUNTIFS(交易明細!$B$2:$B$157,$A57,交易明細!$C$2:$C$157,"做多")</f>
        <v/>
      </c>
      <c r="D57" s="2">
        <f>COUNTIFS(交易明細!$B$2:$B$157,$A57,交易明細!$C$2:$C$157,"做空")</f>
        <v/>
      </c>
      <c r="E57" s="2">
        <f>F57+G57+COUNTIFS(交易明細!$B$2:$B$157,$A57,交易明細!$J$2:$J$157,"時間出場")</f>
        <v/>
      </c>
      <c r="F57" s="2">
        <f>COUNTIFS(交易明細!$B$2:$B$157,$A57,交易明細!$J$2:$J$157,"止盈")</f>
        <v/>
      </c>
      <c r="G57" s="2">
        <f>COUNTIFS(交易明細!$B$2:$B$157,$A57,交易明細!$J$2:$J$157,"止損")</f>
        <v/>
      </c>
      <c r="H57" s="4">
        <f>IFERROR(F57/E57,0)</f>
        <v/>
      </c>
      <c r="I57" s="4">
        <f>IFERROR(AVERAGEIFS(交易明細!$L$2:$L$157,交易明細!$B$2:$B$157,$A57,交易明細!$J$2:$J$157,"&lt;&gt;未平倉"),0)</f>
        <v/>
      </c>
      <c r="J57" s="4">
        <f>SUMIFS(交易明細!$L$2:$L$157,交易明細!$B$2:$B$157,$A57,交易明細!$J$2:$J$157,"&lt;&gt;未平倉")</f>
        <v/>
      </c>
      <c r="K57" s="5">
        <f>IFERROR(AVERAGEIFS(交易明細!$K$2:$K$157,交易明細!$B$2:$B$157,$A57,交易明細!$J$2:$J$157,"&lt;&gt;未平倉"),0)</f>
        <v/>
      </c>
      <c r="L57" s="2">
        <f>COUNTIFS(交易明細!$B$2:$B$157,$A57,交易明細!$J$2:$J$157,"未平倉")</f>
        <v/>
      </c>
    </row>
    <row r="58">
      <c r="A58" s="2" t="inlineStr">
        <is>
          <t>PROS_USDT_PERP</t>
        </is>
      </c>
      <c r="B58" s="2">
        <f>COUNTIFS(交易明細!$B$2:$B$157,$A58)</f>
        <v/>
      </c>
      <c r="C58" s="2">
        <f>COUNTIFS(交易明細!$B$2:$B$157,$A58,交易明細!$C$2:$C$157,"做多")</f>
        <v/>
      </c>
      <c r="D58" s="2">
        <f>COUNTIFS(交易明細!$B$2:$B$157,$A58,交易明細!$C$2:$C$157,"做空")</f>
        <v/>
      </c>
      <c r="E58" s="2">
        <f>F58+G58+COUNTIFS(交易明細!$B$2:$B$157,$A58,交易明細!$J$2:$J$157,"時間出場")</f>
        <v/>
      </c>
      <c r="F58" s="2">
        <f>COUNTIFS(交易明細!$B$2:$B$157,$A58,交易明細!$J$2:$J$157,"止盈")</f>
        <v/>
      </c>
      <c r="G58" s="2">
        <f>COUNTIFS(交易明細!$B$2:$B$157,$A58,交易明細!$J$2:$J$157,"止損")</f>
        <v/>
      </c>
      <c r="H58" s="4">
        <f>IFERROR(F58/E58,0)</f>
        <v/>
      </c>
      <c r="I58" s="4">
        <f>IFERROR(AVERAGEIFS(交易明細!$L$2:$L$157,交易明細!$B$2:$B$157,$A58,交易明細!$J$2:$J$157,"&lt;&gt;未平倉"),0)</f>
        <v/>
      </c>
      <c r="J58" s="4">
        <f>SUMIFS(交易明細!$L$2:$L$157,交易明細!$B$2:$B$157,$A58,交易明細!$J$2:$J$157,"&lt;&gt;未平倉")</f>
        <v/>
      </c>
      <c r="K58" s="5">
        <f>IFERROR(AVERAGEIFS(交易明細!$K$2:$K$157,交易明細!$B$2:$B$157,$A58,交易明細!$J$2:$J$157,"&lt;&gt;未平倉"),0)</f>
        <v/>
      </c>
      <c r="L58" s="2">
        <f>COUNTIFS(交易明細!$B$2:$B$157,$A58,交易明細!$J$2:$J$157,"未平倉")</f>
        <v/>
      </c>
    </row>
    <row r="59">
      <c r="A59" s="2" t="inlineStr">
        <is>
          <t>ANIME_USDT_PERP</t>
        </is>
      </c>
      <c r="B59" s="2">
        <f>COUNTIFS(交易明細!$B$2:$B$157,$A59)</f>
        <v/>
      </c>
      <c r="C59" s="2">
        <f>COUNTIFS(交易明細!$B$2:$B$157,$A59,交易明細!$C$2:$C$157,"做多")</f>
        <v/>
      </c>
      <c r="D59" s="2">
        <f>COUNTIFS(交易明細!$B$2:$B$157,$A59,交易明細!$C$2:$C$157,"做空")</f>
        <v/>
      </c>
      <c r="E59" s="2">
        <f>F59+G59+COUNTIFS(交易明細!$B$2:$B$157,$A59,交易明細!$J$2:$J$157,"時間出場")</f>
        <v/>
      </c>
      <c r="F59" s="2">
        <f>COUNTIFS(交易明細!$B$2:$B$157,$A59,交易明細!$J$2:$J$157,"止盈")</f>
        <v/>
      </c>
      <c r="G59" s="2">
        <f>COUNTIFS(交易明細!$B$2:$B$157,$A59,交易明細!$J$2:$J$157,"止損")</f>
        <v/>
      </c>
      <c r="H59" s="4">
        <f>IFERROR(F59/E59,0)</f>
        <v/>
      </c>
      <c r="I59" s="4">
        <f>IFERROR(AVERAGEIFS(交易明細!$L$2:$L$157,交易明細!$B$2:$B$157,$A59,交易明細!$J$2:$J$157,"&lt;&gt;未平倉"),0)</f>
        <v/>
      </c>
      <c r="J59" s="4">
        <f>SUMIFS(交易明細!$L$2:$L$157,交易明細!$B$2:$B$157,$A59,交易明細!$J$2:$J$157,"&lt;&gt;未平倉")</f>
        <v/>
      </c>
      <c r="K59" s="5">
        <f>IFERROR(AVERAGEIFS(交易明細!$K$2:$K$157,交易明細!$B$2:$B$157,$A59,交易明細!$J$2:$J$157,"&lt;&gt;未平倉"),0)</f>
        <v/>
      </c>
      <c r="L59" s="2">
        <f>COUNTIFS(交易明細!$B$2:$B$157,$A59,交易明細!$J$2:$J$157,"未平倉")</f>
        <v/>
      </c>
    </row>
    <row r="60">
      <c r="A60" s="2" t="inlineStr">
        <is>
          <t>SAGA_USDT_PERP</t>
        </is>
      </c>
      <c r="B60" s="2">
        <f>COUNTIFS(交易明細!$B$2:$B$157,$A60)</f>
        <v/>
      </c>
      <c r="C60" s="2">
        <f>COUNTIFS(交易明細!$B$2:$B$157,$A60,交易明細!$C$2:$C$157,"做多")</f>
        <v/>
      </c>
      <c r="D60" s="2">
        <f>COUNTIFS(交易明細!$B$2:$B$157,$A60,交易明細!$C$2:$C$157,"做空")</f>
        <v/>
      </c>
      <c r="E60" s="2">
        <f>F60+G60+COUNTIFS(交易明細!$B$2:$B$157,$A60,交易明細!$J$2:$J$157,"時間出場")</f>
        <v/>
      </c>
      <c r="F60" s="2">
        <f>COUNTIFS(交易明細!$B$2:$B$157,$A60,交易明細!$J$2:$J$157,"止盈")</f>
        <v/>
      </c>
      <c r="G60" s="2">
        <f>COUNTIFS(交易明細!$B$2:$B$157,$A60,交易明細!$J$2:$J$157,"止損")</f>
        <v/>
      </c>
      <c r="H60" s="4">
        <f>IFERROR(F60/E60,0)</f>
        <v/>
      </c>
      <c r="I60" s="4">
        <f>IFERROR(AVERAGEIFS(交易明細!$L$2:$L$157,交易明細!$B$2:$B$157,$A60,交易明細!$J$2:$J$157,"&lt;&gt;未平倉"),0)</f>
        <v/>
      </c>
      <c r="J60" s="4">
        <f>SUMIFS(交易明細!$L$2:$L$157,交易明細!$B$2:$B$157,$A60,交易明細!$J$2:$J$157,"&lt;&gt;未平倉")</f>
        <v/>
      </c>
      <c r="K60" s="5">
        <f>IFERROR(AVERAGEIFS(交易明細!$K$2:$K$157,交易明細!$B$2:$B$157,$A60,交易明細!$J$2:$J$157,"&lt;&gt;未平倉"),0)</f>
        <v/>
      </c>
      <c r="L60" s="2">
        <f>COUNTIFS(交易明細!$B$2:$B$157,$A60,交易明細!$J$2:$J$157,"未平倉")</f>
        <v/>
      </c>
    </row>
    <row r="61">
      <c r="A61" s="2" t="inlineStr">
        <is>
          <t>LAB_USDT_PERP</t>
        </is>
      </c>
      <c r="B61" s="2">
        <f>COUNTIFS(交易明細!$B$2:$B$157,$A61)</f>
        <v/>
      </c>
      <c r="C61" s="2">
        <f>COUNTIFS(交易明細!$B$2:$B$157,$A61,交易明細!$C$2:$C$157,"做多")</f>
        <v/>
      </c>
      <c r="D61" s="2">
        <f>COUNTIFS(交易明細!$B$2:$B$157,$A61,交易明細!$C$2:$C$157,"做空")</f>
        <v/>
      </c>
      <c r="E61" s="2">
        <f>F61+G61+COUNTIFS(交易明細!$B$2:$B$157,$A61,交易明細!$J$2:$J$157,"時間出場")</f>
        <v/>
      </c>
      <c r="F61" s="2">
        <f>COUNTIFS(交易明細!$B$2:$B$157,$A61,交易明細!$J$2:$J$157,"止盈")</f>
        <v/>
      </c>
      <c r="G61" s="2">
        <f>COUNTIFS(交易明細!$B$2:$B$157,$A61,交易明細!$J$2:$J$157,"止損")</f>
        <v/>
      </c>
      <c r="H61" s="4">
        <f>IFERROR(F61/E61,0)</f>
        <v/>
      </c>
      <c r="I61" s="4">
        <f>IFERROR(AVERAGEIFS(交易明細!$L$2:$L$157,交易明細!$B$2:$B$157,$A61,交易明細!$J$2:$J$157,"&lt;&gt;未平倉"),0)</f>
        <v/>
      </c>
      <c r="J61" s="4">
        <f>SUMIFS(交易明細!$L$2:$L$157,交易明細!$B$2:$B$157,$A61,交易明細!$J$2:$J$157,"&lt;&gt;未平倉")</f>
        <v/>
      </c>
      <c r="K61" s="5">
        <f>IFERROR(AVERAGEIFS(交易明細!$K$2:$K$157,交易明細!$B$2:$B$157,$A61,交易明細!$J$2:$J$157,"&lt;&gt;未平倉"),0)</f>
        <v/>
      </c>
      <c r="L61" s="2">
        <f>COUNTIFS(交易明細!$B$2:$B$157,$A61,交易明細!$J$2:$J$157,"未平倉")</f>
        <v/>
      </c>
    </row>
    <row r="62">
      <c r="A62" s="2" t="inlineStr">
        <is>
          <t>CASHCAT_USDT_PERP</t>
        </is>
      </c>
      <c r="B62" s="2">
        <f>COUNTIFS(交易明細!$B$2:$B$157,$A62)</f>
        <v/>
      </c>
      <c r="C62" s="2">
        <f>COUNTIFS(交易明細!$B$2:$B$157,$A62,交易明細!$C$2:$C$157,"做多")</f>
        <v/>
      </c>
      <c r="D62" s="2">
        <f>COUNTIFS(交易明細!$B$2:$B$157,$A62,交易明細!$C$2:$C$157,"做空")</f>
        <v/>
      </c>
      <c r="E62" s="2">
        <f>F62+G62+COUNTIFS(交易明細!$B$2:$B$157,$A62,交易明細!$J$2:$J$157,"時間出場")</f>
        <v/>
      </c>
      <c r="F62" s="2">
        <f>COUNTIFS(交易明細!$B$2:$B$157,$A62,交易明細!$J$2:$J$157,"止盈")</f>
        <v/>
      </c>
      <c r="G62" s="2">
        <f>COUNTIFS(交易明細!$B$2:$B$157,$A62,交易明細!$J$2:$J$157,"止損")</f>
        <v/>
      </c>
      <c r="H62" s="4">
        <f>IFERROR(F62/E62,0)</f>
        <v/>
      </c>
      <c r="I62" s="4">
        <f>IFERROR(AVERAGEIFS(交易明細!$L$2:$L$157,交易明細!$B$2:$B$157,$A62,交易明細!$J$2:$J$157,"&lt;&gt;未平倉"),0)</f>
        <v/>
      </c>
      <c r="J62" s="4">
        <f>SUMIFS(交易明細!$L$2:$L$157,交易明細!$B$2:$B$157,$A62,交易明細!$J$2:$J$157,"&lt;&gt;未平倉")</f>
        <v/>
      </c>
      <c r="K62" s="5">
        <f>IFERROR(AVERAGEIFS(交易明細!$K$2:$K$157,交易明細!$B$2:$B$157,$A62,交易明細!$J$2:$J$157,"&lt;&gt;未平倉"),0)</f>
        <v/>
      </c>
      <c r="L62" s="2">
        <f>COUNTIFS(交易明細!$B$2:$B$157,$A62,交易明細!$J$2:$J$157,"未平倉")</f>
        <v/>
      </c>
    </row>
    <row r="63">
      <c r="A63" s="2" t="inlineStr">
        <is>
          <t>BLUR_USDT_PERP</t>
        </is>
      </c>
      <c r="B63" s="2">
        <f>COUNTIFS(交易明細!$B$2:$B$157,$A63)</f>
        <v/>
      </c>
      <c r="C63" s="2">
        <f>COUNTIFS(交易明細!$B$2:$B$157,$A63,交易明細!$C$2:$C$157,"做多")</f>
        <v/>
      </c>
      <c r="D63" s="2">
        <f>COUNTIFS(交易明細!$B$2:$B$157,$A63,交易明細!$C$2:$C$157,"做空")</f>
        <v/>
      </c>
      <c r="E63" s="2">
        <f>F63+G63+COUNTIFS(交易明細!$B$2:$B$157,$A63,交易明細!$J$2:$J$157,"時間出場")</f>
        <v/>
      </c>
      <c r="F63" s="2">
        <f>COUNTIFS(交易明細!$B$2:$B$157,$A63,交易明細!$J$2:$J$157,"止盈")</f>
        <v/>
      </c>
      <c r="G63" s="2">
        <f>COUNTIFS(交易明細!$B$2:$B$157,$A63,交易明細!$J$2:$J$157,"止損")</f>
        <v/>
      </c>
      <c r="H63" s="4">
        <f>IFERROR(F63/E63,0)</f>
        <v/>
      </c>
      <c r="I63" s="4">
        <f>IFERROR(AVERAGEIFS(交易明細!$L$2:$L$157,交易明細!$B$2:$B$157,$A63,交易明細!$J$2:$J$157,"&lt;&gt;未平倉"),0)</f>
        <v/>
      </c>
      <c r="J63" s="4">
        <f>SUMIFS(交易明細!$L$2:$L$157,交易明細!$B$2:$B$157,$A63,交易明細!$J$2:$J$157,"&lt;&gt;未平倉")</f>
        <v/>
      </c>
      <c r="K63" s="5">
        <f>IFERROR(AVERAGEIFS(交易明細!$K$2:$K$157,交易明細!$B$2:$B$157,$A63,交易明細!$J$2:$J$157,"&lt;&gt;未平倉"),0)</f>
        <v/>
      </c>
      <c r="L63" s="2">
        <f>COUNTIFS(交易明細!$B$2:$B$157,$A63,交易明細!$J$2:$J$157,"未平倉")</f>
        <v/>
      </c>
    </row>
    <row r="64">
      <c r="A64" s="2" t="inlineStr">
        <is>
          <t>CYS_USDT_PERP</t>
        </is>
      </c>
      <c r="B64" s="2">
        <f>COUNTIFS(交易明細!$B$2:$B$157,$A64)</f>
        <v/>
      </c>
      <c r="C64" s="2">
        <f>COUNTIFS(交易明細!$B$2:$B$157,$A64,交易明細!$C$2:$C$157,"做多")</f>
        <v/>
      </c>
      <c r="D64" s="2">
        <f>COUNTIFS(交易明細!$B$2:$B$157,$A64,交易明細!$C$2:$C$157,"做空")</f>
        <v/>
      </c>
      <c r="E64" s="2">
        <f>F64+G64+COUNTIFS(交易明細!$B$2:$B$157,$A64,交易明細!$J$2:$J$157,"時間出場")</f>
        <v/>
      </c>
      <c r="F64" s="2">
        <f>COUNTIFS(交易明細!$B$2:$B$157,$A64,交易明細!$J$2:$J$157,"止盈")</f>
        <v/>
      </c>
      <c r="G64" s="2">
        <f>COUNTIFS(交易明細!$B$2:$B$157,$A64,交易明細!$J$2:$J$157,"止損")</f>
        <v/>
      </c>
      <c r="H64" s="4">
        <f>IFERROR(F64/E64,0)</f>
        <v/>
      </c>
      <c r="I64" s="4">
        <f>IFERROR(AVERAGEIFS(交易明細!$L$2:$L$157,交易明細!$B$2:$B$157,$A64,交易明細!$J$2:$J$157,"&lt;&gt;未平倉"),0)</f>
        <v/>
      </c>
      <c r="J64" s="4">
        <f>SUMIFS(交易明細!$L$2:$L$157,交易明細!$B$2:$B$157,$A64,交易明細!$J$2:$J$157,"&lt;&gt;未平倉")</f>
        <v/>
      </c>
      <c r="K64" s="5">
        <f>IFERROR(AVERAGEIFS(交易明細!$K$2:$K$157,交易明細!$B$2:$B$157,$A64,交易明細!$J$2:$J$157,"&lt;&gt;未平倉"),0)</f>
        <v/>
      </c>
      <c r="L64" s="2">
        <f>COUNTIFS(交易明細!$B$2:$B$157,$A64,交易明細!$J$2:$J$157,"未平倉")</f>
        <v/>
      </c>
    </row>
    <row r="65">
      <c r="A65" s="2" t="inlineStr">
        <is>
          <t>TREE_USDT_PERP</t>
        </is>
      </c>
      <c r="B65" s="2">
        <f>COUNTIFS(交易明細!$B$2:$B$157,$A65)</f>
        <v/>
      </c>
      <c r="C65" s="2">
        <f>COUNTIFS(交易明細!$B$2:$B$157,$A65,交易明細!$C$2:$C$157,"做多")</f>
        <v/>
      </c>
      <c r="D65" s="2">
        <f>COUNTIFS(交易明細!$B$2:$B$157,$A65,交易明細!$C$2:$C$157,"做空")</f>
        <v/>
      </c>
      <c r="E65" s="2">
        <f>F65+G65+COUNTIFS(交易明細!$B$2:$B$157,$A65,交易明細!$J$2:$J$157,"時間出場")</f>
        <v/>
      </c>
      <c r="F65" s="2">
        <f>COUNTIFS(交易明細!$B$2:$B$157,$A65,交易明細!$J$2:$J$157,"止盈")</f>
        <v/>
      </c>
      <c r="G65" s="2">
        <f>COUNTIFS(交易明細!$B$2:$B$157,$A65,交易明細!$J$2:$J$157,"止損")</f>
        <v/>
      </c>
      <c r="H65" s="4">
        <f>IFERROR(F65/E65,0)</f>
        <v/>
      </c>
      <c r="I65" s="4">
        <f>IFERROR(AVERAGEIFS(交易明細!$L$2:$L$157,交易明細!$B$2:$B$157,$A65,交易明細!$J$2:$J$157,"&lt;&gt;未平倉"),0)</f>
        <v/>
      </c>
      <c r="J65" s="4">
        <f>SUMIFS(交易明細!$L$2:$L$157,交易明細!$B$2:$B$157,$A65,交易明細!$J$2:$J$157,"&lt;&gt;未平倉")</f>
        <v/>
      </c>
      <c r="K65" s="5">
        <f>IFERROR(AVERAGEIFS(交易明細!$K$2:$K$157,交易明細!$B$2:$B$157,$A65,交易明細!$J$2:$J$157,"&lt;&gt;未平倉"),0)</f>
        <v/>
      </c>
      <c r="L65" s="2">
        <f>COUNTIFS(交易明細!$B$2:$B$157,$A65,交易明細!$J$2:$J$157,"未平倉")</f>
        <v/>
      </c>
    </row>
    <row r="66">
      <c r="A66" s="2" t="inlineStr">
        <is>
          <t>GRIFFAIN_USDT_PERP</t>
        </is>
      </c>
      <c r="B66" s="2">
        <f>COUNTIFS(交易明細!$B$2:$B$157,$A66)</f>
        <v/>
      </c>
      <c r="C66" s="2">
        <f>COUNTIFS(交易明細!$B$2:$B$157,$A66,交易明細!$C$2:$C$157,"做多")</f>
        <v/>
      </c>
      <c r="D66" s="2">
        <f>COUNTIFS(交易明細!$B$2:$B$157,$A66,交易明細!$C$2:$C$157,"做空")</f>
        <v/>
      </c>
      <c r="E66" s="2">
        <f>F66+G66+COUNTIFS(交易明細!$B$2:$B$157,$A66,交易明細!$J$2:$J$157,"時間出場")</f>
        <v/>
      </c>
      <c r="F66" s="2">
        <f>COUNTIFS(交易明細!$B$2:$B$157,$A66,交易明細!$J$2:$J$157,"止盈")</f>
        <v/>
      </c>
      <c r="G66" s="2">
        <f>COUNTIFS(交易明細!$B$2:$B$157,$A66,交易明細!$J$2:$J$157,"止損")</f>
        <v/>
      </c>
      <c r="H66" s="4">
        <f>IFERROR(F66/E66,0)</f>
        <v/>
      </c>
      <c r="I66" s="4">
        <f>IFERROR(AVERAGEIFS(交易明細!$L$2:$L$157,交易明細!$B$2:$B$157,$A66,交易明細!$J$2:$J$157,"&lt;&gt;未平倉"),0)</f>
        <v/>
      </c>
      <c r="J66" s="4">
        <f>SUMIFS(交易明細!$L$2:$L$157,交易明細!$B$2:$B$157,$A66,交易明細!$J$2:$J$157,"&lt;&gt;未平倉")</f>
        <v/>
      </c>
      <c r="K66" s="5">
        <f>IFERROR(AVERAGEIFS(交易明細!$K$2:$K$157,交易明細!$B$2:$B$157,$A66,交易明細!$J$2:$J$157,"&lt;&gt;未平倉"),0)</f>
        <v/>
      </c>
      <c r="L66" s="2">
        <f>COUNTIFS(交易明細!$B$2:$B$157,$A66,交易明細!$J$2:$J$157,"未平倉")</f>
        <v/>
      </c>
    </row>
    <row r="67">
      <c r="A67" s="2" t="inlineStr">
        <is>
          <t>TA_USDT_PERP</t>
        </is>
      </c>
      <c r="B67" s="2">
        <f>COUNTIFS(交易明細!$B$2:$B$157,$A67)</f>
        <v/>
      </c>
      <c r="C67" s="2">
        <f>COUNTIFS(交易明細!$B$2:$B$157,$A67,交易明細!$C$2:$C$157,"做多")</f>
        <v/>
      </c>
      <c r="D67" s="2">
        <f>COUNTIFS(交易明細!$B$2:$B$157,$A67,交易明細!$C$2:$C$157,"做空")</f>
        <v/>
      </c>
      <c r="E67" s="2">
        <f>F67+G67+COUNTIFS(交易明細!$B$2:$B$157,$A67,交易明細!$J$2:$J$157,"時間出場")</f>
        <v/>
      </c>
      <c r="F67" s="2">
        <f>COUNTIFS(交易明細!$B$2:$B$157,$A67,交易明細!$J$2:$J$157,"止盈")</f>
        <v/>
      </c>
      <c r="G67" s="2">
        <f>COUNTIFS(交易明細!$B$2:$B$157,$A67,交易明細!$J$2:$J$157,"止損")</f>
        <v/>
      </c>
      <c r="H67" s="4">
        <f>IFERROR(F67/E67,0)</f>
        <v/>
      </c>
      <c r="I67" s="4">
        <f>IFERROR(AVERAGEIFS(交易明細!$L$2:$L$157,交易明細!$B$2:$B$157,$A67,交易明細!$J$2:$J$157,"&lt;&gt;未平倉"),0)</f>
        <v/>
      </c>
      <c r="J67" s="4">
        <f>SUMIFS(交易明細!$L$2:$L$157,交易明細!$B$2:$B$157,$A67,交易明細!$J$2:$J$157,"&lt;&gt;未平倉")</f>
        <v/>
      </c>
      <c r="K67" s="5">
        <f>IFERROR(AVERAGEIFS(交易明細!$K$2:$K$157,交易明細!$B$2:$B$157,$A67,交易明細!$J$2:$J$157,"&lt;&gt;未平倉"),0)</f>
        <v/>
      </c>
      <c r="L67" s="2">
        <f>COUNTIFS(交易明細!$B$2:$B$157,$A67,交易明細!$J$2:$J$157,"未平倉")</f>
        <v/>
      </c>
    </row>
    <row r="68">
      <c r="A68" s="2" t="inlineStr">
        <is>
          <t>BR_USDT_PERP</t>
        </is>
      </c>
      <c r="B68" s="2">
        <f>COUNTIFS(交易明細!$B$2:$B$157,$A68)</f>
        <v/>
      </c>
      <c r="C68" s="2">
        <f>COUNTIFS(交易明細!$B$2:$B$157,$A68,交易明細!$C$2:$C$157,"做多")</f>
        <v/>
      </c>
      <c r="D68" s="2">
        <f>COUNTIFS(交易明細!$B$2:$B$157,$A68,交易明細!$C$2:$C$157,"做空")</f>
        <v/>
      </c>
      <c r="E68" s="2">
        <f>F68+G68+COUNTIFS(交易明細!$B$2:$B$157,$A68,交易明細!$J$2:$J$157,"時間出場")</f>
        <v/>
      </c>
      <c r="F68" s="2">
        <f>COUNTIFS(交易明細!$B$2:$B$157,$A68,交易明細!$J$2:$J$157,"止盈")</f>
        <v/>
      </c>
      <c r="G68" s="2">
        <f>COUNTIFS(交易明細!$B$2:$B$157,$A68,交易明細!$J$2:$J$157,"止損")</f>
        <v/>
      </c>
      <c r="H68" s="4">
        <f>IFERROR(F68/E68,0)</f>
        <v/>
      </c>
      <c r="I68" s="4">
        <f>IFERROR(AVERAGEIFS(交易明細!$L$2:$L$157,交易明細!$B$2:$B$157,$A68,交易明細!$J$2:$J$157,"&lt;&gt;未平倉"),0)</f>
        <v/>
      </c>
      <c r="J68" s="4">
        <f>SUMIFS(交易明細!$L$2:$L$157,交易明細!$B$2:$B$157,$A68,交易明細!$J$2:$J$157,"&lt;&gt;未平倉")</f>
        <v/>
      </c>
      <c r="K68" s="5">
        <f>IFERROR(AVERAGEIFS(交易明細!$K$2:$K$157,交易明細!$B$2:$B$157,$A68,交易明細!$J$2:$J$157,"&lt;&gt;未平倉"),0)</f>
        <v/>
      </c>
      <c r="L68" s="2">
        <f>COUNTIFS(交易明細!$B$2:$B$157,$A68,交易明細!$J$2:$J$157,"未平倉")</f>
        <v/>
      </c>
    </row>
    <row r="69">
      <c r="A69" s="2" t="inlineStr">
        <is>
          <t>XPIN_USDT_PERP</t>
        </is>
      </c>
      <c r="B69" s="2">
        <f>COUNTIFS(交易明細!$B$2:$B$157,$A69)</f>
        <v/>
      </c>
      <c r="C69" s="2">
        <f>COUNTIFS(交易明細!$B$2:$B$157,$A69,交易明細!$C$2:$C$157,"做多")</f>
        <v/>
      </c>
      <c r="D69" s="2">
        <f>COUNTIFS(交易明細!$B$2:$B$157,$A69,交易明細!$C$2:$C$157,"做空")</f>
        <v/>
      </c>
      <c r="E69" s="2">
        <f>F69+G69+COUNTIFS(交易明細!$B$2:$B$157,$A69,交易明細!$J$2:$J$157,"時間出場")</f>
        <v/>
      </c>
      <c r="F69" s="2">
        <f>COUNTIFS(交易明細!$B$2:$B$157,$A69,交易明細!$J$2:$J$157,"止盈")</f>
        <v/>
      </c>
      <c r="G69" s="2">
        <f>COUNTIFS(交易明細!$B$2:$B$157,$A69,交易明細!$J$2:$J$157,"止損")</f>
        <v/>
      </c>
      <c r="H69" s="4">
        <f>IFERROR(F69/E69,0)</f>
        <v/>
      </c>
      <c r="I69" s="4">
        <f>IFERROR(AVERAGEIFS(交易明細!$L$2:$L$157,交易明細!$B$2:$B$157,$A69,交易明細!$J$2:$J$157,"&lt;&gt;未平倉"),0)</f>
        <v/>
      </c>
      <c r="J69" s="4">
        <f>SUMIFS(交易明細!$L$2:$L$157,交易明細!$B$2:$B$157,$A69,交易明細!$J$2:$J$157,"&lt;&gt;未平倉")</f>
        <v/>
      </c>
      <c r="K69" s="5">
        <f>IFERROR(AVERAGEIFS(交易明細!$K$2:$K$157,交易明細!$B$2:$B$157,$A69,交易明細!$J$2:$J$157,"&lt;&gt;未平倉"),0)</f>
        <v/>
      </c>
      <c r="L69" s="2">
        <f>COUNTIFS(交易明細!$B$2:$B$157,$A69,交易明細!$J$2:$J$157,"未平倉")</f>
        <v/>
      </c>
    </row>
    <row r="70">
      <c r="A70" s="2" t="inlineStr">
        <is>
          <t>HEMI_USDT_PERP</t>
        </is>
      </c>
      <c r="B70" s="2">
        <f>COUNTIFS(交易明細!$B$2:$B$157,$A70)</f>
        <v/>
      </c>
      <c r="C70" s="2">
        <f>COUNTIFS(交易明細!$B$2:$B$157,$A70,交易明細!$C$2:$C$157,"做多")</f>
        <v/>
      </c>
      <c r="D70" s="2">
        <f>COUNTIFS(交易明細!$B$2:$B$157,$A70,交易明細!$C$2:$C$157,"做空")</f>
        <v/>
      </c>
      <c r="E70" s="2">
        <f>F70+G70+COUNTIFS(交易明細!$B$2:$B$157,$A70,交易明細!$J$2:$J$157,"時間出場")</f>
        <v/>
      </c>
      <c r="F70" s="2">
        <f>COUNTIFS(交易明細!$B$2:$B$157,$A70,交易明細!$J$2:$J$157,"止盈")</f>
        <v/>
      </c>
      <c r="G70" s="2">
        <f>COUNTIFS(交易明細!$B$2:$B$157,$A70,交易明細!$J$2:$J$157,"止損")</f>
        <v/>
      </c>
      <c r="H70" s="4">
        <f>IFERROR(F70/E70,0)</f>
        <v/>
      </c>
      <c r="I70" s="4">
        <f>IFERROR(AVERAGEIFS(交易明細!$L$2:$L$157,交易明細!$B$2:$B$157,$A70,交易明細!$J$2:$J$157,"&lt;&gt;未平倉"),0)</f>
        <v/>
      </c>
      <c r="J70" s="4">
        <f>SUMIFS(交易明細!$L$2:$L$157,交易明細!$B$2:$B$157,$A70,交易明細!$J$2:$J$157,"&lt;&gt;未平倉")</f>
        <v/>
      </c>
      <c r="K70" s="5">
        <f>IFERROR(AVERAGEIFS(交易明細!$K$2:$K$157,交易明細!$B$2:$B$157,$A70,交易明細!$J$2:$J$157,"&lt;&gt;未平倉"),0)</f>
        <v/>
      </c>
      <c r="L70" s="2">
        <f>COUNTIFS(交易明細!$B$2:$B$157,$A70,交易明細!$J$2:$J$157,"未平倉")</f>
        <v/>
      </c>
    </row>
    <row r="71">
      <c r="A71" s="2" t="inlineStr">
        <is>
          <t>AXL_USDT_PERP</t>
        </is>
      </c>
      <c r="B71" s="2">
        <f>COUNTIFS(交易明細!$B$2:$B$157,$A71)</f>
        <v/>
      </c>
      <c r="C71" s="2">
        <f>COUNTIFS(交易明細!$B$2:$B$157,$A71,交易明細!$C$2:$C$157,"做多")</f>
        <v/>
      </c>
      <c r="D71" s="2">
        <f>COUNTIFS(交易明細!$B$2:$B$157,$A71,交易明細!$C$2:$C$157,"做空")</f>
        <v/>
      </c>
      <c r="E71" s="2">
        <f>F71+G71+COUNTIFS(交易明細!$B$2:$B$157,$A71,交易明細!$J$2:$J$157,"時間出場")</f>
        <v/>
      </c>
      <c r="F71" s="2">
        <f>COUNTIFS(交易明細!$B$2:$B$157,$A71,交易明細!$J$2:$J$157,"止盈")</f>
        <v/>
      </c>
      <c r="G71" s="2">
        <f>COUNTIFS(交易明細!$B$2:$B$157,$A71,交易明細!$J$2:$J$157,"止損")</f>
        <v/>
      </c>
      <c r="H71" s="4">
        <f>IFERROR(F71/E71,0)</f>
        <v/>
      </c>
      <c r="I71" s="4">
        <f>IFERROR(AVERAGEIFS(交易明細!$L$2:$L$157,交易明細!$B$2:$B$157,$A71,交易明細!$J$2:$J$157,"&lt;&gt;未平倉"),0)</f>
        <v/>
      </c>
      <c r="J71" s="4">
        <f>SUMIFS(交易明細!$L$2:$L$157,交易明細!$B$2:$B$157,$A71,交易明細!$J$2:$J$157,"&lt;&gt;未平倉")</f>
        <v/>
      </c>
      <c r="K71" s="5">
        <f>IFERROR(AVERAGEIFS(交易明細!$K$2:$K$157,交易明細!$B$2:$B$157,$A71,交易明細!$J$2:$J$157,"&lt;&gt;未平倉"),0)</f>
        <v/>
      </c>
      <c r="L71" s="2">
        <f>COUNTIFS(交易明細!$B$2:$B$157,$A71,交易明細!$J$2:$J$157,"未平倉")</f>
        <v/>
      </c>
    </row>
    <row r="72">
      <c r="A72" s="2" t="inlineStr">
        <is>
          <t>GENIUS_USDT_PERP</t>
        </is>
      </c>
      <c r="B72" s="2">
        <f>COUNTIFS(交易明細!$B$2:$B$157,$A72)</f>
        <v/>
      </c>
      <c r="C72" s="2">
        <f>COUNTIFS(交易明細!$B$2:$B$157,$A72,交易明細!$C$2:$C$157,"做多")</f>
        <v/>
      </c>
      <c r="D72" s="2">
        <f>COUNTIFS(交易明細!$B$2:$B$157,$A72,交易明細!$C$2:$C$157,"做空")</f>
        <v/>
      </c>
      <c r="E72" s="2">
        <f>F72+G72+COUNTIFS(交易明細!$B$2:$B$157,$A72,交易明細!$J$2:$J$157,"時間出場")</f>
        <v/>
      </c>
      <c r="F72" s="2">
        <f>COUNTIFS(交易明細!$B$2:$B$157,$A72,交易明細!$J$2:$J$157,"止盈")</f>
        <v/>
      </c>
      <c r="G72" s="2">
        <f>COUNTIFS(交易明細!$B$2:$B$157,$A72,交易明細!$J$2:$J$157,"止損")</f>
        <v/>
      </c>
      <c r="H72" s="4">
        <f>IFERROR(F72/E72,0)</f>
        <v/>
      </c>
      <c r="I72" s="4">
        <f>IFERROR(AVERAGEIFS(交易明細!$L$2:$L$157,交易明細!$B$2:$B$157,$A72,交易明細!$J$2:$J$157,"&lt;&gt;未平倉"),0)</f>
        <v/>
      </c>
      <c r="J72" s="4">
        <f>SUMIFS(交易明細!$L$2:$L$157,交易明細!$B$2:$B$157,$A72,交易明細!$J$2:$J$157,"&lt;&gt;未平倉")</f>
        <v/>
      </c>
      <c r="K72" s="5">
        <f>IFERROR(AVERAGEIFS(交易明細!$K$2:$K$157,交易明細!$B$2:$B$157,$A72,交易明細!$J$2:$J$157,"&lt;&gt;未平倉"),0)</f>
        <v/>
      </c>
      <c r="L72" s="2">
        <f>COUNTIFS(交易明細!$B$2:$B$157,$A72,交易明細!$J$2:$J$157,"未平倉")</f>
        <v/>
      </c>
    </row>
    <row r="73">
      <c r="A73" s="2" t="inlineStr">
        <is>
          <t>CROSS_USDT_PERP</t>
        </is>
      </c>
      <c r="B73" s="2">
        <f>COUNTIFS(交易明細!$B$2:$B$157,$A73)</f>
        <v/>
      </c>
      <c r="C73" s="2">
        <f>COUNTIFS(交易明細!$B$2:$B$157,$A73,交易明細!$C$2:$C$157,"做多")</f>
        <v/>
      </c>
      <c r="D73" s="2">
        <f>COUNTIFS(交易明細!$B$2:$B$157,$A73,交易明細!$C$2:$C$157,"做空")</f>
        <v/>
      </c>
      <c r="E73" s="2">
        <f>F73+G73+COUNTIFS(交易明細!$B$2:$B$157,$A73,交易明細!$J$2:$J$157,"時間出場")</f>
        <v/>
      </c>
      <c r="F73" s="2">
        <f>COUNTIFS(交易明細!$B$2:$B$157,$A73,交易明細!$J$2:$J$157,"止盈")</f>
        <v/>
      </c>
      <c r="G73" s="2">
        <f>COUNTIFS(交易明細!$B$2:$B$157,$A73,交易明細!$J$2:$J$157,"止損")</f>
        <v/>
      </c>
      <c r="H73" s="4">
        <f>IFERROR(F73/E73,0)</f>
        <v/>
      </c>
      <c r="I73" s="4">
        <f>IFERROR(AVERAGEIFS(交易明細!$L$2:$L$157,交易明細!$B$2:$B$157,$A73,交易明細!$J$2:$J$157,"&lt;&gt;未平倉"),0)</f>
        <v/>
      </c>
      <c r="J73" s="4">
        <f>SUMIFS(交易明細!$L$2:$L$157,交易明細!$B$2:$B$157,$A73,交易明細!$J$2:$J$157,"&lt;&gt;未平倉")</f>
        <v/>
      </c>
      <c r="K73" s="5">
        <f>IFERROR(AVERAGEIFS(交易明細!$K$2:$K$157,交易明細!$B$2:$B$157,$A73,交易明細!$J$2:$J$157,"&lt;&gt;未平倉"),0)</f>
        <v/>
      </c>
      <c r="L73" s="2">
        <f>COUNTIFS(交易明細!$B$2:$B$157,$A73,交易明細!$J$2:$J$157,"未平倉")</f>
        <v/>
      </c>
    </row>
    <row r="74">
      <c r="A74" s="2" t="inlineStr">
        <is>
          <t>BABY_USDT_PERP</t>
        </is>
      </c>
      <c r="B74" s="2">
        <f>COUNTIFS(交易明細!$B$2:$B$157,$A74)</f>
        <v/>
      </c>
      <c r="C74" s="2">
        <f>COUNTIFS(交易明細!$B$2:$B$157,$A74,交易明細!$C$2:$C$157,"做多")</f>
        <v/>
      </c>
      <c r="D74" s="2">
        <f>COUNTIFS(交易明細!$B$2:$B$157,$A74,交易明細!$C$2:$C$157,"做空")</f>
        <v/>
      </c>
      <c r="E74" s="2">
        <f>F74+G74+COUNTIFS(交易明細!$B$2:$B$157,$A74,交易明細!$J$2:$J$157,"時間出場")</f>
        <v/>
      </c>
      <c r="F74" s="2">
        <f>COUNTIFS(交易明細!$B$2:$B$157,$A74,交易明細!$J$2:$J$157,"止盈")</f>
        <v/>
      </c>
      <c r="G74" s="2">
        <f>COUNTIFS(交易明細!$B$2:$B$157,$A74,交易明細!$J$2:$J$157,"止損")</f>
        <v/>
      </c>
      <c r="H74" s="4">
        <f>IFERROR(F74/E74,0)</f>
        <v/>
      </c>
      <c r="I74" s="4">
        <f>IFERROR(AVERAGEIFS(交易明細!$L$2:$L$157,交易明細!$B$2:$B$157,$A74,交易明細!$J$2:$J$157,"&lt;&gt;未平倉"),0)</f>
        <v/>
      </c>
      <c r="J74" s="4">
        <f>SUMIFS(交易明細!$L$2:$L$157,交易明細!$B$2:$B$157,$A74,交易明細!$J$2:$J$157,"&lt;&gt;未平倉")</f>
        <v/>
      </c>
      <c r="K74" s="5">
        <f>IFERROR(AVERAGEIFS(交易明細!$K$2:$K$157,交易明細!$B$2:$B$157,$A74,交易明細!$J$2:$J$157,"&lt;&gt;未平倉"),0)</f>
        <v/>
      </c>
      <c r="L74" s="2">
        <f>COUNTIFS(交易明細!$B$2:$B$157,$A74,交易明細!$J$2:$J$157,"未平倉")</f>
        <v/>
      </c>
    </row>
    <row r="75">
      <c r="A75" s="2" t="inlineStr">
        <is>
          <t>MYX_USDT_PERP</t>
        </is>
      </c>
      <c r="B75" s="2">
        <f>COUNTIFS(交易明細!$B$2:$B$157,$A75)</f>
        <v/>
      </c>
      <c r="C75" s="2">
        <f>COUNTIFS(交易明細!$B$2:$B$157,$A75,交易明細!$C$2:$C$157,"做多")</f>
        <v/>
      </c>
      <c r="D75" s="2">
        <f>COUNTIFS(交易明細!$B$2:$B$157,$A75,交易明細!$C$2:$C$157,"做空")</f>
        <v/>
      </c>
      <c r="E75" s="2">
        <f>F75+G75+COUNTIFS(交易明細!$B$2:$B$157,$A75,交易明細!$J$2:$J$157,"時間出場")</f>
        <v/>
      </c>
      <c r="F75" s="2">
        <f>COUNTIFS(交易明細!$B$2:$B$157,$A75,交易明細!$J$2:$J$157,"止盈")</f>
        <v/>
      </c>
      <c r="G75" s="2">
        <f>COUNTIFS(交易明細!$B$2:$B$157,$A75,交易明細!$J$2:$J$157,"止損")</f>
        <v/>
      </c>
      <c r="H75" s="4">
        <f>IFERROR(F75/E75,0)</f>
        <v/>
      </c>
      <c r="I75" s="4">
        <f>IFERROR(AVERAGEIFS(交易明細!$L$2:$L$157,交易明細!$B$2:$B$157,$A75,交易明細!$J$2:$J$157,"&lt;&gt;未平倉"),0)</f>
        <v/>
      </c>
      <c r="J75" s="4">
        <f>SUMIFS(交易明細!$L$2:$L$157,交易明細!$B$2:$B$157,$A75,交易明細!$J$2:$J$157,"&lt;&gt;未平倉")</f>
        <v/>
      </c>
      <c r="K75" s="5">
        <f>IFERROR(AVERAGEIFS(交易明細!$K$2:$K$157,交易明細!$B$2:$B$157,$A75,交易明細!$J$2:$J$157,"&lt;&gt;未平倉"),0)</f>
        <v/>
      </c>
      <c r="L75" s="2">
        <f>COUNTIFS(交易明細!$B$2:$B$157,$A75,交易明細!$J$2:$J$157,"未平倉")</f>
        <v/>
      </c>
    </row>
    <row r="76">
      <c r="A76" s="2" t="inlineStr">
        <is>
          <t>AIA_USDT_PERP</t>
        </is>
      </c>
      <c r="B76" s="2">
        <f>COUNTIFS(交易明細!$B$2:$B$157,$A76)</f>
        <v/>
      </c>
      <c r="C76" s="2">
        <f>COUNTIFS(交易明細!$B$2:$B$157,$A76,交易明細!$C$2:$C$157,"做多")</f>
        <v/>
      </c>
      <c r="D76" s="2">
        <f>COUNTIFS(交易明細!$B$2:$B$157,$A76,交易明細!$C$2:$C$157,"做空")</f>
        <v/>
      </c>
      <c r="E76" s="2">
        <f>F76+G76+COUNTIFS(交易明細!$B$2:$B$157,$A76,交易明細!$J$2:$J$157,"時間出場")</f>
        <v/>
      </c>
      <c r="F76" s="2">
        <f>COUNTIFS(交易明細!$B$2:$B$157,$A76,交易明細!$J$2:$J$157,"止盈")</f>
        <v/>
      </c>
      <c r="G76" s="2">
        <f>COUNTIFS(交易明細!$B$2:$B$157,$A76,交易明細!$J$2:$J$157,"止損")</f>
        <v/>
      </c>
      <c r="H76" s="4">
        <f>IFERROR(F76/E76,0)</f>
        <v/>
      </c>
      <c r="I76" s="4">
        <f>IFERROR(AVERAGEIFS(交易明細!$L$2:$L$157,交易明細!$B$2:$B$157,$A76,交易明細!$J$2:$J$157,"&lt;&gt;未平倉"),0)</f>
        <v/>
      </c>
      <c r="J76" s="4">
        <f>SUMIFS(交易明細!$L$2:$L$157,交易明細!$B$2:$B$157,$A76,交易明細!$J$2:$J$157,"&lt;&gt;未平倉")</f>
        <v/>
      </c>
      <c r="K76" s="5">
        <f>IFERROR(AVERAGEIFS(交易明細!$K$2:$K$157,交易明細!$B$2:$B$157,$A76,交易明細!$J$2:$J$157,"&lt;&gt;未平倉"),0)</f>
        <v/>
      </c>
      <c r="L76" s="2">
        <f>COUNTIFS(交易明細!$B$2:$B$157,$A76,交易明細!$J$2:$J$157,"未平倉")</f>
        <v/>
      </c>
    </row>
    <row r="77">
      <c r="A77" s="2" t="inlineStr">
        <is>
          <t>EVAA_USDT_PERP</t>
        </is>
      </c>
      <c r="B77" s="2">
        <f>COUNTIFS(交易明細!$B$2:$B$157,$A77)</f>
        <v/>
      </c>
      <c r="C77" s="2">
        <f>COUNTIFS(交易明細!$B$2:$B$157,$A77,交易明細!$C$2:$C$157,"做多")</f>
        <v/>
      </c>
      <c r="D77" s="2">
        <f>COUNTIFS(交易明細!$B$2:$B$157,$A77,交易明細!$C$2:$C$157,"做空")</f>
        <v/>
      </c>
      <c r="E77" s="2">
        <f>F77+G77+COUNTIFS(交易明細!$B$2:$B$157,$A77,交易明細!$J$2:$J$157,"時間出場")</f>
        <v/>
      </c>
      <c r="F77" s="2">
        <f>COUNTIFS(交易明細!$B$2:$B$157,$A77,交易明細!$J$2:$J$157,"止盈")</f>
        <v/>
      </c>
      <c r="G77" s="2">
        <f>COUNTIFS(交易明細!$B$2:$B$157,$A77,交易明細!$J$2:$J$157,"止損")</f>
        <v/>
      </c>
      <c r="H77" s="4">
        <f>IFERROR(F77/E77,0)</f>
        <v/>
      </c>
      <c r="I77" s="4">
        <f>IFERROR(AVERAGEIFS(交易明細!$L$2:$L$157,交易明細!$B$2:$B$157,$A77,交易明細!$J$2:$J$157,"&lt;&gt;未平倉"),0)</f>
        <v/>
      </c>
      <c r="J77" s="4">
        <f>SUMIFS(交易明細!$L$2:$L$157,交易明細!$B$2:$B$157,$A77,交易明細!$J$2:$J$157,"&lt;&gt;未平倉")</f>
        <v/>
      </c>
      <c r="K77" s="5">
        <f>IFERROR(AVERAGEIFS(交易明細!$K$2:$K$157,交易明細!$B$2:$B$157,$A77,交易明細!$J$2:$J$157,"&lt;&gt;未平倉"),0)</f>
        <v/>
      </c>
      <c r="L77" s="2">
        <f>COUNTIFS(交易明細!$B$2:$B$157,$A77,交易明細!$J$2:$J$157,"未平倉")</f>
        <v/>
      </c>
    </row>
    <row r="78">
      <c r="A78" s="2" t="inlineStr">
        <is>
          <t>ESP_USDT_PERP</t>
        </is>
      </c>
      <c r="B78" s="2">
        <f>COUNTIFS(交易明細!$B$2:$B$157,$A78)</f>
        <v/>
      </c>
      <c r="C78" s="2">
        <f>COUNTIFS(交易明細!$B$2:$B$157,$A78,交易明細!$C$2:$C$157,"做多")</f>
        <v/>
      </c>
      <c r="D78" s="2">
        <f>COUNTIFS(交易明細!$B$2:$B$157,$A78,交易明細!$C$2:$C$157,"做空")</f>
        <v/>
      </c>
      <c r="E78" s="2">
        <f>F78+G78+COUNTIFS(交易明細!$B$2:$B$157,$A78,交易明細!$J$2:$J$157,"時間出場")</f>
        <v/>
      </c>
      <c r="F78" s="2">
        <f>COUNTIFS(交易明細!$B$2:$B$157,$A78,交易明細!$J$2:$J$157,"止盈")</f>
        <v/>
      </c>
      <c r="G78" s="2">
        <f>COUNTIFS(交易明細!$B$2:$B$157,$A78,交易明細!$J$2:$J$157,"止損")</f>
        <v/>
      </c>
      <c r="H78" s="4">
        <f>IFERROR(F78/E78,0)</f>
        <v/>
      </c>
      <c r="I78" s="4">
        <f>IFERROR(AVERAGEIFS(交易明細!$L$2:$L$157,交易明細!$B$2:$B$157,$A78,交易明細!$J$2:$J$157,"&lt;&gt;未平倉"),0)</f>
        <v/>
      </c>
      <c r="J78" s="4">
        <f>SUMIFS(交易明細!$L$2:$L$157,交易明細!$B$2:$B$157,$A78,交易明細!$J$2:$J$157,"&lt;&gt;未平倉")</f>
        <v/>
      </c>
      <c r="K78" s="5">
        <f>IFERROR(AVERAGEIFS(交易明細!$K$2:$K$157,交易明細!$B$2:$B$157,$A78,交易明細!$J$2:$J$157,"&lt;&gt;未平倉"),0)</f>
        <v/>
      </c>
      <c r="L78" s="2">
        <f>COUNTIFS(交易明細!$B$2:$B$157,$A78,交易明細!$J$2:$J$157,"未平倉")</f>
        <v/>
      </c>
    </row>
    <row r="79">
      <c r="A79" s="2" t="inlineStr">
        <is>
          <t>BANK_USDT_PERP</t>
        </is>
      </c>
      <c r="B79" s="2">
        <f>COUNTIFS(交易明細!$B$2:$B$157,$A79)</f>
        <v/>
      </c>
      <c r="C79" s="2">
        <f>COUNTIFS(交易明細!$B$2:$B$157,$A79,交易明細!$C$2:$C$157,"做多")</f>
        <v/>
      </c>
      <c r="D79" s="2">
        <f>COUNTIFS(交易明細!$B$2:$B$157,$A79,交易明細!$C$2:$C$157,"做空")</f>
        <v/>
      </c>
      <c r="E79" s="2">
        <f>F79+G79+COUNTIFS(交易明細!$B$2:$B$157,$A79,交易明細!$J$2:$J$157,"時間出場")</f>
        <v/>
      </c>
      <c r="F79" s="2">
        <f>COUNTIFS(交易明細!$B$2:$B$157,$A79,交易明細!$J$2:$J$157,"止盈")</f>
        <v/>
      </c>
      <c r="G79" s="2">
        <f>COUNTIFS(交易明細!$B$2:$B$157,$A79,交易明細!$J$2:$J$157,"止損")</f>
        <v/>
      </c>
      <c r="H79" s="4">
        <f>IFERROR(F79/E79,0)</f>
        <v/>
      </c>
      <c r="I79" s="4">
        <f>IFERROR(AVERAGEIFS(交易明細!$L$2:$L$157,交易明細!$B$2:$B$157,$A79,交易明細!$J$2:$J$157,"&lt;&gt;未平倉"),0)</f>
        <v/>
      </c>
      <c r="J79" s="4">
        <f>SUMIFS(交易明細!$L$2:$L$157,交易明細!$B$2:$B$157,$A79,交易明細!$J$2:$J$157,"&lt;&gt;未平倉")</f>
        <v/>
      </c>
      <c r="K79" s="5">
        <f>IFERROR(AVERAGEIFS(交易明細!$K$2:$K$157,交易明細!$B$2:$B$157,$A79,交易明細!$J$2:$J$157,"&lt;&gt;未平倉"),0)</f>
        <v/>
      </c>
      <c r="L79" s="2">
        <f>COUNTIFS(交易明細!$B$2:$B$157,$A79,交易明細!$J$2:$J$157,"未平倉")</f>
        <v/>
      </c>
    </row>
    <row r="80">
      <c r="A80" s="2" t="inlineStr">
        <is>
          <t>GUN_USDT_PERP</t>
        </is>
      </c>
      <c r="B80" s="2">
        <f>COUNTIFS(交易明細!$B$2:$B$157,$A80)</f>
        <v/>
      </c>
      <c r="C80" s="2">
        <f>COUNTIFS(交易明細!$B$2:$B$157,$A80,交易明細!$C$2:$C$157,"做多")</f>
        <v/>
      </c>
      <c r="D80" s="2">
        <f>COUNTIFS(交易明細!$B$2:$B$157,$A80,交易明細!$C$2:$C$157,"做空")</f>
        <v/>
      </c>
      <c r="E80" s="2">
        <f>F80+G80+COUNTIFS(交易明細!$B$2:$B$157,$A80,交易明細!$J$2:$J$157,"時間出場")</f>
        <v/>
      </c>
      <c r="F80" s="2">
        <f>COUNTIFS(交易明細!$B$2:$B$157,$A80,交易明細!$J$2:$J$157,"止盈")</f>
        <v/>
      </c>
      <c r="G80" s="2">
        <f>COUNTIFS(交易明細!$B$2:$B$157,$A80,交易明細!$J$2:$J$157,"止損")</f>
        <v/>
      </c>
      <c r="H80" s="4">
        <f>IFERROR(F80/E80,0)</f>
        <v/>
      </c>
      <c r="I80" s="4">
        <f>IFERROR(AVERAGEIFS(交易明細!$L$2:$L$157,交易明細!$B$2:$B$157,$A80,交易明細!$J$2:$J$157,"&lt;&gt;未平倉"),0)</f>
        <v/>
      </c>
      <c r="J80" s="4">
        <f>SUMIFS(交易明細!$L$2:$L$157,交易明細!$B$2:$B$157,$A80,交易明細!$J$2:$J$157,"&lt;&gt;未平倉")</f>
        <v/>
      </c>
      <c r="K80" s="5">
        <f>IFERROR(AVERAGEIFS(交易明細!$K$2:$K$157,交易明細!$B$2:$B$157,$A80,交易明細!$J$2:$J$157,"&lt;&gt;未平倉"),0)</f>
        <v/>
      </c>
      <c r="L80" s="2">
        <f>COUNTIFS(交易明細!$B$2:$B$157,$A80,交易明細!$J$2:$J$157,"未平倉")</f>
        <v/>
      </c>
    </row>
    <row r="81">
      <c r="A81" s="2" t="inlineStr">
        <is>
          <t>KMNO_USDT_PERP</t>
        </is>
      </c>
      <c r="B81" s="2">
        <f>COUNTIFS(交易明細!$B$2:$B$157,$A81)</f>
        <v/>
      </c>
      <c r="C81" s="2">
        <f>COUNTIFS(交易明細!$B$2:$B$157,$A81,交易明細!$C$2:$C$157,"做多")</f>
        <v/>
      </c>
      <c r="D81" s="2">
        <f>COUNTIFS(交易明細!$B$2:$B$157,$A81,交易明細!$C$2:$C$157,"做空")</f>
        <v/>
      </c>
      <c r="E81" s="2">
        <f>F81+G81+COUNTIFS(交易明細!$B$2:$B$157,$A81,交易明細!$J$2:$J$157,"時間出場")</f>
        <v/>
      </c>
      <c r="F81" s="2">
        <f>COUNTIFS(交易明細!$B$2:$B$157,$A81,交易明細!$J$2:$J$157,"止盈")</f>
        <v/>
      </c>
      <c r="G81" s="2">
        <f>COUNTIFS(交易明細!$B$2:$B$157,$A81,交易明細!$J$2:$J$157,"止損")</f>
        <v/>
      </c>
      <c r="H81" s="4">
        <f>IFERROR(F81/E81,0)</f>
        <v/>
      </c>
      <c r="I81" s="4">
        <f>IFERROR(AVERAGEIFS(交易明細!$L$2:$L$157,交易明細!$B$2:$B$157,$A81,交易明細!$J$2:$J$157,"&lt;&gt;未平倉"),0)</f>
        <v/>
      </c>
      <c r="J81" s="4">
        <f>SUMIFS(交易明細!$L$2:$L$157,交易明細!$B$2:$B$157,$A81,交易明細!$J$2:$J$157,"&lt;&gt;未平倉")</f>
        <v/>
      </c>
      <c r="K81" s="5">
        <f>IFERROR(AVERAGEIFS(交易明細!$K$2:$K$157,交易明細!$B$2:$B$157,$A81,交易明細!$J$2:$J$157,"&lt;&gt;未平倉"),0)</f>
        <v/>
      </c>
      <c r="L81" s="2">
        <f>COUNTIFS(交易明細!$B$2:$B$157,$A81,交易明細!$J$2:$J$157,"未平倉")</f>
        <v/>
      </c>
    </row>
    <row r="82">
      <c r="A82" s="2" t="inlineStr">
        <is>
          <t>NIL_USDT_PERP</t>
        </is>
      </c>
      <c r="B82" s="2">
        <f>COUNTIFS(交易明細!$B$2:$B$157,$A82)</f>
        <v/>
      </c>
      <c r="C82" s="2">
        <f>COUNTIFS(交易明細!$B$2:$B$157,$A82,交易明細!$C$2:$C$157,"做多")</f>
        <v/>
      </c>
      <c r="D82" s="2">
        <f>COUNTIFS(交易明細!$B$2:$B$157,$A82,交易明細!$C$2:$C$157,"做空")</f>
        <v/>
      </c>
      <c r="E82" s="2">
        <f>F82+G82+COUNTIFS(交易明細!$B$2:$B$157,$A82,交易明細!$J$2:$J$157,"時間出場")</f>
        <v/>
      </c>
      <c r="F82" s="2">
        <f>COUNTIFS(交易明細!$B$2:$B$157,$A82,交易明細!$J$2:$J$157,"止盈")</f>
        <v/>
      </c>
      <c r="G82" s="2">
        <f>COUNTIFS(交易明細!$B$2:$B$157,$A82,交易明細!$J$2:$J$157,"止損")</f>
        <v/>
      </c>
      <c r="H82" s="4">
        <f>IFERROR(F82/E82,0)</f>
        <v/>
      </c>
      <c r="I82" s="4">
        <f>IFERROR(AVERAGEIFS(交易明細!$L$2:$L$157,交易明細!$B$2:$B$157,$A82,交易明細!$J$2:$J$157,"&lt;&gt;未平倉"),0)</f>
        <v/>
      </c>
      <c r="J82" s="4">
        <f>SUMIFS(交易明細!$L$2:$L$157,交易明細!$B$2:$B$157,$A82,交易明細!$J$2:$J$157,"&lt;&gt;未平倉")</f>
        <v/>
      </c>
      <c r="K82" s="5">
        <f>IFERROR(AVERAGEIFS(交易明細!$K$2:$K$157,交易明細!$B$2:$B$157,$A82,交易明細!$J$2:$J$157,"&lt;&gt;未平倉"),0)</f>
        <v/>
      </c>
      <c r="L82" s="2">
        <f>COUNTIFS(交易明細!$B$2:$B$157,$A82,交易明細!$J$2:$J$157,"未平倉")</f>
        <v/>
      </c>
    </row>
    <row r="83">
      <c r="A83" s="2" t="inlineStr">
        <is>
          <t>ZETA_USDT_PERP</t>
        </is>
      </c>
      <c r="B83" s="2">
        <f>COUNTIFS(交易明細!$B$2:$B$157,$A83)</f>
        <v/>
      </c>
      <c r="C83" s="2">
        <f>COUNTIFS(交易明細!$B$2:$B$157,$A83,交易明細!$C$2:$C$157,"做多")</f>
        <v/>
      </c>
      <c r="D83" s="2">
        <f>COUNTIFS(交易明細!$B$2:$B$157,$A83,交易明細!$C$2:$C$157,"做空")</f>
        <v/>
      </c>
      <c r="E83" s="2">
        <f>F83+G83+COUNTIFS(交易明細!$B$2:$B$157,$A83,交易明細!$J$2:$J$157,"時間出場")</f>
        <v/>
      </c>
      <c r="F83" s="2">
        <f>COUNTIFS(交易明細!$B$2:$B$157,$A83,交易明細!$J$2:$J$157,"止盈")</f>
        <v/>
      </c>
      <c r="G83" s="2">
        <f>COUNTIFS(交易明細!$B$2:$B$157,$A83,交易明細!$J$2:$J$157,"止損")</f>
        <v/>
      </c>
      <c r="H83" s="4">
        <f>IFERROR(F83/E83,0)</f>
        <v/>
      </c>
      <c r="I83" s="4">
        <f>IFERROR(AVERAGEIFS(交易明細!$L$2:$L$157,交易明細!$B$2:$B$157,$A83,交易明細!$J$2:$J$157,"&lt;&gt;未平倉"),0)</f>
        <v/>
      </c>
      <c r="J83" s="4">
        <f>SUMIFS(交易明細!$L$2:$L$157,交易明細!$B$2:$B$157,$A83,交易明細!$J$2:$J$157,"&lt;&gt;未平倉")</f>
        <v/>
      </c>
      <c r="K83" s="5">
        <f>IFERROR(AVERAGEIFS(交易明細!$K$2:$K$157,交易明細!$B$2:$B$157,$A83,交易明細!$J$2:$J$157,"&lt;&gt;未平倉"),0)</f>
        <v/>
      </c>
      <c r="L83" s="2">
        <f>COUNTIFS(交易明細!$B$2:$B$157,$A83,交易明細!$J$2:$J$157,"未平倉")</f>
        <v/>
      </c>
    </row>
    <row r="84">
      <c r="A84" s="2" t="inlineStr">
        <is>
          <t>PROVE_USDT_PERP</t>
        </is>
      </c>
      <c r="B84" s="2">
        <f>COUNTIFS(交易明細!$B$2:$B$157,$A84)</f>
        <v/>
      </c>
      <c r="C84" s="2">
        <f>COUNTIFS(交易明細!$B$2:$B$157,$A84,交易明細!$C$2:$C$157,"做多")</f>
        <v/>
      </c>
      <c r="D84" s="2">
        <f>COUNTIFS(交易明細!$B$2:$B$157,$A84,交易明細!$C$2:$C$157,"做空")</f>
        <v/>
      </c>
      <c r="E84" s="2">
        <f>F84+G84+COUNTIFS(交易明細!$B$2:$B$157,$A84,交易明細!$J$2:$J$157,"時間出場")</f>
        <v/>
      </c>
      <c r="F84" s="2">
        <f>COUNTIFS(交易明細!$B$2:$B$157,$A84,交易明細!$J$2:$J$157,"止盈")</f>
        <v/>
      </c>
      <c r="G84" s="2">
        <f>COUNTIFS(交易明細!$B$2:$B$157,$A84,交易明細!$J$2:$J$157,"止損")</f>
        <v/>
      </c>
      <c r="H84" s="4">
        <f>IFERROR(F84/E84,0)</f>
        <v/>
      </c>
      <c r="I84" s="4">
        <f>IFERROR(AVERAGEIFS(交易明細!$L$2:$L$157,交易明細!$B$2:$B$157,$A84,交易明細!$J$2:$J$157,"&lt;&gt;未平倉"),0)</f>
        <v/>
      </c>
      <c r="J84" s="4">
        <f>SUMIFS(交易明細!$L$2:$L$157,交易明細!$B$2:$B$157,$A84,交易明細!$J$2:$J$157,"&lt;&gt;未平倉")</f>
        <v/>
      </c>
      <c r="K84" s="5">
        <f>IFERROR(AVERAGEIFS(交易明細!$K$2:$K$157,交易明細!$B$2:$B$157,$A84,交易明細!$J$2:$J$157,"&lt;&gt;未平倉"),0)</f>
        <v/>
      </c>
      <c r="L84" s="2">
        <f>COUNTIFS(交易明細!$B$2:$B$157,$A84,交易明細!$J$2:$J$157,"未平倉")</f>
        <v/>
      </c>
    </row>
    <row r="85">
      <c r="A85" s="2" t="inlineStr">
        <is>
          <t>SKR_USDT_PERP</t>
        </is>
      </c>
      <c r="B85" s="2">
        <f>COUNTIFS(交易明細!$B$2:$B$157,$A85)</f>
        <v/>
      </c>
      <c r="C85" s="2">
        <f>COUNTIFS(交易明細!$B$2:$B$157,$A85,交易明細!$C$2:$C$157,"做多")</f>
        <v/>
      </c>
      <c r="D85" s="2">
        <f>COUNTIFS(交易明細!$B$2:$B$157,$A85,交易明細!$C$2:$C$157,"做空")</f>
        <v/>
      </c>
      <c r="E85" s="2">
        <f>F85+G85+COUNTIFS(交易明細!$B$2:$B$157,$A85,交易明細!$J$2:$J$157,"時間出場")</f>
        <v/>
      </c>
      <c r="F85" s="2">
        <f>COUNTIFS(交易明細!$B$2:$B$157,$A85,交易明細!$J$2:$J$157,"止盈")</f>
        <v/>
      </c>
      <c r="G85" s="2">
        <f>COUNTIFS(交易明細!$B$2:$B$157,$A85,交易明細!$J$2:$J$157,"止損")</f>
        <v/>
      </c>
      <c r="H85" s="4">
        <f>IFERROR(F85/E85,0)</f>
        <v/>
      </c>
      <c r="I85" s="4">
        <f>IFERROR(AVERAGEIFS(交易明細!$L$2:$L$157,交易明細!$B$2:$B$157,$A85,交易明細!$J$2:$J$157,"&lt;&gt;未平倉"),0)</f>
        <v/>
      </c>
      <c r="J85" s="4">
        <f>SUMIFS(交易明細!$L$2:$L$157,交易明細!$B$2:$B$157,$A85,交易明細!$J$2:$J$157,"&lt;&gt;未平倉")</f>
        <v/>
      </c>
      <c r="K85" s="5">
        <f>IFERROR(AVERAGEIFS(交易明細!$K$2:$K$157,交易明細!$B$2:$B$157,$A85,交易明細!$J$2:$J$157,"&lt;&gt;未平倉"),0)</f>
        <v/>
      </c>
      <c r="L85" s="2">
        <f>COUNTIFS(交易明細!$B$2:$B$157,$A85,交易明細!$J$2:$J$157,"未平倉")</f>
        <v/>
      </c>
    </row>
    <row r="86">
      <c r="A86" s="2" t="inlineStr">
        <is>
          <t>GRASS_USDT_PERP</t>
        </is>
      </c>
      <c r="B86" s="2">
        <f>COUNTIFS(交易明細!$B$2:$B$157,$A86)</f>
        <v/>
      </c>
      <c r="C86" s="2">
        <f>COUNTIFS(交易明細!$B$2:$B$157,$A86,交易明細!$C$2:$C$157,"做多")</f>
        <v/>
      </c>
      <c r="D86" s="2">
        <f>COUNTIFS(交易明細!$B$2:$B$157,$A86,交易明細!$C$2:$C$157,"做空")</f>
        <v/>
      </c>
      <c r="E86" s="2">
        <f>F86+G86+COUNTIFS(交易明細!$B$2:$B$157,$A86,交易明細!$J$2:$J$157,"時間出場")</f>
        <v/>
      </c>
      <c r="F86" s="2">
        <f>COUNTIFS(交易明細!$B$2:$B$157,$A86,交易明細!$J$2:$J$157,"止盈")</f>
        <v/>
      </c>
      <c r="G86" s="2">
        <f>COUNTIFS(交易明細!$B$2:$B$157,$A86,交易明細!$J$2:$J$157,"止損")</f>
        <v/>
      </c>
      <c r="H86" s="4">
        <f>IFERROR(F86/E86,0)</f>
        <v/>
      </c>
      <c r="I86" s="4">
        <f>IFERROR(AVERAGEIFS(交易明細!$L$2:$L$157,交易明細!$B$2:$B$157,$A86,交易明細!$J$2:$J$157,"&lt;&gt;未平倉"),0)</f>
        <v/>
      </c>
      <c r="J86" s="4">
        <f>SUMIFS(交易明細!$L$2:$L$157,交易明細!$B$2:$B$157,$A86,交易明細!$J$2:$J$157,"&lt;&gt;未平倉")</f>
        <v/>
      </c>
      <c r="K86" s="5">
        <f>IFERROR(AVERAGEIFS(交易明細!$K$2:$K$157,交易明細!$B$2:$B$157,$A86,交易明細!$J$2:$J$157,"&lt;&gt;未平倉"),0)</f>
        <v/>
      </c>
      <c r="L86" s="2">
        <f>COUNTIFS(交易明細!$B$2:$B$157,$A86,交易明細!$J$2:$J$157,"未平倉")</f>
        <v/>
      </c>
    </row>
    <row r="87">
      <c r="A87" s="2" t="inlineStr">
        <is>
          <t>SXT_USDT_PERP</t>
        </is>
      </c>
      <c r="B87" s="2">
        <f>COUNTIFS(交易明細!$B$2:$B$157,$A87)</f>
        <v/>
      </c>
      <c r="C87" s="2">
        <f>COUNTIFS(交易明細!$B$2:$B$157,$A87,交易明細!$C$2:$C$157,"做多")</f>
        <v/>
      </c>
      <c r="D87" s="2">
        <f>COUNTIFS(交易明細!$B$2:$B$157,$A87,交易明細!$C$2:$C$157,"做空")</f>
        <v/>
      </c>
      <c r="E87" s="2">
        <f>F87+G87+COUNTIFS(交易明細!$B$2:$B$157,$A87,交易明細!$J$2:$J$157,"時間出場")</f>
        <v/>
      </c>
      <c r="F87" s="2">
        <f>COUNTIFS(交易明細!$B$2:$B$157,$A87,交易明細!$J$2:$J$157,"止盈")</f>
        <v/>
      </c>
      <c r="G87" s="2">
        <f>COUNTIFS(交易明細!$B$2:$B$157,$A87,交易明細!$J$2:$J$157,"止損")</f>
        <v/>
      </c>
      <c r="H87" s="4">
        <f>IFERROR(F87/E87,0)</f>
        <v/>
      </c>
      <c r="I87" s="4">
        <f>IFERROR(AVERAGEIFS(交易明細!$L$2:$L$157,交易明細!$B$2:$B$157,$A87,交易明細!$J$2:$J$157,"&lt;&gt;未平倉"),0)</f>
        <v/>
      </c>
      <c r="J87" s="4">
        <f>SUMIFS(交易明細!$L$2:$L$157,交易明細!$B$2:$B$157,$A87,交易明細!$J$2:$J$157,"&lt;&gt;未平倉")</f>
        <v/>
      </c>
      <c r="K87" s="5">
        <f>IFERROR(AVERAGEIFS(交易明細!$K$2:$K$157,交易明細!$B$2:$B$157,$A87,交易明細!$J$2:$J$157,"&lt;&gt;未平倉"),0)</f>
        <v/>
      </c>
      <c r="L87" s="2">
        <f>COUNTIFS(交易明細!$B$2:$B$157,$A87,交易明細!$J$2:$J$157,"未平倉")</f>
        <v/>
      </c>
    </row>
    <row r="88">
      <c r="A88" s="2" t="inlineStr">
        <is>
          <t>BSV_USDT_PERP</t>
        </is>
      </c>
      <c r="B88" s="2">
        <f>COUNTIFS(交易明細!$B$2:$B$157,$A88)</f>
        <v/>
      </c>
      <c r="C88" s="2">
        <f>COUNTIFS(交易明細!$B$2:$B$157,$A88,交易明細!$C$2:$C$157,"做多")</f>
        <v/>
      </c>
      <c r="D88" s="2">
        <f>COUNTIFS(交易明細!$B$2:$B$157,$A88,交易明細!$C$2:$C$157,"做空")</f>
        <v/>
      </c>
      <c r="E88" s="2">
        <f>F88+G88+COUNTIFS(交易明細!$B$2:$B$157,$A88,交易明細!$J$2:$J$157,"時間出場")</f>
        <v/>
      </c>
      <c r="F88" s="2">
        <f>COUNTIFS(交易明細!$B$2:$B$157,$A88,交易明細!$J$2:$J$157,"止盈")</f>
        <v/>
      </c>
      <c r="G88" s="2">
        <f>COUNTIFS(交易明細!$B$2:$B$157,$A88,交易明細!$J$2:$J$157,"止損")</f>
        <v/>
      </c>
      <c r="H88" s="4">
        <f>IFERROR(F88/E88,0)</f>
        <v/>
      </c>
      <c r="I88" s="4">
        <f>IFERROR(AVERAGEIFS(交易明細!$L$2:$L$157,交易明細!$B$2:$B$157,$A88,交易明細!$J$2:$J$157,"&lt;&gt;未平倉"),0)</f>
        <v/>
      </c>
      <c r="J88" s="4">
        <f>SUMIFS(交易明細!$L$2:$L$157,交易明細!$B$2:$B$157,$A88,交易明細!$J$2:$J$157,"&lt;&gt;未平倉")</f>
        <v/>
      </c>
      <c r="K88" s="5">
        <f>IFERROR(AVERAGEIFS(交易明細!$K$2:$K$157,交易明細!$B$2:$B$157,$A88,交易明細!$J$2:$J$157,"&lt;&gt;未平倉"),0)</f>
        <v/>
      </c>
      <c r="L88" s="2">
        <f>COUNTIFS(交易明細!$B$2:$B$157,$A88,交易明細!$J$2:$J$157,"未平倉")</f>
        <v/>
      </c>
    </row>
    <row r="89">
      <c r="A89" s="2" t="inlineStr">
        <is>
          <t>TAKE_USDT_PERP</t>
        </is>
      </c>
      <c r="B89" s="2">
        <f>COUNTIFS(交易明細!$B$2:$B$157,$A89)</f>
        <v/>
      </c>
      <c r="C89" s="2">
        <f>COUNTIFS(交易明細!$B$2:$B$157,$A89,交易明細!$C$2:$C$157,"做多")</f>
        <v/>
      </c>
      <c r="D89" s="2">
        <f>COUNTIFS(交易明細!$B$2:$B$157,$A89,交易明細!$C$2:$C$157,"做空")</f>
        <v/>
      </c>
      <c r="E89" s="2">
        <f>F89+G89+COUNTIFS(交易明細!$B$2:$B$157,$A89,交易明細!$J$2:$J$157,"時間出場")</f>
        <v/>
      </c>
      <c r="F89" s="2">
        <f>COUNTIFS(交易明細!$B$2:$B$157,$A89,交易明細!$J$2:$J$157,"止盈")</f>
        <v/>
      </c>
      <c r="G89" s="2">
        <f>COUNTIFS(交易明細!$B$2:$B$157,$A89,交易明細!$J$2:$J$157,"止損")</f>
        <v/>
      </c>
      <c r="H89" s="4">
        <f>IFERROR(F89/E89,0)</f>
        <v/>
      </c>
      <c r="I89" s="4">
        <f>IFERROR(AVERAGEIFS(交易明細!$L$2:$L$157,交易明細!$B$2:$B$157,$A89,交易明細!$J$2:$J$157,"&lt;&gt;未平倉"),0)</f>
        <v/>
      </c>
      <c r="J89" s="4">
        <f>SUMIFS(交易明細!$L$2:$L$157,交易明細!$B$2:$B$157,$A89,交易明細!$J$2:$J$157,"&lt;&gt;未平倉")</f>
        <v/>
      </c>
      <c r="K89" s="5">
        <f>IFERROR(AVERAGEIFS(交易明細!$K$2:$K$157,交易明細!$B$2:$B$157,$A89,交易明細!$J$2:$J$157,"&lt;&gt;未平倉"),0)</f>
        <v/>
      </c>
      <c r="L89" s="2">
        <f>COUNTIFS(交易明細!$B$2:$B$157,$A89,交易明細!$J$2:$J$157,"未平倉")</f>
        <v/>
      </c>
    </row>
    <row r="90">
      <c r="A90" s="2" t="inlineStr">
        <is>
          <t>XNY_USDT_PERP</t>
        </is>
      </c>
      <c r="B90" s="2">
        <f>COUNTIFS(交易明細!$B$2:$B$157,$A90)</f>
        <v/>
      </c>
      <c r="C90" s="2">
        <f>COUNTIFS(交易明細!$B$2:$B$157,$A90,交易明細!$C$2:$C$157,"做多")</f>
        <v/>
      </c>
      <c r="D90" s="2">
        <f>COUNTIFS(交易明細!$B$2:$B$157,$A90,交易明細!$C$2:$C$157,"做空")</f>
        <v/>
      </c>
      <c r="E90" s="2">
        <f>F90+G90+COUNTIFS(交易明細!$B$2:$B$157,$A90,交易明細!$J$2:$J$157,"時間出場")</f>
        <v/>
      </c>
      <c r="F90" s="2">
        <f>COUNTIFS(交易明細!$B$2:$B$157,$A90,交易明細!$J$2:$J$157,"止盈")</f>
        <v/>
      </c>
      <c r="G90" s="2">
        <f>COUNTIFS(交易明細!$B$2:$B$157,$A90,交易明細!$J$2:$J$157,"止損")</f>
        <v/>
      </c>
      <c r="H90" s="4">
        <f>IFERROR(F90/E90,0)</f>
        <v/>
      </c>
      <c r="I90" s="4">
        <f>IFERROR(AVERAGEIFS(交易明細!$L$2:$L$157,交易明細!$B$2:$B$157,$A90,交易明細!$J$2:$J$157,"&lt;&gt;未平倉"),0)</f>
        <v/>
      </c>
      <c r="J90" s="4">
        <f>SUMIFS(交易明細!$L$2:$L$157,交易明細!$B$2:$B$157,$A90,交易明細!$J$2:$J$157,"&lt;&gt;未平倉")</f>
        <v/>
      </c>
      <c r="K90" s="5">
        <f>IFERROR(AVERAGEIFS(交易明細!$K$2:$K$157,交易明細!$B$2:$B$157,$A90,交易明細!$J$2:$J$157,"&lt;&gt;未平倉"),0)</f>
        <v/>
      </c>
      <c r="L90" s="2">
        <f>COUNTIFS(交易明細!$B$2:$B$157,$A90,交易明細!$J$2:$J$157,"未平倉")</f>
        <v/>
      </c>
    </row>
    <row r="91">
      <c r="A91" s="2" t="inlineStr">
        <is>
          <t>TUT_USDT_PERP</t>
        </is>
      </c>
      <c r="B91" s="2">
        <f>COUNTIFS(交易明細!$B$2:$B$157,$A91)</f>
        <v/>
      </c>
      <c r="C91" s="2">
        <f>COUNTIFS(交易明細!$B$2:$B$157,$A91,交易明細!$C$2:$C$157,"做多")</f>
        <v/>
      </c>
      <c r="D91" s="2">
        <f>COUNTIFS(交易明細!$B$2:$B$157,$A91,交易明細!$C$2:$C$157,"做空")</f>
        <v/>
      </c>
      <c r="E91" s="2">
        <f>F91+G91+COUNTIFS(交易明細!$B$2:$B$157,$A91,交易明細!$J$2:$J$157,"時間出場")</f>
        <v/>
      </c>
      <c r="F91" s="2">
        <f>COUNTIFS(交易明細!$B$2:$B$157,$A91,交易明細!$J$2:$J$157,"止盈")</f>
        <v/>
      </c>
      <c r="G91" s="2">
        <f>COUNTIFS(交易明細!$B$2:$B$157,$A91,交易明細!$J$2:$J$157,"止損")</f>
        <v/>
      </c>
      <c r="H91" s="4">
        <f>IFERROR(F91/E91,0)</f>
        <v/>
      </c>
      <c r="I91" s="4">
        <f>IFERROR(AVERAGEIFS(交易明細!$L$2:$L$157,交易明細!$B$2:$B$157,$A91,交易明細!$J$2:$J$157,"&lt;&gt;未平倉"),0)</f>
        <v/>
      </c>
      <c r="J91" s="4">
        <f>SUMIFS(交易明細!$L$2:$L$157,交易明細!$B$2:$B$157,$A91,交易明細!$J$2:$J$157,"&lt;&gt;未平倉")</f>
        <v/>
      </c>
      <c r="K91" s="5">
        <f>IFERROR(AVERAGEIFS(交易明細!$K$2:$K$157,交易明細!$B$2:$B$157,$A91,交易明細!$J$2:$J$157,"&lt;&gt;未平倉"),0)</f>
        <v/>
      </c>
      <c r="L91" s="2">
        <f>COUNTIFS(交易明細!$B$2:$B$157,$A91,交易明細!$J$2:$J$157,"未平倉")</f>
        <v/>
      </c>
    </row>
    <row r="92">
      <c r="A92" s="2" t="inlineStr">
        <is>
          <t>BROCCOLI_USDT_PERP</t>
        </is>
      </c>
      <c r="B92" s="2">
        <f>COUNTIFS(交易明細!$B$2:$B$157,$A92)</f>
        <v/>
      </c>
      <c r="C92" s="2">
        <f>COUNTIFS(交易明細!$B$2:$B$157,$A92,交易明細!$C$2:$C$157,"做多")</f>
        <v/>
      </c>
      <c r="D92" s="2">
        <f>COUNTIFS(交易明細!$B$2:$B$157,$A92,交易明細!$C$2:$C$157,"做空")</f>
        <v/>
      </c>
      <c r="E92" s="2">
        <f>F92+G92+COUNTIFS(交易明細!$B$2:$B$157,$A92,交易明細!$J$2:$J$157,"時間出場")</f>
        <v/>
      </c>
      <c r="F92" s="2">
        <f>COUNTIFS(交易明細!$B$2:$B$157,$A92,交易明細!$J$2:$J$157,"止盈")</f>
        <v/>
      </c>
      <c r="G92" s="2">
        <f>COUNTIFS(交易明細!$B$2:$B$157,$A92,交易明細!$J$2:$J$157,"止損")</f>
        <v/>
      </c>
      <c r="H92" s="4">
        <f>IFERROR(F92/E92,0)</f>
        <v/>
      </c>
      <c r="I92" s="4">
        <f>IFERROR(AVERAGEIFS(交易明細!$L$2:$L$157,交易明細!$B$2:$B$157,$A92,交易明細!$J$2:$J$157,"&lt;&gt;未平倉"),0)</f>
        <v/>
      </c>
      <c r="J92" s="4">
        <f>SUMIFS(交易明細!$L$2:$L$157,交易明細!$B$2:$B$157,$A92,交易明細!$J$2:$J$157,"&lt;&gt;未平倉")</f>
        <v/>
      </c>
      <c r="K92" s="5">
        <f>IFERROR(AVERAGEIFS(交易明細!$K$2:$K$157,交易明細!$B$2:$B$157,$A92,交易明細!$J$2:$J$157,"&lt;&gt;未平倉"),0)</f>
        <v/>
      </c>
      <c r="L92" s="2">
        <f>COUNTIFS(交易明細!$B$2:$B$157,$A92,交易明細!$J$2:$J$157,"未平倉")</f>
        <v/>
      </c>
    </row>
    <row r="93">
      <c r="A93" s="2" t="inlineStr">
        <is>
          <t>BULLA_USDT_PERP</t>
        </is>
      </c>
      <c r="B93" s="2">
        <f>COUNTIFS(交易明細!$B$2:$B$157,$A93)</f>
        <v/>
      </c>
      <c r="C93" s="2">
        <f>COUNTIFS(交易明細!$B$2:$B$157,$A93,交易明細!$C$2:$C$157,"做多")</f>
        <v/>
      </c>
      <c r="D93" s="2">
        <f>COUNTIFS(交易明細!$B$2:$B$157,$A93,交易明細!$C$2:$C$157,"做空")</f>
        <v/>
      </c>
      <c r="E93" s="2">
        <f>F93+G93+COUNTIFS(交易明細!$B$2:$B$157,$A93,交易明細!$J$2:$J$157,"時間出場")</f>
        <v/>
      </c>
      <c r="F93" s="2">
        <f>COUNTIFS(交易明細!$B$2:$B$157,$A93,交易明細!$J$2:$J$157,"止盈")</f>
        <v/>
      </c>
      <c r="G93" s="2">
        <f>COUNTIFS(交易明細!$B$2:$B$157,$A93,交易明細!$J$2:$J$157,"止損")</f>
        <v/>
      </c>
      <c r="H93" s="4">
        <f>IFERROR(F93/E93,0)</f>
        <v/>
      </c>
      <c r="I93" s="4">
        <f>IFERROR(AVERAGEIFS(交易明細!$L$2:$L$157,交易明細!$B$2:$B$157,$A93,交易明細!$J$2:$J$157,"&lt;&gt;未平倉"),0)</f>
        <v/>
      </c>
      <c r="J93" s="4">
        <f>SUMIFS(交易明細!$L$2:$L$157,交易明細!$B$2:$B$157,$A93,交易明細!$J$2:$J$157,"&lt;&gt;未平倉")</f>
        <v/>
      </c>
      <c r="K93" s="5">
        <f>IFERROR(AVERAGEIFS(交易明細!$K$2:$K$157,交易明細!$B$2:$B$157,$A93,交易明細!$J$2:$J$157,"&lt;&gt;未平倉"),0)</f>
        <v/>
      </c>
      <c r="L93" s="2">
        <f>COUNTIFS(交易明細!$B$2:$B$157,$A93,交易明細!$J$2:$J$157,"未平倉")</f>
        <v/>
      </c>
    </row>
    <row r="94">
      <c r="A94" s="2" t="inlineStr">
        <is>
          <t>XAI_USDT_PERP</t>
        </is>
      </c>
      <c r="B94" s="2">
        <f>COUNTIFS(交易明細!$B$2:$B$157,$A94)</f>
        <v/>
      </c>
      <c r="C94" s="2">
        <f>COUNTIFS(交易明細!$B$2:$B$157,$A94,交易明細!$C$2:$C$157,"做多")</f>
        <v/>
      </c>
      <c r="D94" s="2">
        <f>COUNTIFS(交易明細!$B$2:$B$157,$A94,交易明細!$C$2:$C$157,"做空")</f>
        <v/>
      </c>
      <c r="E94" s="2">
        <f>F94+G94+COUNTIFS(交易明細!$B$2:$B$157,$A94,交易明細!$J$2:$J$157,"時間出場")</f>
        <v/>
      </c>
      <c r="F94" s="2">
        <f>COUNTIFS(交易明細!$B$2:$B$157,$A94,交易明細!$J$2:$J$157,"止盈")</f>
        <v/>
      </c>
      <c r="G94" s="2">
        <f>COUNTIFS(交易明細!$B$2:$B$157,$A94,交易明細!$J$2:$J$157,"止損")</f>
        <v/>
      </c>
      <c r="H94" s="4">
        <f>IFERROR(F94/E94,0)</f>
        <v/>
      </c>
      <c r="I94" s="4">
        <f>IFERROR(AVERAGEIFS(交易明細!$L$2:$L$157,交易明細!$B$2:$B$157,$A94,交易明細!$J$2:$J$157,"&lt;&gt;未平倉"),0)</f>
        <v/>
      </c>
      <c r="J94" s="4">
        <f>SUMIFS(交易明細!$L$2:$L$157,交易明細!$B$2:$B$157,$A94,交易明細!$J$2:$J$157,"&lt;&gt;未平倉")</f>
        <v/>
      </c>
      <c r="K94" s="5">
        <f>IFERROR(AVERAGEIFS(交易明細!$K$2:$K$157,交易明細!$B$2:$B$157,$A94,交易明細!$J$2:$J$157,"&lt;&gt;未平倉"),0)</f>
        <v/>
      </c>
      <c r="L94" s="2">
        <f>COUNTIFS(交易明細!$B$2:$B$157,$A94,交易明細!$J$2:$J$157,"未平倉")</f>
        <v/>
      </c>
    </row>
    <row r="95">
      <c r="A95" s="2" t="inlineStr">
        <is>
          <t>2Z_USDT_PERP</t>
        </is>
      </c>
      <c r="B95" s="2">
        <f>COUNTIFS(交易明細!$B$2:$B$157,$A95)</f>
        <v/>
      </c>
      <c r="C95" s="2">
        <f>COUNTIFS(交易明細!$B$2:$B$157,$A95,交易明細!$C$2:$C$157,"做多")</f>
        <v/>
      </c>
      <c r="D95" s="2">
        <f>COUNTIFS(交易明細!$B$2:$B$157,$A95,交易明細!$C$2:$C$157,"做空")</f>
        <v/>
      </c>
      <c r="E95" s="2">
        <f>F95+G95+COUNTIFS(交易明細!$B$2:$B$157,$A95,交易明細!$J$2:$J$157,"時間出場")</f>
        <v/>
      </c>
      <c r="F95" s="2">
        <f>COUNTIFS(交易明細!$B$2:$B$157,$A95,交易明細!$J$2:$J$157,"止盈")</f>
        <v/>
      </c>
      <c r="G95" s="2">
        <f>COUNTIFS(交易明細!$B$2:$B$157,$A95,交易明細!$J$2:$J$157,"止損")</f>
        <v/>
      </c>
      <c r="H95" s="4">
        <f>IFERROR(F95/E95,0)</f>
        <v/>
      </c>
      <c r="I95" s="4">
        <f>IFERROR(AVERAGEIFS(交易明細!$L$2:$L$157,交易明細!$B$2:$B$157,$A95,交易明細!$J$2:$J$157,"&lt;&gt;未平倉"),0)</f>
        <v/>
      </c>
      <c r="J95" s="4">
        <f>SUMIFS(交易明細!$L$2:$L$157,交易明細!$B$2:$B$157,$A95,交易明細!$J$2:$J$157,"&lt;&gt;未平倉")</f>
        <v/>
      </c>
      <c r="K95" s="5">
        <f>IFERROR(AVERAGEIFS(交易明細!$K$2:$K$157,交易明細!$B$2:$B$157,$A95,交易明細!$J$2:$J$157,"&lt;&gt;未平倉"),0)</f>
        <v/>
      </c>
      <c r="L95" s="2">
        <f>COUNTIFS(交易明細!$B$2:$B$157,$A95,交易明細!$J$2:$J$157,"未平倉")</f>
        <v/>
      </c>
    </row>
    <row r="96">
      <c r="A96" s="2" t="inlineStr">
        <is>
          <t>US_USDT_PERP</t>
        </is>
      </c>
      <c r="B96" s="2">
        <f>COUNTIFS(交易明細!$B$2:$B$157,$A96)</f>
        <v/>
      </c>
      <c r="C96" s="2">
        <f>COUNTIFS(交易明細!$B$2:$B$157,$A96,交易明細!$C$2:$C$157,"做多")</f>
        <v/>
      </c>
      <c r="D96" s="2">
        <f>COUNTIFS(交易明細!$B$2:$B$157,$A96,交易明細!$C$2:$C$157,"做空")</f>
        <v/>
      </c>
      <c r="E96" s="2">
        <f>F96+G96+COUNTIFS(交易明細!$B$2:$B$157,$A96,交易明細!$J$2:$J$157,"時間出場")</f>
        <v/>
      </c>
      <c r="F96" s="2">
        <f>COUNTIFS(交易明細!$B$2:$B$157,$A96,交易明細!$J$2:$J$157,"止盈")</f>
        <v/>
      </c>
      <c r="G96" s="2">
        <f>COUNTIFS(交易明細!$B$2:$B$157,$A96,交易明細!$J$2:$J$157,"止損")</f>
        <v/>
      </c>
      <c r="H96" s="4">
        <f>IFERROR(F96/E96,0)</f>
        <v/>
      </c>
      <c r="I96" s="4">
        <f>IFERROR(AVERAGEIFS(交易明細!$L$2:$L$157,交易明細!$B$2:$B$157,$A96,交易明細!$J$2:$J$157,"&lt;&gt;未平倉"),0)</f>
        <v/>
      </c>
      <c r="J96" s="4">
        <f>SUMIFS(交易明細!$L$2:$L$157,交易明細!$B$2:$B$157,$A96,交易明細!$J$2:$J$157,"&lt;&gt;未平倉")</f>
        <v/>
      </c>
      <c r="K96" s="5">
        <f>IFERROR(AVERAGEIFS(交易明細!$K$2:$K$157,交易明細!$B$2:$B$157,$A96,交易明細!$J$2:$J$157,"&lt;&gt;未平倉"),0)</f>
        <v/>
      </c>
      <c r="L96" s="2">
        <f>COUNTIFS(交易明細!$B$2:$B$157,$A96,交易明細!$J$2:$J$157,"未平倉")</f>
        <v/>
      </c>
    </row>
    <row r="97">
      <c r="A97" s="2" t="inlineStr">
        <is>
          <t>CLANKER_USDT_PERP</t>
        </is>
      </c>
      <c r="B97" s="2">
        <f>COUNTIFS(交易明細!$B$2:$B$157,$A97)</f>
        <v/>
      </c>
      <c r="C97" s="2">
        <f>COUNTIFS(交易明細!$B$2:$B$157,$A97,交易明細!$C$2:$C$157,"做多")</f>
        <v/>
      </c>
      <c r="D97" s="2">
        <f>COUNTIFS(交易明細!$B$2:$B$157,$A97,交易明細!$C$2:$C$157,"做空")</f>
        <v/>
      </c>
      <c r="E97" s="2">
        <f>F97+G97+COUNTIFS(交易明細!$B$2:$B$157,$A97,交易明細!$J$2:$J$157,"時間出場")</f>
        <v/>
      </c>
      <c r="F97" s="2">
        <f>COUNTIFS(交易明細!$B$2:$B$157,$A97,交易明細!$J$2:$J$157,"止盈")</f>
        <v/>
      </c>
      <c r="G97" s="2">
        <f>COUNTIFS(交易明細!$B$2:$B$157,$A97,交易明細!$J$2:$J$157,"止損")</f>
        <v/>
      </c>
      <c r="H97" s="4">
        <f>IFERROR(F97/E97,0)</f>
        <v/>
      </c>
      <c r="I97" s="4">
        <f>IFERROR(AVERAGEIFS(交易明細!$L$2:$L$157,交易明細!$B$2:$B$157,$A97,交易明細!$J$2:$J$157,"&lt;&gt;未平倉"),0)</f>
        <v/>
      </c>
      <c r="J97" s="4">
        <f>SUMIFS(交易明細!$L$2:$L$157,交易明細!$B$2:$B$157,$A97,交易明細!$J$2:$J$157,"&lt;&gt;未平倉")</f>
        <v/>
      </c>
      <c r="K97" s="5">
        <f>IFERROR(AVERAGEIFS(交易明細!$K$2:$K$157,交易明細!$B$2:$B$157,$A97,交易明細!$J$2:$J$157,"&lt;&gt;未平倉"),0)</f>
        <v/>
      </c>
      <c r="L97" s="2">
        <f>COUNTIFS(交易明細!$B$2:$B$157,$A97,交易明細!$J$2:$J$157,"未平倉")</f>
        <v/>
      </c>
    </row>
    <row r="98">
      <c r="A98" s="2" t="inlineStr">
        <is>
          <t>SOON_USDT_PERP</t>
        </is>
      </c>
      <c r="B98" s="2">
        <f>COUNTIFS(交易明細!$B$2:$B$157,$A98)</f>
        <v/>
      </c>
      <c r="C98" s="2">
        <f>COUNTIFS(交易明細!$B$2:$B$157,$A98,交易明細!$C$2:$C$157,"做多")</f>
        <v/>
      </c>
      <c r="D98" s="2">
        <f>COUNTIFS(交易明細!$B$2:$B$157,$A98,交易明細!$C$2:$C$157,"做空")</f>
        <v/>
      </c>
      <c r="E98" s="2">
        <f>F98+G98+COUNTIFS(交易明細!$B$2:$B$157,$A98,交易明細!$J$2:$J$157,"時間出場")</f>
        <v/>
      </c>
      <c r="F98" s="2">
        <f>COUNTIFS(交易明細!$B$2:$B$157,$A98,交易明細!$J$2:$J$157,"止盈")</f>
        <v/>
      </c>
      <c r="G98" s="2">
        <f>COUNTIFS(交易明細!$B$2:$B$157,$A98,交易明細!$J$2:$J$157,"止損")</f>
        <v/>
      </c>
      <c r="H98" s="4">
        <f>IFERROR(F98/E98,0)</f>
        <v/>
      </c>
      <c r="I98" s="4">
        <f>IFERROR(AVERAGEIFS(交易明細!$L$2:$L$157,交易明細!$B$2:$B$157,$A98,交易明細!$J$2:$J$157,"&lt;&gt;未平倉"),0)</f>
        <v/>
      </c>
      <c r="J98" s="4">
        <f>SUMIFS(交易明細!$L$2:$L$157,交易明細!$B$2:$B$157,$A98,交易明細!$J$2:$J$157,"&lt;&gt;未平倉")</f>
        <v/>
      </c>
      <c r="K98" s="5">
        <f>IFERROR(AVERAGEIFS(交易明細!$K$2:$K$157,交易明細!$B$2:$B$157,$A98,交易明細!$J$2:$J$157,"&lt;&gt;未平倉"),0)</f>
        <v/>
      </c>
      <c r="L98" s="2">
        <f>COUNTIFS(交易明細!$B$2:$B$157,$A98,交易明細!$J$2:$J$157,"未平倉")</f>
        <v/>
      </c>
    </row>
    <row r="99">
      <c r="A99" s="2" t="inlineStr">
        <is>
          <t>ARX_USDT_PERP</t>
        </is>
      </c>
      <c r="B99" s="2">
        <f>COUNTIFS(交易明細!$B$2:$B$157,$A99)</f>
        <v/>
      </c>
      <c r="C99" s="2">
        <f>COUNTIFS(交易明細!$B$2:$B$157,$A99,交易明細!$C$2:$C$157,"做多")</f>
        <v/>
      </c>
      <c r="D99" s="2">
        <f>COUNTIFS(交易明細!$B$2:$B$157,$A99,交易明細!$C$2:$C$157,"做空")</f>
        <v/>
      </c>
      <c r="E99" s="2">
        <f>F99+G99+COUNTIFS(交易明細!$B$2:$B$157,$A99,交易明細!$J$2:$J$157,"時間出場")</f>
        <v/>
      </c>
      <c r="F99" s="2">
        <f>COUNTIFS(交易明細!$B$2:$B$157,$A99,交易明細!$J$2:$J$157,"止盈")</f>
        <v/>
      </c>
      <c r="G99" s="2">
        <f>COUNTIFS(交易明細!$B$2:$B$157,$A99,交易明細!$J$2:$J$157,"止損")</f>
        <v/>
      </c>
      <c r="H99" s="4">
        <f>IFERROR(F99/E99,0)</f>
        <v/>
      </c>
      <c r="I99" s="4">
        <f>IFERROR(AVERAGEIFS(交易明細!$L$2:$L$157,交易明細!$B$2:$B$157,$A99,交易明細!$J$2:$J$157,"&lt;&gt;未平倉"),0)</f>
        <v/>
      </c>
      <c r="J99" s="4">
        <f>SUMIFS(交易明細!$L$2:$L$157,交易明細!$B$2:$B$157,$A99,交易明細!$J$2:$J$157,"&lt;&gt;未平倉")</f>
        <v/>
      </c>
      <c r="K99" s="5">
        <f>IFERROR(AVERAGEIFS(交易明細!$K$2:$K$157,交易明細!$B$2:$B$157,$A99,交易明細!$J$2:$J$157,"&lt;&gt;未平倉"),0)</f>
        <v/>
      </c>
      <c r="L99" s="2">
        <f>COUNTIFS(交易明細!$B$2:$B$157,$A99,交易明細!$J$2:$J$157,"未平倉")</f>
        <v/>
      </c>
    </row>
    <row r="100">
      <c r="A100" s="2" t="inlineStr">
        <is>
          <t>MAGIC_USDT_PERP</t>
        </is>
      </c>
      <c r="B100" s="2">
        <f>COUNTIFS(交易明細!$B$2:$B$157,$A100)</f>
        <v/>
      </c>
      <c r="C100" s="2">
        <f>COUNTIFS(交易明細!$B$2:$B$157,$A100,交易明細!$C$2:$C$157,"做多")</f>
        <v/>
      </c>
      <c r="D100" s="2">
        <f>COUNTIFS(交易明細!$B$2:$B$157,$A100,交易明細!$C$2:$C$157,"做空")</f>
        <v/>
      </c>
      <c r="E100" s="2">
        <f>F100+G100+COUNTIFS(交易明細!$B$2:$B$157,$A100,交易明細!$J$2:$J$157,"時間出場")</f>
        <v/>
      </c>
      <c r="F100" s="2">
        <f>COUNTIFS(交易明細!$B$2:$B$157,$A100,交易明細!$J$2:$J$157,"止盈")</f>
        <v/>
      </c>
      <c r="G100" s="2">
        <f>COUNTIFS(交易明細!$B$2:$B$157,$A100,交易明細!$J$2:$J$157,"止損")</f>
        <v/>
      </c>
      <c r="H100" s="4">
        <f>IFERROR(F100/E100,0)</f>
        <v/>
      </c>
      <c r="I100" s="4">
        <f>IFERROR(AVERAGEIFS(交易明細!$L$2:$L$157,交易明細!$B$2:$B$157,$A100,交易明細!$J$2:$J$157,"&lt;&gt;未平倉"),0)</f>
        <v/>
      </c>
      <c r="J100" s="4">
        <f>SUMIFS(交易明細!$L$2:$L$157,交易明細!$B$2:$B$157,$A100,交易明細!$J$2:$J$157,"&lt;&gt;未平倉")</f>
        <v/>
      </c>
      <c r="K100" s="5">
        <f>IFERROR(AVERAGEIFS(交易明細!$K$2:$K$157,交易明細!$B$2:$B$157,$A100,交易明細!$J$2:$J$157,"&lt;&gt;未平倉"),0)</f>
        <v/>
      </c>
      <c r="L100" s="2">
        <f>COUNTIFS(交易明細!$B$2:$B$157,$A100,交易明細!$J$2:$J$157,"未平倉")</f>
        <v/>
      </c>
    </row>
  </sheetData>
  <autoFilter ref="A1:L10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8" customWidth="1" min="4" max="4"/>
    <col width="14" customWidth="1" min="5" max="5"/>
    <col width="14" customWidth="1" min="6" max="6"/>
    <col width="10" customWidth="1" min="7" max="7"/>
    <col width="10" customWidth="1" min="8" max="8"/>
  </cols>
  <sheetData>
    <row r="1">
      <c r="A1" s="3" t="inlineStr">
        <is>
          <t>交易對</t>
        </is>
      </c>
      <c r="B1" s="3" t="inlineStr">
        <is>
          <t>狀態</t>
        </is>
      </c>
      <c r="C1" s="3" t="inlineStr">
        <is>
          <t>原因/備註</t>
        </is>
      </c>
      <c r="D1" s="3" t="inlineStr">
        <is>
          <t>K棒數</t>
        </is>
      </c>
      <c r="E1" s="3" t="inlineStr">
        <is>
          <t>期間最低價</t>
        </is>
      </c>
      <c r="F1" s="3" t="inlineStr">
        <is>
          <t>期間最高價</t>
        </is>
      </c>
      <c r="G1" s="3" t="inlineStr">
        <is>
          <t>訊號數(多)</t>
        </is>
      </c>
      <c r="H1" s="3" t="inlineStr">
        <is>
          <t>訊號數(空)</t>
        </is>
      </c>
    </row>
    <row r="2">
      <c r="A2" s="2" t="inlineStr">
        <is>
          <t>0G_USDT_PERP</t>
        </is>
      </c>
      <c r="B2" s="2" t="inlineStr">
        <is>
          <t>已掃描</t>
        </is>
      </c>
      <c r="C2" s="2" t="inlineStr"/>
      <c r="D2" s="2" t="n"/>
      <c r="E2" s="17" t="n"/>
      <c r="F2" s="17" t="n"/>
      <c r="G2" s="2" t="n"/>
      <c r="H2" s="2" t="n"/>
    </row>
    <row r="3">
      <c r="A3" s="2" t="inlineStr">
        <is>
          <t>1INCH_USDT_PERP</t>
        </is>
      </c>
      <c r="B3" s="2" t="inlineStr">
        <is>
          <t>已掃描</t>
        </is>
      </c>
      <c r="C3" s="2" t="inlineStr"/>
      <c r="D3" s="2" t="n"/>
      <c r="E3" s="17" t="n"/>
      <c r="F3" s="17" t="n"/>
      <c r="G3" s="2" t="n"/>
      <c r="H3" s="2" t="n"/>
    </row>
    <row r="4">
      <c r="A4" s="2" t="inlineStr">
        <is>
          <t>2Z_USDT_PERP</t>
        </is>
      </c>
      <c r="B4" s="2" t="inlineStr">
        <is>
          <t>已掃描</t>
        </is>
      </c>
      <c r="C4" s="2" t="inlineStr"/>
      <c r="D4" s="2" t="n"/>
      <c r="E4" s="17" t="n"/>
      <c r="F4" s="17" t="n"/>
      <c r="G4" s="2" t="n"/>
      <c r="H4" s="2" t="n"/>
    </row>
    <row r="5">
      <c r="A5" s="2" t="inlineStr">
        <is>
          <t>4_USDT_PERP</t>
        </is>
      </c>
      <c r="B5" s="2" t="inlineStr">
        <is>
          <t>已掃描</t>
        </is>
      </c>
      <c r="C5" s="2" t="inlineStr"/>
      <c r="D5" s="2" t="n"/>
      <c r="E5" s="17" t="n"/>
      <c r="F5" s="17" t="n"/>
      <c r="G5" s="2" t="n"/>
      <c r="H5" s="2" t="n"/>
    </row>
    <row r="6">
      <c r="A6" s="2" t="inlineStr">
        <is>
          <t>AAVE_USDT_PERP</t>
        </is>
      </c>
      <c r="B6" s="2" t="inlineStr">
        <is>
          <t>已掃描</t>
        </is>
      </c>
      <c r="C6" s="2" t="inlineStr"/>
      <c r="D6" s="2" t="n"/>
      <c r="E6" s="17" t="n"/>
      <c r="F6" s="17" t="n"/>
      <c r="G6" s="2" t="n"/>
      <c r="H6" s="2" t="n"/>
    </row>
    <row r="7">
      <c r="A7" s="2" t="inlineStr">
        <is>
          <t>AAX_USDT_PERP</t>
        </is>
      </c>
      <c r="B7" s="2" t="inlineStr">
        <is>
          <t>已掃描</t>
        </is>
      </c>
      <c r="C7" s="2" t="inlineStr"/>
      <c r="D7" s="2" t="n"/>
      <c r="E7" s="17" t="n"/>
      <c r="F7" s="17" t="n"/>
      <c r="G7" s="2" t="n"/>
      <c r="H7" s="2" t="n"/>
    </row>
    <row r="8">
      <c r="A8" s="2" t="inlineStr">
        <is>
          <t>ACE_USDT_PERP</t>
        </is>
      </c>
      <c r="B8" s="2" t="inlineStr">
        <is>
          <t>已掃描</t>
        </is>
      </c>
      <c r="C8" s="2" t="inlineStr"/>
      <c r="D8" s="2" t="n"/>
      <c r="E8" s="17" t="n"/>
      <c r="F8" s="17" t="n"/>
      <c r="G8" s="2" t="n"/>
      <c r="H8" s="2" t="n"/>
    </row>
    <row r="9">
      <c r="A9" s="2" t="inlineStr">
        <is>
          <t>ACH_USDT_PERP</t>
        </is>
      </c>
      <c r="B9" s="2" t="inlineStr">
        <is>
          <t>已掃描</t>
        </is>
      </c>
      <c r="C9" s="2" t="inlineStr"/>
      <c r="D9" s="2" t="n"/>
      <c r="E9" s="17" t="n"/>
      <c r="F9" s="17" t="n"/>
      <c r="G9" s="2" t="n"/>
      <c r="H9" s="2" t="n"/>
    </row>
    <row r="10">
      <c r="A10" s="2" t="inlineStr">
        <is>
          <t>ACT_USDT_PERP</t>
        </is>
      </c>
      <c r="B10" s="2" t="inlineStr">
        <is>
          <t>已掃描</t>
        </is>
      </c>
      <c r="C10" s="2" t="inlineStr"/>
      <c r="D10" s="2" t="n"/>
      <c r="E10" s="17" t="n"/>
      <c r="F10" s="17" t="n"/>
      <c r="G10" s="2" t="n"/>
      <c r="H10" s="2" t="n"/>
    </row>
    <row r="11">
      <c r="A11" s="2" t="inlineStr">
        <is>
          <t>ADA_USDT_PERP</t>
        </is>
      </c>
      <c r="B11" s="2" t="inlineStr">
        <is>
          <t>已掃描</t>
        </is>
      </c>
      <c r="C11" s="2" t="inlineStr"/>
      <c r="D11" s="2" t="n"/>
      <c r="E11" s="17" t="n"/>
      <c r="F11" s="17" t="n"/>
      <c r="G11" s="2" t="n"/>
      <c r="H11" s="2" t="n"/>
    </row>
    <row r="12">
      <c r="A12" s="2" t="inlineStr">
        <is>
          <t>AERO_USDT_PERP</t>
        </is>
      </c>
      <c r="B12" s="2" t="inlineStr">
        <is>
          <t>已掃描</t>
        </is>
      </c>
      <c r="C12" s="2" t="inlineStr"/>
      <c r="D12" s="2" t="n"/>
      <c r="E12" s="17" t="n"/>
      <c r="F12" s="17" t="n"/>
      <c r="G12" s="2" t="n"/>
      <c r="H12" s="2" t="n"/>
    </row>
    <row r="13">
      <c r="A13" s="2" t="inlineStr">
        <is>
          <t>AEVO_USDT_PERP</t>
        </is>
      </c>
      <c r="B13" s="2" t="inlineStr">
        <is>
          <t>已掃描</t>
        </is>
      </c>
      <c r="C13" s="2" t="inlineStr"/>
      <c r="D13" s="2" t="n"/>
      <c r="E13" s="17" t="n"/>
      <c r="F13" s="17" t="n"/>
      <c r="G13" s="2" t="n"/>
      <c r="H13" s="2" t="n"/>
    </row>
    <row r="14">
      <c r="A14" s="2" t="inlineStr">
        <is>
          <t>AGT_USDT_PERP</t>
        </is>
      </c>
      <c r="B14" s="2" t="inlineStr">
        <is>
          <t>已掃描</t>
        </is>
      </c>
      <c r="C14" s="2" t="inlineStr"/>
      <c r="D14" s="2" t="n"/>
      <c r="E14" s="17" t="n"/>
      <c r="F14" s="17" t="n"/>
      <c r="G14" s="2" t="n"/>
      <c r="H14" s="2" t="n"/>
    </row>
    <row r="15">
      <c r="A15" s="2" t="inlineStr">
        <is>
          <t>AIA_USDT_PERP</t>
        </is>
      </c>
      <c r="B15" s="2" t="inlineStr">
        <is>
          <t>已掃描</t>
        </is>
      </c>
      <c r="C15" s="2" t="inlineStr"/>
      <c r="D15" s="2" t="n"/>
      <c r="E15" s="17" t="n"/>
      <c r="F15" s="17" t="n"/>
      <c r="G15" s="2" t="n"/>
      <c r="H15" s="2" t="n"/>
    </row>
    <row r="16">
      <c r="A16" s="2" t="inlineStr">
        <is>
          <t>AIGENSYN_USDT_PERP</t>
        </is>
      </c>
      <c r="B16" s="2" t="inlineStr">
        <is>
          <t>已掃描</t>
        </is>
      </c>
      <c r="C16" s="2" t="inlineStr"/>
      <c r="D16" s="2" t="n"/>
      <c r="E16" s="17" t="n"/>
      <c r="F16" s="17" t="n"/>
      <c r="G16" s="2" t="n"/>
      <c r="H16" s="2" t="n"/>
    </row>
    <row r="17">
      <c r="A17" s="2" t="inlineStr">
        <is>
          <t>AIN_USDT_PERP</t>
        </is>
      </c>
      <c r="B17" s="2" t="inlineStr">
        <is>
          <t>已掃描</t>
        </is>
      </c>
      <c r="C17" s="2" t="inlineStr"/>
      <c r="D17" s="2" t="n"/>
      <c r="E17" s="17" t="n"/>
      <c r="F17" s="17" t="n"/>
      <c r="G17" s="2" t="n"/>
      <c r="H17" s="2" t="n"/>
    </row>
    <row r="18">
      <c r="A18" s="2" t="inlineStr">
        <is>
          <t>AIO_USDT_PERP</t>
        </is>
      </c>
      <c r="B18" s="2" t="inlineStr">
        <is>
          <t>已掃描</t>
        </is>
      </c>
      <c r="C18" s="2" t="inlineStr"/>
      <c r="D18" s="2" t="n"/>
      <c r="E18" s="17" t="n"/>
      <c r="F18" s="17" t="n"/>
      <c r="G18" s="2" t="n"/>
      <c r="H18" s="2" t="n"/>
    </row>
    <row r="19">
      <c r="A19" s="2" t="inlineStr">
        <is>
          <t>AIXBT_USDT_PERP</t>
        </is>
      </c>
      <c r="B19" s="2" t="inlineStr">
        <is>
          <t>已掃描</t>
        </is>
      </c>
      <c r="C19" s="2" t="inlineStr"/>
      <c r="D19" s="2" t="n"/>
      <c r="E19" s="17" t="n"/>
      <c r="F19" s="17" t="n"/>
      <c r="G19" s="2" t="n"/>
      <c r="H19" s="2" t="n"/>
    </row>
    <row r="20">
      <c r="A20" s="2" t="inlineStr">
        <is>
          <t>AKE_USDT_PERP</t>
        </is>
      </c>
      <c r="B20" s="2" t="inlineStr">
        <is>
          <t>已掃描</t>
        </is>
      </c>
      <c r="C20" s="2" t="inlineStr"/>
      <c r="D20" s="2" t="n"/>
      <c r="E20" s="17" t="n"/>
      <c r="F20" s="17" t="n"/>
      <c r="G20" s="2" t="n"/>
      <c r="H20" s="2" t="n"/>
    </row>
    <row r="21">
      <c r="A21" s="2" t="inlineStr">
        <is>
          <t>AKT_USDT_PERP</t>
        </is>
      </c>
      <c r="B21" s="2" t="inlineStr">
        <is>
          <t>已掃描</t>
        </is>
      </c>
      <c r="C21" s="2" t="inlineStr"/>
      <c r="D21" s="2" t="n"/>
      <c r="E21" s="17" t="n"/>
      <c r="F21" s="17" t="n"/>
      <c r="G21" s="2" t="n"/>
      <c r="H21" s="2" t="n"/>
    </row>
    <row r="22">
      <c r="A22" s="2" t="inlineStr">
        <is>
          <t>ALCH_USDT_PERP</t>
        </is>
      </c>
      <c r="B22" s="2" t="inlineStr">
        <is>
          <t>已掃描</t>
        </is>
      </c>
      <c r="C22" s="2" t="inlineStr"/>
      <c r="D22" s="2" t="n"/>
      <c r="E22" s="17" t="n"/>
      <c r="F22" s="17" t="n"/>
      <c r="G22" s="2" t="n"/>
      <c r="H22" s="2" t="n"/>
    </row>
    <row r="23">
      <c r="A23" s="2" t="inlineStr">
        <is>
          <t>ALGO_USDT_PERP</t>
        </is>
      </c>
      <c r="B23" s="2" t="inlineStr">
        <is>
          <t>已掃描</t>
        </is>
      </c>
      <c r="C23" s="2" t="inlineStr"/>
      <c r="D23" s="2" t="n"/>
      <c r="E23" s="17" t="n"/>
      <c r="F23" s="17" t="n"/>
      <c r="G23" s="2" t="n"/>
      <c r="H23" s="2" t="n"/>
    </row>
    <row r="24">
      <c r="A24" s="2" t="inlineStr">
        <is>
          <t>ALLO_USDT_PERP</t>
        </is>
      </c>
      <c r="B24" s="2" t="inlineStr">
        <is>
          <t>已掃描</t>
        </is>
      </c>
      <c r="C24" s="2" t="inlineStr"/>
      <c r="D24" s="2" t="n"/>
      <c r="E24" s="17" t="n"/>
      <c r="F24" s="17" t="n"/>
      <c r="G24" s="2" t="n"/>
      <c r="H24" s="2" t="n"/>
    </row>
    <row r="25">
      <c r="A25" s="2" t="inlineStr">
        <is>
          <t>ALL_USDT_PERP</t>
        </is>
      </c>
      <c r="B25" s="2" t="inlineStr">
        <is>
          <t>已掃描</t>
        </is>
      </c>
      <c r="C25" s="2" t="inlineStr"/>
      <c r="D25" s="2" t="n"/>
      <c r="E25" s="17" t="n"/>
      <c r="F25" s="17" t="n"/>
      <c r="G25" s="2" t="n"/>
      <c r="H25" s="2" t="n"/>
    </row>
    <row r="26">
      <c r="A26" s="2" t="inlineStr">
        <is>
          <t>ALT_USDT_PERP</t>
        </is>
      </c>
      <c r="B26" s="2" t="inlineStr">
        <is>
          <t>已掃描</t>
        </is>
      </c>
      <c r="C26" s="2" t="inlineStr"/>
      <c r="D26" s="2" t="n"/>
      <c r="E26" s="17" t="n"/>
      <c r="F26" s="17" t="n"/>
      <c r="G26" s="2" t="n"/>
      <c r="H26" s="2" t="n"/>
    </row>
    <row r="27">
      <c r="A27" s="2" t="inlineStr">
        <is>
          <t>ANIME_USDT_PERP</t>
        </is>
      </c>
      <c r="B27" s="2" t="inlineStr">
        <is>
          <t>已掃描</t>
        </is>
      </c>
      <c r="C27" s="2" t="inlineStr"/>
      <c r="D27" s="2" t="n"/>
      <c r="E27" s="17" t="n"/>
      <c r="F27" s="17" t="n"/>
      <c r="G27" s="2" t="n"/>
      <c r="H27" s="2" t="n"/>
    </row>
    <row r="28">
      <c r="A28" s="2" t="inlineStr">
        <is>
          <t>ANTHROPIC_USDT_PERP</t>
        </is>
      </c>
      <c r="B28" s="2" t="inlineStr">
        <is>
          <t>已掃描</t>
        </is>
      </c>
      <c r="C28" s="2" t="inlineStr"/>
      <c r="D28" s="2" t="n"/>
      <c r="E28" s="17" t="n"/>
      <c r="F28" s="17" t="n"/>
      <c r="G28" s="2" t="n"/>
      <c r="H28" s="2" t="n"/>
    </row>
    <row r="29">
      <c r="A29" s="2" t="inlineStr">
        <is>
          <t>APE_USDT_PERP</t>
        </is>
      </c>
      <c r="B29" s="2" t="inlineStr">
        <is>
          <t>已掃描</t>
        </is>
      </c>
      <c r="C29" s="2" t="inlineStr"/>
      <c r="D29" s="2" t="n"/>
      <c r="E29" s="17" t="n"/>
      <c r="F29" s="17" t="n"/>
      <c r="G29" s="2" t="n"/>
      <c r="H29" s="2" t="n"/>
    </row>
    <row r="30">
      <c r="A30" s="2" t="inlineStr">
        <is>
          <t>API3_USDT_PERP</t>
        </is>
      </c>
      <c r="B30" s="2" t="inlineStr">
        <is>
          <t>已掃描</t>
        </is>
      </c>
      <c r="C30" s="2" t="inlineStr"/>
      <c r="D30" s="2" t="n"/>
      <c r="E30" s="17" t="n"/>
      <c r="F30" s="17" t="n"/>
      <c r="G30" s="2" t="n"/>
      <c r="H30" s="2" t="n"/>
    </row>
    <row r="31">
      <c r="A31" s="2" t="inlineStr">
        <is>
          <t>APR_USDT_PERP</t>
        </is>
      </c>
      <c r="B31" s="2" t="inlineStr">
        <is>
          <t>已掃描</t>
        </is>
      </c>
      <c r="C31" s="2" t="inlineStr"/>
      <c r="D31" s="2" t="n"/>
      <c r="E31" s="17" t="n"/>
      <c r="F31" s="17" t="n"/>
      <c r="G31" s="2" t="n"/>
      <c r="H31" s="2" t="n"/>
    </row>
    <row r="32">
      <c r="A32" s="2" t="inlineStr">
        <is>
          <t>APT_USDT_PERP</t>
        </is>
      </c>
      <c r="B32" s="2" t="inlineStr">
        <is>
          <t>已掃描</t>
        </is>
      </c>
      <c r="C32" s="2" t="inlineStr"/>
      <c r="D32" s="2" t="n"/>
      <c r="E32" s="17" t="n"/>
      <c r="F32" s="17" t="n"/>
      <c r="G32" s="2" t="n"/>
      <c r="H32" s="2" t="n"/>
    </row>
    <row r="33">
      <c r="A33" s="2" t="inlineStr">
        <is>
          <t>ARB_USDT_PERP</t>
        </is>
      </c>
      <c r="B33" s="2" t="inlineStr">
        <is>
          <t>已掃描</t>
        </is>
      </c>
      <c r="C33" s="2" t="inlineStr"/>
      <c r="D33" s="2" t="n"/>
      <c r="E33" s="17" t="n"/>
      <c r="F33" s="17" t="n"/>
      <c r="G33" s="2" t="n"/>
      <c r="H33" s="2" t="n"/>
    </row>
    <row r="34">
      <c r="A34" s="2" t="inlineStr">
        <is>
          <t>ARC_USDT_PERP</t>
        </is>
      </c>
      <c r="B34" s="2" t="inlineStr">
        <is>
          <t>已掃描</t>
        </is>
      </c>
      <c r="C34" s="2" t="inlineStr"/>
      <c r="D34" s="2" t="n"/>
      <c r="E34" s="17" t="n"/>
      <c r="F34" s="17" t="n"/>
      <c r="G34" s="2" t="n"/>
      <c r="H34" s="2" t="n"/>
    </row>
    <row r="35">
      <c r="A35" s="2" t="inlineStr">
        <is>
          <t>ARIA_USDT_PERP</t>
        </is>
      </c>
      <c r="B35" s="2" t="inlineStr">
        <is>
          <t>已掃描</t>
        </is>
      </c>
      <c r="C35" s="2" t="inlineStr"/>
      <c r="D35" s="2" t="n"/>
      <c r="E35" s="17" t="n"/>
      <c r="F35" s="17" t="n"/>
      <c r="G35" s="2" t="n"/>
      <c r="H35" s="2" t="n"/>
    </row>
    <row r="36">
      <c r="A36" s="2" t="inlineStr">
        <is>
          <t>ARKM_USDT_PERP</t>
        </is>
      </c>
      <c r="B36" s="2" t="inlineStr">
        <is>
          <t>已掃描</t>
        </is>
      </c>
      <c r="C36" s="2" t="inlineStr"/>
      <c r="D36" s="2" t="n"/>
      <c r="E36" s="17" t="n"/>
      <c r="F36" s="17" t="n"/>
      <c r="G36" s="2" t="n"/>
      <c r="H36" s="2" t="n"/>
    </row>
    <row r="37">
      <c r="A37" s="2" t="inlineStr">
        <is>
          <t>ARPA_USDT_PERP</t>
        </is>
      </c>
      <c r="B37" s="2" t="inlineStr">
        <is>
          <t>已掃描</t>
        </is>
      </c>
      <c r="C37" s="2" t="inlineStr"/>
      <c r="D37" s="2" t="n"/>
      <c r="E37" s="17" t="n"/>
      <c r="F37" s="17" t="n"/>
      <c r="G37" s="2" t="n"/>
      <c r="H37" s="2" t="n"/>
    </row>
    <row r="38">
      <c r="A38" s="2" t="inlineStr">
        <is>
          <t>ARX_USDT_PERP</t>
        </is>
      </c>
      <c r="B38" s="2" t="inlineStr">
        <is>
          <t>已掃描</t>
        </is>
      </c>
      <c r="C38" s="2" t="inlineStr"/>
      <c r="D38" s="2" t="n"/>
      <c r="E38" s="17" t="n"/>
      <c r="F38" s="17" t="n"/>
      <c r="G38" s="2" t="n"/>
      <c r="H38" s="2" t="n"/>
    </row>
    <row r="39">
      <c r="A39" s="2" t="inlineStr">
        <is>
          <t>AR_USDT_PERP</t>
        </is>
      </c>
      <c r="B39" s="2" t="inlineStr">
        <is>
          <t>已掃描</t>
        </is>
      </c>
      <c r="C39" s="2" t="inlineStr"/>
      <c r="D39" s="2" t="n"/>
      <c r="E39" s="17" t="n"/>
      <c r="F39" s="17" t="n"/>
      <c r="G39" s="2" t="n"/>
      <c r="H39" s="2" t="n"/>
    </row>
    <row r="40">
      <c r="A40" s="2" t="inlineStr">
        <is>
          <t>ASTER_USDT_PERP</t>
        </is>
      </c>
      <c r="B40" s="2" t="inlineStr">
        <is>
          <t>已掃描</t>
        </is>
      </c>
      <c r="C40" s="2" t="inlineStr"/>
      <c r="D40" s="2" t="n"/>
      <c r="E40" s="17" t="n"/>
      <c r="F40" s="17" t="n"/>
      <c r="G40" s="2" t="n"/>
      <c r="H40" s="2" t="n"/>
    </row>
    <row r="41">
      <c r="A41" s="2" t="inlineStr">
        <is>
          <t>ASTR_USDT_PERP</t>
        </is>
      </c>
      <c r="B41" s="2" t="inlineStr">
        <is>
          <t>已掃描</t>
        </is>
      </c>
      <c r="C41" s="2" t="inlineStr"/>
      <c r="D41" s="2" t="n"/>
      <c r="E41" s="17" t="n"/>
      <c r="F41" s="17" t="n"/>
      <c r="G41" s="2" t="n"/>
      <c r="H41" s="2" t="n"/>
    </row>
    <row r="42">
      <c r="A42" s="2" t="inlineStr">
        <is>
          <t>ATH_USDT_PERP</t>
        </is>
      </c>
      <c r="B42" s="2" t="inlineStr">
        <is>
          <t>已掃描</t>
        </is>
      </c>
      <c r="C42" s="2" t="inlineStr"/>
      <c r="D42" s="2" t="n"/>
      <c r="E42" s="17" t="n"/>
      <c r="F42" s="17" t="n"/>
      <c r="G42" s="2" t="n"/>
      <c r="H42" s="2" t="n"/>
    </row>
    <row r="43">
      <c r="A43" s="2" t="inlineStr">
        <is>
          <t>ATOM_USDT_PERP</t>
        </is>
      </c>
      <c r="B43" s="2" t="inlineStr">
        <is>
          <t>已掃描</t>
        </is>
      </c>
      <c r="C43" s="2" t="inlineStr"/>
      <c r="D43" s="2" t="n"/>
      <c r="E43" s="17" t="n"/>
      <c r="F43" s="17" t="n"/>
      <c r="G43" s="2" t="n"/>
      <c r="H43" s="2" t="n"/>
    </row>
    <row r="44">
      <c r="A44" s="2" t="inlineStr">
        <is>
          <t>AT_USDT_PERP</t>
        </is>
      </c>
      <c r="B44" s="2" t="inlineStr">
        <is>
          <t>已掃描</t>
        </is>
      </c>
      <c r="C44" s="2" t="inlineStr"/>
      <c r="D44" s="2" t="n"/>
      <c r="E44" s="17" t="n"/>
      <c r="F44" s="17" t="n"/>
      <c r="G44" s="2" t="n"/>
      <c r="H44" s="2" t="n"/>
    </row>
    <row r="45">
      <c r="A45" s="2" t="inlineStr">
        <is>
          <t>AUCTION_USDT_PERP</t>
        </is>
      </c>
      <c r="B45" s="2" t="inlineStr">
        <is>
          <t>已掃描</t>
        </is>
      </c>
      <c r="C45" s="2" t="inlineStr"/>
      <c r="D45" s="2" t="n"/>
      <c r="E45" s="17" t="n"/>
      <c r="F45" s="17" t="n"/>
      <c r="G45" s="2" t="n"/>
      <c r="H45" s="2" t="n"/>
    </row>
    <row r="46">
      <c r="A46" s="2" t="inlineStr">
        <is>
          <t>AVAX_USDT_PERP</t>
        </is>
      </c>
      <c r="B46" s="2" t="inlineStr">
        <is>
          <t>已掃描</t>
        </is>
      </c>
      <c r="C46" s="2" t="inlineStr"/>
      <c r="D46" s="2" t="n"/>
      <c r="E46" s="17" t="n"/>
      <c r="F46" s="17" t="n"/>
      <c r="G46" s="2" t="n"/>
      <c r="H46" s="2" t="n"/>
    </row>
    <row r="47">
      <c r="A47" s="2" t="inlineStr">
        <is>
          <t>AVNT_USDT_PERP</t>
        </is>
      </c>
      <c r="B47" s="2" t="inlineStr">
        <is>
          <t>已掃描</t>
        </is>
      </c>
      <c r="C47" s="2" t="inlineStr"/>
      <c r="D47" s="2" t="n"/>
      <c r="E47" s="17" t="n"/>
      <c r="F47" s="17" t="n"/>
      <c r="G47" s="2" t="n"/>
      <c r="H47" s="2" t="n"/>
    </row>
    <row r="48">
      <c r="A48" s="2" t="inlineStr">
        <is>
          <t>AWE_USDT_PERP</t>
        </is>
      </c>
      <c r="B48" s="2" t="inlineStr">
        <is>
          <t>已掃描</t>
        </is>
      </c>
      <c r="C48" s="2" t="inlineStr"/>
      <c r="D48" s="2" t="n"/>
      <c r="E48" s="17" t="n"/>
      <c r="F48" s="17" t="n"/>
      <c r="G48" s="2" t="n"/>
      <c r="H48" s="2" t="n"/>
    </row>
    <row r="49">
      <c r="A49" s="2" t="inlineStr">
        <is>
          <t>AXL_USDT_PERP</t>
        </is>
      </c>
      <c r="B49" s="2" t="inlineStr">
        <is>
          <t>已掃描</t>
        </is>
      </c>
      <c r="C49" s="2" t="inlineStr"/>
      <c r="D49" s="2" t="n"/>
      <c r="E49" s="17" t="n"/>
      <c r="F49" s="17" t="n"/>
      <c r="G49" s="2" t="n"/>
      <c r="H49" s="2" t="n"/>
    </row>
    <row r="50">
      <c r="A50" s="2" t="inlineStr">
        <is>
          <t>AXS_USDT_PERP</t>
        </is>
      </c>
      <c r="B50" s="2" t="inlineStr">
        <is>
          <t>已掃描</t>
        </is>
      </c>
      <c r="C50" s="2" t="inlineStr"/>
      <c r="D50" s="2" t="n"/>
      <c r="E50" s="17" t="n"/>
      <c r="F50" s="17" t="n"/>
      <c r="G50" s="2" t="n"/>
      <c r="H50" s="2" t="n"/>
    </row>
    <row r="51">
      <c r="A51" s="2" t="inlineStr">
        <is>
          <t>A_USDT_PERP</t>
        </is>
      </c>
      <c r="B51" s="2" t="inlineStr">
        <is>
          <t>已掃描</t>
        </is>
      </c>
      <c r="C51" s="2" t="inlineStr"/>
      <c r="D51" s="2" t="n"/>
      <c r="E51" s="17" t="n"/>
      <c r="F51" s="17" t="n"/>
      <c r="G51" s="2" t="n"/>
      <c r="H51" s="2" t="n"/>
    </row>
    <row r="52">
      <c r="A52" s="2" t="inlineStr">
        <is>
          <t>BABY_USDT_PERP</t>
        </is>
      </c>
      <c r="B52" s="2" t="inlineStr">
        <is>
          <t>已掃描</t>
        </is>
      </c>
      <c r="C52" s="2" t="inlineStr"/>
      <c r="D52" s="2" t="n"/>
      <c r="E52" s="17" t="n"/>
      <c r="F52" s="17" t="n"/>
      <c r="G52" s="2" t="n"/>
      <c r="H52" s="2" t="n"/>
    </row>
    <row r="53">
      <c r="A53" s="2" t="inlineStr">
        <is>
          <t>BANANAS31_USDT_PERP</t>
        </is>
      </c>
      <c r="B53" s="2" t="inlineStr">
        <is>
          <t>已掃描</t>
        </is>
      </c>
      <c r="C53" s="2" t="inlineStr"/>
      <c r="D53" s="2" t="n"/>
      <c r="E53" s="17" t="n"/>
      <c r="F53" s="17" t="n"/>
      <c r="G53" s="2" t="n"/>
      <c r="H53" s="2" t="n"/>
    </row>
    <row r="54">
      <c r="A54" s="2" t="inlineStr">
        <is>
          <t>BANANA_USDT_PERP</t>
        </is>
      </c>
      <c r="B54" s="2" t="inlineStr">
        <is>
          <t>已掃描</t>
        </is>
      </c>
      <c r="C54" s="2" t="inlineStr"/>
      <c r="D54" s="2" t="n"/>
      <c r="E54" s="17" t="n"/>
      <c r="F54" s="17" t="n"/>
      <c r="G54" s="2" t="n"/>
      <c r="H54" s="2" t="n"/>
    </row>
    <row r="55">
      <c r="A55" s="2" t="inlineStr">
        <is>
          <t>BAND_USDT_PERP</t>
        </is>
      </c>
      <c r="B55" s="2" t="inlineStr">
        <is>
          <t>已掃描</t>
        </is>
      </c>
      <c r="C55" s="2" t="inlineStr"/>
      <c r="D55" s="2" t="n"/>
      <c r="E55" s="17" t="n"/>
      <c r="F55" s="17" t="n"/>
      <c r="G55" s="2" t="n"/>
      <c r="H55" s="2" t="n"/>
    </row>
    <row r="56">
      <c r="A56" s="2" t="inlineStr">
        <is>
          <t>BANK_USDT_PERP</t>
        </is>
      </c>
      <c r="B56" s="2" t="inlineStr">
        <is>
          <t>已掃描</t>
        </is>
      </c>
      <c r="C56" s="2" t="inlineStr"/>
      <c r="D56" s="2" t="n"/>
      <c r="E56" s="17" t="n"/>
      <c r="F56" s="17" t="n"/>
      <c r="G56" s="2" t="n"/>
      <c r="H56" s="2" t="n"/>
    </row>
    <row r="57">
      <c r="A57" s="2" t="inlineStr">
        <is>
          <t>BAN_USDT_PERP</t>
        </is>
      </c>
      <c r="B57" s="2" t="inlineStr">
        <is>
          <t>已掃描</t>
        </is>
      </c>
      <c r="C57" s="2" t="inlineStr"/>
      <c r="D57" s="2" t="n"/>
      <c r="E57" s="17" t="n"/>
      <c r="F57" s="17" t="n"/>
      <c r="G57" s="2" t="n"/>
      <c r="H57" s="2" t="n"/>
    </row>
    <row r="58">
      <c r="A58" s="2" t="inlineStr">
        <is>
          <t>BARD_USDT_PERP</t>
        </is>
      </c>
      <c r="B58" s="2" t="inlineStr">
        <is>
          <t>已掃描</t>
        </is>
      </c>
      <c r="C58" s="2" t="inlineStr"/>
      <c r="D58" s="2" t="n"/>
      <c r="E58" s="17" t="n"/>
      <c r="F58" s="17" t="n"/>
      <c r="G58" s="2" t="n"/>
      <c r="H58" s="2" t="n"/>
    </row>
    <row r="59">
      <c r="A59" s="2" t="inlineStr">
        <is>
          <t>BASED_USDT_PERP</t>
        </is>
      </c>
      <c r="B59" s="2" t="inlineStr">
        <is>
          <t>已掃描</t>
        </is>
      </c>
      <c r="C59" s="2" t="inlineStr"/>
      <c r="D59" s="2" t="n"/>
      <c r="E59" s="17" t="n"/>
      <c r="F59" s="17" t="n"/>
      <c r="G59" s="2" t="n"/>
      <c r="H59" s="2" t="n"/>
    </row>
    <row r="60">
      <c r="A60" s="2" t="inlineStr">
        <is>
          <t>BAS_USDT_PERP</t>
        </is>
      </c>
      <c r="B60" s="2" t="inlineStr">
        <is>
          <t>已掃描</t>
        </is>
      </c>
      <c r="C60" s="2" t="inlineStr"/>
      <c r="D60" s="2" t="n"/>
      <c r="E60" s="17" t="n"/>
      <c r="F60" s="17" t="n"/>
      <c r="G60" s="2" t="n"/>
      <c r="H60" s="2" t="n"/>
    </row>
    <row r="61">
      <c r="A61" s="2" t="inlineStr">
        <is>
          <t>BAT_USDT_PERP</t>
        </is>
      </c>
      <c r="B61" s="2" t="inlineStr">
        <is>
          <t>已掃描</t>
        </is>
      </c>
      <c r="C61" s="2" t="inlineStr"/>
      <c r="D61" s="2" t="n"/>
      <c r="E61" s="17" t="n"/>
      <c r="F61" s="17" t="n"/>
      <c r="G61" s="2" t="n"/>
      <c r="H61" s="2" t="n"/>
    </row>
    <row r="62">
      <c r="A62" s="2" t="inlineStr">
        <is>
          <t>BB_USDT_PERP</t>
        </is>
      </c>
      <c r="B62" s="2" t="inlineStr">
        <is>
          <t>已掃描</t>
        </is>
      </c>
      <c r="C62" s="2" t="inlineStr"/>
      <c r="D62" s="2" t="n"/>
      <c r="E62" s="17" t="n"/>
      <c r="F62" s="17" t="n"/>
      <c r="G62" s="2" t="n"/>
      <c r="H62" s="2" t="n"/>
    </row>
    <row r="63">
      <c r="A63" s="2" t="inlineStr">
        <is>
          <t>BCH_USDT_PERP</t>
        </is>
      </c>
      <c r="B63" s="2" t="inlineStr">
        <is>
          <t>已掃描</t>
        </is>
      </c>
      <c r="C63" s="2" t="inlineStr"/>
      <c r="D63" s="2" t="n"/>
      <c r="E63" s="17" t="n"/>
      <c r="F63" s="17" t="n"/>
      <c r="G63" s="2" t="n"/>
      <c r="H63" s="2" t="n"/>
    </row>
    <row r="64">
      <c r="A64" s="2" t="inlineStr">
        <is>
          <t>BEAMX_USDT_PERP</t>
        </is>
      </c>
      <c r="B64" s="2" t="inlineStr">
        <is>
          <t>已掃描</t>
        </is>
      </c>
      <c r="C64" s="2" t="inlineStr"/>
      <c r="D64" s="2" t="n"/>
      <c r="E64" s="17" t="n"/>
      <c r="F64" s="17" t="n"/>
      <c r="G64" s="2" t="n"/>
      <c r="H64" s="2" t="n"/>
    </row>
    <row r="65">
      <c r="A65" s="2" t="inlineStr">
        <is>
          <t>BEAT_USDT_PERP</t>
        </is>
      </c>
      <c r="B65" s="2" t="inlineStr">
        <is>
          <t>已掃描</t>
        </is>
      </c>
      <c r="C65" s="2" t="inlineStr"/>
      <c r="D65" s="2" t="n"/>
      <c r="E65" s="17" t="n"/>
      <c r="F65" s="17" t="n"/>
      <c r="G65" s="2" t="n"/>
      <c r="H65" s="2" t="n"/>
    </row>
    <row r="66">
      <c r="A66" s="2" t="inlineStr">
        <is>
          <t>BEL_USDT_PERP</t>
        </is>
      </c>
      <c r="B66" s="2" t="inlineStr">
        <is>
          <t>已掃描</t>
        </is>
      </c>
      <c r="C66" s="2" t="inlineStr"/>
      <c r="D66" s="2" t="n"/>
      <c r="E66" s="17" t="n"/>
      <c r="F66" s="17" t="n"/>
      <c r="G66" s="2" t="n"/>
      <c r="H66" s="2" t="n"/>
    </row>
    <row r="67">
      <c r="A67" s="2" t="inlineStr">
        <is>
          <t>BERA_USDT_PERP</t>
        </is>
      </c>
      <c r="B67" s="2" t="inlineStr">
        <is>
          <t>已掃描</t>
        </is>
      </c>
      <c r="C67" s="2" t="inlineStr"/>
      <c r="D67" s="2" t="n"/>
      <c r="E67" s="17" t="n"/>
      <c r="F67" s="17" t="n"/>
      <c r="G67" s="2" t="n"/>
      <c r="H67" s="2" t="n"/>
    </row>
    <row r="68">
      <c r="A68" s="2" t="inlineStr">
        <is>
          <t>BEX_USDT_PERP</t>
        </is>
      </c>
      <c r="B68" s="2" t="inlineStr">
        <is>
          <t>已掃描</t>
        </is>
      </c>
      <c r="C68" s="2" t="inlineStr"/>
      <c r="D68" s="2" t="n"/>
      <c r="E68" s="17" t="n"/>
      <c r="F68" s="17" t="n"/>
      <c r="G68" s="2" t="n"/>
      <c r="H68" s="2" t="n"/>
    </row>
    <row r="69">
      <c r="A69" s="2" t="inlineStr">
        <is>
          <t>BICO_USDT_PERP</t>
        </is>
      </c>
      <c r="B69" s="2" t="inlineStr">
        <is>
          <t>已掃描</t>
        </is>
      </c>
      <c r="C69" s="2" t="inlineStr"/>
      <c r="D69" s="2" t="n"/>
      <c r="E69" s="17" t="n"/>
      <c r="F69" s="17" t="n"/>
      <c r="G69" s="2" t="n"/>
      <c r="H69" s="2" t="n"/>
    </row>
    <row r="70">
      <c r="A70" s="2" t="inlineStr">
        <is>
          <t>BILL_USDT_PERP</t>
        </is>
      </c>
      <c r="B70" s="2" t="inlineStr">
        <is>
          <t>已掃描</t>
        </is>
      </c>
      <c r="C70" s="2" t="inlineStr"/>
      <c r="D70" s="2" t="n"/>
      <c r="E70" s="17" t="n"/>
      <c r="F70" s="17" t="n"/>
      <c r="G70" s="2" t="n"/>
      <c r="H70" s="2" t="n"/>
    </row>
    <row r="71">
      <c r="A71" s="2" t="inlineStr">
        <is>
          <t>BIO_USDT_PERP</t>
        </is>
      </c>
      <c r="B71" s="2" t="inlineStr">
        <is>
          <t>已掃描</t>
        </is>
      </c>
      <c r="C71" s="2" t="inlineStr"/>
      <c r="D71" s="2" t="n"/>
      <c r="E71" s="17" t="n"/>
      <c r="F71" s="17" t="n"/>
      <c r="G71" s="2" t="n"/>
      <c r="H71" s="2" t="n"/>
    </row>
    <row r="72">
      <c r="A72" s="2" t="inlineStr">
        <is>
          <t>BIRB_USDT_PERP</t>
        </is>
      </c>
      <c r="B72" s="2" t="inlineStr">
        <is>
          <t>已掃描</t>
        </is>
      </c>
      <c r="C72" s="2" t="inlineStr"/>
      <c r="D72" s="2" t="n"/>
      <c r="E72" s="17" t="n"/>
      <c r="F72" s="17" t="n"/>
      <c r="G72" s="2" t="n"/>
      <c r="H72" s="2" t="n"/>
    </row>
    <row r="73">
      <c r="A73" s="2" t="inlineStr">
        <is>
          <t>BLEND_USDT_PERP</t>
        </is>
      </c>
      <c r="B73" s="2" t="inlineStr">
        <is>
          <t>已掃描</t>
        </is>
      </c>
      <c r="C73" s="2" t="inlineStr"/>
      <c r="D73" s="2" t="n"/>
      <c r="E73" s="17" t="n"/>
      <c r="F73" s="17" t="n"/>
      <c r="G73" s="2" t="n"/>
      <c r="H73" s="2" t="n"/>
    </row>
    <row r="74">
      <c r="A74" s="2" t="inlineStr">
        <is>
          <t>BLESS_USDT_PERP</t>
        </is>
      </c>
      <c r="B74" s="2" t="inlineStr">
        <is>
          <t>已掃描</t>
        </is>
      </c>
      <c r="C74" s="2" t="inlineStr"/>
      <c r="D74" s="2" t="n"/>
      <c r="E74" s="17" t="n"/>
      <c r="F74" s="17" t="n"/>
      <c r="G74" s="2" t="n"/>
      <c r="H74" s="2" t="n"/>
    </row>
    <row r="75">
      <c r="A75" s="2" t="inlineStr">
        <is>
          <t>BLUAI_USDT_PERP</t>
        </is>
      </c>
      <c r="B75" s="2" t="inlineStr">
        <is>
          <t>已掃描</t>
        </is>
      </c>
      <c r="C75" s="2" t="inlineStr"/>
      <c r="D75" s="2" t="n"/>
      <c r="E75" s="17" t="n"/>
      <c r="F75" s="17" t="n"/>
      <c r="G75" s="2" t="n"/>
      <c r="H75" s="2" t="n"/>
    </row>
    <row r="76">
      <c r="A76" s="2" t="inlineStr">
        <is>
          <t>BLUR_USDT_PERP</t>
        </is>
      </c>
      <c r="B76" s="2" t="inlineStr">
        <is>
          <t>已掃描</t>
        </is>
      </c>
      <c r="C76" s="2" t="inlineStr"/>
      <c r="D76" s="2" t="n"/>
      <c r="E76" s="17" t="n"/>
      <c r="F76" s="17" t="n"/>
      <c r="G76" s="2" t="n"/>
      <c r="H76" s="2" t="n"/>
    </row>
    <row r="77">
      <c r="A77" s="2" t="inlineStr">
        <is>
          <t>BNB_USDT_PERP</t>
        </is>
      </c>
      <c r="B77" s="2" t="inlineStr">
        <is>
          <t>已掃描</t>
        </is>
      </c>
      <c r="C77" s="2" t="inlineStr"/>
      <c r="D77" s="2" t="n"/>
      <c r="E77" s="17" t="n"/>
      <c r="F77" s="17" t="n"/>
      <c r="G77" s="2" t="n"/>
      <c r="H77" s="2" t="n"/>
    </row>
    <row r="78">
      <c r="A78" s="2" t="inlineStr">
        <is>
          <t>BOME_USDT_PERP</t>
        </is>
      </c>
      <c r="B78" s="2" t="inlineStr">
        <is>
          <t>已掃描</t>
        </is>
      </c>
      <c r="C78" s="2" t="inlineStr"/>
      <c r="D78" s="2" t="n"/>
      <c r="E78" s="17" t="n"/>
      <c r="F78" s="17" t="n"/>
      <c r="G78" s="2" t="n"/>
      <c r="H78" s="2" t="n"/>
    </row>
    <row r="79">
      <c r="A79" s="2" t="inlineStr">
        <is>
          <t>BONK_USDT_PERP</t>
        </is>
      </c>
      <c r="B79" s="2" t="inlineStr">
        <is>
          <t>已掃描</t>
        </is>
      </c>
      <c r="C79" s="2" t="inlineStr"/>
      <c r="D79" s="2" t="n"/>
      <c r="E79" s="17" t="n"/>
      <c r="F79" s="17" t="n"/>
      <c r="G79" s="2" t="n"/>
      <c r="H79" s="2" t="n"/>
    </row>
    <row r="80">
      <c r="A80" s="2" t="inlineStr">
        <is>
          <t>BRENTOIL_USDT_PERP</t>
        </is>
      </c>
      <c r="B80" s="2" t="inlineStr">
        <is>
          <t>已掃描</t>
        </is>
      </c>
      <c r="C80" s="2" t="inlineStr"/>
      <c r="D80" s="2" t="n"/>
      <c r="E80" s="17" t="n"/>
      <c r="F80" s="17" t="n"/>
      <c r="G80" s="2" t="n"/>
      <c r="H80" s="2" t="n"/>
    </row>
    <row r="81">
      <c r="A81" s="2" t="inlineStr">
        <is>
          <t>BRETT_USDT_PERP</t>
        </is>
      </c>
      <c r="B81" s="2" t="inlineStr">
        <is>
          <t>已掃描</t>
        </is>
      </c>
      <c r="C81" s="2" t="inlineStr"/>
      <c r="D81" s="2" t="n"/>
      <c r="E81" s="17" t="n"/>
      <c r="F81" s="17" t="n"/>
      <c r="G81" s="2" t="n"/>
      <c r="H81" s="2" t="n"/>
    </row>
    <row r="82">
      <c r="A82" s="2" t="inlineStr">
        <is>
          <t>BREV_USDT_PERP</t>
        </is>
      </c>
      <c r="B82" s="2" t="inlineStr">
        <is>
          <t>已掃描</t>
        </is>
      </c>
      <c r="C82" s="2" t="inlineStr"/>
      <c r="D82" s="2" t="n"/>
      <c r="E82" s="17" t="n"/>
      <c r="F82" s="17" t="n"/>
      <c r="G82" s="2" t="n"/>
      <c r="H82" s="2" t="n"/>
    </row>
    <row r="83">
      <c r="A83" s="2" t="inlineStr">
        <is>
          <t>BROCCOLI_USDT_PERP</t>
        </is>
      </c>
      <c r="B83" s="2" t="inlineStr">
        <is>
          <t>已掃描</t>
        </is>
      </c>
      <c r="C83" s="2" t="inlineStr"/>
      <c r="D83" s="2" t="n"/>
      <c r="E83" s="17" t="n"/>
      <c r="F83" s="17" t="n"/>
      <c r="G83" s="2" t="n"/>
      <c r="H83" s="2" t="n"/>
    </row>
    <row r="84">
      <c r="A84" s="2" t="inlineStr">
        <is>
          <t>BR_USDT_PERP</t>
        </is>
      </c>
      <c r="B84" s="2" t="inlineStr">
        <is>
          <t>已掃描</t>
        </is>
      </c>
      <c r="C84" s="2" t="inlineStr"/>
      <c r="D84" s="2" t="n"/>
      <c r="E84" s="17" t="n"/>
      <c r="F84" s="17" t="n"/>
      <c r="G84" s="2" t="n"/>
      <c r="H84" s="2" t="n"/>
    </row>
    <row r="85">
      <c r="A85" s="2" t="inlineStr">
        <is>
          <t>BSB_USDT_PERP</t>
        </is>
      </c>
      <c r="B85" s="2" t="inlineStr">
        <is>
          <t>已掃描</t>
        </is>
      </c>
      <c r="C85" s="2" t="inlineStr"/>
      <c r="D85" s="2" t="n"/>
      <c r="E85" s="17" t="n"/>
      <c r="F85" s="17" t="n"/>
      <c r="G85" s="2" t="n"/>
      <c r="H85" s="2" t="n"/>
    </row>
    <row r="86">
      <c r="A86" s="2" t="inlineStr">
        <is>
          <t>BSV_USDT_PERP</t>
        </is>
      </c>
      <c r="B86" s="2" t="inlineStr">
        <is>
          <t>已掃描</t>
        </is>
      </c>
      <c r="C86" s="2" t="inlineStr"/>
      <c r="D86" s="2" t="n"/>
      <c r="E86" s="17" t="n"/>
      <c r="F86" s="17" t="n"/>
      <c r="G86" s="2" t="n"/>
      <c r="H86" s="2" t="n"/>
    </row>
    <row r="87">
      <c r="A87" s="2" t="inlineStr">
        <is>
          <t>BTC_USDT_PERP</t>
        </is>
      </c>
      <c r="B87" s="2" t="inlineStr">
        <is>
          <t>已掃描</t>
        </is>
      </c>
      <c r="C87" s="2" t="inlineStr"/>
      <c r="D87" s="2" t="n"/>
      <c r="E87" s="17" t="n"/>
      <c r="F87" s="17" t="n"/>
      <c r="G87" s="2" t="n"/>
      <c r="H87" s="2" t="n"/>
    </row>
    <row r="88">
      <c r="A88" s="2" t="inlineStr">
        <is>
          <t>BTR_USDT_PERP</t>
        </is>
      </c>
      <c r="B88" s="2" t="inlineStr">
        <is>
          <t>已掃描</t>
        </is>
      </c>
      <c r="C88" s="2" t="inlineStr"/>
      <c r="D88" s="2" t="n"/>
      <c r="E88" s="17" t="n"/>
      <c r="F88" s="17" t="n"/>
      <c r="G88" s="2" t="n"/>
      <c r="H88" s="2" t="n"/>
    </row>
    <row r="89">
      <c r="A89" s="2" t="inlineStr">
        <is>
          <t>BTW_USDT_PERP</t>
        </is>
      </c>
      <c r="B89" s="2" t="inlineStr">
        <is>
          <t>已掃描</t>
        </is>
      </c>
      <c r="C89" s="2" t="inlineStr"/>
      <c r="D89" s="2" t="n"/>
      <c r="E89" s="17" t="n"/>
      <c r="F89" s="17" t="n"/>
      <c r="G89" s="2" t="n"/>
      <c r="H89" s="2" t="n"/>
    </row>
    <row r="90">
      <c r="A90" s="2" t="inlineStr">
        <is>
          <t>BULLA_USDT_PERP</t>
        </is>
      </c>
      <c r="B90" s="2" t="inlineStr">
        <is>
          <t>已掃描</t>
        </is>
      </c>
      <c r="C90" s="2" t="inlineStr"/>
      <c r="D90" s="2" t="n"/>
      <c r="E90" s="17" t="n"/>
      <c r="F90" s="17" t="n"/>
      <c r="G90" s="2" t="n"/>
      <c r="H90" s="2" t="n"/>
    </row>
    <row r="91">
      <c r="A91" s="2" t="inlineStr">
        <is>
          <t>B_USDT_PERP</t>
        </is>
      </c>
      <c r="B91" s="2" t="inlineStr">
        <is>
          <t>已掃描</t>
        </is>
      </c>
      <c r="C91" s="2" t="inlineStr"/>
      <c r="D91" s="2" t="n"/>
      <c r="E91" s="17" t="n"/>
      <c r="F91" s="17" t="n"/>
      <c r="G91" s="2" t="n"/>
      <c r="H91" s="2" t="n"/>
    </row>
    <row r="92">
      <c r="A92" s="2" t="inlineStr">
        <is>
          <t>CAKE_USDT_PERP</t>
        </is>
      </c>
      <c r="B92" s="2" t="inlineStr">
        <is>
          <t>已掃描</t>
        </is>
      </c>
      <c r="C92" s="2" t="inlineStr"/>
      <c r="D92" s="2" t="n"/>
      <c r="E92" s="17" t="n"/>
      <c r="F92" s="17" t="n"/>
      <c r="G92" s="2" t="n"/>
      <c r="H92" s="2" t="n"/>
    </row>
    <row r="93">
      <c r="A93" s="2" t="inlineStr">
        <is>
          <t>CAP_USDT_PERP</t>
        </is>
      </c>
      <c r="B93" s="2" t="inlineStr">
        <is>
          <t>已掃描</t>
        </is>
      </c>
      <c r="C93" s="2" t="inlineStr"/>
      <c r="D93" s="2" t="n"/>
      <c r="E93" s="17" t="n"/>
      <c r="F93" s="17" t="n"/>
      <c r="G93" s="2" t="n"/>
      <c r="H93" s="2" t="n"/>
    </row>
    <row r="94">
      <c r="A94" s="2" t="inlineStr">
        <is>
          <t>CASHCAT_USDT_PERP</t>
        </is>
      </c>
      <c r="B94" s="2" t="inlineStr">
        <is>
          <t>已掃描</t>
        </is>
      </c>
      <c r="C94" s="2" t="inlineStr"/>
      <c r="D94" s="2" t="n"/>
      <c r="E94" s="17" t="n"/>
      <c r="F94" s="17" t="n"/>
      <c r="G94" s="2" t="n"/>
      <c r="H94" s="2" t="n"/>
    </row>
    <row r="95">
      <c r="A95" s="2" t="inlineStr">
        <is>
          <t>CATI_USDT_PERP</t>
        </is>
      </c>
      <c r="B95" s="2" t="inlineStr">
        <is>
          <t>已掃描</t>
        </is>
      </c>
      <c r="C95" s="2" t="inlineStr"/>
      <c r="D95" s="2" t="n"/>
      <c r="E95" s="17" t="n"/>
      <c r="F95" s="17" t="n"/>
      <c r="G95" s="2" t="n"/>
      <c r="H95" s="2" t="n"/>
    </row>
    <row r="96">
      <c r="A96" s="2" t="inlineStr">
        <is>
          <t>CBRS_USDT_PERP</t>
        </is>
      </c>
      <c r="B96" s="2" t="inlineStr">
        <is>
          <t>已掃描</t>
        </is>
      </c>
      <c r="C96" s="2" t="inlineStr"/>
      <c r="D96" s="2" t="n"/>
      <c r="E96" s="17" t="n"/>
      <c r="F96" s="17" t="n"/>
      <c r="G96" s="2" t="n"/>
      <c r="H96" s="2" t="n"/>
    </row>
    <row r="97">
      <c r="A97" s="2" t="inlineStr">
        <is>
          <t>CC_USDT_PERP</t>
        </is>
      </c>
      <c r="B97" s="2" t="inlineStr">
        <is>
          <t>已掃描</t>
        </is>
      </c>
      <c r="C97" s="2" t="inlineStr"/>
      <c r="D97" s="2" t="n"/>
      <c r="E97" s="17" t="n"/>
      <c r="F97" s="17" t="n"/>
      <c r="G97" s="2" t="n"/>
      <c r="H97" s="2" t="n"/>
    </row>
    <row r="98">
      <c r="A98" s="2" t="inlineStr">
        <is>
          <t>CETUS_USDT_PERP</t>
        </is>
      </c>
      <c r="B98" s="2" t="inlineStr">
        <is>
          <t>已掃描</t>
        </is>
      </c>
      <c r="C98" s="2" t="inlineStr"/>
      <c r="D98" s="2" t="n"/>
      <c r="E98" s="17" t="n"/>
      <c r="F98" s="17" t="n"/>
      <c r="G98" s="2" t="n"/>
      <c r="H98" s="2" t="n"/>
    </row>
    <row r="99">
      <c r="A99" s="2" t="inlineStr">
        <is>
          <t>CFG_USDT_PERP</t>
        </is>
      </c>
      <c r="B99" s="2" t="inlineStr">
        <is>
          <t>已掃描</t>
        </is>
      </c>
      <c r="C99" s="2" t="inlineStr"/>
      <c r="D99" s="2" t="n"/>
      <c r="E99" s="17" t="n"/>
      <c r="F99" s="17" t="n"/>
      <c r="G99" s="2" t="n"/>
      <c r="H99" s="2" t="n"/>
    </row>
    <row r="100">
      <c r="A100" s="2" t="inlineStr">
        <is>
          <t>CFX_USDT_PERP</t>
        </is>
      </c>
      <c r="B100" s="2" t="inlineStr">
        <is>
          <t>已掃描</t>
        </is>
      </c>
      <c r="C100" s="2" t="inlineStr"/>
      <c r="D100" s="2" t="n"/>
      <c r="E100" s="17" t="n"/>
      <c r="F100" s="17" t="n"/>
      <c r="G100" s="2" t="n"/>
      <c r="H100" s="2" t="n"/>
    </row>
    <row r="101">
      <c r="A101" s="2" t="inlineStr">
        <is>
          <t>CF_USDT_PERP</t>
        </is>
      </c>
      <c r="B101" s="2" t="inlineStr">
        <is>
          <t>已掃描</t>
        </is>
      </c>
      <c r="C101" s="2" t="inlineStr"/>
      <c r="D101" s="2" t="n"/>
      <c r="E101" s="17" t="n"/>
      <c r="F101" s="17" t="n"/>
      <c r="G101" s="2" t="n"/>
      <c r="H101" s="2" t="n"/>
    </row>
    <row r="102">
      <c r="A102" s="2" t="inlineStr">
        <is>
          <t>CHIP_USDT_PERP</t>
        </is>
      </c>
      <c r="B102" s="2" t="inlineStr">
        <is>
          <t>已掃描</t>
        </is>
      </c>
      <c r="C102" s="2" t="inlineStr"/>
      <c r="D102" s="2" t="n"/>
      <c r="E102" s="17" t="n"/>
      <c r="F102" s="17" t="n"/>
      <c r="G102" s="2" t="n"/>
      <c r="H102" s="2" t="n"/>
    </row>
    <row r="103">
      <c r="A103" s="2" t="inlineStr">
        <is>
          <t>CHZ_USDT_PERP</t>
        </is>
      </c>
      <c r="B103" s="2" t="inlineStr">
        <is>
          <t>已掃描</t>
        </is>
      </c>
      <c r="C103" s="2" t="inlineStr"/>
      <c r="D103" s="2" t="n"/>
      <c r="E103" s="17" t="n"/>
      <c r="F103" s="17" t="n"/>
      <c r="G103" s="2" t="n"/>
      <c r="H103" s="2" t="n"/>
    </row>
    <row r="104">
      <c r="A104" s="2" t="inlineStr">
        <is>
          <t>CKB_USDT_PERP</t>
        </is>
      </c>
      <c r="B104" s="2" t="inlineStr">
        <is>
          <t>已掃描</t>
        </is>
      </c>
      <c r="C104" s="2" t="inlineStr"/>
      <c r="D104" s="2" t="n"/>
      <c r="E104" s="17" t="n"/>
      <c r="F104" s="17" t="n"/>
      <c r="G104" s="2" t="n"/>
      <c r="H104" s="2" t="n"/>
    </row>
    <row r="105">
      <c r="A105" s="2" t="inlineStr">
        <is>
          <t>CLANKER_USDT_PERP</t>
        </is>
      </c>
      <c r="B105" s="2" t="inlineStr">
        <is>
          <t>已掃描</t>
        </is>
      </c>
      <c r="C105" s="2" t="inlineStr"/>
      <c r="D105" s="2" t="n"/>
      <c r="E105" s="17" t="n"/>
      <c r="F105" s="17" t="n"/>
      <c r="G105" s="2" t="n"/>
      <c r="H105" s="2" t="n"/>
    </row>
    <row r="106">
      <c r="A106" s="2" t="inlineStr">
        <is>
          <t>CLO_USDT_PERP</t>
        </is>
      </c>
      <c r="B106" s="2" t="inlineStr">
        <is>
          <t>已掃描</t>
        </is>
      </c>
      <c r="C106" s="2" t="inlineStr"/>
      <c r="D106" s="2" t="n"/>
      <c r="E106" s="17" t="n"/>
      <c r="F106" s="17" t="n"/>
      <c r="G106" s="2" t="n"/>
      <c r="H106" s="2" t="n"/>
    </row>
    <row r="107">
      <c r="A107" s="2" t="inlineStr">
        <is>
          <t>COAI_USDT_PERP</t>
        </is>
      </c>
      <c r="B107" s="2" t="inlineStr">
        <is>
          <t>已掃描</t>
        </is>
      </c>
      <c r="C107" s="2" t="inlineStr"/>
      <c r="D107" s="2" t="n"/>
      <c r="E107" s="17" t="n"/>
      <c r="F107" s="17" t="n"/>
      <c r="G107" s="2" t="n"/>
      <c r="H107" s="2" t="n"/>
    </row>
    <row r="108">
      <c r="A108" s="2" t="inlineStr">
        <is>
          <t>COLLECT_USDT_PERP</t>
        </is>
      </c>
      <c r="B108" s="2" t="inlineStr">
        <is>
          <t>已掃描</t>
        </is>
      </c>
      <c r="C108" s="2" t="inlineStr"/>
      <c r="D108" s="2" t="n"/>
      <c r="E108" s="17" t="n"/>
      <c r="F108" s="17" t="n"/>
      <c r="G108" s="2" t="n"/>
      <c r="H108" s="2" t="n"/>
    </row>
    <row r="109">
      <c r="A109" s="2" t="inlineStr">
        <is>
          <t>COMP_USDT_PERP</t>
        </is>
      </c>
      <c r="B109" s="2" t="inlineStr">
        <is>
          <t>已掃描</t>
        </is>
      </c>
      <c r="C109" s="2" t="inlineStr"/>
      <c r="D109" s="2" t="n"/>
      <c r="E109" s="17" t="n"/>
      <c r="F109" s="17" t="n"/>
      <c r="G109" s="2" t="n"/>
      <c r="H109" s="2" t="n"/>
    </row>
    <row r="110">
      <c r="A110" s="2" t="inlineStr">
        <is>
          <t>COOKIE_USDT_PERP</t>
        </is>
      </c>
      <c r="B110" s="2" t="inlineStr">
        <is>
          <t>已掃描</t>
        </is>
      </c>
      <c r="C110" s="2" t="inlineStr"/>
      <c r="D110" s="2" t="n"/>
      <c r="E110" s="17" t="n"/>
      <c r="F110" s="17" t="n"/>
      <c r="G110" s="2" t="n"/>
      <c r="H110" s="2" t="n"/>
    </row>
    <row r="111">
      <c r="A111" s="2" t="inlineStr">
        <is>
          <t>COTI_USDT_PERP</t>
        </is>
      </c>
      <c r="B111" s="2" t="inlineStr">
        <is>
          <t>已掃描</t>
        </is>
      </c>
      <c r="C111" s="2" t="inlineStr"/>
      <c r="D111" s="2" t="n"/>
      <c r="E111" s="17" t="n"/>
      <c r="F111" s="17" t="n"/>
      <c r="G111" s="2" t="n"/>
      <c r="H111" s="2" t="n"/>
    </row>
    <row r="112">
      <c r="A112" s="2" t="inlineStr">
        <is>
          <t>CROSS_USDT_PERP</t>
        </is>
      </c>
      <c r="B112" s="2" t="inlineStr">
        <is>
          <t>已掃描</t>
        </is>
      </c>
      <c r="C112" s="2" t="inlineStr"/>
      <c r="D112" s="2" t="n"/>
      <c r="E112" s="17" t="n"/>
      <c r="F112" s="17" t="n"/>
      <c r="G112" s="2" t="n"/>
      <c r="H112" s="2" t="n"/>
    </row>
    <row r="113">
      <c r="A113" s="2" t="inlineStr">
        <is>
          <t>CRO_USDT_PERP</t>
        </is>
      </c>
      <c r="B113" s="2" t="inlineStr">
        <is>
          <t>已掃描</t>
        </is>
      </c>
      <c r="C113" s="2" t="inlineStr"/>
      <c r="D113" s="2" t="n"/>
      <c r="E113" s="17" t="n"/>
      <c r="F113" s="17" t="n"/>
      <c r="G113" s="2" t="n"/>
      <c r="H113" s="2" t="n"/>
    </row>
    <row r="114">
      <c r="A114" s="2" t="inlineStr">
        <is>
          <t>CRV_USDT_PERP</t>
        </is>
      </c>
      <c r="B114" s="2" t="inlineStr">
        <is>
          <t>已掃描</t>
        </is>
      </c>
      <c r="C114" s="2" t="inlineStr"/>
      <c r="D114" s="2" t="n"/>
      <c r="E114" s="17" t="n"/>
      <c r="F114" s="17" t="n"/>
      <c r="G114" s="2" t="n"/>
      <c r="H114" s="2" t="n"/>
    </row>
    <row r="115">
      <c r="A115" s="2" t="inlineStr">
        <is>
          <t>CTR_USDT_PERP</t>
        </is>
      </c>
      <c r="B115" s="2" t="inlineStr">
        <is>
          <t>已掃描</t>
        </is>
      </c>
      <c r="C115" s="2" t="inlineStr"/>
      <c r="D115" s="2" t="n"/>
      <c r="E115" s="17" t="n"/>
      <c r="F115" s="17" t="n"/>
      <c r="G115" s="2" t="n"/>
      <c r="H115" s="2" t="n"/>
    </row>
    <row r="116">
      <c r="A116" s="2" t="inlineStr">
        <is>
          <t>CVX_USDT_PERP</t>
        </is>
      </c>
      <c r="B116" s="2" t="inlineStr">
        <is>
          <t>已掃描</t>
        </is>
      </c>
      <c r="C116" s="2" t="inlineStr"/>
      <c r="D116" s="2" t="n"/>
      <c r="E116" s="17" t="n"/>
      <c r="F116" s="17" t="n"/>
      <c r="G116" s="2" t="n"/>
      <c r="H116" s="2" t="n"/>
    </row>
    <row r="117">
      <c r="A117" s="2" t="inlineStr">
        <is>
          <t>CYS_USDT_PERP</t>
        </is>
      </c>
      <c r="B117" s="2" t="inlineStr">
        <is>
          <t>已掃描</t>
        </is>
      </c>
      <c r="C117" s="2" t="inlineStr"/>
      <c r="D117" s="2" t="n"/>
      <c r="E117" s="17" t="n"/>
      <c r="F117" s="17" t="n"/>
      <c r="G117" s="2" t="n"/>
      <c r="H117" s="2" t="n"/>
    </row>
    <row r="118">
      <c r="A118" s="2" t="inlineStr">
        <is>
          <t>DASH_USDT_PERP</t>
        </is>
      </c>
      <c r="B118" s="2" t="inlineStr">
        <is>
          <t>已掃描</t>
        </is>
      </c>
      <c r="C118" s="2" t="inlineStr"/>
      <c r="D118" s="2" t="n"/>
      <c r="E118" s="17" t="n"/>
      <c r="F118" s="17" t="n"/>
      <c r="G118" s="2" t="n"/>
      <c r="H118" s="2" t="n"/>
    </row>
    <row r="119">
      <c r="A119" s="2" t="inlineStr">
        <is>
          <t>DATA_USDT_PERP</t>
        </is>
      </c>
      <c r="B119" s="2" t="inlineStr">
        <is>
          <t>已掃描</t>
        </is>
      </c>
      <c r="C119" s="2" t="inlineStr"/>
      <c r="D119" s="2" t="n"/>
      <c r="E119" s="17" t="n"/>
      <c r="F119" s="17" t="n"/>
      <c r="G119" s="2" t="n"/>
      <c r="H119" s="2" t="n"/>
    </row>
    <row r="120">
      <c r="A120" s="2" t="inlineStr">
        <is>
          <t>DODO_USDT_PERP</t>
        </is>
      </c>
      <c r="B120" s="2" t="inlineStr">
        <is>
          <t>已掃描</t>
        </is>
      </c>
      <c r="C120" s="2" t="inlineStr"/>
      <c r="D120" s="2" t="n"/>
      <c r="E120" s="17" t="n"/>
      <c r="F120" s="17" t="n"/>
      <c r="G120" s="2" t="n"/>
      <c r="H120" s="2" t="n"/>
    </row>
    <row r="121">
      <c r="A121" s="2" t="inlineStr">
        <is>
          <t>DOGE_USDT_PERP</t>
        </is>
      </c>
      <c r="B121" s="2" t="inlineStr">
        <is>
          <t>已掃描</t>
        </is>
      </c>
      <c r="C121" s="2" t="inlineStr"/>
      <c r="D121" s="2" t="n"/>
      <c r="E121" s="17" t="n"/>
      <c r="F121" s="17" t="n"/>
      <c r="G121" s="2" t="n"/>
      <c r="H121" s="2" t="n"/>
    </row>
    <row r="122">
      <c r="A122" s="2" t="inlineStr">
        <is>
          <t>DOGS_USDT_PERP</t>
        </is>
      </c>
      <c r="B122" s="2" t="inlineStr">
        <is>
          <t>已掃描</t>
        </is>
      </c>
      <c r="C122" s="2" t="inlineStr"/>
      <c r="D122" s="2" t="n"/>
      <c r="E122" s="17" t="n"/>
      <c r="F122" s="17" t="n"/>
      <c r="G122" s="2" t="n"/>
      <c r="H122" s="2" t="n"/>
    </row>
    <row r="123">
      <c r="A123" s="2" t="inlineStr">
        <is>
          <t>DOLO_USDT_PERP</t>
        </is>
      </c>
      <c r="B123" s="2" t="inlineStr">
        <is>
          <t>已掃描</t>
        </is>
      </c>
      <c r="C123" s="2" t="inlineStr"/>
      <c r="D123" s="2" t="n"/>
      <c r="E123" s="17" t="n"/>
      <c r="F123" s="17" t="n"/>
      <c r="G123" s="2" t="n"/>
      <c r="H123" s="2" t="n"/>
    </row>
    <row r="124">
      <c r="A124" s="2" t="inlineStr">
        <is>
          <t>DOS_USDT_PERP</t>
        </is>
      </c>
      <c r="B124" s="2" t="inlineStr">
        <is>
          <t>已掃描</t>
        </is>
      </c>
      <c r="C124" s="2" t="inlineStr"/>
      <c r="D124" s="2" t="n"/>
      <c r="E124" s="17" t="n"/>
      <c r="F124" s="17" t="n"/>
      <c r="G124" s="2" t="n"/>
      <c r="H124" s="2" t="n"/>
    </row>
    <row r="125">
      <c r="A125" s="2" t="inlineStr">
        <is>
          <t>DOT_USDT_PERP</t>
        </is>
      </c>
      <c r="B125" s="2" t="inlineStr">
        <is>
          <t>已掃描</t>
        </is>
      </c>
      <c r="C125" s="2" t="inlineStr"/>
      <c r="D125" s="2" t="n"/>
      <c r="E125" s="17" t="n"/>
      <c r="F125" s="17" t="n"/>
      <c r="G125" s="2" t="n"/>
      <c r="H125" s="2" t="n"/>
    </row>
    <row r="126">
      <c r="A126" s="2" t="inlineStr">
        <is>
          <t>DRIFT_USDT_PERP</t>
        </is>
      </c>
      <c r="B126" s="2" t="inlineStr">
        <is>
          <t>已掃描</t>
        </is>
      </c>
      <c r="C126" s="2" t="inlineStr"/>
      <c r="D126" s="2" t="n"/>
      <c r="E126" s="17" t="n"/>
      <c r="F126" s="17" t="n"/>
      <c r="G126" s="2" t="n"/>
      <c r="H126" s="2" t="n"/>
    </row>
    <row r="127">
      <c r="A127" s="2" t="inlineStr">
        <is>
          <t>DUSK_USDT_PERP</t>
        </is>
      </c>
      <c r="B127" s="2" t="inlineStr">
        <is>
          <t>已掃描</t>
        </is>
      </c>
      <c r="C127" s="2" t="inlineStr"/>
      <c r="D127" s="2" t="n"/>
      <c r="E127" s="17" t="n"/>
      <c r="F127" s="17" t="n"/>
      <c r="G127" s="2" t="n"/>
      <c r="H127" s="2" t="n"/>
    </row>
    <row r="128">
      <c r="A128" s="2" t="inlineStr">
        <is>
          <t>DYM_USDT_PERP</t>
        </is>
      </c>
      <c r="B128" s="2" t="inlineStr">
        <is>
          <t>已掃描</t>
        </is>
      </c>
      <c r="C128" s="2" t="inlineStr"/>
      <c r="D128" s="2" t="n"/>
      <c r="E128" s="17" t="n"/>
      <c r="F128" s="17" t="n"/>
      <c r="G128" s="2" t="n"/>
      <c r="H128" s="2" t="n"/>
    </row>
    <row r="129">
      <c r="A129" s="2" t="inlineStr">
        <is>
          <t>EDEN_USDT_PERP</t>
        </is>
      </c>
      <c r="B129" s="2" t="inlineStr">
        <is>
          <t>已掃描</t>
        </is>
      </c>
      <c r="C129" s="2" t="inlineStr"/>
      <c r="D129" s="2" t="n"/>
      <c r="E129" s="17" t="n"/>
      <c r="F129" s="17" t="n"/>
      <c r="G129" s="2" t="n"/>
      <c r="H129" s="2" t="n"/>
    </row>
    <row r="130">
      <c r="A130" s="2" t="inlineStr">
        <is>
          <t>EDGE_USDT_PERP</t>
        </is>
      </c>
      <c r="B130" s="2" t="inlineStr">
        <is>
          <t>已掃描</t>
        </is>
      </c>
      <c r="C130" s="2" t="inlineStr"/>
      <c r="D130" s="2" t="n"/>
      <c r="E130" s="17" t="n"/>
      <c r="F130" s="17" t="n"/>
      <c r="G130" s="2" t="n"/>
      <c r="H130" s="2" t="n"/>
    </row>
    <row r="131">
      <c r="A131" s="2" t="inlineStr">
        <is>
          <t>EDU_USDT_PERP</t>
        </is>
      </c>
      <c r="B131" s="2" t="inlineStr">
        <is>
          <t>已掃描</t>
        </is>
      </c>
      <c r="C131" s="2" t="inlineStr"/>
      <c r="D131" s="2" t="n"/>
      <c r="E131" s="17" t="n"/>
      <c r="F131" s="17" t="n"/>
      <c r="G131" s="2" t="n"/>
      <c r="H131" s="2" t="n"/>
    </row>
    <row r="132">
      <c r="A132" s="2" t="inlineStr">
        <is>
          <t>EGLD_USDT_PERP</t>
        </is>
      </c>
      <c r="B132" s="2" t="inlineStr">
        <is>
          <t>已掃描</t>
        </is>
      </c>
      <c r="C132" s="2" t="inlineStr"/>
      <c r="D132" s="2" t="n"/>
      <c r="E132" s="17" t="n"/>
      <c r="F132" s="17" t="n"/>
      <c r="G132" s="2" t="n"/>
      <c r="H132" s="2" t="n"/>
    </row>
    <row r="133">
      <c r="A133" s="2" t="inlineStr">
        <is>
          <t>EIGEN_USDT_PERP</t>
        </is>
      </c>
      <c r="B133" s="2" t="inlineStr">
        <is>
          <t>已掃描</t>
        </is>
      </c>
      <c r="C133" s="2" t="inlineStr"/>
      <c r="D133" s="2" t="n"/>
      <c r="E133" s="17" t="n"/>
      <c r="F133" s="17" t="n"/>
      <c r="G133" s="2" t="n"/>
      <c r="H133" s="2" t="n"/>
    </row>
    <row r="134">
      <c r="A134" s="2" t="inlineStr">
        <is>
          <t>ELSA_USDT_PERP</t>
        </is>
      </c>
      <c r="B134" s="2" t="inlineStr">
        <is>
          <t>已掃描</t>
        </is>
      </c>
      <c r="C134" s="2" t="inlineStr"/>
      <c r="D134" s="2" t="n"/>
      <c r="E134" s="17" t="n"/>
      <c r="F134" s="17" t="n"/>
      <c r="G134" s="2" t="n"/>
      <c r="H134" s="2" t="n"/>
    </row>
    <row r="135">
      <c r="A135" s="2" t="inlineStr">
        <is>
          <t>ENA_USDT_PERP</t>
        </is>
      </c>
      <c r="B135" s="2" t="inlineStr">
        <is>
          <t>已掃描</t>
        </is>
      </c>
      <c r="C135" s="2" t="inlineStr"/>
      <c r="D135" s="2" t="n"/>
      <c r="E135" s="17" t="n"/>
      <c r="F135" s="17" t="n"/>
      <c r="G135" s="2" t="n"/>
      <c r="H135" s="2" t="n"/>
    </row>
    <row r="136">
      <c r="A136" s="2" t="inlineStr">
        <is>
          <t>ENJ_USDT_PERP</t>
        </is>
      </c>
      <c r="B136" s="2" t="inlineStr">
        <is>
          <t>已掃描</t>
        </is>
      </c>
      <c r="C136" s="2" t="inlineStr"/>
      <c r="D136" s="2" t="n"/>
      <c r="E136" s="17" t="n"/>
      <c r="F136" s="17" t="n"/>
      <c r="G136" s="2" t="n"/>
      <c r="H136" s="2" t="n"/>
    </row>
    <row r="137">
      <c r="A137" s="2" t="inlineStr">
        <is>
          <t>ENSO_USDT_PERP</t>
        </is>
      </c>
      <c r="B137" s="2" t="inlineStr">
        <is>
          <t>已掃描</t>
        </is>
      </c>
      <c r="C137" s="2" t="inlineStr"/>
      <c r="D137" s="2" t="n"/>
      <c r="E137" s="17" t="n"/>
      <c r="F137" s="17" t="n"/>
      <c r="G137" s="2" t="n"/>
      <c r="H137" s="2" t="n"/>
    </row>
    <row r="138">
      <c r="A138" s="2" t="inlineStr">
        <is>
          <t>ENS_USDT_PERP</t>
        </is>
      </c>
      <c r="B138" s="2" t="inlineStr">
        <is>
          <t>已掃描</t>
        </is>
      </c>
      <c r="C138" s="2" t="inlineStr"/>
      <c r="D138" s="2" t="n"/>
      <c r="E138" s="17" t="n"/>
      <c r="F138" s="17" t="n"/>
      <c r="G138" s="2" t="n"/>
      <c r="H138" s="2" t="n"/>
    </row>
    <row r="139">
      <c r="A139" s="2" t="inlineStr">
        <is>
          <t>ESP_USDT_PERP</t>
        </is>
      </c>
      <c r="B139" s="2" t="inlineStr">
        <is>
          <t>已掃描</t>
        </is>
      </c>
      <c r="C139" s="2" t="inlineStr"/>
      <c r="D139" s="2" t="n"/>
      <c r="E139" s="17" t="n"/>
      <c r="F139" s="17" t="n"/>
      <c r="G139" s="2" t="n"/>
      <c r="H139" s="2" t="n"/>
    </row>
    <row r="140">
      <c r="A140" s="2" t="inlineStr">
        <is>
          <t>ETC_USDT_PERP</t>
        </is>
      </c>
      <c r="B140" s="2" t="inlineStr">
        <is>
          <t>已掃描</t>
        </is>
      </c>
      <c r="C140" s="2" t="inlineStr"/>
      <c r="D140" s="2" t="n"/>
      <c r="E140" s="17" t="n"/>
      <c r="F140" s="17" t="n"/>
      <c r="G140" s="2" t="n"/>
      <c r="H140" s="2" t="n"/>
    </row>
    <row r="141">
      <c r="A141" s="2" t="inlineStr">
        <is>
          <t>ETHFI_USDT_PERP</t>
        </is>
      </c>
      <c r="B141" s="2" t="inlineStr">
        <is>
          <t>已掃描</t>
        </is>
      </c>
      <c r="C141" s="2" t="inlineStr"/>
      <c r="D141" s="2" t="n"/>
      <c r="E141" s="17" t="n"/>
      <c r="F141" s="17" t="n"/>
      <c r="G141" s="2" t="n"/>
      <c r="H141" s="2" t="n"/>
    </row>
    <row r="142">
      <c r="A142" s="2" t="inlineStr">
        <is>
          <t>ETH_USDT_PERP</t>
        </is>
      </c>
      <c r="B142" s="2" t="inlineStr">
        <is>
          <t>已掃描</t>
        </is>
      </c>
      <c r="C142" s="2" t="inlineStr"/>
      <c r="D142" s="2" t="n"/>
      <c r="E142" s="17" t="n"/>
      <c r="F142" s="17" t="n"/>
      <c r="G142" s="2" t="n"/>
      <c r="H142" s="2" t="n"/>
    </row>
    <row r="143">
      <c r="A143" s="2" t="inlineStr">
        <is>
          <t>EUL_USDT_PERP</t>
        </is>
      </c>
      <c r="B143" s="2" t="inlineStr">
        <is>
          <t>已掃描</t>
        </is>
      </c>
      <c r="C143" s="2" t="inlineStr"/>
      <c r="D143" s="2" t="n"/>
      <c r="E143" s="17" t="n"/>
      <c r="F143" s="17" t="n"/>
      <c r="G143" s="2" t="n"/>
      <c r="H143" s="2" t="n"/>
    </row>
    <row r="144">
      <c r="A144" s="2" t="inlineStr">
        <is>
          <t>EVAA_USDT_PERP</t>
        </is>
      </c>
      <c r="B144" s="2" t="inlineStr">
        <is>
          <t>已掃描</t>
        </is>
      </c>
      <c r="C144" s="2" t="inlineStr"/>
      <c r="D144" s="2" t="n"/>
      <c r="E144" s="17" t="n"/>
      <c r="F144" s="17" t="n"/>
      <c r="G144" s="2" t="n"/>
      <c r="H144" s="2" t="n"/>
    </row>
    <row r="145">
      <c r="A145" s="2" t="inlineStr">
        <is>
          <t>FARTCOIN_USDT_PERP</t>
        </is>
      </c>
      <c r="B145" s="2" t="inlineStr">
        <is>
          <t>已掃描</t>
        </is>
      </c>
      <c r="C145" s="2" t="inlineStr"/>
      <c r="D145" s="2" t="n"/>
      <c r="E145" s="17" t="n"/>
      <c r="F145" s="17" t="n"/>
      <c r="G145" s="2" t="n"/>
      <c r="H145" s="2" t="n"/>
    </row>
    <row r="146">
      <c r="A146" s="2" t="inlineStr">
        <is>
          <t>FET_USDT_PERP</t>
        </is>
      </c>
      <c r="B146" s="2" t="inlineStr">
        <is>
          <t>已掃描</t>
        </is>
      </c>
      <c r="C146" s="2" t="inlineStr"/>
      <c r="D146" s="2" t="n"/>
      <c r="E146" s="17" t="n"/>
      <c r="F146" s="17" t="n"/>
      <c r="G146" s="2" t="n"/>
      <c r="H146" s="2" t="n"/>
    </row>
    <row r="147">
      <c r="A147" s="2" t="inlineStr">
        <is>
          <t>FF_USDT_PERP</t>
        </is>
      </c>
      <c r="B147" s="2" t="inlineStr">
        <is>
          <t>已掃描</t>
        </is>
      </c>
      <c r="C147" s="2" t="inlineStr"/>
      <c r="D147" s="2" t="n"/>
      <c r="E147" s="17" t="n"/>
      <c r="F147" s="17" t="n"/>
      <c r="G147" s="2" t="n"/>
      <c r="H147" s="2" t="n"/>
    </row>
    <row r="148">
      <c r="A148" s="2" t="inlineStr">
        <is>
          <t>FHE_USDT_PERP</t>
        </is>
      </c>
      <c r="B148" s="2" t="inlineStr">
        <is>
          <t>已掃描</t>
        </is>
      </c>
      <c r="C148" s="2" t="inlineStr"/>
      <c r="D148" s="2" t="n"/>
      <c r="E148" s="17" t="n"/>
      <c r="F148" s="17" t="n"/>
      <c r="G148" s="2" t="n"/>
      <c r="H148" s="2" t="n"/>
    </row>
    <row r="149">
      <c r="A149" s="2" t="inlineStr">
        <is>
          <t>FIGHT_USDT_PERP</t>
        </is>
      </c>
      <c r="B149" s="2" t="inlineStr">
        <is>
          <t>已掃描</t>
        </is>
      </c>
      <c r="C149" s="2" t="inlineStr"/>
      <c r="D149" s="2" t="n"/>
      <c r="E149" s="17" t="n"/>
      <c r="F149" s="17" t="n"/>
      <c r="G149" s="2" t="n"/>
      <c r="H149" s="2" t="n"/>
    </row>
    <row r="150">
      <c r="A150" s="2" t="inlineStr">
        <is>
          <t>FIL_USDT_PERP</t>
        </is>
      </c>
      <c r="B150" s="2" t="inlineStr">
        <is>
          <t>已掃描</t>
        </is>
      </c>
      <c r="C150" s="2" t="inlineStr"/>
      <c r="D150" s="2" t="n"/>
      <c r="E150" s="17" t="n"/>
      <c r="F150" s="17" t="n"/>
      <c r="G150" s="2" t="n"/>
      <c r="H150" s="2" t="n"/>
    </row>
    <row r="151">
      <c r="A151" s="2" t="inlineStr">
        <is>
          <t>FLOKI_USDT_PERP</t>
        </is>
      </c>
      <c r="B151" s="2" t="inlineStr">
        <is>
          <t>已掃描</t>
        </is>
      </c>
      <c r="C151" s="2" t="inlineStr"/>
      <c r="D151" s="2" t="n"/>
      <c r="E151" s="17" t="n"/>
      <c r="F151" s="17" t="n"/>
      <c r="G151" s="2" t="n"/>
      <c r="H151" s="2" t="n"/>
    </row>
    <row r="152">
      <c r="A152" s="2" t="inlineStr">
        <is>
          <t>FLUID_USDT_PERP</t>
        </is>
      </c>
      <c r="B152" s="2" t="inlineStr">
        <is>
          <t>已掃描</t>
        </is>
      </c>
      <c r="C152" s="2" t="inlineStr"/>
      <c r="D152" s="2" t="n"/>
      <c r="E152" s="17" t="n"/>
      <c r="F152" s="17" t="n"/>
      <c r="G152" s="2" t="n"/>
      <c r="H152" s="2" t="n"/>
    </row>
    <row r="153">
      <c r="A153" s="2" t="inlineStr">
        <is>
          <t>FOGO_USDT_PERP</t>
        </is>
      </c>
      <c r="B153" s="2" t="inlineStr">
        <is>
          <t>已掃描</t>
        </is>
      </c>
      <c r="C153" s="2" t="inlineStr"/>
      <c r="D153" s="2" t="n"/>
      <c r="E153" s="17" t="n"/>
      <c r="F153" s="17" t="n"/>
      <c r="G153" s="2" t="n"/>
      <c r="H153" s="2" t="n"/>
    </row>
    <row r="154">
      <c r="A154" s="2" t="inlineStr">
        <is>
          <t>FOLKS_USDT_PERP</t>
        </is>
      </c>
      <c r="B154" s="2" t="inlineStr">
        <is>
          <t>已掃描</t>
        </is>
      </c>
      <c r="C154" s="2" t="inlineStr"/>
      <c r="D154" s="2" t="n"/>
      <c r="E154" s="17" t="n"/>
      <c r="F154" s="17" t="n"/>
      <c r="G154" s="2" t="n"/>
      <c r="H154" s="2" t="n"/>
    </row>
    <row r="155">
      <c r="A155" s="2" t="inlineStr">
        <is>
          <t>GALA_USDT_PERP</t>
        </is>
      </c>
      <c r="B155" s="2" t="inlineStr">
        <is>
          <t>已掃描</t>
        </is>
      </c>
      <c r="C155" s="2" t="inlineStr"/>
      <c r="D155" s="2" t="n"/>
      <c r="E155" s="17" t="n"/>
      <c r="F155" s="17" t="n"/>
      <c r="G155" s="2" t="n"/>
      <c r="H155" s="2" t="n"/>
    </row>
    <row r="156">
      <c r="A156" s="2" t="inlineStr">
        <is>
          <t>GAS_USDT_PERP</t>
        </is>
      </c>
      <c r="B156" s="2" t="inlineStr">
        <is>
          <t>已掃描</t>
        </is>
      </c>
      <c r="C156" s="2" t="inlineStr"/>
      <c r="D156" s="2" t="n"/>
      <c r="E156" s="17" t="n"/>
      <c r="F156" s="17" t="n"/>
      <c r="G156" s="2" t="n"/>
      <c r="H156" s="2" t="n"/>
    </row>
    <row r="157">
      <c r="A157" s="2" t="inlineStr">
        <is>
          <t>GENIUS_USDT_PERP</t>
        </is>
      </c>
      <c r="B157" s="2" t="inlineStr">
        <is>
          <t>已掃描</t>
        </is>
      </c>
      <c r="C157" s="2" t="inlineStr"/>
      <c r="D157" s="2" t="n"/>
      <c r="E157" s="17" t="n"/>
      <c r="F157" s="17" t="n"/>
      <c r="G157" s="2" t="n"/>
      <c r="H157" s="2" t="n"/>
    </row>
    <row r="158">
      <c r="A158" s="2" t="inlineStr">
        <is>
          <t>GIGGLE_USDT_PERP</t>
        </is>
      </c>
      <c r="B158" s="2" t="inlineStr">
        <is>
          <t>已掃描</t>
        </is>
      </c>
      <c r="C158" s="2" t="inlineStr"/>
      <c r="D158" s="2" t="n"/>
      <c r="E158" s="17" t="n"/>
      <c r="F158" s="17" t="n"/>
      <c r="G158" s="2" t="n"/>
      <c r="H158" s="2" t="n"/>
    </row>
    <row r="159">
      <c r="A159" s="2" t="inlineStr">
        <is>
          <t>GMT_USDT_PERP</t>
        </is>
      </c>
      <c r="B159" s="2" t="inlineStr">
        <is>
          <t>已掃描</t>
        </is>
      </c>
      <c r="C159" s="2" t="inlineStr"/>
      <c r="D159" s="2" t="n"/>
      <c r="E159" s="17" t="n"/>
      <c r="F159" s="17" t="n"/>
      <c r="G159" s="2" t="n"/>
      <c r="H159" s="2" t="n"/>
    </row>
    <row r="160">
      <c r="A160" s="2" t="inlineStr">
        <is>
          <t>GMX_USDT_PERP</t>
        </is>
      </c>
      <c r="B160" s="2" t="inlineStr">
        <is>
          <t>已掃描</t>
        </is>
      </c>
      <c r="C160" s="2" t="inlineStr"/>
      <c r="D160" s="2" t="n"/>
      <c r="E160" s="17" t="n"/>
      <c r="F160" s="17" t="n"/>
      <c r="G160" s="2" t="n"/>
      <c r="H160" s="2" t="n"/>
    </row>
    <row r="161">
      <c r="A161" s="2" t="inlineStr">
        <is>
          <t>GOAT_USDT_PERP</t>
        </is>
      </c>
      <c r="B161" s="2" t="inlineStr">
        <is>
          <t>已掃描</t>
        </is>
      </c>
      <c r="C161" s="2" t="inlineStr"/>
      <c r="D161" s="2" t="n"/>
      <c r="E161" s="17" t="n"/>
      <c r="F161" s="17" t="n"/>
      <c r="G161" s="2" t="n"/>
      <c r="H161" s="2" t="n"/>
    </row>
    <row r="162">
      <c r="A162" s="2" t="inlineStr">
        <is>
          <t>GPS_USDT_PERP</t>
        </is>
      </c>
      <c r="B162" s="2" t="inlineStr">
        <is>
          <t>已掃描</t>
        </is>
      </c>
      <c r="C162" s="2" t="inlineStr"/>
      <c r="D162" s="2" t="n"/>
      <c r="E162" s="17" t="n"/>
      <c r="F162" s="17" t="n"/>
      <c r="G162" s="2" t="n"/>
      <c r="H162" s="2" t="n"/>
    </row>
    <row r="163">
      <c r="A163" s="2" t="inlineStr">
        <is>
          <t>GRAM_USDT_PERP</t>
        </is>
      </c>
      <c r="B163" s="2" t="inlineStr">
        <is>
          <t>已掃描</t>
        </is>
      </c>
      <c r="C163" s="2" t="inlineStr"/>
      <c r="D163" s="2" t="n"/>
      <c r="E163" s="17" t="n"/>
      <c r="F163" s="17" t="n"/>
      <c r="G163" s="2" t="n"/>
      <c r="H163" s="2" t="n"/>
    </row>
    <row r="164">
      <c r="A164" s="2" t="inlineStr">
        <is>
          <t>GRASS_USDT_PERP</t>
        </is>
      </c>
      <c r="B164" s="2" t="inlineStr">
        <is>
          <t>已掃描</t>
        </is>
      </c>
      <c r="C164" s="2" t="inlineStr"/>
      <c r="D164" s="2" t="n"/>
      <c r="E164" s="17" t="n"/>
      <c r="F164" s="17" t="n"/>
      <c r="G164" s="2" t="n"/>
      <c r="H164" s="2" t="n"/>
    </row>
    <row r="165">
      <c r="A165" s="2" t="inlineStr">
        <is>
          <t>GRIFFAIN_USDT_PERP</t>
        </is>
      </c>
      <c r="B165" s="2" t="inlineStr">
        <is>
          <t>已掃描</t>
        </is>
      </c>
      <c r="C165" s="2" t="inlineStr"/>
      <c r="D165" s="2" t="n"/>
      <c r="E165" s="17" t="n"/>
      <c r="F165" s="17" t="n"/>
      <c r="G165" s="2" t="n"/>
      <c r="H165" s="2" t="n"/>
    </row>
    <row r="166">
      <c r="A166" s="2" t="inlineStr">
        <is>
          <t>GRT_USDT_PERP</t>
        </is>
      </c>
      <c r="B166" s="2" t="inlineStr">
        <is>
          <t>已掃描</t>
        </is>
      </c>
      <c r="C166" s="2" t="inlineStr"/>
      <c r="D166" s="2" t="n"/>
      <c r="E166" s="17" t="n"/>
      <c r="F166" s="17" t="n"/>
      <c r="G166" s="2" t="n"/>
      <c r="H166" s="2" t="n"/>
    </row>
    <row r="167">
      <c r="A167" s="2" t="inlineStr">
        <is>
          <t>GRVT_USDT_PERP</t>
        </is>
      </c>
      <c r="B167" s="2" t="inlineStr">
        <is>
          <t>已掃描</t>
        </is>
      </c>
      <c r="C167" s="2" t="inlineStr"/>
      <c r="D167" s="2" t="n"/>
      <c r="E167" s="17" t="n"/>
      <c r="F167" s="17" t="n"/>
      <c r="G167" s="2" t="n"/>
      <c r="H167" s="2" t="n"/>
    </row>
    <row r="168">
      <c r="A168" s="2" t="inlineStr">
        <is>
          <t>GUA_USDT_PERP</t>
        </is>
      </c>
      <c r="B168" s="2" t="inlineStr">
        <is>
          <t>已掃描</t>
        </is>
      </c>
      <c r="C168" s="2" t="inlineStr"/>
      <c r="D168" s="2" t="n"/>
      <c r="E168" s="17" t="n"/>
      <c r="F168" s="17" t="n"/>
      <c r="G168" s="2" t="n"/>
      <c r="H168" s="2" t="n"/>
    </row>
    <row r="169">
      <c r="A169" s="2" t="inlineStr">
        <is>
          <t>GUN_USDT_PERP</t>
        </is>
      </c>
      <c r="B169" s="2" t="inlineStr">
        <is>
          <t>已掃描</t>
        </is>
      </c>
      <c r="C169" s="2" t="inlineStr"/>
      <c r="D169" s="2" t="n"/>
      <c r="E169" s="17" t="n"/>
      <c r="F169" s="17" t="n"/>
      <c r="G169" s="2" t="n"/>
      <c r="H169" s="2" t="n"/>
    </row>
    <row r="170">
      <c r="A170" s="2" t="inlineStr">
        <is>
          <t>GWEI_USDT_PERP</t>
        </is>
      </c>
      <c r="B170" s="2" t="inlineStr">
        <is>
          <t>已掃描</t>
        </is>
      </c>
      <c r="C170" s="2" t="inlineStr"/>
      <c r="D170" s="2" t="n"/>
      <c r="E170" s="17" t="n"/>
      <c r="F170" s="17" t="n"/>
      <c r="G170" s="2" t="n"/>
      <c r="H170" s="2" t="n"/>
    </row>
    <row r="171">
      <c r="A171" s="2" t="inlineStr">
        <is>
          <t>HAEDAL_USDT_PERP</t>
        </is>
      </c>
      <c r="B171" s="2" t="inlineStr">
        <is>
          <t>已掃描</t>
        </is>
      </c>
      <c r="C171" s="2" t="inlineStr"/>
      <c r="D171" s="2" t="n"/>
      <c r="E171" s="17" t="n"/>
      <c r="F171" s="17" t="n"/>
      <c r="G171" s="2" t="n"/>
      <c r="H171" s="2" t="n"/>
    </row>
    <row r="172">
      <c r="A172" s="2" t="inlineStr">
        <is>
          <t>HANA_USDT_PERP</t>
        </is>
      </c>
      <c r="B172" s="2" t="inlineStr">
        <is>
          <t>已掃描</t>
        </is>
      </c>
      <c r="C172" s="2" t="inlineStr"/>
      <c r="D172" s="2" t="n"/>
      <c r="E172" s="17" t="n"/>
      <c r="F172" s="17" t="n"/>
      <c r="G172" s="2" t="n"/>
      <c r="H172" s="2" t="n"/>
    </row>
    <row r="173">
      <c r="A173" s="2" t="inlineStr">
        <is>
          <t>HBAR_USDT_PERP</t>
        </is>
      </c>
      <c r="B173" s="2" t="inlineStr">
        <is>
          <t>已掃描</t>
        </is>
      </c>
      <c r="C173" s="2" t="inlineStr"/>
      <c r="D173" s="2" t="n"/>
      <c r="E173" s="17" t="n"/>
      <c r="F173" s="17" t="n"/>
      <c r="G173" s="2" t="n"/>
      <c r="H173" s="2" t="n"/>
    </row>
    <row r="174">
      <c r="A174" s="2" t="inlineStr">
        <is>
          <t>HEMI_USDT_PERP</t>
        </is>
      </c>
      <c r="B174" s="2" t="inlineStr">
        <is>
          <t>已掃描</t>
        </is>
      </c>
      <c r="C174" s="2" t="inlineStr"/>
      <c r="D174" s="2" t="n"/>
      <c r="E174" s="17" t="n"/>
      <c r="F174" s="17" t="n"/>
      <c r="G174" s="2" t="n"/>
      <c r="H174" s="2" t="n"/>
    </row>
    <row r="175">
      <c r="A175" s="2" t="inlineStr">
        <is>
          <t>HMSTR_USDT_PERP</t>
        </is>
      </c>
      <c r="B175" s="2" t="inlineStr">
        <is>
          <t>已掃描</t>
        </is>
      </c>
      <c r="C175" s="2" t="inlineStr"/>
      <c r="D175" s="2" t="n"/>
      <c r="E175" s="17" t="n"/>
      <c r="F175" s="17" t="n"/>
      <c r="G175" s="2" t="n"/>
      <c r="H175" s="2" t="n"/>
    </row>
    <row r="176">
      <c r="A176" s="2" t="inlineStr">
        <is>
          <t>HOLO_USDT_PERP</t>
        </is>
      </c>
      <c r="B176" s="2" t="inlineStr">
        <is>
          <t>已掃描</t>
        </is>
      </c>
      <c r="C176" s="2" t="inlineStr"/>
      <c r="D176" s="2" t="n"/>
      <c r="E176" s="17" t="n"/>
      <c r="F176" s="17" t="n"/>
      <c r="G176" s="2" t="n"/>
      <c r="H176" s="2" t="n"/>
    </row>
    <row r="177">
      <c r="A177" s="2" t="inlineStr">
        <is>
          <t>HOME_USDT_PERP</t>
        </is>
      </c>
      <c r="B177" s="2" t="inlineStr">
        <is>
          <t>已掃描</t>
        </is>
      </c>
      <c r="C177" s="2" t="inlineStr"/>
      <c r="D177" s="2" t="n"/>
      <c r="E177" s="17" t="n"/>
      <c r="F177" s="17" t="n"/>
      <c r="G177" s="2" t="n"/>
      <c r="H177" s="2" t="n"/>
    </row>
    <row r="178">
      <c r="A178" s="2" t="inlineStr">
        <is>
          <t>HUMA_USDT_PERP</t>
        </is>
      </c>
      <c r="B178" s="2" t="inlineStr">
        <is>
          <t>已掃描</t>
        </is>
      </c>
      <c r="C178" s="2" t="inlineStr"/>
      <c r="D178" s="2" t="n"/>
      <c r="E178" s="17" t="n"/>
      <c r="F178" s="17" t="n"/>
      <c r="G178" s="2" t="n"/>
      <c r="H178" s="2" t="n"/>
    </row>
    <row r="179">
      <c r="A179" s="2" t="inlineStr">
        <is>
          <t>HYPE_USDT_PERP</t>
        </is>
      </c>
      <c r="B179" s="2" t="inlineStr">
        <is>
          <t>已掃描</t>
        </is>
      </c>
      <c r="C179" s="2" t="inlineStr"/>
      <c r="D179" s="2" t="n"/>
      <c r="E179" s="17" t="n"/>
      <c r="F179" s="17" t="n"/>
      <c r="G179" s="2" t="n"/>
      <c r="H179" s="2" t="n"/>
    </row>
    <row r="180">
      <c r="A180" s="2" t="inlineStr">
        <is>
          <t>HYUNDAI_USDT_PERP</t>
        </is>
      </c>
      <c r="B180" s="2" t="inlineStr">
        <is>
          <t>已掃描</t>
        </is>
      </c>
      <c r="C180" s="2" t="inlineStr"/>
      <c r="D180" s="2" t="n"/>
      <c r="E180" s="17" t="n"/>
      <c r="F180" s="17" t="n"/>
      <c r="G180" s="2" t="n"/>
      <c r="H180" s="2" t="n"/>
    </row>
    <row r="181">
      <c r="A181" s="2" t="inlineStr">
        <is>
          <t>H_USDT_PERP</t>
        </is>
      </c>
      <c r="B181" s="2" t="inlineStr">
        <is>
          <t>已掃描</t>
        </is>
      </c>
      <c r="C181" s="2" t="inlineStr"/>
      <c r="D181" s="2" t="n"/>
      <c r="E181" s="17" t="n"/>
      <c r="F181" s="17" t="n"/>
      <c r="G181" s="2" t="n"/>
      <c r="H181" s="2" t="n"/>
    </row>
    <row r="182">
      <c r="A182" s="2" t="inlineStr">
        <is>
          <t>ICNT_USDT_PERP</t>
        </is>
      </c>
      <c r="B182" s="2" t="inlineStr">
        <is>
          <t>已掃描</t>
        </is>
      </c>
      <c r="C182" s="2" t="inlineStr"/>
      <c r="D182" s="2" t="n"/>
      <c r="E182" s="17" t="n"/>
      <c r="F182" s="17" t="n"/>
      <c r="G182" s="2" t="n"/>
      <c r="H182" s="2" t="n"/>
    </row>
    <row r="183">
      <c r="A183" s="2" t="inlineStr">
        <is>
          <t>ICP_USDT_PERP</t>
        </is>
      </c>
      <c r="B183" s="2" t="inlineStr">
        <is>
          <t>已掃描</t>
        </is>
      </c>
      <c r="C183" s="2" t="inlineStr"/>
      <c r="D183" s="2" t="n"/>
      <c r="E183" s="17" t="n"/>
      <c r="F183" s="17" t="n"/>
      <c r="G183" s="2" t="n"/>
      <c r="H183" s="2" t="n"/>
    </row>
    <row r="184">
      <c r="A184" s="2" t="inlineStr">
        <is>
          <t>IDOL_USDT_PERP</t>
        </is>
      </c>
      <c r="B184" s="2" t="inlineStr">
        <is>
          <t>已掃描</t>
        </is>
      </c>
      <c r="C184" s="2" t="inlineStr"/>
      <c r="D184" s="2" t="n"/>
      <c r="E184" s="17" t="n"/>
      <c r="F184" s="17" t="n"/>
      <c r="G184" s="2" t="n"/>
      <c r="H184" s="2" t="n"/>
    </row>
    <row r="185">
      <c r="A185" s="2" t="inlineStr">
        <is>
          <t>IMX_USDT_PERP</t>
        </is>
      </c>
      <c r="B185" s="2" t="inlineStr">
        <is>
          <t>已掃描</t>
        </is>
      </c>
      <c r="C185" s="2" t="inlineStr"/>
      <c r="D185" s="2" t="n"/>
      <c r="E185" s="17" t="n"/>
      <c r="F185" s="17" t="n"/>
      <c r="G185" s="2" t="n"/>
      <c r="H185" s="2" t="n"/>
    </row>
    <row r="186">
      <c r="A186" s="2" t="inlineStr">
        <is>
          <t>INIT_USDT_PERP</t>
        </is>
      </c>
      <c r="B186" s="2" t="inlineStr">
        <is>
          <t>已掃描</t>
        </is>
      </c>
      <c r="C186" s="2" t="inlineStr"/>
      <c r="D186" s="2" t="n"/>
      <c r="E186" s="17" t="n"/>
      <c r="F186" s="17" t="n"/>
      <c r="G186" s="2" t="n"/>
      <c r="H186" s="2" t="n"/>
    </row>
    <row r="187">
      <c r="A187" s="2" t="inlineStr">
        <is>
          <t>INJ_USDT_PERP</t>
        </is>
      </c>
      <c r="B187" s="2" t="inlineStr">
        <is>
          <t>已掃描</t>
        </is>
      </c>
      <c r="C187" s="2" t="inlineStr"/>
      <c r="D187" s="2" t="n"/>
      <c r="E187" s="17" t="n"/>
      <c r="F187" s="17" t="n"/>
      <c r="G187" s="2" t="n"/>
      <c r="H187" s="2" t="n"/>
    </row>
    <row r="188">
      <c r="A188" s="2" t="inlineStr">
        <is>
          <t>INX_USDT_PERP</t>
        </is>
      </c>
      <c r="B188" s="2" t="inlineStr">
        <is>
          <t>已掃描</t>
        </is>
      </c>
      <c r="C188" s="2" t="inlineStr"/>
      <c r="D188" s="2" t="n"/>
      <c r="E188" s="17" t="n"/>
      <c r="F188" s="17" t="n"/>
      <c r="G188" s="2" t="n"/>
      <c r="H188" s="2" t="n"/>
    </row>
    <row r="189">
      <c r="A189" s="2" t="inlineStr">
        <is>
          <t>IOST_USDT_PERP</t>
        </is>
      </c>
      <c r="B189" s="2" t="inlineStr">
        <is>
          <t>已掃描</t>
        </is>
      </c>
      <c r="C189" s="2" t="inlineStr"/>
      <c r="D189" s="2" t="n"/>
      <c r="E189" s="17" t="n"/>
      <c r="F189" s="17" t="n"/>
      <c r="G189" s="2" t="n"/>
      <c r="H189" s="2" t="n"/>
    </row>
    <row r="190">
      <c r="A190" s="2" t="inlineStr">
        <is>
          <t>IOTA_USDT_PERP</t>
        </is>
      </c>
      <c r="B190" s="2" t="inlineStr">
        <is>
          <t>已掃描</t>
        </is>
      </c>
      <c r="C190" s="2" t="inlineStr"/>
      <c r="D190" s="2" t="n"/>
      <c r="E190" s="17" t="n"/>
      <c r="F190" s="17" t="n"/>
      <c r="G190" s="2" t="n"/>
      <c r="H190" s="2" t="n"/>
    </row>
    <row r="191">
      <c r="A191" s="2" t="inlineStr">
        <is>
          <t>IO_USDT_PERP</t>
        </is>
      </c>
      <c r="B191" s="2" t="inlineStr">
        <is>
          <t>已掃描</t>
        </is>
      </c>
      <c r="C191" s="2" t="inlineStr"/>
      <c r="D191" s="2" t="n"/>
      <c r="E191" s="17" t="n"/>
      <c r="F191" s="17" t="n"/>
      <c r="G191" s="2" t="n"/>
      <c r="H191" s="2" t="n"/>
    </row>
    <row r="192">
      <c r="A192" s="2" t="inlineStr">
        <is>
          <t>IRYS_USDT_PERP</t>
        </is>
      </c>
      <c r="B192" s="2" t="inlineStr">
        <is>
          <t>已掃描</t>
        </is>
      </c>
      <c r="C192" s="2" t="inlineStr"/>
      <c r="D192" s="2" t="n"/>
      <c r="E192" s="17" t="n"/>
      <c r="F192" s="17" t="n"/>
      <c r="G192" s="2" t="n"/>
      <c r="H192" s="2" t="n"/>
    </row>
    <row r="193">
      <c r="A193" s="2" t="inlineStr">
        <is>
          <t>JASMY_USDT_PERP</t>
        </is>
      </c>
      <c r="B193" s="2" t="inlineStr">
        <is>
          <t>已掃描</t>
        </is>
      </c>
      <c r="C193" s="2" t="inlineStr"/>
      <c r="D193" s="2" t="n"/>
      <c r="E193" s="17" t="n"/>
      <c r="F193" s="17" t="n"/>
      <c r="G193" s="2" t="n"/>
      <c r="H193" s="2" t="n"/>
    </row>
    <row r="194">
      <c r="A194" s="2" t="inlineStr">
        <is>
          <t>JELLYJELLY_USDT_PERP</t>
        </is>
      </c>
      <c r="B194" s="2" t="inlineStr">
        <is>
          <t>已掃描</t>
        </is>
      </c>
      <c r="C194" s="2" t="inlineStr"/>
      <c r="D194" s="2" t="n"/>
      <c r="E194" s="17" t="n"/>
      <c r="F194" s="17" t="n"/>
      <c r="G194" s="2" t="n"/>
      <c r="H194" s="2" t="n"/>
    </row>
    <row r="195">
      <c r="A195" s="2" t="inlineStr">
        <is>
          <t>JTO_USDT_PERP</t>
        </is>
      </c>
      <c r="B195" s="2" t="inlineStr">
        <is>
          <t>已掃描</t>
        </is>
      </c>
      <c r="C195" s="2" t="inlineStr"/>
      <c r="D195" s="2" t="n"/>
      <c r="E195" s="17" t="n"/>
      <c r="F195" s="17" t="n"/>
      <c r="G195" s="2" t="n"/>
      <c r="H195" s="2" t="n"/>
    </row>
    <row r="196">
      <c r="A196" s="2" t="inlineStr">
        <is>
          <t>JUP_USDT_PERP</t>
        </is>
      </c>
      <c r="B196" s="2" t="inlineStr">
        <is>
          <t>已掃描</t>
        </is>
      </c>
      <c r="C196" s="2" t="inlineStr"/>
      <c r="D196" s="2" t="n"/>
      <c r="E196" s="17" t="n"/>
      <c r="F196" s="17" t="n"/>
      <c r="G196" s="2" t="n"/>
      <c r="H196" s="2" t="n"/>
    </row>
    <row r="197">
      <c r="A197" s="2" t="inlineStr">
        <is>
          <t>KAIA_USDT_PERP</t>
        </is>
      </c>
      <c r="B197" s="2" t="inlineStr">
        <is>
          <t>已掃描</t>
        </is>
      </c>
      <c r="C197" s="2" t="inlineStr"/>
      <c r="D197" s="2" t="n"/>
      <c r="E197" s="17" t="n"/>
      <c r="F197" s="17" t="n"/>
      <c r="G197" s="2" t="n"/>
      <c r="H197" s="2" t="n"/>
    </row>
    <row r="198">
      <c r="A198" s="2" t="inlineStr">
        <is>
          <t>KAITO_USDT_PERP</t>
        </is>
      </c>
      <c r="B198" s="2" t="inlineStr">
        <is>
          <t>已掃描</t>
        </is>
      </c>
      <c r="C198" s="2" t="inlineStr"/>
      <c r="D198" s="2" t="n"/>
      <c r="E198" s="17" t="n"/>
      <c r="F198" s="17" t="n"/>
      <c r="G198" s="2" t="n"/>
      <c r="H198" s="2" t="n"/>
    </row>
    <row r="199">
      <c r="A199" s="2" t="inlineStr">
        <is>
          <t>KAS_USDT_PERP</t>
        </is>
      </c>
      <c r="B199" s="2" t="inlineStr">
        <is>
          <t>已掃描</t>
        </is>
      </c>
      <c r="C199" s="2" t="inlineStr"/>
      <c r="D199" s="2" t="n"/>
      <c r="E199" s="17" t="n"/>
      <c r="F199" s="17" t="n"/>
      <c r="G199" s="2" t="n"/>
      <c r="H199" s="2" t="n"/>
    </row>
    <row r="200">
      <c r="A200" s="2" t="inlineStr">
        <is>
          <t>KAT_USDT_PERP</t>
        </is>
      </c>
      <c r="B200" s="2" t="inlineStr">
        <is>
          <t>已掃描</t>
        </is>
      </c>
      <c r="C200" s="2" t="inlineStr"/>
      <c r="D200" s="2" t="n"/>
      <c r="E200" s="17" t="n"/>
      <c r="F200" s="17" t="n"/>
      <c r="G200" s="2" t="n"/>
      <c r="H200" s="2" t="n"/>
    </row>
    <row r="201">
      <c r="A201" s="2" t="inlineStr">
        <is>
          <t>KAVA_USDT_PERP</t>
        </is>
      </c>
      <c r="B201" s="2" t="inlineStr">
        <is>
          <t>已掃描</t>
        </is>
      </c>
      <c r="C201" s="2" t="inlineStr"/>
      <c r="D201" s="2" t="n"/>
      <c r="E201" s="17" t="n"/>
      <c r="F201" s="17" t="n"/>
      <c r="G201" s="2" t="n"/>
      <c r="H201" s="2" t="n"/>
    </row>
    <row r="202">
      <c r="A202" s="2" t="inlineStr">
        <is>
          <t>KERNEL_USDT_PERP</t>
        </is>
      </c>
      <c r="B202" s="2" t="inlineStr">
        <is>
          <t>已掃描</t>
        </is>
      </c>
      <c r="C202" s="2" t="inlineStr"/>
      <c r="D202" s="2" t="n"/>
      <c r="E202" s="17" t="n"/>
      <c r="F202" s="17" t="n"/>
      <c r="G202" s="2" t="n"/>
      <c r="H202" s="2" t="n"/>
    </row>
    <row r="203">
      <c r="A203" s="2" t="inlineStr">
        <is>
          <t>KGEN_USDT_PERP</t>
        </is>
      </c>
      <c r="B203" s="2" t="inlineStr">
        <is>
          <t>已掃描</t>
        </is>
      </c>
      <c r="C203" s="2" t="inlineStr"/>
      <c r="D203" s="2" t="n"/>
      <c r="E203" s="17" t="n"/>
      <c r="F203" s="17" t="n"/>
      <c r="G203" s="2" t="n"/>
      <c r="H203" s="2" t="n"/>
    </row>
    <row r="204">
      <c r="A204" s="2" t="inlineStr">
        <is>
          <t>KIOXIA_USDT_PERP</t>
        </is>
      </c>
      <c r="B204" s="2" t="inlineStr">
        <is>
          <t>已掃描</t>
        </is>
      </c>
      <c r="C204" s="2" t="inlineStr"/>
      <c r="D204" s="2" t="n"/>
      <c r="E204" s="17" t="n"/>
      <c r="F204" s="17" t="n"/>
      <c r="G204" s="2" t="n"/>
      <c r="H204" s="2" t="n"/>
    </row>
    <row r="205">
      <c r="A205" s="2" t="inlineStr">
        <is>
          <t>KITE_USDT_PERP</t>
        </is>
      </c>
      <c r="B205" s="2" t="inlineStr">
        <is>
          <t>已掃描</t>
        </is>
      </c>
      <c r="C205" s="2" t="inlineStr"/>
      <c r="D205" s="2" t="n"/>
      <c r="E205" s="17" t="n"/>
      <c r="F205" s="17" t="n"/>
      <c r="G205" s="2" t="n"/>
      <c r="H205" s="2" t="n"/>
    </row>
    <row r="206">
      <c r="A206" s="2" t="inlineStr">
        <is>
          <t>KMNO_USDT_PERP</t>
        </is>
      </c>
      <c r="B206" s="2" t="inlineStr">
        <is>
          <t>已掃描</t>
        </is>
      </c>
      <c r="C206" s="2" t="inlineStr"/>
      <c r="D206" s="2" t="n"/>
      <c r="E206" s="17" t="n"/>
      <c r="F206" s="17" t="n"/>
      <c r="G206" s="2" t="n"/>
      <c r="H206" s="2" t="n"/>
    </row>
    <row r="207">
      <c r="A207" s="2" t="inlineStr">
        <is>
          <t>KNC_USDT_PERP</t>
        </is>
      </c>
      <c r="B207" s="2" t="inlineStr">
        <is>
          <t>已掃描</t>
        </is>
      </c>
      <c r="C207" s="2" t="inlineStr"/>
      <c r="D207" s="2" t="n"/>
      <c r="E207" s="17" t="n"/>
      <c r="F207" s="17" t="n"/>
      <c r="G207" s="2" t="n"/>
      <c r="H207" s="2" t="n"/>
    </row>
    <row r="208">
      <c r="A208" s="2" t="inlineStr">
        <is>
          <t>LAB_USDT_PERP</t>
        </is>
      </c>
      <c r="B208" s="2" t="inlineStr">
        <is>
          <t>已掃描</t>
        </is>
      </c>
      <c r="C208" s="2" t="inlineStr"/>
      <c r="D208" s="2" t="n"/>
      <c r="E208" s="17" t="n"/>
      <c r="F208" s="17" t="n"/>
      <c r="G208" s="2" t="n"/>
      <c r="H208" s="2" t="n"/>
    </row>
    <row r="209">
      <c r="A209" s="2" t="inlineStr">
        <is>
          <t>LAYER_USDT_PERP</t>
        </is>
      </c>
      <c r="B209" s="2" t="inlineStr">
        <is>
          <t>已掃描</t>
        </is>
      </c>
      <c r="C209" s="2" t="inlineStr"/>
      <c r="D209" s="2" t="n"/>
      <c r="E209" s="17" t="n"/>
      <c r="F209" s="17" t="n"/>
      <c r="G209" s="2" t="n"/>
      <c r="H209" s="2" t="n"/>
    </row>
    <row r="210">
      <c r="A210" s="2" t="inlineStr">
        <is>
          <t>LA_USDT_PERP</t>
        </is>
      </c>
      <c r="B210" s="2" t="inlineStr">
        <is>
          <t>已掃描</t>
        </is>
      </c>
      <c r="C210" s="2" t="inlineStr"/>
      <c r="D210" s="2" t="n"/>
      <c r="E210" s="17" t="n"/>
      <c r="F210" s="17" t="n"/>
      <c r="G210" s="2" t="n"/>
      <c r="H210" s="2" t="n"/>
    </row>
    <row r="211">
      <c r="A211" s="2" t="inlineStr">
        <is>
          <t>LDO_USDT_PERP</t>
        </is>
      </c>
      <c r="B211" s="2" t="inlineStr">
        <is>
          <t>已掃描</t>
        </is>
      </c>
      <c r="C211" s="2" t="inlineStr"/>
      <c r="D211" s="2" t="n"/>
      <c r="E211" s="17" t="n"/>
      <c r="F211" s="17" t="n"/>
      <c r="G211" s="2" t="n"/>
      <c r="H211" s="2" t="n"/>
    </row>
    <row r="212">
      <c r="A212" s="2" t="inlineStr">
        <is>
          <t>LIGHT_USDT_PERP</t>
        </is>
      </c>
      <c r="B212" s="2" t="inlineStr">
        <is>
          <t>已掃描</t>
        </is>
      </c>
      <c r="C212" s="2" t="inlineStr"/>
      <c r="D212" s="2" t="n"/>
      <c r="E212" s="17" t="n"/>
      <c r="F212" s="17" t="n"/>
      <c r="G212" s="2" t="n"/>
      <c r="H212" s="2" t="n"/>
    </row>
    <row r="213">
      <c r="A213" s="2" t="inlineStr">
        <is>
          <t>LINEA_USDT_PERP</t>
        </is>
      </c>
      <c r="B213" s="2" t="inlineStr">
        <is>
          <t>已掃描</t>
        </is>
      </c>
      <c r="C213" s="2" t="inlineStr"/>
      <c r="D213" s="2" t="n"/>
      <c r="E213" s="17" t="n"/>
      <c r="F213" s="17" t="n"/>
      <c r="G213" s="2" t="n"/>
      <c r="H213" s="2" t="n"/>
    </row>
    <row r="214">
      <c r="A214" s="2" t="inlineStr">
        <is>
          <t>LINK_USDT_PERP</t>
        </is>
      </c>
      <c r="B214" s="2" t="inlineStr">
        <is>
          <t>已掃描</t>
        </is>
      </c>
      <c r="C214" s="2" t="inlineStr"/>
      <c r="D214" s="2" t="n"/>
      <c r="E214" s="17" t="n"/>
      <c r="F214" s="17" t="n"/>
      <c r="G214" s="2" t="n"/>
      <c r="H214" s="2" t="n"/>
    </row>
    <row r="215">
      <c r="A215" s="2" t="inlineStr">
        <is>
          <t>LISTA_USDT_PERP</t>
        </is>
      </c>
      <c r="B215" s="2" t="inlineStr">
        <is>
          <t>已掃描</t>
        </is>
      </c>
      <c r="C215" s="2" t="inlineStr"/>
      <c r="D215" s="2" t="n"/>
      <c r="E215" s="17" t="n"/>
      <c r="F215" s="17" t="n"/>
      <c r="G215" s="2" t="n"/>
      <c r="H215" s="2" t="n"/>
    </row>
    <row r="216">
      <c r="A216" s="2" t="inlineStr">
        <is>
          <t>LIT_USDT_PERP</t>
        </is>
      </c>
      <c r="B216" s="2" t="inlineStr">
        <is>
          <t>已掃描</t>
        </is>
      </c>
      <c r="C216" s="2" t="inlineStr"/>
      <c r="D216" s="2" t="n"/>
      <c r="E216" s="17" t="n"/>
      <c r="F216" s="17" t="n"/>
      <c r="G216" s="2" t="n"/>
      <c r="H216" s="2" t="n"/>
    </row>
    <row r="217">
      <c r="A217" s="2" t="inlineStr">
        <is>
          <t>LPT_USDT_PERP</t>
        </is>
      </c>
      <c r="B217" s="2" t="inlineStr">
        <is>
          <t>已掃描</t>
        </is>
      </c>
      <c r="C217" s="2" t="inlineStr"/>
      <c r="D217" s="2" t="n"/>
      <c r="E217" s="17" t="n"/>
      <c r="F217" s="17" t="n"/>
      <c r="G217" s="2" t="n"/>
      <c r="H217" s="2" t="n"/>
    </row>
    <row r="218">
      <c r="A218" s="2" t="inlineStr">
        <is>
          <t>LRC_USDT_PERP</t>
        </is>
      </c>
      <c r="B218" s="2" t="inlineStr">
        <is>
          <t>已掃描</t>
        </is>
      </c>
      <c r="C218" s="2" t="inlineStr"/>
      <c r="D218" s="2" t="n"/>
      <c r="E218" s="17" t="n"/>
      <c r="F218" s="17" t="n"/>
      <c r="G218" s="2" t="n"/>
      <c r="H218" s="2" t="n"/>
    </row>
    <row r="219">
      <c r="A219" s="2" t="inlineStr">
        <is>
          <t>LSK_USDT_PERP</t>
        </is>
      </c>
      <c r="B219" s="2" t="inlineStr">
        <is>
          <t>已掃描</t>
        </is>
      </c>
      <c r="C219" s="2" t="inlineStr"/>
      <c r="D219" s="2" t="n"/>
      <c r="E219" s="17" t="n"/>
      <c r="F219" s="17" t="n"/>
      <c r="G219" s="2" t="n"/>
      <c r="H219" s="2" t="n"/>
    </row>
    <row r="220">
      <c r="A220" s="2" t="inlineStr">
        <is>
          <t>LTC_USDT_PERP</t>
        </is>
      </c>
      <c r="B220" s="2" t="inlineStr">
        <is>
          <t>已掃描</t>
        </is>
      </c>
      <c r="C220" s="2" t="inlineStr"/>
      <c r="D220" s="2" t="n"/>
      <c r="E220" s="17" t="n"/>
      <c r="F220" s="17" t="n"/>
      <c r="G220" s="2" t="n"/>
      <c r="H220" s="2" t="n"/>
    </row>
    <row r="221">
      <c r="A221" s="2" t="inlineStr">
        <is>
          <t>LUNA2_USDT_PERP</t>
        </is>
      </c>
      <c r="B221" s="2" t="inlineStr">
        <is>
          <t>已掃描</t>
        </is>
      </c>
      <c r="C221" s="2" t="inlineStr"/>
      <c r="D221" s="2" t="n"/>
      <c r="E221" s="17" t="n"/>
      <c r="F221" s="17" t="n"/>
      <c r="G221" s="2" t="n"/>
      <c r="H221" s="2" t="n"/>
    </row>
    <row r="222">
      <c r="A222" s="2" t="inlineStr">
        <is>
          <t>LUNC_USDT_PERP</t>
        </is>
      </c>
      <c r="B222" s="2" t="inlineStr">
        <is>
          <t>已掃描</t>
        </is>
      </c>
      <c r="C222" s="2" t="inlineStr"/>
      <c r="D222" s="2" t="n"/>
      <c r="E222" s="17" t="n"/>
      <c r="F222" s="17" t="n"/>
      <c r="G222" s="2" t="n"/>
      <c r="H222" s="2" t="n"/>
    </row>
    <row r="223">
      <c r="A223" s="2" t="inlineStr">
        <is>
          <t>LYN_USDT_PERP</t>
        </is>
      </c>
      <c r="B223" s="2" t="inlineStr">
        <is>
          <t>已掃描</t>
        </is>
      </c>
      <c r="C223" s="2" t="inlineStr"/>
      <c r="D223" s="2" t="n"/>
      <c r="E223" s="17" t="n"/>
      <c r="F223" s="17" t="n"/>
      <c r="G223" s="2" t="n"/>
      <c r="H223" s="2" t="n"/>
    </row>
    <row r="224">
      <c r="A224" s="2" t="inlineStr">
        <is>
          <t>MAGIC_USDT_PERP</t>
        </is>
      </c>
      <c r="B224" s="2" t="inlineStr">
        <is>
          <t>已掃描</t>
        </is>
      </c>
      <c r="C224" s="2" t="inlineStr"/>
      <c r="D224" s="2" t="n"/>
      <c r="E224" s="17" t="n"/>
      <c r="F224" s="17" t="n"/>
      <c r="G224" s="2" t="n"/>
      <c r="H224" s="2" t="n"/>
    </row>
    <row r="225">
      <c r="A225" s="2" t="inlineStr">
        <is>
          <t>MAGMA_USDT_PERP</t>
        </is>
      </c>
      <c r="B225" s="2" t="inlineStr">
        <is>
          <t>已掃描</t>
        </is>
      </c>
      <c r="C225" s="2" t="inlineStr"/>
      <c r="D225" s="2" t="n"/>
      <c r="E225" s="17" t="n"/>
      <c r="F225" s="17" t="n"/>
      <c r="G225" s="2" t="n"/>
      <c r="H225" s="2" t="n"/>
    </row>
    <row r="226">
      <c r="A226" s="2" t="inlineStr">
        <is>
          <t>MANA_USDT_PERP</t>
        </is>
      </c>
      <c r="B226" s="2" t="inlineStr">
        <is>
          <t>已掃描</t>
        </is>
      </c>
      <c r="C226" s="2" t="inlineStr"/>
      <c r="D226" s="2" t="n"/>
      <c r="E226" s="17" t="n"/>
      <c r="F226" s="17" t="n"/>
      <c r="G226" s="2" t="n"/>
      <c r="H226" s="2" t="n"/>
    </row>
    <row r="227">
      <c r="A227" s="2" t="inlineStr">
        <is>
          <t>MANTA_USDT_PERP</t>
        </is>
      </c>
      <c r="B227" s="2" t="inlineStr">
        <is>
          <t>已掃描</t>
        </is>
      </c>
      <c r="C227" s="2" t="inlineStr"/>
      <c r="D227" s="2" t="n"/>
      <c r="E227" s="17" t="n"/>
      <c r="F227" s="17" t="n"/>
      <c r="G227" s="2" t="n"/>
      <c r="H227" s="2" t="n"/>
    </row>
    <row r="228">
      <c r="A228" s="2" t="inlineStr">
        <is>
          <t>MANTRA_USDT_PERP</t>
        </is>
      </c>
      <c r="B228" s="2" t="inlineStr">
        <is>
          <t>已掃描</t>
        </is>
      </c>
      <c r="C228" s="2" t="inlineStr"/>
      <c r="D228" s="2" t="n"/>
      <c r="E228" s="17" t="n"/>
      <c r="F228" s="17" t="n"/>
      <c r="G228" s="2" t="n"/>
      <c r="H228" s="2" t="n"/>
    </row>
    <row r="229">
      <c r="A229" s="2" t="inlineStr">
        <is>
          <t>MARSCOIN_USDT_PERP</t>
        </is>
      </c>
      <c r="B229" s="2" t="inlineStr">
        <is>
          <t>已掃描</t>
        </is>
      </c>
      <c r="C229" s="2" t="inlineStr"/>
      <c r="D229" s="2" t="n"/>
      <c r="E229" s="17" t="n"/>
      <c r="F229" s="17" t="n"/>
      <c r="G229" s="2" t="n"/>
      <c r="H229" s="2" t="n"/>
    </row>
    <row r="230">
      <c r="A230" s="2" t="inlineStr">
        <is>
          <t>MASK_USDT_PERP</t>
        </is>
      </c>
      <c r="B230" s="2" t="inlineStr">
        <is>
          <t>已掃描</t>
        </is>
      </c>
      <c r="C230" s="2" t="inlineStr"/>
      <c r="D230" s="2" t="n"/>
      <c r="E230" s="17" t="n"/>
      <c r="F230" s="17" t="n"/>
      <c r="G230" s="2" t="n"/>
      <c r="H230" s="2" t="n"/>
    </row>
    <row r="231">
      <c r="A231" s="2" t="inlineStr">
        <is>
          <t>MAV_USDT_PERP</t>
        </is>
      </c>
      <c r="B231" s="2" t="inlineStr">
        <is>
          <t>已掃描</t>
        </is>
      </c>
      <c r="C231" s="2" t="inlineStr"/>
      <c r="D231" s="2" t="n"/>
      <c r="E231" s="17" t="n"/>
      <c r="F231" s="17" t="n"/>
      <c r="G231" s="2" t="n"/>
      <c r="H231" s="2" t="n"/>
    </row>
    <row r="232">
      <c r="A232" s="2" t="inlineStr">
        <is>
          <t>MEGA_USDT_PERP</t>
        </is>
      </c>
      <c r="B232" s="2" t="inlineStr">
        <is>
          <t>已掃描</t>
        </is>
      </c>
      <c r="C232" s="2" t="inlineStr"/>
      <c r="D232" s="2" t="n"/>
      <c r="E232" s="17" t="n"/>
      <c r="F232" s="17" t="n"/>
      <c r="G232" s="2" t="n"/>
      <c r="H232" s="2" t="n"/>
    </row>
    <row r="233">
      <c r="A233" s="2" t="inlineStr">
        <is>
          <t>MELANIA_USDT_PERP</t>
        </is>
      </c>
      <c r="B233" s="2" t="inlineStr">
        <is>
          <t>已掃描</t>
        </is>
      </c>
      <c r="C233" s="2" t="inlineStr"/>
      <c r="D233" s="2" t="n"/>
      <c r="E233" s="17" t="n"/>
      <c r="F233" s="17" t="n"/>
      <c r="G233" s="2" t="n"/>
      <c r="H233" s="2" t="n"/>
    </row>
    <row r="234">
      <c r="A234" s="2" t="inlineStr">
        <is>
          <t>MEME_USDT_PERP</t>
        </is>
      </c>
      <c r="B234" s="2" t="inlineStr">
        <is>
          <t>已掃描</t>
        </is>
      </c>
      <c r="C234" s="2" t="inlineStr"/>
      <c r="D234" s="2" t="n"/>
      <c r="E234" s="17" t="n"/>
      <c r="F234" s="17" t="n"/>
      <c r="G234" s="2" t="n"/>
      <c r="H234" s="2" t="n"/>
    </row>
    <row r="235">
      <c r="A235" s="2" t="inlineStr">
        <is>
          <t>MERL_USDT_PERP</t>
        </is>
      </c>
      <c r="B235" s="2" t="inlineStr">
        <is>
          <t>已掃描</t>
        </is>
      </c>
      <c r="C235" s="2" t="inlineStr"/>
      <c r="D235" s="2" t="n"/>
      <c r="E235" s="17" t="n"/>
      <c r="F235" s="17" t="n"/>
      <c r="G235" s="2" t="n"/>
      <c r="H235" s="2" t="n"/>
    </row>
    <row r="236">
      <c r="A236" s="2" t="inlineStr">
        <is>
          <t>METIS_USDT_PERP</t>
        </is>
      </c>
      <c r="B236" s="2" t="inlineStr">
        <is>
          <t>已掃描</t>
        </is>
      </c>
      <c r="C236" s="2" t="inlineStr"/>
      <c r="D236" s="2" t="n"/>
      <c r="E236" s="17" t="n"/>
      <c r="F236" s="17" t="n"/>
      <c r="G236" s="2" t="n"/>
      <c r="H236" s="2" t="n"/>
    </row>
    <row r="237">
      <c r="A237" s="2" t="inlineStr">
        <is>
          <t>MET_USDT_PERP</t>
        </is>
      </c>
      <c r="B237" s="2" t="inlineStr">
        <is>
          <t>已掃描</t>
        </is>
      </c>
      <c r="C237" s="2" t="inlineStr"/>
      <c r="D237" s="2" t="n"/>
      <c r="E237" s="17" t="n"/>
      <c r="F237" s="17" t="n"/>
      <c r="G237" s="2" t="n"/>
      <c r="H237" s="2" t="n"/>
    </row>
    <row r="238">
      <c r="A238" s="2" t="inlineStr">
        <is>
          <t>MEW_USDT_PERP</t>
        </is>
      </c>
      <c r="B238" s="2" t="inlineStr">
        <is>
          <t>已掃描</t>
        </is>
      </c>
      <c r="C238" s="2" t="inlineStr"/>
      <c r="D238" s="2" t="n"/>
      <c r="E238" s="17" t="n"/>
      <c r="F238" s="17" t="n"/>
      <c r="G238" s="2" t="n"/>
      <c r="H238" s="2" t="n"/>
    </row>
    <row r="239">
      <c r="A239" s="2" t="inlineStr">
        <is>
          <t>ME_USDT_PERP</t>
        </is>
      </c>
      <c r="B239" s="2" t="inlineStr">
        <is>
          <t>已掃描</t>
        </is>
      </c>
      <c r="C239" s="2" t="inlineStr"/>
      <c r="D239" s="2" t="n"/>
      <c r="E239" s="17" t="n"/>
      <c r="F239" s="17" t="n"/>
      <c r="G239" s="2" t="n"/>
      <c r="H239" s="2" t="n"/>
    </row>
    <row r="240">
      <c r="A240" s="2" t="inlineStr">
        <is>
          <t>MITO_USDT_PERP</t>
        </is>
      </c>
      <c r="B240" s="2" t="inlineStr">
        <is>
          <t>已掃描</t>
        </is>
      </c>
      <c r="C240" s="2" t="inlineStr"/>
      <c r="D240" s="2" t="n"/>
      <c r="E240" s="17" t="n"/>
      <c r="F240" s="17" t="n"/>
      <c r="G240" s="2" t="n"/>
      <c r="H240" s="2" t="n"/>
    </row>
    <row r="241">
      <c r="A241" s="2" t="inlineStr">
        <is>
          <t>MMT_USDT_PERP</t>
        </is>
      </c>
      <c r="B241" s="2" t="inlineStr">
        <is>
          <t>已掃描</t>
        </is>
      </c>
      <c r="C241" s="2" t="inlineStr"/>
      <c r="D241" s="2" t="n"/>
      <c r="E241" s="17" t="n"/>
      <c r="F241" s="17" t="n"/>
      <c r="G241" s="2" t="n"/>
      <c r="H241" s="2" t="n"/>
    </row>
    <row r="242">
      <c r="A242" s="2" t="inlineStr">
        <is>
          <t>MNT_USDT_PERP</t>
        </is>
      </c>
      <c r="B242" s="2" t="inlineStr">
        <is>
          <t>已掃描</t>
        </is>
      </c>
      <c r="C242" s="2" t="inlineStr"/>
      <c r="D242" s="2" t="n"/>
      <c r="E242" s="17" t="n"/>
      <c r="F242" s="17" t="n"/>
      <c r="G242" s="2" t="n"/>
      <c r="H242" s="2" t="n"/>
    </row>
    <row r="243">
      <c r="A243" s="2" t="inlineStr">
        <is>
          <t>MON_USDT_PERP</t>
        </is>
      </c>
      <c r="B243" s="2" t="inlineStr">
        <is>
          <t>已掃描</t>
        </is>
      </c>
      <c r="C243" s="2" t="inlineStr"/>
      <c r="D243" s="2" t="n"/>
      <c r="E243" s="17" t="n"/>
      <c r="F243" s="17" t="n"/>
      <c r="G243" s="2" t="n"/>
      <c r="H243" s="2" t="n"/>
    </row>
    <row r="244">
      <c r="A244" s="2" t="inlineStr">
        <is>
          <t>MOODENG_USDT_PERP</t>
        </is>
      </c>
      <c r="B244" s="2" t="inlineStr">
        <is>
          <t>已掃描</t>
        </is>
      </c>
      <c r="C244" s="2" t="inlineStr"/>
      <c r="D244" s="2" t="n"/>
      <c r="E244" s="17" t="n"/>
      <c r="F244" s="17" t="n"/>
      <c r="G244" s="2" t="n"/>
      <c r="H244" s="2" t="n"/>
    </row>
    <row r="245">
      <c r="A245" s="2" t="inlineStr">
        <is>
          <t>MOONSHOT_USDT_PERP</t>
        </is>
      </c>
      <c r="B245" s="2" t="inlineStr">
        <is>
          <t>已掃描</t>
        </is>
      </c>
      <c r="C245" s="2" t="inlineStr"/>
      <c r="D245" s="2" t="n"/>
      <c r="E245" s="17" t="n"/>
      <c r="F245" s="17" t="n"/>
      <c r="G245" s="2" t="n"/>
      <c r="H245" s="2" t="n"/>
    </row>
    <row r="246">
      <c r="A246" s="2" t="inlineStr">
        <is>
          <t>MOVE_USDT_PERP</t>
        </is>
      </c>
      <c r="B246" s="2" t="inlineStr">
        <is>
          <t>已掃描</t>
        </is>
      </c>
      <c r="C246" s="2" t="inlineStr"/>
      <c r="D246" s="2" t="n"/>
      <c r="E246" s="17" t="n"/>
      <c r="F246" s="17" t="n"/>
      <c r="G246" s="2" t="n"/>
      <c r="H246" s="2" t="n"/>
    </row>
    <row r="247">
      <c r="A247" s="2" t="inlineStr">
        <is>
          <t>MOVR_USDT_PERP</t>
        </is>
      </c>
      <c r="B247" s="2" t="inlineStr">
        <is>
          <t>已掃描</t>
        </is>
      </c>
      <c r="C247" s="2" t="inlineStr"/>
      <c r="D247" s="2" t="n"/>
      <c r="E247" s="17" t="n"/>
      <c r="F247" s="17" t="n"/>
      <c r="G247" s="2" t="n"/>
      <c r="H247" s="2" t="n"/>
    </row>
    <row r="248">
      <c r="A248" s="2" t="inlineStr">
        <is>
          <t>MPX_USDT_PERP</t>
        </is>
      </c>
      <c r="B248" s="2" t="inlineStr">
        <is>
          <t>已掃描</t>
        </is>
      </c>
      <c r="C248" s="2" t="inlineStr"/>
      <c r="D248" s="2" t="n"/>
      <c r="E248" s="17" t="n"/>
      <c r="F248" s="17" t="n"/>
      <c r="G248" s="2" t="n"/>
      <c r="H248" s="2" t="n"/>
    </row>
    <row r="249">
      <c r="A249" s="2" t="inlineStr">
        <is>
          <t>MUBARAK_USDT_PERP</t>
        </is>
      </c>
      <c r="B249" s="2" t="inlineStr">
        <is>
          <t>已掃描</t>
        </is>
      </c>
      <c r="C249" s="2" t="inlineStr"/>
      <c r="D249" s="2" t="n"/>
      <c r="E249" s="17" t="n"/>
      <c r="F249" s="17" t="n"/>
      <c r="G249" s="2" t="n"/>
      <c r="H249" s="2" t="n"/>
    </row>
    <row r="250">
      <c r="A250" s="2" t="inlineStr">
        <is>
          <t>MUX_USDT_PERP</t>
        </is>
      </c>
      <c r="B250" s="2" t="inlineStr">
        <is>
          <t>已掃描</t>
        </is>
      </c>
      <c r="C250" s="2" t="inlineStr"/>
      <c r="D250" s="2" t="n"/>
      <c r="E250" s="17" t="n"/>
      <c r="F250" s="17" t="n"/>
      <c r="G250" s="2" t="n"/>
      <c r="H250" s="2" t="n"/>
    </row>
    <row r="251">
      <c r="A251" s="2" t="inlineStr">
        <is>
          <t>MYX_USDT_PERP</t>
        </is>
      </c>
      <c r="B251" s="2" t="inlineStr">
        <is>
          <t>已掃描</t>
        </is>
      </c>
      <c r="C251" s="2" t="inlineStr"/>
      <c r="D251" s="2" t="n"/>
      <c r="E251" s="17" t="n"/>
      <c r="F251" s="17" t="n"/>
      <c r="G251" s="2" t="n"/>
      <c r="H251" s="2" t="n"/>
    </row>
    <row r="252">
      <c r="A252" s="2" t="inlineStr">
        <is>
          <t>NAORIS_USDT_PERP</t>
        </is>
      </c>
      <c r="B252" s="2" t="inlineStr">
        <is>
          <t>已掃描</t>
        </is>
      </c>
      <c r="C252" s="2" t="inlineStr"/>
      <c r="D252" s="2" t="n"/>
      <c r="E252" s="17" t="n"/>
      <c r="F252" s="17" t="n"/>
      <c r="G252" s="2" t="n"/>
      <c r="H252" s="2" t="n"/>
    </row>
    <row r="253">
      <c r="A253" s="2" t="inlineStr">
        <is>
          <t>NEAR_USDT_PERP</t>
        </is>
      </c>
      <c r="B253" s="2" t="inlineStr">
        <is>
          <t>已掃描</t>
        </is>
      </c>
      <c r="C253" s="2" t="inlineStr"/>
      <c r="D253" s="2" t="n"/>
      <c r="E253" s="17" t="n"/>
      <c r="F253" s="17" t="n"/>
      <c r="G253" s="2" t="n"/>
      <c r="H253" s="2" t="n"/>
    </row>
    <row r="254">
      <c r="A254" s="2" t="inlineStr">
        <is>
          <t>NEIRO_USDT_PERP</t>
        </is>
      </c>
      <c r="B254" s="2" t="inlineStr">
        <is>
          <t>已掃描</t>
        </is>
      </c>
      <c r="C254" s="2" t="inlineStr"/>
      <c r="D254" s="2" t="n"/>
      <c r="E254" s="17" t="n"/>
      <c r="F254" s="17" t="n"/>
      <c r="G254" s="2" t="n"/>
      <c r="H254" s="2" t="n"/>
    </row>
    <row r="255">
      <c r="A255" s="2" t="inlineStr">
        <is>
          <t>NEO_USDT_PERP</t>
        </is>
      </c>
      <c r="B255" s="2" t="inlineStr">
        <is>
          <t>已掃描</t>
        </is>
      </c>
      <c r="C255" s="2" t="inlineStr"/>
      <c r="D255" s="2" t="n"/>
      <c r="E255" s="17" t="n"/>
      <c r="F255" s="17" t="n"/>
      <c r="G255" s="2" t="n"/>
      <c r="H255" s="2" t="n"/>
    </row>
    <row r="256">
      <c r="A256" s="2" t="inlineStr">
        <is>
          <t>NIGHT_USDT_PERP</t>
        </is>
      </c>
      <c r="B256" s="2" t="inlineStr">
        <is>
          <t>已掃描</t>
        </is>
      </c>
      <c r="C256" s="2" t="inlineStr"/>
      <c r="D256" s="2" t="n"/>
      <c r="E256" s="17" t="n"/>
      <c r="F256" s="17" t="n"/>
      <c r="G256" s="2" t="n"/>
      <c r="H256" s="2" t="n"/>
    </row>
    <row r="257">
      <c r="A257" s="2" t="inlineStr">
        <is>
          <t>NIL_USDT_PERP</t>
        </is>
      </c>
      <c r="B257" s="2" t="inlineStr">
        <is>
          <t>已掃描</t>
        </is>
      </c>
      <c r="C257" s="2" t="inlineStr"/>
      <c r="D257" s="2" t="n"/>
      <c r="E257" s="17" t="n"/>
      <c r="F257" s="17" t="n"/>
      <c r="G257" s="2" t="n"/>
      <c r="H257" s="2" t="n"/>
    </row>
    <row r="258">
      <c r="A258" s="2" t="inlineStr">
        <is>
          <t>NMR_USDT_PERP</t>
        </is>
      </c>
      <c r="B258" s="2" t="inlineStr">
        <is>
          <t>已掃描</t>
        </is>
      </c>
      <c r="C258" s="2" t="inlineStr"/>
      <c r="D258" s="2" t="n"/>
      <c r="E258" s="17" t="n"/>
      <c r="F258" s="17" t="n"/>
      <c r="G258" s="2" t="n"/>
      <c r="H258" s="2" t="n"/>
    </row>
    <row r="259">
      <c r="A259" s="2" t="inlineStr">
        <is>
          <t>NOM_USDT_PERP</t>
        </is>
      </c>
      <c r="B259" s="2" t="inlineStr">
        <is>
          <t>已掃描</t>
        </is>
      </c>
      <c r="C259" s="2" t="inlineStr"/>
      <c r="D259" s="2" t="n"/>
      <c r="E259" s="17" t="n"/>
      <c r="F259" s="17" t="n"/>
      <c r="G259" s="2" t="n"/>
      <c r="H259" s="2" t="n"/>
    </row>
    <row r="260">
      <c r="A260" s="2" t="inlineStr">
        <is>
          <t>NOT_USDT_PERP</t>
        </is>
      </c>
      <c r="B260" s="2" t="inlineStr">
        <is>
          <t>已掃描</t>
        </is>
      </c>
      <c r="C260" s="2" t="inlineStr"/>
      <c r="D260" s="2" t="n"/>
      <c r="E260" s="17" t="n"/>
      <c r="F260" s="17" t="n"/>
      <c r="G260" s="2" t="n"/>
      <c r="H260" s="2" t="n"/>
    </row>
    <row r="261">
      <c r="A261" s="2" t="inlineStr">
        <is>
          <t>NXPC_USDT_PERP</t>
        </is>
      </c>
      <c r="B261" s="2" t="inlineStr">
        <is>
          <t>已掃描</t>
        </is>
      </c>
      <c r="C261" s="2" t="inlineStr"/>
      <c r="D261" s="2" t="n"/>
      <c r="E261" s="17" t="n"/>
      <c r="F261" s="17" t="n"/>
      <c r="G261" s="2" t="n"/>
      <c r="H261" s="2" t="n"/>
    </row>
    <row r="262">
      <c r="A262" s="2" t="inlineStr">
        <is>
          <t>OFC_USDT_PERP</t>
        </is>
      </c>
      <c r="B262" s="2" t="inlineStr">
        <is>
          <t>已掃描</t>
        </is>
      </c>
      <c r="C262" s="2" t="inlineStr"/>
      <c r="D262" s="2" t="n"/>
      <c r="E262" s="17" t="n"/>
      <c r="F262" s="17" t="n"/>
      <c r="G262" s="2" t="n"/>
      <c r="H262" s="2" t="n"/>
    </row>
    <row r="263">
      <c r="A263" s="2" t="inlineStr">
        <is>
          <t>OGN_USDT_PERP</t>
        </is>
      </c>
      <c r="B263" s="2" t="inlineStr">
        <is>
          <t>已掃描</t>
        </is>
      </c>
      <c r="C263" s="2" t="inlineStr"/>
      <c r="D263" s="2" t="n"/>
      <c r="E263" s="17" t="n"/>
      <c r="F263" s="17" t="n"/>
      <c r="G263" s="2" t="n"/>
      <c r="H263" s="2" t="n"/>
    </row>
    <row r="264">
      <c r="A264" s="2" t="inlineStr">
        <is>
          <t>OG_USDT_PERP</t>
        </is>
      </c>
      <c r="B264" s="2" t="inlineStr">
        <is>
          <t>已掃描</t>
        </is>
      </c>
      <c r="C264" s="2" t="inlineStr"/>
      <c r="D264" s="2" t="n"/>
      <c r="E264" s="17" t="n"/>
      <c r="F264" s="17" t="n"/>
      <c r="G264" s="2" t="n"/>
      <c r="H264" s="2" t="n"/>
    </row>
    <row r="265">
      <c r="A265" s="2" t="inlineStr">
        <is>
          <t>OKB_USDT_PERP</t>
        </is>
      </c>
      <c r="B265" s="2" t="inlineStr">
        <is>
          <t>已掃描</t>
        </is>
      </c>
      <c r="C265" s="2" t="inlineStr"/>
      <c r="D265" s="2" t="n"/>
      <c r="E265" s="17" t="n"/>
      <c r="F265" s="17" t="n"/>
      <c r="G265" s="2" t="n"/>
      <c r="H265" s="2" t="n"/>
    </row>
    <row r="266">
      <c r="A266" s="2" t="inlineStr">
        <is>
          <t>ONDO_USDT_PERP</t>
        </is>
      </c>
      <c r="B266" s="2" t="inlineStr">
        <is>
          <t>已掃描</t>
        </is>
      </c>
      <c r="C266" s="2" t="inlineStr"/>
      <c r="D266" s="2" t="n"/>
      <c r="E266" s="17" t="n"/>
      <c r="F266" s="17" t="n"/>
      <c r="G266" s="2" t="n"/>
      <c r="H266" s="2" t="n"/>
    </row>
    <row r="267">
      <c r="A267" s="2" t="inlineStr">
        <is>
          <t>ONG_USDT_PERP</t>
        </is>
      </c>
      <c r="B267" s="2" t="inlineStr">
        <is>
          <t>已掃描</t>
        </is>
      </c>
      <c r="C267" s="2" t="inlineStr"/>
      <c r="D267" s="2" t="n"/>
      <c r="E267" s="17" t="n"/>
      <c r="F267" s="17" t="n"/>
      <c r="G267" s="2" t="n"/>
      <c r="H267" s="2" t="n"/>
    </row>
    <row r="268">
      <c r="A268" s="2" t="inlineStr">
        <is>
          <t>ONT_USDT_PERP</t>
        </is>
      </c>
      <c r="B268" s="2" t="inlineStr">
        <is>
          <t>已掃描</t>
        </is>
      </c>
      <c r="C268" s="2" t="inlineStr"/>
      <c r="D268" s="2" t="n"/>
      <c r="E268" s="17" t="n"/>
      <c r="F268" s="17" t="n"/>
      <c r="G268" s="2" t="n"/>
      <c r="H268" s="2" t="n"/>
    </row>
    <row r="269">
      <c r="A269" s="2" t="inlineStr">
        <is>
          <t>ONX_USDT_PERP</t>
        </is>
      </c>
      <c r="B269" s="2" t="inlineStr">
        <is>
          <t>已掃描</t>
        </is>
      </c>
      <c r="C269" s="2" t="inlineStr"/>
      <c r="D269" s="2" t="n"/>
      <c r="E269" s="17" t="n"/>
      <c r="F269" s="17" t="n"/>
      <c r="G269" s="2" t="n"/>
      <c r="H269" s="2" t="n"/>
    </row>
    <row r="270">
      <c r="A270" s="2" t="inlineStr">
        <is>
          <t>ON_USDT_PERP</t>
        </is>
      </c>
      <c r="B270" s="2" t="inlineStr">
        <is>
          <t>已掃描</t>
        </is>
      </c>
      <c r="C270" s="2" t="inlineStr"/>
      <c r="D270" s="2" t="n"/>
      <c r="E270" s="17" t="n"/>
      <c r="F270" s="17" t="n"/>
      <c r="G270" s="2" t="n"/>
      <c r="H270" s="2" t="n"/>
    </row>
    <row r="271">
      <c r="A271" s="2" t="inlineStr">
        <is>
          <t>OPENAI_USDT_PERP</t>
        </is>
      </c>
      <c r="B271" s="2" t="inlineStr">
        <is>
          <t>已掃描</t>
        </is>
      </c>
      <c r="C271" s="2" t="inlineStr"/>
      <c r="D271" s="2" t="n"/>
      <c r="E271" s="17" t="n"/>
      <c r="F271" s="17" t="n"/>
      <c r="G271" s="2" t="n"/>
      <c r="H271" s="2" t="n"/>
    </row>
    <row r="272">
      <c r="A272" s="2" t="inlineStr">
        <is>
          <t>OPEN_USDT_PERP</t>
        </is>
      </c>
      <c r="B272" s="2" t="inlineStr">
        <is>
          <t>已掃描</t>
        </is>
      </c>
      <c r="C272" s="2" t="inlineStr"/>
      <c r="D272" s="2" t="n"/>
      <c r="E272" s="17" t="n"/>
      <c r="F272" s="17" t="n"/>
      <c r="G272" s="2" t="n"/>
      <c r="H272" s="2" t="n"/>
    </row>
    <row r="273">
      <c r="A273" s="2" t="inlineStr">
        <is>
          <t>OPG_USDT_PERP</t>
        </is>
      </c>
      <c r="B273" s="2" t="inlineStr">
        <is>
          <t>已掃描</t>
        </is>
      </c>
      <c r="C273" s="2" t="inlineStr"/>
      <c r="D273" s="2" t="n"/>
      <c r="E273" s="17" t="n"/>
      <c r="F273" s="17" t="n"/>
      <c r="G273" s="2" t="n"/>
      <c r="H273" s="2" t="n"/>
    </row>
    <row r="274">
      <c r="A274" s="2" t="inlineStr">
        <is>
          <t>OPN_USDT_PERP</t>
        </is>
      </c>
      <c r="B274" s="2" t="inlineStr">
        <is>
          <t>已掃描</t>
        </is>
      </c>
      <c r="C274" s="2" t="inlineStr"/>
      <c r="D274" s="2" t="n"/>
      <c r="E274" s="17" t="n"/>
      <c r="F274" s="17" t="n"/>
      <c r="G274" s="2" t="n"/>
      <c r="H274" s="2" t="n"/>
    </row>
    <row r="275">
      <c r="A275" s="2" t="inlineStr">
        <is>
          <t>OP_USDT_PERP</t>
        </is>
      </c>
      <c r="B275" s="2" t="inlineStr">
        <is>
          <t>已掃描</t>
        </is>
      </c>
      <c r="C275" s="2" t="inlineStr"/>
      <c r="D275" s="2" t="n"/>
      <c r="E275" s="17" t="n"/>
      <c r="F275" s="17" t="n"/>
      <c r="G275" s="2" t="n"/>
      <c r="H275" s="2" t="n"/>
    </row>
    <row r="276">
      <c r="A276" s="2" t="inlineStr">
        <is>
          <t>ORCA_USDT_PERP</t>
        </is>
      </c>
      <c r="B276" s="2" t="inlineStr">
        <is>
          <t>已掃描</t>
        </is>
      </c>
      <c r="C276" s="2" t="inlineStr"/>
      <c r="D276" s="2" t="n"/>
      <c r="E276" s="17" t="n"/>
      <c r="F276" s="17" t="n"/>
      <c r="G276" s="2" t="n"/>
      <c r="H276" s="2" t="n"/>
    </row>
    <row r="277">
      <c r="A277" s="2" t="inlineStr">
        <is>
          <t>ORDER_USDT_PERP</t>
        </is>
      </c>
      <c r="B277" s="2" t="inlineStr">
        <is>
          <t>已掃描</t>
        </is>
      </c>
      <c r="C277" s="2" t="inlineStr"/>
      <c r="D277" s="2" t="n"/>
      <c r="E277" s="17" t="n"/>
      <c r="F277" s="17" t="n"/>
      <c r="G277" s="2" t="n"/>
      <c r="H277" s="2" t="n"/>
    </row>
    <row r="278">
      <c r="A278" s="2" t="inlineStr">
        <is>
          <t>ORDI_USDT_PERP</t>
        </is>
      </c>
      <c r="B278" s="2" t="inlineStr">
        <is>
          <t>已掃描</t>
        </is>
      </c>
      <c r="C278" s="2" t="inlineStr"/>
      <c r="D278" s="2" t="n"/>
      <c r="E278" s="17" t="n"/>
      <c r="F278" s="17" t="n"/>
      <c r="G278" s="2" t="n"/>
      <c r="H278" s="2" t="n"/>
    </row>
    <row r="279">
      <c r="A279" s="2" t="inlineStr">
        <is>
          <t>O_USDT_PERP</t>
        </is>
      </c>
      <c r="B279" s="2" t="inlineStr">
        <is>
          <t>已掃描</t>
        </is>
      </c>
      <c r="C279" s="2" t="inlineStr"/>
      <c r="D279" s="2" t="n"/>
      <c r="E279" s="17" t="n"/>
      <c r="F279" s="17" t="n"/>
      <c r="G279" s="2" t="n"/>
      <c r="H279" s="2" t="n"/>
    </row>
    <row r="280">
      <c r="A280" s="2" t="inlineStr">
        <is>
          <t>PARTI_USDT_PERP</t>
        </is>
      </c>
      <c r="B280" s="2" t="inlineStr">
        <is>
          <t>已掃描</t>
        </is>
      </c>
      <c r="C280" s="2" t="inlineStr"/>
      <c r="D280" s="2" t="n"/>
      <c r="E280" s="17" t="n"/>
      <c r="F280" s="17" t="n"/>
      <c r="G280" s="2" t="n"/>
      <c r="H280" s="2" t="n"/>
    </row>
    <row r="281">
      <c r="A281" s="2" t="inlineStr">
        <is>
          <t>PENDLE_USDT_PERP</t>
        </is>
      </c>
      <c r="B281" s="2" t="inlineStr">
        <is>
          <t>已掃描</t>
        </is>
      </c>
      <c r="C281" s="2" t="inlineStr"/>
      <c r="D281" s="2" t="n"/>
      <c r="E281" s="17" t="n"/>
      <c r="F281" s="17" t="n"/>
      <c r="G281" s="2" t="n"/>
      <c r="H281" s="2" t="n"/>
    </row>
    <row r="282">
      <c r="A282" s="2" t="inlineStr">
        <is>
          <t>PENGU_USDT_PERP</t>
        </is>
      </c>
      <c r="B282" s="2" t="inlineStr">
        <is>
          <t>已掃描</t>
        </is>
      </c>
      <c r="C282" s="2" t="inlineStr"/>
      <c r="D282" s="2" t="n"/>
      <c r="E282" s="17" t="n"/>
      <c r="F282" s="17" t="n"/>
      <c r="G282" s="2" t="n"/>
      <c r="H282" s="2" t="n"/>
    </row>
    <row r="283">
      <c r="A283" s="2" t="inlineStr">
        <is>
          <t>PEOPLE_USDT_PERP</t>
        </is>
      </c>
      <c r="B283" s="2" t="inlineStr">
        <is>
          <t>已掃描</t>
        </is>
      </c>
      <c r="C283" s="2" t="inlineStr"/>
      <c r="D283" s="2" t="n"/>
      <c r="E283" s="17" t="n"/>
      <c r="F283" s="17" t="n"/>
      <c r="G283" s="2" t="n"/>
      <c r="H283" s="2" t="n"/>
    </row>
    <row r="284">
      <c r="A284" s="2" t="inlineStr">
        <is>
          <t>PEPE_USDT_PERP</t>
        </is>
      </c>
      <c r="B284" s="2" t="inlineStr">
        <is>
          <t>已掃描</t>
        </is>
      </c>
      <c r="C284" s="2" t="inlineStr"/>
      <c r="D284" s="2" t="n"/>
      <c r="E284" s="17" t="n"/>
      <c r="F284" s="17" t="n"/>
      <c r="G284" s="2" t="n"/>
      <c r="H284" s="2" t="n"/>
    </row>
    <row r="285">
      <c r="A285" s="2" t="inlineStr">
        <is>
          <t>PHA_USDT_PERP</t>
        </is>
      </c>
      <c r="B285" s="2" t="inlineStr">
        <is>
          <t>已掃描</t>
        </is>
      </c>
      <c r="C285" s="2" t="inlineStr"/>
      <c r="D285" s="2" t="n"/>
      <c r="E285" s="17" t="n"/>
      <c r="F285" s="17" t="n"/>
      <c r="G285" s="2" t="n"/>
      <c r="H285" s="2" t="n"/>
    </row>
    <row r="286">
      <c r="A286" s="2" t="inlineStr">
        <is>
          <t>PIEVERSE_USDT_PERP</t>
        </is>
      </c>
      <c r="B286" s="2" t="inlineStr">
        <is>
          <t>已掃描</t>
        </is>
      </c>
      <c r="C286" s="2" t="inlineStr"/>
      <c r="D286" s="2" t="n"/>
      <c r="E286" s="17" t="n"/>
      <c r="F286" s="17" t="n"/>
      <c r="G286" s="2" t="n"/>
      <c r="H286" s="2" t="n"/>
    </row>
    <row r="287">
      <c r="A287" s="2" t="inlineStr">
        <is>
          <t>PIPPIN_USDT_PERP</t>
        </is>
      </c>
      <c r="B287" s="2" t="inlineStr">
        <is>
          <t>已掃描</t>
        </is>
      </c>
      <c r="C287" s="2" t="inlineStr"/>
      <c r="D287" s="2" t="n"/>
      <c r="E287" s="17" t="n"/>
      <c r="F287" s="17" t="n"/>
      <c r="G287" s="2" t="n"/>
      <c r="H287" s="2" t="n"/>
    </row>
    <row r="288">
      <c r="A288" s="2" t="inlineStr">
        <is>
          <t>PIXEL_USDT_PERP</t>
        </is>
      </c>
      <c r="B288" s="2" t="inlineStr">
        <is>
          <t>已掃描</t>
        </is>
      </c>
      <c r="C288" s="2" t="inlineStr"/>
      <c r="D288" s="2" t="n"/>
      <c r="E288" s="17" t="n"/>
      <c r="F288" s="17" t="n"/>
      <c r="G288" s="2" t="n"/>
      <c r="H288" s="2" t="n"/>
    </row>
    <row r="289">
      <c r="A289" s="2" t="inlineStr">
        <is>
          <t>PI_USDT_PERP</t>
        </is>
      </c>
      <c r="B289" s="2" t="inlineStr">
        <is>
          <t>已掃描</t>
        </is>
      </c>
      <c r="C289" s="2" t="inlineStr"/>
      <c r="D289" s="2" t="n"/>
      <c r="E289" s="17" t="n"/>
      <c r="F289" s="17" t="n"/>
      <c r="G289" s="2" t="n"/>
      <c r="H289" s="2" t="n"/>
    </row>
    <row r="290">
      <c r="A290" s="2" t="inlineStr">
        <is>
          <t>PLAY_USDT_PERP</t>
        </is>
      </c>
      <c r="B290" s="2" t="inlineStr">
        <is>
          <t>已掃描</t>
        </is>
      </c>
      <c r="C290" s="2" t="inlineStr"/>
      <c r="D290" s="2" t="n"/>
      <c r="E290" s="17" t="n"/>
      <c r="F290" s="17" t="n"/>
      <c r="G290" s="2" t="n"/>
      <c r="H290" s="2" t="n"/>
    </row>
    <row r="291">
      <c r="A291" s="2" t="inlineStr">
        <is>
          <t>PLUME_USDT_PERP</t>
        </is>
      </c>
      <c r="B291" s="2" t="inlineStr">
        <is>
          <t>已掃描</t>
        </is>
      </c>
      <c r="C291" s="2" t="inlineStr"/>
      <c r="D291" s="2" t="n"/>
      <c r="E291" s="17" t="n"/>
      <c r="F291" s="17" t="n"/>
      <c r="G291" s="2" t="n"/>
      <c r="H291" s="2" t="n"/>
    </row>
    <row r="292">
      <c r="A292" s="2" t="inlineStr">
        <is>
          <t>PNUT_USDT_PERP</t>
        </is>
      </c>
      <c r="B292" s="2" t="inlineStr">
        <is>
          <t>已掃描</t>
        </is>
      </c>
      <c r="C292" s="2" t="inlineStr"/>
      <c r="D292" s="2" t="n"/>
      <c r="E292" s="17" t="n"/>
      <c r="F292" s="17" t="n"/>
      <c r="G292" s="2" t="n"/>
      <c r="H292" s="2" t="n"/>
    </row>
    <row r="293">
      <c r="A293" s="2" t="inlineStr">
        <is>
          <t>POLYX_USDT_PERP</t>
        </is>
      </c>
      <c r="B293" s="2" t="inlineStr">
        <is>
          <t>已掃描</t>
        </is>
      </c>
      <c r="C293" s="2" t="inlineStr"/>
      <c r="D293" s="2" t="n"/>
      <c r="E293" s="17" t="n"/>
      <c r="F293" s="17" t="n"/>
      <c r="G293" s="2" t="n"/>
      <c r="H293" s="2" t="n"/>
    </row>
    <row r="294">
      <c r="A294" s="2" t="inlineStr">
        <is>
          <t>POL_USDT_PERP</t>
        </is>
      </c>
      <c r="B294" s="2" t="inlineStr">
        <is>
          <t>已掃描</t>
        </is>
      </c>
      <c r="C294" s="2" t="inlineStr"/>
      <c r="D294" s="2" t="n"/>
      <c r="E294" s="17" t="n"/>
      <c r="F294" s="17" t="n"/>
      <c r="G294" s="2" t="n"/>
      <c r="H294" s="2" t="n"/>
    </row>
    <row r="295">
      <c r="A295" s="2" t="inlineStr">
        <is>
          <t>PONS_USDT_PERP</t>
        </is>
      </c>
      <c r="B295" s="2" t="inlineStr">
        <is>
          <t>已掃描</t>
        </is>
      </c>
      <c r="C295" s="2" t="inlineStr"/>
      <c r="D295" s="2" t="n"/>
      <c r="E295" s="17" t="n"/>
      <c r="F295" s="17" t="n"/>
      <c r="G295" s="2" t="n"/>
      <c r="H295" s="2" t="n"/>
    </row>
    <row r="296">
      <c r="A296" s="2" t="inlineStr">
        <is>
          <t>POPCAT_USDT_PERP</t>
        </is>
      </c>
      <c r="B296" s="2" t="inlineStr">
        <is>
          <t>已掃描</t>
        </is>
      </c>
      <c r="C296" s="2" t="inlineStr"/>
      <c r="D296" s="2" t="n"/>
      <c r="E296" s="17" t="n"/>
      <c r="F296" s="17" t="n"/>
      <c r="G296" s="2" t="n"/>
      <c r="H296" s="2" t="n"/>
    </row>
    <row r="297">
      <c r="A297" s="2" t="inlineStr">
        <is>
          <t>PORTAL_USDT_PERP</t>
        </is>
      </c>
      <c r="B297" s="2" t="inlineStr">
        <is>
          <t>已掃描</t>
        </is>
      </c>
      <c r="C297" s="2" t="inlineStr"/>
      <c r="D297" s="2" t="n"/>
      <c r="E297" s="17" t="n"/>
      <c r="F297" s="17" t="n"/>
      <c r="G297" s="2" t="n"/>
      <c r="H297" s="2" t="n"/>
    </row>
    <row r="298">
      <c r="A298" s="2" t="inlineStr">
        <is>
          <t>POWER_USDT_PERP</t>
        </is>
      </c>
      <c r="B298" s="2" t="inlineStr">
        <is>
          <t>已掃描</t>
        </is>
      </c>
      <c r="C298" s="2" t="inlineStr"/>
      <c r="D298" s="2" t="n"/>
      <c r="E298" s="17" t="n"/>
      <c r="F298" s="17" t="n"/>
      <c r="G298" s="2" t="n"/>
      <c r="H298" s="2" t="n"/>
    </row>
    <row r="299">
      <c r="A299" s="2" t="inlineStr">
        <is>
          <t>POWR_USDT_PERP</t>
        </is>
      </c>
      <c r="B299" s="2" t="inlineStr">
        <is>
          <t>已掃描</t>
        </is>
      </c>
      <c r="C299" s="2" t="inlineStr"/>
      <c r="D299" s="2" t="n"/>
      <c r="E299" s="17" t="n"/>
      <c r="F299" s="17" t="n"/>
      <c r="G299" s="2" t="n"/>
      <c r="H299" s="2" t="n"/>
    </row>
    <row r="300">
      <c r="A300" s="2" t="inlineStr">
        <is>
          <t>PRL_USDT_PERP</t>
        </is>
      </c>
      <c r="B300" s="2" t="inlineStr">
        <is>
          <t>已掃描</t>
        </is>
      </c>
      <c r="C300" s="2" t="inlineStr"/>
      <c r="D300" s="2" t="n"/>
      <c r="E300" s="17" t="n"/>
      <c r="F300" s="17" t="n"/>
      <c r="G300" s="2" t="n"/>
      <c r="H300" s="2" t="n"/>
    </row>
    <row r="301">
      <c r="A301" s="2" t="inlineStr">
        <is>
          <t>PROMPT_USDT_PERP</t>
        </is>
      </c>
      <c r="B301" s="2" t="inlineStr">
        <is>
          <t>已掃描</t>
        </is>
      </c>
      <c r="C301" s="2" t="inlineStr"/>
      <c r="D301" s="2" t="n"/>
      <c r="E301" s="17" t="n"/>
      <c r="F301" s="17" t="n"/>
      <c r="G301" s="2" t="n"/>
      <c r="H301" s="2" t="n"/>
    </row>
    <row r="302">
      <c r="A302" s="2" t="inlineStr">
        <is>
          <t>PROS_USDT_PERP</t>
        </is>
      </c>
      <c r="B302" s="2" t="inlineStr">
        <is>
          <t>已掃描</t>
        </is>
      </c>
      <c r="C302" s="2" t="inlineStr"/>
      <c r="D302" s="2" t="n"/>
      <c r="E302" s="17" t="n"/>
      <c r="F302" s="17" t="n"/>
      <c r="G302" s="2" t="n"/>
      <c r="H302" s="2" t="n"/>
    </row>
    <row r="303">
      <c r="A303" s="2" t="inlineStr">
        <is>
          <t>PROVE_USDT_PERP</t>
        </is>
      </c>
      <c r="B303" s="2" t="inlineStr">
        <is>
          <t>已掃描</t>
        </is>
      </c>
      <c r="C303" s="2" t="inlineStr"/>
      <c r="D303" s="2" t="n"/>
      <c r="E303" s="17" t="n"/>
      <c r="F303" s="17" t="n"/>
      <c r="G303" s="2" t="n"/>
      <c r="H303" s="2" t="n"/>
    </row>
    <row r="304">
      <c r="A304" s="2" t="inlineStr">
        <is>
          <t>PTB_USDT_PERP</t>
        </is>
      </c>
      <c r="B304" s="2" t="inlineStr">
        <is>
          <t>已掃描</t>
        </is>
      </c>
      <c r="C304" s="2" t="inlineStr"/>
      <c r="D304" s="2" t="n"/>
      <c r="E304" s="17" t="n"/>
      <c r="F304" s="17" t="n"/>
      <c r="G304" s="2" t="n"/>
      <c r="H304" s="2" t="n"/>
    </row>
    <row r="305">
      <c r="A305" s="2" t="inlineStr">
        <is>
          <t>PUMP_USDT_PERP</t>
        </is>
      </c>
      <c r="B305" s="2" t="inlineStr">
        <is>
          <t>已掃描</t>
        </is>
      </c>
      <c r="C305" s="2" t="inlineStr"/>
      <c r="D305" s="2" t="n"/>
      <c r="E305" s="17" t="n"/>
      <c r="F305" s="17" t="n"/>
      <c r="G305" s="2" t="n"/>
      <c r="H305" s="2" t="n"/>
    </row>
    <row r="306">
      <c r="A306" s="2" t="inlineStr">
        <is>
          <t>PYTH_USDT_PERP</t>
        </is>
      </c>
      <c r="B306" s="2" t="inlineStr">
        <is>
          <t>已掃描</t>
        </is>
      </c>
      <c r="C306" s="2" t="inlineStr"/>
      <c r="D306" s="2" t="n"/>
      <c r="E306" s="17" t="n"/>
      <c r="F306" s="17" t="n"/>
      <c r="G306" s="2" t="n"/>
      <c r="H306" s="2" t="n"/>
    </row>
    <row r="307">
      <c r="A307" s="2" t="inlineStr">
        <is>
          <t>QNT_USDT_PERP</t>
        </is>
      </c>
      <c r="B307" s="2" t="inlineStr">
        <is>
          <t>已掃描</t>
        </is>
      </c>
      <c r="C307" s="2" t="inlineStr"/>
      <c r="D307" s="2" t="n"/>
      <c r="E307" s="17" t="n"/>
      <c r="F307" s="17" t="n"/>
      <c r="G307" s="2" t="n"/>
      <c r="H307" s="2" t="n"/>
    </row>
    <row r="308">
      <c r="A308" s="2" t="inlineStr">
        <is>
          <t>QTUM_USDT_PERP</t>
        </is>
      </c>
      <c r="B308" s="2" t="inlineStr">
        <is>
          <t>已掃描</t>
        </is>
      </c>
      <c r="C308" s="2" t="inlineStr"/>
      <c r="D308" s="2" t="n"/>
      <c r="E308" s="17" t="n"/>
      <c r="F308" s="17" t="n"/>
      <c r="G308" s="2" t="n"/>
      <c r="H308" s="2" t="n"/>
    </row>
    <row r="309">
      <c r="A309" s="2" t="inlineStr">
        <is>
          <t>Q_USDT_PERP</t>
        </is>
      </c>
      <c r="B309" s="2" t="inlineStr">
        <is>
          <t>已掃描</t>
        </is>
      </c>
      <c r="C309" s="2" t="inlineStr"/>
      <c r="D309" s="2" t="n"/>
      <c r="E309" s="17" t="n"/>
      <c r="F309" s="17" t="n"/>
      <c r="G309" s="2" t="n"/>
      <c r="H309" s="2" t="n"/>
    </row>
    <row r="310">
      <c r="A310" s="2" t="inlineStr">
        <is>
          <t>RARE_USDT_PERP</t>
        </is>
      </c>
      <c r="B310" s="2" t="inlineStr">
        <is>
          <t>已掃描</t>
        </is>
      </c>
      <c r="C310" s="2" t="inlineStr"/>
      <c r="D310" s="2" t="n"/>
      <c r="E310" s="17" t="n"/>
      <c r="F310" s="17" t="n"/>
      <c r="G310" s="2" t="n"/>
      <c r="H310" s="2" t="n"/>
    </row>
    <row r="311">
      <c r="A311" s="2" t="inlineStr">
        <is>
          <t>RATS_USDT_PERP</t>
        </is>
      </c>
      <c r="B311" s="2" t="inlineStr">
        <is>
          <t>已掃描</t>
        </is>
      </c>
      <c r="C311" s="2" t="inlineStr"/>
      <c r="D311" s="2" t="n"/>
      <c r="E311" s="17" t="n"/>
      <c r="F311" s="17" t="n"/>
      <c r="G311" s="2" t="n"/>
      <c r="H311" s="2" t="n"/>
    </row>
    <row r="312">
      <c r="A312" s="2" t="inlineStr">
        <is>
          <t>RAVE_USDT_PERP</t>
        </is>
      </c>
      <c r="B312" s="2" t="inlineStr">
        <is>
          <t>已掃描</t>
        </is>
      </c>
      <c r="C312" s="2" t="inlineStr"/>
      <c r="D312" s="2" t="n"/>
      <c r="E312" s="17" t="n"/>
      <c r="F312" s="17" t="n"/>
      <c r="G312" s="2" t="n"/>
      <c r="H312" s="2" t="n"/>
    </row>
    <row r="313">
      <c r="A313" s="2" t="inlineStr">
        <is>
          <t>RAY_USDT_PERP</t>
        </is>
      </c>
      <c r="B313" s="2" t="inlineStr">
        <is>
          <t>已掃描</t>
        </is>
      </c>
      <c r="C313" s="2" t="inlineStr"/>
      <c r="D313" s="2" t="n"/>
      <c r="E313" s="17" t="n"/>
      <c r="F313" s="17" t="n"/>
      <c r="G313" s="2" t="n"/>
      <c r="H313" s="2" t="n"/>
    </row>
    <row r="314">
      <c r="A314" s="2" t="inlineStr">
        <is>
          <t>RECALL_USDT_PERP</t>
        </is>
      </c>
      <c r="B314" s="2" t="inlineStr">
        <is>
          <t>已掃描</t>
        </is>
      </c>
      <c r="C314" s="2" t="inlineStr"/>
      <c r="D314" s="2" t="n"/>
      <c r="E314" s="17" t="n"/>
      <c r="F314" s="17" t="n"/>
      <c r="G314" s="2" t="n"/>
      <c r="H314" s="2" t="n"/>
    </row>
    <row r="315">
      <c r="A315" s="2" t="inlineStr">
        <is>
          <t>RENDER_USDT_PERP</t>
        </is>
      </c>
      <c r="B315" s="2" t="inlineStr">
        <is>
          <t>已掃描</t>
        </is>
      </c>
      <c r="C315" s="2" t="inlineStr"/>
      <c r="D315" s="2" t="n"/>
      <c r="E315" s="17" t="n"/>
      <c r="F315" s="17" t="n"/>
      <c r="G315" s="2" t="n"/>
      <c r="H315" s="2" t="n"/>
    </row>
    <row r="316">
      <c r="A316" s="2" t="inlineStr">
        <is>
          <t>RESOLV_USDT_PERP</t>
        </is>
      </c>
      <c r="B316" s="2" t="inlineStr">
        <is>
          <t>已掃描</t>
        </is>
      </c>
      <c r="C316" s="2" t="inlineStr"/>
      <c r="D316" s="2" t="n"/>
      <c r="E316" s="17" t="n"/>
      <c r="F316" s="17" t="n"/>
      <c r="G316" s="2" t="n"/>
      <c r="H316" s="2" t="n"/>
    </row>
    <row r="317">
      <c r="A317" s="2" t="inlineStr">
        <is>
          <t>REZ_USDT_PERP</t>
        </is>
      </c>
      <c r="B317" s="2" t="inlineStr">
        <is>
          <t>已掃描</t>
        </is>
      </c>
      <c r="C317" s="2" t="inlineStr"/>
      <c r="D317" s="2" t="n"/>
      <c r="E317" s="17" t="n"/>
      <c r="F317" s="17" t="n"/>
      <c r="G317" s="2" t="n"/>
      <c r="H317" s="2" t="n"/>
    </row>
    <row r="318">
      <c r="A318" s="2" t="inlineStr">
        <is>
          <t>RE_USDT_PERP</t>
        </is>
      </c>
      <c r="B318" s="2" t="inlineStr">
        <is>
          <t>已掃描</t>
        </is>
      </c>
      <c r="C318" s="2" t="inlineStr"/>
      <c r="D318" s="2" t="n"/>
      <c r="E318" s="17" t="n"/>
      <c r="F318" s="17" t="n"/>
      <c r="G318" s="2" t="n"/>
      <c r="H318" s="2" t="n"/>
    </row>
    <row r="319">
      <c r="A319" s="2" t="inlineStr">
        <is>
          <t>RIF_USDT_PERP</t>
        </is>
      </c>
      <c r="B319" s="2" t="inlineStr">
        <is>
          <t>已掃描</t>
        </is>
      </c>
      <c r="C319" s="2" t="inlineStr"/>
      <c r="D319" s="2" t="n"/>
      <c r="E319" s="17" t="n"/>
      <c r="F319" s="17" t="n"/>
      <c r="G319" s="2" t="n"/>
      <c r="H319" s="2" t="n"/>
    </row>
    <row r="320">
      <c r="A320" s="2" t="inlineStr">
        <is>
          <t>RIVER_USDT_PERP</t>
        </is>
      </c>
      <c r="B320" s="2" t="inlineStr">
        <is>
          <t>已掃描</t>
        </is>
      </c>
      <c r="C320" s="2" t="inlineStr"/>
      <c r="D320" s="2" t="n"/>
      <c r="E320" s="17" t="n"/>
      <c r="F320" s="17" t="n"/>
      <c r="G320" s="2" t="n"/>
      <c r="H320" s="2" t="n"/>
    </row>
    <row r="321">
      <c r="A321" s="2" t="inlineStr">
        <is>
          <t>ROBO_USDT_PERP</t>
        </is>
      </c>
      <c r="B321" s="2" t="inlineStr">
        <is>
          <t>已掃描</t>
        </is>
      </c>
      <c r="C321" s="2" t="inlineStr"/>
      <c r="D321" s="2" t="n"/>
      <c r="E321" s="17" t="n"/>
      <c r="F321" s="17" t="n"/>
      <c r="G321" s="2" t="n"/>
      <c r="H321" s="2" t="n"/>
    </row>
    <row r="322">
      <c r="A322" s="2" t="inlineStr">
        <is>
          <t>ROSE_USDT_PERP</t>
        </is>
      </c>
      <c r="B322" s="2" t="inlineStr">
        <is>
          <t>已掃描</t>
        </is>
      </c>
      <c r="C322" s="2" t="inlineStr"/>
      <c r="D322" s="2" t="n"/>
      <c r="E322" s="17" t="n"/>
      <c r="F322" s="17" t="n"/>
      <c r="G322" s="2" t="n"/>
      <c r="H322" s="2" t="n"/>
    </row>
    <row r="323">
      <c r="A323" s="2" t="inlineStr">
        <is>
          <t>RSR_USDT_PERP</t>
        </is>
      </c>
      <c r="B323" s="2" t="inlineStr">
        <is>
          <t>已掃描</t>
        </is>
      </c>
      <c r="C323" s="2" t="inlineStr"/>
      <c r="D323" s="2" t="n"/>
      <c r="E323" s="17" t="n"/>
      <c r="F323" s="17" t="n"/>
      <c r="G323" s="2" t="n"/>
      <c r="H323" s="2" t="n"/>
    </row>
    <row r="324">
      <c r="A324" s="2" t="inlineStr">
        <is>
          <t>RUNE_USDT_PERP</t>
        </is>
      </c>
      <c r="B324" s="2" t="inlineStr">
        <is>
          <t>已掃描</t>
        </is>
      </c>
      <c r="C324" s="2" t="inlineStr"/>
      <c r="D324" s="2" t="n"/>
      <c r="E324" s="17" t="n"/>
      <c r="F324" s="17" t="n"/>
      <c r="G324" s="2" t="n"/>
      <c r="H324" s="2" t="n"/>
    </row>
    <row r="325">
      <c r="A325" s="2" t="inlineStr">
        <is>
          <t>SAGA_USDT_PERP</t>
        </is>
      </c>
      <c r="B325" s="2" t="inlineStr">
        <is>
          <t>已掃描</t>
        </is>
      </c>
      <c r="C325" s="2" t="inlineStr"/>
      <c r="D325" s="2" t="n"/>
      <c r="E325" s="17" t="n"/>
      <c r="F325" s="17" t="n"/>
      <c r="G325" s="2" t="n"/>
      <c r="H325" s="2" t="n"/>
    </row>
    <row r="326">
      <c r="A326" s="2" t="inlineStr">
        <is>
          <t>SAHARA_USDT_PERP</t>
        </is>
      </c>
      <c r="B326" s="2" t="inlineStr">
        <is>
          <t>已掃描</t>
        </is>
      </c>
      <c r="C326" s="2" t="inlineStr"/>
      <c r="D326" s="2" t="n"/>
      <c r="E326" s="17" t="n"/>
      <c r="F326" s="17" t="n"/>
      <c r="G326" s="2" t="n"/>
      <c r="H326" s="2" t="n"/>
    </row>
    <row r="327">
      <c r="A327" s="2" t="inlineStr">
        <is>
          <t>SAND_USDT_PERP</t>
        </is>
      </c>
      <c r="B327" s="2" t="inlineStr">
        <is>
          <t>已掃描</t>
        </is>
      </c>
      <c r="C327" s="2" t="inlineStr"/>
      <c r="D327" s="2" t="n"/>
      <c r="E327" s="17" t="n"/>
      <c r="F327" s="17" t="n"/>
      <c r="G327" s="2" t="n"/>
      <c r="H327" s="2" t="n"/>
    </row>
    <row r="328">
      <c r="A328" s="2" t="inlineStr">
        <is>
          <t>SAPIEN_USDT_PERP</t>
        </is>
      </c>
      <c r="B328" s="2" t="inlineStr">
        <is>
          <t>已掃描</t>
        </is>
      </c>
      <c r="C328" s="2" t="inlineStr"/>
      <c r="D328" s="2" t="n"/>
      <c r="E328" s="17" t="n"/>
      <c r="F328" s="17" t="n"/>
      <c r="G328" s="2" t="n"/>
      <c r="H328" s="2" t="n"/>
    </row>
    <row r="329">
      <c r="A329" s="2" t="inlineStr">
        <is>
          <t>SEI_USDT_PERP</t>
        </is>
      </c>
      <c r="B329" s="2" t="inlineStr">
        <is>
          <t>已掃描</t>
        </is>
      </c>
      <c r="C329" s="2" t="inlineStr"/>
      <c r="D329" s="2" t="n"/>
      <c r="E329" s="17" t="n"/>
      <c r="F329" s="17" t="n"/>
      <c r="G329" s="2" t="n"/>
      <c r="H329" s="2" t="n"/>
    </row>
    <row r="330">
      <c r="A330" s="2" t="inlineStr">
        <is>
          <t>SENT_USDT_PERP</t>
        </is>
      </c>
      <c r="B330" s="2" t="inlineStr">
        <is>
          <t>已掃描</t>
        </is>
      </c>
      <c r="C330" s="2" t="inlineStr"/>
      <c r="D330" s="2" t="n"/>
      <c r="E330" s="17" t="n"/>
      <c r="F330" s="17" t="n"/>
      <c r="G330" s="2" t="n"/>
      <c r="H330" s="2" t="n"/>
    </row>
    <row r="331">
      <c r="A331" s="2" t="inlineStr">
        <is>
          <t>SFP_USDT_PERP</t>
        </is>
      </c>
      <c r="B331" s="2" t="inlineStr">
        <is>
          <t>已掃描</t>
        </is>
      </c>
      <c r="C331" s="2" t="inlineStr"/>
      <c r="D331" s="2" t="n"/>
      <c r="E331" s="17" t="n"/>
      <c r="F331" s="17" t="n"/>
      <c r="G331" s="2" t="n"/>
      <c r="H331" s="2" t="n"/>
    </row>
    <row r="332">
      <c r="A332" s="2" t="inlineStr">
        <is>
          <t>SHELL_USDT_PERP</t>
        </is>
      </c>
      <c r="B332" s="2" t="inlineStr">
        <is>
          <t>已掃描</t>
        </is>
      </c>
      <c r="C332" s="2" t="inlineStr"/>
      <c r="D332" s="2" t="n"/>
      <c r="E332" s="17" t="n"/>
      <c r="F332" s="17" t="n"/>
      <c r="G332" s="2" t="n"/>
      <c r="H332" s="2" t="n"/>
    </row>
    <row r="333">
      <c r="A333" s="2" t="inlineStr">
        <is>
          <t>SHIB_USDT_PERP</t>
        </is>
      </c>
      <c r="B333" s="2" t="inlineStr">
        <is>
          <t>已掃描</t>
        </is>
      </c>
      <c r="C333" s="2" t="inlineStr"/>
      <c r="D333" s="2" t="n"/>
      <c r="E333" s="17" t="n"/>
      <c r="F333" s="17" t="n"/>
      <c r="G333" s="2" t="n"/>
      <c r="H333" s="2" t="n"/>
    </row>
    <row r="334">
      <c r="A334" s="2" t="inlineStr">
        <is>
          <t>SIREN_USDT_PERP</t>
        </is>
      </c>
      <c r="B334" s="2" t="inlineStr">
        <is>
          <t>已掃描</t>
        </is>
      </c>
      <c r="C334" s="2" t="inlineStr"/>
      <c r="D334" s="2" t="n"/>
      <c r="E334" s="17" t="n"/>
      <c r="F334" s="17" t="n"/>
      <c r="G334" s="2" t="n"/>
      <c r="H334" s="2" t="n"/>
    </row>
    <row r="335">
      <c r="A335" s="2" t="inlineStr">
        <is>
          <t>SKL_USDT_PERP</t>
        </is>
      </c>
      <c r="B335" s="2" t="inlineStr">
        <is>
          <t>已掃描</t>
        </is>
      </c>
      <c r="C335" s="2" t="inlineStr"/>
      <c r="D335" s="2" t="n"/>
      <c r="E335" s="17" t="n"/>
      <c r="F335" s="17" t="n"/>
      <c r="G335" s="2" t="n"/>
      <c r="H335" s="2" t="n"/>
    </row>
    <row r="336">
      <c r="A336" s="2" t="inlineStr">
        <is>
          <t>SKR_USDT_PERP</t>
        </is>
      </c>
      <c r="B336" s="2" t="inlineStr">
        <is>
          <t>已掃描</t>
        </is>
      </c>
      <c r="C336" s="2" t="inlineStr"/>
      <c r="D336" s="2" t="n"/>
      <c r="E336" s="17" t="n"/>
      <c r="F336" s="17" t="n"/>
      <c r="G336" s="2" t="n"/>
      <c r="H336" s="2" t="n"/>
    </row>
    <row r="337">
      <c r="A337" s="2" t="inlineStr">
        <is>
          <t>SKYAI_USDT_PERP</t>
        </is>
      </c>
      <c r="B337" s="2" t="inlineStr">
        <is>
          <t>已掃描</t>
        </is>
      </c>
      <c r="C337" s="2" t="inlineStr"/>
      <c r="D337" s="2" t="n"/>
      <c r="E337" s="17" t="n"/>
      <c r="F337" s="17" t="n"/>
      <c r="G337" s="2" t="n"/>
      <c r="H337" s="2" t="n"/>
    </row>
    <row r="338">
      <c r="A338" s="2" t="inlineStr">
        <is>
          <t>SKY_USDT_PERP</t>
        </is>
      </c>
      <c r="B338" s="2" t="inlineStr">
        <is>
          <t>已掃描</t>
        </is>
      </c>
      <c r="C338" s="2" t="inlineStr"/>
      <c r="D338" s="2" t="n"/>
      <c r="E338" s="17" t="n"/>
      <c r="F338" s="17" t="n"/>
      <c r="G338" s="2" t="n"/>
      <c r="H338" s="2" t="n"/>
    </row>
    <row r="339">
      <c r="A339" s="2" t="inlineStr">
        <is>
          <t>SLP_USDT_PERP</t>
        </is>
      </c>
      <c r="B339" s="2" t="inlineStr">
        <is>
          <t>已掃描</t>
        </is>
      </c>
      <c r="C339" s="2" t="inlineStr"/>
      <c r="D339" s="2" t="n"/>
      <c r="E339" s="17" t="n"/>
      <c r="F339" s="17" t="n"/>
      <c r="G339" s="2" t="n"/>
      <c r="H339" s="2" t="n"/>
    </row>
    <row r="340">
      <c r="A340" s="2" t="inlineStr">
        <is>
          <t>SLX_USDT_PERP</t>
        </is>
      </c>
      <c r="B340" s="2" t="inlineStr">
        <is>
          <t>已掃描</t>
        </is>
      </c>
      <c r="C340" s="2" t="inlineStr"/>
      <c r="D340" s="2" t="n"/>
      <c r="E340" s="17" t="n"/>
      <c r="F340" s="17" t="n"/>
      <c r="G340" s="2" t="n"/>
      <c r="H340" s="2" t="n"/>
    </row>
    <row r="341">
      <c r="A341" s="2" t="inlineStr">
        <is>
          <t>SNX_USDT_PERP</t>
        </is>
      </c>
      <c r="B341" s="2" t="inlineStr">
        <is>
          <t>已掃描</t>
        </is>
      </c>
      <c r="C341" s="2" t="inlineStr"/>
      <c r="D341" s="2" t="n"/>
      <c r="E341" s="17" t="n"/>
      <c r="F341" s="17" t="n"/>
      <c r="G341" s="2" t="n"/>
      <c r="H341" s="2" t="n"/>
    </row>
    <row r="342">
      <c r="A342" s="2" t="inlineStr">
        <is>
          <t>SOLV_USDT_PERP</t>
        </is>
      </c>
      <c r="B342" s="2" t="inlineStr">
        <is>
          <t>已掃描</t>
        </is>
      </c>
      <c r="C342" s="2" t="inlineStr"/>
      <c r="D342" s="2" t="n"/>
      <c r="E342" s="17" t="n"/>
      <c r="F342" s="17" t="n"/>
      <c r="G342" s="2" t="n"/>
      <c r="H342" s="2" t="n"/>
    </row>
    <row r="343">
      <c r="A343" s="2" t="inlineStr">
        <is>
          <t>SOL_USDT_PERP</t>
        </is>
      </c>
      <c r="B343" s="2" t="inlineStr">
        <is>
          <t>已掃描</t>
        </is>
      </c>
      <c r="C343" s="2" t="inlineStr"/>
      <c r="D343" s="2" t="n"/>
      <c r="E343" s="17" t="n"/>
      <c r="F343" s="17" t="n"/>
      <c r="G343" s="2" t="n"/>
      <c r="H343" s="2" t="n"/>
    </row>
    <row r="344">
      <c r="A344" s="2" t="inlineStr">
        <is>
          <t>SOMI_USDT_PERP</t>
        </is>
      </c>
      <c r="B344" s="2" t="inlineStr">
        <is>
          <t>已掃描</t>
        </is>
      </c>
      <c r="C344" s="2" t="inlineStr"/>
      <c r="D344" s="2" t="n"/>
      <c r="E344" s="17" t="n"/>
      <c r="F344" s="17" t="n"/>
      <c r="G344" s="2" t="n"/>
      <c r="H344" s="2" t="n"/>
    </row>
    <row r="345">
      <c r="A345" s="2" t="inlineStr">
        <is>
          <t>SOON_USDT_PERP</t>
        </is>
      </c>
      <c r="B345" s="2" t="inlineStr">
        <is>
          <t>已掃描</t>
        </is>
      </c>
      <c r="C345" s="2" t="inlineStr"/>
      <c r="D345" s="2" t="n"/>
      <c r="E345" s="17" t="n"/>
      <c r="F345" s="17" t="n"/>
      <c r="G345" s="2" t="n"/>
      <c r="H345" s="2" t="n"/>
    </row>
    <row r="346">
      <c r="A346" s="2" t="inlineStr">
        <is>
          <t>SPACE_USDT_PERP</t>
        </is>
      </c>
      <c r="B346" s="2" t="inlineStr">
        <is>
          <t>已掃描</t>
        </is>
      </c>
      <c r="C346" s="2" t="inlineStr"/>
      <c r="D346" s="2" t="n"/>
      <c r="E346" s="17" t="n"/>
      <c r="F346" s="17" t="n"/>
      <c r="G346" s="2" t="n"/>
      <c r="H346" s="2" t="n"/>
    </row>
    <row r="347">
      <c r="A347" s="2" t="inlineStr">
        <is>
          <t>SPELL_USDT_PERP</t>
        </is>
      </c>
      <c r="B347" s="2" t="inlineStr">
        <is>
          <t>已掃描</t>
        </is>
      </c>
      <c r="C347" s="2" t="inlineStr"/>
      <c r="D347" s="2" t="n"/>
      <c r="E347" s="17" t="n"/>
      <c r="F347" s="17" t="n"/>
      <c r="G347" s="2" t="n"/>
      <c r="H347" s="2" t="n"/>
    </row>
    <row r="348">
      <c r="A348" s="2" t="inlineStr">
        <is>
          <t>SPK_USDT_PERP</t>
        </is>
      </c>
      <c r="B348" s="2" t="inlineStr">
        <is>
          <t>已掃描</t>
        </is>
      </c>
      <c r="C348" s="2" t="inlineStr"/>
      <c r="D348" s="2" t="n"/>
      <c r="E348" s="17" t="n"/>
      <c r="F348" s="17" t="n"/>
      <c r="G348" s="2" t="n"/>
      <c r="H348" s="2" t="n"/>
    </row>
    <row r="349">
      <c r="A349" s="2" t="inlineStr">
        <is>
          <t>SPORTFUN_USDT_PERP</t>
        </is>
      </c>
      <c r="B349" s="2" t="inlineStr">
        <is>
          <t>已掃描</t>
        </is>
      </c>
      <c r="C349" s="2" t="inlineStr"/>
      <c r="D349" s="2" t="n"/>
      <c r="E349" s="17" t="n"/>
      <c r="F349" s="17" t="n"/>
      <c r="G349" s="2" t="n"/>
      <c r="H349" s="2" t="n"/>
    </row>
    <row r="350">
      <c r="A350" s="2" t="inlineStr">
        <is>
          <t>SPX_USDT_PERP</t>
        </is>
      </c>
      <c r="B350" s="2" t="inlineStr">
        <is>
          <t>已掃描</t>
        </is>
      </c>
      <c r="C350" s="2" t="inlineStr"/>
      <c r="D350" s="2" t="n"/>
      <c r="E350" s="17" t="n"/>
      <c r="F350" s="17" t="n"/>
      <c r="G350" s="2" t="n"/>
      <c r="H350" s="2" t="n"/>
    </row>
    <row r="351">
      <c r="A351" s="2" t="inlineStr">
        <is>
          <t>SQD_USDT_PERP</t>
        </is>
      </c>
      <c r="B351" s="2" t="inlineStr">
        <is>
          <t>已掃描</t>
        </is>
      </c>
      <c r="C351" s="2" t="inlineStr"/>
      <c r="D351" s="2" t="n"/>
      <c r="E351" s="17" t="n"/>
      <c r="F351" s="17" t="n"/>
      <c r="G351" s="2" t="n"/>
      <c r="H351" s="2" t="n"/>
    </row>
    <row r="352">
      <c r="A352" s="2" t="inlineStr">
        <is>
          <t>SSV_USDT_PERP</t>
        </is>
      </c>
      <c r="B352" s="2" t="inlineStr">
        <is>
          <t>已掃描</t>
        </is>
      </c>
      <c r="C352" s="2" t="inlineStr"/>
      <c r="D352" s="2" t="n"/>
      <c r="E352" s="17" t="n"/>
      <c r="F352" s="17" t="n"/>
      <c r="G352" s="2" t="n"/>
      <c r="H352" s="2" t="n"/>
    </row>
    <row r="353">
      <c r="A353" s="2" t="inlineStr">
        <is>
          <t>STABLE_USDT_PERP</t>
        </is>
      </c>
      <c r="B353" s="2" t="inlineStr">
        <is>
          <t>已掃描</t>
        </is>
      </c>
      <c r="C353" s="2" t="inlineStr"/>
      <c r="D353" s="2" t="n"/>
      <c r="E353" s="17" t="n"/>
      <c r="F353" s="17" t="n"/>
      <c r="G353" s="2" t="n"/>
      <c r="H353" s="2" t="n"/>
    </row>
    <row r="354">
      <c r="A354" s="2" t="inlineStr">
        <is>
          <t>STAR_USDT_PERP</t>
        </is>
      </c>
      <c r="B354" s="2" t="inlineStr">
        <is>
          <t>已掃描</t>
        </is>
      </c>
      <c r="C354" s="2" t="inlineStr"/>
      <c r="D354" s="2" t="n"/>
      <c r="E354" s="17" t="n"/>
      <c r="F354" s="17" t="n"/>
      <c r="G354" s="2" t="n"/>
      <c r="H354" s="2" t="n"/>
    </row>
    <row r="355">
      <c r="A355" s="2" t="inlineStr">
        <is>
          <t>STBL_USDT_PERP</t>
        </is>
      </c>
      <c r="B355" s="2" t="inlineStr">
        <is>
          <t>已掃描</t>
        </is>
      </c>
      <c r="C355" s="2" t="inlineStr"/>
      <c r="D355" s="2" t="n"/>
      <c r="E355" s="17" t="n"/>
      <c r="F355" s="17" t="n"/>
      <c r="G355" s="2" t="n"/>
      <c r="H355" s="2" t="n"/>
    </row>
    <row r="356">
      <c r="A356" s="2" t="inlineStr">
        <is>
          <t>STG_USDT_PERP</t>
        </is>
      </c>
      <c r="B356" s="2" t="inlineStr">
        <is>
          <t>已掃描</t>
        </is>
      </c>
      <c r="C356" s="2" t="inlineStr"/>
      <c r="D356" s="2" t="n"/>
      <c r="E356" s="17" t="n"/>
      <c r="F356" s="17" t="n"/>
      <c r="G356" s="2" t="n"/>
      <c r="H356" s="2" t="n"/>
    </row>
    <row r="357">
      <c r="A357" s="2" t="inlineStr">
        <is>
          <t>STO_USDT_PERP</t>
        </is>
      </c>
      <c r="B357" s="2" t="inlineStr">
        <is>
          <t>已掃描</t>
        </is>
      </c>
      <c r="C357" s="2" t="inlineStr"/>
      <c r="D357" s="2" t="n"/>
      <c r="E357" s="17" t="n"/>
      <c r="F357" s="17" t="n"/>
      <c r="G357" s="2" t="n"/>
      <c r="H357" s="2" t="n"/>
    </row>
    <row r="358">
      <c r="A358" s="2" t="inlineStr">
        <is>
          <t>STRK_USDT_PERP</t>
        </is>
      </c>
      <c r="B358" s="2" t="inlineStr">
        <is>
          <t>已掃描</t>
        </is>
      </c>
      <c r="C358" s="2" t="inlineStr"/>
      <c r="D358" s="2" t="n"/>
      <c r="E358" s="17" t="n"/>
      <c r="F358" s="17" t="n"/>
      <c r="G358" s="2" t="n"/>
      <c r="H358" s="2" t="n"/>
    </row>
    <row r="359">
      <c r="A359" s="2" t="inlineStr">
        <is>
          <t>STX_USDT_PERP</t>
        </is>
      </c>
      <c r="B359" s="2" t="inlineStr">
        <is>
          <t>已掃描</t>
        </is>
      </c>
      <c r="C359" s="2" t="inlineStr"/>
      <c r="D359" s="2" t="n"/>
      <c r="E359" s="17" t="n"/>
      <c r="F359" s="17" t="n"/>
      <c r="G359" s="2" t="n"/>
      <c r="H359" s="2" t="n"/>
    </row>
    <row r="360">
      <c r="A360" s="2" t="inlineStr">
        <is>
          <t>SUI_USDT_PERP</t>
        </is>
      </c>
      <c r="B360" s="2" t="inlineStr">
        <is>
          <t>已掃描</t>
        </is>
      </c>
      <c r="C360" s="2" t="inlineStr"/>
      <c r="D360" s="2" t="n"/>
      <c r="E360" s="17" t="n"/>
      <c r="F360" s="17" t="n"/>
      <c r="G360" s="2" t="n"/>
      <c r="H360" s="2" t="n"/>
    </row>
    <row r="361">
      <c r="A361" s="2" t="inlineStr">
        <is>
          <t>SUN_USDT_PERP</t>
        </is>
      </c>
      <c r="B361" s="2" t="inlineStr">
        <is>
          <t>已掃描</t>
        </is>
      </c>
      <c r="C361" s="2" t="inlineStr"/>
      <c r="D361" s="2" t="n"/>
      <c r="E361" s="17" t="n"/>
      <c r="F361" s="17" t="n"/>
      <c r="G361" s="2" t="n"/>
      <c r="H361" s="2" t="n"/>
    </row>
    <row r="362">
      <c r="A362" s="2" t="inlineStr">
        <is>
          <t>SUPER_USDT_PERP</t>
        </is>
      </c>
      <c r="B362" s="2" t="inlineStr">
        <is>
          <t>已掃描</t>
        </is>
      </c>
      <c r="C362" s="2" t="inlineStr"/>
      <c r="D362" s="2" t="n"/>
      <c r="E362" s="17" t="n"/>
      <c r="F362" s="17" t="n"/>
      <c r="G362" s="2" t="n"/>
      <c r="H362" s="2" t="n"/>
    </row>
    <row r="363">
      <c r="A363" s="2" t="inlineStr">
        <is>
          <t>SUSHI_USDT_PERP</t>
        </is>
      </c>
      <c r="B363" s="2" t="inlineStr">
        <is>
          <t>已掃描</t>
        </is>
      </c>
      <c r="C363" s="2" t="inlineStr"/>
      <c r="D363" s="2" t="n"/>
      <c r="E363" s="17" t="n"/>
      <c r="F363" s="17" t="n"/>
      <c r="G363" s="2" t="n"/>
      <c r="H363" s="2" t="n"/>
    </row>
    <row r="364">
      <c r="A364" s="2" t="inlineStr">
        <is>
          <t>SXT_USDT_PERP</t>
        </is>
      </c>
      <c r="B364" s="2" t="inlineStr">
        <is>
          <t>已掃描</t>
        </is>
      </c>
      <c r="C364" s="2" t="inlineStr"/>
      <c r="D364" s="2" t="n"/>
      <c r="E364" s="17" t="n"/>
      <c r="F364" s="17" t="n"/>
      <c r="G364" s="2" t="n"/>
      <c r="H364" s="2" t="n"/>
    </row>
    <row r="365">
      <c r="A365" s="2" t="inlineStr">
        <is>
          <t>SYRUP_USDT_PERP</t>
        </is>
      </c>
      <c r="B365" s="2" t="inlineStr">
        <is>
          <t>已掃描</t>
        </is>
      </c>
      <c r="C365" s="2" t="inlineStr"/>
      <c r="D365" s="2" t="n"/>
      <c r="E365" s="17" t="n"/>
      <c r="F365" s="17" t="n"/>
      <c r="G365" s="2" t="n"/>
      <c r="H365" s="2" t="n"/>
    </row>
    <row r="366">
      <c r="A366" s="2" t="inlineStr">
        <is>
          <t>S_USDT_PERP</t>
        </is>
      </c>
      <c r="B366" s="2" t="inlineStr">
        <is>
          <t>已掃描</t>
        </is>
      </c>
      <c r="C366" s="2" t="inlineStr"/>
      <c r="D366" s="2" t="n"/>
      <c r="E366" s="17" t="n"/>
      <c r="F366" s="17" t="n"/>
      <c r="G366" s="2" t="n"/>
      <c r="H366" s="2" t="n"/>
    </row>
    <row r="367">
      <c r="A367" s="2" t="inlineStr">
        <is>
          <t>TAC_USDT_PERP</t>
        </is>
      </c>
      <c r="B367" s="2" t="inlineStr">
        <is>
          <t>已掃描</t>
        </is>
      </c>
      <c r="C367" s="2" t="inlineStr"/>
      <c r="D367" s="2" t="n"/>
      <c r="E367" s="17" t="n"/>
      <c r="F367" s="17" t="n"/>
      <c r="G367" s="2" t="n"/>
      <c r="H367" s="2" t="n"/>
    </row>
    <row r="368">
      <c r="A368" s="2" t="inlineStr">
        <is>
          <t>TAKE_USDT_PERP</t>
        </is>
      </c>
      <c r="B368" s="2" t="inlineStr">
        <is>
          <t>已掃描</t>
        </is>
      </c>
      <c r="C368" s="2" t="inlineStr"/>
      <c r="D368" s="2" t="n"/>
      <c r="E368" s="17" t="n"/>
      <c r="F368" s="17" t="n"/>
      <c r="G368" s="2" t="n"/>
      <c r="H368" s="2" t="n"/>
    </row>
    <row r="369">
      <c r="A369" s="2" t="inlineStr">
        <is>
          <t>TAO_USDT_PERP</t>
        </is>
      </c>
      <c r="B369" s="2" t="inlineStr">
        <is>
          <t>已掃描</t>
        </is>
      </c>
      <c r="C369" s="2" t="inlineStr"/>
      <c r="D369" s="2" t="n"/>
      <c r="E369" s="17" t="n"/>
      <c r="F369" s="17" t="n"/>
      <c r="G369" s="2" t="n"/>
      <c r="H369" s="2" t="n"/>
    </row>
    <row r="370">
      <c r="A370" s="2" t="inlineStr">
        <is>
          <t>TA_USDT_PERP</t>
        </is>
      </c>
      <c r="B370" s="2" t="inlineStr">
        <is>
          <t>已掃描</t>
        </is>
      </c>
      <c r="C370" s="2" t="inlineStr"/>
      <c r="D370" s="2" t="n"/>
      <c r="E370" s="17" t="n"/>
      <c r="F370" s="17" t="n"/>
      <c r="G370" s="2" t="n"/>
      <c r="H370" s="2" t="n"/>
    </row>
    <row r="371">
      <c r="A371" s="2" t="inlineStr">
        <is>
          <t>THETA_USDT_PERP</t>
        </is>
      </c>
      <c r="B371" s="2" t="inlineStr">
        <is>
          <t>已掃描</t>
        </is>
      </c>
      <c r="C371" s="2" t="inlineStr"/>
      <c r="D371" s="2" t="n"/>
      <c r="E371" s="17" t="n"/>
      <c r="F371" s="17" t="n"/>
      <c r="G371" s="2" t="n"/>
      <c r="H371" s="2" t="n"/>
    </row>
    <row r="372">
      <c r="A372" s="2" t="inlineStr">
        <is>
          <t>THE_USDT_PERP</t>
        </is>
      </c>
      <c r="B372" s="2" t="inlineStr">
        <is>
          <t>已掃描</t>
        </is>
      </c>
      <c r="C372" s="2" t="inlineStr"/>
      <c r="D372" s="2" t="n"/>
      <c r="E372" s="17" t="n"/>
      <c r="F372" s="17" t="n"/>
      <c r="G372" s="2" t="n"/>
      <c r="H372" s="2" t="n"/>
    </row>
    <row r="373">
      <c r="A373" s="2" t="inlineStr">
        <is>
          <t>TIA_USDT_PERP</t>
        </is>
      </c>
      <c r="B373" s="2" t="inlineStr">
        <is>
          <t>已掃描</t>
        </is>
      </c>
      <c r="C373" s="2" t="inlineStr"/>
      <c r="D373" s="2" t="n"/>
      <c r="E373" s="17" t="n"/>
      <c r="F373" s="17" t="n"/>
      <c r="G373" s="2" t="n"/>
      <c r="H373" s="2" t="n"/>
    </row>
    <row r="374">
      <c r="A374" s="2" t="inlineStr">
        <is>
          <t>TLM_USDT_PERP</t>
        </is>
      </c>
      <c r="B374" s="2" t="inlineStr">
        <is>
          <t>已掃描</t>
        </is>
      </c>
      <c r="C374" s="2" t="inlineStr"/>
      <c r="D374" s="2" t="n"/>
      <c r="E374" s="17" t="n"/>
      <c r="F374" s="17" t="n"/>
      <c r="G374" s="2" t="n"/>
      <c r="H374" s="2" t="n"/>
    </row>
    <row r="375">
      <c r="A375" s="2" t="inlineStr">
        <is>
          <t>TNSR_USDT_PERP</t>
        </is>
      </c>
      <c r="B375" s="2" t="inlineStr">
        <is>
          <t>已掃描</t>
        </is>
      </c>
      <c r="C375" s="2" t="inlineStr"/>
      <c r="D375" s="2" t="n"/>
      <c r="E375" s="17" t="n"/>
      <c r="F375" s="17" t="n"/>
      <c r="G375" s="2" t="n"/>
      <c r="H375" s="2" t="n"/>
    </row>
    <row r="376">
      <c r="A376" s="2" t="inlineStr">
        <is>
          <t>TOSHI_USDT_PERP</t>
        </is>
      </c>
      <c r="B376" s="2" t="inlineStr">
        <is>
          <t>已掃描</t>
        </is>
      </c>
      <c r="C376" s="2" t="inlineStr"/>
      <c r="D376" s="2" t="n"/>
      <c r="E376" s="17" t="n"/>
      <c r="F376" s="17" t="n"/>
      <c r="G376" s="2" t="n"/>
      <c r="H376" s="2" t="n"/>
    </row>
    <row r="377">
      <c r="A377" s="2" t="inlineStr">
        <is>
          <t>TOWNS_USDT_PERP</t>
        </is>
      </c>
      <c r="B377" s="2" t="inlineStr">
        <is>
          <t>已掃描</t>
        </is>
      </c>
      <c r="C377" s="2" t="inlineStr"/>
      <c r="D377" s="2" t="n"/>
      <c r="E377" s="17" t="n"/>
      <c r="F377" s="17" t="n"/>
      <c r="G377" s="2" t="n"/>
      <c r="H377" s="2" t="n"/>
    </row>
    <row r="378">
      <c r="A378" s="2" t="inlineStr">
        <is>
          <t>TRADOOR_USDT_PERP</t>
        </is>
      </c>
      <c r="B378" s="2" t="inlineStr">
        <is>
          <t>已掃描</t>
        </is>
      </c>
      <c r="C378" s="2" t="inlineStr"/>
      <c r="D378" s="2" t="n"/>
      <c r="E378" s="17" t="n"/>
      <c r="F378" s="17" t="n"/>
      <c r="G378" s="2" t="n"/>
      <c r="H378" s="2" t="n"/>
    </row>
    <row r="379">
      <c r="A379" s="2" t="inlineStr">
        <is>
          <t>TRB_USDT_PERP</t>
        </is>
      </c>
      <c r="B379" s="2" t="inlineStr">
        <is>
          <t>已掃描</t>
        </is>
      </c>
      <c r="C379" s="2" t="inlineStr"/>
      <c r="D379" s="2" t="n"/>
      <c r="E379" s="17" t="n"/>
      <c r="F379" s="17" t="n"/>
      <c r="G379" s="2" t="n"/>
      <c r="H379" s="2" t="n"/>
    </row>
    <row r="380">
      <c r="A380" s="2" t="inlineStr">
        <is>
          <t>TREE_USDT_PERP</t>
        </is>
      </c>
      <c r="B380" s="2" t="inlineStr">
        <is>
          <t>已掃描</t>
        </is>
      </c>
      <c r="C380" s="2" t="inlineStr"/>
      <c r="D380" s="2" t="n"/>
      <c r="E380" s="17" t="n"/>
      <c r="F380" s="17" t="n"/>
      <c r="G380" s="2" t="n"/>
      <c r="H380" s="2" t="n"/>
    </row>
    <row r="381">
      <c r="A381" s="2" t="inlineStr">
        <is>
          <t>TRIA_USDT_PERP</t>
        </is>
      </c>
      <c r="B381" s="2" t="inlineStr">
        <is>
          <t>已掃描</t>
        </is>
      </c>
      <c r="C381" s="2" t="inlineStr"/>
      <c r="D381" s="2" t="n"/>
      <c r="E381" s="17" t="n"/>
      <c r="F381" s="17" t="n"/>
      <c r="G381" s="2" t="n"/>
      <c r="H381" s="2" t="n"/>
    </row>
    <row r="382">
      <c r="A382" s="2" t="inlineStr">
        <is>
          <t>TRUMP_USDT_PERP</t>
        </is>
      </c>
      <c r="B382" s="2" t="inlineStr">
        <is>
          <t>已掃描</t>
        </is>
      </c>
      <c r="C382" s="2" t="inlineStr"/>
      <c r="D382" s="2" t="n"/>
      <c r="E382" s="17" t="n"/>
      <c r="F382" s="17" t="n"/>
      <c r="G382" s="2" t="n"/>
      <c r="H382" s="2" t="n"/>
    </row>
    <row r="383">
      <c r="A383" s="2" t="inlineStr">
        <is>
          <t>TRUST_USDT_PERP</t>
        </is>
      </c>
      <c r="B383" s="2" t="inlineStr">
        <is>
          <t>已掃描</t>
        </is>
      </c>
      <c r="C383" s="2" t="inlineStr"/>
      <c r="D383" s="2" t="n"/>
      <c r="E383" s="17" t="n"/>
      <c r="F383" s="17" t="n"/>
      <c r="G383" s="2" t="n"/>
      <c r="H383" s="2" t="n"/>
    </row>
    <row r="384">
      <c r="A384" s="2" t="inlineStr">
        <is>
          <t>TRUTH_USDT_PERP</t>
        </is>
      </c>
      <c r="B384" s="2" t="inlineStr">
        <is>
          <t>已掃描</t>
        </is>
      </c>
      <c r="C384" s="2" t="inlineStr"/>
      <c r="D384" s="2" t="n"/>
      <c r="E384" s="17" t="n"/>
      <c r="F384" s="17" t="n"/>
      <c r="G384" s="2" t="n"/>
      <c r="H384" s="2" t="n"/>
    </row>
    <row r="385">
      <c r="A385" s="2" t="inlineStr">
        <is>
          <t>TRX_USDT_PERP</t>
        </is>
      </c>
      <c r="B385" s="2" t="inlineStr">
        <is>
          <t>已掃描</t>
        </is>
      </c>
      <c r="C385" s="2" t="inlineStr"/>
      <c r="D385" s="2" t="n"/>
      <c r="E385" s="17" t="n"/>
      <c r="F385" s="17" t="n"/>
      <c r="G385" s="2" t="n"/>
      <c r="H385" s="2" t="n"/>
    </row>
    <row r="386">
      <c r="A386" s="2" t="inlineStr">
        <is>
          <t>TST_USDT_PERP</t>
        </is>
      </c>
      <c r="B386" s="2" t="inlineStr">
        <is>
          <t>已掃描</t>
        </is>
      </c>
      <c r="C386" s="2" t="inlineStr"/>
      <c r="D386" s="2" t="n"/>
      <c r="E386" s="17" t="n"/>
      <c r="F386" s="17" t="n"/>
      <c r="G386" s="2" t="n"/>
      <c r="H386" s="2" t="n"/>
    </row>
    <row r="387">
      <c r="A387" s="2" t="inlineStr">
        <is>
          <t>TURBO_USDT_PERP</t>
        </is>
      </c>
      <c r="B387" s="2" t="inlineStr">
        <is>
          <t>已掃描</t>
        </is>
      </c>
      <c r="C387" s="2" t="inlineStr"/>
      <c r="D387" s="2" t="n"/>
      <c r="E387" s="17" t="n"/>
      <c r="F387" s="17" t="n"/>
      <c r="G387" s="2" t="n"/>
      <c r="H387" s="2" t="n"/>
    </row>
    <row r="388">
      <c r="A388" s="2" t="inlineStr">
        <is>
          <t>TURTLE_USDT_PERP</t>
        </is>
      </c>
      <c r="B388" s="2" t="inlineStr">
        <is>
          <t>已掃描</t>
        </is>
      </c>
      <c r="C388" s="2" t="inlineStr"/>
      <c r="D388" s="2" t="n"/>
      <c r="E388" s="17" t="n"/>
      <c r="F388" s="17" t="n"/>
      <c r="G388" s="2" t="n"/>
      <c r="H388" s="2" t="n"/>
    </row>
    <row r="389">
      <c r="A389" s="2" t="inlineStr">
        <is>
          <t>TUT_USDT_PERP</t>
        </is>
      </c>
      <c r="B389" s="2" t="inlineStr">
        <is>
          <t>已掃描</t>
        </is>
      </c>
      <c r="C389" s="2" t="inlineStr"/>
      <c r="D389" s="2" t="n"/>
      <c r="E389" s="17" t="n"/>
      <c r="F389" s="17" t="n"/>
      <c r="G389" s="2" t="n"/>
      <c r="H389" s="2" t="n"/>
    </row>
    <row r="390">
      <c r="A390" s="2" t="inlineStr">
        <is>
          <t>TWT_USDT_PERP</t>
        </is>
      </c>
      <c r="B390" s="2" t="inlineStr">
        <is>
          <t>已掃描</t>
        </is>
      </c>
      <c r="C390" s="2" t="inlineStr"/>
      <c r="D390" s="2" t="n"/>
      <c r="E390" s="17" t="n"/>
      <c r="F390" s="17" t="n"/>
      <c r="G390" s="2" t="n"/>
      <c r="H390" s="2" t="n"/>
    </row>
    <row r="391">
      <c r="A391" s="2" t="inlineStr">
        <is>
          <t>UAI_USDT_PERP</t>
        </is>
      </c>
      <c r="B391" s="2" t="inlineStr">
        <is>
          <t>已掃描</t>
        </is>
      </c>
      <c r="C391" s="2" t="inlineStr"/>
      <c r="D391" s="2" t="n"/>
      <c r="E391" s="17" t="n"/>
      <c r="F391" s="17" t="n"/>
      <c r="G391" s="2" t="n"/>
      <c r="H391" s="2" t="n"/>
    </row>
    <row r="392">
      <c r="A392" s="2" t="inlineStr">
        <is>
          <t>UB_USDT_PERP</t>
        </is>
      </c>
      <c r="B392" s="2" t="inlineStr">
        <is>
          <t>已掃描</t>
        </is>
      </c>
      <c r="C392" s="2" t="inlineStr"/>
      <c r="D392" s="2" t="n"/>
      <c r="E392" s="17" t="n"/>
      <c r="F392" s="17" t="n"/>
      <c r="G392" s="2" t="n"/>
      <c r="H392" s="2" t="n"/>
    </row>
    <row r="393">
      <c r="A393" s="2" t="inlineStr">
        <is>
          <t>UNI_USDT_PERP</t>
        </is>
      </c>
      <c r="B393" s="2" t="inlineStr">
        <is>
          <t>已掃描</t>
        </is>
      </c>
      <c r="C393" s="2" t="inlineStr"/>
      <c r="D393" s="2" t="n"/>
      <c r="E393" s="17" t="n"/>
      <c r="F393" s="17" t="n"/>
      <c r="G393" s="2" t="n"/>
      <c r="H393" s="2" t="n"/>
    </row>
    <row r="394">
      <c r="A394" s="2" t="inlineStr">
        <is>
          <t>UP_USDT_PERP</t>
        </is>
      </c>
      <c r="B394" s="2" t="inlineStr">
        <is>
          <t>已掃描</t>
        </is>
      </c>
      <c r="C394" s="2" t="inlineStr"/>
      <c r="D394" s="2" t="n"/>
      <c r="E394" s="17" t="n"/>
      <c r="F394" s="17" t="n"/>
      <c r="G394" s="2" t="n"/>
      <c r="H394" s="2" t="n"/>
    </row>
    <row r="395">
      <c r="A395" s="2" t="inlineStr">
        <is>
          <t>USELESS_USDT_PERP</t>
        </is>
      </c>
      <c r="B395" s="2" t="inlineStr">
        <is>
          <t>已掃描</t>
        </is>
      </c>
      <c r="C395" s="2" t="inlineStr"/>
      <c r="D395" s="2" t="n"/>
      <c r="E395" s="17" t="n"/>
      <c r="F395" s="17" t="n"/>
      <c r="G395" s="2" t="n"/>
      <c r="H395" s="2" t="n"/>
    </row>
    <row r="396">
      <c r="A396" s="2" t="inlineStr">
        <is>
          <t>USTC_USDT_PERP</t>
        </is>
      </c>
      <c r="B396" s="2" t="inlineStr">
        <is>
          <t>已掃描</t>
        </is>
      </c>
      <c r="C396" s="2" t="inlineStr"/>
      <c r="D396" s="2" t="n"/>
      <c r="E396" s="17" t="n"/>
      <c r="F396" s="17" t="n"/>
      <c r="G396" s="2" t="n"/>
      <c r="H396" s="2" t="n"/>
    </row>
    <row r="397">
      <c r="A397" s="2" t="inlineStr">
        <is>
          <t>USUAL_USDT_PERP</t>
        </is>
      </c>
      <c r="B397" s="2" t="inlineStr">
        <is>
          <t>已掃描</t>
        </is>
      </c>
      <c r="C397" s="2" t="inlineStr"/>
      <c r="D397" s="2" t="n"/>
      <c r="E397" s="17" t="n"/>
      <c r="F397" s="17" t="n"/>
      <c r="G397" s="2" t="n"/>
      <c r="H397" s="2" t="n"/>
    </row>
    <row r="398">
      <c r="A398" s="2" t="inlineStr">
        <is>
          <t>US_USDT_PERP</t>
        </is>
      </c>
      <c r="B398" s="2" t="inlineStr">
        <is>
          <t>已掃描</t>
        </is>
      </c>
      <c r="C398" s="2" t="inlineStr"/>
      <c r="D398" s="2" t="n"/>
      <c r="E398" s="17" t="n"/>
      <c r="F398" s="17" t="n"/>
      <c r="G398" s="2" t="n"/>
      <c r="H398" s="2" t="n"/>
    </row>
    <row r="399">
      <c r="A399" s="2" t="inlineStr">
        <is>
          <t>VELODROME_USDT_PERP</t>
        </is>
      </c>
      <c r="B399" s="2" t="inlineStr">
        <is>
          <t>已掃描</t>
        </is>
      </c>
      <c r="C399" s="2" t="inlineStr"/>
      <c r="D399" s="2" t="n"/>
      <c r="E399" s="17" t="n"/>
      <c r="F399" s="17" t="n"/>
      <c r="G399" s="2" t="n"/>
      <c r="H399" s="2" t="n"/>
    </row>
    <row r="400">
      <c r="A400" s="2" t="inlineStr">
        <is>
          <t>VET_USDT_PERP</t>
        </is>
      </c>
      <c r="B400" s="2" t="inlineStr">
        <is>
          <t>已掃描</t>
        </is>
      </c>
      <c r="C400" s="2" t="inlineStr"/>
      <c r="D400" s="2" t="n"/>
      <c r="E400" s="17" t="n"/>
      <c r="F400" s="17" t="n"/>
      <c r="G400" s="2" t="n"/>
      <c r="H400" s="2" t="n"/>
    </row>
    <row r="401">
      <c r="A401" s="2" t="inlineStr">
        <is>
          <t>VIRTUAL_USDT_PERP</t>
        </is>
      </c>
      <c r="B401" s="2" t="inlineStr">
        <is>
          <t>已掃描</t>
        </is>
      </c>
      <c r="C401" s="2" t="inlineStr"/>
      <c r="D401" s="2" t="n"/>
      <c r="E401" s="17" t="n"/>
      <c r="F401" s="17" t="n"/>
      <c r="G401" s="2" t="n"/>
      <c r="H401" s="2" t="n"/>
    </row>
    <row r="402">
      <c r="A402" s="2" t="inlineStr">
        <is>
          <t>VVV_USDT_PERP</t>
        </is>
      </c>
      <c r="B402" s="2" t="inlineStr">
        <is>
          <t>已掃描</t>
        </is>
      </c>
      <c r="C402" s="2" t="inlineStr"/>
      <c r="D402" s="2" t="n"/>
      <c r="E402" s="17" t="n"/>
      <c r="F402" s="17" t="n"/>
      <c r="G402" s="2" t="n"/>
      <c r="H402" s="2" t="n"/>
    </row>
    <row r="403">
      <c r="A403" s="2" t="inlineStr">
        <is>
          <t>WAL_USDT_PERP</t>
        </is>
      </c>
      <c r="B403" s="2" t="inlineStr">
        <is>
          <t>已掃描</t>
        </is>
      </c>
      <c r="C403" s="2" t="inlineStr"/>
      <c r="D403" s="2" t="n"/>
      <c r="E403" s="17" t="n"/>
      <c r="F403" s="17" t="n"/>
      <c r="G403" s="2" t="n"/>
      <c r="H403" s="2" t="n"/>
    </row>
    <row r="404">
      <c r="A404" s="2" t="inlineStr">
        <is>
          <t>WCT_USDT_PERP</t>
        </is>
      </c>
      <c r="B404" s="2" t="inlineStr">
        <is>
          <t>已掃描</t>
        </is>
      </c>
      <c r="C404" s="2" t="inlineStr"/>
      <c r="D404" s="2" t="n"/>
      <c r="E404" s="17" t="n"/>
      <c r="F404" s="17" t="n"/>
      <c r="G404" s="2" t="n"/>
      <c r="H404" s="2" t="n"/>
    </row>
    <row r="405">
      <c r="A405" s="2" t="inlineStr">
        <is>
          <t>WIF_USDT_PERP</t>
        </is>
      </c>
      <c r="B405" s="2" t="inlineStr">
        <is>
          <t>已掃描</t>
        </is>
      </c>
      <c r="C405" s="2" t="inlineStr"/>
      <c r="D405" s="2" t="n"/>
      <c r="E405" s="17" t="n"/>
      <c r="F405" s="17" t="n"/>
      <c r="G405" s="2" t="n"/>
      <c r="H405" s="2" t="n"/>
    </row>
    <row r="406">
      <c r="A406" s="2" t="inlineStr">
        <is>
          <t>WLD_USDT_PERP</t>
        </is>
      </c>
      <c r="B406" s="2" t="inlineStr">
        <is>
          <t>已掃描</t>
        </is>
      </c>
      <c r="C406" s="2" t="inlineStr"/>
      <c r="D406" s="2" t="n"/>
      <c r="E406" s="17" t="n"/>
      <c r="F406" s="17" t="n"/>
      <c r="G406" s="2" t="n"/>
      <c r="H406" s="2" t="n"/>
    </row>
    <row r="407">
      <c r="A407" s="2" t="inlineStr">
        <is>
          <t>WLFI_USDT_PERP</t>
        </is>
      </c>
      <c r="B407" s="2" t="inlineStr">
        <is>
          <t>已掃描</t>
        </is>
      </c>
      <c r="C407" s="2" t="inlineStr"/>
      <c r="D407" s="2" t="n"/>
      <c r="E407" s="17" t="n"/>
      <c r="F407" s="17" t="n"/>
      <c r="G407" s="2" t="n"/>
      <c r="H407" s="2" t="n"/>
    </row>
    <row r="408">
      <c r="A408" s="2" t="inlineStr">
        <is>
          <t>WTI_USDT_PERP</t>
        </is>
      </c>
      <c r="B408" s="2" t="inlineStr">
        <is>
          <t>已掃描</t>
        </is>
      </c>
      <c r="C408" s="2" t="inlineStr"/>
      <c r="D408" s="2" t="n"/>
      <c r="E408" s="17" t="n"/>
      <c r="F408" s="17" t="n"/>
      <c r="G408" s="2" t="n"/>
      <c r="H408" s="2" t="n"/>
    </row>
    <row r="409">
      <c r="A409" s="2" t="inlineStr">
        <is>
          <t>W_USDT_PERP</t>
        </is>
      </c>
      <c r="B409" s="2" t="inlineStr">
        <is>
          <t>已掃描</t>
        </is>
      </c>
      <c r="C409" s="2" t="inlineStr"/>
      <c r="D409" s="2" t="n"/>
      <c r="E409" s="17" t="n"/>
      <c r="F409" s="17" t="n"/>
      <c r="G409" s="2" t="n"/>
      <c r="H409" s="2" t="n"/>
    </row>
    <row r="410">
      <c r="A410" s="2" t="inlineStr">
        <is>
          <t>XAI_USDT_PERP</t>
        </is>
      </c>
      <c r="B410" s="2" t="inlineStr">
        <is>
          <t>已掃描</t>
        </is>
      </c>
      <c r="C410" s="2" t="inlineStr"/>
      <c r="D410" s="2" t="n"/>
      <c r="E410" s="17" t="n"/>
      <c r="F410" s="17" t="n"/>
      <c r="G410" s="2" t="n"/>
      <c r="H410" s="2" t="n"/>
    </row>
    <row r="411">
      <c r="A411" s="2" t="inlineStr">
        <is>
          <t>XAN_USDT_PERP</t>
        </is>
      </c>
      <c r="B411" s="2" t="inlineStr">
        <is>
          <t>已掃描</t>
        </is>
      </c>
      <c r="C411" s="2" t="inlineStr"/>
      <c r="D411" s="2" t="n"/>
      <c r="E411" s="17" t="n"/>
      <c r="F411" s="17" t="n"/>
      <c r="G411" s="2" t="n"/>
      <c r="H411" s="2" t="n"/>
    </row>
    <row r="412">
      <c r="A412" s="2" t="inlineStr">
        <is>
          <t>XEC_USDT_PERP</t>
        </is>
      </c>
      <c r="B412" s="2" t="inlineStr">
        <is>
          <t>已掃描</t>
        </is>
      </c>
      <c r="C412" s="2" t="inlineStr"/>
      <c r="D412" s="2" t="n"/>
      <c r="E412" s="17" t="n"/>
      <c r="F412" s="17" t="n"/>
      <c r="G412" s="2" t="n"/>
      <c r="H412" s="2" t="n"/>
    </row>
    <row r="413">
      <c r="A413" s="2" t="inlineStr">
        <is>
          <t>XLM_USDT_PERP</t>
        </is>
      </c>
      <c r="B413" s="2" t="inlineStr">
        <is>
          <t>已掃描</t>
        </is>
      </c>
      <c r="C413" s="2" t="inlineStr"/>
      <c r="D413" s="2" t="n"/>
      <c r="E413" s="17" t="n"/>
      <c r="F413" s="17" t="n"/>
      <c r="G413" s="2" t="n"/>
      <c r="H413" s="2" t="n"/>
    </row>
    <row r="414">
      <c r="A414" s="2" t="inlineStr">
        <is>
          <t>XMR_USDT_PERP</t>
        </is>
      </c>
      <c r="B414" s="2" t="inlineStr">
        <is>
          <t>已掃描</t>
        </is>
      </c>
      <c r="C414" s="2" t="inlineStr"/>
      <c r="D414" s="2" t="n"/>
      <c r="E414" s="17" t="n"/>
      <c r="F414" s="17" t="n"/>
      <c r="G414" s="2" t="n"/>
      <c r="H414" s="2" t="n"/>
    </row>
    <row r="415">
      <c r="A415" s="2" t="inlineStr">
        <is>
          <t>XNY_USDT_PERP</t>
        </is>
      </c>
      <c r="B415" s="2" t="inlineStr">
        <is>
          <t>已掃描</t>
        </is>
      </c>
      <c r="C415" s="2" t="inlineStr"/>
      <c r="D415" s="2" t="n"/>
      <c r="E415" s="17" t="n"/>
      <c r="F415" s="17" t="n"/>
      <c r="G415" s="2" t="n"/>
      <c r="H415" s="2" t="n"/>
    </row>
    <row r="416">
      <c r="A416" s="2" t="inlineStr">
        <is>
          <t>XPIN_USDT_PERP</t>
        </is>
      </c>
      <c r="B416" s="2" t="inlineStr">
        <is>
          <t>已掃描</t>
        </is>
      </c>
      <c r="C416" s="2" t="inlineStr"/>
      <c r="D416" s="2" t="n"/>
      <c r="E416" s="17" t="n"/>
      <c r="F416" s="17" t="n"/>
      <c r="G416" s="2" t="n"/>
      <c r="H416" s="2" t="n"/>
    </row>
    <row r="417">
      <c r="A417" s="2" t="inlineStr">
        <is>
          <t>XPL_USDT_PERP</t>
        </is>
      </c>
      <c r="B417" s="2" t="inlineStr">
        <is>
          <t>已掃描</t>
        </is>
      </c>
      <c r="C417" s="2" t="inlineStr"/>
      <c r="D417" s="2" t="n"/>
      <c r="E417" s="17" t="n"/>
      <c r="F417" s="17" t="n"/>
      <c r="G417" s="2" t="n"/>
      <c r="H417" s="2" t="n"/>
    </row>
    <row r="418">
      <c r="A418" s="2" t="inlineStr">
        <is>
          <t>XRP_USDT_PERP</t>
        </is>
      </c>
      <c r="B418" s="2" t="inlineStr">
        <is>
          <t>已掃描</t>
        </is>
      </c>
      <c r="C418" s="2" t="inlineStr"/>
      <c r="D418" s="2" t="n"/>
      <c r="E418" s="17" t="n"/>
      <c r="F418" s="17" t="n"/>
      <c r="G418" s="2" t="n"/>
      <c r="H418" s="2" t="n"/>
    </row>
    <row r="419">
      <c r="A419" s="2" t="inlineStr">
        <is>
          <t>XTZ_USDT_PERP</t>
        </is>
      </c>
      <c r="B419" s="2" t="inlineStr">
        <is>
          <t>已掃描</t>
        </is>
      </c>
      <c r="C419" s="2" t="inlineStr"/>
      <c r="D419" s="2" t="n"/>
      <c r="E419" s="17" t="n"/>
      <c r="F419" s="17" t="n"/>
      <c r="G419" s="2" t="n"/>
      <c r="H419" s="2" t="n"/>
    </row>
    <row r="420">
      <c r="A420" s="2" t="inlineStr">
        <is>
          <t>XVG_USDT_PERP</t>
        </is>
      </c>
      <c r="B420" s="2" t="inlineStr">
        <is>
          <t>已掃描</t>
        </is>
      </c>
      <c r="C420" s="2" t="inlineStr"/>
      <c r="D420" s="2" t="n"/>
      <c r="E420" s="17" t="n"/>
      <c r="F420" s="17" t="n"/>
      <c r="G420" s="2" t="n"/>
      <c r="H420" s="2" t="n"/>
    </row>
    <row r="421">
      <c r="A421" s="2" t="inlineStr">
        <is>
          <t>XYZX_USDT_PERP</t>
        </is>
      </c>
      <c r="B421" s="2" t="inlineStr">
        <is>
          <t>已掃描</t>
        </is>
      </c>
      <c r="C421" s="2" t="inlineStr"/>
      <c r="D421" s="2" t="n"/>
      <c r="E421" s="17" t="n"/>
      <c r="F421" s="17" t="n"/>
      <c r="G421" s="2" t="n"/>
      <c r="H421" s="2" t="n"/>
    </row>
    <row r="422">
      <c r="A422" s="2" t="inlineStr">
        <is>
          <t>YB_USDT_PERP</t>
        </is>
      </c>
      <c r="B422" s="2" t="inlineStr">
        <is>
          <t>已掃描</t>
        </is>
      </c>
      <c r="C422" s="2" t="inlineStr"/>
      <c r="D422" s="2" t="n"/>
      <c r="E422" s="17" t="n"/>
      <c r="F422" s="17" t="n"/>
      <c r="G422" s="2" t="n"/>
      <c r="H422" s="2" t="n"/>
    </row>
    <row r="423">
      <c r="A423" s="2" t="inlineStr">
        <is>
          <t>YFI_USDT_PERP</t>
        </is>
      </c>
      <c r="B423" s="2" t="inlineStr">
        <is>
          <t>已掃描</t>
        </is>
      </c>
      <c r="C423" s="2" t="inlineStr"/>
      <c r="D423" s="2" t="n"/>
      <c r="E423" s="17" t="n"/>
      <c r="F423" s="17" t="n"/>
      <c r="G423" s="2" t="n"/>
      <c r="H423" s="2" t="n"/>
    </row>
    <row r="424">
      <c r="A424" s="2" t="inlineStr">
        <is>
          <t>YGG_USDT_PERP</t>
        </is>
      </c>
      <c r="B424" s="2" t="inlineStr">
        <is>
          <t>已掃描</t>
        </is>
      </c>
      <c r="C424" s="2" t="inlineStr"/>
      <c r="D424" s="2" t="n"/>
      <c r="E424" s="17" t="n"/>
      <c r="F424" s="17" t="n"/>
      <c r="G424" s="2" t="n"/>
      <c r="H424" s="2" t="n"/>
    </row>
    <row r="425">
      <c r="A425" s="2" t="inlineStr">
        <is>
          <t>ZAMA_USDT_PERP</t>
        </is>
      </c>
      <c r="B425" s="2" t="inlineStr">
        <is>
          <t>已掃描</t>
        </is>
      </c>
      <c r="C425" s="2" t="inlineStr"/>
      <c r="D425" s="2" t="n"/>
      <c r="E425" s="17" t="n"/>
      <c r="F425" s="17" t="n"/>
      <c r="G425" s="2" t="n"/>
      <c r="H425" s="2" t="n"/>
    </row>
    <row r="426">
      <c r="A426" s="2" t="inlineStr">
        <is>
          <t>ZBT_USDT_PERP</t>
        </is>
      </c>
      <c r="B426" s="2" t="inlineStr">
        <is>
          <t>已掃描</t>
        </is>
      </c>
      <c r="C426" s="2" t="inlineStr"/>
      <c r="D426" s="2" t="n"/>
      <c r="E426" s="17" t="n"/>
      <c r="F426" s="17" t="n"/>
      <c r="G426" s="2" t="n"/>
      <c r="H426" s="2" t="n"/>
    </row>
    <row r="427">
      <c r="A427" s="2" t="inlineStr">
        <is>
          <t>ZEC_USDT_PERP</t>
        </is>
      </c>
      <c r="B427" s="2" t="inlineStr">
        <is>
          <t>已掃描</t>
        </is>
      </c>
      <c r="C427" s="2" t="inlineStr"/>
      <c r="D427" s="2" t="n"/>
      <c r="E427" s="17" t="n"/>
      <c r="F427" s="17" t="n"/>
      <c r="G427" s="2" t="n"/>
      <c r="H427" s="2" t="n"/>
    </row>
    <row r="428">
      <c r="A428" s="2" t="inlineStr">
        <is>
          <t>ZEN_USDT_PERP</t>
        </is>
      </c>
      <c r="B428" s="2" t="inlineStr">
        <is>
          <t>已掃描</t>
        </is>
      </c>
      <c r="C428" s="2" t="inlineStr"/>
      <c r="D428" s="2" t="n"/>
      <c r="E428" s="17" t="n"/>
      <c r="F428" s="17" t="n"/>
      <c r="G428" s="2" t="n"/>
      <c r="H428" s="2" t="n"/>
    </row>
    <row r="429">
      <c r="A429" s="2" t="inlineStr">
        <is>
          <t>ZEREBRO_USDT_PERP</t>
        </is>
      </c>
      <c r="B429" s="2" t="inlineStr">
        <is>
          <t>已掃描</t>
        </is>
      </c>
      <c r="C429" s="2" t="inlineStr"/>
      <c r="D429" s="2" t="n"/>
      <c r="E429" s="17" t="n"/>
      <c r="F429" s="17" t="n"/>
      <c r="G429" s="2" t="n"/>
      <c r="H429" s="2" t="n"/>
    </row>
    <row r="430">
      <c r="A430" s="2" t="inlineStr">
        <is>
          <t>ZEST_USDT_PERP</t>
        </is>
      </c>
      <c r="B430" s="2" t="inlineStr">
        <is>
          <t>已掃描</t>
        </is>
      </c>
      <c r="C430" s="2" t="inlineStr"/>
      <c r="D430" s="2" t="n"/>
      <c r="E430" s="17" t="n"/>
      <c r="F430" s="17" t="n"/>
      <c r="G430" s="2" t="n"/>
      <c r="H430" s="2" t="n"/>
    </row>
    <row r="431">
      <c r="A431" s="2" t="inlineStr">
        <is>
          <t>ZETA_USDT_PERP</t>
        </is>
      </c>
      <c r="B431" s="2" t="inlineStr">
        <is>
          <t>已掃描</t>
        </is>
      </c>
      <c r="C431" s="2" t="inlineStr"/>
      <c r="D431" s="2" t="n"/>
      <c r="E431" s="17" t="n"/>
      <c r="F431" s="17" t="n"/>
      <c r="G431" s="2" t="n"/>
      <c r="H431" s="2" t="n"/>
    </row>
    <row r="432">
      <c r="A432" s="2" t="inlineStr">
        <is>
          <t>ZIL_USDT_PERP</t>
        </is>
      </c>
      <c r="B432" s="2" t="inlineStr">
        <is>
          <t>已掃描</t>
        </is>
      </c>
      <c r="C432" s="2" t="inlineStr"/>
      <c r="D432" s="2" t="n"/>
      <c r="E432" s="17" t="n"/>
      <c r="F432" s="17" t="n"/>
      <c r="G432" s="2" t="n"/>
      <c r="H432" s="2" t="n"/>
    </row>
    <row r="433">
      <c r="A433" s="2" t="inlineStr">
        <is>
          <t>ZKC_USDT_PERP</t>
        </is>
      </c>
      <c r="B433" s="2" t="inlineStr">
        <is>
          <t>已掃描</t>
        </is>
      </c>
      <c r="C433" s="2" t="inlineStr"/>
      <c r="D433" s="2" t="n"/>
      <c r="E433" s="17" t="n"/>
      <c r="F433" s="17" t="n"/>
      <c r="G433" s="2" t="n"/>
      <c r="H433" s="2" t="n"/>
    </row>
    <row r="434">
      <c r="A434" s="2" t="inlineStr">
        <is>
          <t>ZKP_USDT_PERP</t>
        </is>
      </c>
      <c r="B434" s="2" t="inlineStr">
        <is>
          <t>已掃描</t>
        </is>
      </c>
      <c r="C434" s="2" t="inlineStr"/>
      <c r="D434" s="2" t="n"/>
      <c r="E434" s="17" t="n"/>
      <c r="F434" s="17" t="n"/>
      <c r="G434" s="2" t="n"/>
      <c r="H434" s="2" t="n"/>
    </row>
    <row r="435">
      <c r="A435" s="2" t="inlineStr">
        <is>
          <t>ZKSYNC_USDT_PERP</t>
        </is>
      </c>
      <c r="B435" s="2" t="inlineStr">
        <is>
          <t>已掃描</t>
        </is>
      </c>
      <c r="C435" s="2" t="inlineStr"/>
      <c r="D435" s="2" t="n"/>
      <c r="E435" s="17" t="n"/>
      <c r="F435" s="17" t="n"/>
      <c r="G435" s="2" t="n"/>
      <c r="H435" s="2" t="n"/>
    </row>
    <row r="436">
      <c r="A436" s="2" t="inlineStr">
        <is>
          <t>ZORA_USDT_PERP</t>
        </is>
      </c>
      <c r="B436" s="2" t="inlineStr">
        <is>
          <t>已掃描</t>
        </is>
      </c>
      <c r="C436" s="2" t="inlineStr"/>
      <c r="D436" s="2" t="n"/>
      <c r="E436" s="17" t="n"/>
      <c r="F436" s="17" t="n"/>
      <c r="G436" s="2" t="n"/>
      <c r="H436" s="2" t="n"/>
    </row>
    <row r="437">
      <c r="A437" s="2" t="inlineStr">
        <is>
          <t>ZRO_USDT_PERP</t>
        </is>
      </c>
      <c r="B437" s="2" t="inlineStr">
        <is>
          <t>已掃描</t>
        </is>
      </c>
      <c r="C437" s="2" t="inlineStr"/>
      <c r="D437" s="2" t="n"/>
      <c r="E437" s="17" t="n"/>
      <c r="F437" s="17" t="n"/>
      <c r="G437" s="2" t="n"/>
      <c r="H437" s="2" t="n"/>
    </row>
    <row r="438">
      <c r="A438" s="2" t="inlineStr">
        <is>
          <t>ZRX_USDT_PERP</t>
        </is>
      </c>
      <c r="B438" s="2" t="inlineStr">
        <is>
          <t>已掃描</t>
        </is>
      </c>
      <c r="C438" s="2" t="inlineStr"/>
      <c r="D438" s="2" t="n"/>
      <c r="E438" s="17" t="n"/>
      <c r="F438" s="17" t="n"/>
      <c r="G438" s="2" t="n"/>
      <c r="H438" s="2" t="n"/>
    </row>
    <row r="439">
      <c r="A439" s="2" t="inlineStr">
        <is>
          <t>哈基米_USDT_PERP</t>
        </is>
      </c>
      <c r="B439" s="2" t="inlineStr">
        <is>
          <t>已掃描</t>
        </is>
      </c>
      <c r="C439" s="2" t="inlineStr"/>
      <c r="D439" s="2" t="n"/>
      <c r="E439" s="17" t="n"/>
      <c r="F439" s="17" t="n"/>
      <c r="G439" s="2" t="n"/>
      <c r="H439" s="2" t="n"/>
    </row>
    <row r="440">
      <c r="A440" s="2" t="inlineStr">
        <is>
          <t>币安人生_USDT_PERP</t>
        </is>
      </c>
      <c r="B440" s="2" t="inlineStr">
        <is>
          <t>已掃描</t>
        </is>
      </c>
      <c r="C440" s="2" t="inlineStr"/>
      <c r="D440" s="2" t="n"/>
      <c r="E440" s="17" t="n"/>
      <c r="F440" s="17" t="n"/>
      <c r="G440" s="2" t="n"/>
      <c r="H440" s="2" t="n"/>
    </row>
    <row r="441">
      <c r="A441" s="2" t="inlineStr">
        <is>
          <t>我踏马来了_USDT_PERP</t>
        </is>
      </c>
      <c r="B441" s="2" t="inlineStr">
        <is>
          <t>已掃描</t>
        </is>
      </c>
      <c r="C441" s="2" t="inlineStr"/>
      <c r="D441" s="2" t="n"/>
      <c r="E441" s="17" t="n"/>
      <c r="F441" s="17" t="n"/>
      <c r="G441" s="2" t="n"/>
      <c r="H441" s="2" t="n"/>
    </row>
    <row r="442">
      <c r="A442" s="2" t="inlineStr">
        <is>
          <t>牛来_USDT_PERP</t>
        </is>
      </c>
      <c r="B442" s="2" t="inlineStr">
        <is>
          <t>已掃描</t>
        </is>
      </c>
      <c r="C442" s="2" t="inlineStr"/>
      <c r="D442" s="2" t="n"/>
      <c r="E442" s="17" t="n"/>
      <c r="F442" s="17" t="n"/>
      <c r="G442" s="2" t="n"/>
      <c r="H442" s="2" t="n"/>
    </row>
  </sheetData>
  <autoFilter ref="A1:H4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2026-09-27T18:00:11Z</dcterms:created>
  <dcterms:modified xsi:type="dcterms:W3CDTF">2026-09-27T18:00:11Z</dcterms:modified>
</cp:coreProperties>
</file>