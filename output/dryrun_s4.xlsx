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'資金明細'!$A$1:$Z$232</definedName>
    <definedName name="_xlnm._FilterDatabase" localSheetId="5" hidden="1">'交易明細'!$A$1:$AM$116</definedName>
    <definedName name="_xlnm._FilterDatabase" localSheetId="6" hidden="1">'幣種統計'!$A$1:$L$77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00:51（Dry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COUNTIFS(交易明細!$B$2:$B$116,"&lt;&gt;")</f>
        <v/>
      </c>
      <c r="C5" s="2">
        <f>D5+E5+F5</f>
        <v/>
      </c>
      <c r="D5" s="2">
        <f>COUNTIFS(交易明細!$J$2:$J$116,"止盈")</f>
        <v/>
      </c>
      <c r="E5" s="2">
        <f>COUNTIFS(交易明細!$J$2:$J$116,"止損")</f>
        <v/>
      </c>
      <c r="F5" s="2">
        <f>COUNTIFS(交易明細!$J$2:$J$116,"時間出場")</f>
        <v/>
      </c>
      <c r="G5" s="2">
        <f>COUNTIFS(交易明細!$J$2:$J$116,"未平倉")</f>
        <v/>
      </c>
      <c r="H5" s="4">
        <f>IFERROR(D5/C5,0)</f>
        <v/>
      </c>
      <c r="I5" s="4">
        <f>IFERROR(AVERAGEIFS(交易明細!$AC$2:$AC$116,交易明細!$J$2:$J$116,"&lt;&gt;未平倉"),參數!$B$16)</f>
        <v/>
      </c>
      <c r="J5" s="4">
        <f>IFERROR(AVERAGEIFS(交易明細!$L$2:$L$116,交易明細!$J$2:$J$116,"&lt;&gt;未平倉"),0)</f>
        <v/>
      </c>
      <c r="K5" s="4">
        <f>SUMIFS(交易明細!$L$2:$L$116,交易明細!$J$2:$J$116,"&lt;&gt;未平倉")</f>
        <v/>
      </c>
      <c r="L5" s="5">
        <f>IFERROR(AVERAGEIFS(交易明細!$K$2:$K$116,交易明細!$J$2:$J$116,"&lt;&gt;未平倉"),0)</f>
        <v/>
      </c>
      <c r="M5" s="5">
        <f>IFERROR(AVERAGEIFS(交易明細!$K$2:$K$116,交易明細!$J$2:$J$116,"止盈"),0)</f>
        <v/>
      </c>
      <c r="N5" s="5">
        <f>IFERROR(AVERAGEIFS(交易明細!$K$2:$K$116,交易明細!$J$2:$J$116,"止損"),0)</f>
        <v/>
      </c>
      <c r="O5" s="4">
        <f>IFERROR(AVERAGEIFS(交易明細!$L$2:$L$116,交易明細!$J$2:$J$116,"時間出場"),0)</f>
        <v/>
      </c>
      <c r="P5" s="4">
        <f>IFERROR(COUNTIFS(交易明細!$J$2:$J$116,"&lt;&gt;未平倉",交易明細!$L$2:$L$116,"&gt;0")/C5,0)</f>
        <v/>
      </c>
    </row>
    <row r="6">
      <c r="A6" s="2" t="inlineStr">
        <is>
          <t>做多</t>
        </is>
      </c>
      <c r="B6" s="2">
        <f>COUNTIFS(交易明細!$C$2:$C$116,"做多",交易明細!$B$2:$B$116,"&lt;&gt;")</f>
        <v/>
      </c>
      <c r="C6" s="2">
        <f>D6+E6+F6</f>
        <v/>
      </c>
      <c r="D6" s="2">
        <f>COUNTIFS(交易明細!$C$2:$C$116,"做多",交易明細!$J$2:$J$116,"止盈")</f>
        <v/>
      </c>
      <c r="E6" s="2">
        <f>COUNTIFS(交易明細!$C$2:$C$116,"做多",交易明細!$J$2:$J$116,"止損")</f>
        <v/>
      </c>
      <c r="F6" s="2">
        <f>COUNTIFS(交易明細!$C$2:$C$116,"做多",交易明細!$J$2:$J$116,"時間出場")</f>
        <v/>
      </c>
      <c r="G6" s="2">
        <f>COUNTIFS(交易明細!$C$2:$C$116,"做多",交易明細!$J$2:$J$116,"未平倉")</f>
        <v/>
      </c>
      <c r="H6" s="4">
        <f>IFERROR(D6/C6,0)</f>
        <v/>
      </c>
      <c r="I6" s="4">
        <f>IFERROR(AVERAGEIFS(交易明細!$AC$2:$AC$116,交易明細!$C$2:$C$116,"做多",交易明細!$J$2:$J$116,"&lt;&gt;未平倉"),參數!$B$16)</f>
        <v/>
      </c>
      <c r="J6" s="4">
        <f>IFERROR(AVERAGEIFS(交易明細!$L$2:$L$116,交易明細!$C$2:$C$116,"做多",交易明細!$J$2:$J$116,"&lt;&gt;未平倉"),0)</f>
        <v/>
      </c>
      <c r="K6" s="4">
        <f>SUMIFS(交易明細!$L$2:$L$116,交易明細!$C$2:$C$116,"做多",交易明細!$J$2:$J$116,"&lt;&gt;未平倉")</f>
        <v/>
      </c>
      <c r="L6" s="5">
        <f>IFERROR(AVERAGEIFS(交易明細!$K$2:$K$116,交易明細!$C$2:$C$116,"做多",交易明細!$J$2:$J$116,"&lt;&gt;未平倉"),0)</f>
        <v/>
      </c>
      <c r="M6" s="5">
        <f>IFERROR(AVERAGEIFS(交易明細!$K$2:$K$116,交易明細!$C$2:$C$116,"做多",交易明細!$J$2:$J$116,"止盈"),0)</f>
        <v/>
      </c>
      <c r="N6" s="5">
        <f>IFERROR(AVERAGEIFS(交易明細!$K$2:$K$116,交易明細!$C$2:$C$116,"做多",交易明細!$J$2:$J$116,"止損"),0)</f>
        <v/>
      </c>
      <c r="O6" s="4">
        <f>IFERROR(AVERAGEIFS(交易明細!$L$2:$L$116,交易明細!$C$2:$C$116,"做多",交易明細!$J$2:$J$116,"時間出場"),0)</f>
        <v/>
      </c>
      <c r="P6" s="4">
        <f>IFERROR(COUNTIFS(交易明細!$C$2:$C$116,"做多",交易明細!$J$2:$J$116,"&lt;&gt;未平倉",交易明細!$L$2:$L$116,"&gt;0")/C6,0)</f>
        <v/>
      </c>
    </row>
    <row r="7">
      <c r="A7" s="2" t="inlineStr">
        <is>
          <t>做空</t>
        </is>
      </c>
      <c r="B7" s="2">
        <f>COUNTIFS(交易明細!$C$2:$C$116,"做空",交易明細!$B$2:$B$116,"&lt;&gt;")</f>
        <v/>
      </c>
      <c r="C7" s="2">
        <f>D7+E7+F7</f>
        <v/>
      </c>
      <c r="D7" s="2">
        <f>COUNTIFS(交易明細!$C$2:$C$116,"做空",交易明細!$J$2:$J$116,"止盈")</f>
        <v/>
      </c>
      <c r="E7" s="2">
        <f>COUNTIFS(交易明細!$C$2:$C$116,"做空",交易明細!$J$2:$J$116,"止損")</f>
        <v/>
      </c>
      <c r="F7" s="2">
        <f>COUNTIFS(交易明細!$C$2:$C$116,"做空",交易明細!$J$2:$J$116,"時間出場")</f>
        <v/>
      </c>
      <c r="G7" s="2">
        <f>COUNTIFS(交易明細!$C$2:$C$116,"做空",交易明細!$J$2:$J$116,"未平倉")</f>
        <v/>
      </c>
      <c r="H7" s="4">
        <f>IFERROR(D7/C7,0)</f>
        <v/>
      </c>
      <c r="I7" s="4">
        <f>IFERROR(AVERAGEIFS(交易明細!$AC$2:$AC$116,交易明細!$C$2:$C$116,"做空",交易明細!$J$2:$J$116,"&lt;&gt;未平倉"),參數!$B$16)</f>
        <v/>
      </c>
      <c r="J7" s="4">
        <f>IFERROR(AVERAGEIFS(交易明細!$L$2:$L$116,交易明細!$C$2:$C$116,"做空",交易明細!$J$2:$J$116,"&lt;&gt;未平倉"),0)</f>
        <v/>
      </c>
      <c r="K7" s="4">
        <f>SUMIFS(交易明細!$L$2:$L$116,交易明細!$C$2:$C$116,"做空",交易明細!$J$2:$J$116,"&lt;&gt;未平倉")</f>
        <v/>
      </c>
      <c r="L7" s="5">
        <f>IFERROR(AVERAGEIFS(交易明細!$K$2:$K$116,交易明細!$C$2:$C$116,"做空",交易明細!$J$2:$J$116,"&lt;&gt;未平倉"),0)</f>
        <v/>
      </c>
      <c r="M7" s="5">
        <f>IFERROR(AVERAGEIFS(交易明細!$K$2:$K$116,交易明細!$C$2:$C$116,"做空",交易明細!$J$2:$J$116,"止盈"),0)</f>
        <v/>
      </c>
      <c r="N7" s="5">
        <f>IFERROR(AVERAGEIFS(交易明細!$K$2:$K$116,交易明細!$C$2:$C$116,"做空",交易明細!$J$2:$J$116,"止損"),0)</f>
        <v/>
      </c>
      <c r="O7" s="4">
        <f>IFERROR(AVERAGEIFS(交易明細!$L$2:$L$116,交易明細!$C$2:$C$116,"做空",交易明細!$J$2:$J$116,"時間出場"),0)</f>
        <v/>
      </c>
      <c r="P7" s="4">
        <f>IFERROR(COUNTIFS(交易明細!$C$2:$C$116,"做空",交易明細!$J$2:$J$116,"&lt;&gt;未平倉",交易明細!$L$2:$L$116,"&gt;0")/C7,0)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46286.03573545139</v>
      </c>
      <c r="B2" s="7" t="n">
        <v>46286.03125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127.3</v>
      </c>
    </row>
    <row r="3">
      <c r="A3" s="7" t="n">
        <v>46286.00283136574</v>
      </c>
      <c r="B3" s="7" t="n">
        <v>46285.99652777778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101.9</v>
      </c>
    </row>
    <row r="4">
      <c r="A4" s="7" t="n">
        <v>46285.85245594908</v>
      </c>
      <c r="B4" s="7" t="n">
        <v>46285.84722222222</v>
      </c>
      <c r="C4" s="2" t="n">
        <v>440</v>
      </c>
      <c r="D4" s="2" t="n">
        <v>4</v>
      </c>
      <c r="E4" s="2" t="n">
        <v>4</v>
      </c>
      <c r="F4" s="2" t="n">
        <v>0</v>
      </c>
      <c r="G4" s="2" t="n">
        <v>100.6</v>
      </c>
    </row>
    <row r="5">
      <c r="A5" s="7" t="n">
        <v>46285.60105145833</v>
      </c>
      <c r="B5" s="7" t="n">
        <v>46285.59722222222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129.1</v>
      </c>
    </row>
    <row r="6">
      <c r="A6" s="7" t="n">
        <v>46285.38559789352</v>
      </c>
      <c r="B6" s="7" t="n">
        <v>46285.38194444445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112.5</v>
      </c>
    </row>
    <row r="7">
      <c r="A7" s="7" t="n">
        <v>46285.29994834491</v>
      </c>
      <c r="B7" s="7" t="n">
        <v>46285.29513888889</v>
      </c>
      <c r="C7" s="2" t="n">
        <v>440</v>
      </c>
      <c r="D7" s="2" t="n">
        <v>1</v>
      </c>
      <c r="E7" s="2" t="n">
        <v>2</v>
      </c>
      <c r="F7" s="2" t="n">
        <v>0</v>
      </c>
      <c r="G7" s="2" t="n">
        <v>128.1</v>
      </c>
    </row>
    <row r="8">
      <c r="A8" s="7" t="n">
        <v>46285.19964518519</v>
      </c>
      <c r="B8" s="7" t="n">
        <v>46285.19444444445</v>
      </c>
      <c r="C8" s="2" t="n">
        <v>440</v>
      </c>
      <c r="D8" s="2" t="n">
        <v>1</v>
      </c>
      <c r="E8" s="2" t="n">
        <v>1</v>
      </c>
      <c r="F8" s="2" t="n">
        <v>0</v>
      </c>
      <c r="G8" s="2" t="n">
        <v>110.6</v>
      </c>
    </row>
    <row r="9">
      <c r="A9" s="7" t="n">
        <v>46285.08704527777</v>
      </c>
      <c r="B9" s="7" t="n">
        <v>46285.08333333334</v>
      </c>
      <c r="C9" s="2" t="n">
        <v>440</v>
      </c>
      <c r="D9" s="2" t="n">
        <v>3</v>
      </c>
      <c r="E9" s="2" t="n">
        <v>2</v>
      </c>
      <c r="F9" s="2" t="n">
        <v>0</v>
      </c>
      <c r="G9" s="2" t="n">
        <v>95.09999999999999</v>
      </c>
    </row>
    <row r="10">
      <c r="A10" s="7" t="n">
        <v>46284.93748335648</v>
      </c>
      <c r="B10" s="7" t="n">
        <v>46284.93055555555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128.7</v>
      </c>
    </row>
    <row r="11">
      <c r="A11" s="7" t="n">
        <v>46284.79727659722</v>
      </c>
      <c r="B11" s="7" t="n">
        <v>46284.79166666666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109.7</v>
      </c>
    </row>
    <row r="12">
      <c r="A12" s="7" t="n">
        <v>46284.58365538195</v>
      </c>
      <c r="B12" s="7" t="n">
        <v>46284.57986111111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101.8</v>
      </c>
    </row>
    <row r="13">
      <c r="A13" s="7" t="n">
        <v>46284.38530752315</v>
      </c>
      <c r="B13" s="7" t="n">
        <v>46284.37847222222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130.8</v>
      </c>
    </row>
    <row r="14">
      <c r="A14" s="7" t="n">
        <v>46284.27664920139</v>
      </c>
      <c r="B14" s="7" t="n">
        <v>46284.27083333334</v>
      </c>
      <c r="C14" s="2" t="n">
        <v>440</v>
      </c>
      <c r="D14" s="2" t="n">
        <v>1</v>
      </c>
      <c r="E14" s="2" t="n">
        <v>1</v>
      </c>
      <c r="F14" s="2" t="n">
        <v>0</v>
      </c>
      <c r="G14" s="2" t="n">
        <v>127.8</v>
      </c>
    </row>
    <row r="15">
      <c r="A15" s="7" t="n">
        <v>46284.15392047453</v>
      </c>
      <c r="B15" s="7" t="n">
        <v>46284.14930555555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135.6</v>
      </c>
    </row>
    <row r="16">
      <c r="A16" s="7" t="n">
        <v>46284.02123533565</v>
      </c>
      <c r="B16" s="7" t="n">
        <v>46284.01736111111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102.8</v>
      </c>
    </row>
    <row r="17">
      <c r="A17" s="7" t="n">
        <v>46283.99753837963</v>
      </c>
      <c r="B17" s="7" t="n">
        <v>46283.99305555555</v>
      </c>
      <c r="C17" s="2" t="n">
        <v>440</v>
      </c>
      <c r="D17" s="2" t="n">
        <v>3</v>
      </c>
      <c r="E17" s="2" t="n">
        <v>3</v>
      </c>
      <c r="F17" s="2" t="n">
        <v>0</v>
      </c>
      <c r="G17" s="2" t="n">
        <v>129.8</v>
      </c>
    </row>
    <row r="18">
      <c r="A18" s="7" t="n">
        <v>46283.80859936342</v>
      </c>
      <c r="B18" s="7" t="n">
        <v>46283.80208333334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127.7</v>
      </c>
    </row>
    <row r="19">
      <c r="A19" s="7" t="n">
        <v>46283.78916202546</v>
      </c>
      <c r="B19" s="7" t="n">
        <v>46283.78472222222</v>
      </c>
      <c r="C19" s="2" t="n">
        <v>440</v>
      </c>
      <c r="D19" s="2" t="n">
        <v>2</v>
      </c>
      <c r="E19" s="2" t="n">
        <v>2</v>
      </c>
      <c r="F19" s="2" t="n">
        <v>0</v>
      </c>
      <c r="G19" s="2" t="n">
        <v>119.1</v>
      </c>
    </row>
    <row r="20">
      <c r="A20" s="7" t="n">
        <v>46283.58323265046</v>
      </c>
      <c r="B20" s="7" t="n">
        <v>46283.57638888889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126.7</v>
      </c>
    </row>
    <row r="21">
      <c r="A21" s="7" t="n">
        <v>46283.57323743056</v>
      </c>
      <c r="B21" s="7" t="n">
        <v>46283.56944444445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94.3</v>
      </c>
    </row>
    <row r="22">
      <c r="A22" s="7" t="n">
        <v>46283.45181144676</v>
      </c>
      <c r="B22" s="7" t="n">
        <v>46283.44791666666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132.3</v>
      </c>
    </row>
    <row r="23">
      <c r="A23" s="7" t="n">
        <v>46283.44134394676</v>
      </c>
      <c r="B23" s="7" t="n">
        <v>46283.4375</v>
      </c>
      <c r="C23" s="2" t="n">
        <v>440</v>
      </c>
      <c r="D23" s="2" t="n">
        <v>96</v>
      </c>
      <c r="E23" s="2" t="n">
        <v>96</v>
      </c>
      <c r="F23" s="2" t="n">
        <v>0</v>
      </c>
      <c r="G23" s="2" t="n">
        <v>373.5</v>
      </c>
    </row>
    <row r="24">
      <c r="A24" s="7" t="n">
        <v>46283.35273409722</v>
      </c>
      <c r="B24" s="7" t="n">
        <v>46283.34722222222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132.3</v>
      </c>
    </row>
    <row r="25">
      <c r="A25" s="7" t="n">
        <v>46283.26014016203</v>
      </c>
      <c r="B25" s="7" t="n">
        <v>46283.25347222222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129.5</v>
      </c>
    </row>
    <row r="26">
      <c r="A26" s="7" t="n">
        <v>46283.09637409722</v>
      </c>
      <c r="B26" s="7" t="n">
        <v>46283.09027777778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131.2</v>
      </c>
    </row>
    <row r="27">
      <c r="A27" s="7" t="n">
        <v>46282.89824439815</v>
      </c>
      <c r="B27" s="7" t="n">
        <v>46282.89236111111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137</v>
      </c>
    </row>
    <row r="28">
      <c r="A28" s="7" t="n">
        <v>46282.65711792824</v>
      </c>
      <c r="B28" s="7" t="n">
        <v>46282.65277777778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126.6</v>
      </c>
    </row>
    <row r="29">
      <c r="A29" s="7" t="n">
        <v>46282.40350203704</v>
      </c>
      <c r="B29" s="7" t="n">
        <v>46282.39930555555</v>
      </c>
      <c r="C29" s="2" t="n">
        <v>440</v>
      </c>
      <c r="D29" s="2" t="n">
        <v>69</v>
      </c>
      <c r="E29" s="2" t="n">
        <v>69</v>
      </c>
      <c r="F29" s="2" t="n">
        <v>0</v>
      </c>
      <c r="G29" s="2" t="n">
        <v>323.7</v>
      </c>
    </row>
    <row r="30">
      <c r="A30" s="7" t="n">
        <v>46282.39577758102</v>
      </c>
      <c r="B30" s="7" t="n">
        <v>46282.33333333334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50.5</v>
      </c>
    </row>
    <row r="31">
      <c r="A31" s="7" t="n">
        <v>46282.29222982639</v>
      </c>
      <c r="B31" s="7" t="n">
        <v>46282.25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66.2</v>
      </c>
    </row>
    <row r="32">
      <c r="A32" s="7" t="n">
        <v>46282.17576607639</v>
      </c>
      <c r="B32" s="7" t="n">
        <v>46282.125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67</v>
      </c>
    </row>
    <row r="33">
      <c r="A33" s="7" t="n">
        <v>46282.04552453704</v>
      </c>
      <c r="B33" s="7" t="n">
        <v>46282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52.9</v>
      </c>
    </row>
    <row r="34">
      <c r="A34" s="7" t="n">
        <v>46281.82298537037</v>
      </c>
      <c r="B34" s="7" t="n">
        <v>46281.75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65.7</v>
      </c>
    </row>
    <row r="35">
      <c r="A35" s="7" t="n">
        <v>46281.58829054398</v>
      </c>
      <c r="B35" s="7" t="n">
        <v>46281.54166666666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54.5</v>
      </c>
    </row>
    <row r="36">
      <c r="A36" s="7" t="n">
        <v>46281.35205523148</v>
      </c>
      <c r="B36" s="7" t="n">
        <v>46281.29166666666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66.90000000000001</v>
      </c>
    </row>
    <row r="37">
      <c r="A37" s="7" t="n">
        <v>46281.22963460648</v>
      </c>
      <c r="B37" s="7" t="n">
        <v>46281.16666666666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61.9</v>
      </c>
    </row>
    <row r="38">
      <c r="A38" s="7" t="n">
        <v>46281.094529375</v>
      </c>
      <c r="B38" s="7" t="n">
        <v>46281.04166666666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46.5</v>
      </c>
    </row>
    <row r="39">
      <c r="A39" s="7" t="n">
        <v>46280.9017994676</v>
      </c>
      <c r="B39" s="7" t="n">
        <v>46280.83333333334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56.7</v>
      </c>
    </row>
    <row r="40">
      <c r="A40" s="7" t="n">
        <v>46280.66002480324</v>
      </c>
      <c r="B40" s="7" t="n">
        <v>46280.58333333334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67.40000000000001</v>
      </c>
    </row>
    <row r="41">
      <c r="A41" s="7" t="n">
        <v>46280.4778358449</v>
      </c>
      <c r="B41" s="7" t="n">
        <v>46280.41666666666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61.2</v>
      </c>
    </row>
    <row r="42">
      <c r="A42" s="7" t="n">
        <v>46280.39795681713</v>
      </c>
      <c r="B42" s="7" t="n">
        <v>46280.33333333334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66.90000000000001</v>
      </c>
    </row>
    <row r="43">
      <c r="A43" s="7" t="n">
        <v>46280.29983445602</v>
      </c>
      <c r="B43" s="7" t="n">
        <v>46280.25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51.6</v>
      </c>
    </row>
    <row r="44">
      <c r="A44" s="7" t="n">
        <v>46280.14350143519</v>
      </c>
      <c r="B44" s="7" t="n">
        <v>46280.08333333334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57.3</v>
      </c>
    </row>
    <row r="45">
      <c r="A45" s="7" t="n">
        <v>46279.92418226852</v>
      </c>
      <c r="B45" s="7" t="n">
        <v>46279.875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48.1</v>
      </c>
    </row>
    <row r="46">
      <c r="A46" s="7" t="n">
        <v>46279.59996445602</v>
      </c>
      <c r="B46" s="7" t="n">
        <v>46279.54166666666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61</v>
      </c>
    </row>
    <row r="47">
      <c r="A47" s="7" t="n">
        <v>46279.38316741898</v>
      </c>
      <c r="B47" s="7" t="n">
        <v>46279.33333333334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59.9</v>
      </c>
    </row>
    <row r="48">
      <c r="A48" s="7" t="n">
        <v>46279.26932584491</v>
      </c>
      <c r="B48" s="7" t="n">
        <v>46279.20833333334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61.1</v>
      </c>
    </row>
    <row r="49">
      <c r="A49" s="7" t="n">
        <v>46279.14665413195</v>
      </c>
      <c r="B49" s="7" t="n">
        <v>46279.08333333334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55.1</v>
      </c>
    </row>
    <row r="50">
      <c r="A50" s="7" t="n">
        <v>46279.01733591435</v>
      </c>
      <c r="B50" s="7" t="n">
        <v>46278.95833333334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59.7</v>
      </c>
    </row>
    <row r="51">
      <c r="A51" s="7" t="n">
        <v>46278.83725055555</v>
      </c>
      <c r="B51" s="7" t="n">
        <v>46278.79166666666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65.40000000000001</v>
      </c>
    </row>
    <row r="52">
      <c r="A52" s="7" t="n">
        <v>46278.71111972223</v>
      </c>
      <c r="B52" s="7" t="n">
        <v>46278.66666666666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63.6</v>
      </c>
    </row>
    <row r="53">
      <c r="A53" s="7" t="n">
        <v>46278.68053923611</v>
      </c>
      <c r="B53" s="7" t="n">
        <v>46278.625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63.6</v>
      </c>
    </row>
    <row r="54">
      <c r="A54" s="7" t="n">
        <v>46278.07354997685</v>
      </c>
      <c r="B54" s="7" t="n">
        <v>46278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50.2</v>
      </c>
    </row>
    <row r="55">
      <c r="A55" s="7" t="n">
        <v>46277.94390239583</v>
      </c>
      <c r="B55" s="7" t="n">
        <v>46277.875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資金明細!R232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MAX(資金明細!$R$2:$R$232)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MIN(資金明細!$R$2:$R$232)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MIN(資金明細!$X$2:$X$232)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COUNTIFS(資金明細!$C$2:$C$232,"進場",資金明細!$N$2:$N$232,"已下單")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COUNTIFS(資金明細!$C$2:$C$232,"進場",資金明細!$N$2:$N$232,"資金不足略過")</f>
        <v/>
      </c>
    </row>
    <row r="11">
      <c r="D11" s="2" t="inlineStr">
        <is>
          <t>止盈筆數</t>
        </is>
      </c>
      <c r="E11" s="15">
        <f>COUNTIFS(資金明細!$C$2:$C$232,"出場",資金明細!$N$2:$N$232,"已下單",資金明細!$K$2:$K$232,"止盈")</f>
        <v/>
      </c>
    </row>
    <row r="12">
      <c r="A12" s="2" t="inlineStr">
        <is>
          <t>每筆止損約虧本金</t>
        </is>
      </c>
      <c r="B12" s="4">
        <f>B5*B7*IFERROR(AVERAGE(交易明細!$AB$2:$AB$116),參數!B6)</f>
        <v/>
      </c>
      <c r="D12" s="2" t="inlineStr">
        <is>
          <t>止損筆數</t>
        </is>
      </c>
      <c r="E12" s="15">
        <f>COUNTIFS(資金明細!$C$2:$C$232,"出場",資金明細!$N$2:$N$232,"已下單",資金明細!$K$2:$K$232,"止損")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IFERROR(E11/COUNTIFS(資金明細!$C$2:$C$232,"出場",資金明細!$N$2:$N$232,"已下單"),0)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MAX(資金明細!$U$2:$U$232)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MAX(資金明細!$S$2:$S$232)</f>
        <v/>
      </c>
    </row>
    <row r="16">
      <c r="D16" s="2" t="inlineStr">
        <is>
          <t>期末下單金額</t>
        </is>
      </c>
      <c r="E16" s="16">
        <f>B5*資金明細!V232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MAX(資金明細!$Y$2:$Y$232)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IFERROR(INDEX(資金明細!$B$2:$B$232,MATCH(1,資金明細!$Z$2:$Z$232,0)),"未觸發")</f>
        <v/>
      </c>
    </row>
    <row r="21">
      <c r="D21" s="2" t="inlineStr">
        <is>
          <t>停止後略過筆數</t>
        </is>
      </c>
      <c r="E21" s="15">
        <f>COUNTIFS(資金明細!$C$2:$C$232,"進場",資金明細!$N$2:$N$232,"已停止")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</sheetData>
  <autoFilter ref="A1:Z232"/>
  <conditionalFormatting sqref="K2:K23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3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3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00:51（Dry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IFERROR(AVERAGE(交易明細!$AC$2:$AC$116),(B6+2*B7)/(B5+B6))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</sheetData>
  <autoFilter ref="A1:AM116"/>
  <conditionalFormatting sqref="J2:J11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COUNTIFS(交易明細!$B$2:$B$116,$A2)</f>
        <v/>
      </c>
      <c r="C2" s="2">
        <f>COUNTIFS(交易明細!$B$2:$B$116,$A2,交易明細!$C$2:$C$116,"做多")</f>
        <v/>
      </c>
      <c r="D2" s="2">
        <f>COUNTIFS(交易明細!$B$2:$B$116,$A2,交易明細!$C$2:$C$116,"做空")</f>
        <v/>
      </c>
      <c r="E2" s="2">
        <f>F2+G2+COUNTIFS(交易明細!$B$2:$B$116,$A2,交易明細!$J$2:$J$116,"時間出場")</f>
        <v/>
      </c>
      <c r="F2" s="2">
        <f>COUNTIFS(交易明細!$B$2:$B$116,$A2,交易明細!$J$2:$J$116,"止盈")</f>
        <v/>
      </c>
      <c r="G2" s="2">
        <f>COUNTIFS(交易明細!$B$2:$B$116,$A2,交易明細!$J$2:$J$116,"止損")</f>
        <v/>
      </c>
      <c r="H2" s="4">
        <f>IFERROR(F2/E2,0)</f>
        <v/>
      </c>
      <c r="I2" s="4">
        <f>IFERROR(AVERAGEIFS(交易明細!$L$2:$L$116,交易明細!$B$2:$B$116,$A2,交易明細!$J$2:$J$116,"&lt;&gt;未平倉"),0)</f>
        <v/>
      </c>
      <c r="J2" s="4">
        <f>SUMIFS(交易明細!$L$2:$L$116,交易明細!$B$2:$B$116,$A2,交易明細!$J$2:$J$116,"&lt;&gt;未平倉")</f>
        <v/>
      </c>
      <c r="K2" s="5">
        <f>IFERROR(AVERAGEIFS(交易明細!$K$2:$K$116,交易明細!$B$2:$B$116,$A2,交易明細!$J$2:$J$116,"&lt;&gt;未平倉"),0)</f>
        <v/>
      </c>
      <c r="L2" s="2">
        <f>COUNTIFS(交易明細!$B$2:$B$116,$A2,交易明細!$J$2:$J$116,"未平倉")</f>
        <v/>
      </c>
    </row>
    <row r="3">
      <c r="A3" s="2" t="inlineStr">
        <is>
          <t>4_USDT_PERP</t>
        </is>
      </c>
      <c r="B3" s="2">
        <f>COUNTIFS(交易明細!$B$2:$B$116,$A3)</f>
        <v/>
      </c>
      <c r="C3" s="2">
        <f>COUNTIFS(交易明細!$B$2:$B$116,$A3,交易明細!$C$2:$C$116,"做多")</f>
        <v/>
      </c>
      <c r="D3" s="2">
        <f>COUNTIFS(交易明細!$B$2:$B$116,$A3,交易明細!$C$2:$C$116,"做空")</f>
        <v/>
      </c>
      <c r="E3" s="2">
        <f>F3+G3+COUNTIFS(交易明細!$B$2:$B$116,$A3,交易明細!$J$2:$J$116,"時間出場")</f>
        <v/>
      </c>
      <c r="F3" s="2">
        <f>COUNTIFS(交易明細!$B$2:$B$116,$A3,交易明細!$J$2:$J$116,"止盈")</f>
        <v/>
      </c>
      <c r="G3" s="2">
        <f>COUNTIFS(交易明細!$B$2:$B$116,$A3,交易明細!$J$2:$J$116,"止損")</f>
        <v/>
      </c>
      <c r="H3" s="4">
        <f>IFERROR(F3/E3,0)</f>
        <v/>
      </c>
      <c r="I3" s="4">
        <f>IFERROR(AVERAGEIFS(交易明細!$L$2:$L$116,交易明細!$B$2:$B$116,$A3,交易明細!$J$2:$J$116,"&lt;&gt;未平倉"),0)</f>
        <v/>
      </c>
      <c r="J3" s="4">
        <f>SUMIFS(交易明細!$L$2:$L$116,交易明細!$B$2:$B$116,$A3,交易明細!$J$2:$J$116,"&lt;&gt;未平倉")</f>
        <v/>
      </c>
      <c r="K3" s="5">
        <f>IFERROR(AVERAGEIFS(交易明細!$K$2:$K$116,交易明細!$B$2:$B$116,$A3,交易明細!$J$2:$J$116,"&lt;&gt;未平倉"),0)</f>
        <v/>
      </c>
      <c r="L3" s="2">
        <f>COUNTIFS(交易明細!$B$2:$B$116,$A3,交易明細!$J$2:$J$116,"未平倉")</f>
        <v/>
      </c>
    </row>
    <row r="4">
      <c r="A4" s="2" t="inlineStr">
        <is>
          <t>AGT_USDT_PERP</t>
        </is>
      </c>
      <c r="B4" s="2">
        <f>COUNTIFS(交易明細!$B$2:$B$116,$A4)</f>
        <v/>
      </c>
      <c r="C4" s="2">
        <f>COUNTIFS(交易明細!$B$2:$B$116,$A4,交易明細!$C$2:$C$116,"做多")</f>
        <v/>
      </c>
      <c r="D4" s="2">
        <f>COUNTIFS(交易明細!$B$2:$B$116,$A4,交易明細!$C$2:$C$116,"做空")</f>
        <v/>
      </c>
      <c r="E4" s="2">
        <f>F4+G4+COUNTIFS(交易明細!$B$2:$B$116,$A4,交易明細!$J$2:$J$116,"時間出場")</f>
        <v/>
      </c>
      <c r="F4" s="2">
        <f>COUNTIFS(交易明細!$B$2:$B$116,$A4,交易明細!$J$2:$J$116,"止盈")</f>
        <v/>
      </c>
      <c r="G4" s="2">
        <f>COUNTIFS(交易明細!$B$2:$B$116,$A4,交易明細!$J$2:$J$116,"止損")</f>
        <v/>
      </c>
      <c r="H4" s="4">
        <f>IFERROR(F4/E4,0)</f>
        <v/>
      </c>
      <c r="I4" s="4">
        <f>IFERROR(AVERAGEIFS(交易明細!$L$2:$L$116,交易明細!$B$2:$B$116,$A4,交易明細!$J$2:$J$116,"&lt;&gt;未平倉"),0)</f>
        <v/>
      </c>
      <c r="J4" s="4">
        <f>SUMIFS(交易明細!$L$2:$L$116,交易明細!$B$2:$B$116,$A4,交易明細!$J$2:$J$116,"&lt;&gt;未平倉")</f>
        <v/>
      </c>
      <c r="K4" s="5">
        <f>IFERROR(AVERAGEIFS(交易明細!$K$2:$K$116,交易明細!$B$2:$B$116,$A4,交易明細!$J$2:$J$116,"&lt;&gt;未平倉"),0)</f>
        <v/>
      </c>
      <c r="L4" s="2">
        <f>COUNTIFS(交易明細!$B$2:$B$116,$A4,交易明細!$J$2:$J$116,"未平倉")</f>
        <v/>
      </c>
    </row>
    <row r="5">
      <c r="A5" s="2" t="inlineStr">
        <is>
          <t>FF_USDT_PERP</t>
        </is>
      </c>
      <c r="B5" s="2">
        <f>COUNTIFS(交易明細!$B$2:$B$116,$A5)</f>
        <v/>
      </c>
      <c r="C5" s="2">
        <f>COUNTIFS(交易明細!$B$2:$B$116,$A5,交易明細!$C$2:$C$116,"做多")</f>
        <v/>
      </c>
      <c r="D5" s="2">
        <f>COUNTIFS(交易明細!$B$2:$B$116,$A5,交易明細!$C$2:$C$116,"做空")</f>
        <v/>
      </c>
      <c r="E5" s="2">
        <f>F5+G5+COUNTIFS(交易明細!$B$2:$B$116,$A5,交易明細!$J$2:$J$116,"時間出場")</f>
        <v/>
      </c>
      <c r="F5" s="2">
        <f>COUNTIFS(交易明細!$B$2:$B$116,$A5,交易明細!$J$2:$J$116,"止盈")</f>
        <v/>
      </c>
      <c r="G5" s="2">
        <f>COUNTIFS(交易明細!$B$2:$B$116,$A5,交易明細!$J$2:$J$116,"止損")</f>
        <v/>
      </c>
      <c r="H5" s="4">
        <f>IFERROR(F5/E5,0)</f>
        <v/>
      </c>
      <c r="I5" s="4">
        <f>IFERROR(AVERAGEIFS(交易明細!$L$2:$L$116,交易明細!$B$2:$B$116,$A5,交易明細!$J$2:$J$116,"&lt;&gt;未平倉"),0)</f>
        <v/>
      </c>
      <c r="J5" s="4">
        <f>SUMIFS(交易明細!$L$2:$L$116,交易明細!$B$2:$B$116,$A5,交易明細!$J$2:$J$116,"&lt;&gt;未平倉")</f>
        <v/>
      </c>
      <c r="K5" s="5">
        <f>IFERROR(AVERAGEIFS(交易明細!$K$2:$K$116,交易明細!$B$2:$B$116,$A5,交易明細!$J$2:$J$116,"&lt;&gt;未平倉"),0)</f>
        <v/>
      </c>
      <c r="L5" s="2">
        <f>COUNTIFS(交易明細!$B$2:$B$116,$A5,交易明細!$J$2:$J$116,"未平倉")</f>
        <v/>
      </c>
    </row>
    <row r="6">
      <c r="A6" s="2" t="inlineStr">
        <is>
          <t>APR_USDT_PERP</t>
        </is>
      </c>
      <c r="B6" s="2">
        <f>COUNTIFS(交易明細!$B$2:$B$116,$A6)</f>
        <v/>
      </c>
      <c r="C6" s="2">
        <f>COUNTIFS(交易明細!$B$2:$B$116,$A6,交易明細!$C$2:$C$116,"做多")</f>
        <v/>
      </c>
      <c r="D6" s="2">
        <f>COUNTIFS(交易明細!$B$2:$B$116,$A6,交易明細!$C$2:$C$116,"做空")</f>
        <v/>
      </c>
      <c r="E6" s="2">
        <f>F6+G6+COUNTIFS(交易明細!$B$2:$B$116,$A6,交易明細!$J$2:$J$116,"時間出場")</f>
        <v/>
      </c>
      <c r="F6" s="2">
        <f>COUNTIFS(交易明細!$B$2:$B$116,$A6,交易明細!$J$2:$J$116,"止盈")</f>
        <v/>
      </c>
      <c r="G6" s="2">
        <f>COUNTIFS(交易明細!$B$2:$B$116,$A6,交易明細!$J$2:$J$116,"止損")</f>
        <v/>
      </c>
      <c r="H6" s="4">
        <f>IFERROR(F6/E6,0)</f>
        <v/>
      </c>
      <c r="I6" s="4">
        <f>IFERROR(AVERAGEIFS(交易明細!$L$2:$L$116,交易明細!$B$2:$B$116,$A6,交易明細!$J$2:$J$116,"&lt;&gt;未平倉"),0)</f>
        <v/>
      </c>
      <c r="J6" s="4">
        <f>SUMIFS(交易明細!$L$2:$L$116,交易明細!$B$2:$B$116,$A6,交易明細!$J$2:$J$116,"&lt;&gt;未平倉")</f>
        <v/>
      </c>
      <c r="K6" s="5">
        <f>IFERROR(AVERAGEIFS(交易明細!$K$2:$K$116,交易明細!$B$2:$B$116,$A6,交易明細!$J$2:$J$116,"&lt;&gt;未平倉"),0)</f>
        <v/>
      </c>
      <c r="L6" s="2">
        <f>COUNTIFS(交易明細!$B$2:$B$116,$A6,交易明細!$J$2:$J$116,"未平倉")</f>
        <v/>
      </c>
    </row>
    <row r="7">
      <c r="A7" s="2" t="inlineStr">
        <is>
          <t>哈基米_USDT_PERP</t>
        </is>
      </c>
      <c r="B7" s="2">
        <f>COUNTIFS(交易明細!$B$2:$B$116,$A7)</f>
        <v/>
      </c>
      <c r="C7" s="2">
        <f>COUNTIFS(交易明細!$B$2:$B$116,$A7,交易明細!$C$2:$C$116,"做多")</f>
        <v/>
      </c>
      <c r="D7" s="2">
        <f>COUNTIFS(交易明細!$B$2:$B$116,$A7,交易明細!$C$2:$C$116,"做空")</f>
        <v/>
      </c>
      <c r="E7" s="2">
        <f>F7+G7+COUNTIFS(交易明細!$B$2:$B$116,$A7,交易明細!$J$2:$J$116,"時間出場")</f>
        <v/>
      </c>
      <c r="F7" s="2">
        <f>COUNTIFS(交易明細!$B$2:$B$116,$A7,交易明細!$J$2:$J$116,"止盈")</f>
        <v/>
      </c>
      <c r="G7" s="2">
        <f>COUNTIFS(交易明細!$B$2:$B$116,$A7,交易明細!$J$2:$J$116,"止損")</f>
        <v/>
      </c>
      <c r="H7" s="4">
        <f>IFERROR(F7/E7,0)</f>
        <v/>
      </c>
      <c r="I7" s="4">
        <f>IFERROR(AVERAGEIFS(交易明細!$L$2:$L$116,交易明細!$B$2:$B$116,$A7,交易明細!$J$2:$J$116,"&lt;&gt;未平倉"),0)</f>
        <v/>
      </c>
      <c r="J7" s="4">
        <f>SUMIFS(交易明細!$L$2:$L$116,交易明細!$B$2:$B$116,$A7,交易明細!$J$2:$J$116,"&lt;&gt;未平倉")</f>
        <v/>
      </c>
      <c r="K7" s="5">
        <f>IFERROR(AVERAGEIFS(交易明細!$K$2:$K$116,交易明細!$B$2:$B$116,$A7,交易明細!$J$2:$J$116,"&lt;&gt;未平倉"),0)</f>
        <v/>
      </c>
      <c r="L7" s="2">
        <f>COUNTIFS(交易明細!$B$2:$B$116,$A7,交易明細!$J$2:$J$116,"未平倉")</f>
        <v/>
      </c>
    </row>
    <row r="8">
      <c r="A8" s="2" t="inlineStr">
        <is>
          <t>POWR_USDT_PERP</t>
        </is>
      </c>
      <c r="B8" s="2">
        <f>COUNTIFS(交易明細!$B$2:$B$116,$A8)</f>
        <v/>
      </c>
      <c r="C8" s="2">
        <f>COUNTIFS(交易明細!$B$2:$B$116,$A8,交易明細!$C$2:$C$116,"做多")</f>
        <v/>
      </c>
      <c r="D8" s="2">
        <f>COUNTIFS(交易明細!$B$2:$B$116,$A8,交易明細!$C$2:$C$116,"做空")</f>
        <v/>
      </c>
      <c r="E8" s="2">
        <f>F8+G8+COUNTIFS(交易明細!$B$2:$B$116,$A8,交易明細!$J$2:$J$116,"時間出場")</f>
        <v/>
      </c>
      <c r="F8" s="2">
        <f>COUNTIFS(交易明細!$B$2:$B$116,$A8,交易明細!$J$2:$J$116,"止盈")</f>
        <v/>
      </c>
      <c r="G8" s="2">
        <f>COUNTIFS(交易明細!$B$2:$B$116,$A8,交易明細!$J$2:$J$116,"止損")</f>
        <v/>
      </c>
      <c r="H8" s="4">
        <f>IFERROR(F8/E8,0)</f>
        <v/>
      </c>
      <c r="I8" s="4">
        <f>IFERROR(AVERAGEIFS(交易明細!$L$2:$L$116,交易明細!$B$2:$B$116,$A8,交易明細!$J$2:$J$116,"&lt;&gt;未平倉"),0)</f>
        <v/>
      </c>
      <c r="J8" s="4">
        <f>SUMIFS(交易明細!$L$2:$L$116,交易明細!$B$2:$B$116,$A8,交易明細!$J$2:$J$116,"&lt;&gt;未平倉")</f>
        <v/>
      </c>
      <c r="K8" s="5">
        <f>IFERROR(AVERAGEIFS(交易明細!$K$2:$K$116,交易明細!$B$2:$B$116,$A8,交易明細!$J$2:$J$116,"&lt;&gt;未平倉"),0)</f>
        <v/>
      </c>
      <c r="L8" s="2">
        <f>COUNTIFS(交易明細!$B$2:$B$116,$A8,交易明細!$J$2:$J$116,"未平倉")</f>
        <v/>
      </c>
    </row>
    <row r="9">
      <c r="A9" s="2" t="inlineStr">
        <is>
          <t>ZEST_USDT_PERP</t>
        </is>
      </c>
      <c r="B9" s="2">
        <f>COUNTIFS(交易明細!$B$2:$B$116,$A9)</f>
        <v/>
      </c>
      <c r="C9" s="2">
        <f>COUNTIFS(交易明細!$B$2:$B$116,$A9,交易明細!$C$2:$C$116,"做多")</f>
        <v/>
      </c>
      <c r="D9" s="2">
        <f>COUNTIFS(交易明細!$B$2:$B$116,$A9,交易明細!$C$2:$C$116,"做空")</f>
        <v/>
      </c>
      <c r="E9" s="2">
        <f>F9+G9+COUNTIFS(交易明細!$B$2:$B$116,$A9,交易明細!$J$2:$J$116,"時間出場")</f>
        <v/>
      </c>
      <c r="F9" s="2">
        <f>COUNTIFS(交易明細!$B$2:$B$116,$A9,交易明細!$J$2:$J$116,"止盈")</f>
        <v/>
      </c>
      <c r="G9" s="2">
        <f>COUNTIFS(交易明細!$B$2:$B$116,$A9,交易明細!$J$2:$J$116,"止損")</f>
        <v/>
      </c>
      <c r="H9" s="4">
        <f>IFERROR(F9/E9,0)</f>
        <v/>
      </c>
      <c r="I9" s="4">
        <f>IFERROR(AVERAGEIFS(交易明細!$L$2:$L$116,交易明細!$B$2:$B$116,$A9,交易明細!$J$2:$J$116,"&lt;&gt;未平倉"),0)</f>
        <v/>
      </c>
      <c r="J9" s="4">
        <f>SUMIFS(交易明細!$L$2:$L$116,交易明細!$B$2:$B$116,$A9,交易明細!$J$2:$J$116,"&lt;&gt;未平倉")</f>
        <v/>
      </c>
      <c r="K9" s="5">
        <f>IFERROR(AVERAGEIFS(交易明細!$K$2:$K$116,交易明細!$B$2:$B$116,$A9,交易明細!$J$2:$J$116,"&lt;&gt;未平倉"),0)</f>
        <v/>
      </c>
      <c r="L9" s="2">
        <f>COUNTIFS(交易明細!$B$2:$B$116,$A9,交易明細!$J$2:$J$116,"未平倉")</f>
        <v/>
      </c>
    </row>
    <row r="10">
      <c r="A10" s="2" t="inlineStr">
        <is>
          <t>TRIA_USDT_PERP</t>
        </is>
      </c>
      <c r="B10" s="2">
        <f>COUNTIFS(交易明細!$B$2:$B$116,$A10)</f>
        <v/>
      </c>
      <c r="C10" s="2">
        <f>COUNTIFS(交易明細!$B$2:$B$116,$A10,交易明細!$C$2:$C$116,"做多")</f>
        <v/>
      </c>
      <c r="D10" s="2">
        <f>COUNTIFS(交易明細!$B$2:$B$116,$A10,交易明細!$C$2:$C$116,"做空")</f>
        <v/>
      </c>
      <c r="E10" s="2">
        <f>F10+G10+COUNTIFS(交易明細!$B$2:$B$116,$A10,交易明細!$J$2:$J$116,"時間出場")</f>
        <v/>
      </c>
      <c r="F10" s="2">
        <f>COUNTIFS(交易明細!$B$2:$B$116,$A10,交易明細!$J$2:$J$116,"止盈")</f>
        <v/>
      </c>
      <c r="G10" s="2">
        <f>COUNTIFS(交易明細!$B$2:$B$116,$A10,交易明細!$J$2:$J$116,"止損")</f>
        <v/>
      </c>
      <c r="H10" s="4">
        <f>IFERROR(F10/E10,0)</f>
        <v/>
      </c>
      <c r="I10" s="4">
        <f>IFERROR(AVERAGEIFS(交易明細!$L$2:$L$116,交易明細!$B$2:$B$116,$A10,交易明細!$J$2:$J$116,"&lt;&gt;未平倉"),0)</f>
        <v/>
      </c>
      <c r="J10" s="4">
        <f>SUMIFS(交易明細!$L$2:$L$116,交易明細!$B$2:$B$116,$A10,交易明細!$J$2:$J$116,"&lt;&gt;未平倉")</f>
        <v/>
      </c>
      <c r="K10" s="5">
        <f>IFERROR(AVERAGEIFS(交易明細!$K$2:$K$116,交易明細!$B$2:$B$116,$A10,交易明細!$J$2:$J$116,"&lt;&gt;未平倉"),0)</f>
        <v/>
      </c>
      <c r="L10" s="2">
        <f>COUNTIFS(交易明細!$B$2:$B$116,$A10,交易明細!$J$2:$J$116,"未平倉")</f>
        <v/>
      </c>
    </row>
    <row r="11">
      <c r="A11" s="2" t="inlineStr">
        <is>
          <t>PTB_USDT_PERP</t>
        </is>
      </c>
      <c r="B11" s="2">
        <f>COUNTIFS(交易明細!$B$2:$B$116,$A11)</f>
        <v/>
      </c>
      <c r="C11" s="2">
        <f>COUNTIFS(交易明細!$B$2:$B$116,$A11,交易明細!$C$2:$C$116,"做多")</f>
        <v/>
      </c>
      <c r="D11" s="2">
        <f>COUNTIFS(交易明細!$B$2:$B$116,$A11,交易明細!$C$2:$C$116,"做空")</f>
        <v/>
      </c>
      <c r="E11" s="2">
        <f>F11+G11+COUNTIFS(交易明細!$B$2:$B$116,$A11,交易明細!$J$2:$J$116,"時間出場")</f>
        <v/>
      </c>
      <c r="F11" s="2">
        <f>COUNTIFS(交易明細!$B$2:$B$116,$A11,交易明細!$J$2:$J$116,"止盈")</f>
        <v/>
      </c>
      <c r="G11" s="2">
        <f>COUNTIFS(交易明細!$B$2:$B$116,$A11,交易明細!$J$2:$J$116,"止損")</f>
        <v/>
      </c>
      <c r="H11" s="4">
        <f>IFERROR(F11/E11,0)</f>
        <v/>
      </c>
      <c r="I11" s="4">
        <f>IFERROR(AVERAGEIFS(交易明細!$L$2:$L$116,交易明細!$B$2:$B$116,$A11,交易明細!$J$2:$J$116,"&lt;&gt;未平倉"),0)</f>
        <v/>
      </c>
      <c r="J11" s="4">
        <f>SUMIFS(交易明細!$L$2:$L$116,交易明細!$B$2:$B$116,$A11,交易明細!$J$2:$J$116,"&lt;&gt;未平倉")</f>
        <v/>
      </c>
      <c r="K11" s="5">
        <f>IFERROR(AVERAGEIFS(交易明細!$K$2:$K$116,交易明細!$B$2:$B$116,$A11,交易明細!$J$2:$J$116,"&lt;&gt;未平倉"),0)</f>
        <v/>
      </c>
      <c r="L11" s="2">
        <f>COUNTIFS(交易明細!$B$2:$B$116,$A11,交易明細!$J$2:$J$116,"未平倉")</f>
        <v/>
      </c>
    </row>
    <row r="12">
      <c r="A12" s="2" t="inlineStr">
        <is>
          <t>NOM_USDT_PERP</t>
        </is>
      </c>
      <c r="B12" s="2">
        <f>COUNTIFS(交易明細!$B$2:$B$116,$A12)</f>
        <v/>
      </c>
      <c r="C12" s="2">
        <f>COUNTIFS(交易明細!$B$2:$B$116,$A12,交易明細!$C$2:$C$116,"做多")</f>
        <v/>
      </c>
      <c r="D12" s="2">
        <f>COUNTIFS(交易明細!$B$2:$B$116,$A12,交易明細!$C$2:$C$116,"做空")</f>
        <v/>
      </c>
      <c r="E12" s="2">
        <f>F12+G12+COUNTIFS(交易明細!$B$2:$B$116,$A12,交易明細!$J$2:$J$116,"時間出場")</f>
        <v/>
      </c>
      <c r="F12" s="2">
        <f>COUNTIFS(交易明細!$B$2:$B$116,$A12,交易明細!$J$2:$J$116,"止盈")</f>
        <v/>
      </c>
      <c r="G12" s="2">
        <f>COUNTIFS(交易明細!$B$2:$B$116,$A12,交易明細!$J$2:$J$116,"止損")</f>
        <v/>
      </c>
      <c r="H12" s="4">
        <f>IFERROR(F12/E12,0)</f>
        <v/>
      </c>
      <c r="I12" s="4">
        <f>IFERROR(AVERAGEIFS(交易明細!$L$2:$L$116,交易明細!$B$2:$B$116,$A12,交易明細!$J$2:$J$116,"&lt;&gt;未平倉"),0)</f>
        <v/>
      </c>
      <c r="J12" s="4">
        <f>SUMIFS(交易明細!$L$2:$L$116,交易明細!$B$2:$B$116,$A12,交易明細!$J$2:$J$116,"&lt;&gt;未平倉")</f>
        <v/>
      </c>
      <c r="K12" s="5">
        <f>IFERROR(AVERAGEIFS(交易明細!$K$2:$K$116,交易明細!$B$2:$B$116,$A12,交易明細!$J$2:$J$116,"&lt;&gt;未平倉"),0)</f>
        <v/>
      </c>
      <c r="L12" s="2">
        <f>COUNTIFS(交易明細!$B$2:$B$116,$A12,交易明細!$J$2:$J$116,"未平倉")</f>
        <v/>
      </c>
    </row>
    <row r="13">
      <c r="A13" s="2" t="inlineStr">
        <is>
          <t>B_USDT_PERP</t>
        </is>
      </c>
      <c r="B13" s="2">
        <f>COUNTIFS(交易明細!$B$2:$B$116,$A13)</f>
        <v/>
      </c>
      <c r="C13" s="2">
        <f>COUNTIFS(交易明細!$B$2:$B$116,$A13,交易明細!$C$2:$C$116,"做多")</f>
        <v/>
      </c>
      <c r="D13" s="2">
        <f>COUNTIFS(交易明細!$B$2:$B$116,$A13,交易明細!$C$2:$C$116,"做空")</f>
        <v/>
      </c>
      <c r="E13" s="2">
        <f>F13+G13+COUNTIFS(交易明細!$B$2:$B$116,$A13,交易明細!$J$2:$J$116,"時間出場")</f>
        <v/>
      </c>
      <c r="F13" s="2">
        <f>COUNTIFS(交易明細!$B$2:$B$116,$A13,交易明細!$J$2:$J$116,"止盈")</f>
        <v/>
      </c>
      <c r="G13" s="2">
        <f>COUNTIFS(交易明細!$B$2:$B$116,$A13,交易明細!$J$2:$J$116,"止損")</f>
        <v/>
      </c>
      <c r="H13" s="4">
        <f>IFERROR(F13/E13,0)</f>
        <v/>
      </c>
      <c r="I13" s="4">
        <f>IFERROR(AVERAGEIFS(交易明細!$L$2:$L$116,交易明細!$B$2:$B$116,$A13,交易明細!$J$2:$J$116,"&lt;&gt;未平倉"),0)</f>
        <v/>
      </c>
      <c r="J13" s="4">
        <f>SUMIFS(交易明細!$L$2:$L$116,交易明細!$B$2:$B$116,$A13,交易明細!$J$2:$J$116,"&lt;&gt;未平倉")</f>
        <v/>
      </c>
      <c r="K13" s="5">
        <f>IFERROR(AVERAGEIFS(交易明細!$K$2:$K$116,交易明細!$B$2:$B$116,$A13,交易明細!$J$2:$J$116,"&lt;&gt;未平倉"),0)</f>
        <v/>
      </c>
      <c r="L13" s="2">
        <f>COUNTIFS(交易明細!$B$2:$B$116,$A13,交易明細!$J$2:$J$116,"未平倉")</f>
        <v/>
      </c>
    </row>
    <row r="14">
      <c r="A14" s="2" t="inlineStr">
        <is>
          <t>NAORIS_USDT_PERP</t>
        </is>
      </c>
      <c r="B14" s="2">
        <f>COUNTIFS(交易明細!$B$2:$B$116,$A14)</f>
        <v/>
      </c>
      <c r="C14" s="2">
        <f>COUNTIFS(交易明細!$B$2:$B$116,$A14,交易明細!$C$2:$C$116,"做多")</f>
        <v/>
      </c>
      <c r="D14" s="2">
        <f>COUNTIFS(交易明細!$B$2:$B$116,$A14,交易明細!$C$2:$C$116,"做空")</f>
        <v/>
      </c>
      <c r="E14" s="2">
        <f>F14+G14+COUNTIFS(交易明細!$B$2:$B$116,$A14,交易明細!$J$2:$J$116,"時間出場")</f>
        <v/>
      </c>
      <c r="F14" s="2">
        <f>COUNTIFS(交易明細!$B$2:$B$116,$A14,交易明細!$J$2:$J$116,"止盈")</f>
        <v/>
      </c>
      <c r="G14" s="2">
        <f>COUNTIFS(交易明細!$B$2:$B$116,$A14,交易明細!$J$2:$J$116,"止損")</f>
        <v/>
      </c>
      <c r="H14" s="4">
        <f>IFERROR(F14/E14,0)</f>
        <v/>
      </c>
      <c r="I14" s="4">
        <f>IFERROR(AVERAGEIFS(交易明細!$L$2:$L$116,交易明細!$B$2:$B$116,$A14,交易明細!$J$2:$J$116,"&lt;&gt;未平倉"),0)</f>
        <v/>
      </c>
      <c r="J14" s="4">
        <f>SUMIFS(交易明細!$L$2:$L$116,交易明細!$B$2:$B$116,$A14,交易明細!$J$2:$J$116,"&lt;&gt;未平倉")</f>
        <v/>
      </c>
      <c r="K14" s="5">
        <f>IFERROR(AVERAGEIFS(交易明細!$K$2:$K$116,交易明細!$B$2:$B$116,$A14,交易明細!$J$2:$J$116,"&lt;&gt;未平倉"),0)</f>
        <v/>
      </c>
      <c r="L14" s="2">
        <f>COUNTIFS(交易明細!$B$2:$B$116,$A14,交易明細!$J$2:$J$116,"未平倉")</f>
        <v/>
      </c>
    </row>
    <row r="15">
      <c r="A15" s="2" t="inlineStr">
        <is>
          <t>MOODENG_USDT_PERP</t>
        </is>
      </c>
      <c r="B15" s="2">
        <f>COUNTIFS(交易明細!$B$2:$B$116,$A15)</f>
        <v/>
      </c>
      <c r="C15" s="2">
        <f>COUNTIFS(交易明細!$B$2:$B$116,$A15,交易明細!$C$2:$C$116,"做多")</f>
        <v/>
      </c>
      <c r="D15" s="2">
        <f>COUNTIFS(交易明細!$B$2:$B$116,$A15,交易明細!$C$2:$C$116,"做空")</f>
        <v/>
      </c>
      <c r="E15" s="2">
        <f>F15+G15+COUNTIFS(交易明細!$B$2:$B$116,$A15,交易明細!$J$2:$J$116,"時間出場")</f>
        <v/>
      </c>
      <c r="F15" s="2">
        <f>COUNTIFS(交易明細!$B$2:$B$116,$A15,交易明細!$J$2:$J$116,"止盈")</f>
        <v/>
      </c>
      <c r="G15" s="2">
        <f>COUNTIFS(交易明細!$B$2:$B$116,$A15,交易明細!$J$2:$J$116,"止損")</f>
        <v/>
      </c>
      <c r="H15" s="4">
        <f>IFERROR(F15/E15,0)</f>
        <v/>
      </c>
      <c r="I15" s="4">
        <f>IFERROR(AVERAGEIFS(交易明細!$L$2:$L$116,交易明細!$B$2:$B$116,$A15,交易明細!$J$2:$J$116,"&lt;&gt;未平倉"),0)</f>
        <v/>
      </c>
      <c r="J15" s="4">
        <f>SUMIFS(交易明細!$L$2:$L$116,交易明細!$B$2:$B$116,$A15,交易明細!$J$2:$J$116,"&lt;&gt;未平倉")</f>
        <v/>
      </c>
      <c r="K15" s="5">
        <f>IFERROR(AVERAGEIFS(交易明細!$K$2:$K$116,交易明細!$B$2:$B$116,$A15,交易明細!$J$2:$J$116,"&lt;&gt;未平倉"),0)</f>
        <v/>
      </c>
      <c r="L15" s="2">
        <f>COUNTIFS(交易明細!$B$2:$B$116,$A15,交易明細!$J$2:$J$116,"未平倉")</f>
        <v/>
      </c>
    </row>
    <row r="16">
      <c r="A16" s="2" t="inlineStr">
        <is>
          <t>SUSHI_USDT_PERP</t>
        </is>
      </c>
      <c r="B16" s="2">
        <f>COUNTIFS(交易明細!$B$2:$B$116,$A16)</f>
        <v/>
      </c>
      <c r="C16" s="2">
        <f>COUNTIFS(交易明細!$B$2:$B$116,$A16,交易明細!$C$2:$C$116,"做多")</f>
        <v/>
      </c>
      <c r="D16" s="2">
        <f>COUNTIFS(交易明細!$B$2:$B$116,$A16,交易明細!$C$2:$C$116,"做空")</f>
        <v/>
      </c>
      <c r="E16" s="2">
        <f>F16+G16+COUNTIFS(交易明細!$B$2:$B$116,$A16,交易明細!$J$2:$J$116,"時間出場")</f>
        <v/>
      </c>
      <c r="F16" s="2">
        <f>COUNTIFS(交易明細!$B$2:$B$116,$A16,交易明細!$J$2:$J$116,"止盈")</f>
        <v/>
      </c>
      <c r="G16" s="2">
        <f>COUNTIFS(交易明細!$B$2:$B$116,$A16,交易明細!$J$2:$J$116,"止損")</f>
        <v/>
      </c>
      <c r="H16" s="4">
        <f>IFERROR(F16/E16,0)</f>
        <v/>
      </c>
      <c r="I16" s="4">
        <f>IFERROR(AVERAGEIFS(交易明細!$L$2:$L$116,交易明細!$B$2:$B$116,$A16,交易明細!$J$2:$J$116,"&lt;&gt;未平倉"),0)</f>
        <v/>
      </c>
      <c r="J16" s="4">
        <f>SUMIFS(交易明細!$L$2:$L$116,交易明細!$B$2:$B$116,$A16,交易明細!$J$2:$J$116,"&lt;&gt;未平倉")</f>
        <v/>
      </c>
      <c r="K16" s="5">
        <f>IFERROR(AVERAGEIFS(交易明細!$K$2:$K$116,交易明細!$B$2:$B$116,$A16,交易明細!$J$2:$J$116,"&lt;&gt;未平倉"),0)</f>
        <v/>
      </c>
      <c r="L16" s="2">
        <f>COUNTIFS(交易明細!$B$2:$B$116,$A16,交易明細!$J$2:$J$116,"未平倉")</f>
        <v/>
      </c>
    </row>
    <row r="17">
      <c r="A17" s="2" t="inlineStr">
        <is>
          <t>RAY_USDT_PERP</t>
        </is>
      </c>
      <c r="B17" s="2">
        <f>COUNTIFS(交易明細!$B$2:$B$116,$A17)</f>
        <v/>
      </c>
      <c r="C17" s="2">
        <f>COUNTIFS(交易明細!$B$2:$B$116,$A17,交易明細!$C$2:$C$116,"做多")</f>
        <v/>
      </c>
      <c r="D17" s="2">
        <f>COUNTIFS(交易明細!$B$2:$B$116,$A17,交易明細!$C$2:$C$116,"做空")</f>
        <v/>
      </c>
      <c r="E17" s="2">
        <f>F17+G17+COUNTIFS(交易明細!$B$2:$B$116,$A17,交易明細!$J$2:$J$116,"時間出場")</f>
        <v/>
      </c>
      <c r="F17" s="2">
        <f>COUNTIFS(交易明細!$B$2:$B$116,$A17,交易明細!$J$2:$J$116,"止盈")</f>
        <v/>
      </c>
      <c r="G17" s="2">
        <f>COUNTIFS(交易明細!$B$2:$B$116,$A17,交易明細!$J$2:$J$116,"止損")</f>
        <v/>
      </c>
      <c r="H17" s="4">
        <f>IFERROR(F17/E17,0)</f>
        <v/>
      </c>
      <c r="I17" s="4">
        <f>IFERROR(AVERAGEIFS(交易明細!$L$2:$L$116,交易明細!$B$2:$B$116,$A17,交易明細!$J$2:$J$116,"&lt;&gt;未平倉"),0)</f>
        <v/>
      </c>
      <c r="J17" s="4">
        <f>SUMIFS(交易明細!$L$2:$L$116,交易明細!$B$2:$B$116,$A17,交易明細!$J$2:$J$116,"&lt;&gt;未平倉")</f>
        <v/>
      </c>
      <c r="K17" s="5">
        <f>IFERROR(AVERAGEIFS(交易明細!$K$2:$K$116,交易明細!$B$2:$B$116,$A17,交易明細!$J$2:$J$116,"&lt;&gt;未平倉"),0)</f>
        <v/>
      </c>
      <c r="L17" s="2">
        <f>COUNTIFS(交易明細!$B$2:$B$116,$A17,交易明細!$J$2:$J$116,"未平倉")</f>
        <v/>
      </c>
    </row>
    <row r="18">
      <c r="A18" s="2" t="inlineStr">
        <is>
          <t>LUNA2_USDT_PERP</t>
        </is>
      </c>
      <c r="B18" s="2">
        <f>COUNTIFS(交易明細!$B$2:$B$116,$A18)</f>
        <v/>
      </c>
      <c r="C18" s="2">
        <f>COUNTIFS(交易明細!$B$2:$B$116,$A18,交易明細!$C$2:$C$116,"做多")</f>
        <v/>
      </c>
      <c r="D18" s="2">
        <f>COUNTIFS(交易明細!$B$2:$B$116,$A18,交易明細!$C$2:$C$116,"做空")</f>
        <v/>
      </c>
      <c r="E18" s="2">
        <f>F18+G18+COUNTIFS(交易明細!$B$2:$B$116,$A18,交易明細!$J$2:$J$116,"時間出場")</f>
        <v/>
      </c>
      <c r="F18" s="2">
        <f>COUNTIFS(交易明細!$B$2:$B$116,$A18,交易明細!$J$2:$J$116,"止盈")</f>
        <v/>
      </c>
      <c r="G18" s="2">
        <f>COUNTIFS(交易明細!$B$2:$B$116,$A18,交易明細!$J$2:$J$116,"止損")</f>
        <v/>
      </c>
      <c r="H18" s="4">
        <f>IFERROR(F18/E18,0)</f>
        <v/>
      </c>
      <c r="I18" s="4">
        <f>IFERROR(AVERAGEIFS(交易明細!$L$2:$L$116,交易明細!$B$2:$B$116,$A18,交易明細!$J$2:$J$116,"&lt;&gt;未平倉"),0)</f>
        <v/>
      </c>
      <c r="J18" s="4">
        <f>SUMIFS(交易明細!$L$2:$L$116,交易明細!$B$2:$B$116,$A18,交易明細!$J$2:$J$116,"&lt;&gt;未平倉")</f>
        <v/>
      </c>
      <c r="K18" s="5">
        <f>IFERROR(AVERAGEIFS(交易明細!$K$2:$K$116,交易明細!$B$2:$B$116,$A18,交易明細!$J$2:$J$116,"&lt;&gt;未平倉"),0)</f>
        <v/>
      </c>
      <c r="L18" s="2">
        <f>COUNTIFS(交易明細!$B$2:$B$116,$A18,交易明細!$J$2:$J$116,"未平倉")</f>
        <v/>
      </c>
    </row>
    <row r="19">
      <c r="A19" s="2" t="inlineStr">
        <is>
          <t>REZ_USDT_PERP</t>
        </is>
      </c>
      <c r="B19" s="2">
        <f>COUNTIFS(交易明細!$B$2:$B$116,$A19)</f>
        <v/>
      </c>
      <c r="C19" s="2">
        <f>COUNTIFS(交易明細!$B$2:$B$116,$A19,交易明細!$C$2:$C$116,"做多")</f>
        <v/>
      </c>
      <c r="D19" s="2">
        <f>COUNTIFS(交易明細!$B$2:$B$116,$A19,交易明細!$C$2:$C$116,"做空")</f>
        <v/>
      </c>
      <c r="E19" s="2">
        <f>F19+G19+COUNTIFS(交易明細!$B$2:$B$116,$A19,交易明細!$J$2:$J$116,"時間出場")</f>
        <v/>
      </c>
      <c r="F19" s="2">
        <f>COUNTIFS(交易明細!$B$2:$B$116,$A19,交易明細!$J$2:$J$116,"止盈")</f>
        <v/>
      </c>
      <c r="G19" s="2">
        <f>COUNTIFS(交易明細!$B$2:$B$116,$A19,交易明細!$J$2:$J$116,"止損")</f>
        <v/>
      </c>
      <c r="H19" s="4">
        <f>IFERROR(F19/E19,0)</f>
        <v/>
      </c>
      <c r="I19" s="4">
        <f>IFERROR(AVERAGEIFS(交易明細!$L$2:$L$116,交易明細!$B$2:$B$116,$A19,交易明細!$J$2:$J$116,"&lt;&gt;未平倉"),0)</f>
        <v/>
      </c>
      <c r="J19" s="4">
        <f>SUMIFS(交易明細!$L$2:$L$116,交易明細!$B$2:$B$116,$A19,交易明細!$J$2:$J$116,"&lt;&gt;未平倉")</f>
        <v/>
      </c>
      <c r="K19" s="5">
        <f>IFERROR(AVERAGEIFS(交易明細!$K$2:$K$116,交易明細!$B$2:$B$116,$A19,交易明細!$J$2:$J$116,"&lt;&gt;未平倉"),0)</f>
        <v/>
      </c>
      <c r="L19" s="2">
        <f>COUNTIFS(交易明細!$B$2:$B$116,$A19,交易明細!$J$2:$J$116,"未平倉")</f>
        <v/>
      </c>
    </row>
    <row r="20">
      <c r="A20" s="2" t="inlineStr">
        <is>
          <t>我踏马来了_USDT_PERP</t>
        </is>
      </c>
      <c r="B20" s="2">
        <f>COUNTIFS(交易明細!$B$2:$B$116,$A20)</f>
        <v/>
      </c>
      <c r="C20" s="2">
        <f>COUNTIFS(交易明細!$B$2:$B$116,$A20,交易明細!$C$2:$C$116,"做多")</f>
        <v/>
      </c>
      <c r="D20" s="2">
        <f>COUNTIFS(交易明細!$B$2:$B$116,$A20,交易明細!$C$2:$C$116,"做空")</f>
        <v/>
      </c>
      <c r="E20" s="2">
        <f>F20+G20+COUNTIFS(交易明細!$B$2:$B$116,$A20,交易明細!$J$2:$J$116,"時間出場")</f>
        <v/>
      </c>
      <c r="F20" s="2">
        <f>COUNTIFS(交易明細!$B$2:$B$116,$A20,交易明細!$J$2:$J$116,"止盈")</f>
        <v/>
      </c>
      <c r="G20" s="2">
        <f>COUNTIFS(交易明細!$B$2:$B$116,$A20,交易明細!$J$2:$J$116,"止損")</f>
        <v/>
      </c>
      <c r="H20" s="4">
        <f>IFERROR(F20/E20,0)</f>
        <v/>
      </c>
      <c r="I20" s="4">
        <f>IFERROR(AVERAGEIFS(交易明細!$L$2:$L$116,交易明細!$B$2:$B$116,$A20,交易明細!$J$2:$J$116,"&lt;&gt;未平倉"),0)</f>
        <v/>
      </c>
      <c r="J20" s="4">
        <f>SUMIFS(交易明細!$L$2:$L$116,交易明細!$B$2:$B$116,$A20,交易明細!$J$2:$J$116,"&lt;&gt;未平倉")</f>
        <v/>
      </c>
      <c r="K20" s="5">
        <f>IFERROR(AVERAGEIFS(交易明細!$K$2:$K$116,交易明細!$B$2:$B$116,$A20,交易明細!$J$2:$J$116,"&lt;&gt;未平倉"),0)</f>
        <v/>
      </c>
      <c r="L20" s="2">
        <f>COUNTIFS(交易明細!$B$2:$B$116,$A20,交易明細!$J$2:$J$116,"未平倉")</f>
        <v/>
      </c>
    </row>
    <row r="21">
      <c r="A21" s="2" t="inlineStr">
        <is>
          <t>CTR_USDT_PERP</t>
        </is>
      </c>
      <c r="B21" s="2">
        <f>COUNTIFS(交易明細!$B$2:$B$116,$A21)</f>
        <v/>
      </c>
      <c r="C21" s="2">
        <f>COUNTIFS(交易明細!$B$2:$B$116,$A21,交易明細!$C$2:$C$116,"做多")</f>
        <v/>
      </c>
      <c r="D21" s="2">
        <f>COUNTIFS(交易明細!$B$2:$B$116,$A21,交易明細!$C$2:$C$116,"做空")</f>
        <v/>
      </c>
      <c r="E21" s="2">
        <f>F21+G21+COUNTIFS(交易明細!$B$2:$B$116,$A21,交易明細!$J$2:$J$116,"時間出場")</f>
        <v/>
      </c>
      <c r="F21" s="2">
        <f>COUNTIFS(交易明細!$B$2:$B$116,$A21,交易明細!$J$2:$J$116,"止盈")</f>
        <v/>
      </c>
      <c r="G21" s="2">
        <f>COUNTIFS(交易明細!$B$2:$B$116,$A21,交易明細!$J$2:$J$116,"止損")</f>
        <v/>
      </c>
      <c r="H21" s="4">
        <f>IFERROR(F21/E21,0)</f>
        <v/>
      </c>
      <c r="I21" s="4">
        <f>IFERROR(AVERAGEIFS(交易明細!$L$2:$L$116,交易明細!$B$2:$B$116,$A21,交易明細!$J$2:$J$116,"&lt;&gt;未平倉"),0)</f>
        <v/>
      </c>
      <c r="J21" s="4">
        <f>SUMIFS(交易明細!$L$2:$L$116,交易明細!$B$2:$B$116,$A21,交易明細!$J$2:$J$116,"&lt;&gt;未平倉")</f>
        <v/>
      </c>
      <c r="K21" s="5">
        <f>IFERROR(AVERAGEIFS(交易明細!$K$2:$K$116,交易明細!$B$2:$B$116,$A21,交易明細!$J$2:$J$116,"&lt;&gt;未平倉"),0)</f>
        <v/>
      </c>
      <c r="L21" s="2">
        <f>COUNTIFS(交易明細!$B$2:$B$116,$A21,交易明細!$J$2:$J$116,"未平倉")</f>
        <v/>
      </c>
    </row>
    <row r="22">
      <c r="A22" s="2" t="inlineStr">
        <is>
          <t>BTW_USDT_PERP</t>
        </is>
      </c>
      <c r="B22" s="2">
        <f>COUNTIFS(交易明細!$B$2:$B$116,$A22)</f>
        <v/>
      </c>
      <c r="C22" s="2">
        <f>COUNTIFS(交易明細!$B$2:$B$116,$A22,交易明細!$C$2:$C$116,"做多")</f>
        <v/>
      </c>
      <c r="D22" s="2">
        <f>COUNTIFS(交易明細!$B$2:$B$116,$A22,交易明細!$C$2:$C$116,"做空")</f>
        <v/>
      </c>
      <c r="E22" s="2">
        <f>F22+G22+COUNTIFS(交易明細!$B$2:$B$116,$A22,交易明細!$J$2:$J$116,"時間出場")</f>
        <v/>
      </c>
      <c r="F22" s="2">
        <f>COUNTIFS(交易明細!$B$2:$B$116,$A22,交易明細!$J$2:$J$116,"止盈")</f>
        <v/>
      </c>
      <c r="G22" s="2">
        <f>COUNTIFS(交易明細!$B$2:$B$116,$A22,交易明細!$J$2:$J$116,"止損")</f>
        <v/>
      </c>
      <c r="H22" s="4">
        <f>IFERROR(F22/E22,0)</f>
        <v/>
      </c>
      <c r="I22" s="4">
        <f>IFERROR(AVERAGEIFS(交易明細!$L$2:$L$116,交易明細!$B$2:$B$116,$A22,交易明細!$J$2:$J$116,"&lt;&gt;未平倉"),0)</f>
        <v/>
      </c>
      <c r="J22" s="4">
        <f>SUMIFS(交易明細!$L$2:$L$116,交易明細!$B$2:$B$116,$A22,交易明細!$J$2:$J$116,"&lt;&gt;未平倉")</f>
        <v/>
      </c>
      <c r="K22" s="5">
        <f>IFERROR(AVERAGEIFS(交易明細!$K$2:$K$116,交易明細!$B$2:$B$116,$A22,交易明細!$J$2:$J$116,"&lt;&gt;未平倉"),0)</f>
        <v/>
      </c>
      <c r="L22" s="2">
        <f>COUNTIFS(交易明細!$B$2:$B$116,$A22,交易明細!$J$2:$J$116,"未平倉")</f>
        <v/>
      </c>
    </row>
    <row r="23">
      <c r="A23" s="2" t="inlineStr">
        <is>
          <t>MAGMA_USDT_PERP</t>
        </is>
      </c>
      <c r="B23" s="2">
        <f>COUNTIFS(交易明細!$B$2:$B$116,$A23)</f>
        <v/>
      </c>
      <c r="C23" s="2">
        <f>COUNTIFS(交易明細!$B$2:$B$116,$A23,交易明細!$C$2:$C$116,"做多")</f>
        <v/>
      </c>
      <c r="D23" s="2">
        <f>COUNTIFS(交易明細!$B$2:$B$116,$A23,交易明細!$C$2:$C$116,"做空")</f>
        <v/>
      </c>
      <c r="E23" s="2">
        <f>F23+G23+COUNTIFS(交易明細!$B$2:$B$116,$A23,交易明細!$J$2:$J$116,"時間出場")</f>
        <v/>
      </c>
      <c r="F23" s="2">
        <f>COUNTIFS(交易明細!$B$2:$B$116,$A23,交易明細!$J$2:$J$116,"止盈")</f>
        <v/>
      </c>
      <c r="G23" s="2">
        <f>COUNTIFS(交易明細!$B$2:$B$116,$A23,交易明細!$J$2:$J$116,"止損")</f>
        <v/>
      </c>
      <c r="H23" s="4">
        <f>IFERROR(F23/E23,0)</f>
        <v/>
      </c>
      <c r="I23" s="4">
        <f>IFERROR(AVERAGEIFS(交易明細!$L$2:$L$116,交易明細!$B$2:$B$116,$A23,交易明細!$J$2:$J$116,"&lt;&gt;未平倉"),0)</f>
        <v/>
      </c>
      <c r="J23" s="4">
        <f>SUMIFS(交易明細!$L$2:$L$116,交易明細!$B$2:$B$116,$A23,交易明細!$J$2:$J$116,"&lt;&gt;未平倉")</f>
        <v/>
      </c>
      <c r="K23" s="5">
        <f>IFERROR(AVERAGEIFS(交易明細!$K$2:$K$116,交易明細!$B$2:$B$116,$A23,交易明細!$J$2:$J$116,"&lt;&gt;未平倉"),0)</f>
        <v/>
      </c>
      <c r="L23" s="2">
        <f>COUNTIFS(交易明細!$B$2:$B$116,$A23,交易明細!$J$2:$J$116,"未平倉")</f>
        <v/>
      </c>
    </row>
    <row r="24">
      <c r="A24" s="2" t="inlineStr">
        <is>
          <t>AIN_USDT_PERP</t>
        </is>
      </c>
      <c r="B24" s="2">
        <f>COUNTIFS(交易明細!$B$2:$B$116,$A24)</f>
        <v/>
      </c>
      <c r="C24" s="2">
        <f>COUNTIFS(交易明細!$B$2:$B$116,$A24,交易明細!$C$2:$C$116,"做多")</f>
        <v/>
      </c>
      <c r="D24" s="2">
        <f>COUNTIFS(交易明細!$B$2:$B$116,$A24,交易明細!$C$2:$C$116,"做空")</f>
        <v/>
      </c>
      <c r="E24" s="2">
        <f>F24+G24+COUNTIFS(交易明細!$B$2:$B$116,$A24,交易明細!$J$2:$J$116,"時間出場")</f>
        <v/>
      </c>
      <c r="F24" s="2">
        <f>COUNTIFS(交易明細!$B$2:$B$116,$A24,交易明細!$J$2:$J$116,"止盈")</f>
        <v/>
      </c>
      <c r="G24" s="2">
        <f>COUNTIFS(交易明細!$B$2:$B$116,$A24,交易明細!$J$2:$J$116,"止損")</f>
        <v/>
      </c>
      <c r="H24" s="4">
        <f>IFERROR(F24/E24,0)</f>
        <v/>
      </c>
      <c r="I24" s="4">
        <f>IFERROR(AVERAGEIFS(交易明細!$L$2:$L$116,交易明細!$B$2:$B$116,$A24,交易明細!$J$2:$J$116,"&lt;&gt;未平倉"),0)</f>
        <v/>
      </c>
      <c r="J24" s="4">
        <f>SUMIFS(交易明細!$L$2:$L$116,交易明細!$B$2:$B$116,$A24,交易明細!$J$2:$J$116,"&lt;&gt;未平倉")</f>
        <v/>
      </c>
      <c r="K24" s="5">
        <f>IFERROR(AVERAGEIFS(交易明細!$K$2:$K$116,交易明細!$B$2:$B$116,$A24,交易明細!$J$2:$J$116,"&lt;&gt;未平倉"),0)</f>
        <v/>
      </c>
      <c r="L24" s="2">
        <f>COUNTIFS(交易明細!$B$2:$B$116,$A24,交易明細!$J$2:$J$116,"未平倉")</f>
        <v/>
      </c>
    </row>
    <row r="25">
      <c r="A25" s="2" t="inlineStr">
        <is>
          <t>ASTR_USDT_PERP</t>
        </is>
      </c>
      <c r="B25" s="2">
        <f>COUNTIFS(交易明細!$B$2:$B$116,$A25)</f>
        <v/>
      </c>
      <c r="C25" s="2">
        <f>COUNTIFS(交易明細!$B$2:$B$116,$A25,交易明細!$C$2:$C$116,"做多")</f>
        <v/>
      </c>
      <c r="D25" s="2">
        <f>COUNTIFS(交易明細!$B$2:$B$116,$A25,交易明細!$C$2:$C$116,"做空")</f>
        <v/>
      </c>
      <c r="E25" s="2">
        <f>F25+G25+COUNTIFS(交易明細!$B$2:$B$116,$A25,交易明細!$J$2:$J$116,"時間出場")</f>
        <v/>
      </c>
      <c r="F25" s="2">
        <f>COUNTIFS(交易明細!$B$2:$B$116,$A25,交易明細!$J$2:$J$116,"止盈")</f>
        <v/>
      </c>
      <c r="G25" s="2">
        <f>COUNTIFS(交易明細!$B$2:$B$116,$A25,交易明細!$J$2:$J$116,"止損")</f>
        <v/>
      </c>
      <c r="H25" s="4">
        <f>IFERROR(F25/E25,0)</f>
        <v/>
      </c>
      <c r="I25" s="4">
        <f>IFERROR(AVERAGEIFS(交易明細!$L$2:$L$116,交易明細!$B$2:$B$116,$A25,交易明細!$J$2:$J$116,"&lt;&gt;未平倉"),0)</f>
        <v/>
      </c>
      <c r="J25" s="4">
        <f>SUMIFS(交易明細!$L$2:$L$116,交易明細!$B$2:$B$116,$A25,交易明細!$J$2:$J$116,"&lt;&gt;未平倉")</f>
        <v/>
      </c>
      <c r="K25" s="5">
        <f>IFERROR(AVERAGEIFS(交易明細!$K$2:$K$116,交易明細!$B$2:$B$116,$A25,交易明細!$J$2:$J$116,"&lt;&gt;未平倉"),0)</f>
        <v/>
      </c>
      <c r="L25" s="2">
        <f>COUNTIFS(交易明細!$B$2:$B$116,$A25,交易明細!$J$2:$J$116,"未平倉")</f>
        <v/>
      </c>
    </row>
    <row r="26">
      <c r="A26" s="2" t="inlineStr">
        <is>
          <t>IDOL_USDT_PERP</t>
        </is>
      </c>
      <c r="B26" s="2">
        <f>COUNTIFS(交易明細!$B$2:$B$116,$A26)</f>
        <v/>
      </c>
      <c r="C26" s="2">
        <f>COUNTIFS(交易明細!$B$2:$B$116,$A26,交易明細!$C$2:$C$116,"做多")</f>
        <v/>
      </c>
      <c r="D26" s="2">
        <f>COUNTIFS(交易明細!$B$2:$B$116,$A26,交易明細!$C$2:$C$116,"做空")</f>
        <v/>
      </c>
      <c r="E26" s="2">
        <f>F26+G26+COUNTIFS(交易明細!$B$2:$B$116,$A26,交易明細!$J$2:$J$116,"時間出場")</f>
        <v/>
      </c>
      <c r="F26" s="2">
        <f>COUNTIFS(交易明細!$B$2:$B$116,$A26,交易明細!$J$2:$J$116,"止盈")</f>
        <v/>
      </c>
      <c r="G26" s="2">
        <f>COUNTIFS(交易明細!$B$2:$B$116,$A26,交易明細!$J$2:$J$116,"止損")</f>
        <v/>
      </c>
      <c r="H26" s="4">
        <f>IFERROR(F26/E26,0)</f>
        <v/>
      </c>
      <c r="I26" s="4">
        <f>IFERROR(AVERAGEIFS(交易明細!$L$2:$L$116,交易明細!$B$2:$B$116,$A26,交易明細!$J$2:$J$116,"&lt;&gt;未平倉"),0)</f>
        <v/>
      </c>
      <c r="J26" s="4">
        <f>SUMIFS(交易明細!$L$2:$L$116,交易明細!$B$2:$B$116,$A26,交易明細!$J$2:$J$116,"&lt;&gt;未平倉")</f>
        <v/>
      </c>
      <c r="K26" s="5">
        <f>IFERROR(AVERAGEIFS(交易明細!$K$2:$K$116,交易明細!$B$2:$B$116,$A26,交易明細!$J$2:$J$116,"&lt;&gt;未平倉"),0)</f>
        <v/>
      </c>
      <c r="L26" s="2">
        <f>COUNTIFS(交易明細!$B$2:$B$116,$A26,交易明細!$J$2:$J$116,"未平倉")</f>
        <v/>
      </c>
    </row>
    <row r="27">
      <c r="A27" s="2" t="inlineStr">
        <is>
          <t>DRIFT_USDT_PERP</t>
        </is>
      </c>
      <c r="B27" s="2">
        <f>COUNTIFS(交易明細!$B$2:$B$116,$A27)</f>
        <v/>
      </c>
      <c r="C27" s="2">
        <f>COUNTIFS(交易明細!$B$2:$B$116,$A27,交易明細!$C$2:$C$116,"做多")</f>
        <v/>
      </c>
      <c r="D27" s="2">
        <f>COUNTIFS(交易明細!$B$2:$B$116,$A27,交易明細!$C$2:$C$116,"做空")</f>
        <v/>
      </c>
      <c r="E27" s="2">
        <f>F27+G27+COUNTIFS(交易明細!$B$2:$B$116,$A27,交易明細!$J$2:$J$116,"時間出場")</f>
        <v/>
      </c>
      <c r="F27" s="2">
        <f>COUNTIFS(交易明細!$B$2:$B$116,$A27,交易明細!$J$2:$J$116,"止盈")</f>
        <v/>
      </c>
      <c r="G27" s="2">
        <f>COUNTIFS(交易明細!$B$2:$B$116,$A27,交易明細!$J$2:$J$116,"止損")</f>
        <v/>
      </c>
      <c r="H27" s="4">
        <f>IFERROR(F27/E27,0)</f>
        <v/>
      </c>
      <c r="I27" s="4">
        <f>IFERROR(AVERAGEIFS(交易明細!$L$2:$L$116,交易明細!$B$2:$B$116,$A27,交易明細!$J$2:$J$116,"&lt;&gt;未平倉"),0)</f>
        <v/>
      </c>
      <c r="J27" s="4">
        <f>SUMIFS(交易明細!$L$2:$L$116,交易明細!$B$2:$B$116,$A27,交易明細!$J$2:$J$116,"&lt;&gt;未平倉")</f>
        <v/>
      </c>
      <c r="K27" s="5">
        <f>IFERROR(AVERAGEIFS(交易明細!$K$2:$K$116,交易明細!$B$2:$B$116,$A27,交易明細!$J$2:$J$116,"&lt;&gt;未平倉"),0)</f>
        <v/>
      </c>
      <c r="L27" s="2">
        <f>COUNTIFS(交易明細!$B$2:$B$116,$A27,交易明細!$J$2:$J$116,"未平倉")</f>
        <v/>
      </c>
    </row>
    <row r="28">
      <c r="A28" s="2" t="inlineStr">
        <is>
          <t>STRK_USDT_PERP</t>
        </is>
      </c>
      <c r="B28" s="2">
        <f>COUNTIFS(交易明細!$B$2:$B$116,$A28)</f>
        <v/>
      </c>
      <c r="C28" s="2">
        <f>COUNTIFS(交易明細!$B$2:$B$116,$A28,交易明細!$C$2:$C$116,"做多")</f>
        <v/>
      </c>
      <c r="D28" s="2">
        <f>COUNTIFS(交易明細!$B$2:$B$116,$A28,交易明細!$C$2:$C$116,"做空")</f>
        <v/>
      </c>
      <c r="E28" s="2">
        <f>F28+G28+COUNTIFS(交易明細!$B$2:$B$116,$A28,交易明細!$J$2:$J$116,"時間出場")</f>
        <v/>
      </c>
      <c r="F28" s="2">
        <f>COUNTIFS(交易明細!$B$2:$B$116,$A28,交易明細!$J$2:$J$116,"止盈")</f>
        <v/>
      </c>
      <c r="G28" s="2">
        <f>COUNTIFS(交易明細!$B$2:$B$116,$A28,交易明細!$J$2:$J$116,"止損")</f>
        <v/>
      </c>
      <c r="H28" s="4">
        <f>IFERROR(F28/E28,0)</f>
        <v/>
      </c>
      <c r="I28" s="4">
        <f>IFERROR(AVERAGEIFS(交易明細!$L$2:$L$116,交易明細!$B$2:$B$116,$A28,交易明細!$J$2:$J$116,"&lt;&gt;未平倉"),0)</f>
        <v/>
      </c>
      <c r="J28" s="4">
        <f>SUMIFS(交易明細!$L$2:$L$116,交易明細!$B$2:$B$116,$A28,交易明細!$J$2:$J$116,"&lt;&gt;未平倉")</f>
        <v/>
      </c>
      <c r="K28" s="5">
        <f>IFERROR(AVERAGEIFS(交易明細!$K$2:$K$116,交易明細!$B$2:$B$116,$A28,交易明細!$J$2:$J$116,"&lt;&gt;未平倉"),0)</f>
        <v/>
      </c>
      <c r="L28" s="2">
        <f>COUNTIFS(交易明細!$B$2:$B$116,$A28,交易明細!$J$2:$J$116,"未平倉")</f>
        <v/>
      </c>
    </row>
    <row r="29">
      <c r="A29" s="2" t="inlineStr">
        <is>
          <t>ENSO_USDT_PERP</t>
        </is>
      </c>
      <c r="B29" s="2">
        <f>COUNTIFS(交易明細!$B$2:$B$116,$A29)</f>
        <v/>
      </c>
      <c r="C29" s="2">
        <f>COUNTIFS(交易明細!$B$2:$B$116,$A29,交易明細!$C$2:$C$116,"做多")</f>
        <v/>
      </c>
      <c r="D29" s="2">
        <f>COUNTIFS(交易明細!$B$2:$B$116,$A29,交易明細!$C$2:$C$116,"做空")</f>
        <v/>
      </c>
      <c r="E29" s="2">
        <f>F29+G29+COUNTIFS(交易明細!$B$2:$B$116,$A29,交易明細!$J$2:$J$116,"時間出場")</f>
        <v/>
      </c>
      <c r="F29" s="2">
        <f>COUNTIFS(交易明細!$B$2:$B$116,$A29,交易明細!$J$2:$J$116,"止盈")</f>
        <v/>
      </c>
      <c r="G29" s="2">
        <f>COUNTIFS(交易明細!$B$2:$B$116,$A29,交易明細!$J$2:$J$116,"止損")</f>
        <v/>
      </c>
      <c r="H29" s="4">
        <f>IFERROR(F29/E29,0)</f>
        <v/>
      </c>
      <c r="I29" s="4">
        <f>IFERROR(AVERAGEIFS(交易明細!$L$2:$L$116,交易明細!$B$2:$B$116,$A29,交易明細!$J$2:$J$116,"&lt;&gt;未平倉"),0)</f>
        <v/>
      </c>
      <c r="J29" s="4">
        <f>SUMIFS(交易明細!$L$2:$L$116,交易明細!$B$2:$B$116,$A29,交易明細!$J$2:$J$116,"&lt;&gt;未平倉")</f>
        <v/>
      </c>
      <c r="K29" s="5">
        <f>IFERROR(AVERAGEIFS(交易明細!$K$2:$K$116,交易明細!$B$2:$B$116,$A29,交易明細!$J$2:$J$116,"&lt;&gt;未平倉"),0)</f>
        <v/>
      </c>
      <c r="L29" s="2">
        <f>COUNTIFS(交易明細!$B$2:$B$116,$A29,交易明細!$J$2:$J$116,"未平倉")</f>
        <v/>
      </c>
    </row>
    <row r="30">
      <c r="A30" s="2" t="inlineStr">
        <is>
          <t>OFC_USDT_PERP</t>
        </is>
      </c>
      <c r="B30" s="2">
        <f>COUNTIFS(交易明細!$B$2:$B$116,$A30)</f>
        <v/>
      </c>
      <c r="C30" s="2">
        <f>COUNTIFS(交易明細!$B$2:$B$116,$A30,交易明細!$C$2:$C$116,"做多")</f>
        <v/>
      </c>
      <c r="D30" s="2">
        <f>COUNTIFS(交易明細!$B$2:$B$116,$A30,交易明細!$C$2:$C$116,"做空")</f>
        <v/>
      </c>
      <c r="E30" s="2">
        <f>F30+G30+COUNTIFS(交易明細!$B$2:$B$116,$A30,交易明細!$J$2:$J$116,"時間出場")</f>
        <v/>
      </c>
      <c r="F30" s="2">
        <f>COUNTIFS(交易明細!$B$2:$B$116,$A30,交易明細!$J$2:$J$116,"止盈")</f>
        <v/>
      </c>
      <c r="G30" s="2">
        <f>COUNTIFS(交易明細!$B$2:$B$116,$A30,交易明細!$J$2:$J$116,"止損")</f>
        <v/>
      </c>
      <c r="H30" s="4">
        <f>IFERROR(F30/E30,0)</f>
        <v/>
      </c>
      <c r="I30" s="4">
        <f>IFERROR(AVERAGEIFS(交易明細!$L$2:$L$116,交易明細!$B$2:$B$116,$A30,交易明細!$J$2:$J$116,"&lt;&gt;未平倉"),0)</f>
        <v/>
      </c>
      <c r="J30" s="4">
        <f>SUMIFS(交易明細!$L$2:$L$116,交易明細!$B$2:$B$116,$A30,交易明細!$J$2:$J$116,"&lt;&gt;未平倉")</f>
        <v/>
      </c>
      <c r="K30" s="5">
        <f>IFERROR(AVERAGEIFS(交易明細!$K$2:$K$116,交易明細!$B$2:$B$116,$A30,交易明細!$J$2:$J$116,"&lt;&gt;未平倉"),0)</f>
        <v/>
      </c>
      <c r="L30" s="2">
        <f>COUNTIFS(交易明細!$B$2:$B$116,$A30,交易明細!$J$2:$J$116,"未平倉")</f>
        <v/>
      </c>
    </row>
    <row r="31">
      <c r="A31" s="2" t="inlineStr">
        <is>
          <t>SKL_USDT_PERP</t>
        </is>
      </c>
      <c r="B31" s="2">
        <f>COUNTIFS(交易明細!$B$2:$B$116,$A31)</f>
        <v/>
      </c>
      <c r="C31" s="2">
        <f>COUNTIFS(交易明細!$B$2:$B$116,$A31,交易明細!$C$2:$C$116,"做多")</f>
        <v/>
      </c>
      <c r="D31" s="2">
        <f>COUNTIFS(交易明細!$B$2:$B$116,$A31,交易明細!$C$2:$C$116,"做空")</f>
        <v/>
      </c>
      <c r="E31" s="2">
        <f>F31+G31+COUNTIFS(交易明細!$B$2:$B$116,$A31,交易明細!$J$2:$J$116,"時間出場")</f>
        <v/>
      </c>
      <c r="F31" s="2">
        <f>COUNTIFS(交易明細!$B$2:$B$116,$A31,交易明細!$J$2:$J$116,"止盈")</f>
        <v/>
      </c>
      <c r="G31" s="2">
        <f>COUNTIFS(交易明細!$B$2:$B$116,$A31,交易明細!$J$2:$J$116,"止損")</f>
        <v/>
      </c>
      <c r="H31" s="4">
        <f>IFERROR(F31/E31,0)</f>
        <v/>
      </c>
      <c r="I31" s="4">
        <f>IFERROR(AVERAGEIFS(交易明細!$L$2:$L$116,交易明細!$B$2:$B$116,$A31,交易明細!$J$2:$J$116,"&lt;&gt;未平倉"),0)</f>
        <v/>
      </c>
      <c r="J31" s="4">
        <f>SUMIFS(交易明細!$L$2:$L$116,交易明細!$B$2:$B$116,$A31,交易明細!$J$2:$J$116,"&lt;&gt;未平倉")</f>
        <v/>
      </c>
      <c r="K31" s="5">
        <f>IFERROR(AVERAGEIFS(交易明細!$K$2:$K$116,交易明細!$B$2:$B$116,$A31,交易明細!$J$2:$J$116,"&lt;&gt;未平倉"),0)</f>
        <v/>
      </c>
      <c r="L31" s="2">
        <f>COUNTIFS(交易明細!$B$2:$B$116,$A31,交易明細!$J$2:$J$116,"未平倉")</f>
        <v/>
      </c>
    </row>
    <row r="32">
      <c r="A32" s="2" t="inlineStr">
        <is>
          <t>DOGS_USDT_PERP</t>
        </is>
      </c>
      <c r="B32" s="2">
        <f>COUNTIFS(交易明細!$B$2:$B$116,$A32)</f>
        <v/>
      </c>
      <c r="C32" s="2">
        <f>COUNTIFS(交易明細!$B$2:$B$116,$A32,交易明細!$C$2:$C$116,"做多")</f>
        <v/>
      </c>
      <c r="D32" s="2">
        <f>COUNTIFS(交易明細!$B$2:$B$116,$A32,交易明細!$C$2:$C$116,"做空")</f>
        <v/>
      </c>
      <c r="E32" s="2">
        <f>F32+G32+COUNTIFS(交易明細!$B$2:$B$116,$A32,交易明細!$J$2:$J$116,"時間出場")</f>
        <v/>
      </c>
      <c r="F32" s="2">
        <f>COUNTIFS(交易明細!$B$2:$B$116,$A32,交易明細!$J$2:$J$116,"止盈")</f>
        <v/>
      </c>
      <c r="G32" s="2">
        <f>COUNTIFS(交易明細!$B$2:$B$116,$A32,交易明細!$J$2:$J$116,"止損")</f>
        <v/>
      </c>
      <c r="H32" s="4">
        <f>IFERROR(F32/E32,0)</f>
        <v/>
      </c>
      <c r="I32" s="4">
        <f>IFERROR(AVERAGEIFS(交易明細!$L$2:$L$116,交易明細!$B$2:$B$116,$A32,交易明細!$J$2:$J$116,"&lt;&gt;未平倉"),0)</f>
        <v/>
      </c>
      <c r="J32" s="4">
        <f>SUMIFS(交易明細!$L$2:$L$116,交易明細!$B$2:$B$116,$A32,交易明細!$J$2:$J$116,"&lt;&gt;未平倉")</f>
        <v/>
      </c>
      <c r="K32" s="5">
        <f>IFERROR(AVERAGEIFS(交易明細!$K$2:$K$116,交易明細!$B$2:$B$116,$A32,交易明細!$J$2:$J$116,"&lt;&gt;未平倉"),0)</f>
        <v/>
      </c>
      <c r="L32" s="2">
        <f>COUNTIFS(交易明細!$B$2:$B$116,$A32,交易明細!$J$2:$J$116,"未平倉")</f>
        <v/>
      </c>
    </row>
    <row r="33">
      <c r="A33" s="2" t="inlineStr">
        <is>
          <t>ACE_USDT_PERP</t>
        </is>
      </c>
      <c r="B33" s="2">
        <f>COUNTIFS(交易明細!$B$2:$B$116,$A33)</f>
        <v/>
      </c>
      <c r="C33" s="2">
        <f>COUNTIFS(交易明細!$B$2:$B$116,$A33,交易明細!$C$2:$C$116,"做多")</f>
        <v/>
      </c>
      <c r="D33" s="2">
        <f>COUNTIFS(交易明細!$B$2:$B$116,$A33,交易明細!$C$2:$C$116,"做空")</f>
        <v/>
      </c>
      <c r="E33" s="2">
        <f>F33+G33+COUNTIFS(交易明細!$B$2:$B$116,$A33,交易明細!$J$2:$J$116,"時間出場")</f>
        <v/>
      </c>
      <c r="F33" s="2">
        <f>COUNTIFS(交易明細!$B$2:$B$116,$A33,交易明細!$J$2:$J$116,"止盈")</f>
        <v/>
      </c>
      <c r="G33" s="2">
        <f>COUNTIFS(交易明細!$B$2:$B$116,$A33,交易明細!$J$2:$J$116,"止損")</f>
        <v/>
      </c>
      <c r="H33" s="4">
        <f>IFERROR(F33/E33,0)</f>
        <v/>
      </c>
      <c r="I33" s="4">
        <f>IFERROR(AVERAGEIFS(交易明細!$L$2:$L$116,交易明細!$B$2:$B$116,$A33,交易明細!$J$2:$J$116,"&lt;&gt;未平倉"),0)</f>
        <v/>
      </c>
      <c r="J33" s="4">
        <f>SUMIFS(交易明細!$L$2:$L$116,交易明細!$B$2:$B$116,$A33,交易明細!$J$2:$J$116,"&lt;&gt;未平倉")</f>
        <v/>
      </c>
      <c r="K33" s="5">
        <f>IFERROR(AVERAGEIFS(交易明細!$K$2:$K$116,交易明細!$B$2:$B$116,$A33,交易明細!$J$2:$J$116,"&lt;&gt;未平倉"),0)</f>
        <v/>
      </c>
      <c r="L33" s="2">
        <f>COUNTIFS(交易明細!$B$2:$B$116,$A33,交易明細!$J$2:$J$116,"未平倉")</f>
        <v/>
      </c>
    </row>
    <row r="34">
      <c r="A34" s="2" t="inlineStr">
        <is>
          <t>LA_USDT_PERP</t>
        </is>
      </c>
      <c r="B34" s="2">
        <f>COUNTIFS(交易明細!$B$2:$B$116,$A34)</f>
        <v/>
      </c>
      <c r="C34" s="2">
        <f>COUNTIFS(交易明細!$B$2:$B$116,$A34,交易明細!$C$2:$C$116,"做多")</f>
        <v/>
      </c>
      <c r="D34" s="2">
        <f>COUNTIFS(交易明細!$B$2:$B$116,$A34,交易明細!$C$2:$C$116,"做空")</f>
        <v/>
      </c>
      <c r="E34" s="2">
        <f>F34+G34+COUNTIFS(交易明細!$B$2:$B$116,$A34,交易明細!$J$2:$J$116,"時間出場")</f>
        <v/>
      </c>
      <c r="F34" s="2">
        <f>COUNTIFS(交易明細!$B$2:$B$116,$A34,交易明細!$J$2:$J$116,"止盈")</f>
        <v/>
      </c>
      <c r="G34" s="2">
        <f>COUNTIFS(交易明細!$B$2:$B$116,$A34,交易明細!$J$2:$J$116,"止損")</f>
        <v/>
      </c>
      <c r="H34" s="4">
        <f>IFERROR(F34/E34,0)</f>
        <v/>
      </c>
      <c r="I34" s="4">
        <f>IFERROR(AVERAGEIFS(交易明細!$L$2:$L$116,交易明細!$B$2:$B$116,$A34,交易明細!$J$2:$J$116,"&lt;&gt;未平倉"),0)</f>
        <v/>
      </c>
      <c r="J34" s="4">
        <f>SUMIFS(交易明細!$L$2:$L$116,交易明細!$B$2:$B$116,$A34,交易明細!$J$2:$J$116,"&lt;&gt;未平倉")</f>
        <v/>
      </c>
      <c r="K34" s="5">
        <f>IFERROR(AVERAGEIFS(交易明細!$K$2:$K$116,交易明細!$B$2:$B$116,$A34,交易明細!$J$2:$J$116,"&lt;&gt;未平倉"),0)</f>
        <v/>
      </c>
      <c r="L34" s="2">
        <f>COUNTIFS(交易明細!$B$2:$B$116,$A34,交易明細!$J$2:$J$116,"未平倉")</f>
        <v/>
      </c>
    </row>
    <row r="35">
      <c r="A35" s="2" t="inlineStr">
        <is>
          <t>CLO_USDT_PERP</t>
        </is>
      </c>
      <c r="B35" s="2">
        <f>COUNTIFS(交易明細!$B$2:$B$116,$A35)</f>
        <v/>
      </c>
      <c r="C35" s="2">
        <f>COUNTIFS(交易明細!$B$2:$B$116,$A35,交易明細!$C$2:$C$116,"做多")</f>
        <v/>
      </c>
      <c r="D35" s="2">
        <f>COUNTIFS(交易明細!$B$2:$B$116,$A35,交易明細!$C$2:$C$116,"做空")</f>
        <v/>
      </c>
      <c r="E35" s="2">
        <f>F35+G35+COUNTIFS(交易明細!$B$2:$B$116,$A35,交易明細!$J$2:$J$116,"時間出場")</f>
        <v/>
      </c>
      <c r="F35" s="2">
        <f>COUNTIFS(交易明細!$B$2:$B$116,$A35,交易明細!$J$2:$J$116,"止盈")</f>
        <v/>
      </c>
      <c r="G35" s="2">
        <f>COUNTIFS(交易明細!$B$2:$B$116,$A35,交易明細!$J$2:$J$116,"止損")</f>
        <v/>
      </c>
      <c r="H35" s="4">
        <f>IFERROR(F35/E35,0)</f>
        <v/>
      </c>
      <c r="I35" s="4">
        <f>IFERROR(AVERAGEIFS(交易明細!$L$2:$L$116,交易明細!$B$2:$B$116,$A35,交易明細!$J$2:$J$116,"&lt;&gt;未平倉"),0)</f>
        <v/>
      </c>
      <c r="J35" s="4">
        <f>SUMIFS(交易明細!$L$2:$L$116,交易明細!$B$2:$B$116,$A35,交易明細!$J$2:$J$116,"&lt;&gt;未平倉")</f>
        <v/>
      </c>
      <c r="K35" s="5">
        <f>IFERROR(AVERAGEIFS(交易明細!$K$2:$K$116,交易明細!$B$2:$B$116,$A35,交易明細!$J$2:$J$116,"&lt;&gt;未平倉"),0)</f>
        <v/>
      </c>
      <c r="L35" s="2">
        <f>COUNTIFS(交易明細!$B$2:$B$116,$A35,交易明細!$J$2:$J$116,"未平倉")</f>
        <v/>
      </c>
    </row>
    <row r="36">
      <c r="A36" s="2" t="inlineStr">
        <is>
          <t>MUBARAK_USDT_PERP</t>
        </is>
      </c>
      <c r="B36" s="2">
        <f>COUNTIFS(交易明細!$B$2:$B$116,$A36)</f>
        <v/>
      </c>
      <c r="C36" s="2">
        <f>COUNTIFS(交易明細!$B$2:$B$116,$A36,交易明細!$C$2:$C$116,"做多")</f>
        <v/>
      </c>
      <c r="D36" s="2">
        <f>COUNTIFS(交易明細!$B$2:$B$116,$A36,交易明細!$C$2:$C$116,"做空")</f>
        <v/>
      </c>
      <c r="E36" s="2">
        <f>F36+G36+COUNTIFS(交易明細!$B$2:$B$116,$A36,交易明細!$J$2:$J$116,"時間出場")</f>
        <v/>
      </c>
      <c r="F36" s="2">
        <f>COUNTIFS(交易明細!$B$2:$B$116,$A36,交易明細!$J$2:$J$116,"止盈")</f>
        <v/>
      </c>
      <c r="G36" s="2">
        <f>COUNTIFS(交易明細!$B$2:$B$116,$A36,交易明細!$J$2:$J$116,"止損")</f>
        <v/>
      </c>
      <c r="H36" s="4">
        <f>IFERROR(F36/E36,0)</f>
        <v/>
      </c>
      <c r="I36" s="4">
        <f>IFERROR(AVERAGEIFS(交易明細!$L$2:$L$116,交易明細!$B$2:$B$116,$A36,交易明細!$J$2:$J$116,"&lt;&gt;未平倉"),0)</f>
        <v/>
      </c>
      <c r="J36" s="4">
        <f>SUMIFS(交易明細!$L$2:$L$116,交易明細!$B$2:$B$116,$A36,交易明細!$J$2:$J$116,"&lt;&gt;未平倉")</f>
        <v/>
      </c>
      <c r="K36" s="5">
        <f>IFERROR(AVERAGEIFS(交易明細!$K$2:$K$116,交易明細!$B$2:$B$116,$A36,交易明細!$J$2:$J$116,"&lt;&gt;未平倉"),0)</f>
        <v/>
      </c>
      <c r="L36" s="2">
        <f>COUNTIFS(交易明細!$B$2:$B$116,$A36,交易明細!$J$2:$J$116,"未平倉")</f>
        <v/>
      </c>
    </row>
    <row r="37">
      <c r="A37" s="2" t="inlineStr">
        <is>
          <t>CHIP_USDT_PERP</t>
        </is>
      </c>
      <c r="B37" s="2">
        <f>COUNTIFS(交易明細!$B$2:$B$116,$A37)</f>
        <v/>
      </c>
      <c r="C37" s="2">
        <f>COUNTIFS(交易明細!$B$2:$B$116,$A37,交易明細!$C$2:$C$116,"做多")</f>
        <v/>
      </c>
      <c r="D37" s="2">
        <f>COUNTIFS(交易明細!$B$2:$B$116,$A37,交易明細!$C$2:$C$116,"做空")</f>
        <v/>
      </c>
      <c r="E37" s="2">
        <f>F37+G37+COUNTIFS(交易明細!$B$2:$B$116,$A37,交易明細!$J$2:$J$116,"時間出場")</f>
        <v/>
      </c>
      <c r="F37" s="2">
        <f>COUNTIFS(交易明細!$B$2:$B$116,$A37,交易明細!$J$2:$J$116,"止盈")</f>
        <v/>
      </c>
      <c r="G37" s="2">
        <f>COUNTIFS(交易明細!$B$2:$B$116,$A37,交易明細!$J$2:$J$116,"止損")</f>
        <v/>
      </c>
      <c r="H37" s="4">
        <f>IFERROR(F37/E37,0)</f>
        <v/>
      </c>
      <c r="I37" s="4">
        <f>IFERROR(AVERAGEIFS(交易明細!$L$2:$L$116,交易明細!$B$2:$B$116,$A37,交易明細!$J$2:$J$116,"&lt;&gt;未平倉"),0)</f>
        <v/>
      </c>
      <c r="J37" s="4">
        <f>SUMIFS(交易明細!$L$2:$L$116,交易明細!$B$2:$B$116,$A37,交易明細!$J$2:$J$116,"&lt;&gt;未平倉")</f>
        <v/>
      </c>
      <c r="K37" s="5">
        <f>IFERROR(AVERAGEIFS(交易明細!$K$2:$K$116,交易明細!$B$2:$B$116,$A37,交易明細!$J$2:$J$116,"&lt;&gt;未平倉"),0)</f>
        <v/>
      </c>
      <c r="L37" s="2">
        <f>COUNTIFS(交易明細!$B$2:$B$116,$A37,交易明細!$J$2:$J$116,"未平倉")</f>
        <v/>
      </c>
    </row>
    <row r="38">
      <c r="A38" s="2" t="inlineStr">
        <is>
          <t>PORTAL_USDT_PERP</t>
        </is>
      </c>
      <c r="B38" s="2">
        <f>COUNTIFS(交易明細!$B$2:$B$116,$A38)</f>
        <v/>
      </c>
      <c r="C38" s="2">
        <f>COUNTIFS(交易明細!$B$2:$B$116,$A38,交易明細!$C$2:$C$116,"做多")</f>
        <v/>
      </c>
      <c r="D38" s="2">
        <f>COUNTIFS(交易明細!$B$2:$B$116,$A38,交易明細!$C$2:$C$116,"做空")</f>
        <v/>
      </c>
      <c r="E38" s="2">
        <f>F38+G38+COUNTIFS(交易明細!$B$2:$B$116,$A38,交易明細!$J$2:$J$116,"時間出場")</f>
        <v/>
      </c>
      <c r="F38" s="2">
        <f>COUNTIFS(交易明細!$B$2:$B$116,$A38,交易明細!$J$2:$J$116,"止盈")</f>
        <v/>
      </c>
      <c r="G38" s="2">
        <f>COUNTIFS(交易明細!$B$2:$B$116,$A38,交易明細!$J$2:$J$116,"止損")</f>
        <v/>
      </c>
      <c r="H38" s="4">
        <f>IFERROR(F38/E38,0)</f>
        <v/>
      </c>
      <c r="I38" s="4">
        <f>IFERROR(AVERAGEIFS(交易明細!$L$2:$L$116,交易明細!$B$2:$B$116,$A38,交易明細!$J$2:$J$116,"&lt;&gt;未平倉"),0)</f>
        <v/>
      </c>
      <c r="J38" s="4">
        <f>SUMIFS(交易明細!$L$2:$L$116,交易明細!$B$2:$B$116,$A38,交易明細!$J$2:$J$116,"&lt;&gt;未平倉")</f>
        <v/>
      </c>
      <c r="K38" s="5">
        <f>IFERROR(AVERAGEIFS(交易明細!$K$2:$K$116,交易明細!$B$2:$B$116,$A38,交易明細!$J$2:$J$116,"&lt;&gt;未平倉"),0)</f>
        <v/>
      </c>
      <c r="L38" s="2">
        <f>COUNTIFS(交易明細!$B$2:$B$116,$A38,交易明細!$J$2:$J$116,"未平倉")</f>
        <v/>
      </c>
    </row>
    <row r="39">
      <c r="A39" s="2" t="inlineStr">
        <is>
          <t>CATI_USDT_PERP</t>
        </is>
      </c>
      <c r="B39" s="2">
        <f>COUNTIFS(交易明細!$B$2:$B$116,$A39)</f>
        <v/>
      </c>
      <c r="C39" s="2">
        <f>COUNTIFS(交易明細!$B$2:$B$116,$A39,交易明細!$C$2:$C$116,"做多")</f>
        <v/>
      </c>
      <c r="D39" s="2">
        <f>COUNTIFS(交易明細!$B$2:$B$116,$A39,交易明細!$C$2:$C$116,"做空")</f>
        <v/>
      </c>
      <c r="E39" s="2">
        <f>F39+G39+COUNTIFS(交易明細!$B$2:$B$116,$A39,交易明細!$J$2:$J$116,"時間出場")</f>
        <v/>
      </c>
      <c r="F39" s="2">
        <f>COUNTIFS(交易明細!$B$2:$B$116,$A39,交易明細!$J$2:$J$116,"止盈")</f>
        <v/>
      </c>
      <c r="G39" s="2">
        <f>COUNTIFS(交易明細!$B$2:$B$116,$A39,交易明細!$J$2:$J$116,"止損")</f>
        <v/>
      </c>
      <c r="H39" s="4">
        <f>IFERROR(F39/E39,0)</f>
        <v/>
      </c>
      <c r="I39" s="4">
        <f>IFERROR(AVERAGEIFS(交易明細!$L$2:$L$116,交易明細!$B$2:$B$116,$A39,交易明細!$J$2:$J$116,"&lt;&gt;未平倉"),0)</f>
        <v/>
      </c>
      <c r="J39" s="4">
        <f>SUMIFS(交易明細!$L$2:$L$116,交易明細!$B$2:$B$116,$A39,交易明細!$J$2:$J$116,"&lt;&gt;未平倉")</f>
        <v/>
      </c>
      <c r="K39" s="5">
        <f>IFERROR(AVERAGEIFS(交易明細!$K$2:$K$116,交易明細!$B$2:$B$116,$A39,交易明細!$J$2:$J$116,"&lt;&gt;未平倉"),0)</f>
        <v/>
      </c>
      <c r="L39" s="2">
        <f>COUNTIFS(交易明細!$B$2:$B$116,$A39,交易明細!$J$2:$J$116,"未平倉")</f>
        <v/>
      </c>
    </row>
    <row r="40">
      <c r="A40" s="2" t="inlineStr">
        <is>
          <t>Q_USDT_PERP</t>
        </is>
      </c>
      <c r="B40" s="2">
        <f>COUNTIFS(交易明細!$B$2:$B$116,$A40)</f>
        <v/>
      </c>
      <c r="C40" s="2">
        <f>COUNTIFS(交易明細!$B$2:$B$116,$A40,交易明細!$C$2:$C$116,"做多")</f>
        <v/>
      </c>
      <c r="D40" s="2">
        <f>COUNTIFS(交易明細!$B$2:$B$116,$A40,交易明細!$C$2:$C$116,"做空")</f>
        <v/>
      </c>
      <c r="E40" s="2">
        <f>F40+G40+COUNTIFS(交易明細!$B$2:$B$116,$A40,交易明細!$J$2:$J$116,"時間出場")</f>
        <v/>
      </c>
      <c r="F40" s="2">
        <f>COUNTIFS(交易明細!$B$2:$B$116,$A40,交易明細!$J$2:$J$116,"止盈")</f>
        <v/>
      </c>
      <c r="G40" s="2">
        <f>COUNTIFS(交易明細!$B$2:$B$116,$A40,交易明細!$J$2:$J$116,"止損")</f>
        <v/>
      </c>
      <c r="H40" s="4">
        <f>IFERROR(F40/E40,0)</f>
        <v/>
      </c>
      <c r="I40" s="4">
        <f>IFERROR(AVERAGEIFS(交易明細!$L$2:$L$116,交易明細!$B$2:$B$116,$A40,交易明細!$J$2:$J$116,"&lt;&gt;未平倉"),0)</f>
        <v/>
      </c>
      <c r="J40" s="4">
        <f>SUMIFS(交易明細!$L$2:$L$116,交易明細!$B$2:$B$116,$A40,交易明細!$J$2:$J$116,"&lt;&gt;未平倉")</f>
        <v/>
      </c>
      <c r="K40" s="5">
        <f>IFERROR(AVERAGEIFS(交易明細!$K$2:$K$116,交易明細!$B$2:$B$116,$A40,交易明細!$J$2:$J$116,"&lt;&gt;未平倉"),0)</f>
        <v/>
      </c>
      <c r="L40" s="2">
        <f>COUNTIFS(交易明細!$B$2:$B$116,$A40,交易明細!$J$2:$J$116,"未平倉")</f>
        <v/>
      </c>
    </row>
    <row r="41">
      <c r="A41" s="2" t="inlineStr">
        <is>
          <t>ELSA_USDT_PERP</t>
        </is>
      </c>
      <c r="B41" s="2">
        <f>COUNTIFS(交易明細!$B$2:$B$116,$A41)</f>
        <v/>
      </c>
      <c r="C41" s="2">
        <f>COUNTIFS(交易明細!$B$2:$B$116,$A41,交易明細!$C$2:$C$116,"做多")</f>
        <v/>
      </c>
      <c r="D41" s="2">
        <f>COUNTIFS(交易明細!$B$2:$B$116,$A41,交易明細!$C$2:$C$116,"做空")</f>
        <v/>
      </c>
      <c r="E41" s="2">
        <f>F41+G41+COUNTIFS(交易明細!$B$2:$B$116,$A41,交易明細!$J$2:$J$116,"時間出場")</f>
        <v/>
      </c>
      <c r="F41" s="2">
        <f>COUNTIFS(交易明細!$B$2:$B$116,$A41,交易明細!$J$2:$J$116,"止盈")</f>
        <v/>
      </c>
      <c r="G41" s="2">
        <f>COUNTIFS(交易明細!$B$2:$B$116,$A41,交易明細!$J$2:$J$116,"止損")</f>
        <v/>
      </c>
      <c r="H41" s="4">
        <f>IFERROR(F41/E41,0)</f>
        <v/>
      </c>
      <c r="I41" s="4">
        <f>IFERROR(AVERAGEIFS(交易明細!$L$2:$L$116,交易明細!$B$2:$B$116,$A41,交易明細!$J$2:$J$116,"&lt;&gt;未平倉"),0)</f>
        <v/>
      </c>
      <c r="J41" s="4">
        <f>SUMIFS(交易明細!$L$2:$L$116,交易明細!$B$2:$B$116,$A41,交易明細!$J$2:$J$116,"&lt;&gt;未平倉")</f>
        <v/>
      </c>
      <c r="K41" s="5">
        <f>IFERROR(AVERAGEIFS(交易明細!$K$2:$K$116,交易明細!$B$2:$B$116,$A41,交易明細!$J$2:$J$116,"&lt;&gt;未平倉"),0)</f>
        <v/>
      </c>
      <c r="L41" s="2">
        <f>COUNTIFS(交易明細!$B$2:$B$116,$A41,交易明細!$J$2:$J$116,"未平倉")</f>
        <v/>
      </c>
    </row>
    <row r="42">
      <c r="A42" s="2" t="inlineStr">
        <is>
          <t>TRADOOR_USDT_PERP</t>
        </is>
      </c>
      <c r="B42" s="2">
        <f>COUNTIFS(交易明細!$B$2:$B$116,$A42)</f>
        <v/>
      </c>
      <c r="C42" s="2">
        <f>COUNTIFS(交易明細!$B$2:$B$116,$A42,交易明細!$C$2:$C$116,"做多")</f>
        <v/>
      </c>
      <c r="D42" s="2">
        <f>COUNTIFS(交易明細!$B$2:$B$116,$A42,交易明細!$C$2:$C$116,"做空")</f>
        <v/>
      </c>
      <c r="E42" s="2">
        <f>F42+G42+COUNTIFS(交易明細!$B$2:$B$116,$A42,交易明細!$J$2:$J$116,"時間出場")</f>
        <v/>
      </c>
      <c r="F42" s="2">
        <f>COUNTIFS(交易明細!$B$2:$B$116,$A42,交易明細!$J$2:$J$116,"止盈")</f>
        <v/>
      </c>
      <c r="G42" s="2">
        <f>COUNTIFS(交易明細!$B$2:$B$116,$A42,交易明細!$J$2:$J$116,"止損")</f>
        <v/>
      </c>
      <c r="H42" s="4">
        <f>IFERROR(F42/E42,0)</f>
        <v/>
      </c>
      <c r="I42" s="4">
        <f>IFERROR(AVERAGEIFS(交易明細!$L$2:$L$116,交易明細!$B$2:$B$116,$A42,交易明細!$J$2:$J$116,"&lt;&gt;未平倉"),0)</f>
        <v/>
      </c>
      <c r="J42" s="4">
        <f>SUMIFS(交易明細!$L$2:$L$116,交易明細!$B$2:$B$116,$A42,交易明細!$J$2:$J$116,"&lt;&gt;未平倉")</f>
        <v/>
      </c>
      <c r="K42" s="5">
        <f>IFERROR(AVERAGEIFS(交易明細!$K$2:$K$116,交易明細!$B$2:$B$116,$A42,交易明細!$J$2:$J$116,"&lt;&gt;未平倉"),0)</f>
        <v/>
      </c>
      <c r="L42" s="2">
        <f>COUNTIFS(交易明細!$B$2:$B$116,$A42,交易明細!$J$2:$J$116,"未平倉")</f>
        <v/>
      </c>
    </row>
    <row r="43">
      <c r="A43" s="2" t="inlineStr">
        <is>
          <t>COLLECT_USDT_PERP</t>
        </is>
      </c>
      <c r="B43" s="2">
        <f>COUNTIFS(交易明細!$B$2:$B$116,$A43)</f>
        <v/>
      </c>
      <c r="C43" s="2">
        <f>COUNTIFS(交易明細!$B$2:$B$116,$A43,交易明細!$C$2:$C$116,"做多")</f>
        <v/>
      </c>
      <c r="D43" s="2">
        <f>COUNTIFS(交易明細!$B$2:$B$116,$A43,交易明細!$C$2:$C$116,"做空")</f>
        <v/>
      </c>
      <c r="E43" s="2">
        <f>F43+G43+COUNTIFS(交易明細!$B$2:$B$116,$A43,交易明細!$J$2:$J$116,"時間出場")</f>
        <v/>
      </c>
      <c r="F43" s="2">
        <f>COUNTIFS(交易明細!$B$2:$B$116,$A43,交易明細!$J$2:$J$116,"止盈")</f>
        <v/>
      </c>
      <c r="G43" s="2">
        <f>COUNTIFS(交易明細!$B$2:$B$116,$A43,交易明細!$J$2:$J$116,"止損")</f>
        <v/>
      </c>
      <c r="H43" s="4">
        <f>IFERROR(F43/E43,0)</f>
        <v/>
      </c>
      <c r="I43" s="4">
        <f>IFERROR(AVERAGEIFS(交易明細!$L$2:$L$116,交易明細!$B$2:$B$116,$A43,交易明細!$J$2:$J$116,"&lt;&gt;未平倉"),0)</f>
        <v/>
      </c>
      <c r="J43" s="4">
        <f>SUMIFS(交易明細!$L$2:$L$116,交易明細!$B$2:$B$116,$A43,交易明細!$J$2:$J$116,"&lt;&gt;未平倉")</f>
        <v/>
      </c>
      <c r="K43" s="5">
        <f>IFERROR(AVERAGEIFS(交易明細!$K$2:$K$116,交易明細!$B$2:$B$116,$A43,交易明細!$J$2:$J$116,"&lt;&gt;未平倉"),0)</f>
        <v/>
      </c>
      <c r="L43" s="2">
        <f>COUNTIFS(交易明細!$B$2:$B$116,$A43,交易明細!$J$2:$J$116,"未平倉")</f>
        <v/>
      </c>
    </row>
    <row r="44">
      <c r="A44" s="2" t="inlineStr">
        <is>
          <t>SOLV_USDT_PERP</t>
        </is>
      </c>
      <c r="B44" s="2">
        <f>COUNTIFS(交易明細!$B$2:$B$116,$A44)</f>
        <v/>
      </c>
      <c r="C44" s="2">
        <f>COUNTIFS(交易明細!$B$2:$B$116,$A44,交易明細!$C$2:$C$116,"做多")</f>
        <v/>
      </c>
      <c r="D44" s="2">
        <f>COUNTIFS(交易明細!$B$2:$B$116,$A44,交易明細!$C$2:$C$116,"做空")</f>
        <v/>
      </c>
      <c r="E44" s="2">
        <f>F44+G44+COUNTIFS(交易明細!$B$2:$B$116,$A44,交易明細!$J$2:$J$116,"時間出場")</f>
        <v/>
      </c>
      <c r="F44" s="2">
        <f>COUNTIFS(交易明細!$B$2:$B$116,$A44,交易明細!$J$2:$J$116,"止盈")</f>
        <v/>
      </c>
      <c r="G44" s="2">
        <f>COUNTIFS(交易明細!$B$2:$B$116,$A44,交易明細!$J$2:$J$116,"止損")</f>
        <v/>
      </c>
      <c r="H44" s="4">
        <f>IFERROR(F44/E44,0)</f>
        <v/>
      </c>
      <c r="I44" s="4">
        <f>IFERROR(AVERAGEIFS(交易明細!$L$2:$L$116,交易明細!$B$2:$B$116,$A44,交易明細!$J$2:$J$116,"&lt;&gt;未平倉"),0)</f>
        <v/>
      </c>
      <c r="J44" s="4">
        <f>SUMIFS(交易明細!$L$2:$L$116,交易明細!$B$2:$B$116,$A44,交易明細!$J$2:$J$116,"&lt;&gt;未平倉")</f>
        <v/>
      </c>
      <c r="K44" s="5">
        <f>IFERROR(AVERAGEIFS(交易明細!$K$2:$K$116,交易明細!$B$2:$B$116,$A44,交易明細!$J$2:$J$116,"&lt;&gt;未平倉"),0)</f>
        <v/>
      </c>
      <c r="L44" s="2">
        <f>COUNTIFS(交易明細!$B$2:$B$116,$A44,交易明細!$J$2:$J$116,"未平倉")</f>
        <v/>
      </c>
    </row>
    <row r="45">
      <c r="A45" s="2" t="inlineStr">
        <is>
          <t>COTI_USDT_PERP</t>
        </is>
      </c>
      <c r="B45" s="2">
        <f>COUNTIFS(交易明細!$B$2:$B$116,$A45)</f>
        <v/>
      </c>
      <c r="C45" s="2">
        <f>COUNTIFS(交易明細!$B$2:$B$116,$A45,交易明細!$C$2:$C$116,"做多")</f>
        <v/>
      </c>
      <c r="D45" s="2">
        <f>COUNTIFS(交易明細!$B$2:$B$116,$A45,交易明細!$C$2:$C$116,"做空")</f>
        <v/>
      </c>
      <c r="E45" s="2">
        <f>F45+G45+COUNTIFS(交易明細!$B$2:$B$116,$A45,交易明細!$J$2:$J$116,"時間出場")</f>
        <v/>
      </c>
      <c r="F45" s="2">
        <f>COUNTIFS(交易明細!$B$2:$B$116,$A45,交易明細!$J$2:$J$116,"止盈")</f>
        <v/>
      </c>
      <c r="G45" s="2">
        <f>COUNTIFS(交易明細!$B$2:$B$116,$A45,交易明細!$J$2:$J$116,"止損")</f>
        <v/>
      </c>
      <c r="H45" s="4">
        <f>IFERROR(F45/E45,0)</f>
        <v/>
      </c>
      <c r="I45" s="4">
        <f>IFERROR(AVERAGEIFS(交易明細!$L$2:$L$116,交易明細!$B$2:$B$116,$A45,交易明細!$J$2:$J$116,"&lt;&gt;未平倉"),0)</f>
        <v/>
      </c>
      <c r="J45" s="4">
        <f>SUMIFS(交易明細!$L$2:$L$116,交易明細!$B$2:$B$116,$A45,交易明細!$J$2:$J$116,"&lt;&gt;未平倉")</f>
        <v/>
      </c>
      <c r="K45" s="5">
        <f>IFERROR(AVERAGEIFS(交易明細!$K$2:$K$116,交易明細!$B$2:$B$116,$A45,交易明細!$J$2:$J$116,"&lt;&gt;未平倉"),0)</f>
        <v/>
      </c>
      <c r="L45" s="2">
        <f>COUNTIFS(交易明細!$B$2:$B$116,$A45,交易明細!$J$2:$J$116,"未平倉")</f>
        <v/>
      </c>
    </row>
    <row r="46">
      <c r="A46" s="2" t="inlineStr">
        <is>
          <t>LAYER_USDT_PERP</t>
        </is>
      </c>
      <c r="B46" s="2">
        <f>COUNTIFS(交易明細!$B$2:$B$116,$A46)</f>
        <v/>
      </c>
      <c r="C46" s="2">
        <f>COUNTIFS(交易明細!$B$2:$B$116,$A46,交易明細!$C$2:$C$116,"做多")</f>
        <v/>
      </c>
      <c r="D46" s="2">
        <f>COUNTIFS(交易明細!$B$2:$B$116,$A46,交易明細!$C$2:$C$116,"做空")</f>
        <v/>
      </c>
      <c r="E46" s="2">
        <f>F46+G46+COUNTIFS(交易明細!$B$2:$B$116,$A46,交易明細!$J$2:$J$116,"時間出場")</f>
        <v/>
      </c>
      <c r="F46" s="2">
        <f>COUNTIFS(交易明細!$B$2:$B$116,$A46,交易明細!$J$2:$J$116,"止盈")</f>
        <v/>
      </c>
      <c r="G46" s="2">
        <f>COUNTIFS(交易明細!$B$2:$B$116,$A46,交易明細!$J$2:$J$116,"止損")</f>
        <v/>
      </c>
      <c r="H46" s="4">
        <f>IFERROR(F46/E46,0)</f>
        <v/>
      </c>
      <c r="I46" s="4">
        <f>IFERROR(AVERAGEIFS(交易明細!$L$2:$L$116,交易明細!$B$2:$B$116,$A46,交易明細!$J$2:$J$116,"&lt;&gt;未平倉"),0)</f>
        <v/>
      </c>
      <c r="J46" s="4">
        <f>SUMIFS(交易明細!$L$2:$L$116,交易明細!$B$2:$B$116,$A46,交易明細!$J$2:$J$116,"&lt;&gt;未平倉")</f>
        <v/>
      </c>
      <c r="K46" s="5">
        <f>IFERROR(AVERAGEIFS(交易明細!$K$2:$K$116,交易明細!$B$2:$B$116,$A46,交易明細!$J$2:$J$116,"&lt;&gt;未平倉"),0)</f>
        <v/>
      </c>
      <c r="L46" s="2">
        <f>COUNTIFS(交易明細!$B$2:$B$116,$A46,交易明細!$J$2:$J$116,"未平倉")</f>
        <v/>
      </c>
    </row>
    <row r="47">
      <c r="A47" s="2" t="inlineStr">
        <is>
          <t>ORCA_USDT_PERP</t>
        </is>
      </c>
      <c r="B47" s="2">
        <f>COUNTIFS(交易明細!$B$2:$B$116,$A47)</f>
        <v/>
      </c>
      <c r="C47" s="2">
        <f>COUNTIFS(交易明細!$B$2:$B$116,$A47,交易明細!$C$2:$C$116,"做多")</f>
        <v/>
      </c>
      <c r="D47" s="2">
        <f>COUNTIFS(交易明細!$B$2:$B$116,$A47,交易明細!$C$2:$C$116,"做空")</f>
        <v/>
      </c>
      <c r="E47" s="2">
        <f>F47+G47+COUNTIFS(交易明細!$B$2:$B$116,$A47,交易明細!$J$2:$J$116,"時間出場")</f>
        <v/>
      </c>
      <c r="F47" s="2">
        <f>COUNTIFS(交易明細!$B$2:$B$116,$A47,交易明細!$J$2:$J$116,"止盈")</f>
        <v/>
      </c>
      <c r="G47" s="2">
        <f>COUNTIFS(交易明細!$B$2:$B$116,$A47,交易明細!$J$2:$J$116,"止損")</f>
        <v/>
      </c>
      <c r="H47" s="4">
        <f>IFERROR(F47/E47,0)</f>
        <v/>
      </c>
      <c r="I47" s="4">
        <f>IFERROR(AVERAGEIFS(交易明細!$L$2:$L$116,交易明細!$B$2:$B$116,$A47,交易明細!$J$2:$J$116,"&lt;&gt;未平倉"),0)</f>
        <v/>
      </c>
      <c r="J47" s="4">
        <f>SUMIFS(交易明細!$L$2:$L$116,交易明細!$B$2:$B$116,$A47,交易明細!$J$2:$J$116,"&lt;&gt;未平倉")</f>
        <v/>
      </c>
      <c r="K47" s="5">
        <f>IFERROR(AVERAGEIFS(交易明細!$K$2:$K$116,交易明細!$B$2:$B$116,$A47,交易明細!$J$2:$J$116,"&lt;&gt;未平倉"),0)</f>
        <v/>
      </c>
      <c r="L47" s="2">
        <f>COUNTIFS(交易明細!$B$2:$B$116,$A47,交易明細!$J$2:$J$116,"未平倉")</f>
        <v/>
      </c>
    </row>
    <row r="48">
      <c r="A48" s="2" t="inlineStr">
        <is>
          <t>CFG_USDT_PERP</t>
        </is>
      </c>
      <c r="B48" s="2">
        <f>COUNTIFS(交易明細!$B$2:$B$116,$A48)</f>
        <v/>
      </c>
      <c r="C48" s="2">
        <f>COUNTIFS(交易明細!$B$2:$B$116,$A48,交易明細!$C$2:$C$116,"做多")</f>
        <v/>
      </c>
      <c r="D48" s="2">
        <f>COUNTIFS(交易明細!$B$2:$B$116,$A48,交易明細!$C$2:$C$116,"做空")</f>
        <v/>
      </c>
      <c r="E48" s="2">
        <f>F48+G48+COUNTIFS(交易明細!$B$2:$B$116,$A48,交易明細!$J$2:$J$116,"時間出場")</f>
        <v/>
      </c>
      <c r="F48" s="2">
        <f>COUNTIFS(交易明細!$B$2:$B$116,$A48,交易明細!$J$2:$J$116,"止盈")</f>
        <v/>
      </c>
      <c r="G48" s="2">
        <f>COUNTIFS(交易明細!$B$2:$B$116,$A48,交易明細!$J$2:$J$116,"止損")</f>
        <v/>
      </c>
      <c r="H48" s="4">
        <f>IFERROR(F48/E48,0)</f>
        <v/>
      </c>
      <c r="I48" s="4">
        <f>IFERROR(AVERAGEIFS(交易明細!$L$2:$L$116,交易明細!$B$2:$B$116,$A48,交易明細!$J$2:$J$116,"&lt;&gt;未平倉"),0)</f>
        <v/>
      </c>
      <c r="J48" s="4">
        <f>SUMIFS(交易明細!$L$2:$L$116,交易明細!$B$2:$B$116,$A48,交易明細!$J$2:$J$116,"&lt;&gt;未平倉")</f>
        <v/>
      </c>
      <c r="K48" s="5">
        <f>IFERROR(AVERAGEIFS(交易明細!$K$2:$K$116,交易明細!$B$2:$B$116,$A48,交易明細!$J$2:$J$116,"&lt;&gt;未平倉"),0)</f>
        <v/>
      </c>
      <c r="L48" s="2">
        <f>COUNTIFS(交易明細!$B$2:$B$116,$A48,交易明細!$J$2:$J$116,"未平倉")</f>
        <v/>
      </c>
    </row>
    <row r="49">
      <c r="A49" s="2" t="inlineStr">
        <is>
          <t>IOST_USDT_PERP</t>
        </is>
      </c>
      <c r="B49" s="2">
        <f>COUNTIFS(交易明細!$B$2:$B$116,$A49)</f>
        <v/>
      </c>
      <c r="C49" s="2">
        <f>COUNTIFS(交易明細!$B$2:$B$116,$A49,交易明細!$C$2:$C$116,"做多")</f>
        <v/>
      </c>
      <c r="D49" s="2">
        <f>COUNTIFS(交易明細!$B$2:$B$116,$A49,交易明細!$C$2:$C$116,"做空")</f>
        <v/>
      </c>
      <c r="E49" s="2">
        <f>F49+G49+COUNTIFS(交易明細!$B$2:$B$116,$A49,交易明細!$J$2:$J$116,"時間出場")</f>
        <v/>
      </c>
      <c r="F49" s="2">
        <f>COUNTIFS(交易明細!$B$2:$B$116,$A49,交易明細!$J$2:$J$116,"止盈")</f>
        <v/>
      </c>
      <c r="G49" s="2">
        <f>COUNTIFS(交易明細!$B$2:$B$116,$A49,交易明細!$J$2:$J$116,"止損")</f>
        <v/>
      </c>
      <c r="H49" s="4">
        <f>IFERROR(F49/E49,0)</f>
        <v/>
      </c>
      <c r="I49" s="4">
        <f>IFERROR(AVERAGEIFS(交易明細!$L$2:$L$116,交易明細!$B$2:$B$116,$A49,交易明細!$J$2:$J$116,"&lt;&gt;未平倉"),0)</f>
        <v/>
      </c>
      <c r="J49" s="4">
        <f>SUMIFS(交易明細!$L$2:$L$116,交易明細!$B$2:$B$116,$A49,交易明細!$J$2:$J$116,"&lt;&gt;未平倉")</f>
        <v/>
      </c>
      <c r="K49" s="5">
        <f>IFERROR(AVERAGEIFS(交易明細!$K$2:$K$116,交易明細!$B$2:$B$116,$A49,交易明細!$J$2:$J$116,"&lt;&gt;未平倉"),0)</f>
        <v/>
      </c>
      <c r="L49" s="2">
        <f>COUNTIFS(交易明細!$B$2:$B$116,$A49,交易明細!$J$2:$J$116,"未平倉")</f>
        <v/>
      </c>
    </row>
    <row r="50">
      <c r="A50" s="2" t="inlineStr">
        <is>
          <t>PIEVERSE_USDT_PERP</t>
        </is>
      </c>
      <c r="B50" s="2">
        <f>COUNTIFS(交易明細!$B$2:$B$116,$A50)</f>
        <v/>
      </c>
      <c r="C50" s="2">
        <f>COUNTIFS(交易明細!$B$2:$B$116,$A50,交易明細!$C$2:$C$116,"做多")</f>
        <v/>
      </c>
      <c r="D50" s="2">
        <f>COUNTIFS(交易明細!$B$2:$B$116,$A50,交易明細!$C$2:$C$116,"做空")</f>
        <v/>
      </c>
      <c r="E50" s="2">
        <f>F50+G50+COUNTIFS(交易明細!$B$2:$B$116,$A50,交易明細!$J$2:$J$116,"時間出場")</f>
        <v/>
      </c>
      <c r="F50" s="2">
        <f>COUNTIFS(交易明細!$B$2:$B$116,$A50,交易明細!$J$2:$J$116,"止盈")</f>
        <v/>
      </c>
      <c r="G50" s="2">
        <f>COUNTIFS(交易明細!$B$2:$B$116,$A50,交易明細!$J$2:$J$116,"止損")</f>
        <v/>
      </c>
      <c r="H50" s="4">
        <f>IFERROR(F50/E50,0)</f>
        <v/>
      </c>
      <c r="I50" s="4">
        <f>IFERROR(AVERAGEIFS(交易明細!$L$2:$L$116,交易明細!$B$2:$B$116,$A50,交易明細!$J$2:$J$116,"&lt;&gt;未平倉"),0)</f>
        <v/>
      </c>
      <c r="J50" s="4">
        <f>SUMIFS(交易明細!$L$2:$L$116,交易明細!$B$2:$B$116,$A50,交易明細!$J$2:$J$116,"&lt;&gt;未平倉")</f>
        <v/>
      </c>
      <c r="K50" s="5">
        <f>IFERROR(AVERAGEIFS(交易明細!$K$2:$K$116,交易明細!$B$2:$B$116,$A50,交易明細!$J$2:$J$116,"&lt;&gt;未平倉"),0)</f>
        <v/>
      </c>
      <c r="L50" s="2">
        <f>COUNTIFS(交易明細!$B$2:$B$116,$A50,交易明細!$J$2:$J$116,"未平倉")</f>
        <v/>
      </c>
    </row>
    <row r="51">
      <c r="A51" s="2" t="inlineStr">
        <is>
          <t>HAEDAL_USDT_PERP</t>
        </is>
      </c>
      <c r="B51" s="2">
        <f>COUNTIFS(交易明細!$B$2:$B$116,$A51)</f>
        <v/>
      </c>
      <c r="C51" s="2">
        <f>COUNTIFS(交易明細!$B$2:$B$116,$A51,交易明細!$C$2:$C$116,"做多")</f>
        <v/>
      </c>
      <c r="D51" s="2">
        <f>COUNTIFS(交易明細!$B$2:$B$116,$A51,交易明細!$C$2:$C$116,"做空")</f>
        <v/>
      </c>
      <c r="E51" s="2">
        <f>F51+G51+COUNTIFS(交易明細!$B$2:$B$116,$A51,交易明細!$J$2:$J$116,"時間出場")</f>
        <v/>
      </c>
      <c r="F51" s="2">
        <f>COUNTIFS(交易明細!$B$2:$B$116,$A51,交易明細!$J$2:$J$116,"止盈")</f>
        <v/>
      </c>
      <c r="G51" s="2">
        <f>COUNTIFS(交易明細!$B$2:$B$116,$A51,交易明細!$J$2:$J$116,"止損")</f>
        <v/>
      </c>
      <c r="H51" s="4">
        <f>IFERROR(F51/E51,0)</f>
        <v/>
      </c>
      <c r="I51" s="4">
        <f>IFERROR(AVERAGEIFS(交易明細!$L$2:$L$116,交易明細!$B$2:$B$116,$A51,交易明細!$J$2:$J$116,"&lt;&gt;未平倉"),0)</f>
        <v/>
      </c>
      <c r="J51" s="4">
        <f>SUMIFS(交易明細!$L$2:$L$116,交易明細!$B$2:$B$116,$A51,交易明細!$J$2:$J$116,"&lt;&gt;未平倉")</f>
        <v/>
      </c>
      <c r="K51" s="5">
        <f>IFERROR(AVERAGEIFS(交易明細!$K$2:$K$116,交易明細!$B$2:$B$116,$A51,交易明細!$J$2:$J$116,"&lt;&gt;未平倉"),0)</f>
        <v/>
      </c>
      <c r="L51" s="2">
        <f>COUNTIFS(交易明細!$B$2:$B$116,$A51,交易明細!$J$2:$J$116,"未平倉")</f>
        <v/>
      </c>
    </row>
    <row r="52">
      <c r="A52" s="2" t="inlineStr">
        <is>
          <t>ON_USDT_PERP</t>
        </is>
      </c>
      <c r="B52" s="2">
        <f>COUNTIFS(交易明細!$B$2:$B$116,$A52)</f>
        <v/>
      </c>
      <c r="C52" s="2">
        <f>COUNTIFS(交易明細!$B$2:$B$116,$A52,交易明細!$C$2:$C$116,"做多")</f>
        <v/>
      </c>
      <c r="D52" s="2">
        <f>COUNTIFS(交易明細!$B$2:$B$116,$A52,交易明細!$C$2:$C$116,"做空")</f>
        <v/>
      </c>
      <c r="E52" s="2">
        <f>F52+G52+COUNTIFS(交易明細!$B$2:$B$116,$A52,交易明細!$J$2:$J$116,"時間出場")</f>
        <v/>
      </c>
      <c r="F52" s="2">
        <f>COUNTIFS(交易明細!$B$2:$B$116,$A52,交易明細!$J$2:$J$116,"止盈")</f>
        <v/>
      </c>
      <c r="G52" s="2">
        <f>COUNTIFS(交易明細!$B$2:$B$116,$A52,交易明細!$J$2:$J$116,"止損")</f>
        <v/>
      </c>
      <c r="H52" s="4">
        <f>IFERROR(F52/E52,0)</f>
        <v/>
      </c>
      <c r="I52" s="4">
        <f>IFERROR(AVERAGEIFS(交易明細!$L$2:$L$116,交易明細!$B$2:$B$116,$A52,交易明細!$J$2:$J$116,"&lt;&gt;未平倉"),0)</f>
        <v/>
      </c>
      <c r="J52" s="4">
        <f>SUMIFS(交易明細!$L$2:$L$116,交易明細!$B$2:$B$116,$A52,交易明細!$J$2:$J$116,"&lt;&gt;未平倉")</f>
        <v/>
      </c>
      <c r="K52" s="5">
        <f>IFERROR(AVERAGEIFS(交易明細!$K$2:$K$116,交易明細!$B$2:$B$116,$A52,交易明細!$J$2:$J$116,"&lt;&gt;未平倉"),0)</f>
        <v/>
      </c>
      <c r="L52" s="2">
        <f>COUNTIFS(交易明細!$B$2:$B$116,$A52,交易明細!$J$2:$J$116,"未平倉")</f>
        <v/>
      </c>
    </row>
    <row r="53">
      <c r="A53" s="2" t="inlineStr">
        <is>
          <t>KAT_USDT_PERP</t>
        </is>
      </c>
      <c r="B53" s="2">
        <f>COUNTIFS(交易明細!$B$2:$B$116,$A53)</f>
        <v/>
      </c>
      <c r="C53" s="2">
        <f>COUNTIFS(交易明細!$B$2:$B$116,$A53,交易明細!$C$2:$C$116,"做多")</f>
        <v/>
      </c>
      <c r="D53" s="2">
        <f>COUNTIFS(交易明細!$B$2:$B$116,$A53,交易明細!$C$2:$C$116,"做空")</f>
        <v/>
      </c>
      <c r="E53" s="2">
        <f>F53+G53+COUNTIFS(交易明細!$B$2:$B$116,$A53,交易明細!$J$2:$J$116,"時間出場")</f>
        <v/>
      </c>
      <c r="F53" s="2">
        <f>COUNTIFS(交易明細!$B$2:$B$116,$A53,交易明細!$J$2:$J$116,"止盈")</f>
        <v/>
      </c>
      <c r="G53" s="2">
        <f>COUNTIFS(交易明細!$B$2:$B$116,$A53,交易明細!$J$2:$J$116,"止損")</f>
        <v/>
      </c>
      <c r="H53" s="4">
        <f>IFERROR(F53/E53,0)</f>
        <v/>
      </c>
      <c r="I53" s="4">
        <f>IFERROR(AVERAGEIFS(交易明細!$L$2:$L$116,交易明細!$B$2:$B$116,$A53,交易明細!$J$2:$J$116,"&lt;&gt;未平倉"),0)</f>
        <v/>
      </c>
      <c r="J53" s="4">
        <f>SUMIFS(交易明細!$L$2:$L$116,交易明細!$B$2:$B$116,$A53,交易明細!$J$2:$J$116,"&lt;&gt;未平倉")</f>
        <v/>
      </c>
      <c r="K53" s="5">
        <f>IFERROR(AVERAGEIFS(交易明細!$K$2:$K$116,交易明細!$B$2:$B$116,$A53,交易明細!$J$2:$J$116,"&lt;&gt;未平倉"),0)</f>
        <v/>
      </c>
      <c r="L53" s="2">
        <f>COUNTIFS(交易明細!$B$2:$B$116,$A53,交易明細!$J$2:$J$116,"未平倉")</f>
        <v/>
      </c>
    </row>
    <row r="54">
      <c r="A54" s="2" t="inlineStr">
        <is>
          <t>PROS_USDT_PERP</t>
        </is>
      </c>
      <c r="B54" s="2">
        <f>COUNTIFS(交易明細!$B$2:$B$116,$A54)</f>
        <v/>
      </c>
      <c r="C54" s="2">
        <f>COUNTIFS(交易明細!$B$2:$B$116,$A54,交易明細!$C$2:$C$116,"做多")</f>
        <v/>
      </c>
      <c r="D54" s="2">
        <f>COUNTIFS(交易明細!$B$2:$B$116,$A54,交易明細!$C$2:$C$116,"做空")</f>
        <v/>
      </c>
      <c r="E54" s="2">
        <f>F54+G54+COUNTIFS(交易明細!$B$2:$B$116,$A54,交易明細!$J$2:$J$116,"時間出場")</f>
        <v/>
      </c>
      <c r="F54" s="2">
        <f>COUNTIFS(交易明細!$B$2:$B$116,$A54,交易明細!$J$2:$J$116,"止盈")</f>
        <v/>
      </c>
      <c r="G54" s="2">
        <f>COUNTIFS(交易明細!$B$2:$B$116,$A54,交易明細!$J$2:$J$116,"止損")</f>
        <v/>
      </c>
      <c r="H54" s="4">
        <f>IFERROR(F54/E54,0)</f>
        <v/>
      </c>
      <c r="I54" s="4">
        <f>IFERROR(AVERAGEIFS(交易明細!$L$2:$L$116,交易明細!$B$2:$B$116,$A54,交易明細!$J$2:$J$116,"&lt;&gt;未平倉"),0)</f>
        <v/>
      </c>
      <c r="J54" s="4">
        <f>SUMIFS(交易明細!$L$2:$L$116,交易明細!$B$2:$B$116,$A54,交易明細!$J$2:$J$116,"&lt;&gt;未平倉")</f>
        <v/>
      </c>
      <c r="K54" s="5">
        <f>IFERROR(AVERAGEIFS(交易明細!$K$2:$K$116,交易明細!$B$2:$B$116,$A54,交易明細!$J$2:$J$116,"&lt;&gt;未平倉"),0)</f>
        <v/>
      </c>
      <c r="L54" s="2">
        <f>COUNTIFS(交易明細!$B$2:$B$116,$A54,交易明細!$J$2:$J$116,"未平倉")</f>
        <v/>
      </c>
    </row>
    <row r="55">
      <c r="A55" s="2" t="inlineStr">
        <is>
          <t>PHA_USDT_PERP</t>
        </is>
      </c>
      <c r="B55" s="2">
        <f>COUNTIFS(交易明細!$B$2:$B$116,$A55)</f>
        <v/>
      </c>
      <c r="C55" s="2">
        <f>COUNTIFS(交易明細!$B$2:$B$116,$A55,交易明細!$C$2:$C$116,"做多")</f>
        <v/>
      </c>
      <c r="D55" s="2">
        <f>COUNTIFS(交易明細!$B$2:$B$116,$A55,交易明細!$C$2:$C$116,"做空")</f>
        <v/>
      </c>
      <c r="E55" s="2">
        <f>F55+G55+COUNTIFS(交易明細!$B$2:$B$116,$A55,交易明細!$J$2:$J$116,"時間出場")</f>
        <v/>
      </c>
      <c r="F55" s="2">
        <f>COUNTIFS(交易明細!$B$2:$B$116,$A55,交易明細!$J$2:$J$116,"止盈")</f>
        <v/>
      </c>
      <c r="G55" s="2">
        <f>COUNTIFS(交易明細!$B$2:$B$116,$A55,交易明細!$J$2:$J$116,"止損")</f>
        <v/>
      </c>
      <c r="H55" s="4">
        <f>IFERROR(F55/E55,0)</f>
        <v/>
      </c>
      <c r="I55" s="4">
        <f>IFERROR(AVERAGEIFS(交易明細!$L$2:$L$116,交易明細!$B$2:$B$116,$A55,交易明細!$J$2:$J$116,"&lt;&gt;未平倉"),0)</f>
        <v/>
      </c>
      <c r="J55" s="4">
        <f>SUMIFS(交易明細!$L$2:$L$116,交易明細!$B$2:$B$116,$A55,交易明細!$J$2:$J$116,"&lt;&gt;未平倉")</f>
        <v/>
      </c>
      <c r="K55" s="5">
        <f>IFERROR(AVERAGEIFS(交易明細!$K$2:$K$116,交易明細!$B$2:$B$116,$A55,交易明細!$J$2:$J$116,"&lt;&gt;未平倉"),0)</f>
        <v/>
      </c>
      <c r="L55" s="2">
        <f>COUNTIFS(交易明細!$B$2:$B$116,$A55,交易明細!$J$2:$J$116,"未平倉")</f>
        <v/>
      </c>
    </row>
    <row r="56">
      <c r="A56" s="2" t="inlineStr">
        <is>
          <t>ANIME_USDT_PERP</t>
        </is>
      </c>
      <c r="B56" s="2">
        <f>COUNTIFS(交易明細!$B$2:$B$116,$A56)</f>
        <v/>
      </c>
      <c r="C56" s="2">
        <f>COUNTIFS(交易明細!$B$2:$B$116,$A56,交易明細!$C$2:$C$116,"做多")</f>
        <v/>
      </c>
      <c r="D56" s="2">
        <f>COUNTIFS(交易明細!$B$2:$B$116,$A56,交易明細!$C$2:$C$116,"做空")</f>
        <v/>
      </c>
      <c r="E56" s="2">
        <f>F56+G56+COUNTIFS(交易明細!$B$2:$B$116,$A56,交易明細!$J$2:$J$116,"時間出場")</f>
        <v/>
      </c>
      <c r="F56" s="2">
        <f>COUNTIFS(交易明細!$B$2:$B$116,$A56,交易明細!$J$2:$J$116,"止盈")</f>
        <v/>
      </c>
      <c r="G56" s="2">
        <f>COUNTIFS(交易明細!$B$2:$B$116,$A56,交易明細!$J$2:$J$116,"止損")</f>
        <v/>
      </c>
      <c r="H56" s="4">
        <f>IFERROR(F56/E56,0)</f>
        <v/>
      </c>
      <c r="I56" s="4">
        <f>IFERROR(AVERAGEIFS(交易明細!$L$2:$L$116,交易明細!$B$2:$B$116,$A56,交易明細!$J$2:$J$116,"&lt;&gt;未平倉"),0)</f>
        <v/>
      </c>
      <c r="J56" s="4">
        <f>SUMIFS(交易明細!$L$2:$L$116,交易明細!$B$2:$B$116,$A56,交易明細!$J$2:$J$116,"&lt;&gt;未平倉")</f>
        <v/>
      </c>
      <c r="K56" s="5">
        <f>IFERROR(AVERAGEIFS(交易明細!$K$2:$K$116,交易明細!$B$2:$B$116,$A56,交易明細!$J$2:$J$116,"&lt;&gt;未平倉"),0)</f>
        <v/>
      </c>
      <c r="L56" s="2">
        <f>COUNTIFS(交易明細!$B$2:$B$116,$A56,交易明細!$J$2:$J$116,"未平倉")</f>
        <v/>
      </c>
    </row>
    <row r="57">
      <c r="A57" s="2" t="inlineStr">
        <is>
          <t>SAGA_USDT_PERP</t>
        </is>
      </c>
      <c r="B57" s="2">
        <f>COUNTIFS(交易明細!$B$2:$B$116,$A57)</f>
        <v/>
      </c>
      <c r="C57" s="2">
        <f>COUNTIFS(交易明細!$B$2:$B$116,$A57,交易明細!$C$2:$C$116,"做多")</f>
        <v/>
      </c>
      <c r="D57" s="2">
        <f>COUNTIFS(交易明細!$B$2:$B$116,$A57,交易明細!$C$2:$C$116,"做空")</f>
        <v/>
      </c>
      <c r="E57" s="2">
        <f>F57+G57+COUNTIFS(交易明細!$B$2:$B$116,$A57,交易明細!$J$2:$J$116,"時間出場")</f>
        <v/>
      </c>
      <c r="F57" s="2">
        <f>COUNTIFS(交易明細!$B$2:$B$116,$A57,交易明細!$J$2:$J$116,"止盈")</f>
        <v/>
      </c>
      <c r="G57" s="2">
        <f>COUNTIFS(交易明細!$B$2:$B$116,$A57,交易明細!$J$2:$J$116,"止損")</f>
        <v/>
      </c>
      <c r="H57" s="4">
        <f>IFERROR(F57/E57,0)</f>
        <v/>
      </c>
      <c r="I57" s="4">
        <f>IFERROR(AVERAGEIFS(交易明細!$L$2:$L$116,交易明細!$B$2:$B$116,$A57,交易明細!$J$2:$J$116,"&lt;&gt;未平倉"),0)</f>
        <v/>
      </c>
      <c r="J57" s="4">
        <f>SUMIFS(交易明細!$L$2:$L$116,交易明細!$B$2:$B$116,$A57,交易明細!$J$2:$J$116,"&lt;&gt;未平倉")</f>
        <v/>
      </c>
      <c r="K57" s="5">
        <f>IFERROR(AVERAGEIFS(交易明細!$K$2:$K$116,交易明細!$B$2:$B$116,$A57,交易明細!$J$2:$J$116,"&lt;&gt;未平倉"),0)</f>
        <v/>
      </c>
      <c r="L57" s="2">
        <f>COUNTIFS(交易明細!$B$2:$B$116,$A57,交易明細!$J$2:$J$116,"未平倉")</f>
        <v/>
      </c>
    </row>
    <row r="58">
      <c r="A58" s="2" t="inlineStr">
        <is>
          <t>LAB_USDT_PERP</t>
        </is>
      </c>
      <c r="B58" s="2">
        <f>COUNTIFS(交易明細!$B$2:$B$116,$A58)</f>
        <v/>
      </c>
      <c r="C58" s="2">
        <f>COUNTIFS(交易明細!$B$2:$B$116,$A58,交易明細!$C$2:$C$116,"做多")</f>
        <v/>
      </c>
      <c r="D58" s="2">
        <f>COUNTIFS(交易明細!$B$2:$B$116,$A58,交易明細!$C$2:$C$116,"做空")</f>
        <v/>
      </c>
      <c r="E58" s="2">
        <f>F58+G58+COUNTIFS(交易明細!$B$2:$B$116,$A58,交易明細!$J$2:$J$116,"時間出場")</f>
        <v/>
      </c>
      <c r="F58" s="2">
        <f>COUNTIFS(交易明細!$B$2:$B$116,$A58,交易明細!$J$2:$J$116,"止盈")</f>
        <v/>
      </c>
      <c r="G58" s="2">
        <f>COUNTIFS(交易明細!$B$2:$B$116,$A58,交易明細!$J$2:$J$116,"止損")</f>
        <v/>
      </c>
      <c r="H58" s="4">
        <f>IFERROR(F58/E58,0)</f>
        <v/>
      </c>
      <c r="I58" s="4">
        <f>IFERROR(AVERAGEIFS(交易明細!$L$2:$L$116,交易明細!$B$2:$B$116,$A58,交易明細!$J$2:$J$116,"&lt;&gt;未平倉"),0)</f>
        <v/>
      </c>
      <c r="J58" s="4">
        <f>SUMIFS(交易明細!$L$2:$L$116,交易明細!$B$2:$B$116,$A58,交易明細!$J$2:$J$116,"&lt;&gt;未平倉")</f>
        <v/>
      </c>
      <c r="K58" s="5">
        <f>IFERROR(AVERAGEIFS(交易明細!$K$2:$K$116,交易明細!$B$2:$B$116,$A58,交易明細!$J$2:$J$116,"&lt;&gt;未平倉"),0)</f>
        <v/>
      </c>
      <c r="L58" s="2">
        <f>COUNTIFS(交易明細!$B$2:$B$116,$A58,交易明細!$J$2:$J$116,"未平倉")</f>
        <v/>
      </c>
    </row>
    <row r="59">
      <c r="A59" s="2" t="inlineStr">
        <is>
          <t>CASHCAT_USDT_PERP</t>
        </is>
      </c>
      <c r="B59" s="2">
        <f>COUNTIFS(交易明細!$B$2:$B$116,$A59)</f>
        <v/>
      </c>
      <c r="C59" s="2">
        <f>COUNTIFS(交易明細!$B$2:$B$116,$A59,交易明細!$C$2:$C$116,"做多")</f>
        <v/>
      </c>
      <c r="D59" s="2">
        <f>COUNTIFS(交易明細!$B$2:$B$116,$A59,交易明細!$C$2:$C$116,"做空")</f>
        <v/>
      </c>
      <c r="E59" s="2">
        <f>F59+G59+COUNTIFS(交易明細!$B$2:$B$116,$A59,交易明細!$J$2:$J$116,"時間出場")</f>
        <v/>
      </c>
      <c r="F59" s="2">
        <f>COUNTIFS(交易明細!$B$2:$B$116,$A59,交易明細!$J$2:$J$116,"止盈")</f>
        <v/>
      </c>
      <c r="G59" s="2">
        <f>COUNTIFS(交易明細!$B$2:$B$116,$A59,交易明細!$J$2:$J$116,"止損")</f>
        <v/>
      </c>
      <c r="H59" s="4">
        <f>IFERROR(F59/E59,0)</f>
        <v/>
      </c>
      <c r="I59" s="4">
        <f>IFERROR(AVERAGEIFS(交易明細!$L$2:$L$116,交易明細!$B$2:$B$116,$A59,交易明細!$J$2:$J$116,"&lt;&gt;未平倉"),0)</f>
        <v/>
      </c>
      <c r="J59" s="4">
        <f>SUMIFS(交易明細!$L$2:$L$116,交易明細!$B$2:$B$116,$A59,交易明細!$J$2:$J$116,"&lt;&gt;未平倉")</f>
        <v/>
      </c>
      <c r="K59" s="5">
        <f>IFERROR(AVERAGEIFS(交易明細!$K$2:$K$116,交易明細!$B$2:$B$116,$A59,交易明細!$J$2:$J$116,"&lt;&gt;未平倉"),0)</f>
        <v/>
      </c>
      <c r="L59" s="2">
        <f>COUNTIFS(交易明細!$B$2:$B$116,$A59,交易明細!$J$2:$J$116,"未平倉")</f>
        <v/>
      </c>
    </row>
    <row r="60">
      <c r="A60" s="2" t="inlineStr">
        <is>
          <t>BLUR_USDT_PERP</t>
        </is>
      </c>
      <c r="B60" s="2">
        <f>COUNTIFS(交易明細!$B$2:$B$116,$A60)</f>
        <v/>
      </c>
      <c r="C60" s="2">
        <f>COUNTIFS(交易明細!$B$2:$B$116,$A60,交易明細!$C$2:$C$116,"做多")</f>
        <v/>
      </c>
      <c r="D60" s="2">
        <f>COUNTIFS(交易明細!$B$2:$B$116,$A60,交易明細!$C$2:$C$116,"做空")</f>
        <v/>
      </c>
      <c r="E60" s="2">
        <f>F60+G60+COUNTIFS(交易明細!$B$2:$B$116,$A60,交易明細!$J$2:$J$116,"時間出場")</f>
        <v/>
      </c>
      <c r="F60" s="2">
        <f>COUNTIFS(交易明細!$B$2:$B$116,$A60,交易明細!$J$2:$J$116,"止盈")</f>
        <v/>
      </c>
      <c r="G60" s="2">
        <f>COUNTIFS(交易明細!$B$2:$B$116,$A60,交易明細!$J$2:$J$116,"止損")</f>
        <v/>
      </c>
      <c r="H60" s="4">
        <f>IFERROR(F60/E60,0)</f>
        <v/>
      </c>
      <c r="I60" s="4">
        <f>IFERROR(AVERAGEIFS(交易明細!$L$2:$L$116,交易明細!$B$2:$B$116,$A60,交易明細!$J$2:$J$116,"&lt;&gt;未平倉"),0)</f>
        <v/>
      </c>
      <c r="J60" s="4">
        <f>SUMIFS(交易明細!$L$2:$L$116,交易明細!$B$2:$B$116,$A60,交易明細!$J$2:$J$116,"&lt;&gt;未平倉")</f>
        <v/>
      </c>
      <c r="K60" s="5">
        <f>IFERROR(AVERAGEIFS(交易明細!$K$2:$K$116,交易明細!$B$2:$B$116,$A60,交易明細!$J$2:$J$116,"&lt;&gt;未平倉"),0)</f>
        <v/>
      </c>
      <c r="L60" s="2">
        <f>COUNTIFS(交易明細!$B$2:$B$116,$A60,交易明細!$J$2:$J$116,"未平倉")</f>
        <v/>
      </c>
    </row>
    <row r="61">
      <c r="A61" s="2" t="inlineStr">
        <is>
          <t>CYS_USDT_PERP</t>
        </is>
      </c>
      <c r="B61" s="2">
        <f>COUNTIFS(交易明細!$B$2:$B$116,$A61)</f>
        <v/>
      </c>
      <c r="C61" s="2">
        <f>COUNTIFS(交易明細!$B$2:$B$116,$A61,交易明細!$C$2:$C$116,"做多")</f>
        <v/>
      </c>
      <c r="D61" s="2">
        <f>COUNTIFS(交易明細!$B$2:$B$116,$A61,交易明細!$C$2:$C$116,"做空")</f>
        <v/>
      </c>
      <c r="E61" s="2">
        <f>F61+G61+COUNTIFS(交易明細!$B$2:$B$116,$A61,交易明細!$J$2:$J$116,"時間出場")</f>
        <v/>
      </c>
      <c r="F61" s="2">
        <f>COUNTIFS(交易明細!$B$2:$B$116,$A61,交易明細!$J$2:$J$116,"止盈")</f>
        <v/>
      </c>
      <c r="G61" s="2">
        <f>COUNTIFS(交易明細!$B$2:$B$116,$A61,交易明細!$J$2:$J$116,"止損")</f>
        <v/>
      </c>
      <c r="H61" s="4">
        <f>IFERROR(F61/E61,0)</f>
        <v/>
      </c>
      <c r="I61" s="4">
        <f>IFERROR(AVERAGEIFS(交易明細!$L$2:$L$116,交易明細!$B$2:$B$116,$A61,交易明細!$J$2:$J$116,"&lt;&gt;未平倉"),0)</f>
        <v/>
      </c>
      <c r="J61" s="4">
        <f>SUMIFS(交易明細!$L$2:$L$116,交易明細!$B$2:$B$116,$A61,交易明細!$J$2:$J$116,"&lt;&gt;未平倉")</f>
        <v/>
      </c>
      <c r="K61" s="5">
        <f>IFERROR(AVERAGEIFS(交易明細!$K$2:$K$116,交易明細!$B$2:$B$116,$A61,交易明細!$J$2:$J$116,"&lt;&gt;未平倉"),0)</f>
        <v/>
      </c>
      <c r="L61" s="2">
        <f>COUNTIFS(交易明細!$B$2:$B$116,$A61,交易明細!$J$2:$J$116,"未平倉")</f>
        <v/>
      </c>
    </row>
    <row r="62">
      <c r="A62" s="2" t="inlineStr">
        <is>
          <t>TREE_USDT_PERP</t>
        </is>
      </c>
      <c r="B62" s="2">
        <f>COUNTIFS(交易明細!$B$2:$B$116,$A62)</f>
        <v/>
      </c>
      <c r="C62" s="2">
        <f>COUNTIFS(交易明細!$B$2:$B$116,$A62,交易明細!$C$2:$C$116,"做多")</f>
        <v/>
      </c>
      <c r="D62" s="2">
        <f>COUNTIFS(交易明細!$B$2:$B$116,$A62,交易明細!$C$2:$C$116,"做空")</f>
        <v/>
      </c>
      <c r="E62" s="2">
        <f>F62+G62+COUNTIFS(交易明細!$B$2:$B$116,$A62,交易明細!$J$2:$J$116,"時間出場")</f>
        <v/>
      </c>
      <c r="F62" s="2">
        <f>COUNTIFS(交易明細!$B$2:$B$116,$A62,交易明細!$J$2:$J$116,"止盈")</f>
        <v/>
      </c>
      <c r="G62" s="2">
        <f>COUNTIFS(交易明細!$B$2:$B$116,$A62,交易明細!$J$2:$J$116,"止損")</f>
        <v/>
      </c>
      <c r="H62" s="4">
        <f>IFERROR(F62/E62,0)</f>
        <v/>
      </c>
      <c r="I62" s="4">
        <f>IFERROR(AVERAGEIFS(交易明細!$L$2:$L$116,交易明細!$B$2:$B$116,$A62,交易明細!$J$2:$J$116,"&lt;&gt;未平倉"),0)</f>
        <v/>
      </c>
      <c r="J62" s="4">
        <f>SUMIFS(交易明細!$L$2:$L$116,交易明細!$B$2:$B$116,$A62,交易明細!$J$2:$J$116,"&lt;&gt;未平倉")</f>
        <v/>
      </c>
      <c r="K62" s="5">
        <f>IFERROR(AVERAGEIFS(交易明細!$K$2:$K$116,交易明細!$B$2:$B$116,$A62,交易明細!$J$2:$J$116,"&lt;&gt;未平倉"),0)</f>
        <v/>
      </c>
      <c r="L62" s="2">
        <f>COUNTIFS(交易明細!$B$2:$B$116,$A62,交易明細!$J$2:$J$116,"未平倉")</f>
        <v/>
      </c>
    </row>
    <row r="63">
      <c r="A63" s="2" t="inlineStr">
        <is>
          <t>GRIFFAIN_USDT_PERP</t>
        </is>
      </c>
      <c r="B63" s="2">
        <f>COUNTIFS(交易明細!$B$2:$B$116,$A63)</f>
        <v/>
      </c>
      <c r="C63" s="2">
        <f>COUNTIFS(交易明細!$B$2:$B$116,$A63,交易明細!$C$2:$C$116,"做多")</f>
        <v/>
      </c>
      <c r="D63" s="2">
        <f>COUNTIFS(交易明細!$B$2:$B$116,$A63,交易明細!$C$2:$C$116,"做空")</f>
        <v/>
      </c>
      <c r="E63" s="2">
        <f>F63+G63+COUNTIFS(交易明細!$B$2:$B$116,$A63,交易明細!$J$2:$J$116,"時間出場")</f>
        <v/>
      </c>
      <c r="F63" s="2">
        <f>COUNTIFS(交易明細!$B$2:$B$116,$A63,交易明細!$J$2:$J$116,"止盈")</f>
        <v/>
      </c>
      <c r="G63" s="2">
        <f>COUNTIFS(交易明細!$B$2:$B$116,$A63,交易明細!$J$2:$J$116,"止損")</f>
        <v/>
      </c>
      <c r="H63" s="4">
        <f>IFERROR(F63/E63,0)</f>
        <v/>
      </c>
      <c r="I63" s="4">
        <f>IFERROR(AVERAGEIFS(交易明細!$L$2:$L$116,交易明細!$B$2:$B$116,$A63,交易明細!$J$2:$J$116,"&lt;&gt;未平倉"),0)</f>
        <v/>
      </c>
      <c r="J63" s="4">
        <f>SUMIFS(交易明細!$L$2:$L$116,交易明細!$B$2:$B$116,$A63,交易明細!$J$2:$J$116,"&lt;&gt;未平倉")</f>
        <v/>
      </c>
      <c r="K63" s="5">
        <f>IFERROR(AVERAGEIFS(交易明細!$K$2:$K$116,交易明細!$B$2:$B$116,$A63,交易明細!$J$2:$J$116,"&lt;&gt;未平倉"),0)</f>
        <v/>
      </c>
      <c r="L63" s="2">
        <f>COUNTIFS(交易明細!$B$2:$B$116,$A63,交易明細!$J$2:$J$116,"未平倉")</f>
        <v/>
      </c>
    </row>
    <row r="64">
      <c r="A64" s="2" t="inlineStr">
        <is>
          <t>TA_USDT_PERP</t>
        </is>
      </c>
      <c r="B64" s="2">
        <f>COUNTIFS(交易明細!$B$2:$B$116,$A64)</f>
        <v/>
      </c>
      <c r="C64" s="2">
        <f>COUNTIFS(交易明細!$B$2:$B$116,$A64,交易明細!$C$2:$C$116,"做多")</f>
        <v/>
      </c>
      <c r="D64" s="2">
        <f>COUNTIFS(交易明細!$B$2:$B$116,$A64,交易明細!$C$2:$C$116,"做空")</f>
        <v/>
      </c>
      <c r="E64" s="2">
        <f>F64+G64+COUNTIFS(交易明細!$B$2:$B$116,$A64,交易明細!$J$2:$J$116,"時間出場")</f>
        <v/>
      </c>
      <c r="F64" s="2">
        <f>COUNTIFS(交易明細!$B$2:$B$116,$A64,交易明細!$J$2:$J$116,"止盈")</f>
        <v/>
      </c>
      <c r="G64" s="2">
        <f>COUNTIFS(交易明細!$B$2:$B$116,$A64,交易明細!$J$2:$J$116,"止損")</f>
        <v/>
      </c>
      <c r="H64" s="4">
        <f>IFERROR(F64/E64,0)</f>
        <v/>
      </c>
      <c r="I64" s="4">
        <f>IFERROR(AVERAGEIFS(交易明細!$L$2:$L$116,交易明細!$B$2:$B$116,$A64,交易明細!$J$2:$J$116,"&lt;&gt;未平倉"),0)</f>
        <v/>
      </c>
      <c r="J64" s="4">
        <f>SUMIFS(交易明細!$L$2:$L$116,交易明細!$B$2:$B$116,$A64,交易明細!$J$2:$J$116,"&lt;&gt;未平倉")</f>
        <v/>
      </c>
      <c r="K64" s="5">
        <f>IFERROR(AVERAGEIFS(交易明細!$K$2:$K$116,交易明細!$B$2:$B$116,$A64,交易明細!$J$2:$J$116,"&lt;&gt;未平倉"),0)</f>
        <v/>
      </c>
      <c r="L64" s="2">
        <f>COUNTIFS(交易明細!$B$2:$B$116,$A64,交易明細!$J$2:$J$116,"未平倉")</f>
        <v/>
      </c>
    </row>
    <row r="65">
      <c r="A65" s="2" t="inlineStr">
        <is>
          <t>BR_USDT_PERP</t>
        </is>
      </c>
      <c r="B65" s="2">
        <f>COUNTIFS(交易明細!$B$2:$B$116,$A65)</f>
        <v/>
      </c>
      <c r="C65" s="2">
        <f>COUNTIFS(交易明細!$B$2:$B$116,$A65,交易明細!$C$2:$C$116,"做多")</f>
        <v/>
      </c>
      <c r="D65" s="2">
        <f>COUNTIFS(交易明細!$B$2:$B$116,$A65,交易明細!$C$2:$C$116,"做空")</f>
        <v/>
      </c>
      <c r="E65" s="2">
        <f>F65+G65+COUNTIFS(交易明細!$B$2:$B$116,$A65,交易明細!$J$2:$J$116,"時間出場")</f>
        <v/>
      </c>
      <c r="F65" s="2">
        <f>COUNTIFS(交易明細!$B$2:$B$116,$A65,交易明細!$J$2:$J$116,"止盈")</f>
        <v/>
      </c>
      <c r="G65" s="2">
        <f>COUNTIFS(交易明細!$B$2:$B$116,$A65,交易明細!$J$2:$J$116,"止損")</f>
        <v/>
      </c>
      <c r="H65" s="4">
        <f>IFERROR(F65/E65,0)</f>
        <v/>
      </c>
      <c r="I65" s="4">
        <f>IFERROR(AVERAGEIFS(交易明細!$L$2:$L$116,交易明細!$B$2:$B$116,$A65,交易明細!$J$2:$J$116,"&lt;&gt;未平倉"),0)</f>
        <v/>
      </c>
      <c r="J65" s="4">
        <f>SUMIFS(交易明細!$L$2:$L$116,交易明細!$B$2:$B$116,$A65,交易明細!$J$2:$J$116,"&lt;&gt;未平倉")</f>
        <v/>
      </c>
      <c r="K65" s="5">
        <f>IFERROR(AVERAGEIFS(交易明細!$K$2:$K$116,交易明細!$B$2:$B$116,$A65,交易明細!$J$2:$J$116,"&lt;&gt;未平倉"),0)</f>
        <v/>
      </c>
      <c r="L65" s="2">
        <f>COUNTIFS(交易明細!$B$2:$B$116,$A65,交易明細!$J$2:$J$116,"未平倉")</f>
        <v/>
      </c>
    </row>
    <row r="66">
      <c r="A66" s="2" t="inlineStr">
        <is>
          <t>XPIN_USDT_PERP</t>
        </is>
      </c>
      <c r="B66" s="2">
        <f>COUNTIFS(交易明細!$B$2:$B$116,$A66)</f>
        <v/>
      </c>
      <c r="C66" s="2">
        <f>COUNTIFS(交易明細!$B$2:$B$116,$A66,交易明細!$C$2:$C$116,"做多")</f>
        <v/>
      </c>
      <c r="D66" s="2">
        <f>COUNTIFS(交易明細!$B$2:$B$116,$A66,交易明細!$C$2:$C$116,"做空")</f>
        <v/>
      </c>
      <c r="E66" s="2">
        <f>F66+G66+COUNTIFS(交易明細!$B$2:$B$116,$A66,交易明細!$J$2:$J$116,"時間出場")</f>
        <v/>
      </c>
      <c r="F66" s="2">
        <f>COUNTIFS(交易明細!$B$2:$B$116,$A66,交易明細!$J$2:$J$116,"止盈")</f>
        <v/>
      </c>
      <c r="G66" s="2">
        <f>COUNTIFS(交易明細!$B$2:$B$116,$A66,交易明細!$J$2:$J$116,"止損")</f>
        <v/>
      </c>
      <c r="H66" s="4">
        <f>IFERROR(F66/E66,0)</f>
        <v/>
      </c>
      <c r="I66" s="4">
        <f>IFERROR(AVERAGEIFS(交易明細!$L$2:$L$116,交易明細!$B$2:$B$116,$A66,交易明細!$J$2:$J$116,"&lt;&gt;未平倉"),0)</f>
        <v/>
      </c>
      <c r="J66" s="4">
        <f>SUMIFS(交易明細!$L$2:$L$116,交易明細!$B$2:$B$116,$A66,交易明細!$J$2:$J$116,"&lt;&gt;未平倉")</f>
        <v/>
      </c>
      <c r="K66" s="5">
        <f>IFERROR(AVERAGEIFS(交易明細!$K$2:$K$116,交易明細!$B$2:$B$116,$A66,交易明細!$J$2:$J$116,"&lt;&gt;未平倉"),0)</f>
        <v/>
      </c>
      <c r="L66" s="2">
        <f>COUNTIFS(交易明細!$B$2:$B$116,$A66,交易明細!$J$2:$J$116,"未平倉")</f>
        <v/>
      </c>
    </row>
    <row r="67">
      <c r="A67" s="2" t="inlineStr">
        <is>
          <t>HEMI_USDT_PERP</t>
        </is>
      </c>
      <c r="B67" s="2">
        <f>COUNTIFS(交易明細!$B$2:$B$116,$A67)</f>
        <v/>
      </c>
      <c r="C67" s="2">
        <f>COUNTIFS(交易明細!$B$2:$B$116,$A67,交易明細!$C$2:$C$116,"做多")</f>
        <v/>
      </c>
      <c r="D67" s="2">
        <f>COUNTIFS(交易明細!$B$2:$B$116,$A67,交易明細!$C$2:$C$116,"做空")</f>
        <v/>
      </c>
      <c r="E67" s="2">
        <f>F67+G67+COUNTIFS(交易明細!$B$2:$B$116,$A67,交易明細!$J$2:$J$116,"時間出場")</f>
        <v/>
      </c>
      <c r="F67" s="2">
        <f>COUNTIFS(交易明細!$B$2:$B$116,$A67,交易明細!$J$2:$J$116,"止盈")</f>
        <v/>
      </c>
      <c r="G67" s="2">
        <f>COUNTIFS(交易明細!$B$2:$B$116,$A67,交易明細!$J$2:$J$116,"止損")</f>
        <v/>
      </c>
      <c r="H67" s="4">
        <f>IFERROR(F67/E67,0)</f>
        <v/>
      </c>
      <c r="I67" s="4">
        <f>IFERROR(AVERAGEIFS(交易明細!$L$2:$L$116,交易明細!$B$2:$B$116,$A67,交易明細!$J$2:$J$116,"&lt;&gt;未平倉"),0)</f>
        <v/>
      </c>
      <c r="J67" s="4">
        <f>SUMIFS(交易明細!$L$2:$L$116,交易明細!$B$2:$B$116,$A67,交易明細!$J$2:$J$116,"&lt;&gt;未平倉")</f>
        <v/>
      </c>
      <c r="K67" s="5">
        <f>IFERROR(AVERAGEIFS(交易明細!$K$2:$K$116,交易明細!$B$2:$B$116,$A67,交易明細!$J$2:$J$116,"&lt;&gt;未平倉"),0)</f>
        <v/>
      </c>
      <c r="L67" s="2">
        <f>COUNTIFS(交易明細!$B$2:$B$116,$A67,交易明細!$J$2:$J$116,"未平倉")</f>
        <v/>
      </c>
    </row>
    <row r="68">
      <c r="A68" s="2" t="inlineStr">
        <is>
          <t>AXL_USDT_PERP</t>
        </is>
      </c>
      <c r="B68" s="2">
        <f>COUNTIFS(交易明細!$B$2:$B$116,$A68)</f>
        <v/>
      </c>
      <c r="C68" s="2">
        <f>COUNTIFS(交易明細!$B$2:$B$116,$A68,交易明細!$C$2:$C$116,"做多")</f>
        <v/>
      </c>
      <c r="D68" s="2">
        <f>COUNTIFS(交易明細!$B$2:$B$116,$A68,交易明細!$C$2:$C$116,"做空")</f>
        <v/>
      </c>
      <c r="E68" s="2">
        <f>F68+G68+COUNTIFS(交易明細!$B$2:$B$116,$A68,交易明細!$J$2:$J$116,"時間出場")</f>
        <v/>
      </c>
      <c r="F68" s="2">
        <f>COUNTIFS(交易明細!$B$2:$B$116,$A68,交易明細!$J$2:$J$116,"止盈")</f>
        <v/>
      </c>
      <c r="G68" s="2">
        <f>COUNTIFS(交易明細!$B$2:$B$116,$A68,交易明細!$J$2:$J$116,"止損")</f>
        <v/>
      </c>
      <c r="H68" s="4">
        <f>IFERROR(F68/E68,0)</f>
        <v/>
      </c>
      <c r="I68" s="4">
        <f>IFERROR(AVERAGEIFS(交易明細!$L$2:$L$116,交易明細!$B$2:$B$116,$A68,交易明細!$J$2:$J$116,"&lt;&gt;未平倉"),0)</f>
        <v/>
      </c>
      <c r="J68" s="4">
        <f>SUMIFS(交易明細!$L$2:$L$116,交易明細!$B$2:$B$116,$A68,交易明細!$J$2:$J$116,"&lt;&gt;未平倉")</f>
        <v/>
      </c>
      <c r="K68" s="5">
        <f>IFERROR(AVERAGEIFS(交易明細!$K$2:$K$116,交易明細!$B$2:$B$116,$A68,交易明細!$J$2:$J$116,"&lt;&gt;未平倉"),0)</f>
        <v/>
      </c>
      <c r="L68" s="2">
        <f>COUNTIFS(交易明細!$B$2:$B$116,$A68,交易明細!$J$2:$J$116,"未平倉")</f>
        <v/>
      </c>
    </row>
    <row r="69">
      <c r="A69" s="2" t="inlineStr">
        <is>
          <t>GENIUS_USDT_PERP</t>
        </is>
      </c>
      <c r="B69" s="2">
        <f>COUNTIFS(交易明細!$B$2:$B$116,$A69)</f>
        <v/>
      </c>
      <c r="C69" s="2">
        <f>COUNTIFS(交易明細!$B$2:$B$116,$A69,交易明細!$C$2:$C$116,"做多")</f>
        <v/>
      </c>
      <c r="D69" s="2">
        <f>COUNTIFS(交易明細!$B$2:$B$116,$A69,交易明細!$C$2:$C$116,"做空")</f>
        <v/>
      </c>
      <c r="E69" s="2">
        <f>F69+G69+COUNTIFS(交易明細!$B$2:$B$116,$A69,交易明細!$J$2:$J$116,"時間出場")</f>
        <v/>
      </c>
      <c r="F69" s="2">
        <f>COUNTIFS(交易明細!$B$2:$B$116,$A69,交易明細!$J$2:$J$116,"止盈")</f>
        <v/>
      </c>
      <c r="G69" s="2">
        <f>COUNTIFS(交易明細!$B$2:$B$116,$A69,交易明細!$J$2:$J$116,"止損")</f>
        <v/>
      </c>
      <c r="H69" s="4">
        <f>IFERROR(F69/E69,0)</f>
        <v/>
      </c>
      <c r="I69" s="4">
        <f>IFERROR(AVERAGEIFS(交易明細!$L$2:$L$116,交易明細!$B$2:$B$116,$A69,交易明細!$J$2:$J$116,"&lt;&gt;未平倉"),0)</f>
        <v/>
      </c>
      <c r="J69" s="4">
        <f>SUMIFS(交易明細!$L$2:$L$116,交易明細!$B$2:$B$116,$A69,交易明細!$J$2:$J$116,"&lt;&gt;未平倉")</f>
        <v/>
      </c>
      <c r="K69" s="5">
        <f>IFERROR(AVERAGEIFS(交易明細!$K$2:$K$116,交易明細!$B$2:$B$116,$A69,交易明細!$J$2:$J$116,"&lt;&gt;未平倉"),0)</f>
        <v/>
      </c>
      <c r="L69" s="2">
        <f>COUNTIFS(交易明細!$B$2:$B$116,$A69,交易明細!$J$2:$J$116,"未平倉")</f>
        <v/>
      </c>
    </row>
    <row r="70">
      <c r="A70" s="2" t="inlineStr">
        <is>
          <t>CROSS_USDT_PERP</t>
        </is>
      </c>
      <c r="B70" s="2">
        <f>COUNTIFS(交易明細!$B$2:$B$116,$A70)</f>
        <v/>
      </c>
      <c r="C70" s="2">
        <f>COUNTIFS(交易明細!$B$2:$B$116,$A70,交易明細!$C$2:$C$116,"做多")</f>
        <v/>
      </c>
      <c r="D70" s="2">
        <f>COUNTIFS(交易明細!$B$2:$B$116,$A70,交易明細!$C$2:$C$116,"做空")</f>
        <v/>
      </c>
      <c r="E70" s="2">
        <f>F70+G70+COUNTIFS(交易明細!$B$2:$B$116,$A70,交易明細!$J$2:$J$116,"時間出場")</f>
        <v/>
      </c>
      <c r="F70" s="2">
        <f>COUNTIFS(交易明細!$B$2:$B$116,$A70,交易明細!$J$2:$J$116,"止盈")</f>
        <v/>
      </c>
      <c r="G70" s="2">
        <f>COUNTIFS(交易明細!$B$2:$B$116,$A70,交易明細!$J$2:$J$116,"止損")</f>
        <v/>
      </c>
      <c r="H70" s="4">
        <f>IFERROR(F70/E70,0)</f>
        <v/>
      </c>
      <c r="I70" s="4">
        <f>IFERROR(AVERAGEIFS(交易明細!$L$2:$L$116,交易明細!$B$2:$B$116,$A70,交易明細!$J$2:$J$116,"&lt;&gt;未平倉"),0)</f>
        <v/>
      </c>
      <c r="J70" s="4">
        <f>SUMIFS(交易明細!$L$2:$L$116,交易明細!$B$2:$B$116,$A70,交易明細!$J$2:$J$116,"&lt;&gt;未平倉")</f>
        <v/>
      </c>
      <c r="K70" s="5">
        <f>IFERROR(AVERAGEIFS(交易明細!$K$2:$K$116,交易明細!$B$2:$B$116,$A70,交易明細!$J$2:$J$116,"&lt;&gt;未平倉"),0)</f>
        <v/>
      </c>
      <c r="L70" s="2">
        <f>COUNTIFS(交易明細!$B$2:$B$116,$A70,交易明細!$J$2:$J$116,"未平倉")</f>
        <v/>
      </c>
    </row>
    <row r="71">
      <c r="A71" s="2" t="inlineStr">
        <is>
          <t>BABY_USDT_PERP</t>
        </is>
      </c>
      <c r="B71" s="2">
        <f>COUNTIFS(交易明細!$B$2:$B$116,$A71)</f>
        <v/>
      </c>
      <c r="C71" s="2">
        <f>COUNTIFS(交易明細!$B$2:$B$116,$A71,交易明細!$C$2:$C$116,"做多")</f>
        <v/>
      </c>
      <c r="D71" s="2">
        <f>COUNTIFS(交易明細!$B$2:$B$116,$A71,交易明細!$C$2:$C$116,"做空")</f>
        <v/>
      </c>
      <c r="E71" s="2">
        <f>F71+G71+COUNTIFS(交易明細!$B$2:$B$116,$A71,交易明細!$J$2:$J$116,"時間出場")</f>
        <v/>
      </c>
      <c r="F71" s="2">
        <f>COUNTIFS(交易明細!$B$2:$B$116,$A71,交易明細!$J$2:$J$116,"止盈")</f>
        <v/>
      </c>
      <c r="G71" s="2">
        <f>COUNTIFS(交易明細!$B$2:$B$116,$A71,交易明細!$J$2:$J$116,"止損")</f>
        <v/>
      </c>
      <c r="H71" s="4">
        <f>IFERROR(F71/E71,0)</f>
        <v/>
      </c>
      <c r="I71" s="4">
        <f>IFERROR(AVERAGEIFS(交易明細!$L$2:$L$116,交易明細!$B$2:$B$116,$A71,交易明細!$J$2:$J$116,"&lt;&gt;未平倉"),0)</f>
        <v/>
      </c>
      <c r="J71" s="4">
        <f>SUMIFS(交易明細!$L$2:$L$116,交易明細!$B$2:$B$116,$A71,交易明細!$J$2:$J$116,"&lt;&gt;未平倉")</f>
        <v/>
      </c>
      <c r="K71" s="5">
        <f>IFERROR(AVERAGEIFS(交易明細!$K$2:$K$116,交易明細!$B$2:$B$116,$A71,交易明細!$J$2:$J$116,"&lt;&gt;未平倉"),0)</f>
        <v/>
      </c>
      <c r="L71" s="2">
        <f>COUNTIFS(交易明細!$B$2:$B$116,$A71,交易明細!$J$2:$J$116,"未平倉")</f>
        <v/>
      </c>
    </row>
    <row r="72">
      <c r="A72" s="2" t="inlineStr">
        <is>
          <t>MYX_USDT_PERP</t>
        </is>
      </c>
      <c r="B72" s="2">
        <f>COUNTIFS(交易明細!$B$2:$B$116,$A72)</f>
        <v/>
      </c>
      <c r="C72" s="2">
        <f>COUNTIFS(交易明細!$B$2:$B$116,$A72,交易明細!$C$2:$C$116,"做多")</f>
        <v/>
      </c>
      <c r="D72" s="2">
        <f>COUNTIFS(交易明細!$B$2:$B$116,$A72,交易明細!$C$2:$C$116,"做空")</f>
        <v/>
      </c>
      <c r="E72" s="2">
        <f>F72+G72+COUNTIFS(交易明細!$B$2:$B$116,$A72,交易明細!$J$2:$J$116,"時間出場")</f>
        <v/>
      </c>
      <c r="F72" s="2">
        <f>COUNTIFS(交易明細!$B$2:$B$116,$A72,交易明細!$J$2:$J$116,"止盈")</f>
        <v/>
      </c>
      <c r="G72" s="2">
        <f>COUNTIFS(交易明細!$B$2:$B$116,$A72,交易明細!$J$2:$J$116,"止損")</f>
        <v/>
      </c>
      <c r="H72" s="4">
        <f>IFERROR(F72/E72,0)</f>
        <v/>
      </c>
      <c r="I72" s="4">
        <f>IFERROR(AVERAGEIFS(交易明細!$L$2:$L$116,交易明細!$B$2:$B$116,$A72,交易明細!$J$2:$J$116,"&lt;&gt;未平倉"),0)</f>
        <v/>
      </c>
      <c r="J72" s="4">
        <f>SUMIFS(交易明細!$L$2:$L$116,交易明細!$B$2:$B$116,$A72,交易明細!$J$2:$J$116,"&lt;&gt;未平倉")</f>
        <v/>
      </c>
      <c r="K72" s="5">
        <f>IFERROR(AVERAGEIFS(交易明細!$K$2:$K$116,交易明細!$B$2:$B$116,$A72,交易明細!$J$2:$J$116,"&lt;&gt;未平倉"),0)</f>
        <v/>
      </c>
      <c r="L72" s="2">
        <f>COUNTIFS(交易明細!$B$2:$B$116,$A72,交易明細!$J$2:$J$116,"未平倉")</f>
        <v/>
      </c>
    </row>
    <row r="73">
      <c r="A73" s="2" t="inlineStr">
        <is>
          <t>AIA_USDT_PERP</t>
        </is>
      </c>
      <c r="B73" s="2">
        <f>COUNTIFS(交易明細!$B$2:$B$116,$A73)</f>
        <v/>
      </c>
      <c r="C73" s="2">
        <f>COUNTIFS(交易明細!$B$2:$B$116,$A73,交易明細!$C$2:$C$116,"做多")</f>
        <v/>
      </c>
      <c r="D73" s="2">
        <f>COUNTIFS(交易明細!$B$2:$B$116,$A73,交易明細!$C$2:$C$116,"做空")</f>
        <v/>
      </c>
      <c r="E73" s="2">
        <f>F73+G73+COUNTIFS(交易明細!$B$2:$B$116,$A73,交易明細!$J$2:$J$116,"時間出場")</f>
        <v/>
      </c>
      <c r="F73" s="2">
        <f>COUNTIFS(交易明細!$B$2:$B$116,$A73,交易明細!$J$2:$J$116,"止盈")</f>
        <v/>
      </c>
      <c r="G73" s="2">
        <f>COUNTIFS(交易明細!$B$2:$B$116,$A73,交易明細!$J$2:$J$116,"止損")</f>
        <v/>
      </c>
      <c r="H73" s="4">
        <f>IFERROR(F73/E73,0)</f>
        <v/>
      </c>
      <c r="I73" s="4">
        <f>IFERROR(AVERAGEIFS(交易明細!$L$2:$L$116,交易明細!$B$2:$B$116,$A73,交易明細!$J$2:$J$116,"&lt;&gt;未平倉"),0)</f>
        <v/>
      </c>
      <c r="J73" s="4">
        <f>SUMIFS(交易明細!$L$2:$L$116,交易明細!$B$2:$B$116,$A73,交易明細!$J$2:$J$116,"&lt;&gt;未平倉")</f>
        <v/>
      </c>
      <c r="K73" s="5">
        <f>IFERROR(AVERAGEIFS(交易明細!$K$2:$K$116,交易明細!$B$2:$B$116,$A73,交易明細!$J$2:$J$116,"&lt;&gt;未平倉"),0)</f>
        <v/>
      </c>
      <c r="L73" s="2">
        <f>COUNTIFS(交易明細!$B$2:$B$116,$A73,交易明細!$J$2:$J$116,"未平倉")</f>
        <v/>
      </c>
    </row>
    <row r="74">
      <c r="A74" s="2" t="inlineStr">
        <is>
          <t>EVAA_USDT_PERP</t>
        </is>
      </c>
      <c r="B74" s="2">
        <f>COUNTIFS(交易明細!$B$2:$B$116,$A74)</f>
        <v/>
      </c>
      <c r="C74" s="2">
        <f>COUNTIFS(交易明細!$B$2:$B$116,$A74,交易明細!$C$2:$C$116,"做多")</f>
        <v/>
      </c>
      <c r="D74" s="2">
        <f>COUNTIFS(交易明細!$B$2:$B$116,$A74,交易明細!$C$2:$C$116,"做空")</f>
        <v/>
      </c>
      <c r="E74" s="2">
        <f>F74+G74+COUNTIFS(交易明細!$B$2:$B$116,$A74,交易明細!$J$2:$J$116,"時間出場")</f>
        <v/>
      </c>
      <c r="F74" s="2">
        <f>COUNTIFS(交易明細!$B$2:$B$116,$A74,交易明細!$J$2:$J$116,"止盈")</f>
        <v/>
      </c>
      <c r="G74" s="2">
        <f>COUNTIFS(交易明細!$B$2:$B$116,$A74,交易明細!$J$2:$J$116,"止損")</f>
        <v/>
      </c>
      <c r="H74" s="4">
        <f>IFERROR(F74/E74,0)</f>
        <v/>
      </c>
      <c r="I74" s="4">
        <f>IFERROR(AVERAGEIFS(交易明細!$L$2:$L$116,交易明細!$B$2:$B$116,$A74,交易明細!$J$2:$J$116,"&lt;&gt;未平倉"),0)</f>
        <v/>
      </c>
      <c r="J74" s="4">
        <f>SUMIFS(交易明細!$L$2:$L$116,交易明細!$B$2:$B$116,$A74,交易明細!$J$2:$J$116,"&lt;&gt;未平倉")</f>
        <v/>
      </c>
      <c r="K74" s="5">
        <f>IFERROR(AVERAGEIFS(交易明細!$K$2:$K$116,交易明細!$B$2:$B$116,$A74,交易明細!$J$2:$J$116,"&lt;&gt;未平倉"),0)</f>
        <v/>
      </c>
      <c r="L74" s="2">
        <f>COUNTIFS(交易明細!$B$2:$B$116,$A74,交易明細!$J$2:$J$116,"未平倉")</f>
        <v/>
      </c>
    </row>
    <row r="75">
      <c r="A75" s="2" t="inlineStr">
        <is>
          <t>ESP_USDT_PERP</t>
        </is>
      </c>
      <c r="B75" s="2">
        <f>COUNTIFS(交易明細!$B$2:$B$116,$A75)</f>
        <v/>
      </c>
      <c r="C75" s="2">
        <f>COUNTIFS(交易明細!$B$2:$B$116,$A75,交易明細!$C$2:$C$116,"做多")</f>
        <v/>
      </c>
      <c r="D75" s="2">
        <f>COUNTIFS(交易明細!$B$2:$B$116,$A75,交易明細!$C$2:$C$116,"做空")</f>
        <v/>
      </c>
      <c r="E75" s="2">
        <f>F75+G75+COUNTIFS(交易明細!$B$2:$B$116,$A75,交易明細!$J$2:$J$116,"時間出場")</f>
        <v/>
      </c>
      <c r="F75" s="2">
        <f>COUNTIFS(交易明細!$B$2:$B$116,$A75,交易明細!$J$2:$J$116,"止盈")</f>
        <v/>
      </c>
      <c r="G75" s="2">
        <f>COUNTIFS(交易明細!$B$2:$B$116,$A75,交易明細!$J$2:$J$116,"止損")</f>
        <v/>
      </c>
      <c r="H75" s="4">
        <f>IFERROR(F75/E75,0)</f>
        <v/>
      </c>
      <c r="I75" s="4">
        <f>IFERROR(AVERAGEIFS(交易明細!$L$2:$L$116,交易明細!$B$2:$B$116,$A75,交易明細!$J$2:$J$116,"&lt;&gt;未平倉"),0)</f>
        <v/>
      </c>
      <c r="J75" s="4">
        <f>SUMIFS(交易明細!$L$2:$L$116,交易明細!$B$2:$B$116,$A75,交易明細!$J$2:$J$116,"&lt;&gt;未平倉")</f>
        <v/>
      </c>
      <c r="K75" s="5">
        <f>IFERROR(AVERAGEIFS(交易明細!$K$2:$K$116,交易明細!$B$2:$B$116,$A75,交易明細!$J$2:$J$116,"&lt;&gt;未平倉"),0)</f>
        <v/>
      </c>
      <c r="L75" s="2">
        <f>COUNTIFS(交易明細!$B$2:$B$116,$A75,交易明細!$J$2:$J$116,"未平倉")</f>
        <v/>
      </c>
    </row>
    <row r="76">
      <c r="A76" s="2" t="inlineStr">
        <is>
          <t>BANK_USDT_PERP</t>
        </is>
      </c>
      <c r="B76" s="2">
        <f>COUNTIFS(交易明細!$B$2:$B$116,$A76)</f>
        <v/>
      </c>
      <c r="C76" s="2">
        <f>COUNTIFS(交易明細!$B$2:$B$116,$A76,交易明細!$C$2:$C$116,"做多")</f>
        <v/>
      </c>
      <c r="D76" s="2">
        <f>COUNTIFS(交易明細!$B$2:$B$116,$A76,交易明細!$C$2:$C$116,"做空")</f>
        <v/>
      </c>
      <c r="E76" s="2">
        <f>F76+G76+COUNTIFS(交易明細!$B$2:$B$116,$A76,交易明細!$J$2:$J$116,"時間出場")</f>
        <v/>
      </c>
      <c r="F76" s="2">
        <f>COUNTIFS(交易明細!$B$2:$B$116,$A76,交易明細!$J$2:$J$116,"止盈")</f>
        <v/>
      </c>
      <c r="G76" s="2">
        <f>COUNTIFS(交易明細!$B$2:$B$116,$A76,交易明細!$J$2:$J$116,"止損")</f>
        <v/>
      </c>
      <c r="H76" s="4">
        <f>IFERROR(F76/E76,0)</f>
        <v/>
      </c>
      <c r="I76" s="4">
        <f>IFERROR(AVERAGEIFS(交易明細!$L$2:$L$116,交易明細!$B$2:$B$116,$A76,交易明細!$J$2:$J$116,"&lt;&gt;未平倉"),0)</f>
        <v/>
      </c>
      <c r="J76" s="4">
        <f>SUMIFS(交易明細!$L$2:$L$116,交易明細!$B$2:$B$116,$A76,交易明細!$J$2:$J$116,"&lt;&gt;未平倉")</f>
        <v/>
      </c>
      <c r="K76" s="5">
        <f>IFERROR(AVERAGEIFS(交易明細!$K$2:$K$116,交易明細!$B$2:$B$116,$A76,交易明細!$J$2:$J$116,"&lt;&gt;未平倉"),0)</f>
        <v/>
      </c>
      <c r="L76" s="2">
        <f>COUNTIFS(交易明細!$B$2:$B$116,$A76,交易明細!$J$2:$J$116,"未平倉")</f>
        <v/>
      </c>
    </row>
    <row r="77">
      <c r="A77" s="2" t="inlineStr">
        <is>
          <t>GUN_USDT_PERP</t>
        </is>
      </c>
      <c r="B77" s="2">
        <f>COUNTIFS(交易明細!$B$2:$B$116,$A77)</f>
        <v/>
      </c>
      <c r="C77" s="2">
        <f>COUNTIFS(交易明細!$B$2:$B$116,$A77,交易明細!$C$2:$C$116,"做多")</f>
        <v/>
      </c>
      <c r="D77" s="2">
        <f>COUNTIFS(交易明細!$B$2:$B$116,$A77,交易明細!$C$2:$C$116,"做空")</f>
        <v/>
      </c>
      <c r="E77" s="2">
        <f>F77+G77+COUNTIFS(交易明細!$B$2:$B$116,$A77,交易明細!$J$2:$J$116,"時間出場")</f>
        <v/>
      </c>
      <c r="F77" s="2">
        <f>COUNTIFS(交易明細!$B$2:$B$116,$A77,交易明細!$J$2:$J$116,"止盈")</f>
        <v/>
      </c>
      <c r="G77" s="2">
        <f>COUNTIFS(交易明細!$B$2:$B$116,$A77,交易明細!$J$2:$J$116,"止損")</f>
        <v/>
      </c>
      <c r="H77" s="4">
        <f>IFERROR(F77/E77,0)</f>
        <v/>
      </c>
      <c r="I77" s="4">
        <f>IFERROR(AVERAGEIFS(交易明細!$L$2:$L$116,交易明細!$B$2:$B$116,$A77,交易明細!$J$2:$J$116,"&lt;&gt;未平倉"),0)</f>
        <v/>
      </c>
      <c r="J77" s="4">
        <f>SUMIFS(交易明細!$L$2:$L$116,交易明細!$B$2:$B$116,$A77,交易明細!$J$2:$J$116,"&lt;&gt;未平倉")</f>
        <v/>
      </c>
      <c r="K77" s="5">
        <f>IFERROR(AVERAGEIFS(交易明細!$K$2:$K$116,交易明細!$B$2:$B$116,$A77,交易明細!$J$2:$J$116,"&lt;&gt;未平倉"),0)</f>
        <v/>
      </c>
      <c r="L77" s="2">
        <f>COUNTIFS(交易明細!$B$2:$B$116,$A77,交易明細!$J$2:$J$116,"未平倉")</f>
        <v/>
      </c>
    </row>
  </sheetData>
  <autoFilter ref="A1:L7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2026-09-20T16:53:35Z</dcterms:created>
  <dcterms:modified xsi:type="dcterms:W3CDTF">2026-09-20T16:53:36Z</dcterms:modified>
</cp:coreProperties>
</file>