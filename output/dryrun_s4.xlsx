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'資金明細'!$A$1:$Z$198</definedName>
    <definedName name="_xlnm._FilterDatabase" localSheetId="5" hidden="1">'交易明細'!$A$1:$AM$99</definedName>
    <definedName name="_xlnm._FilterDatabase" localSheetId="6" hidden="1">'幣種統計'!$A$1:$L$69</definedName>
    <definedName name="_xlnm._FilterDatabase" localSheetId="7" hidden="1">'掃描清單'!$A$1:$H$441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'資金明細'!$R$2:$R$198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2026-09-18 18:56（Dry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COUNTIFS(交易明細!$B$2:$B$99,"&lt;&gt;")</f>
        <v/>
      </c>
      <c r="C5" s="2">
        <f>D5+E5+F5</f>
        <v/>
      </c>
      <c r="D5" s="2">
        <f>COUNTIFS(交易明細!$J$2:$J$99,"止盈")</f>
        <v/>
      </c>
      <c r="E5" s="2">
        <f>COUNTIFS(交易明細!$J$2:$J$99,"止損")</f>
        <v/>
      </c>
      <c r="F5" s="2">
        <f>COUNTIFS(交易明細!$J$2:$J$99,"時間出場")</f>
        <v/>
      </c>
      <c r="G5" s="2">
        <f>COUNTIFS(交易明細!$J$2:$J$99,"未平倉")</f>
        <v/>
      </c>
      <c r="H5" s="4">
        <f>IFERROR(D5/C5,0)</f>
        <v/>
      </c>
      <c r="I5" s="4">
        <f>IFERROR(AVERAGEIFS(交易明細!$AC$2:$AC$99,交易明細!$J$2:$J$99,"&lt;&gt;未平倉"),參數!$B$16)</f>
        <v/>
      </c>
      <c r="J5" s="4">
        <f>IFERROR(AVERAGEIFS(交易明細!$L$2:$L$99,交易明細!$J$2:$J$99,"&lt;&gt;未平倉"),0)</f>
        <v/>
      </c>
      <c r="K5" s="4">
        <f>SUMIFS(交易明細!$L$2:$L$99,交易明細!$J$2:$J$99,"&lt;&gt;未平倉")</f>
        <v/>
      </c>
      <c r="L5" s="5">
        <f>IFERROR(AVERAGEIFS(交易明細!$K$2:$K$99,交易明細!$J$2:$J$99,"&lt;&gt;未平倉"),0)</f>
        <v/>
      </c>
      <c r="M5" s="5">
        <f>IFERROR(AVERAGEIFS(交易明細!$K$2:$K$99,交易明細!$J$2:$J$99,"止盈"),0)</f>
        <v/>
      </c>
      <c r="N5" s="5">
        <f>IFERROR(AVERAGEIFS(交易明細!$K$2:$K$99,交易明細!$J$2:$J$99,"止損"),0)</f>
        <v/>
      </c>
      <c r="O5" s="4">
        <f>IFERROR(AVERAGEIFS(交易明細!$L$2:$L$99,交易明細!$J$2:$J$99,"時間出場"),0)</f>
        <v/>
      </c>
      <c r="P5" s="4">
        <f>IFERROR(COUNTIFS(交易明細!$J$2:$J$99,"&lt;&gt;未平倉",交易明細!$L$2:$L$99,"&gt;0")/C5,0)</f>
        <v/>
      </c>
    </row>
    <row r="6">
      <c r="A6" s="2" t="inlineStr">
        <is>
          <t>做多</t>
        </is>
      </c>
      <c r="B6" s="2">
        <f>COUNTIFS(交易明細!$C$2:$C$99,"做多",交易明細!$B$2:$B$99,"&lt;&gt;")</f>
        <v/>
      </c>
      <c r="C6" s="2">
        <f>D6+E6+F6</f>
        <v/>
      </c>
      <c r="D6" s="2">
        <f>COUNTIFS(交易明細!$C$2:$C$99,"做多",交易明細!$J$2:$J$99,"止盈")</f>
        <v/>
      </c>
      <c r="E6" s="2">
        <f>COUNTIFS(交易明細!$C$2:$C$99,"做多",交易明細!$J$2:$J$99,"止損")</f>
        <v/>
      </c>
      <c r="F6" s="2">
        <f>COUNTIFS(交易明細!$C$2:$C$99,"做多",交易明細!$J$2:$J$99,"時間出場")</f>
        <v/>
      </c>
      <c r="G6" s="2">
        <f>COUNTIFS(交易明細!$C$2:$C$99,"做多",交易明細!$J$2:$J$99,"未平倉")</f>
        <v/>
      </c>
      <c r="H6" s="4">
        <f>IFERROR(D6/C6,0)</f>
        <v/>
      </c>
      <c r="I6" s="4">
        <f>IFERROR(AVERAGEIFS(交易明細!$AC$2:$AC$99,交易明細!$C$2:$C$99,"做多",交易明細!$J$2:$J$99,"&lt;&gt;未平倉"),參數!$B$16)</f>
        <v/>
      </c>
      <c r="J6" s="4">
        <f>IFERROR(AVERAGEIFS(交易明細!$L$2:$L$99,交易明細!$C$2:$C$99,"做多",交易明細!$J$2:$J$99,"&lt;&gt;未平倉"),0)</f>
        <v/>
      </c>
      <c r="K6" s="4">
        <f>SUMIFS(交易明細!$L$2:$L$99,交易明細!$C$2:$C$99,"做多",交易明細!$J$2:$J$99,"&lt;&gt;未平倉")</f>
        <v/>
      </c>
      <c r="L6" s="5">
        <f>IFERROR(AVERAGEIFS(交易明細!$K$2:$K$99,交易明細!$C$2:$C$99,"做多",交易明細!$J$2:$J$99,"&lt;&gt;未平倉"),0)</f>
        <v/>
      </c>
      <c r="M6" s="5">
        <f>IFERROR(AVERAGEIFS(交易明細!$K$2:$K$99,交易明細!$C$2:$C$99,"做多",交易明細!$J$2:$J$99,"止盈"),0)</f>
        <v/>
      </c>
      <c r="N6" s="5">
        <f>IFERROR(AVERAGEIFS(交易明細!$K$2:$K$99,交易明細!$C$2:$C$99,"做多",交易明細!$J$2:$J$99,"止損"),0)</f>
        <v/>
      </c>
      <c r="O6" s="4">
        <f>IFERROR(AVERAGEIFS(交易明細!$L$2:$L$99,交易明細!$C$2:$C$99,"做多",交易明細!$J$2:$J$99,"時間出場"),0)</f>
        <v/>
      </c>
      <c r="P6" s="4">
        <f>IFERROR(COUNTIFS(交易明細!$C$2:$C$99,"做多",交易明細!$J$2:$J$99,"&lt;&gt;未平倉",交易明細!$L$2:$L$99,"&gt;0")/C6,0)</f>
        <v/>
      </c>
    </row>
    <row r="7">
      <c r="A7" s="2" t="inlineStr">
        <is>
          <t>做空</t>
        </is>
      </c>
      <c r="B7" s="2">
        <f>COUNTIFS(交易明細!$C$2:$C$99,"做空",交易明細!$B$2:$B$99,"&lt;&gt;")</f>
        <v/>
      </c>
      <c r="C7" s="2">
        <f>D7+E7+F7</f>
        <v/>
      </c>
      <c r="D7" s="2">
        <f>COUNTIFS(交易明細!$C$2:$C$99,"做空",交易明細!$J$2:$J$99,"止盈")</f>
        <v/>
      </c>
      <c r="E7" s="2">
        <f>COUNTIFS(交易明細!$C$2:$C$99,"做空",交易明細!$J$2:$J$99,"止損")</f>
        <v/>
      </c>
      <c r="F7" s="2">
        <f>COUNTIFS(交易明細!$C$2:$C$99,"做空",交易明細!$J$2:$J$99,"時間出場")</f>
        <v/>
      </c>
      <c r="G7" s="2">
        <f>COUNTIFS(交易明細!$C$2:$C$99,"做空",交易明細!$J$2:$J$99,"未平倉")</f>
        <v/>
      </c>
      <c r="H7" s="4">
        <f>IFERROR(D7/C7,0)</f>
        <v/>
      </c>
      <c r="I7" s="4">
        <f>IFERROR(AVERAGEIFS(交易明細!$AC$2:$AC$99,交易明細!$C$2:$C$99,"做空",交易明細!$J$2:$J$99,"&lt;&gt;未平倉"),參數!$B$16)</f>
        <v/>
      </c>
      <c r="J7" s="4">
        <f>IFERROR(AVERAGEIFS(交易明細!$L$2:$L$99,交易明細!$C$2:$C$99,"做空",交易明細!$J$2:$J$99,"&lt;&gt;未平倉"),0)</f>
        <v/>
      </c>
      <c r="K7" s="4">
        <f>SUMIFS(交易明細!$L$2:$L$99,交易明細!$C$2:$C$99,"做空",交易明細!$J$2:$J$99,"&lt;&gt;未平倉")</f>
        <v/>
      </c>
      <c r="L7" s="5">
        <f>IFERROR(AVERAGEIFS(交易明細!$K$2:$K$99,交易明細!$C$2:$C$99,"做空",交易明細!$J$2:$J$99,"&lt;&gt;未平倉"),0)</f>
        <v/>
      </c>
      <c r="M7" s="5">
        <f>IFERROR(AVERAGEIFS(交易明細!$K$2:$K$99,交易明細!$C$2:$C$99,"做空",交易明細!$J$2:$J$99,"止盈"),0)</f>
        <v/>
      </c>
      <c r="N7" s="5">
        <f>IFERROR(AVERAGEIFS(交易明細!$K$2:$K$99,交易明細!$C$2:$C$99,"做空",交易明細!$J$2:$J$99,"止損"),0)</f>
        <v/>
      </c>
      <c r="O7" s="4">
        <f>IFERROR(AVERAGEIFS(交易明細!$L$2:$L$99,交易明細!$C$2:$C$99,"做空",交易明細!$J$2:$J$99,"時間出場"),0)</f>
        <v/>
      </c>
      <c r="P7" s="4">
        <f>IFERROR(COUNTIFS(交易明細!$C$2:$C$99,"做空",交易明細!$J$2:$J$99,"&lt;&gt;未平倉",交易明細!$L$2:$L$99,"&gt;0")/C7,0)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8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46283.78916202546</v>
      </c>
      <c r="B2" s="7" t="n">
        <v>46283.78472222222</v>
      </c>
      <c r="C2" s="2" t="n">
        <v>440</v>
      </c>
      <c r="D2" s="2" t="n">
        <v>2</v>
      </c>
      <c r="E2" s="2" t="n">
        <v>2</v>
      </c>
      <c r="F2" s="2" t="n">
        <v>0</v>
      </c>
      <c r="G2" s="2" t="n">
        <v>119.1</v>
      </c>
    </row>
    <row r="3">
      <c r="A3" s="7" t="n">
        <v>46283.58323265046</v>
      </c>
      <c r="B3" s="7" t="n">
        <v>46283.57638888889</v>
      </c>
      <c r="C3" s="2" t="n">
        <v>440</v>
      </c>
      <c r="D3" s="2" t="n">
        <v>0</v>
      </c>
      <c r="E3" s="2" t="n">
        <v>0</v>
      </c>
      <c r="F3" s="2" t="n">
        <v>0</v>
      </c>
      <c r="G3" s="2" t="n">
        <v>126.7</v>
      </c>
    </row>
    <row r="4">
      <c r="A4" s="7" t="n">
        <v>46283.57323743056</v>
      </c>
      <c r="B4" s="7" t="n">
        <v>46283.56944444445</v>
      </c>
      <c r="C4" s="2" t="n">
        <v>440</v>
      </c>
      <c r="D4" s="2" t="n">
        <v>0</v>
      </c>
      <c r="E4" s="2" t="n">
        <v>0</v>
      </c>
      <c r="F4" s="2" t="n">
        <v>0</v>
      </c>
      <c r="G4" s="2" t="n">
        <v>94.3</v>
      </c>
    </row>
    <row r="5">
      <c r="A5" s="7" t="n">
        <v>46283.45181144676</v>
      </c>
      <c r="B5" s="7" t="n">
        <v>46283.44791666666</v>
      </c>
      <c r="C5" s="2" t="n">
        <v>440</v>
      </c>
      <c r="D5" s="2" t="n">
        <v>0</v>
      </c>
      <c r="E5" s="2" t="n">
        <v>0</v>
      </c>
      <c r="F5" s="2" t="n">
        <v>0</v>
      </c>
      <c r="G5" s="2" t="n">
        <v>132.3</v>
      </c>
    </row>
    <row r="6">
      <c r="A6" s="7" t="n">
        <v>46283.44134394676</v>
      </c>
      <c r="B6" s="7" t="n">
        <v>46283.4375</v>
      </c>
      <c r="C6" s="2" t="n">
        <v>440</v>
      </c>
      <c r="D6" s="2" t="n">
        <v>96</v>
      </c>
      <c r="E6" s="2" t="n">
        <v>96</v>
      </c>
      <c r="F6" s="2" t="n">
        <v>0</v>
      </c>
      <c r="G6" s="2" t="n">
        <v>373.5</v>
      </c>
    </row>
    <row r="7">
      <c r="A7" s="7" t="n">
        <v>46283.35273409722</v>
      </c>
      <c r="B7" s="7" t="n">
        <v>46283.34722222222</v>
      </c>
      <c r="C7" s="2" t="n">
        <v>440</v>
      </c>
      <c r="D7" s="2" t="n">
        <v>0</v>
      </c>
      <c r="E7" s="2" t="n">
        <v>0</v>
      </c>
      <c r="F7" s="2" t="n">
        <v>0</v>
      </c>
      <c r="G7" s="2" t="n">
        <v>132.3</v>
      </c>
    </row>
    <row r="8">
      <c r="A8" s="7" t="n">
        <v>46283.26014016203</v>
      </c>
      <c r="B8" s="7" t="n">
        <v>46283.25347222222</v>
      </c>
      <c r="C8" s="2" t="n">
        <v>440</v>
      </c>
      <c r="D8" s="2" t="n">
        <v>0</v>
      </c>
      <c r="E8" s="2" t="n">
        <v>0</v>
      </c>
      <c r="F8" s="2" t="n">
        <v>0</v>
      </c>
      <c r="G8" s="2" t="n">
        <v>129.5</v>
      </c>
    </row>
    <row r="9">
      <c r="A9" s="7" t="n">
        <v>46283.09637409722</v>
      </c>
      <c r="B9" s="7" t="n">
        <v>46283.09027777778</v>
      </c>
      <c r="C9" s="2" t="n">
        <v>440</v>
      </c>
      <c r="D9" s="2" t="n">
        <v>1</v>
      </c>
      <c r="E9" s="2" t="n">
        <v>1</v>
      </c>
      <c r="F9" s="2" t="n">
        <v>0</v>
      </c>
      <c r="G9" s="2" t="n">
        <v>131.2</v>
      </c>
    </row>
    <row r="10">
      <c r="A10" s="7" t="n">
        <v>46282.89824439815</v>
      </c>
      <c r="B10" s="7" t="n">
        <v>46282.89236111111</v>
      </c>
      <c r="C10" s="2" t="n">
        <v>440</v>
      </c>
      <c r="D10" s="2" t="n">
        <v>1</v>
      </c>
      <c r="E10" s="2" t="n">
        <v>1</v>
      </c>
      <c r="F10" s="2" t="n">
        <v>0</v>
      </c>
      <c r="G10" s="2" t="n">
        <v>137</v>
      </c>
    </row>
    <row r="11">
      <c r="A11" s="7" t="n">
        <v>46282.65711792824</v>
      </c>
      <c r="B11" s="7" t="n">
        <v>46282.65277777778</v>
      </c>
      <c r="C11" s="2" t="n">
        <v>440</v>
      </c>
      <c r="D11" s="2" t="n">
        <v>0</v>
      </c>
      <c r="E11" s="2" t="n">
        <v>0</v>
      </c>
      <c r="F11" s="2" t="n">
        <v>0</v>
      </c>
      <c r="G11" s="2" t="n">
        <v>126.6</v>
      </c>
    </row>
    <row r="12">
      <c r="A12" s="7" t="n">
        <v>46282.40350203704</v>
      </c>
      <c r="B12" s="7" t="n">
        <v>46282.39930555555</v>
      </c>
      <c r="C12" s="2" t="n">
        <v>440</v>
      </c>
      <c r="D12" s="2" t="n">
        <v>69</v>
      </c>
      <c r="E12" s="2" t="n">
        <v>69</v>
      </c>
      <c r="F12" s="2" t="n">
        <v>0</v>
      </c>
      <c r="G12" s="2" t="n">
        <v>323.7</v>
      </c>
    </row>
    <row r="13">
      <c r="A13" s="7" t="n">
        <v>46282.39577758102</v>
      </c>
      <c r="B13" s="7" t="n">
        <v>46282.33333333334</v>
      </c>
      <c r="C13" s="2" t="n">
        <v>440</v>
      </c>
      <c r="D13" s="2" t="n">
        <v>0</v>
      </c>
      <c r="E13" s="2" t="n">
        <v>0</v>
      </c>
      <c r="F13" s="2" t="n">
        <v>0</v>
      </c>
      <c r="G13" s="2" t="n">
        <v>50.5</v>
      </c>
    </row>
    <row r="14">
      <c r="A14" s="7" t="n">
        <v>46282.29222982639</v>
      </c>
      <c r="B14" s="7" t="n">
        <v>46282.25</v>
      </c>
      <c r="C14" s="2" t="n">
        <v>440</v>
      </c>
      <c r="D14" s="2" t="n">
        <v>0</v>
      </c>
      <c r="E14" s="2" t="n">
        <v>0</v>
      </c>
      <c r="F14" s="2" t="n">
        <v>0</v>
      </c>
      <c r="G14" s="2" t="n">
        <v>66.2</v>
      </c>
    </row>
    <row r="15">
      <c r="A15" s="7" t="n">
        <v>46282.17576607639</v>
      </c>
      <c r="B15" s="7" t="n">
        <v>46282.125</v>
      </c>
      <c r="C15" s="2" t="n">
        <v>440</v>
      </c>
      <c r="D15" s="2" t="n">
        <v>0</v>
      </c>
      <c r="E15" s="2" t="n">
        <v>0</v>
      </c>
      <c r="F15" s="2" t="n">
        <v>0</v>
      </c>
      <c r="G15" s="2" t="n">
        <v>67</v>
      </c>
    </row>
    <row r="16">
      <c r="A16" s="7" t="n">
        <v>46282.04552453704</v>
      </c>
      <c r="B16" s="7" t="n">
        <v>46282</v>
      </c>
      <c r="C16" s="2" t="n">
        <v>440</v>
      </c>
      <c r="D16" s="2" t="n">
        <v>0</v>
      </c>
      <c r="E16" s="2" t="n">
        <v>0</v>
      </c>
      <c r="F16" s="2" t="n">
        <v>0</v>
      </c>
      <c r="G16" s="2" t="n">
        <v>52.9</v>
      </c>
    </row>
    <row r="17">
      <c r="A17" s="7" t="n">
        <v>46281.82298537037</v>
      </c>
      <c r="B17" s="7" t="n">
        <v>46281.75</v>
      </c>
      <c r="C17" s="2" t="n">
        <v>440</v>
      </c>
      <c r="D17" s="2" t="n">
        <v>0</v>
      </c>
      <c r="E17" s="2" t="n">
        <v>0</v>
      </c>
      <c r="F17" s="2" t="n">
        <v>0</v>
      </c>
      <c r="G17" s="2" t="n">
        <v>65.7</v>
      </c>
    </row>
    <row r="18">
      <c r="A18" s="7" t="n">
        <v>46281.58829054398</v>
      </c>
      <c r="B18" s="7" t="n">
        <v>46281.54166666666</v>
      </c>
      <c r="C18" s="2" t="n">
        <v>440</v>
      </c>
      <c r="D18" s="2" t="n">
        <v>0</v>
      </c>
      <c r="E18" s="2" t="n">
        <v>0</v>
      </c>
      <c r="F18" s="2" t="n">
        <v>0</v>
      </c>
      <c r="G18" s="2" t="n">
        <v>54.5</v>
      </c>
    </row>
    <row r="19">
      <c r="A19" s="7" t="n">
        <v>46281.35205523148</v>
      </c>
      <c r="B19" s="7" t="n">
        <v>46281.29166666666</v>
      </c>
      <c r="C19" s="2" t="n">
        <v>442</v>
      </c>
      <c r="D19" s="2" t="n">
        <v>0</v>
      </c>
      <c r="E19" s="2" t="n">
        <v>0</v>
      </c>
      <c r="F19" s="2" t="n">
        <v>0</v>
      </c>
      <c r="G19" s="2" t="n">
        <v>66.90000000000001</v>
      </c>
    </row>
    <row r="20">
      <c r="A20" s="7" t="n">
        <v>46281.22963460648</v>
      </c>
      <c r="B20" s="7" t="n">
        <v>46281.16666666666</v>
      </c>
      <c r="C20" s="2" t="n">
        <v>442</v>
      </c>
      <c r="D20" s="2" t="n">
        <v>0</v>
      </c>
      <c r="E20" s="2" t="n">
        <v>0</v>
      </c>
      <c r="F20" s="2" t="n">
        <v>0</v>
      </c>
      <c r="G20" s="2" t="n">
        <v>61.9</v>
      </c>
    </row>
    <row r="21">
      <c r="A21" s="7" t="n">
        <v>46281.094529375</v>
      </c>
      <c r="B21" s="7" t="n">
        <v>46281.04166666666</v>
      </c>
      <c r="C21" s="2" t="n">
        <v>442</v>
      </c>
      <c r="D21" s="2" t="n">
        <v>0</v>
      </c>
      <c r="E21" s="2" t="n">
        <v>0</v>
      </c>
      <c r="F21" s="2" t="n">
        <v>0</v>
      </c>
      <c r="G21" s="2" t="n">
        <v>46.5</v>
      </c>
    </row>
    <row r="22">
      <c r="A22" s="7" t="n">
        <v>46280.9017994676</v>
      </c>
      <c r="B22" s="7" t="n">
        <v>46280.83333333334</v>
      </c>
      <c r="C22" s="2" t="n">
        <v>442</v>
      </c>
      <c r="D22" s="2" t="n">
        <v>0</v>
      </c>
      <c r="E22" s="2" t="n">
        <v>0</v>
      </c>
      <c r="F22" s="2" t="n">
        <v>0</v>
      </c>
      <c r="G22" s="2" t="n">
        <v>56.7</v>
      </c>
    </row>
    <row r="23">
      <c r="A23" s="7" t="n">
        <v>46280.66002480324</v>
      </c>
      <c r="B23" s="7" t="n">
        <v>46280.58333333334</v>
      </c>
      <c r="C23" s="2" t="n">
        <v>442</v>
      </c>
      <c r="D23" s="2" t="n">
        <v>0</v>
      </c>
      <c r="E23" s="2" t="n">
        <v>0</v>
      </c>
      <c r="F23" s="2" t="n">
        <v>0</v>
      </c>
      <c r="G23" s="2" t="n">
        <v>67.40000000000001</v>
      </c>
    </row>
    <row r="24">
      <c r="A24" s="7" t="n">
        <v>46280.4778358449</v>
      </c>
      <c r="B24" s="7" t="n">
        <v>46280.41666666666</v>
      </c>
      <c r="C24" s="2" t="n">
        <v>442</v>
      </c>
      <c r="D24" s="2" t="n">
        <v>0</v>
      </c>
      <c r="E24" s="2" t="n">
        <v>0</v>
      </c>
      <c r="F24" s="2" t="n">
        <v>0</v>
      </c>
      <c r="G24" s="2" t="n">
        <v>61.2</v>
      </c>
    </row>
    <row r="25">
      <c r="A25" s="7" t="n">
        <v>46280.39795681713</v>
      </c>
      <c r="B25" s="7" t="n">
        <v>46280.33333333334</v>
      </c>
      <c r="C25" s="2" t="n">
        <v>442</v>
      </c>
      <c r="D25" s="2" t="n">
        <v>0</v>
      </c>
      <c r="E25" s="2" t="n">
        <v>0</v>
      </c>
      <c r="F25" s="2" t="n">
        <v>0</v>
      </c>
      <c r="G25" s="2" t="n">
        <v>66.90000000000001</v>
      </c>
    </row>
    <row r="26">
      <c r="A26" s="7" t="n">
        <v>46280.29983445602</v>
      </c>
      <c r="B26" s="7" t="n">
        <v>46280.25</v>
      </c>
      <c r="C26" s="2" t="n">
        <v>442</v>
      </c>
      <c r="D26" s="2" t="n">
        <v>0</v>
      </c>
      <c r="E26" s="2" t="n">
        <v>0</v>
      </c>
      <c r="F26" s="2" t="n">
        <v>0</v>
      </c>
      <c r="G26" s="2" t="n">
        <v>51.6</v>
      </c>
    </row>
    <row r="27">
      <c r="A27" s="7" t="n">
        <v>46280.14350143519</v>
      </c>
      <c r="B27" s="7" t="n">
        <v>46280.08333333334</v>
      </c>
      <c r="C27" s="2" t="n">
        <v>442</v>
      </c>
      <c r="D27" s="2" t="n">
        <v>0</v>
      </c>
      <c r="E27" s="2" t="n">
        <v>0</v>
      </c>
      <c r="F27" s="2" t="n">
        <v>0</v>
      </c>
      <c r="G27" s="2" t="n">
        <v>57.3</v>
      </c>
    </row>
    <row r="28">
      <c r="A28" s="7" t="n">
        <v>46279.92418226852</v>
      </c>
      <c r="B28" s="7" t="n">
        <v>46279.875</v>
      </c>
      <c r="C28" s="2" t="n">
        <v>442</v>
      </c>
      <c r="D28" s="2" t="n">
        <v>0</v>
      </c>
      <c r="E28" s="2" t="n">
        <v>0</v>
      </c>
      <c r="F28" s="2" t="n">
        <v>0</v>
      </c>
      <c r="G28" s="2" t="n">
        <v>48.1</v>
      </c>
    </row>
    <row r="29">
      <c r="A29" s="7" t="n">
        <v>46279.59996445602</v>
      </c>
      <c r="B29" s="7" t="n">
        <v>46279.54166666666</v>
      </c>
      <c r="C29" s="2" t="n">
        <v>442</v>
      </c>
      <c r="D29" s="2" t="n">
        <v>0</v>
      </c>
      <c r="E29" s="2" t="n">
        <v>0</v>
      </c>
      <c r="F29" s="2" t="n">
        <v>0</v>
      </c>
      <c r="G29" s="2" t="n">
        <v>61</v>
      </c>
    </row>
    <row r="30">
      <c r="A30" s="7" t="n">
        <v>46279.38316741898</v>
      </c>
      <c r="B30" s="7" t="n">
        <v>46279.33333333334</v>
      </c>
      <c r="C30" s="2" t="n">
        <v>442</v>
      </c>
      <c r="D30" s="2" t="n">
        <v>0</v>
      </c>
      <c r="E30" s="2" t="n">
        <v>0</v>
      </c>
      <c r="F30" s="2" t="n">
        <v>0</v>
      </c>
      <c r="G30" s="2" t="n">
        <v>59.9</v>
      </c>
    </row>
    <row r="31">
      <c r="A31" s="7" t="n">
        <v>46279.26932584491</v>
      </c>
      <c r="B31" s="7" t="n">
        <v>46279.20833333334</v>
      </c>
      <c r="C31" s="2" t="n">
        <v>442</v>
      </c>
      <c r="D31" s="2" t="n">
        <v>0</v>
      </c>
      <c r="E31" s="2" t="n">
        <v>0</v>
      </c>
      <c r="F31" s="2" t="n">
        <v>0</v>
      </c>
      <c r="G31" s="2" t="n">
        <v>61.1</v>
      </c>
    </row>
    <row r="32">
      <c r="A32" s="7" t="n">
        <v>46279.14665413195</v>
      </c>
      <c r="B32" s="7" t="n">
        <v>46279.08333333334</v>
      </c>
      <c r="C32" s="2" t="n">
        <v>442</v>
      </c>
      <c r="D32" s="2" t="n">
        <v>0</v>
      </c>
      <c r="E32" s="2" t="n">
        <v>0</v>
      </c>
      <c r="F32" s="2" t="n">
        <v>0</v>
      </c>
      <c r="G32" s="2" t="n">
        <v>55.1</v>
      </c>
    </row>
    <row r="33">
      <c r="A33" s="7" t="n">
        <v>46279.01733591435</v>
      </c>
      <c r="B33" s="7" t="n">
        <v>46278.95833333334</v>
      </c>
      <c r="C33" s="2" t="n">
        <v>442</v>
      </c>
      <c r="D33" s="2" t="n">
        <v>0</v>
      </c>
      <c r="E33" s="2" t="n">
        <v>0</v>
      </c>
      <c r="F33" s="2" t="n">
        <v>0</v>
      </c>
      <c r="G33" s="2" t="n">
        <v>59.7</v>
      </c>
    </row>
    <row r="34">
      <c r="A34" s="7" t="n">
        <v>46278.83725055555</v>
      </c>
      <c r="B34" s="7" t="n">
        <v>46278.79166666666</v>
      </c>
      <c r="C34" s="2" t="n">
        <v>442</v>
      </c>
      <c r="D34" s="2" t="n">
        <v>0</v>
      </c>
      <c r="E34" s="2" t="n">
        <v>0</v>
      </c>
      <c r="F34" s="2" t="n">
        <v>0</v>
      </c>
      <c r="G34" s="2" t="n">
        <v>65.40000000000001</v>
      </c>
    </row>
    <row r="35">
      <c r="A35" s="7" t="n">
        <v>46278.71111972223</v>
      </c>
      <c r="B35" s="7" t="n">
        <v>46278.66666666666</v>
      </c>
      <c r="C35" s="2" t="n">
        <v>442</v>
      </c>
      <c r="D35" s="2" t="n">
        <v>0</v>
      </c>
      <c r="E35" s="2" t="n">
        <v>0</v>
      </c>
      <c r="F35" s="2" t="n">
        <v>0</v>
      </c>
      <c r="G35" s="2" t="n">
        <v>63.6</v>
      </c>
    </row>
    <row r="36">
      <c r="A36" s="7" t="n">
        <v>46278.68053923611</v>
      </c>
      <c r="B36" s="7" t="n">
        <v>46278.625</v>
      </c>
      <c r="C36" s="2" t="n">
        <v>442</v>
      </c>
      <c r="D36" s="2" t="n">
        <v>0</v>
      </c>
      <c r="E36" s="2" t="n">
        <v>0</v>
      </c>
      <c r="F36" s="2" t="n">
        <v>0</v>
      </c>
      <c r="G36" s="2" t="n">
        <v>63.6</v>
      </c>
    </row>
    <row r="37">
      <c r="A37" s="7" t="n">
        <v>46278.07354997685</v>
      </c>
      <c r="B37" s="7" t="n">
        <v>46278</v>
      </c>
      <c r="C37" s="2" t="n">
        <v>442</v>
      </c>
      <c r="D37" s="2" t="n">
        <v>0</v>
      </c>
      <c r="E37" s="2" t="n">
        <v>0</v>
      </c>
      <c r="F37" s="2" t="n">
        <v>0</v>
      </c>
      <c r="G37" s="2" t="n">
        <v>50.2</v>
      </c>
    </row>
    <row r="38">
      <c r="A38" s="7" t="n">
        <v>46277.94390239583</v>
      </c>
      <c r="B38" s="7" t="n">
        <v>46277.875</v>
      </c>
      <c r="C38" s="2" t="n">
        <v>442</v>
      </c>
      <c r="D38" s="2" t="n">
        <v>0</v>
      </c>
      <c r="E38" s="2" t="n">
        <v>0</v>
      </c>
      <c r="F38" s="2" t="n">
        <v>0</v>
      </c>
      <c r="G38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資金明細!R198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MAX(資金明細!$R$2:$R$198)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MIN(資金明細!$R$2:$R$198)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MIN(資金明細!$X$2:$X$198)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COUNTIFS(資金明細!$C$2:$C$198,"進場",資金明細!$N$2:$N$198,"已下單")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COUNTIFS(資金明細!$C$2:$C$198,"進場",資金明細!$N$2:$N$198,"資金不足略過")</f>
        <v/>
      </c>
    </row>
    <row r="11">
      <c r="D11" s="2" t="inlineStr">
        <is>
          <t>止盈筆數</t>
        </is>
      </c>
      <c r="E11" s="15">
        <f>COUNTIFS(資金明細!$C$2:$C$198,"出場",資金明細!$N$2:$N$198,"已下單",資金明細!$K$2:$K$198,"止盈")</f>
        <v/>
      </c>
    </row>
    <row r="12">
      <c r="A12" s="2" t="inlineStr">
        <is>
          <t>每筆止損約虧本金</t>
        </is>
      </c>
      <c r="B12" s="4">
        <f>B5*B7*IFERROR(AVERAGE(交易明細!$AB$2:$AB$99),參數!B6)</f>
        <v/>
      </c>
      <c r="D12" s="2" t="inlineStr">
        <is>
          <t>止損筆數</t>
        </is>
      </c>
      <c r="E12" s="15">
        <f>COUNTIFS(資金明細!$C$2:$C$198,"出場",資金明細!$N$2:$N$198,"已下單",資金明細!$K$2:$K$198,"止損")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IFERROR(E11/COUNTIFS(資金明細!$C$2:$C$198,"出場",資金明細!$N$2:$N$198,"已下單"),0)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MAX(資金明細!$U$2:$U$198)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MAX(資金明細!$S$2:$S$198)</f>
        <v/>
      </c>
    </row>
    <row r="16">
      <c r="D16" s="2" t="inlineStr">
        <is>
          <t>期末下單金額</t>
        </is>
      </c>
      <c r="E16" s="16">
        <f>B5*資金明細!V198</f>
        <v/>
      </c>
    </row>
    <row r="17">
      <c r="D17" s="2" t="inlineStr">
        <is>
          <t>未平倉浮動損益（未計入）</t>
        </is>
      </c>
      <c r="E17" s="10">
        <f>0</f>
        <v/>
      </c>
    </row>
    <row r="18">
      <c r="D18" s="2" t="inlineStr">
        <is>
          <t>最大總曝險倍數</t>
        </is>
      </c>
      <c r="E18" s="16">
        <f>MAX(資金明細!$Y$2:$Y$198)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IFERROR(INDEX(資金明細!$B$2:$B$198,MATCH(1,資金明細!$Z$2:$Z$198,0)),"未觸發")</f>
        <v/>
      </c>
    </row>
    <row r="21">
      <c r="D21" s="2" t="inlineStr">
        <is>
          <t>停止後略過筆數</t>
        </is>
      </c>
      <c r="E21" s="15">
        <f>COUNTIFS(資金明細!$C$2:$C$198,"進場",資金明細!$N$2:$N$198,"已停止")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198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46266.02083333334</v>
      </c>
      <c r="C3" s="2" t="inlineStr">
        <is>
          <t>進場</t>
        </is>
      </c>
      <c r="D3" s="2" t="n">
        <v>1</v>
      </c>
      <c r="E3" s="2" t="inlineStr">
        <is>
          <t>AGT_USDT_PERP</t>
        </is>
      </c>
      <c r="F3" s="2" t="inlineStr">
        <is>
          <t>做空</t>
        </is>
      </c>
      <c r="G3" s="17" t="n">
        <v>0.017237</v>
      </c>
      <c r="H3" s="17" t="n">
        <v>0.01654752</v>
      </c>
      <c r="I3" s="17" t="n">
        <v>0.01809885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46266.02430555555</v>
      </c>
      <c r="C4" s="2" t="inlineStr">
        <is>
          <t>出場</t>
        </is>
      </c>
      <c r="D4" s="2" t="n">
        <v>1</v>
      </c>
      <c r="E4" s="2" t="inlineStr">
        <is>
          <t>AGT_USDT_PERP</t>
        </is>
      </c>
      <c r="F4" s="2" t="inlineStr">
        <is>
          <t>做空</t>
        </is>
      </c>
      <c r="G4" s="17" t="n">
        <v>0.017237</v>
      </c>
      <c r="H4" s="17" t="n">
        <v>0.01654752</v>
      </c>
      <c r="I4" s="17" t="n">
        <v>0.01809885</v>
      </c>
      <c r="J4" s="17" t="n">
        <v>0.01654752</v>
      </c>
      <c r="K4" s="2" t="inlineStr">
        <is>
          <t>止盈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46266.07638888889</v>
      </c>
      <c r="C5" s="2" t="inlineStr">
        <is>
          <t>進場</t>
        </is>
      </c>
      <c r="D5" s="2" t="n">
        <v>2</v>
      </c>
      <c r="E5" s="2" t="inlineStr">
        <is>
          <t>AGT_USDT_PERP</t>
        </is>
      </c>
      <c r="F5" s="2" t="inlineStr">
        <is>
          <t>做空</t>
        </is>
      </c>
      <c r="G5" s="17" t="n">
        <v>0.017307</v>
      </c>
      <c r="H5" s="17" t="n">
        <v>0.01661472</v>
      </c>
      <c r="I5" s="17" t="n">
        <v>0.01817235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46266.09375</v>
      </c>
      <c r="C6" s="2" t="inlineStr">
        <is>
          <t>進場</t>
        </is>
      </c>
      <c r="D6" s="2" t="n">
        <v>3</v>
      </c>
      <c r="E6" s="2" t="inlineStr">
        <is>
          <t>DOGS_USDT_PERP</t>
        </is>
      </c>
      <c r="F6" s="2" t="inlineStr">
        <is>
          <t>做空</t>
        </is>
      </c>
      <c r="G6" s="17" t="n">
        <v>4.62e-05</v>
      </c>
      <c r="H6" s="17" t="n">
        <v>4.4352e-05</v>
      </c>
      <c r="I6" s="17" t="n">
        <v>4.851e-05</v>
      </c>
      <c r="J6" s="17" t="n"/>
      <c r="K6" s="2" t="n"/>
      <c r="L6" s="5" t="n"/>
      <c r="M6" s="16">
        <f>資金模擬!$B$5*V5</f>
        <v/>
      </c>
      <c r="N6" s="2">
        <f>IF(Z5=1,"已停止",IF(T5&gt;=M6,"已下單","資金不足略過"))</f>
        <v/>
      </c>
      <c r="O6" s="16">
        <f>IF(N6="已下單",M6*資金模擬!$B$7,0)</f>
        <v/>
      </c>
      <c r="P6" s="4" t="n"/>
      <c r="Q6" s="10" t="n">
        <v>0</v>
      </c>
      <c r="R6" s="10">
        <f>R5+Q6</f>
        <v/>
      </c>
      <c r="S6" s="16">
        <f>S5+IF(N6="已下單",M6,0)</f>
        <v/>
      </c>
      <c r="T6" s="16">
        <f>R6-S6</f>
        <v/>
      </c>
      <c r="U6" s="2">
        <f>U5+IF(N6="已下單",1,0)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46266.18055555555</v>
      </c>
      <c r="C7" s="2" t="inlineStr">
        <is>
          <t>出場</t>
        </is>
      </c>
      <c r="D7" s="2" t="n">
        <v>3</v>
      </c>
      <c r="E7" s="2" t="inlineStr">
        <is>
          <t>DOGS_USDT_PERP</t>
        </is>
      </c>
      <c r="F7" s="2" t="inlineStr">
        <is>
          <t>做空</t>
        </is>
      </c>
      <c r="G7" s="17" t="n">
        <v>4.62e-05</v>
      </c>
      <c r="H7" s="17" t="n">
        <v>4.4352e-05</v>
      </c>
      <c r="I7" s="17" t="n">
        <v>4.851e-05</v>
      </c>
      <c r="J7" s="17" t="n">
        <v>4.4352e-05</v>
      </c>
      <c r="K7" s="2" t="inlineStr">
        <is>
          <t>止盈</t>
        </is>
      </c>
      <c r="L7" s="5">
        <f>交易明細!K4</f>
        <v/>
      </c>
      <c r="M7" s="16">
        <f>M6</f>
        <v/>
      </c>
      <c r="N7" s="2">
        <f>N6</f>
        <v/>
      </c>
      <c r="O7" s="16">
        <f>O6</f>
        <v/>
      </c>
      <c r="P7" s="4">
        <f>交易明細!L4</f>
        <v/>
      </c>
      <c r="Q7" s="10">
        <f>IF(N7="已下單",O7*P7,0)</f>
        <v/>
      </c>
      <c r="R7" s="10">
        <f>R6+Q7</f>
        <v/>
      </c>
      <c r="S7" s="16">
        <f>S6-IF(N7="已下單",M7,0)</f>
        <v/>
      </c>
      <c r="T7" s="16">
        <f>R7-S7</f>
        <v/>
      </c>
      <c r="U7" s="2">
        <f>U6-IF(N7="已下單",1,0)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46266.23263888889</v>
      </c>
      <c r="C8" s="2" t="inlineStr">
        <is>
          <t>出場</t>
        </is>
      </c>
      <c r="D8" s="2" t="n">
        <v>2</v>
      </c>
      <c r="E8" s="2" t="inlineStr">
        <is>
          <t>AGT_USDT_PERP</t>
        </is>
      </c>
      <c r="F8" s="2" t="inlineStr">
        <is>
          <t>做空</t>
        </is>
      </c>
      <c r="G8" s="17" t="n">
        <v>0.017307</v>
      </c>
      <c r="H8" s="17" t="n">
        <v>0.01661472</v>
      </c>
      <c r="I8" s="17" t="n">
        <v>0.01817235</v>
      </c>
      <c r="J8" s="17" t="n">
        <v>0.01661472</v>
      </c>
      <c r="K8" s="2" t="inlineStr">
        <is>
          <t>止盈</t>
        </is>
      </c>
      <c r="L8" s="5">
        <f>交易明細!K3</f>
        <v/>
      </c>
      <c r="M8" s="16">
        <f>M5</f>
        <v/>
      </c>
      <c r="N8" s="2">
        <f>N5</f>
        <v/>
      </c>
      <c r="O8" s="16">
        <f>O5</f>
        <v/>
      </c>
      <c r="P8" s="4">
        <f>交易明細!L3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46266.51388888889</v>
      </c>
      <c r="C9" s="2" t="inlineStr">
        <is>
          <t>進場</t>
        </is>
      </c>
      <c r="D9" s="2" t="n">
        <v>4</v>
      </c>
      <c r="E9" s="2" t="inlineStr">
        <is>
          <t>AGT_USDT_PERP</t>
        </is>
      </c>
      <c r="F9" s="2" t="inlineStr">
        <is>
          <t>做空</t>
        </is>
      </c>
      <c r="G9" s="17" t="n">
        <v>0.018968</v>
      </c>
      <c r="H9" s="17" t="n">
        <v>0.01820928</v>
      </c>
      <c r="I9" s="17" t="n">
        <v>0.0199164</v>
      </c>
      <c r="J9" s="17" t="n"/>
      <c r="K9" s="2" t="n"/>
      <c r="L9" s="5" t="n"/>
      <c r="M9" s="16">
        <f>資金模擬!$B$5*V8</f>
        <v/>
      </c>
      <c r="N9" s="2">
        <f>IF(Z8=1,"已停止",IF(T8&gt;=M9,"已下單","資金不足略過"))</f>
        <v/>
      </c>
      <c r="O9" s="16">
        <f>IF(N9="已下單",M9*資金模擬!$B$7,0)</f>
        <v/>
      </c>
      <c r="P9" s="4" t="n"/>
      <c r="Q9" s="10" t="n">
        <v>0</v>
      </c>
      <c r="R9" s="10">
        <f>R8+Q9</f>
        <v/>
      </c>
      <c r="S9" s="16">
        <f>S8+IF(N9="已下單",M9,0)</f>
        <v/>
      </c>
      <c r="T9" s="16">
        <f>R9-S9</f>
        <v/>
      </c>
      <c r="U9" s="2">
        <f>U8+IF(N9="已下單",1,0)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46266.51736111111</v>
      </c>
      <c r="C10" s="2" t="inlineStr">
        <is>
          <t>出場</t>
        </is>
      </c>
      <c r="D10" s="2" t="n">
        <v>4</v>
      </c>
      <c r="E10" s="2" t="inlineStr">
        <is>
          <t>AGT_USDT_PERP</t>
        </is>
      </c>
      <c r="F10" s="2" t="inlineStr">
        <is>
          <t>做空</t>
        </is>
      </c>
      <c r="G10" s="17" t="n">
        <v>0.018968</v>
      </c>
      <c r="H10" s="17" t="n">
        <v>0.01820928</v>
      </c>
      <c r="I10" s="17" t="n">
        <v>0.0199164</v>
      </c>
      <c r="J10" s="17" t="n">
        <v>0.01820928</v>
      </c>
      <c r="K10" s="2" t="inlineStr">
        <is>
          <t>止盈</t>
        </is>
      </c>
      <c r="L10" s="5">
        <f>交易明細!K5</f>
        <v/>
      </c>
      <c r="M10" s="16">
        <f>M9</f>
        <v/>
      </c>
      <c r="N10" s="2">
        <f>N9</f>
        <v/>
      </c>
      <c r="O10" s="16">
        <f>O9</f>
        <v/>
      </c>
      <c r="P10" s="4">
        <f>交易明細!L5</f>
        <v/>
      </c>
      <c r="Q10" s="10">
        <f>IF(N10="已下單",O10*P10,0)</f>
        <v/>
      </c>
      <c r="R10" s="10">
        <f>R9+Q10</f>
        <v/>
      </c>
      <c r="S10" s="16">
        <f>S9-IF(N10="已下單",M10,0)</f>
        <v/>
      </c>
      <c r="T10" s="16">
        <f>R10-S10</f>
        <v/>
      </c>
      <c r="U10" s="2">
        <f>U9-IF(N10="已下單",1,0)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46266.85416666666</v>
      </c>
      <c r="C11" s="2" t="inlineStr">
        <is>
          <t>進場</t>
        </is>
      </c>
      <c r="D11" s="2" t="n">
        <v>5</v>
      </c>
      <c r="E11" s="2" t="inlineStr">
        <is>
          <t>ACE_USDT_PERP</t>
        </is>
      </c>
      <c r="F11" s="2" t="inlineStr">
        <is>
          <t>做空</t>
        </is>
      </c>
      <c r="G11" s="17" t="n">
        <v>0.18806</v>
      </c>
      <c r="H11" s="17" t="n">
        <v>0.1805376</v>
      </c>
      <c r="I11" s="17" t="n">
        <v>0.197463</v>
      </c>
      <c r="J11" s="17" t="n"/>
      <c r="K11" s="2" t="n"/>
      <c r="L11" s="5" t="n"/>
      <c r="M11" s="16">
        <f>資金模擬!$B$5*V10</f>
        <v/>
      </c>
      <c r="N11" s="2">
        <f>IF(Z10=1,"已停止",IF(T10&gt;=M11,"已下單","資金不足略過"))</f>
        <v/>
      </c>
      <c r="O11" s="16">
        <f>IF(N11="已下單",M11*資金模擬!$B$7,0)</f>
        <v/>
      </c>
      <c r="P11" s="4" t="n"/>
      <c r="Q11" s="10" t="n">
        <v>0</v>
      </c>
      <c r="R11" s="10">
        <f>R10+Q11</f>
        <v/>
      </c>
      <c r="S11" s="16">
        <f>S10+IF(N11="已下單",M11,0)</f>
        <v/>
      </c>
      <c r="T11" s="16">
        <f>R11-S11</f>
        <v/>
      </c>
      <c r="U11" s="2">
        <f>U10+IF(N11="已下單",1,0)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46266.86458333334</v>
      </c>
      <c r="C12" s="2" t="inlineStr">
        <is>
          <t>出場</t>
        </is>
      </c>
      <c r="D12" s="2" t="n">
        <v>5</v>
      </c>
      <c r="E12" s="2" t="inlineStr">
        <is>
          <t>ACE_USDT_PERP</t>
        </is>
      </c>
      <c r="F12" s="2" t="inlineStr">
        <is>
          <t>做空</t>
        </is>
      </c>
      <c r="G12" s="17" t="n">
        <v>0.18806</v>
      </c>
      <c r="H12" s="17" t="n">
        <v>0.1805376</v>
      </c>
      <c r="I12" s="17" t="n">
        <v>0.197463</v>
      </c>
      <c r="J12" s="17" t="n">
        <v>0.1805376</v>
      </c>
      <c r="K12" s="2" t="inlineStr">
        <is>
          <t>止盈</t>
        </is>
      </c>
      <c r="L12" s="5">
        <f>交易明細!K6</f>
        <v/>
      </c>
      <c r="M12" s="16">
        <f>M11</f>
        <v/>
      </c>
      <c r="N12" s="2">
        <f>N11</f>
        <v/>
      </c>
      <c r="O12" s="16">
        <f>O11</f>
        <v/>
      </c>
      <c r="P12" s="4">
        <f>交易明細!L6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46266.90277777778</v>
      </c>
      <c r="C13" s="2" t="inlineStr">
        <is>
          <t>進場</t>
        </is>
      </c>
      <c r="D13" s="2" t="n">
        <v>6</v>
      </c>
      <c r="E13" s="2" t="inlineStr">
        <is>
          <t>FF_USDT_PERP</t>
        </is>
      </c>
      <c r="F13" s="2" t="inlineStr">
        <is>
          <t>做空</t>
        </is>
      </c>
      <c r="G13" s="17" t="n">
        <v>0.09488000000000001</v>
      </c>
      <c r="H13" s="17" t="n">
        <v>0.09108480000000001</v>
      </c>
      <c r="I13" s="17" t="n">
        <v>0.099624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46266.90972222222</v>
      </c>
      <c r="C14" s="2" t="inlineStr">
        <is>
          <t>出場</t>
        </is>
      </c>
      <c r="D14" s="2" t="n">
        <v>6</v>
      </c>
      <c r="E14" s="2" t="inlineStr">
        <is>
          <t>FF_USDT_PERP</t>
        </is>
      </c>
      <c r="F14" s="2" t="inlineStr">
        <is>
          <t>做空</t>
        </is>
      </c>
      <c r="G14" s="17" t="n">
        <v>0.09488000000000001</v>
      </c>
      <c r="H14" s="17" t="n">
        <v>0.09108480000000001</v>
      </c>
      <c r="I14" s="17" t="n">
        <v>0.099624</v>
      </c>
      <c r="J14" s="17" t="n">
        <v>0.099624</v>
      </c>
      <c r="K14" s="2" t="inlineStr">
        <is>
          <t>止損</t>
        </is>
      </c>
      <c r="L14" s="5">
        <f>交易明細!K7</f>
        <v/>
      </c>
      <c r="M14" s="16">
        <f>M13</f>
        <v/>
      </c>
      <c r="N14" s="2">
        <f>N13</f>
        <v/>
      </c>
      <c r="O14" s="16">
        <f>O13</f>
        <v/>
      </c>
      <c r="P14" s="4">
        <f>交易明細!L7</f>
        <v/>
      </c>
      <c r="Q14" s="10">
        <f>IF(N14="已下單",O14*P14,0)</f>
        <v/>
      </c>
      <c r="R14" s="10">
        <f>R13+Q14</f>
        <v/>
      </c>
      <c r="S14" s="16">
        <f>S13-IF(N14="已下單",M14,0)</f>
        <v/>
      </c>
      <c r="T14" s="16">
        <f>R14-S14</f>
        <v/>
      </c>
      <c r="U14" s="2">
        <f>U13-IF(N14="已下單",1,0)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46266.95138888889</v>
      </c>
      <c r="C15" s="2" t="inlineStr">
        <is>
          <t>進場</t>
        </is>
      </c>
      <c r="D15" s="2" t="n">
        <v>7</v>
      </c>
      <c r="E15" s="2" t="inlineStr">
        <is>
          <t>FF_USDT_PERP</t>
        </is>
      </c>
      <c r="F15" s="2" t="inlineStr">
        <is>
          <t>做空</t>
        </is>
      </c>
      <c r="G15" s="17" t="n">
        <v>0.10179</v>
      </c>
      <c r="H15" s="17" t="n">
        <v>0.0977184</v>
      </c>
      <c r="I15" s="17" t="n">
        <v>0.1068795</v>
      </c>
      <c r="J15" s="17" t="n"/>
      <c r="K15" s="2" t="n"/>
      <c r="L15" s="5" t="n"/>
      <c r="M15" s="16">
        <f>資金模擬!$B$5*V14</f>
        <v/>
      </c>
      <c r="N15" s="2">
        <f>IF(Z14=1,"已停止",IF(T14&gt;=M15,"已下單","資金不足略過"))</f>
        <v/>
      </c>
      <c r="O15" s="16">
        <f>IF(N15="已下單",M15*資金模擬!$B$7,0)</f>
        <v/>
      </c>
      <c r="P15" s="4" t="n"/>
      <c r="Q15" s="10" t="n">
        <v>0</v>
      </c>
      <c r="R15" s="10">
        <f>R14+Q15</f>
        <v/>
      </c>
      <c r="S15" s="16">
        <f>S14+IF(N15="已下單",M15,0)</f>
        <v/>
      </c>
      <c r="T15" s="16">
        <f>R15-S15</f>
        <v/>
      </c>
      <c r="U15" s="2">
        <f>U14+IF(N15="已下單",1,0)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46266.96875</v>
      </c>
      <c r="C16" s="2" t="inlineStr">
        <is>
          <t>出場</t>
        </is>
      </c>
      <c r="D16" s="2" t="n">
        <v>7</v>
      </c>
      <c r="E16" s="2" t="inlineStr">
        <is>
          <t>FF_USDT_PERP</t>
        </is>
      </c>
      <c r="F16" s="2" t="inlineStr">
        <is>
          <t>做空</t>
        </is>
      </c>
      <c r="G16" s="17" t="n">
        <v>0.10179</v>
      </c>
      <c r="H16" s="17" t="n">
        <v>0.0977184</v>
      </c>
      <c r="I16" s="17" t="n">
        <v>0.1068795</v>
      </c>
      <c r="J16" s="17" t="n">
        <v>0.0977184</v>
      </c>
      <c r="K16" s="2" t="inlineStr">
        <is>
          <t>止盈</t>
        </is>
      </c>
      <c r="L16" s="5">
        <f>交易明細!K8</f>
        <v/>
      </c>
      <c r="M16" s="16">
        <f>M15</f>
        <v/>
      </c>
      <c r="N16" s="2">
        <f>N15</f>
        <v/>
      </c>
      <c r="O16" s="16">
        <f>O15</f>
        <v/>
      </c>
      <c r="P16" s="4">
        <f>交易明細!L8</f>
        <v/>
      </c>
      <c r="Q16" s="10">
        <f>IF(N16="已下單",O16*P16,0)</f>
        <v/>
      </c>
      <c r="R16" s="10">
        <f>R15+Q16</f>
        <v/>
      </c>
      <c r="S16" s="16">
        <f>S15-IF(N16="已下單",M16,0)</f>
        <v/>
      </c>
      <c r="T16" s="16">
        <f>R16-S16</f>
        <v/>
      </c>
      <c r="U16" s="2">
        <f>U15-IF(N16="已下單",1,0)</f>
        <v/>
      </c>
      <c r="V16" s="16">
        <f>IF(資金模擬!$B$9=2,MAX(R16,0),MAX(V15,FLOOR(MAX(R16,0),資金模擬!$B$6)))</f>
        <v/>
      </c>
      <c r="W16" s="10">
        <f>MAX(W15,R16)</f>
        <v/>
      </c>
      <c r="X16" s="4">
        <f>IF(W16&gt;0,R16/W16-1,-1)</f>
        <v/>
      </c>
      <c r="Y16" s="16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46267.39236111111</v>
      </c>
      <c r="C17" s="2" t="inlineStr">
        <is>
          <t>進場</t>
        </is>
      </c>
      <c r="D17" s="2" t="n">
        <v>8</v>
      </c>
      <c r="E17" s="2" t="inlineStr">
        <is>
          <t>LA_USDT_PERP</t>
        </is>
      </c>
      <c r="F17" s="2" t="inlineStr">
        <is>
          <t>做空</t>
        </is>
      </c>
      <c r="G17" s="17" t="n">
        <v>0.06491</v>
      </c>
      <c r="H17" s="17" t="n">
        <v>0.0623136</v>
      </c>
      <c r="I17" s="17" t="n">
        <v>0.06815549999999999</v>
      </c>
      <c r="J17" s="17" t="n"/>
      <c r="K17" s="2" t="n"/>
      <c r="L17" s="5" t="n"/>
      <c r="M17" s="16">
        <f>資金模擬!$B$5*V16</f>
        <v/>
      </c>
      <c r="N17" s="2">
        <f>IF(Z16=1,"已停止",IF(T16&gt;=M17,"已下單","資金不足略過"))</f>
        <v/>
      </c>
      <c r="O17" s="16">
        <f>IF(N17="已下單",M17*資金模擬!$B$7,0)</f>
        <v/>
      </c>
      <c r="P17" s="4" t="n"/>
      <c r="Q17" s="10" t="n">
        <v>0</v>
      </c>
      <c r="R17" s="10">
        <f>R16+Q17</f>
        <v/>
      </c>
      <c r="S17" s="16">
        <f>S16+IF(N17="已下單",M17,0)</f>
        <v/>
      </c>
      <c r="T17" s="16">
        <f>R17-S17</f>
        <v/>
      </c>
      <c r="U17" s="2">
        <f>U16+IF(N17="已下單",1,0)</f>
        <v/>
      </c>
      <c r="V17" s="16">
        <f>IF(資金模擬!$B$9=2,MAX(R17,0),MAX(V16,FLOOR(MAX(R17,0),資金模擬!$B$6)))</f>
        <v/>
      </c>
      <c r="W17" s="10">
        <f>MAX(W16,R17)</f>
        <v/>
      </c>
      <c r="X17" s="4">
        <f>IF(W17&gt;0,R17/W17-1,-1)</f>
        <v/>
      </c>
      <c r="Y17" s="16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46267.47222222222</v>
      </c>
      <c r="C18" s="2" t="inlineStr">
        <is>
          <t>出場</t>
        </is>
      </c>
      <c r="D18" s="2" t="n">
        <v>8</v>
      </c>
      <c r="E18" s="2" t="inlineStr">
        <is>
          <t>LA_USDT_PERP</t>
        </is>
      </c>
      <c r="F18" s="2" t="inlineStr">
        <is>
          <t>做空</t>
        </is>
      </c>
      <c r="G18" s="17" t="n">
        <v>0.06491</v>
      </c>
      <c r="H18" s="17" t="n">
        <v>0.0623136</v>
      </c>
      <c r="I18" s="17" t="n">
        <v>0.06815549999999999</v>
      </c>
      <c r="J18" s="17" t="n">
        <v>0.0623136</v>
      </c>
      <c r="K18" s="2" t="inlineStr">
        <is>
          <t>止盈</t>
        </is>
      </c>
      <c r="L18" s="5">
        <f>交易明細!K9</f>
        <v/>
      </c>
      <c r="M18" s="16">
        <f>M17</f>
        <v/>
      </c>
      <c r="N18" s="2">
        <f>N17</f>
        <v/>
      </c>
      <c r="O18" s="16">
        <f>O17</f>
        <v/>
      </c>
      <c r="P18" s="4">
        <f>交易明細!L9</f>
        <v/>
      </c>
      <c r="Q18" s="10">
        <f>IF(N18="已下單",O18*P18,0)</f>
        <v/>
      </c>
      <c r="R18" s="10">
        <f>R17+Q18</f>
        <v/>
      </c>
      <c r="S18" s="16">
        <f>S17-IF(N18="已下單",M18,0)</f>
        <v/>
      </c>
      <c r="T18" s="16">
        <f>R18-S18</f>
        <v/>
      </c>
      <c r="U18" s="2">
        <f>U17-IF(N18="已下單",1,0)</f>
        <v/>
      </c>
      <c r="V18" s="16">
        <f>IF(資金模擬!$B$9=2,MAX(R18,0),MAX(V17,FLOOR(MAX(R18,0),資金模擬!$B$6)))</f>
        <v/>
      </c>
      <c r="W18" s="10">
        <f>MAX(W17,R18)</f>
        <v/>
      </c>
      <c r="X18" s="4">
        <f>IF(W18&gt;0,R18/W18-1,-1)</f>
        <v/>
      </c>
      <c r="Y18" s="16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46267.48263888889</v>
      </c>
      <c r="C19" s="2" t="inlineStr">
        <is>
          <t>進場</t>
        </is>
      </c>
      <c r="D19" s="2" t="n">
        <v>9</v>
      </c>
      <c r="E19" s="2" t="inlineStr">
        <is>
          <t>CLO_USDT_PERP</t>
        </is>
      </c>
      <c r="F19" s="2" t="inlineStr">
        <is>
          <t>做空</t>
        </is>
      </c>
      <c r="G19" s="17" t="n">
        <v>0.1616</v>
      </c>
      <c r="H19" s="17" t="n">
        <v>0.155136</v>
      </c>
      <c r="I19" s="17" t="n">
        <v>0.16968</v>
      </c>
      <c r="J19" s="17" t="n"/>
      <c r="K19" s="2" t="n"/>
      <c r="L19" s="5" t="n"/>
      <c r="M19" s="16">
        <f>資金模擬!$B$5*V18</f>
        <v/>
      </c>
      <c r="N19" s="2">
        <f>IF(Z18=1,"已停止",IF(T18&gt;=M19,"已下單","資金不足略過"))</f>
        <v/>
      </c>
      <c r="O19" s="16">
        <f>IF(N19="已下單",M19*資金模擬!$B$7,0)</f>
        <v/>
      </c>
      <c r="P19" s="4" t="n"/>
      <c r="Q19" s="10" t="n">
        <v>0</v>
      </c>
      <c r="R19" s="10">
        <f>R18+Q19</f>
        <v/>
      </c>
      <c r="S19" s="16">
        <f>S18+IF(N19="已下單",M19,0)</f>
        <v/>
      </c>
      <c r="T19" s="16">
        <f>R19-S19</f>
        <v/>
      </c>
      <c r="U19" s="2">
        <f>U18+IF(N19="已下單",1,0)</f>
        <v/>
      </c>
      <c r="V19" s="16">
        <f>IF(資金模擬!$B$9=2,MAX(R19,0),MAX(V18,FLOOR(MAX(R19,0),資金模擬!$B$6)))</f>
        <v/>
      </c>
      <c r="W19" s="10">
        <f>MAX(W18,R19)</f>
        <v/>
      </c>
      <c r="X19" s="4">
        <f>IF(W19&gt;0,R19/W19-1,-1)</f>
        <v/>
      </c>
      <c r="Y19" s="16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46267.51388888889</v>
      </c>
      <c r="C20" s="2" t="inlineStr">
        <is>
          <t>出場</t>
        </is>
      </c>
      <c r="D20" s="2" t="n">
        <v>9</v>
      </c>
      <c r="E20" s="2" t="inlineStr">
        <is>
          <t>CLO_USDT_PERP</t>
        </is>
      </c>
      <c r="F20" s="2" t="inlineStr">
        <is>
          <t>做空</t>
        </is>
      </c>
      <c r="G20" s="17" t="n">
        <v>0.1616</v>
      </c>
      <c r="H20" s="17" t="n">
        <v>0.155136</v>
      </c>
      <c r="I20" s="17" t="n">
        <v>0.16968</v>
      </c>
      <c r="J20" s="17" t="n">
        <v>0.16968</v>
      </c>
      <c r="K20" s="2" t="inlineStr">
        <is>
          <t>止損</t>
        </is>
      </c>
      <c r="L20" s="5">
        <f>交易明細!K10</f>
        <v/>
      </c>
      <c r="M20" s="16">
        <f>M19</f>
        <v/>
      </c>
      <c r="N20" s="2">
        <f>N19</f>
        <v/>
      </c>
      <c r="O20" s="16">
        <f>O19</f>
        <v/>
      </c>
      <c r="P20" s="4">
        <f>交易明細!L10</f>
        <v/>
      </c>
      <c r="Q20" s="10">
        <f>IF(N20="已下單",O20*P20,0)</f>
        <v/>
      </c>
      <c r="R20" s="10">
        <f>R19+Q20</f>
        <v/>
      </c>
      <c r="S20" s="16">
        <f>S19-IF(N20="已下單",M20,0)</f>
        <v/>
      </c>
      <c r="T20" s="16">
        <f>R20-S20</f>
        <v/>
      </c>
      <c r="U20" s="2">
        <f>U19-IF(N20="已下單",1,0)</f>
        <v/>
      </c>
      <c r="V20" s="16">
        <f>IF(資金模擬!$B$9=2,MAX(R20,0),MAX(V19,FLOOR(MAX(R20,0),資金模擬!$B$6)))</f>
        <v/>
      </c>
      <c r="W20" s="10">
        <f>MAX(W19,R20)</f>
        <v/>
      </c>
      <c r="X20" s="4">
        <f>IF(W20&gt;0,R20/W20-1,-1)</f>
        <v/>
      </c>
      <c r="Y20" s="16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46267.98611111111</v>
      </c>
      <c r="C21" s="2" t="inlineStr">
        <is>
          <t>進場</t>
        </is>
      </c>
      <c r="D21" s="2" t="n">
        <v>10</v>
      </c>
      <c r="E21" s="2" t="inlineStr">
        <is>
          <t>MUBARAK_USDT_PERP</t>
        </is>
      </c>
      <c r="F21" s="2" t="inlineStr">
        <is>
          <t>做空</t>
        </is>
      </c>
      <c r="G21" s="17" t="n">
        <v>0.02662</v>
      </c>
      <c r="H21" s="17" t="n">
        <v>0.0255552</v>
      </c>
      <c r="I21" s="17" t="n">
        <v>0.027951</v>
      </c>
      <c r="J21" s="17" t="n"/>
      <c r="K21" s="2" t="n"/>
      <c r="L21" s="5" t="n"/>
      <c r="M21" s="16">
        <f>資金模擬!$B$5*V20</f>
        <v/>
      </c>
      <c r="N21" s="2">
        <f>IF(Z20=1,"已停止",IF(T20&gt;=M21,"已下單","資金不足略過"))</f>
        <v/>
      </c>
      <c r="O21" s="16">
        <f>IF(N21="已下單",M21*資金模擬!$B$7,0)</f>
        <v/>
      </c>
      <c r="P21" s="4" t="n"/>
      <c r="Q21" s="10" t="n">
        <v>0</v>
      </c>
      <c r="R21" s="10">
        <f>R20+Q21</f>
        <v/>
      </c>
      <c r="S21" s="16">
        <f>S20+IF(N21="已下單",M21,0)</f>
        <v/>
      </c>
      <c r="T21" s="16">
        <f>R21-S21</f>
        <v/>
      </c>
      <c r="U21" s="2">
        <f>U20+IF(N21="已下單",1,0)</f>
        <v/>
      </c>
      <c r="V21" s="16">
        <f>IF(資金模擬!$B$9=2,MAX(R21,0),MAX(V20,FLOOR(MAX(R21,0),資金模擬!$B$6)))</f>
        <v/>
      </c>
      <c r="W21" s="10">
        <f>MAX(W20,R21)</f>
        <v/>
      </c>
      <c r="X21" s="4">
        <f>IF(W21&gt;0,R21/W21-1,-1)</f>
        <v/>
      </c>
      <c r="Y21" s="16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46267.99305555555</v>
      </c>
      <c r="C22" s="2" t="inlineStr">
        <is>
          <t>出場</t>
        </is>
      </c>
      <c r="D22" s="2" t="n">
        <v>10</v>
      </c>
      <c r="E22" s="2" t="inlineStr">
        <is>
          <t>MUBARAK_USDT_PERP</t>
        </is>
      </c>
      <c r="F22" s="2" t="inlineStr">
        <is>
          <t>做空</t>
        </is>
      </c>
      <c r="G22" s="17" t="n">
        <v>0.02662</v>
      </c>
      <c r="H22" s="17" t="n">
        <v>0.0255552</v>
      </c>
      <c r="I22" s="17" t="n">
        <v>0.027951</v>
      </c>
      <c r="J22" s="17" t="n">
        <v>0.027951</v>
      </c>
      <c r="K22" s="2" t="inlineStr">
        <is>
          <t>止損</t>
        </is>
      </c>
      <c r="L22" s="5">
        <f>交易明細!K11</f>
        <v/>
      </c>
      <c r="M22" s="16">
        <f>M21</f>
        <v/>
      </c>
      <c r="N22" s="2">
        <f>N21</f>
        <v/>
      </c>
      <c r="O22" s="16">
        <f>O21</f>
        <v/>
      </c>
      <c r="P22" s="4">
        <f>交易明細!L11</f>
        <v/>
      </c>
      <c r="Q22" s="10">
        <f>IF(N22="已下單",O22*P22,0)</f>
        <v/>
      </c>
      <c r="R22" s="10">
        <f>R21+Q22</f>
        <v/>
      </c>
      <c r="S22" s="16">
        <f>S21-IF(N22="已下單",M22,0)</f>
        <v/>
      </c>
      <c r="T22" s="16">
        <f>R22-S22</f>
        <v/>
      </c>
      <c r="U22" s="2">
        <f>U21-IF(N22="已下單",1,0)</f>
        <v/>
      </c>
      <c r="V22" s="16">
        <f>IF(資金模擬!$B$9=2,MAX(R22,0),MAX(V21,FLOOR(MAX(R22,0),資金模擬!$B$6)))</f>
        <v/>
      </c>
      <c r="W22" s="10">
        <f>MAX(W21,R22)</f>
        <v/>
      </c>
      <c r="X22" s="4">
        <f>IF(W22&gt;0,R22/W22-1,-1)</f>
        <v/>
      </c>
      <c r="Y22" s="16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46268.67708333334</v>
      </c>
      <c r="C23" s="2" t="inlineStr">
        <is>
          <t>進場</t>
        </is>
      </c>
      <c r="D23" s="2" t="n">
        <v>11</v>
      </c>
      <c r="E23" s="2" t="inlineStr">
        <is>
          <t>CHIP_USDT_PERP</t>
        </is>
      </c>
      <c r="F23" s="2" t="inlineStr">
        <is>
          <t>做空</t>
        </is>
      </c>
      <c r="G23" s="17" t="n">
        <v>0.05177</v>
      </c>
      <c r="H23" s="17" t="n">
        <v>0.04969919999999999</v>
      </c>
      <c r="I23" s="17" t="n">
        <v>0.0543585</v>
      </c>
      <c r="J23" s="17" t="n"/>
      <c r="K23" s="2" t="n"/>
      <c r="L23" s="5" t="n"/>
      <c r="M23" s="16">
        <f>資金模擬!$B$5*V22</f>
        <v/>
      </c>
      <c r="N23" s="2">
        <f>IF(Z22=1,"已停止",IF(T22&gt;=M23,"已下單","資金不足略過"))</f>
        <v/>
      </c>
      <c r="O23" s="16">
        <f>IF(N23="已下單",M23*資金模擬!$B$7,0)</f>
        <v/>
      </c>
      <c r="P23" s="4" t="n"/>
      <c r="Q23" s="10" t="n">
        <v>0</v>
      </c>
      <c r="R23" s="10">
        <f>R22+Q23</f>
        <v/>
      </c>
      <c r="S23" s="16">
        <f>S22+IF(N23="已下單",M23,0)</f>
        <v/>
      </c>
      <c r="T23" s="16">
        <f>R23-S23</f>
        <v/>
      </c>
      <c r="U23" s="2">
        <f>U22+IF(N23="已下單",1,0)</f>
        <v/>
      </c>
      <c r="V23" s="16">
        <f>IF(資金模擬!$B$9=2,MAX(R23,0),MAX(V22,FLOOR(MAX(R23,0),資金模擬!$B$6)))</f>
        <v/>
      </c>
      <c r="W23" s="10">
        <f>MAX(W22,R23)</f>
        <v/>
      </c>
      <c r="X23" s="4">
        <f>IF(W23&gt;0,R23/W23-1,-1)</f>
        <v/>
      </c>
      <c r="Y23" s="16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46268.71875</v>
      </c>
      <c r="C24" s="2" t="inlineStr">
        <is>
          <t>進場</t>
        </is>
      </c>
      <c r="D24" s="2" t="n">
        <v>12</v>
      </c>
      <c r="E24" s="2" t="inlineStr">
        <is>
          <t>ZEST_USDT_PERP</t>
        </is>
      </c>
      <c r="F24" s="2" t="inlineStr">
        <is>
          <t>做空</t>
        </is>
      </c>
      <c r="G24" s="17" t="n">
        <v>0.15617</v>
      </c>
      <c r="H24" s="17" t="n">
        <v>0.1499232</v>
      </c>
      <c r="I24" s="17" t="n">
        <v>0.1639785</v>
      </c>
      <c r="J24" s="17" t="n"/>
      <c r="K24" s="2" t="n"/>
      <c r="L24" s="5" t="n"/>
      <c r="M24" s="16">
        <f>資金模擬!$B$5*V23</f>
        <v/>
      </c>
      <c r="N24" s="2">
        <f>IF(Z23=1,"已停止",IF(T23&gt;=M24,"已下單","資金不足略過"))</f>
        <v/>
      </c>
      <c r="O24" s="16">
        <f>IF(N24="已下單",M24*資金模擬!$B$7,0)</f>
        <v/>
      </c>
      <c r="P24" s="4" t="n"/>
      <c r="Q24" s="10" t="n">
        <v>0</v>
      </c>
      <c r="R24" s="10">
        <f>R23+Q24</f>
        <v/>
      </c>
      <c r="S24" s="16">
        <f>S23+IF(N24="已下單",M24,0)</f>
        <v/>
      </c>
      <c r="T24" s="16">
        <f>R24-S24</f>
        <v/>
      </c>
      <c r="U24" s="2">
        <f>U23+IF(N24="已下單",1,0)</f>
        <v/>
      </c>
      <c r="V24" s="16">
        <f>IF(資金模擬!$B$9=2,MAX(R24,0),MAX(V23,FLOOR(MAX(R24,0),資金模擬!$B$6)))</f>
        <v/>
      </c>
      <c r="W24" s="10">
        <f>MAX(W23,R24)</f>
        <v/>
      </c>
      <c r="X24" s="4">
        <f>IF(W24&gt;0,R24/W24-1,-1)</f>
        <v/>
      </c>
      <c r="Y24" s="16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46268.72222222222</v>
      </c>
      <c r="C25" s="2" t="inlineStr">
        <is>
          <t>出場</t>
        </is>
      </c>
      <c r="D25" s="2" t="n">
        <v>12</v>
      </c>
      <c r="E25" s="2" t="inlineStr">
        <is>
          <t>ZEST_USDT_PERP</t>
        </is>
      </c>
      <c r="F25" s="2" t="inlineStr">
        <is>
          <t>做空</t>
        </is>
      </c>
      <c r="G25" s="17" t="n">
        <v>0.15617</v>
      </c>
      <c r="H25" s="17" t="n">
        <v>0.1499232</v>
      </c>
      <c r="I25" s="17" t="n">
        <v>0.1639785</v>
      </c>
      <c r="J25" s="17" t="n">
        <v>0.1639785</v>
      </c>
      <c r="K25" s="2" t="inlineStr">
        <is>
          <t>止損</t>
        </is>
      </c>
      <c r="L25" s="5">
        <f>交易明細!K13</f>
        <v/>
      </c>
      <c r="M25" s="16">
        <f>M24</f>
        <v/>
      </c>
      <c r="N25" s="2">
        <f>N24</f>
        <v/>
      </c>
      <c r="O25" s="16">
        <f>O24</f>
        <v/>
      </c>
      <c r="P25" s="4">
        <f>交易明細!L13</f>
        <v/>
      </c>
      <c r="Q25" s="10">
        <f>IF(N25="已下單",O25*P25,0)</f>
        <v/>
      </c>
      <c r="R25" s="10">
        <f>R24+Q25</f>
        <v/>
      </c>
      <c r="S25" s="16">
        <f>S24-IF(N25="已下單",M25,0)</f>
        <v/>
      </c>
      <c r="T25" s="16">
        <f>R25-S25</f>
        <v/>
      </c>
      <c r="U25" s="2">
        <f>U24-IF(N25="已下單",1,0)</f>
        <v/>
      </c>
      <c r="V25" s="16">
        <f>IF(資金模擬!$B$9=2,MAX(R25,0),MAX(V24,FLOOR(MAX(R25,0),資金模擬!$B$6)))</f>
        <v/>
      </c>
      <c r="W25" s="10">
        <f>MAX(W24,R25)</f>
        <v/>
      </c>
      <c r="X25" s="4">
        <f>IF(W25&gt;0,R25/W25-1,-1)</f>
        <v/>
      </c>
      <c r="Y25" s="16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46268.79513888889</v>
      </c>
      <c r="C26" s="2" t="inlineStr">
        <is>
          <t>進場</t>
        </is>
      </c>
      <c r="D26" s="2" t="n">
        <v>13</v>
      </c>
      <c r="E26" s="2" t="inlineStr">
        <is>
          <t>ZEST_USDT_PERP</t>
        </is>
      </c>
      <c r="F26" s="2" t="inlineStr">
        <is>
          <t>做空</t>
        </is>
      </c>
      <c r="G26" s="17" t="n">
        <v>0.14801</v>
      </c>
      <c r="H26" s="17" t="n">
        <v>0.1420896</v>
      </c>
      <c r="I26" s="17" t="n">
        <v>0.1554105</v>
      </c>
      <c r="J26" s="17" t="n"/>
      <c r="K26" s="2" t="n"/>
      <c r="L26" s="5" t="n"/>
      <c r="M26" s="16">
        <f>資金模擬!$B$5*V25</f>
        <v/>
      </c>
      <c r="N26" s="2">
        <f>IF(Z25=1,"已停止",IF(T25&gt;=M26,"已下單","資金不足略過"))</f>
        <v/>
      </c>
      <c r="O26" s="16">
        <f>IF(N26="已下單",M26*資金模擬!$B$7,0)</f>
        <v/>
      </c>
      <c r="P26" s="4" t="n"/>
      <c r="Q26" s="10" t="n">
        <v>0</v>
      </c>
      <c r="R26" s="10">
        <f>R25+Q26</f>
        <v/>
      </c>
      <c r="S26" s="16">
        <f>S25+IF(N26="已下單",M26,0)</f>
        <v/>
      </c>
      <c r="T26" s="16">
        <f>R26-S26</f>
        <v/>
      </c>
      <c r="U26" s="2">
        <f>U25+IF(N26="已下單",1,0)</f>
        <v/>
      </c>
      <c r="V26" s="16">
        <f>IF(資金模擬!$B$9=2,MAX(R26,0),MAX(V25,FLOOR(MAX(R26,0),資金模擬!$B$6)))</f>
        <v/>
      </c>
      <c r="W26" s="10">
        <f>MAX(W25,R26)</f>
        <v/>
      </c>
      <c r="X26" s="4">
        <f>IF(W26&gt;0,R26/W26-1,-1)</f>
        <v/>
      </c>
      <c r="Y26" s="16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46268.80555555555</v>
      </c>
      <c r="C27" s="2" t="inlineStr">
        <is>
          <t>出場</t>
        </is>
      </c>
      <c r="D27" s="2" t="n">
        <v>11</v>
      </c>
      <c r="E27" s="2" t="inlineStr">
        <is>
          <t>CHIP_USDT_PERP</t>
        </is>
      </c>
      <c r="F27" s="2" t="inlineStr">
        <is>
          <t>做空</t>
        </is>
      </c>
      <c r="G27" s="17" t="n">
        <v>0.05177</v>
      </c>
      <c r="H27" s="17" t="n">
        <v>0.04969919999999999</v>
      </c>
      <c r="I27" s="17" t="n">
        <v>0.0543585</v>
      </c>
      <c r="J27" s="17" t="n">
        <v>0.04969919999999999</v>
      </c>
      <c r="K27" s="2" t="inlineStr">
        <is>
          <t>止盈</t>
        </is>
      </c>
      <c r="L27" s="5">
        <f>交易明細!K12</f>
        <v/>
      </c>
      <c r="M27" s="16">
        <f>M23</f>
        <v/>
      </c>
      <c r="N27" s="2">
        <f>N23</f>
        <v/>
      </c>
      <c r="O27" s="16">
        <f>O23</f>
        <v/>
      </c>
      <c r="P27" s="4">
        <f>交易明細!L12</f>
        <v/>
      </c>
      <c r="Q27" s="10">
        <f>IF(N27="已下單",O27*P27,0)</f>
        <v/>
      </c>
      <c r="R27" s="10">
        <f>R26+Q27</f>
        <v/>
      </c>
      <c r="S27" s="16">
        <f>S26-IF(N27="已下單",M27,0)</f>
        <v/>
      </c>
      <c r="T27" s="16">
        <f>R27-S27</f>
        <v/>
      </c>
      <c r="U27" s="2">
        <f>U26-IF(N27="已下單",1,0)</f>
        <v/>
      </c>
      <c r="V27" s="16">
        <f>IF(資金模擬!$B$9=2,MAX(R27,0),MAX(V26,FLOOR(MAX(R27,0),資金模擬!$B$6)))</f>
        <v/>
      </c>
      <c r="W27" s="10">
        <f>MAX(W26,R27)</f>
        <v/>
      </c>
      <c r="X27" s="4">
        <f>IF(W27&gt;0,R27/W27-1,-1)</f>
        <v/>
      </c>
      <c r="Y27" s="16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46268.92708333334</v>
      </c>
      <c r="C28" s="2" t="inlineStr">
        <is>
          <t>進場</t>
        </is>
      </c>
      <c r="D28" s="2" t="n">
        <v>14</v>
      </c>
      <c r="E28" s="2" t="inlineStr">
        <is>
          <t>PORTAL_USDT_PERP</t>
        </is>
      </c>
      <c r="F28" s="2" t="inlineStr">
        <is>
          <t>做空</t>
        </is>
      </c>
      <c r="G28" s="17" t="n">
        <v>0.01665</v>
      </c>
      <c r="H28" s="17" t="n">
        <v>0.015984</v>
      </c>
      <c r="I28" s="17" t="n">
        <v>0.0174825</v>
      </c>
      <c r="J28" s="17" t="n"/>
      <c r="K28" s="2" t="n"/>
      <c r="L28" s="5" t="n"/>
      <c r="M28" s="16">
        <f>資金模擬!$B$5*V27</f>
        <v/>
      </c>
      <c r="N28" s="2">
        <f>IF(Z27=1,"已停止",IF(T27&gt;=M28,"已下單","資金不足略過"))</f>
        <v/>
      </c>
      <c r="O28" s="16">
        <f>IF(N28="已下單",M28*資金模擬!$B$7,0)</f>
        <v/>
      </c>
      <c r="P28" s="4" t="n"/>
      <c r="Q28" s="10" t="n">
        <v>0</v>
      </c>
      <c r="R28" s="10">
        <f>R27+Q28</f>
        <v/>
      </c>
      <c r="S28" s="16">
        <f>S27+IF(N28="已下單",M28,0)</f>
        <v/>
      </c>
      <c r="T28" s="16">
        <f>R28-S28</f>
        <v/>
      </c>
      <c r="U28" s="2">
        <f>U27+IF(N28="已下單",1,0)</f>
        <v/>
      </c>
      <c r="V28" s="16">
        <f>IF(資金模擬!$B$9=2,MAX(R28,0),MAX(V27,FLOOR(MAX(R28,0),資金模擬!$B$6)))</f>
        <v/>
      </c>
      <c r="W28" s="10">
        <f>MAX(W27,R28)</f>
        <v/>
      </c>
      <c r="X28" s="4">
        <f>IF(W28&gt;0,R28/W28-1,-1)</f>
        <v/>
      </c>
      <c r="Y28" s="16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46268.93055555555</v>
      </c>
      <c r="C29" s="2" t="inlineStr">
        <is>
          <t>出場</t>
        </is>
      </c>
      <c r="D29" s="2" t="n">
        <v>14</v>
      </c>
      <c r="E29" s="2" t="inlineStr">
        <is>
          <t>PORTAL_USDT_PERP</t>
        </is>
      </c>
      <c r="F29" s="2" t="inlineStr">
        <is>
          <t>做空</t>
        </is>
      </c>
      <c r="G29" s="17" t="n">
        <v>0.01665</v>
      </c>
      <c r="H29" s="17" t="n">
        <v>0.015984</v>
      </c>
      <c r="I29" s="17" t="n">
        <v>0.0174825</v>
      </c>
      <c r="J29" s="17" t="n">
        <v>0.015984</v>
      </c>
      <c r="K29" s="2" t="inlineStr">
        <is>
          <t>止盈</t>
        </is>
      </c>
      <c r="L29" s="5">
        <f>交易明細!K15</f>
        <v/>
      </c>
      <c r="M29" s="16">
        <f>M28</f>
        <v/>
      </c>
      <c r="N29" s="2">
        <f>N28</f>
        <v/>
      </c>
      <c r="O29" s="16">
        <f>O28</f>
        <v/>
      </c>
      <c r="P29" s="4">
        <f>交易明細!L15</f>
        <v/>
      </c>
      <c r="Q29" s="10">
        <f>IF(N29="已下單",O29*P29,0)</f>
        <v/>
      </c>
      <c r="R29" s="10">
        <f>R28+Q29</f>
        <v/>
      </c>
      <c r="S29" s="16">
        <f>S28-IF(N29="已下單",M29,0)</f>
        <v/>
      </c>
      <c r="T29" s="16">
        <f>R29-S29</f>
        <v/>
      </c>
      <c r="U29" s="2">
        <f>U28-IF(N29="已下單",1,0)</f>
        <v/>
      </c>
      <c r="V29" s="16">
        <f>IF(資金模擬!$B$9=2,MAX(R29,0),MAX(V28,FLOOR(MAX(R29,0),資金模擬!$B$6)))</f>
        <v/>
      </c>
      <c r="W29" s="10">
        <f>MAX(W28,R29)</f>
        <v/>
      </c>
      <c r="X29" s="4">
        <f>IF(W29&gt;0,R29/W29-1,-1)</f>
        <v/>
      </c>
      <c r="Y29" s="16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46268.95138888889</v>
      </c>
      <c r="C30" s="2" t="inlineStr">
        <is>
          <t>進場</t>
        </is>
      </c>
      <c r="D30" s="2" t="n">
        <v>15</v>
      </c>
      <c r="E30" s="2" t="inlineStr">
        <is>
          <t>CATI_USDT_PERP</t>
        </is>
      </c>
      <c r="F30" s="2" t="inlineStr">
        <is>
          <t>做空</t>
        </is>
      </c>
      <c r="G30" s="17" t="n">
        <v>0.06712</v>
      </c>
      <c r="H30" s="17" t="n">
        <v>0.0644352</v>
      </c>
      <c r="I30" s="17" t="n">
        <v>0.070476</v>
      </c>
      <c r="J30" s="17" t="n"/>
      <c r="K30" s="2" t="n"/>
      <c r="L30" s="5" t="n"/>
      <c r="M30" s="16">
        <f>資金模擬!$B$5*V29</f>
        <v/>
      </c>
      <c r="N30" s="2">
        <f>IF(Z29=1,"已停止",IF(T29&gt;=M30,"已下單","資金不足略過"))</f>
        <v/>
      </c>
      <c r="O30" s="16">
        <f>IF(N30="已下單",M30*資金模擬!$B$7,0)</f>
        <v/>
      </c>
      <c r="P30" s="4" t="n"/>
      <c r="Q30" s="10" t="n">
        <v>0</v>
      </c>
      <c r="R30" s="10">
        <f>R29+Q30</f>
        <v/>
      </c>
      <c r="S30" s="16">
        <f>S29+IF(N30="已下單",M30,0)</f>
        <v/>
      </c>
      <c r="T30" s="16">
        <f>R30-S30</f>
        <v/>
      </c>
      <c r="U30" s="2">
        <f>U29+IF(N30="已下單",1,0)</f>
        <v/>
      </c>
      <c r="V30" s="16">
        <f>IF(資金模擬!$B$9=2,MAX(R30,0),MAX(V29,FLOOR(MAX(R30,0),資金模擬!$B$6)))</f>
        <v/>
      </c>
      <c r="W30" s="10">
        <f>MAX(W29,R30)</f>
        <v/>
      </c>
      <c r="X30" s="4">
        <f>IF(W30&gt;0,R30/W30-1,-1)</f>
        <v/>
      </c>
      <c r="Y30" s="16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46269.02777777778</v>
      </c>
      <c r="C31" s="2" t="inlineStr">
        <is>
          <t>出場</t>
        </is>
      </c>
      <c r="D31" s="2" t="n">
        <v>15</v>
      </c>
      <c r="E31" s="2" t="inlineStr">
        <is>
          <t>CATI_USDT_PERP</t>
        </is>
      </c>
      <c r="F31" s="2" t="inlineStr">
        <is>
          <t>做空</t>
        </is>
      </c>
      <c r="G31" s="17" t="n">
        <v>0.06712</v>
      </c>
      <c r="H31" s="17" t="n">
        <v>0.0644352</v>
      </c>
      <c r="I31" s="17" t="n">
        <v>0.070476</v>
      </c>
      <c r="J31" s="17" t="n">
        <v>0.0644352</v>
      </c>
      <c r="K31" s="2" t="inlineStr">
        <is>
          <t>止盈</t>
        </is>
      </c>
      <c r="L31" s="5">
        <f>交易明細!K16</f>
        <v/>
      </c>
      <c r="M31" s="16">
        <f>M30</f>
        <v/>
      </c>
      <c r="N31" s="2">
        <f>N30</f>
        <v/>
      </c>
      <c r="O31" s="16">
        <f>O30</f>
        <v/>
      </c>
      <c r="P31" s="4">
        <f>交易明細!L16</f>
        <v/>
      </c>
      <c r="Q31" s="10">
        <f>IF(N31="已下單",O31*P31,0)</f>
        <v/>
      </c>
      <c r="R31" s="10">
        <f>R30+Q31</f>
        <v/>
      </c>
      <c r="S31" s="16">
        <f>S30-IF(N31="已下單",M31,0)</f>
        <v/>
      </c>
      <c r="T31" s="16">
        <f>R31-S31</f>
        <v/>
      </c>
      <c r="U31" s="2">
        <f>U30-IF(N31="已下單",1,0)</f>
        <v/>
      </c>
      <c r="V31" s="16">
        <f>IF(資金模擬!$B$9=2,MAX(R31,0),MAX(V30,FLOOR(MAX(R31,0),資金模擬!$B$6)))</f>
        <v/>
      </c>
      <c r="W31" s="10">
        <f>MAX(W30,R31)</f>
        <v/>
      </c>
      <c r="X31" s="4">
        <f>IF(W31&gt;0,R31/W31-1,-1)</f>
        <v/>
      </c>
      <c r="Y31" s="16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46269.03472222222</v>
      </c>
      <c r="C32" s="2" t="inlineStr">
        <is>
          <t>出場</t>
        </is>
      </c>
      <c r="D32" s="2" t="n">
        <v>13</v>
      </c>
      <c r="E32" s="2" t="inlineStr">
        <is>
          <t>ZEST_USDT_PERP</t>
        </is>
      </c>
      <c r="F32" s="2" t="inlineStr">
        <is>
          <t>做空</t>
        </is>
      </c>
      <c r="G32" s="17" t="n">
        <v>0.14801</v>
      </c>
      <c r="H32" s="17" t="n">
        <v>0.1420896</v>
      </c>
      <c r="I32" s="17" t="n">
        <v>0.1554105</v>
      </c>
      <c r="J32" s="17" t="n">
        <v>0.1554105</v>
      </c>
      <c r="K32" s="2" t="inlineStr">
        <is>
          <t>止損</t>
        </is>
      </c>
      <c r="L32" s="5">
        <f>交易明細!K14</f>
        <v/>
      </c>
      <c r="M32" s="16">
        <f>M26</f>
        <v/>
      </c>
      <c r="N32" s="2">
        <f>N26</f>
        <v/>
      </c>
      <c r="O32" s="16">
        <f>O26</f>
        <v/>
      </c>
      <c r="P32" s="4">
        <f>交易明細!L14</f>
        <v/>
      </c>
      <c r="Q32" s="10">
        <f>IF(N32="已下單",O32*P32,0)</f>
        <v/>
      </c>
      <c r="R32" s="10">
        <f>R31+Q32</f>
        <v/>
      </c>
      <c r="S32" s="16">
        <f>S31-IF(N32="已下單",M32,0)</f>
        <v/>
      </c>
      <c r="T32" s="16">
        <f>R32-S32</f>
        <v/>
      </c>
      <c r="U32" s="2">
        <f>U31-IF(N32="已下單",1,0)</f>
        <v/>
      </c>
      <c r="V32" s="16">
        <f>IF(資金模擬!$B$9=2,MAX(R32,0),MAX(V31,FLOOR(MAX(R32,0),資金模擬!$B$6)))</f>
        <v/>
      </c>
      <c r="W32" s="10">
        <f>MAX(W31,R32)</f>
        <v/>
      </c>
      <c r="X32" s="4">
        <f>IF(W32&gt;0,R32/W32-1,-1)</f>
        <v/>
      </c>
      <c r="Y32" s="16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46269.03472222222</v>
      </c>
      <c r="C33" s="2" t="inlineStr">
        <is>
          <t>進場</t>
        </is>
      </c>
      <c r="D33" s="2" t="n">
        <v>16</v>
      </c>
      <c r="E33" s="2" t="inlineStr">
        <is>
          <t>APR_USDT_PERP</t>
        </is>
      </c>
      <c r="F33" s="2" t="inlineStr">
        <is>
          <t>做空</t>
        </is>
      </c>
      <c r="G33" s="17" t="n">
        <v>0.269</v>
      </c>
      <c r="H33" s="17" t="n">
        <v>0.25824</v>
      </c>
      <c r="I33" s="17" t="n">
        <v>0.28245</v>
      </c>
      <c r="J33" s="17" t="n"/>
      <c r="K33" s="2" t="n"/>
      <c r="L33" s="5" t="n"/>
      <c r="M33" s="16">
        <f>資金模擬!$B$5*V32</f>
        <v/>
      </c>
      <c r="N33" s="2">
        <f>IF(Z32=1,"已停止",IF(T32&gt;=M33,"已下單","資金不足略過"))</f>
        <v/>
      </c>
      <c r="O33" s="16">
        <f>IF(N33="已下單",M33*資金模擬!$B$7,0)</f>
        <v/>
      </c>
      <c r="P33" s="4" t="n"/>
      <c r="Q33" s="10" t="n">
        <v>0</v>
      </c>
      <c r="R33" s="10">
        <f>R32+Q33</f>
        <v/>
      </c>
      <c r="S33" s="16">
        <f>S32+IF(N33="已下單",M33,0)</f>
        <v/>
      </c>
      <c r="T33" s="16">
        <f>R33-S33</f>
        <v/>
      </c>
      <c r="U33" s="2">
        <f>U32+IF(N33="已下單",1,0)</f>
        <v/>
      </c>
      <c r="V33" s="16">
        <f>IF(資金模擬!$B$9=2,MAX(R33,0),MAX(V32,FLOOR(MAX(R33,0),資金模擬!$B$6)))</f>
        <v/>
      </c>
      <c r="W33" s="10">
        <f>MAX(W32,R33)</f>
        <v/>
      </c>
      <c r="X33" s="4">
        <f>IF(W33&gt;0,R33/W33-1,-1)</f>
        <v/>
      </c>
      <c r="Y33" s="16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46269.03819444445</v>
      </c>
      <c r="C34" s="2" t="inlineStr">
        <is>
          <t>出場</t>
        </is>
      </c>
      <c r="D34" s="2" t="n">
        <v>16</v>
      </c>
      <c r="E34" s="2" t="inlineStr">
        <is>
          <t>APR_USDT_PERP</t>
        </is>
      </c>
      <c r="F34" s="2" t="inlineStr">
        <is>
          <t>做空</t>
        </is>
      </c>
      <c r="G34" s="17" t="n">
        <v>0.269</v>
      </c>
      <c r="H34" s="17" t="n">
        <v>0.25824</v>
      </c>
      <c r="I34" s="17" t="n">
        <v>0.28245</v>
      </c>
      <c r="J34" s="17" t="n">
        <v>0.25824</v>
      </c>
      <c r="K34" s="2" t="inlineStr">
        <is>
          <t>止盈</t>
        </is>
      </c>
      <c r="L34" s="5">
        <f>交易明細!K17</f>
        <v/>
      </c>
      <c r="M34" s="16">
        <f>M33</f>
        <v/>
      </c>
      <c r="N34" s="2">
        <f>N33</f>
        <v/>
      </c>
      <c r="O34" s="16">
        <f>O33</f>
        <v/>
      </c>
      <c r="P34" s="4">
        <f>交易明細!L17</f>
        <v/>
      </c>
      <c r="Q34" s="10">
        <f>IF(N34="已下單",O34*P34,0)</f>
        <v/>
      </c>
      <c r="R34" s="10">
        <f>R33+Q34</f>
        <v/>
      </c>
      <c r="S34" s="16">
        <f>S33-IF(N34="已下單",M34,0)</f>
        <v/>
      </c>
      <c r="T34" s="16">
        <f>R34-S34</f>
        <v/>
      </c>
      <c r="U34" s="2">
        <f>U33-IF(N34="已下單",1,0)</f>
        <v/>
      </c>
      <c r="V34" s="16">
        <f>IF(資金模擬!$B$9=2,MAX(R34,0),MAX(V33,FLOOR(MAX(R34,0),資金模擬!$B$6)))</f>
        <v/>
      </c>
      <c r="W34" s="10">
        <f>MAX(W33,R34)</f>
        <v/>
      </c>
      <c r="X34" s="4">
        <f>IF(W34&gt;0,R34/W34-1,-1)</f>
        <v/>
      </c>
      <c r="Y34" s="16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46269.13888888889</v>
      </c>
      <c r="C35" s="2" t="inlineStr">
        <is>
          <t>進場</t>
        </is>
      </c>
      <c r="D35" s="2" t="n">
        <v>17</v>
      </c>
      <c r="E35" s="2" t="inlineStr">
        <is>
          <t>APR_USDT_PERP</t>
        </is>
      </c>
      <c r="F35" s="2" t="inlineStr">
        <is>
          <t>做空</t>
        </is>
      </c>
      <c r="G35" s="17" t="n">
        <v>0.2691</v>
      </c>
      <c r="H35" s="17" t="n">
        <v>0.258336</v>
      </c>
      <c r="I35" s="17" t="n">
        <v>0.282555</v>
      </c>
      <c r="J35" s="17" t="n"/>
      <c r="K35" s="2" t="n"/>
      <c r="L35" s="5" t="n"/>
      <c r="M35" s="16">
        <f>資金模擬!$B$5*V34</f>
        <v/>
      </c>
      <c r="N35" s="2">
        <f>IF(Z34=1,"已停止",IF(T34&gt;=M35,"已下單","資金不足略過"))</f>
        <v/>
      </c>
      <c r="O35" s="16">
        <f>IF(N35="已下單",M35*資金模擬!$B$7,0)</f>
        <v/>
      </c>
      <c r="P35" s="4" t="n"/>
      <c r="Q35" s="10" t="n">
        <v>0</v>
      </c>
      <c r="R35" s="10">
        <f>R34+Q35</f>
        <v/>
      </c>
      <c r="S35" s="16">
        <f>S34+IF(N35="已下單",M35,0)</f>
        <v/>
      </c>
      <c r="T35" s="16">
        <f>R35-S35</f>
        <v/>
      </c>
      <c r="U35" s="2">
        <f>U34+IF(N35="已下單",1,0)</f>
        <v/>
      </c>
      <c r="V35" s="16">
        <f>IF(資金模擬!$B$9=2,MAX(R35,0),MAX(V34,FLOOR(MAX(R35,0),資金模擬!$B$6)))</f>
        <v/>
      </c>
      <c r="W35" s="10">
        <f>MAX(W34,R35)</f>
        <v/>
      </c>
      <c r="X35" s="4">
        <f>IF(W35&gt;0,R35/W35-1,-1)</f>
        <v/>
      </c>
      <c r="Y35" s="16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46269.14930555555</v>
      </c>
      <c r="C36" s="2" t="inlineStr">
        <is>
          <t>出場</t>
        </is>
      </c>
      <c r="D36" s="2" t="n">
        <v>17</v>
      </c>
      <c r="E36" s="2" t="inlineStr">
        <is>
          <t>APR_USDT_PERP</t>
        </is>
      </c>
      <c r="F36" s="2" t="inlineStr">
        <is>
          <t>做空</t>
        </is>
      </c>
      <c r="G36" s="17" t="n">
        <v>0.2691</v>
      </c>
      <c r="H36" s="17" t="n">
        <v>0.258336</v>
      </c>
      <c r="I36" s="17" t="n">
        <v>0.282555</v>
      </c>
      <c r="J36" s="17" t="n">
        <v>0.282555</v>
      </c>
      <c r="K36" s="2" t="inlineStr">
        <is>
          <t>止損</t>
        </is>
      </c>
      <c r="L36" s="5">
        <f>交易明細!K18</f>
        <v/>
      </c>
      <c r="M36" s="16">
        <f>M35</f>
        <v/>
      </c>
      <c r="N36" s="2">
        <f>N35</f>
        <v/>
      </c>
      <c r="O36" s="16">
        <f>O35</f>
        <v/>
      </c>
      <c r="P36" s="4">
        <f>交易明細!L18</f>
        <v/>
      </c>
      <c r="Q36" s="10">
        <f>IF(N36="已下單",O36*P36,0)</f>
        <v/>
      </c>
      <c r="R36" s="10">
        <f>R35+Q36</f>
        <v/>
      </c>
      <c r="S36" s="16">
        <f>S35-IF(N36="已下單",M36,0)</f>
        <v/>
      </c>
      <c r="T36" s="16">
        <f>R36-S36</f>
        <v/>
      </c>
      <c r="U36" s="2">
        <f>U35-IF(N36="已下單",1,0)</f>
        <v/>
      </c>
      <c r="V36" s="16">
        <f>IF(資金模擬!$B$9=2,MAX(R36,0),MAX(V35,FLOOR(MAX(R36,0),資金模擬!$B$6)))</f>
        <v/>
      </c>
      <c r="W36" s="10">
        <f>MAX(W35,R36)</f>
        <v/>
      </c>
      <c r="X36" s="4">
        <f>IF(W36&gt;0,R36/W36-1,-1)</f>
        <v/>
      </c>
      <c r="Y36" s="16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46269.19791666666</v>
      </c>
      <c r="C37" s="2" t="inlineStr">
        <is>
          <t>進場</t>
        </is>
      </c>
      <c r="D37" s="2" t="n">
        <v>18</v>
      </c>
      <c r="E37" s="2" t="inlineStr">
        <is>
          <t>APR_USDT_PERP</t>
        </is>
      </c>
      <c r="F37" s="2" t="inlineStr">
        <is>
          <t>做空</t>
        </is>
      </c>
      <c r="G37" s="17" t="n">
        <v>0.27595</v>
      </c>
      <c r="H37" s="17" t="n">
        <v>0.264912</v>
      </c>
      <c r="I37" s="17" t="n">
        <v>0.2897475</v>
      </c>
      <c r="J37" s="17" t="n"/>
      <c r="K37" s="2" t="n"/>
      <c r="L37" s="5" t="n"/>
      <c r="M37" s="16">
        <f>資金模擬!$B$5*V36</f>
        <v/>
      </c>
      <c r="N37" s="2">
        <f>IF(Z36=1,"已停止",IF(T36&gt;=M37,"已下單","資金不足略過"))</f>
        <v/>
      </c>
      <c r="O37" s="16">
        <f>IF(N37="已下單",M37*資金模擬!$B$7,0)</f>
        <v/>
      </c>
      <c r="P37" s="4" t="n"/>
      <c r="Q37" s="10" t="n">
        <v>0</v>
      </c>
      <c r="R37" s="10">
        <f>R36+Q37</f>
        <v/>
      </c>
      <c r="S37" s="16">
        <f>S36+IF(N37="已下單",M37,0)</f>
        <v/>
      </c>
      <c r="T37" s="16">
        <f>R37-S37</f>
        <v/>
      </c>
      <c r="U37" s="2">
        <f>U36+IF(N37="已下單",1,0)</f>
        <v/>
      </c>
      <c r="V37" s="16">
        <f>IF(資金模擬!$B$9=2,MAX(R37,0),MAX(V36,FLOOR(MAX(R37,0),資金模擬!$B$6)))</f>
        <v/>
      </c>
      <c r="W37" s="10">
        <f>MAX(W36,R37)</f>
        <v/>
      </c>
      <c r="X37" s="4">
        <f>IF(W37&gt;0,R37/W37-1,-1)</f>
        <v/>
      </c>
      <c r="Y37" s="16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46269.27777777778</v>
      </c>
      <c r="C38" s="2" t="inlineStr">
        <is>
          <t>出場</t>
        </is>
      </c>
      <c r="D38" s="2" t="n">
        <v>18</v>
      </c>
      <c r="E38" s="2" t="inlineStr">
        <is>
          <t>APR_USDT_PERP</t>
        </is>
      </c>
      <c r="F38" s="2" t="inlineStr">
        <is>
          <t>做空</t>
        </is>
      </c>
      <c r="G38" s="17" t="n">
        <v>0.27595</v>
      </c>
      <c r="H38" s="17" t="n">
        <v>0.264912</v>
      </c>
      <c r="I38" s="17" t="n">
        <v>0.2897475</v>
      </c>
      <c r="J38" s="17" t="n">
        <v>0.264912</v>
      </c>
      <c r="K38" s="2" t="inlineStr">
        <is>
          <t>止盈</t>
        </is>
      </c>
      <c r="L38" s="5">
        <f>交易明細!K19</f>
        <v/>
      </c>
      <c r="M38" s="16">
        <f>M37</f>
        <v/>
      </c>
      <c r="N38" s="2">
        <f>N37</f>
        <v/>
      </c>
      <c r="O38" s="16">
        <f>O37</f>
        <v/>
      </c>
      <c r="P38" s="4">
        <f>交易明細!L19</f>
        <v/>
      </c>
      <c r="Q38" s="10">
        <f>IF(N38="已下單",O38*P38,0)</f>
        <v/>
      </c>
      <c r="R38" s="10">
        <f>R37+Q38</f>
        <v/>
      </c>
      <c r="S38" s="16">
        <f>S37-IF(N38="已下單",M38,0)</f>
        <v/>
      </c>
      <c r="T38" s="16">
        <f>R38-S38</f>
        <v/>
      </c>
      <c r="U38" s="2">
        <f>U37-IF(N38="已下單",1,0)</f>
        <v/>
      </c>
      <c r="V38" s="16">
        <f>IF(資金模擬!$B$9=2,MAX(R38,0),MAX(V37,FLOOR(MAX(R38,0),資金模擬!$B$6)))</f>
        <v/>
      </c>
      <c r="W38" s="10">
        <f>MAX(W37,R38)</f>
        <v/>
      </c>
      <c r="X38" s="4">
        <f>IF(W38&gt;0,R38/W38-1,-1)</f>
        <v/>
      </c>
      <c r="Y38" s="16">
        <f>IF(R38&gt;0,S38*資金模擬!$B$7/R38,0)</f>
        <v/>
      </c>
      <c r="Z38" s="2">
        <f>IF(OR(Z37=1,R38&lt;=資金模擬!$B$10),1,0)</f>
        <v/>
      </c>
    </row>
    <row r="39">
      <c r="A39" s="2" t="n">
        <v>37</v>
      </c>
      <c r="B39" s="7" t="n">
        <v>46269.47222222222</v>
      </c>
      <c r="C39" s="2" t="inlineStr">
        <is>
          <t>進場</t>
        </is>
      </c>
      <c r="D39" s="2" t="n">
        <v>19</v>
      </c>
      <c r="E39" s="2" t="inlineStr">
        <is>
          <t>CAP_USDT_PERP</t>
        </is>
      </c>
      <c r="F39" s="2" t="inlineStr">
        <is>
          <t>做空</t>
        </is>
      </c>
      <c r="G39" s="17" t="n">
        <v>0.05311</v>
      </c>
      <c r="H39" s="17" t="n">
        <v>0.0509856</v>
      </c>
      <c r="I39" s="17" t="n">
        <v>0.0557655</v>
      </c>
      <c r="J39" s="17" t="n"/>
      <c r="K39" s="2" t="n"/>
      <c r="L39" s="5" t="n"/>
      <c r="M39" s="16">
        <f>資金模擬!$B$5*V38</f>
        <v/>
      </c>
      <c r="N39" s="2">
        <f>IF(Z38=1,"已停止",IF(T38&gt;=M39,"已下單","資金不足略過"))</f>
        <v/>
      </c>
      <c r="O39" s="16">
        <f>IF(N39="已下單",M39*資金模擬!$B$7,0)</f>
        <v/>
      </c>
      <c r="P39" s="4" t="n"/>
      <c r="Q39" s="10" t="n">
        <v>0</v>
      </c>
      <c r="R39" s="10">
        <f>R38+Q39</f>
        <v/>
      </c>
      <c r="S39" s="16">
        <f>S38+IF(N39="已下單",M39,0)</f>
        <v/>
      </c>
      <c r="T39" s="16">
        <f>R39-S39</f>
        <v/>
      </c>
      <c r="U39" s="2">
        <f>U38+IF(N39="已下單",1,0)</f>
        <v/>
      </c>
      <c r="V39" s="16">
        <f>IF(資金模擬!$B$9=2,MAX(R39,0),MAX(V38,FLOOR(MAX(R39,0),資金模擬!$B$6)))</f>
        <v/>
      </c>
      <c r="W39" s="10">
        <f>MAX(W38,R39)</f>
        <v/>
      </c>
      <c r="X39" s="4">
        <f>IF(W39&gt;0,R39/W39-1,-1)</f>
        <v/>
      </c>
      <c r="Y39" s="16">
        <f>IF(R39&gt;0,S39*資金模擬!$B$7/R39,0)</f>
        <v/>
      </c>
      <c r="Z39" s="2">
        <f>IF(OR(Z38=1,R39&lt;=資金模擬!$B$10),1,0)</f>
        <v/>
      </c>
    </row>
    <row r="40">
      <c r="A40" s="2" t="n">
        <v>38</v>
      </c>
      <c r="B40" s="7" t="n">
        <v>46269.47916666666</v>
      </c>
      <c r="C40" s="2" t="inlineStr">
        <is>
          <t>出場</t>
        </is>
      </c>
      <c r="D40" s="2" t="n">
        <v>19</v>
      </c>
      <c r="E40" s="2" t="inlineStr">
        <is>
          <t>CAP_USDT_PERP</t>
        </is>
      </c>
      <c r="F40" s="2" t="inlineStr">
        <is>
          <t>做空</t>
        </is>
      </c>
      <c r="G40" s="17" t="n">
        <v>0.05311</v>
      </c>
      <c r="H40" s="17" t="n">
        <v>0.0509856</v>
      </c>
      <c r="I40" s="17" t="n">
        <v>0.0557655</v>
      </c>
      <c r="J40" s="17" t="n">
        <v>0.0509856</v>
      </c>
      <c r="K40" s="2" t="inlineStr">
        <is>
          <t>止盈</t>
        </is>
      </c>
      <c r="L40" s="5">
        <f>交易明細!K20</f>
        <v/>
      </c>
      <c r="M40" s="16">
        <f>M39</f>
        <v/>
      </c>
      <c r="N40" s="2">
        <f>N39</f>
        <v/>
      </c>
      <c r="O40" s="16">
        <f>O39</f>
        <v/>
      </c>
      <c r="P40" s="4">
        <f>交易明細!L20</f>
        <v/>
      </c>
      <c r="Q40" s="10">
        <f>IF(N40="已下單",O40*P40,0)</f>
        <v/>
      </c>
      <c r="R40" s="10">
        <f>R39+Q40</f>
        <v/>
      </c>
      <c r="S40" s="16">
        <f>S39-IF(N40="已下單",M40,0)</f>
        <v/>
      </c>
      <c r="T40" s="16">
        <f>R40-S40</f>
        <v/>
      </c>
      <c r="U40" s="2">
        <f>U39-IF(N40="已下單",1,0)</f>
        <v/>
      </c>
      <c r="V40" s="16">
        <f>IF(資金模擬!$B$9=2,MAX(R40,0),MAX(V39,FLOOR(MAX(R40,0),資金模擬!$B$6)))</f>
        <v/>
      </c>
      <c r="W40" s="10">
        <f>MAX(W39,R40)</f>
        <v/>
      </c>
      <c r="X40" s="4">
        <f>IF(W40&gt;0,R40/W40-1,-1)</f>
        <v/>
      </c>
      <c r="Y40" s="16">
        <f>IF(R40&gt;0,S40*資金模擬!$B$7/R40,0)</f>
        <v/>
      </c>
      <c r="Z40" s="2">
        <f>IF(OR(Z39=1,R40&lt;=資金模擬!$B$10),1,0)</f>
        <v/>
      </c>
    </row>
    <row r="41">
      <c r="A41" s="2" t="n">
        <v>39</v>
      </c>
      <c r="B41" s="7" t="n">
        <v>46269.51041666666</v>
      </c>
      <c r="C41" s="2" t="inlineStr">
        <is>
          <t>進場</t>
        </is>
      </c>
      <c r="D41" s="2" t="n">
        <v>20</v>
      </c>
      <c r="E41" s="2" t="inlineStr">
        <is>
          <t>TRIA_USDT_PERP</t>
        </is>
      </c>
      <c r="F41" s="2" t="inlineStr">
        <is>
          <t>做空</t>
        </is>
      </c>
      <c r="G41" s="17" t="n">
        <v>0.0049</v>
      </c>
      <c r="H41" s="17" t="n">
        <v>0.004704</v>
      </c>
      <c r="I41" s="17" t="n">
        <v>0.005145</v>
      </c>
      <c r="J41" s="17" t="n"/>
      <c r="K41" s="2" t="n"/>
      <c r="L41" s="5" t="n"/>
      <c r="M41" s="16">
        <f>資金模擬!$B$5*V40</f>
        <v/>
      </c>
      <c r="N41" s="2">
        <f>IF(Z40=1,"已停止",IF(T40&gt;=M41,"已下單","資金不足略過"))</f>
        <v/>
      </c>
      <c r="O41" s="16">
        <f>IF(N41="已下單",M41*資金模擬!$B$7,0)</f>
        <v/>
      </c>
      <c r="P41" s="4" t="n"/>
      <c r="Q41" s="10" t="n">
        <v>0</v>
      </c>
      <c r="R41" s="10">
        <f>R40+Q41</f>
        <v/>
      </c>
      <c r="S41" s="16">
        <f>S40+IF(N41="已下單",M41,0)</f>
        <v/>
      </c>
      <c r="T41" s="16">
        <f>R41-S41</f>
        <v/>
      </c>
      <c r="U41" s="2">
        <f>U40+IF(N41="已下單",1,0)</f>
        <v/>
      </c>
      <c r="V41" s="16">
        <f>IF(資金模擬!$B$9=2,MAX(R41,0),MAX(V40,FLOOR(MAX(R41,0),資金模擬!$B$6)))</f>
        <v/>
      </c>
      <c r="W41" s="10">
        <f>MAX(W40,R41)</f>
        <v/>
      </c>
      <c r="X41" s="4">
        <f>IF(W41&gt;0,R41/W41-1,-1)</f>
        <v/>
      </c>
      <c r="Y41" s="16">
        <f>IF(R41&gt;0,S41*資金模擬!$B$7/R41,0)</f>
        <v/>
      </c>
      <c r="Z41" s="2">
        <f>IF(OR(Z40=1,R41&lt;=資金模擬!$B$10),1,0)</f>
        <v/>
      </c>
    </row>
    <row r="42">
      <c r="A42" s="2" t="n">
        <v>40</v>
      </c>
      <c r="B42" s="7" t="n">
        <v>46269.51388888889</v>
      </c>
      <c r="C42" s="2" t="inlineStr">
        <is>
          <t>出場</t>
        </is>
      </c>
      <c r="D42" s="2" t="n">
        <v>20</v>
      </c>
      <c r="E42" s="2" t="inlineStr">
        <is>
          <t>TRIA_USDT_PERP</t>
        </is>
      </c>
      <c r="F42" s="2" t="inlineStr">
        <is>
          <t>做空</t>
        </is>
      </c>
      <c r="G42" s="17" t="n">
        <v>0.0049</v>
      </c>
      <c r="H42" s="17" t="n">
        <v>0.004704</v>
      </c>
      <c r="I42" s="17" t="n">
        <v>0.005145</v>
      </c>
      <c r="J42" s="17" t="n">
        <v>0.004704</v>
      </c>
      <c r="K42" s="2" t="inlineStr">
        <is>
          <t>止盈</t>
        </is>
      </c>
      <c r="L42" s="5">
        <f>交易明細!K21</f>
        <v/>
      </c>
      <c r="M42" s="16">
        <f>M41</f>
        <v/>
      </c>
      <c r="N42" s="2">
        <f>N41</f>
        <v/>
      </c>
      <c r="O42" s="16">
        <f>O41</f>
        <v/>
      </c>
      <c r="P42" s="4">
        <f>交易明細!L21</f>
        <v/>
      </c>
      <c r="Q42" s="10">
        <f>IF(N42="已下單",O42*P42,0)</f>
        <v/>
      </c>
      <c r="R42" s="10">
        <f>R41+Q42</f>
        <v/>
      </c>
      <c r="S42" s="16">
        <f>S41-IF(N42="已下單",M42,0)</f>
        <v/>
      </c>
      <c r="T42" s="16">
        <f>R42-S42</f>
        <v/>
      </c>
      <c r="U42" s="2">
        <f>U41-IF(N42="已下單",1,0)</f>
        <v/>
      </c>
      <c r="V42" s="16">
        <f>IF(資金模擬!$B$9=2,MAX(R42,0),MAX(V41,FLOOR(MAX(R42,0),資金模擬!$B$6)))</f>
        <v/>
      </c>
      <c r="W42" s="10">
        <f>MAX(W41,R42)</f>
        <v/>
      </c>
      <c r="X42" s="4">
        <f>IF(W42&gt;0,R42/W42-1,-1)</f>
        <v/>
      </c>
      <c r="Y42" s="16">
        <f>IF(R42&gt;0,S42*資金模擬!$B$7/R42,0)</f>
        <v/>
      </c>
      <c r="Z42" s="2">
        <f>IF(OR(Z41=1,R42&lt;=資金模擬!$B$10),1,0)</f>
        <v/>
      </c>
    </row>
    <row r="43">
      <c r="A43" s="2" t="n">
        <v>41</v>
      </c>
      <c r="B43" s="7" t="n">
        <v>46269.52083333334</v>
      </c>
      <c r="C43" s="2" t="inlineStr">
        <is>
          <t>進場</t>
        </is>
      </c>
      <c r="D43" s="2" t="n">
        <v>21</v>
      </c>
      <c r="E43" s="2" t="inlineStr">
        <is>
          <t>Q_USDT_PERP</t>
        </is>
      </c>
      <c r="F43" s="2" t="inlineStr">
        <is>
          <t>做空</t>
        </is>
      </c>
      <c r="G43" s="17" t="n">
        <v>0.026302</v>
      </c>
      <c r="H43" s="17" t="n">
        <v>0.02524992</v>
      </c>
      <c r="I43" s="17" t="n">
        <v>0.0276171</v>
      </c>
      <c r="J43" s="17" t="n"/>
      <c r="K43" s="2" t="n"/>
      <c r="L43" s="5" t="n"/>
      <c r="M43" s="16">
        <f>資金模擬!$B$5*V42</f>
        <v/>
      </c>
      <c r="N43" s="2">
        <f>IF(Z42=1,"已停止",IF(T42&gt;=M43,"已下單","資金不足略過"))</f>
        <v/>
      </c>
      <c r="O43" s="16">
        <f>IF(N43="已下單",M43*資金模擬!$B$7,0)</f>
        <v/>
      </c>
      <c r="P43" s="4" t="n"/>
      <c r="Q43" s="10" t="n">
        <v>0</v>
      </c>
      <c r="R43" s="10">
        <f>R42+Q43</f>
        <v/>
      </c>
      <c r="S43" s="16">
        <f>S42+IF(N43="已下單",M43,0)</f>
        <v/>
      </c>
      <c r="T43" s="16">
        <f>R43-S43</f>
        <v/>
      </c>
      <c r="U43" s="2">
        <f>U42+IF(N43="已下單",1,0)</f>
        <v/>
      </c>
      <c r="V43" s="16">
        <f>IF(資金模擬!$B$9=2,MAX(R43,0),MAX(V42,FLOOR(MAX(R43,0),資金模擬!$B$6)))</f>
        <v/>
      </c>
      <c r="W43" s="10">
        <f>MAX(W42,R43)</f>
        <v/>
      </c>
      <c r="X43" s="4">
        <f>IF(W43&gt;0,R43/W43-1,-1)</f>
        <v/>
      </c>
      <c r="Y43" s="16">
        <f>IF(R43&gt;0,S43*資金模擬!$B$7/R43,0)</f>
        <v/>
      </c>
      <c r="Z43" s="2">
        <f>IF(OR(Z42=1,R43&lt;=資金模擬!$B$10),1,0)</f>
        <v/>
      </c>
    </row>
    <row r="44">
      <c r="A44" s="2" t="n">
        <v>42</v>
      </c>
      <c r="B44" s="7" t="n">
        <v>46269.52777777778</v>
      </c>
      <c r="C44" s="2" t="inlineStr">
        <is>
          <t>出場</t>
        </is>
      </c>
      <c r="D44" s="2" t="n">
        <v>21</v>
      </c>
      <c r="E44" s="2" t="inlineStr">
        <is>
          <t>Q_USDT_PERP</t>
        </is>
      </c>
      <c r="F44" s="2" t="inlineStr">
        <is>
          <t>做空</t>
        </is>
      </c>
      <c r="G44" s="17" t="n">
        <v>0.026302</v>
      </c>
      <c r="H44" s="17" t="n">
        <v>0.02524992</v>
      </c>
      <c r="I44" s="17" t="n">
        <v>0.0276171</v>
      </c>
      <c r="J44" s="17" t="n">
        <v>0.02524992</v>
      </c>
      <c r="K44" s="2" t="inlineStr">
        <is>
          <t>止盈</t>
        </is>
      </c>
      <c r="L44" s="5">
        <f>交易明細!K22</f>
        <v/>
      </c>
      <c r="M44" s="16">
        <f>M43</f>
        <v/>
      </c>
      <c r="N44" s="2">
        <f>N43</f>
        <v/>
      </c>
      <c r="O44" s="16">
        <f>O43</f>
        <v/>
      </c>
      <c r="P44" s="4">
        <f>交易明細!L22</f>
        <v/>
      </c>
      <c r="Q44" s="10">
        <f>IF(N44="已下單",O44*P44,0)</f>
        <v/>
      </c>
      <c r="R44" s="10">
        <f>R43+Q44</f>
        <v/>
      </c>
      <c r="S44" s="16">
        <f>S43-IF(N44="已下單",M44,0)</f>
        <v/>
      </c>
      <c r="T44" s="16">
        <f>R44-S44</f>
        <v/>
      </c>
      <c r="U44" s="2">
        <f>U43-IF(N44="已下單",1,0)</f>
        <v/>
      </c>
      <c r="V44" s="16">
        <f>IF(資金模擬!$B$9=2,MAX(R44,0),MAX(V43,FLOOR(MAX(R44,0),資金模擬!$B$6)))</f>
        <v/>
      </c>
      <c r="W44" s="10">
        <f>MAX(W43,R44)</f>
        <v/>
      </c>
      <c r="X44" s="4">
        <f>IF(W44&gt;0,R44/W44-1,-1)</f>
        <v/>
      </c>
      <c r="Y44" s="16">
        <f>IF(R44&gt;0,S44*資金模擬!$B$7/R44,0)</f>
        <v/>
      </c>
      <c r="Z44" s="2">
        <f>IF(OR(Z43=1,R44&lt;=資金模擬!$B$10),1,0)</f>
        <v/>
      </c>
    </row>
    <row r="45">
      <c r="A45" s="2" t="n">
        <v>43</v>
      </c>
      <c r="B45" s="7" t="n">
        <v>46269.60763888889</v>
      </c>
      <c r="C45" s="2" t="inlineStr">
        <is>
          <t>進場</t>
        </is>
      </c>
      <c r="D45" s="2" t="n">
        <v>22</v>
      </c>
      <c r="E45" s="2" t="inlineStr">
        <is>
          <t>TRIA_USDT_PERP</t>
        </is>
      </c>
      <c r="F45" s="2" t="inlineStr">
        <is>
          <t>做空</t>
        </is>
      </c>
      <c r="G45" s="17" t="n">
        <v>0.00525</v>
      </c>
      <c r="H45" s="17" t="n">
        <v>0.00504</v>
      </c>
      <c r="I45" s="17" t="n">
        <v>0.005512500000000001</v>
      </c>
      <c r="J45" s="17" t="n"/>
      <c r="K45" s="2" t="n"/>
      <c r="L45" s="5" t="n"/>
      <c r="M45" s="16">
        <f>資金模擬!$B$5*V44</f>
        <v/>
      </c>
      <c r="N45" s="2">
        <f>IF(Z44=1,"已停止",IF(T44&gt;=M45,"已下單","資金不足略過"))</f>
        <v/>
      </c>
      <c r="O45" s="16">
        <f>IF(N45="已下單",M45*資金模擬!$B$7,0)</f>
        <v/>
      </c>
      <c r="P45" s="4" t="n"/>
      <c r="Q45" s="10" t="n">
        <v>0</v>
      </c>
      <c r="R45" s="10">
        <f>R44+Q45</f>
        <v/>
      </c>
      <c r="S45" s="16">
        <f>S44+IF(N45="已下單",M45,0)</f>
        <v/>
      </c>
      <c r="T45" s="16">
        <f>R45-S45</f>
        <v/>
      </c>
      <c r="U45" s="2">
        <f>U44+IF(N45="已下單",1,0)</f>
        <v/>
      </c>
      <c r="V45" s="16">
        <f>IF(資金模擬!$B$9=2,MAX(R45,0),MAX(V44,FLOOR(MAX(R45,0),資金模擬!$B$6)))</f>
        <v/>
      </c>
      <c r="W45" s="10">
        <f>MAX(W44,R45)</f>
        <v/>
      </c>
      <c r="X45" s="4">
        <f>IF(W45&gt;0,R45/W45-1,-1)</f>
        <v/>
      </c>
      <c r="Y45" s="16">
        <f>IF(R45&gt;0,S45*資金模擬!$B$7/R45,0)</f>
        <v/>
      </c>
      <c r="Z45" s="2">
        <f>IF(OR(Z44=1,R45&lt;=資金模擬!$B$10),1,0)</f>
        <v/>
      </c>
    </row>
    <row r="46">
      <c r="A46" s="2" t="n">
        <v>44</v>
      </c>
      <c r="B46" s="7" t="n">
        <v>46269.63888888889</v>
      </c>
      <c r="C46" s="2" t="inlineStr">
        <is>
          <t>出場</t>
        </is>
      </c>
      <c r="D46" s="2" t="n">
        <v>22</v>
      </c>
      <c r="E46" s="2" t="inlineStr">
        <is>
          <t>TRIA_USDT_PERP</t>
        </is>
      </c>
      <c r="F46" s="2" t="inlineStr">
        <is>
          <t>做空</t>
        </is>
      </c>
      <c r="G46" s="17" t="n">
        <v>0.00525</v>
      </c>
      <c r="H46" s="17" t="n">
        <v>0.00504</v>
      </c>
      <c r="I46" s="17" t="n">
        <v>0.005512500000000001</v>
      </c>
      <c r="J46" s="17" t="n">
        <v>0.00504</v>
      </c>
      <c r="K46" s="2" t="inlineStr">
        <is>
          <t>止盈</t>
        </is>
      </c>
      <c r="L46" s="5">
        <f>交易明細!K23</f>
        <v/>
      </c>
      <c r="M46" s="16">
        <f>M45</f>
        <v/>
      </c>
      <c r="N46" s="2">
        <f>N45</f>
        <v/>
      </c>
      <c r="O46" s="16">
        <f>O45</f>
        <v/>
      </c>
      <c r="P46" s="4">
        <f>交易明細!L23</f>
        <v/>
      </c>
      <c r="Q46" s="10">
        <f>IF(N46="已下單",O46*P46,0)</f>
        <v/>
      </c>
      <c r="R46" s="10">
        <f>R45+Q46</f>
        <v/>
      </c>
      <c r="S46" s="16">
        <f>S45-IF(N46="已下單",M46,0)</f>
        <v/>
      </c>
      <c r="T46" s="16">
        <f>R46-S46</f>
        <v/>
      </c>
      <c r="U46" s="2">
        <f>U45-IF(N46="已下單",1,0)</f>
        <v/>
      </c>
      <c r="V46" s="16">
        <f>IF(資金模擬!$B$9=2,MAX(R46,0),MAX(V45,FLOOR(MAX(R46,0),資金模擬!$B$6)))</f>
        <v/>
      </c>
      <c r="W46" s="10">
        <f>MAX(W45,R46)</f>
        <v/>
      </c>
      <c r="X46" s="4">
        <f>IF(W46&gt;0,R46/W46-1,-1)</f>
        <v/>
      </c>
      <c r="Y46" s="16">
        <f>IF(R46&gt;0,S46*資金模擬!$B$7/R46,0)</f>
        <v/>
      </c>
      <c r="Z46" s="2">
        <f>IF(OR(Z45=1,R46&lt;=資金模擬!$B$10),1,0)</f>
        <v/>
      </c>
    </row>
    <row r="47">
      <c r="A47" s="2" t="n">
        <v>45</v>
      </c>
      <c r="B47" s="7" t="n">
        <v>46269.90972222222</v>
      </c>
      <c r="C47" s="2" t="inlineStr">
        <is>
          <t>進場</t>
        </is>
      </c>
      <c r="D47" s="2" t="n">
        <v>23</v>
      </c>
      <c r="E47" s="2" t="inlineStr">
        <is>
          <t>PTB_USDT_PERP</t>
        </is>
      </c>
      <c r="F47" s="2" t="inlineStr">
        <is>
          <t>做空</t>
        </is>
      </c>
      <c r="G47" s="17" t="n">
        <v>0.000816</v>
      </c>
      <c r="H47" s="17" t="n">
        <v>0.00078336</v>
      </c>
      <c r="I47" s="17" t="n">
        <v>0.0008568</v>
      </c>
      <c r="J47" s="17" t="n"/>
      <c r="K47" s="2" t="n"/>
      <c r="L47" s="5" t="n"/>
      <c r="M47" s="16">
        <f>資金模擬!$B$5*V46</f>
        <v/>
      </c>
      <c r="N47" s="2">
        <f>IF(Z46=1,"已停止",IF(T46&gt;=M47,"已下單","資金不足略過"))</f>
        <v/>
      </c>
      <c r="O47" s="16">
        <f>IF(N47="已下單",M47*資金模擬!$B$7,0)</f>
        <v/>
      </c>
      <c r="P47" s="4" t="n"/>
      <c r="Q47" s="10" t="n">
        <v>0</v>
      </c>
      <c r="R47" s="10">
        <f>R46+Q47</f>
        <v/>
      </c>
      <c r="S47" s="16">
        <f>S46+IF(N47="已下單",M47,0)</f>
        <v/>
      </c>
      <c r="T47" s="16">
        <f>R47-S47</f>
        <v/>
      </c>
      <c r="U47" s="2">
        <f>U46+IF(N47="已下單",1,0)</f>
        <v/>
      </c>
      <c r="V47" s="16">
        <f>IF(資金模擬!$B$9=2,MAX(R47,0),MAX(V46,FLOOR(MAX(R47,0),資金模擬!$B$6)))</f>
        <v/>
      </c>
      <c r="W47" s="10">
        <f>MAX(W46,R47)</f>
        <v/>
      </c>
      <c r="X47" s="4">
        <f>IF(W47&gt;0,R47/W47-1,-1)</f>
        <v/>
      </c>
      <c r="Y47" s="16">
        <f>IF(R47&gt;0,S47*資金模擬!$B$7/R47,0)</f>
        <v/>
      </c>
      <c r="Z47" s="2">
        <f>IF(OR(Z46=1,R47&lt;=資金模擬!$B$10),1,0)</f>
        <v/>
      </c>
    </row>
    <row r="48">
      <c r="A48" s="2" t="n">
        <v>46</v>
      </c>
      <c r="B48" s="7" t="n">
        <v>46269.91319444445</v>
      </c>
      <c r="C48" s="2" t="inlineStr">
        <is>
          <t>出場</t>
        </is>
      </c>
      <c r="D48" s="2" t="n">
        <v>23</v>
      </c>
      <c r="E48" s="2" t="inlineStr">
        <is>
          <t>PTB_USDT_PERP</t>
        </is>
      </c>
      <c r="F48" s="2" t="inlineStr">
        <is>
          <t>做空</t>
        </is>
      </c>
      <c r="G48" s="17" t="n">
        <v>0.000816</v>
      </c>
      <c r="H48" s="17" t="n">
        <v>0.00078336</v>
      </c>
      <c r="I48" s="17" t="n">
        <v>0.0008568</v>
      </c>
      <c r="J48" s="17" t="n">
        <v>0.00078336</v>
      </c>
      <c r="K48" s="2" t="inlineStr">
        <is>
          <t>止盈</t>
        </is>
      </c>
      <c r="L48" s="5">
        <f>交易明細!K24</f>
        <v/>
      </c>
      <c r="M48" s="16">
        <f>M47</f>
        <v/>
      </c>
      <c r="N48" s="2">
        <f>N47</f>
        <v/>
      </c>
      <c r="O48" s="16">
        <f>O47</f>
        <v/>
      </c>
      <c r="P48" s="4">
        <f>交易明細!L24</f>
        <v/>
      </c>
      <c r="Q48" s="10">
        <f>IF(N48="已下單",O48*P48,0)</f>
        <v/>
      </c>
      <c r="R48" s="10">
        <f>R47+Q48</f>
        <v/>
      </c>
      <c r="S48" s="16">
        <f>S47-IF(N48="已下單",M48,0)</f>
        <v/>
      </c>
      <c r="T48" s="16">
        <f>R48-S48</f>
        <v/>
      </c>
      <c r="U48" s="2">
        <f>U47-IF(N48="已下單",1,0)</f>
        <v/>
      </c>
      <c r="V48" s="16">
        <f>IF(資金模擬!$B$9=2,MAX(R48,0),MAX(V47,FLOOR(MAX(R48,0),資金模擬!$B$6)))</f>
        <v/>
      </c>
      <c r="W48" s="10">
        <f>MAX(W47,R48)</f>
        <v/>
      </c>
      <c r="X48" s="4">
        <f>IF(W48&gt;0,R48/W48-1,-1)</f>
        <v/>
      </c>
      <c r="Y48" s="16">
        <f>IF(R48&gt;0,S48*資金模擬!$B$7/R48,0)</f>
        <v/>
      </c>
      <c r="Z48" s="2">
        <f>IF(OR(Z47=1,R48&lt;=資金模擬!$B$10),1,0)</f>
        <v/>
      </c>
    </row>
    <row r="49">
      <c r="A49" s="2" t="n">
        <v>47</v>
      </c>
      <c r="B49" s="7" t="n">
        <v>46270.02430555555</v>
      </c>
      <c r="C49" s="2" t="inlineStr">
        <is>
          <t>進場</t>
        </is>
      </c>
      <c r="D49" s="2" t="n">
        <v>24</v>
      </c>
      <c r="E49" s="2" t="inlineStr">
        <is>
          <t>4_USDT_PERP</t>
        </is>
      </c>
      <c r="F49" s="2" t="inlineStr">
        <is>
          <t>做空</t>
        </is>
      </c>
      <c r="G49" s="17" t="n">
        <v>0.01808</v>
      </c>
      <c r="H49" s="17" t="n">
        <v>0.0173568</v>
      </c>
      <c r="I49" s="17" t="n">
        <v>0.018984</v>
      </c>
      <c r="J49" s="17" t="n"/>
      <c r="K49" s="2" t="n"/>
      <c r="L49" s="5" t="n"/>
      <c r="M49" s="16">
        <f>資金模擬!$B$5*V48</f>
        <v/>
      </c>
      <c r="N49" s="2">
        <f>IF(Z48=1,"已停止",IF(T48&gt;=M49,"已下單","資金不足略過"))</f>
        <v/>
      </c>
      <c r="O49" s="16">
        <f>IF(N49="已下單",M49*資金模擬!$B$7,0)</f>
        <v/>
      </c>
      <c r="P49" s="4" t="n"/>
      <c r="Q49" s="10" t="n">
        <v>0</v>
      </c>
      <c r="R49" s="10">
        <f>R48+Q49</f>
        <v/>
      </c>
      <c r="S49" s="16">
        <f>S48+IF(N49="已下單",M49,0)</f>
        <v/>
      </c>
      <c r="T49" s="16">
        <f>R49-S49</f>
        <v/>
      </c>
      <c r="U49" s="2">
        <f>U48+IF(N49="已下單",1,0)</f>
        <v/>
      </c>
      <c r="V49" s="16">
        <f>IF(資金模擬!$B$9=2,MAX(R49,0),MAX(V48,FLOOR(MAX(R49,0),資金模擬!$B$6)))</f>
        <v/>
      </c>
      <c r="W49" s="10">
        <f>MAX(W48,R49)</f>
        <v/>
      </c>
      <c r="X49" s="4">
        <f>IF(W49&gt;0,R49/W49-1,-1)</f>
        <v/>
      </c>
      <c r="Y49" s="16">
        <f>IF(R49&gt;0,S49*資金模擬!$B$7/R49,0)</f>
        <v/>
      </c>
      <c r="Z49" s="2">
        <f>IF(OR(Z48=1,R49&lt;=資金模擬!$B$10),1,0)</f>
        <v/>
      </c>
    </row>
    <row r="50">
      <c r="A50" s="2" t="n">
        <v>48</v>
      </c>
      <c r="B50" s="7" t="n">
        <v>46270.03125</v>
      </c>
      <c r="C50" s="2" t="inlineStr">
        <is>
          <t>出場</t>
        </is>
      </c>
      <c r="D50" s="2" t="n">
        <v>24</v>
      </c>
      <c r="E50" s="2" t="inlineStr">
        <is>
          <t>4_USDT_PERP</t>
        </is>
      </c>
      <c r="F50" s="2" t="inlineStr">
        <is>
          <t>做空</t>
        </is>
      </c>
      <c r="G50" s="17" t="n">
        <v>0.01808</v>
      </c>
      <c r="H50" s="17" t="n">
        <v>0.0173568</v>
      </c>
      <c r="I50" s="17" t="n">
        <v>0.018984</v>
      </c>
      <c r="J50" s="17" t="n">
        <v>0.018984</v>
      </c>
      <c r="K50" s="2" t="inlineStr">
        <is>
          <t>止損</t>
        </is>
      </c>
      <c r="L50" s="5">
        <f>交易明細!K25</f>
        <v/>
      </c>
      <c r="M50" s="16">
        <f>M49</f>
        <v/>
      </c>
      <c r="N50" s="2">
        <f>N49</f>
        <v/>
      </c>
      <c r="O50" s="16">
        <f>O49</f>
        <v/>
      </c>
      <c r="P50" s="4">
        <f>交易明細!L25</f>
        <v/>
      </c>
      <c r="Q50" s="10">
        <f>IF(N50="已下單",O50*P50,0)</f>
        <v/>
      </c>
      <c r="R50" s="10">
        <f>R49+Q50</f>
        <v/>
      </c>
      <c r="S50" s="16">
        <f>S49-IF(N50="已下單",M50,0)</f>
        <v/>
      </c>
      <c r="T50" s="16">
        <f>R50-S50</f>
        <v/>
      </c>
      <c r="U50" s="2">
        <f>U49-IF(N50="已下單",1,0)</f>
        <v/>
      </c>
      <c r="V50" s="16">
        <f>IF(資金模擬!$B$9=2,MAX(R50,0),MAX(V49,FLOOR(MAX(R50,0),資金模擬!$B$6)))</f>
        <v/>
      </c>
      <c r="W50" s="10">
        <f>MAX(W49,R50)</f>
        <v/>
      </c>
      <c r="X50" s="4">
        <f>IF(W50&gt;0,R50/W50-1,-1)</f>
        <v/>
      </c>
      <c r="Y50" s="16">
        <f>IF(R50&gt;0,S50*資金模擬!$B$7/R50,0)</f>
        <v/>
      </c>
      <c r="Z50" s="2">
        <f>IF(OR(Z49=1,R50&lt;=資金模擬!$B$10),1,0)</f>
        <v/>
      </c>
    </row>
    <row r="51">
      <c r="A51" s="2" t="n">
        <v>49</v>
      </c>
      <c r="B51" s="7" t="n">
        <v>46270.07986111111</v>
      </c>
      <c r="C51" s="2" t="inlineStr">
        <is>
          <t>進場</t>
        </is>
      </c>
      <c r="D51" s="2" t="n">
        <v>25</v>
      </c>
      <c r="E51" s="2" t="inlineStr">
        <is>
          <t>4_USDT_PERP</t>
        </is>
      </c>
      <c r="F51" s="2" t="inlineStr">
        <is>
          <t>做空</t>
        </is>
      </c>
      <c r="G51" s="17" t="n">
        <v>0.02088</v>
      </c>
      <c r="H51" s="17" t="n">
        <v>0.0200448</v>
      </c>
      <c r="I51" s="17" t="n">
        <v>0.021924</v>
      </c>
      <c r="J51" s="17" t="n"/>
      <c r="K51" s="2" t="n"/>
      <c r="L51" s="5" t="n"/>
      <c r="M51" s="16">
        <f>資金模擬!$B$5*V50</f>
        <v/>
      </c>
      <c r="N51" s="2">
        <f>IF(Z50=1,"已停止",IF(T50&gt;=M51,"已下單","資金不足略過"))</f>
        <v/>
      </c>
      <c r="O51" s="16">
        <f>IF(N51="已下單",M51*資金模擬!$B$7,0)</f>
        <v/>
      </c>
      <c r="P51" s="4" t="n"/>
      <c r="Q51" s="10" t="n">
        <v>0</v>
      </c>
      <c r="R51" s="10">
        <f>R50+Q51</f>
        <v/>
      </c>
      <c r="S51" s="16">
        <f>S50+IF(N51="已下單",M51,0)</f>
        <v/>
      </c>
      <c r="T51" s="16">
        <f>R51-S51</f>
        <v/>
      </c>
      <c r="U51" s="2">
        <f>U50+IF(N51="已下單",1,0)</f>
        <v/>
      </c>
      <c r="V51" s="16">
        <f>IF(資金模擬!$B$9=2,MAX(R51,0),MAX(V50,FLOOR(MAX(R51,0),資金模擬!$B$6)))</f>
        <v/>
      </c>
      <c r="W51" s="10">
        <f>MAX(W50,R51)</f>
        <v/>
      </c>
      <c r="X51" s="4">
        <f>IF(W51&gt;0,R51/W51-1,-1)</f>
        <v/>
      </c>
      <c r="Y51" s="16">
        <f>IF(R51&gt;0,S51*資金模擬!$B$7/R51,0)</f>
        <v/>
      </c>
      <c r="Z51" s="2">
        <f>IF(OR(Z50=1,R51&lt;=資金模擬!$B$10),1,0)</f>
        <v/>
      </c>
    </row>
    <row r="52">
      <c r="A52" s="2" t="n">
        <v>50</v>
      </c>
      <c r="B52" s="7" t="n">
        <v>46270.09375</v>
      </c>
      <c r="C52" s="2" t="inlineStr">
        <is>
          <t>出場</t>
        </is>
      </c>
      <c r="D52" s="2" t="n">
        <v>25</v>
      </c>
      <c r="E52" s="2" t="inlineStr">
        <is>
          <t>4_USDT_PERP</t>
        </is>
      </c>
      <c r="F52" s="2" t="inlineStr">
        <is>
          <t>做空</t>
        </is>
      </c>
      <c r="G52" s="17" t="n">
        <v>0.02088</v>
      </c>
      <c r="H52" s="17" t="n">
        <v>0.0200448</v>
      </c>
      <c r="I52" s="17" t="n">
        <v>0.021924</v>
      </c>
      <c r="J52" s="17" t="n">
        <v>0.021924</v>
      </c>
      <c r="K52" s="2" t="inlineStr">
        <is>
          <t>止損</t>
        </is>
      </c>
      <c r="L52" s="5">
        <f>交易明細!K26</f>
        <v/>
      </c>
      <c r="M52" s="16">
        <f>M51</f>
        <v/>
      </c>
      <c r="N52" s="2">
        <f>N51</f>
        <v/>
      </c>
      <c r="O52" s="16">
        <f>O51</f>
        <v/>
      </c>
      <c r="P52" s="4">
        <f>交易明細!L26</f>
        <v/>
      </c>
      <c r="Q52" s="10">
        <f>IF(N52="已下單",O52*P52,0)</f>
        <v/>
      </c>
      <c r="R52" s="10">
        <f>R51+Q52</f>
        <v/>
      </c>
      <c r="S52" s="16">
        <f>S51-IF(N52="已下單",M52,0)</f>
        <v/>
      </c>
      <c r="T52" s="16">
        <f>R52-S52</f>
        <v/>
      </c>
      <c r="U52" s="2">
        <f>U51-IF(N52="已下單",1,0)</f>
        <v/>
      </c>
      <c r="V52" s="16">
        <f>IF(資金模擬!$B$9=2,MAX(R52,0),MAX(V51,FLOOR(MAX(R52,0),資金模擬!$B$6)))</f>
        <v/>
      </c>
      <c r="W52" s="10">
        <f>MAX(W51,R52)</f>
        <v/>
      </c>
      <c r="X52" s="4">
        <f>IF(W52&gt;0,R52/W52-1,-1)</f>
        <v/>
      </c>
      <c r="Y52" s="16">
        <f>IF(R52&gt;0,S52*資金模擬!$B$7/R52,0)</f>
        <v/>
      </c>
      <c r="Z52" s="2">
        <f>IF(OR(Z51=1,R52&lt;=資金模擬!$B$10),1,0)</f>
        <v/>
      </c>
    </row>
    <row r="53">
      <c r="A53" s="2" t="n">
        <v>51</v>
      </c>
      <c r="B53" s="7" t="n">
        <v>46270.13541666666</v>
      </c>
      <c r="C53" s="2" t="inlineStr">
        <is>
          <t>進場</t>
        </is>
      </c>
      <c r="D53" s="2" t="n">
        <v>26</v>
      </c>
      <c r="E53" s="2" t="inlineStr">
        <is>
          <t>4_USDT_PERP</t>
        </is>
      </c>
      <c r="F53" s="2" t="inlineStr">
        <is>
          <t>做空</t>
        </is>
      </c>
      <c r="G53" s="17" t="n">
        <v>0.02226</v>
      </c>
      <c r="H53" s="17" t="n">
        <v>0.0213696</v>
      </c>
      <c r="I53" s="17" t="n">
        <v>0.023373</v>
      </c>
      <c r="J53" s="17" t="n"/>
      <c r="K53" s="2" t="n"/>
      <c r="L53" s="5" t="n"/>
      <c r="M53" s="16">
        <f>資金模擬!$B$5*V52</f>
        <v/>
      </c>
      <c r="N53" s="2">
        <f>IF(Z52=1,"已停止",IF(T52&gt;=M53,"已下單","資金不足略過"))</f>
        <v/>
      </c>
      <c r="O53" s="16">
        <f>IF(N53="已下單",M53*資金模擬!$B$7,0)</f>
        <v/>
      </c>
      <c r="P53" s="4" t="n"/>
      <c r="Q53" s="10" t="n">
        <v>0</v>
      </c>
      <c r="R53" s="10">
        <f>R52+Q53</f>
        <v/>
      </c>
      <c r="S53" s="16">
        <f>S52+IF(N53="已下單",M53,0)</f>
        <v/>
      </c>
      <c r="T53" s="16">
        <f>R53-S53</f>
        <v/>
      </c>
      <c r="U53" s="2">
        <f>U52+IF(N53="已下單",1,0)</f>
        <v/>
      </c>
      <c r="V53" s="16">
        <f>IF(資金模擬!$B$9=2,MAX(R53,0),MAX(V52,FLOOR(MAX(R53,0),資金模擬!$B$6)))</f>
        <v/>
      </c>
      <c r="W53" s="10">
        <f>MAX(W52,R53)</f>
        <v/>
      </c>
      <c r="X53" s="4">
        <f>IF(W53&gt;0,R53/W53-1,-1)</f>
        <v/>
      </c>
      <c r="Y53" s="16">
        <f>IF(R53&gt;0,S53*資金模擬!$B$7/R53,0)</f>
        <v/>
      </c>
      <c r="Z53" s="2">
        <f>IF(OR(Z52=1,R53&lt;=資金模擬!$B$10),1,0)</f>
        <v/>
      </c>
    </row>
    <row r="54">
      <c r="A54" s="2" t="n">
        <v>52</v>
      </c>
      <c r="B54" s="7" t="n">
        <v>46270.14583333334</v>
      </c>
      <c r="C54" s="2" t="inlineStr">
        <is>
          <t>出場</t>
        </is>
      </c>
      <c r="D54" s="2" t="n">
        <v>26</v>
      </c>
      <c r="E54" s="2" t="inlineStr">
        <is>
          <t>4_USDT_PERP</t>
        </is>
      </c>
      <c r="F54" s="2" t="inlineStr">
        <is>
          <t>做空</t>
        </is>
      </c>
      <c r="G54" s="17" t="n">
        <v>0.02226</v>
      </c>
      <c r="H54" s="17" t="n">
        <v>0.0213696</v>
      </c>
      <c r="I54" s="17" t="n">
        <v>0.023373</v>
      </c>
      <c r="J54" s="17" t="n">
        <v>0.0213696</v>
      </c>
      <c r="K54" s="2" t="inlineStr">
        <is>
          <t>止盈</t>
        </is>
      </c>
      <c r="L54" s="5">
        <f>交易明細!K27</f>
        <v/>
      </c>
      <c r="M54" s="16">
        <f>M53</f>
        <v/>
      </c>
      <c r="N54" s="2">
        <f>N53</f>
        <v/>
      </c>
      <c r="O54" s="16">
        <f>O53</f>
        <v/>
      </c>
      <c r="P54" s="4">
        <f>交易明細!L27</f>
        <v/>
      </c>
      <c r="Q54" s="10">
        <f>IF(N54="已下單",O54*P54,0)</f>
        <v/>
      </c>
      <c r="R54" s="10">
        <f>R53+Q54</f>
        <v/>
      </c>
      <c r="S54" s="16">
        <f>S53-IF(N54="已下單",M54,0)</f>
        <v/>
      </c>
      <c r="T54" s="16">
        <f>R54-S54</f>
        <v/>
      </c>
      <c r="U54" s="2">
        <f>U53-IF(N54="已下單",1,0)</f>
        <v/>
      </c>
      <c r="V54" s="16">
        <f>IF(資金模擬!$B$9=2,MAX(R54,0),MAX(V53,FLOOR(MAX(R54,0),資金模擬!$B$6)))</f>
        <v/>
      </c>
      <c r="W54" s="10">
        <f>MAX(W53,R54)</f>
        <v/>
      </c>
      <c r="X54" s="4">
        <f>IF(W54&gt;0,R54/W54-1,-1)</f>
        <v/>
      </c>
      <c r="Y54" s="16">
        <f>IF(R54&gt;0,S54*資金模擬!$B$7/R54,0)</f>
        <v/>
      </c>
      <c r="Z54" s="2">
        <f>IF(OR(Z53=1,R54&lt;=資金模擬!$B$10),1,0)</f>
        <v/>
      </c>
    </row>
    <row r="55">
      <c r="A55" s="2" t="n">
        <v>53</v>
      </c>
      <c r="B55" s="7" t="n">
        <v>46270.37152777778</v>
      </c>
      <c r="C55" s="2" t="inlineStr">
        <is>
          <t>進場</t>
        </is>
      </c>
      <c r="D55" s="2" t="n">
        <v>27</v>
      </c>
      <c r="E55" s="2" t="inlineStr">
        <is>
          <t>ELSA_USDT_PERP</t>
        </is>
      </c>
      <c r="F55" s="2" t="inlineStr">
        <is>
          <t>做空</t>
        </is>
      </c>
      <c r="G55" s="17" t="n">
        <v>0.05706</v>
      </c>
      <c r="H55" s="17" t="n">
        <v>0.0547776</v>
      </c>
      <c r="I55" s="17" t="n">
        <v>0.059913</v>
      </c>
      <c r="J55" s="17" t="n"/>
      <c r="K55" s="2" t="n"/>
      <c r="L55" s="5" t="n"/>
      <c r="M55" s="16">
        <f>資金模擬!$B$5*V54</f>
        <v/>
      </c>
      <c r="N55" s="2">
        <f>IF(Z54=1,"已停止",IF(T54&gt;=M55,"已下單","資金不足略過"))</f>
        <v/>
      </c>
      <c r="O55" s="16">
        <f>IF(N55="已下單",M55*資金模擬!$B$7,0)</f>
        <v/>
      </c>
      <c r="P55" s="4" t="n"/>
      <c r="Q55" s="10" t="n">
        <v>0</v>
      </c>
      <c r="R55" s="10">
        <f>R54+Q55</f>
        <v/>
      </c>
      <c r="S55" s="16">
        <f>S54+IF(N55="已下單",M55,0)</f>
        <v/>
      </c>
      <c r="T55" s="16">
        <f>R55-S55</f>
        <v/>
      </c>
      <c r="U55" s="2">
        <f>U54+IF(N55="已下單",1,0)</f>
        <v/>
      </c>
      <c r="V55" s="16">
        <f>IF(資金模擬!$B$9=2,MAX(R55,0),MAX(V54,FLOOR(MAX(R55,0),資金模擬!$B$6)))</f>
        <v/>
      </c>
      <c r="W55" s="10">
        <f>MAX(W54,R55)</f>
        <v/>
      </c>
      <c r="X55" s="4">
        <f>IF(W55&gt;0,R55/W55-1,-1)</f>
        <v/>
      </c>
      <c r="Y55" s="16">
        <f>IF(R55&gt;0,S55*資金模擬!$B$7/R55,0)</f>
        <v/>
      </c>
      <c r="Z55" s="2">
        <f>IF(OR(Z54=1,R55&lt;=資金模擬!$B$10),1,0)</f>
        <v/>
      </c>
    </row>
    <row r="56">
      <c r="A56" s="2" t="n">
        <v>54</v>
      </c>
      <c r="B56" s="7" t="n">
        <v>46270.39583333334</v>
      </c>
      <c r="C56" s="2" t="inlineStr">
        <is>
          <t>出場</t>
        </is>
      </c>
      <c r="D56" s="2" t="n">
        <v>27</v>
      </c>
      <c r="E56" s="2" t="inlineStr">
        <is>
          <t>ELSA_USDT_PERP</t>
        </is>
      </c>
      <c r="F56" s="2" t="inlineStr">
        <is>
          <t>做空</t>
        </is>
      </c>
      <c r="G56" s="17" t="n">
        <v>0.05706</v>
      </c>
      <c r="H56" s="17" t="n">
        <v>0.0547776</v>
      </c>
      <c r="I56" s="17" t="n">
        <v>0.059913</v>
      </c>
      <c r="J56" s="17" t="n">
        <v>0.0547776</v>
      </c>
      <c r="K56" s="2" t="inlineStr">
        <is>
          <t>止盈</t>
        </is>
      </c>
      <c r="L56" s="5">
        <f>交易明細!K28</f>
        <v/>
      </c>
      <c r="M56" s="16">
        <f>M55</f>
        <v/>
      </c>
      <c r="N56" s="2">
        <f>N55</f>
        <v/>
      </c>
      <c r="O56" s="16">
        <f>O55</f>
        <v/>
      </c>
      <c r="P56" s="4">
        <f>交易明細!L28</f>
        <v/>
      </c>
      <c r="Q56" s="10">
        <f>IF(N56="已下單",O56*P56,0)</f>
        <v/>
      </c>
      <c r="R56" s="10">
        <f>R55+Q56</f>
        <v/>
      </c>
      <c r="S56" s="16">
        <f>S55-IF(N56="已下單",M56,0)</f>
        <v/>
      </c>
      <c r="T56" s="16">
        <f>R56-S56</f>
        <v/>
      </c>
      <c r="U56" s="2">
        <f>U55-IF(N56="已下單",1,0)</f>
        <v/>
      </c>
      <c r="V56" s="16">
        <f>IF(資金模擬!$B$9=2,MAX(R56,0),MAX(V55,FLOOR(MAX(R56,0),資金模擬!$B$6)))</f>
        <v/>
      </c>
      <c r="W56" s="10">
        <f>MAX(W55,R56)</f>
        <v/>
      </c>
      <c r="X56" s="4">
        <f>IF(W56&gt;0,R56/W56-1,-1)</f>
        <v/>
      </c>
      <c r="Y56" s="16">
        <f>IF(R56&gt;0,S56*資金模擬!$B$7/R56,0)</f>
        <v/>
      </c>
      <c r="Z56" s="2">
        <f>IF(OR(Z55=1,R56&lt;=資金模擬!$B$10),1,0)</f>
        <v/>
      </c>
    </row>
    <row r="57">
      <c r="A57" s="2" t="n">
        <v>55</v>
      </c>
      <c r="B57" s="7" t="n">
        <v>46270.44444444445</v>
      </c>
      <c r="C57" s="2" t="inlineStr">
        <is>
          <t>進場</t>
        </is>
      </c>
      <c r="D57" s="2" t="n">
        <v>28</v>
      </c>
      <c r="E57" s="2" t="inlineStr">
        <is>
          <t>NOM_USDT_PERP</t>
        </is>
      </c>
      <c r="F57" s="2" t="inlineStr">
        <is>
          <t>做空</t>
        </is>
      </c>
      <c r="G57" s="17" t="n">
        <v>0.001789</v>
      </c>
      <c r="H57" s="17" t="n">
        <v>0.00171744</v>
      </c>
      <c r="I57" s="17" t="n">
        <v>0.00187845</v>
      </c>
      <c r="J57" s="17" t="n"/>
      <c r="K57" s="2" t="n"/>
      <c r="L57" s="5" t="n"/>
      <c r="M57" s="16">
        <f>資金模擬!$B$5*V56</f>
        <v/>
      </c>
      <c r="N57" s="2">
        <f>IF(Z56=1,"已停止",IF(T56&gt;=M57,"已下單","資金不足略過"))</f>
        <v/>
      </c>
      <c r="O57" s="16">
        <f>IF(N57="已下單",M57*資金模擬!$B$7,0)</f>
        <v/>
      </c>
      <c r="P57" s="4" t="n"/>
      <c r="Q57" s="10" t="n">
        <v>0</v>
      </c>
      <c r="R57" s="10">
        <f>R56+Q57</f>
        <v/>
      </c>
      <c r="S57" s="16">
        <f>S56+IF(N57="已下單",M57,0)</f>
        <v/>
      </c>
      <c r="T57" s="16">
        <f>R57-S57</f>
        <v/>
      </c>
      <c r="U57" s="2">
        <f>U56+IF(N57="已下單",1,0)</f>
        <v/>
      </c>
      <c r="V57" s="16">
        <f>IF(資金模擬!$B$9=2,MAX(R57,0),MAX(V56,FLOOR(MAX(R57,0),資金模擬!$B$6)))</f>
        <v/>
      </c>
      <c r="W57" s="10">
        <f>MAX(W56,R57)</f>
        <v/>
      </c>
      <c r="X57" s="4">
        <f>IF(W57&gt;0,R57/W57-1,-1)</f>
        <v/>
      </c>
      <c r="Y57" s="16">
        <f>IF(R57&gt;0,S57*資金模擬!$B$7/R57,0)</f>
        <v/>
      </c>
      <c r="Z57" s="2">
        <f>IF(OR(Z56=1,R57&lt;=資金模擬!$B$10),1,0)</f>
        <v/>
      </c>
    </row>
    <row r="58">
      <c r="A58" s="2" t="n">
        <v>56</v>
      </c>
      <c r="B58" s="7" t="n">
        <v>46270.45833333334</v>
      </c>
      <c r="C58" s="2" t="inlineStr">
        <is>
          <t>出場</t>
        </is>
      </c>
      <c r="D58" s="2" t="n">
        <v>28</v>
      </c>
      <c r="E58" s="2" t="inlineStr">
        <is>
          <t>NOM_USDT_PERP</t>
        </is>
      </c>
      <c r="F58" s="2" t="inlineStr">
        <is>
          <t>做空</t>
        </is>
      </c>
      <c r="G58" s="17" t="n">
        <v>0.001789</v>
      </c>
      <c r="H58" s="17" t="n">
        <v>0.00171744</v>
      </c>
      <c r="I58" s="17" t="n">
        <v>0.00187845</v>
      </c>
      <c r="J58" s="17" t="n">
        <v>0.00187845</v>
      </c>
      <c r="K58" s="2" t="inlineStr">
        <is>
          <t>止損</t>
        </is>
      </c>
      <c r="L58" s="5">
        <f>交易明細!K29</f>
        <v/>
      </c>
      <c r="M58" s="16">
        <f>M57</f>
        <v/>
      </c>
      <c r="N58" s="2">
        <f>N57</f>
        <v/>
      </c>
      <c r="O58" s="16">
        <f>O57</f>
        <v/>
      </c>
      <c r="P58" s="4">
        <f>交易明細!L29</f>
        <v/>
      </c>
      <c r="Q58" s="10">
        <f>IF(N58="已下單",O58*P58,0)</f>
        <v/>
      </c>
      <c r="R58" s="10">
        <f>R57+Q58</f>
        <v/>
      </c>
      <c r="S58" s="16">
        <f>S57-IF(N58="已下單",M58,0)</f>
        <v/>
      </c>
      <c r="T58" s="16">
        <f>R58-S58</f>
        <v/>
      </c>
      <c r="U58" s="2">
        <f>U57-IF(N58="已下單",1,0)</f>
        <v/>
      </c>
      <c r="V58" s="16">
        <f>IF(資金模擬!$B$9=2,MAX(R58,0),MAX(V57,FLOOR(MAX(R58,0),資金模擬!$B$6)))</f>
        <v/>
      </c>
      <c r="W58" s="10">
        <f>MAX(W57,R58)</f>
        <v/>
      </c>
      <c r="X58" s="4">
        <f>IF(W58&gt;0,R58/W58-1,-1)</f>
        <v/>
      </c>
      <c r="Y58" s="16">
        <f>IF(R58&gt;0,S58*資金模擬!$B$7/R58,0)</f>
        <v/>
      </c>
      <c r="Z58" s="2">
        <f>IF(OR(Z57=1,R58&lt;=資金模擬!$B$10),1,0)</f>
        <v/>
      </c>
    </row>
    <row r="59">
      <c r="A59" s="2" t="n">
        <v>57</v>
      </c>
      <c r="B59" s="7" t="n">
        <v>46270.56944444445</v>
      </c>
      <c r="C59" s="2" t="inlineStr">
        <is>
          <t>進場</t>
        </is>
      </c>
      <c r="D59" s="2" t="n">
        <v>29</v>
      </c>
      <c r="E59" s="2" t="inlineStr">
        <is>
          <t>NOM_USDT_PERP</t>
        </is>
      </c>
      <c r="F59" s="2" t="inlineStr">
        <is>
          <t>做空</t>
        </is>
      </c>
      <c r="G59" s="17" t="n">
        <v>0.002085</v>
      </c>
      <c r="H59" s="17" t="n">
        <v>0.0020016</v>
      </c>
      <c r="I59" s="17" t="n">
        <v>0.00218925</v>
      </c>
      <c r="J59" s="17" t="n"/>
      <c r="K59" s="2" t="n"/>
      <c r="L59" s="5" t="n"/>
      <c r="M59" s="16">
        <f>資金模擬!$B$5*V58</f>
        <v/>
      </c>
      <c r="N59" s="2">
        <f>IF(Z58=1,"已停止",IF(T58&gt;=M59,"已下單","資金不足略過"))</f>
        <v/>
      </c>
      <c r="O59" s="16">
        <f>IF(N59="已下單",M59*資金模擬!$B$7,0)</f>
        <v/>
      </c>
      <c r="P59" s="4" t="n"/>
      <c r="Q59" s="10" t="n">
        <v>0</v>
      </c>
      <c r="R59" s="10">
        <f>R58+Q59</f>
        <v/>
      </c>
      <c r="S59" s="16">
        <f>S58+IF(N59="已下單",M59,0)</f>
        <v/>
      </c>
      <c r="T59" s="16">
        <f>R59-S59</f>
        <v/>
      </c>
      <c r="U59" s="2">
        <f>U58+IF(N59="已下單",1,0)</f>
        <v/>
      </c>
      <c r="V59" s="16">
        <f>IF(資金模擬!$B$9=2,MAX(R59,0),MAX(V58,FLOOR(MAX(R59,0),資金模擬!$B$6)))</f>
        <v/>
      </c>
      <c r="W59" s="10">
        <f>MAX(W58,R59)</f>
        <v/>
      </c>
      <c r="X59" s="4">
        <f>IF(W59&gt;0,R59/W59-1,-1)</f>
        <v/>
      </c>
      <c r="Y59" s="16">
        <f>IF(R59&gt;0,S59*資金模擬!$B$7/R59,0)</f>
        <v/>
      </c>
      <c r="Z59" s="2">
        <f>IF(OR(Z58=1,R59&lt;=資金模擬!$B$10),1,0)</f>
        <v/>
      </c>
    </row>
    <row r="60">
      <c r="A60" s="2" t="n">
        <v>58</v>
      </c>
      <c r="B60" s="7" t="n">
        <v>46270.58333333334</v>
      </c>
      <c r="C60" s="2" t="inlineStr">
        <is>
          <t>出場</t>
        </is>
      </c>
      <c r="D60" s="2" t="n">
        <v>29</v>
      </c>
      <c r="E60" s="2" t="inlineStr">
        <is>
          <t>NOM_USDT_PERP</t>
        </is>
      </c>
      <c r="F60" s="2" t="inlineStr">
        <is>
          <t>做空</t>
        </is>
      </c>
      <c r="G60" s="17" t="n">
        <v>0.002085</v>
      </c>
      <c r="H60" s="17" t="n">
        <v>0.0020016</v>
      </c>
      <c r="I60" s="17" t="n">
        <v>0.00218925</v>
      </c>
      <c r="J60" s="17" t="n">
        <v>0.0020016</v>
      </c>
      <c r="K60" s="2" t="inlineStr">
        <is>
          <t>止盈</t>
        </is>
      </c>
      <c r="L60" s="5">
        <f>交易明細!K30</f>
        <v/>
      </c>
      <c r="M60" s="16">
        <f>M59</f>
        <v/>
      </c>
      <c r="N60" s="2">
        <f>N59</f>
        <v/>
      </c>
      <c r="O60" s="16">
        <f>O59</f>
        <v/>
      </c>
      <c r="P60" s="4">
        <f>交易明細!L30</f>
        <v/>
      </c>
      <c r="Q60" s="10">
        <f>IF(N60="已下單",O60*P60,0)</f>
        <v/>
      </c>
      <c r="R60" s="10">
        <f>R59+Q60</f>
        <v/>
      </c>
      <c r="S60" s="16">
        <f>S59-IF(N60="已下單",M60,0)</f>
        <v/>
      </c>
      <c r="T60" s="16">
        <f>R60-S60</f>
        <v/>
      </c>
      <c r="U60" s="2">
        <f>U59-IF(N60="已下單",1,0)</f>
        <v/>
      </c>
      <c r="V60" s="16">
        <f>IF(資金模擬!$B$9=2,MAX(R60,0),MAX(V59,FLOOR(MAX(R60,0),資金模擬!$B$6)))</f>
        <v/>
      </c>
      <c r="W60" s="10">
        <f>MAX(W59,R60)</f>
        <v/>
      </c>
      <c r="X60" s="4">
        <f>IF(W60&gt;0,R60/W60-1,-1)</f>
        <v/>
      </c>
      <c r="Y60" s="16">
        <f>IF(R60&gt;0,S60*資金模擬!$B$7/R60,0)</f>
        <v/>
      </c>
      <c r="Z60" s="2">
        <f>IF(OR(Z59=1,R60&lt;=資金模擬!$B$10),1,0)</f>
        <v/>
      </c>
    </row>
    <row r="61">
      <c r="A61" s="2" t="n">
        <v>59</v>
      </c>
      <c r="B61" s="7" t="n">
        <v>46270.60069444445</v>
      </c>
      <c r="C61" s="2" t="inlineStr">
        <is>
          <t>進場</t>
        </is>
      </c>
      <c r="D61" s="2" t="n">
        <v>30</v>
      </c>
      <c r="E61" s="2" t="inlineStr">
        <is>
          <t>B_USDT_PERP</t>
        </is>
      </c>
      <c r="F61" s="2" t="inlineStr">
        <is>
          <t>做空</t>
        </is>
      </c>
      <c r="G61" s="17" t="n">
        <v>0.2168</v>
      </c>
      <c r="H61" s="17" t="n">
        <v>0.208128</v>
      </c>
      <c r="I61" s="17" t="n">
        <v>0.22764</v>
      </c>
      <c r="J61" s="17" t="n"/>
      <c r="K61" s="2" t="n"/>
      <c r="L61" s="5" t="n"/>
      <c r="M61" s="16">
        <f>資金模擬!$B$5*V60</f>
        <v/>
      </c>
      <c r="N61" s="2">
        <f>IF(Z60=1,"已停止",IF(T60&gt;=M61,"已下單","資金不足略過"))</f>
        <v/>
      </c>
      <c r="O61" s="16">
        <f>IF(N61="已下單",M61*資金模擬!$B$7,0)</f>
        <v/>
      </c>
      <c r="P61" s="4" t="n"/>
      <c r="Q61" s="10" t="n">
        <v>0</v>
      </c>
      <c r="R61" s="10">
        <f>R60+Q61</f>
        <v/>
      </c>
      <c r="S61" s="16">
        <f>S60+IF(N61="已下單",M61,0)</f>
        <v/>
      </c>
      <c r="T61" s="16">
        <f>R61-S61</f>
        <v/>
      </c>
      <c r="U61" s="2">
        <f>U60+IF(N61="已下單",1,0)</f>
        <v/>
      </c>
      <c r="V61" s="16">
        <f>IF(資金模擬!$B$9=2,MAX(R61,0),MAX(V60,FLOOR(MAX(R61,0),資金模擬!$B$6)))</f>
        <v/>
      </c>
      <c r="W61" s="10">
        <f>MAX(W60,R61)</f>
        <v/>
      </c>
      <c r="X61" s="4">
        <f>IF(W61&gt;0,R61/W61-1,-1)</f>
        <v/>
      </c>
      <c r="Y61" s="16">
        <f>IF(R61&gt;0,S61*資金模擬!$B$7/R61,0)</f>
        <v/>
      </c>
      <c r="Z61" s="2">
        <f>IF(OR(Z60=1,R61&lt;=資金模擬!$B$10),1,0)</f>
        <v/>
      </c>
    </row>
    <row r="62">
      <c r="A62" s="2" t="n">
        <v>60</v>
      </c>
      <c r="B62" s="7" t="n">
        <v>46270.60416666666</v>
      </c>
      <c r="C62" s="2" t="inlineStr">
        <is>
          <t>出場</t>
        </is>
      </c>
      <c r="D62" s="2" t="n">
        <v>30</v>
      </c>
      <c r="E62" s="2" t="inlineStr">
        <is>
          <t>B_USDT_PERP</t>
        </is>
      </c>
      <c r="F62" s="2" t="inlineStr">
        <is>
          <t>做空</t>
        </is>
      </c>
      <c r="G62" s="17" t="n">
        <v>0.2168</v>
      </c>
      <c r="H62" s="17" t="n">
        <v>0.208128</v>
      </c>
      <c r="I62" s="17" t="n">
        <v>0.22764</v>
      </c>
      <c r="J62" s="17" t="n">
        <v>0.208128</v>
      </c>
      <c r="K62" s="2" t="inlineStr">
        <is>
          <t>止盈</t>
        </is>
      </c>
      <c r="L62" s="5">
        <f>交易明細!K31</f>
        <v/>
      </c>
      <c r="M62" s="16">
        <f>M61</f>
        <v/>
      </c>
      <c r="N62" s="2">
        <f>N61</f>
        <v/>
      </c>
      <c r="O62" s="16">
        <f>O61</f>
        <v/>
      </c>
      <c r="P62" s="4">
        <f>交易明細!L31</f>
        <v/>
      </c>
      <c r="Q62" s="10">
        <f>IF(N62="已下單",O62*P62,0)</f>
        <v/>
      </c>
      <c r="R62" s="10">
        <f>R61+Q62</f>
        <v/>
      </c>
      <c r="S62" s="16">
        <f>S61-IF(N62="已下單",M62,0)</f>
        <v/>
      </c>
      <c r="T62" s="16">
        <f>R62-S62</f>
        <v/>
      </c>
      <c r="U62" s="2">
        <f>U61-IF(N62="已下單",1,0)</f>
        <v/>
      </c>
      <c r="V62" s="16">
        <f>IF(資金模擬!$B$9=2,MAX(R62,0),MAX(V61,FLOOR(MAX(R62,0),資金模擬!$B$6)))</f>
        <v/>
      </c>
      <c r="W62" s="10">
        <f>MAX(W61,R62)</f>
        <v/>
      </c>
      <c r="X62" s="4">
        <f>IF(W62&gt;0,R62/W62-1,-1)</f>
        <v/>
      </c>
      <c r="Y62" s="16">
        <f>IF(R62&gt;0,S62*資金模擬!$B$7/R62,0)</f>
        <v/>
      </c>
      <c r="Z62" s="2">
        <f>IF(OR(Z61=1,R62&lt;=資金模擬!$B$10),1,0)</f>
        <v/>
      </c>
    </row>
    <row r="63">
      <c r="A63" s="2" t="n">
        <v>61</v>
      </c>
      <c r="B63" s="7" t="n">
        <v>46270.61805555555</v>
      </c>
      <c r="C63" s="2" t="inlineStr">
        <is>
          <t>進場</t>
        </is>
      </c>
      <c r="D63" s="2" t="n">
        <v>31</v>
      </c>
      <c r="E63" s="2" t="inlineStr">
        <is>
          <t>NAORIS_USDT_PERP</t>
        </is>
      </c>
      <c r="F63" s="2" t="inlineStr">
        <is>
          <t>做空</t>
        </is>
      </c>
      <c r="G63" s="17" t="n">
        <v>0.03141</v>
      </c>
      <c r="H63" s="17" t="n">
        <v>0.0301536</v>
      </c>
      <c r="I63" s="17" t="n">
        <v>0.0329805</v>
      </c>
      <c r="J63" s="17" t="n"/>
      <c r="K63" s="2" t="n"/>
      <c r="L63" s="5" t="n"/>
      <c r="M63" s="16">
        <f>資金模擬!$B$5*V62</f>
        <v/>
      </c>
      <c r="N63" s="2">
        <f>IF(Z62=1,"已停止",IF(T62&gt;=M63,"已下單","資金不足略過"))</f>
        <v/>
      </c>
      <c r="O63" s="16">
        <f>IF(N63="已下單",M63*資金模擬!$B$7,0)</f>
        <v/>
      </c>
      <c r="P63" s="4" t="n"/>
      <c r="Q63" s="10" t="n">
        <v>0</v>
      </c>
      <c r="R63" s="10">
        <f>R62+Q63</f>
        <v/>
      </c>
      <c r="S63" s="16">
        <f>S62+IF(N63="已下單",M63,0)</f>
        <v/>
      </c>
      <c r="T63" s="16">
        <f>R63-S63</f>
        <v/>
      </c>
      <c r="U63" s="2">
        <f>U62+IF(N63="已下單",1,0)</f>
        <v/>
      </c>
      <c r="V63" s="16">
        <f>IF(資金模擬!$B$9=2,MAX(R63,0),MAX(V62,FLOOR(MAX(R63,0),資金模擬!$B$6)))</f>
        <v/>
      </c>
      <c r="W63" s="10">
        <f>MAX(W62,R63)</f>
        <v/>
      </c>
      <c r="X63" s="4">
        <f>IF(W63&gt;0,R63/W63-1,-1)</f>
        <v/>
      </c>
      <c r="Y63" s="16">
        <f>IF(R63&gt;0,S63*資金模擬!$B$7/R63,0)</f>
        <v/>
      </c>
      <c r="Z63" s="2">
        <f>IF(OR(Z62=1,R63&lt;=資金模擬!$B$10),1,0)</f>
        <v/>
      </c>
    </row>
    <row r="64">
      <c r="A64" s="2" t="n">
        <v>62</v>
      </c>
      <c r="B64" s="7" t="n">
        <v>46270.63194444445</v>
      </c>
      <c r="C64" s="2" t="inlineStr">
        <is>
          <t>出場</t>
        </is>
      </c>
      <c r="D64" s="2" t="n">
        <v>31</v>
      </c>
      <c r="E64" s="2" t="inlineStr">
        <is>
          <t>NAORIS_USDT_PERP</t>
        </is>
      </c>
      <c r="F64" s="2" t="inlineStr">
        <is>
          <t>做空</t>
        </is>
      </c>
      <c r="G64" s="17" t="n">
        <v>0.03141</v>
      </c>
      <c r="H64" s="17" t="n">
        <v>0.0301536</v>
      </c>
      <c r="I64" s="17" t="n">
        <v>0.0329805</v>
      </c>
      <c r="J64" s="17" t="n">
        <v>0.0301536</v>
      </c>
      <c r="K64" s="2" t="inlineStr">
        <is>
          <t>止盈</t>
        </is>
      </c>
      <c r="L64" s="5">
        <f>交易明細!K32</f>
        <v/>
      </c>
      <c r="M64" s="16">
        <f>M63</f>
        <v/>
      </c>
      <c r="N64" s="2">
        <f>N63</f>
        <v/>
      </c>
      <c r="O64" s="16">
        <f>O63</f>
        <v/>
      </c>
      <c r="P64" s="4">
        <f>交易明細!L32</f>
        <v/>
      </c>
      <c r="Q64" s="10">
        <f>IF(N64="已下單",O64*P64,0)</f>
        <v/>
      </c>
      <c r="R64" s="10">
        <f>R63+Q64</f>
        <v/>
      </c>
      <c r="S64" s="16">
        <f>S63-IF(N64="已下單",M64,0)</f>
        <v/>
      </c>
      <c r="T64" s="16">
        <f>R64-S64</f>
        <v/>
      </c>
      <c r="U64" s="2">
        <f>U63-IF(N64="已下單",1,0)</f>
        <v/>
      </c>
      <c r="V64" s="16">
        <f>IF(資金模擬!$B$9=2,MAX(R64,0),MAX(V63,FLOOR(MAX(R64,0),資金模擬!$B$6)))</f>
        <v/>
      </c>
      <c r="W64" s="10">
        <f>MAX(W63,R64)</f>
        <v/>
      </c>
      <c r="X64" s="4">
        <f>IF(W64&gt;0,R64/W64-1,-1)</f>
        <v/>
      </c>
      <c r="Y64" s="16">
        <f>IF(R64&gt;0,S64*資金模擬!$B$7/R64,0)</f>
        <v/>
      </c>
      <c r="Z64" s="2">
        <f>IF(OR(Z63=1,R64&lt;=資金模擬!$B$10),1,0)</f>
        <v/>
      </c>
    </row>
    <row r="65">
      <c r="A65" s="2" t="n">
        <v>63</v>
      </c>
      <c r="B65" s="7" t="n">
        <v>46270.63194444445</v>
      </c>
      <c r="C65" s="2" t="inlineStr">
        <is>
          <t>進場</t>
        </is>
      </c>
      <c r="D65" s="2" t="n">
        <v>32</v>
      </c>
      <c r="E65" s="2" t="inlineStr">
        <is>
          <t>TRADOOR_USDT_PERP</t>
        </is>
      </c>
      <c r="F65" s="2" t="inlineStr">
        <is>
          <t>做空</t>
        </is>
      </c>
      <c r="G65" s="17" t="n">
        <v>0.7411</v>
      </c>
      <c r="H65" s="17" t="n">
        <v>0.711456</v>
      </c>
      <c r="I65" s="17" t="n">
        <v>0.778155</v>
      </c>
      <c r="J65" s="17" t="n"/>
      <c r="K65" s="2" t="n"/>
      <c r="L65" s="5" t="n"/>
      <c r="M65" s="16">
        <f>資金模擬!$B$5*V64</f>
        <v/>
      </c>
      <c r="N65" s="2">
        <f>IF(Z64=1,"已停止",IF(T64&gt;=M65,"已下單","資金不足略過"))</f>
        <v/>
      </c>
      <c r="O65" s="16">
        <f>IF(N65="已下單",M65*資金模擬!$B$7,0)</f>
        <v/>
      </c>
      <c r="P65" s="4" t="n"/>
      <c r="Q65" s="10" t="n">
        <v>0</v>
      </c>
      <c r="R65" s="10">
        <f>R64+Q65</f>
        <v/>
      </c>
      <c r="S65" s="16">
        <f>S64+IF(N65="已下單",M65,0)</f>
        <v/>
      </c>
      <c r="T65" s="16">
        <f>R65-S65</f>
        <v/>
      </c>
      <c r="U65" s="2">
        <f>U64+IF(N65="已下單",1,0)</f>
        <v/>
      </c>
      <c r="V65" s="16">
        <f>IF(資金模擬!$B$9=2,MAX(R65,0),MAX(V64,FLOOR(MAX(R65,0),資金模擬!$B$6)))</f>
        <v/>
      </c>
      <c r="W65" s="10">
        <f>MAX(W64,R65)</f>
        <v/>
      </c>
      <c r="X65" s="4">
        <f>IF(W65&gt;0,R65/W65-1,-1)</f>
        <v/>
      </c>
      <c r="Y65" s="16">
        <f>IF(R65&gt;0,S65*資金模擬!$B$7/R65,0)</f>
        <v/>
      </c>
      <c r="Z65" s="2">
        <f>IF(OR(Z64=1,R65&lt;=資金模擬!$B$10),1,0)</f>
        <v/>
      </c>
    </row>
    <row r="66">
      <c r="A66" s="2" t="n">
        <v>64</v>
      </c>
      <c r="B66" s="7" t="n">
        <v>46270.63541666666</v>
      </c>
      <c r="C66" s="2" t="inlineStr">
        <is>
          <t>出場</t>
        </is>
      </c>
      <c r="D66" s="2" t="n">
        <v>32</v>
      </c>
      <c r="E66" s="2" t="inlineStr">
        <is>
          <t>TRADOOR_USDT_PERP</t>
        </is>
      </c>
      <c r="F66" s="2" t="inlineStr">
        <is>
          <t>做空</t>
        </is>
      </c>
      <c r="G66" s="17" t="n">
        <v>0.7411</v>
      </c>
      <c r="H66" s="17" t="n">
        <v>0.711456</v>
      </c>
      <c r="I66" s="17" t="n">
        <v>0.778155</v>
      </c>
      <c r="J66" s="17" t="n">
        <v>0.778155</v>
      </c>
      <c r="K66" s="2" t="inlineStr">
        <is>
          <t>止損</t>
        </is>
      </c>
      <c r="L66" s="5">
        <f>交易明細!K33</f>
        <v/>
      </c>
      <c r="M66" s="16">
        <f>M65</f>
        <v/>
      </c>
      <c r="N66" s="2">
        <f>N65</f>
        <v/>
      </c>
      <c r="O66" s="16">
        <f>O65</f>
        <v/>
      </c>
      <c r="P66" s="4">
        <f>交易明細!L33</f>
        <v/>
      </c>
      <c r="Q66" s="10">
        <f>IF(N66="已下單",O66*P66,0)</f>
        <v/>
      </c>
      <c r="R66" s="10">
        <f>R65+Q66</f>
        <v/>
      </c>
      <c r="S66" s="16">
        <f>S65-IF(N66="已下單",M66,0)</f>
        <v/>
      </c>
      <c r="T66" s="16">
        <f>R66-S66</f>
        <v/>
      </c>
      <c r="U66" s="2">
        <f>U65-IF(N66="已下單",1,0)</f>
        <v/>
      </c>
      <c r="V66" s="16">
        <f>IF(資金模擬!$B$9=2,MAX(R66,0),MAX(V65,FLOOR(MAX(R66,0),資金模擬!$B$6)))</f>
        <v/>
      </c>
      <c r="W66" s="10">
        <f>MAX(W65,R66)</f>
        <v/>
      </c>
      <c r="X66" s="4">
        <f>IF(W66&gt;0,R66/W66-1,-1)</f>
        <v/>
      </c>
      <c r="Y66" s="16">
        <f>IF(R66&gt;0,S66*資金模擬!$B$7/R66,0)</f>
        <v/>
      </c>
      <c r="Z66" s="2">
        <f>IF(OR(Z65=1,R66&lt;=資金模擬!$B$10),1,0)</f>
        <v/>
      </c>
    </row>
    <row r="67">
      <c r="A67" s="2" t="n">
        <v>65</v>
      </c>
      <c r="B67" s="7" t="n">
        <v>46270.64583333334</v>
      </c>
      <c r="C67" s="2" t="inlineStr">
        <is>
          <t>進場</t>
        </is>
      </c>
      <c r="D67" s="2" t="n">
        <v>33</v>
      </c>
      <c r="E67" s="2" t="inlineStr">
        <is>
          <t>B_USDT_PERP</t>
        </is>
      </c>
      <c r="F67" s="2" t="inlineStr">
        <is>
          <t>做空</t>
        </is>
      </c>
      <c r="G67" s="17" t="n">
        <v>0.1992</v>
      </c>
      <c r="H67" s="17" t="n">
        <v>0.191232</v>
      </c>
      <c r="I67" s="17" t="n">
        <v>0.20916</v>
      </c>
      <c r="J67" s="17" t="n"/>
      <c r="K67" s="2" t="n"/>
      <c r="L67" s="5" t="n"/>
      <c r="M67" s="16">
        <f>資金模擬!$B$5*V66</f>
        <v/>
      </c>
      <c r="N67" s="2">
        <f>IF(Z66=1,"已停止",IF(T66&gt;=M67,"已下單","資金不足略過"))</f>
        <v/>
      </c>
      <c r="O67" s="16">
        <f>IF(N67="已下單",M67*資金模擬!$B$7,0)</f>
        <v/>
      </c>
      <c r="P67" s="4" t="n"/>
      <c r="Q67" s="10" t="n">
        <v>0</v>
      </c>
      <c r="R67" s="10">
        <f>R66+Q67</f>
        <v/>
      </c>
      <c r="S67" s="16">
        <f>S66+IF(N67="已下單",M67,0)</f>
        <v/>
      </c>
      <c r="T67" s="16">
        <f>R67-S67</f>
        <v/>
      </c>
      <c r="U67" s="2">
        <f>U66+IF(N67="已下單",1,0)</f>
        <v/>
      </c>
      <c r="V67" s="16">
        <f>IF(資金模擬!$B$9=2,MAX(R67,0),MAX(V66,FLOOR(MAX(R67,0),資金模擬!$B$6)))</f>
        <v/>
      </c>
      <c r="W67" s="10">
        <f>MAX(W66,R67)</f>
        <v/>
      </c>
      <c r="X67" s="4">
        <f>IF(W67&gt;0,R67/W67-1,-1)</f>
        <v/>
      </c>
      <c r="Y67" s="16">
        <f>IF(R67&gt;0,S67*資金模擬!$B$7/R67,0)</f>
        <v/>
      </c>
      <c r="Z67" s="2">
        <f>IF(OR(Z66=1,R67&lt;=資金模擬!$B$10),1,0)</f>
        <v/>
      </c>
    </row>
    <row r="68">
      <c r="A68" s="2" t="n">
        <v>66</v>
      </c>
      <c r="B68" s="7" t="n">
        <v>46270.73611111111</v>
      </c>
      <c r="C68" s="2" t="inlineStr">
        <is>
          <t>出場</t>
        </is>
      </c>
      <c r="D68" s="2" t="n">
        <v>33</v>
      </c>
      <c r="E68" s="2" t="inlineStr">
        <is>
          <t>B_USDT_PERP</t>
        </is>
      </c>
      <c r="F68" s="2" t="inlineStr">
        <is>
          <t>做空</t>
        </is>
      </c>
      <c r="G68" s="17" t="n">
        <v>0.1992</v>
      </c>
      <c r="H68" s="17" t="n">
        <v>0.191232</v>
      </c>
      <c r="I68" s="17" t="n">
        <v>0.20916</v>
      </c>
      <c r="J68" s="17" t="n">
        <v>0.191232</v>
      </c>
      <c r="K68" s="2" t="inlineStr">
        <is>
          <t>止盈</t>
        </is>
      </c>
      <c r="L68" s="5">
        <f>交易明細!K34</f>
        <v/>
      </c>
      <c r="M68" s="16">
        <f>M67</f>
        <v/>
      </c>
      <c r="N68" s="2">
        <f>N67</f>
        <v/>
      </c>
      <c r="O68" s="16">
        <f>O67</f>
        <v/>
      </c>
      <c r="P68" s="4">
        <f>交易明細!L34</f>
        <v/>
      </c>
      <c r="Q68" s="10">
        <f>IF(N68="已下單",O68*P68,0)</f>
        <v/>
      </c>
      <c r="R68" s="10">
        <f>R67+Q68</f>
        <v/>
      </c>
      <c r="S68" s="16">
        <f>S67-IF(N68="已下單",M68,0)</f>
        <v/>
      </c>
      <c r="T68" s="16">
        <f>R68-S68</f>
        <v/>
      </c>
      <c r="U68" s="2">
        <f>U67-IF(N68="已下單",1,0)</f>
        <v/>
      </c>
      <c r="V68" s="16">
        <f>IF(資金模擬!$B$9=2,MAX(R68,0),MAX(V67,FLOOR(MAX(R68,0),資金模擬!$B$6)))</f>
        <v/>
      </c>
      <c r="W68" s="10">
        <f>MAX(W67,R68)</f>
        <v/>
      </c>
      <c r="X68" s="4">
        <f>IF(W68&gt;0,R68/W68-1,-1)</f>
        <v/>
      </c>
      <c r="Y68" s="16">
        <f>IF(R68&gt;0,S68*資金模擬!$B$7/R68,0)</f>
        <v/>
      </c>
      <c r="Z68" s="2">
        <f>IF(OR(Z67=1,R68&lt;=資金模擬!$B$10),1,0)</f>
        <v/>
      </c>
    </row>
    <row r="69">
      <c r="A69" s="2" t="n">
        <v>67</v>
      </c>
      <c r="B69" s="7" t="n">
        <v>46270.75694444445</v>
      </c>
      <c r="C69" s="2" t="inlineStr">
        <is>
          <t>進場</t>
        </is>
      </c>
      <c r="D69" s="2" t="n">
        <v>34</v>
      </c>
      <c r="E69" s="2" t="inlineStr">
        <is>
          <t>COLLECT_USDT_PERP</t>
        </is>
      </c>
      <c r="F69" s="2" t="inlineStr">
        <is>
          <t>做空</t>
        </is>
      </c>
      <c r="G69" s="17" t="n">
        <v>0.09433</v>
      </c>
      <c r="H69" s="17" t="n">
        <v>0.09055679999999999</v>
      </c>
      <c r="I69" s="17" t="n">
        <v>0.0990465</v>
      </c>
      <c r="J69" s="17" t="n"/>
      <c r="K69" s="2" t="n"/>
      <c r="L69" s="5" t="n"/>
      <c r="M69" s="16">
        <f>資金模擬!$B$5*V68</f>
        <v/>
      </c>
      <c r="N69" s="2">
        <f>IF(Z68=1,"已停止",IF(T68&gt;=M69,"已下單","資金不足略過"))</f>
        <v/>
      </c>
      <c r="O69" s="16">
        <f>IF(N69="已下單",M69*資金模擬!$B$7,0)</f>
        <v/>
      </c>
      <c r="P69" s="4" t="n"/>
      <c r="Q69" s="10" t="n">
        <v>0</v>
      </c>
      <c r="R69" s="10">
        <f>R68+Q69</f>
        <v/>
      </c>
      <c r="S69" s="16">
        <f>S68+IF(N69="已下單",M69,0)</f>
        <v/>
      </c>
      <c r="T69" s="16">
        <f>R69-S69</f>
        <v/>
      </c>
      <c r="U69" s="2">
        <f>U68+IF(N69="已下單",1,0)</f>
        <v/>
      </c>
      <c r="V69" s="16">
        <f>IF(資金模擬!$B$9=2,MAX(R69,0),MAX(V68,FLOOR(MAX(R69,0),資金模擬!$B$6)))</f>
        <v/>
      </c>
      <c r="W69" s="10">
        <f>MAX(W68,R69)</f>
        <v/>
      </c>
      <c r="X69" s="4">
        <f>IF(W69&gt;0,R69/W69-1,-1)</f>
        <v/>
      </c>
      <c r="Y69" s="16">
        <f>IF(R69&gt;0,S69*資金模擬!$B$7/R69,0)</f>
        <v/>
      </c>
      <c r="Z69" s="2">
        <f>IF(OR(Z68=1,R69&lt;=資金模擬!$B$10),1,0)</f>
        <v/>
      </c>
    </row>
    <row r="70">
      <c r="A70" s="2" t="n">
        <v>68</v>
      </c>
      <c r="B70" s="7" t="n">
        <v>46270.76041666666</v>
      </c>
      <c r="C70" s="2" t="inlineStr">
        <is>
          <t>出場</t>
        </is>
      </c>
      <c r="D70" s="2" t="n">
        <v>34</v>
      </c>
      <c r="E70" s="2" t="inlineStr">
        <is>
          <t>COLLECT_USDT_PERP</t>
        </is>
      </c>
      <c r="F70" s="2" t="inlineStr">
        <is>
          <t>做空</t>
        </is>
      </c>
      <c r="G70" s="17" t="n">
        <v>0.09433</v>
      </c>
      <c r="H70" s="17" t="n">
        <v>0.09055679999999999</v>
      </c>
      <c r="I70" s="17" t="n">
        <v>0.0990465</v>
      </c>
      <c r="J70" s="17" t="n">
        <v>0.09055679999999999</v>
      </c>
      <c r="K70" s="2" t="inlineStr">
        <is>
          <t>止盈</t>
        </is>
      </c>
      <c r="L70" s="5">
        <f>交易明細!K35</f>
        <v/>
      </c>
      <c r="M70" s="16">
        <f>M69</f>
        <v/>
      </c>
      <c r="N70" s="2">
        <f>N69</f>
        <v/>
      </c>
      <c r="O70" s="16">
        <f>O69</f>
        <v/>
      </c>
      <c r="P70" s="4">
        <f>交易明細!L35</f>
        <v/>
      </c>
      <c r="Q70" s="10">
        <f>IF(N70="已下單",O70*P70,0)</f>
        <v/>
      </c>
      <c r="R70" s="10">
        <f>R69+Q70</f>
        <v/>
      </c>
      <c r="S70" s="16">
        <f>S69-IF(N70="已下單",M70,0)</f>
        <v/>
      </c>
      <c r="T70" s="16">
        <f>R70-S70</f>
        <v/>
      </c>
      <c r="U70" s="2">
        <f>U69-IF(N70="已下單",1,0)</f>
        <v/>
      </c>
      <c r="V70" s="16">
        <f>IF(資金模擬!$B$9=2,MAX(R70,0),MAX(V69,FLOOR(MAX(R70,0),資金模擬!$B$6)))</f>
        <v/>
      </c>
      <c r="W70" s="10">
        <f>MAX(W69,R70)</f>
        <v/>
      </c>
      <c r="X70" s="4">
        <f>IF(W70&gt;0,R70/W70-1,-1)</f>
        <v/>
      </c>
      <c r="Y70" s="16">
        <f>IF(R70&gt;0,S70*資金模擬!$B$7/R70,0)</f>
        <v/>
      </c>
      <c r="Z70" s="2">
        <f>IF(OR(Z69=1,R70&lt;=資金模擬!$B$10),1,0)</f>
        <v/>
      </c>
    </row>
    <row r="71">
      <c r="A71" s="2" t="n">
        <v>69</v>
      </c>
      <c r="B71" s="7" t="n">
        <v>46271.05902777778</v>
      </c>
      <c r="C71" s="2" t="inlineStr">
        <is>
          <t>進場</t>
        </is>
      </c>
      <c r="D71" s="2" t="n">
        <v>35</v>
      </c>
      <c r="E71" s="2" t="inlineStr">
        <is>
          <t>MOODENG_USDT_PERP</t>
        </is>
      </c>
      <c r="F71" s="2" t="inlineStr">
        <is>
          <t>做空</t>
        </is>
      </c>
      <c r="G71" s="17" t="n">
        <v>0.04783</v>
      </c>
      <c r="H71" s="17" t="n">
        <v>0.04591679999999999</v>
      </c>
      <c r="I71" s="17" t="n">
        <v>0.0502215</v>
      </c>
      <c r="J71" s="17" t="n"/>
      <c r="K71" s="2" t="n"/>
      <c r="L71" s="5" t="n"/>
      <c r="M71" s="16">
        <f>資金模擬!$B$5*V70</f>
        <v/>
      </c>
      <c r="N71" s="2">
        <f>IF(Z70=1,"已停止",IF(T70&gt;=M71,"已下單","資金不足略過"))</f>
        <v/>
      </c>
      <c r="O71" s="16">
        <f>IF(N71="已下單",M71*資金模擬!$B$7,0)</f>
        <v/>
      </c>
      <c r="P71" s="4" t="n"/>
      <c r="Q71" s="10" t="n">
        <v>0</v>
      </c>
      <c r="R71" s="10">
        <f>R70+Q71</f>
        <v/>
      </c>
      <c r="S71" s="16">
        <f>S70+IF(N71="已下單",M71,0)</f>
        <v/>
      </c>
      <c r="T71" s="16">
        <f>R71-S71</f>
        <v/>
      </c>
      <c r="U71" s="2">
        <f>U70+IF(N71="已下單",1,0)</f>
        <v/>
      </c>
      <c r="V71" s="16">
        <f>IF(資金模擬!$B$9=2,MAX(R71,0),MAX(V70,FLOOR(MAX(R71,0),資金模擬!$B$6)))</f>
        <v/>
      </c>
      <c r="W71" s="10">
        <f>MAX(W70,R71)</f>
        <v/>
      </c>
      <c r="X71" s="4">
        <f>IF(W71&gt;0,R71/W71-1,-1)</f>
        <v/>
      </c>
      <c r="Y71" s="16">
        <f>IF(R71&gt;0,S71*資金模擬!$B$7/R71,0)</f>
        <v/>
      </c>
      <c r="Z71" s="2">
        <f>IF(OR(Z70=1,R71&lt;=資金模擬!$B$10),1,0)</f>
        <v/>
      </c>
    </row>
    <row r="72">
      <c r="A72" s="2" t="n">
        <v>70</v>
      </c>
      <c r="B72" s="7" t="n">
        <v>46271.06944444445</v>
      </c>
      <c r="C72" s="2" t="inlineStr">
        <is>
          <t>進場</t>
        </is>
      </c>
      <c r="D72" s="2" t="n">
        <v>36</v>
      </c>
      <c r="E72" s="2" t="inlineStr">
        <is>
          <t>SUSHI_USDT_PERP</t>
        </is>
      </c>
      <c r="F72" s="2" t="inlineStr">
        <is>
          <t>做空</t>
        </is>
      </c>
      <c r="G72" s="17" t="n">
        <v>0.2401</v>
      </c>
      <c r="H72" s="17" t="n">
        <v>0.230496</v>
      </c>
      <c r="I72" s="17" t="n">
        <v>0.252105</v>
      </c>
      <c r="J72" s="17" t="n"/>
      <c r="K72" s="2" t="n"/>
      <c r="L72" s="5" t="n"/>
      <c r="M72" s="16">
        <f>資金模擬!$B$5*V71</f>
        <v/>
      </c>
      <c r="N72" s="2">
        <f>IF(Z71=1,"已停止",IF(T71&gt;=M72,"已下單","資金不足略過"))</f>
        <v/>
      </c>
      <c r="O72" s="16">
        <f>IF(N72="已下單",M72*資金模擬!$B$7,0)</f>
        <v/>
      </c>
      <c r="P72" s="4" t="n"/>
      <c r="Q72" s="10" t="n">
        <v>0</v>
      </c>
      <c r="R72" s="10">
        <f>R71+Q72</f>
        <v/>
      </c>
      <c r="S72" s="16">
        <f>S71+IF(N72="已下單",M72,0)</f>
        <v/>
      </c>
      <c r="T72" s="16">
        <f>R72-S72</f>
        <v/>
      </c>
      <c r="U72" s="2">
        <f>U71+IF(N72="已下單",1,0)</f>
        <v/>
      </c>
      <c r="V72" s="16">
        <f>IF(資金模擬!$B$9=2,MAX(R72,0),MAX(V71,FLOOR(MAX(R72,0),資金模擬!$B$6)))</f>
        <v/>
      </c>
      <c r="W72" s="10">
        <f>MAX(W71,R72)</f>
        <v/>
      </c>
      <c r="X72" s="4">
        <f>IF(W72&gt;0,R72/W72-1,-1)</f>
        <v/>
      </c>
      <c r="Y72" s="16">
        <f>IF(R72&gt;0,S72*資金模擬!$B$7/R72,0)</f>
        <v/>
      </c>
      <c r="Z72" s="2">
        <f>IF(OR(Z71=1,R72&lt;=資金模擬!$B$10),1,0)</f>
        <v/>
      </c>
    </row>
    <row r="73">
      <c r="A73" s="2" t="n">
        <v>71</v>
      </c>
      <c r="B73" s="7" t="n">
        <v>46271.07291666666</v>
      </c>
      <c r="C73" s="2" t="inlineStr">
        <is>
          <t>出場</t>
        </is>
      </c>
      <c r="D73" s="2" t="n">
        <v>35</v>
      </c>
      <c r="E73" s="2" t="inlineStr">
        <is>
          <t>MOODENG_USDT_PERP</t>
        </is>
      </c>
      <c r="F73" s="2" t="inlineStr">
        <is>
          <t>做空</t>
        </is>
      </c>
      <c r="G73" s="17" t="n">
        <v>0.04783</v>
      </c>
      <c r="H73" s="17" t="n">
        <v>0.04591679999999999</v>
      </c>
      <c r="I73" s="17" t="n">
        <v>0.0502215</v>
      </c>
      <c r="J73" s="17" t="n">
        <v>0.04591679999999999</v>
      </c>
      <c r="K73" s="2" t="inlineStr">
        <is>
          <t>止盈</t>
        </is>
      </c>
      <c r="L73" s="5">
        <f>交易明細!K36</f>
        <v/>
      </c>
      <c r="M73" s="16">
        <f>M71</f>
        <v/>
      </c>
      <c r="N73" s="2">
        <f>N71</f>
        <v/>
      </c>
      <c r="O73" s="16">
        <f>O71</f>
        <v/>
      </c>
      <c r="P73" s="4">
        <f>交易明細!L36</f>
        <v/>
      </c>
      <c r="Q73" s="10">
        <f>IF(N73="已下單",O73*P73,0)</f>
        <v/>
      </c>
      <c r="R73" s="10">
        <f>R72+Q73</f>
        <v/>
      </c>
      <c r="S73" s="16">
        <f>S72-IF(N73="已下單",M73,0)</f>
        <v/>
      </c>
      <c r="T73" s="16">
        <f>R73-S73</f>
        <v/>
      </c>
      <c r="U73" s="2">
        <f>U72-IF(N73="已下單",1,0)</f>
        <v/>
      </c>
      <c r="V73" s="16">
        <f>IF(資金模擬!$B$9=2,MAX(R73,0),MAX(V72,FLOOR(MAX(R73,0),資金模擬!$B$6)))</f>
        <v/>
      </c>
      <c r="W73" s="10">
        <f>MAX(W72,R73)</f>
        <v/>
      </c>
      <c r="X73" s="4">
        <f>IF(W73&gt;0,R73/W73-1,-1)</f>
        <v/>
      </c>
      <c r="Y73" s="16">
        <f>IF(R73&gt;0,S73*資金模擬!$B$7/R73,0)</f>
        <v/>
      </c>
      <c r="Z73" s="2">
        <f>IF(OR(Z72=1,R73&lt;=資金模擬!$B$10),1,0)</f>
        <v/>
      </c>
    </row>
    <row r="74">
      <c r="A74" s="2" t="n">
        <v>72</v>
      </c>
      <c r="B74" s="7" t="n">
        <v>46271.08333333334</v>
      </c>
      <c r="C74" s="2" t="inlineStr">
        <is>
          <t>出場</t>
        </is>
      </c>
      <c r="D74" s="2" t="n">
        <v>36</v>
      </c>
      <c r="E74" s="2" t="inlineStr">
        <is>
          <t>SUSHI_USDT_PERP</t>
        </is>
      </c>
      <c r="F74" s="2" t="inlineStr">
        <is>
          <t>做空</t>
        </is>
      </c>
      <c r="G74" s="17" t="n">
        <v>0.2401</v>
      </c>
      <c r="H74" s="17" t="n">
        <v>0.230496</v>
      </c>
      <c r="I74" s="17" t="n">
        <v>0.252105</v>
      </c>
      <c r="J74" s="17" t="n">
        <v>0.252105</v>
      </c>
      <c r="K74" s="2" t="inlineStr">
        <is>
          <t>止損</t>
        </is>
      </c>
      <c r="L74" s="5">
        <f>交易明細!K37</f>
        <v/>
      </c>
      <c r="M74" s="16">
        <f>M72</f>
        <v/>
      </c>
      <c r="N74" s="2">
        <f>N72</f>
        <v/>
      </c>
      <c r="O74" s="16">
        <f>O72</f>
        <v/>
      </c>
      <c r="P74" s="4">
        <f>交易明細!L37</f>
        <v/>
      </c>
      <c r="Q74" s="10">
        <f>IF(N74="已下單",O74*P74,0)</f>
        <v/>
      </c>
      <c r="R74" s="10">
        <f>R73+Q74</f>
        <v/>
      </c>
      <c r="S74" s="16">
        <f>S73-IF(N74="已下單",M74,0)</f>
        <v/>
      </c>
      <c r="T74" s="16">
        <f>R74-S74</f>
        <v/>
      </c>
      <c r="U74" s="2">
        <f>U73-IF(N74="已下單",1,0)</f>
        <v/>
      </c>
      <c r="V74" s="16">
        <f>IF(資金模擬!$B$9=2,MAX(R74,0),MAX(V73,FLOOR(MAX(R74,0),資金模擬!$B$6)))</f>
        <v/>
      </c>
      <c r="W74" s="10">
        <f>MAX(W73,R74)</f>
        <v/>
      </c>
      <c r="X74" s="4">
        <f>IF(W74&gt;0,R74/W74-1,-1)</f>
        <v/>
      </c>
      <c r="Y74" s="16">
        <f>IF(R74&gt;0,S74*資金模擬!$B$7/R74,0)</f>
        <v/>
      </c>
      <c r="Z74" s="2">
        <f>IF(OR(Z73=1,R74&lt;=資金模擬!$B$10),1,0)</f>
        <v/>
      </c>
    </row>
    <row r="75">
      <c r="A75" s="2" t="n">
        <v>73</v>
      </c>
      <c r="B75" s="7" t="n">
        <v>46271.14236111111</v>
      </c>
      <c r="C75" s="2" t="inlineStr">
        <is>
          <t>進場</t>
        </is>
      </c>
      <c r="D75" s="2" t="n">
        <v>37</v>
      </c>
      <c r="E75" s="2" t="inlineStr">
        <is>
          <t>SUSHI_USDT_PERP</t>
        </is>
      </c>
      <c r="F75" s="2" t="inlineStr">
        <is>
          <t>做空</t>
        </is>
      </c>
      <c r="G75" s="17" t="n">
        <v>0.2775</v>
      </c>
      <c r="H75" s="17" t="n">
        <v>0.2664</v>
      </c>
      <c r="I75" s="17" t="n">
        <v>0.2913750000000001</v>
      </c>
      <c r="J75" s="17" t="n"/>
      <c r="K75" s="2" t="n"/>
      <c r="L75" s="5" t="n"/>
      <c r="M75" s="16">
        <f>資金模擬!$B$5*V74</f>
        <v/>
      </c>
      <c r="N75" s="2">
        <f>IF(Z74=1,"已停止",IF(T74&gt;=M75,"已下單","資金不足略過"))</f>
        <v/>
      </c>
      <c r="O75" s="16">
        <f>IF(N75="已下單",M75*資金模擬!$B$7,0)</f>
        <v/>
      </c>
      <c r="P75" s="4" t="n"/>
      <c r="Q75" s="10" t="n">
        <v>0</v>
      </c>
      <c r="R75" s="10">
        <f>R74+Q75</f>
        <v/>
      </c>
      <c r="S75" s="16">
        <f>S74+IF(N75="已下單",M75,0)</f>
        <v/>
      </c>
      <c r="T75" s="16">
        <f>R75-S75</f>
        <v/>
      </c>
      <c r="U75" s="2">
        <f>U74+IF(N75="已下單",1,0)</f>
        <v/>
      </c>
      <c r="V75" s="16">
        <f>IF(資金模擬!$B$9=2,MAX(R75,0),MAX(V74,FLOOR(MAX(R75,0),資金模擬!$B$6)))</f>
        <v/>
      </c>
      <c r="W75" s="10">
        <f>MAX(W74,R75)</f>
        <v/>
      </c>
      <c r="X75" s="4">
        <f>IF(W75&gt;0,R75/W75-1,-1)</f>
        <v/>
      </c>
      <c r="Y75" s="16">
        <f>IF(R75&gt;0,S75*資金模擬!$B$7/R75,0)</f>
        <v/>
      </c>
      <c r="Z75" s="2">
        <f>IF(OR(Z74=1,R75&lt;=資金模擬!$B$10),1,0)</f>
        <v/>
      </c>
    </row>
    <row r="76">
      <c r="A76" s="2" t="n">
        <v>74</v>
      </c>
      <c r="B76" s="7" t="n">
        <v>46271.15277777778</v>
      </c>
      <c r="C76" s="2" t="inlineStr">
        <is>
          <t>出場</t>
        </is>
      </c>
      <c r="D76" s="2" t="n">
        <v>37</v>
      </c>
      <c r="E76" s="2" t="inlineStr">
        <is>
          <t>SUSHI_USDT_PERP</t>
        </is>
      </c>
      <c r="F76" s="2" t="inlineStr">
        <is>
          <t>做空</t>
        </is>
      </c>
      <c r="G76" s="17" t="n">
        <v>0.2775</v>
      </c>
      <c r="H76" s="17" t="n">
        <v>0.2664</v>
      </c>
      <c r="I76" s="17" t="n">
        <v>0.2913750000000001</v>
      </c>
      <c r="J76" s="17" t="n">
        <v>0.2664</v>
      </c>
      <c r="K76" s="2" t="inlineStr">
        <is>
          <t>止盈</t>
        </is>
      </c>
      <c r="L76" s="5">
        <f>交易明細!K38</f>
        <v/>
      </c>
      <c r="M76" s="16">
        <f>M75</f>
        <v/>
      </c>
      <c r="N76" s="2">
        <f>N75</f>
        <v/>
      </c>
      <c r="O76" s="16">
        <f>O75</f>
        <v/>
      </c>
      <c r="P76" s="4">
        <f>交易明細!L38</f>
        <v/>
      </c>
      <c r="Q76" s="10">
        <f>IF(N76="已下單",O76*P76,0)</f>
        <v/>
      </c>
      <c r="R76" s="10">
        <f>R75+Q76</f>
        <v/>
      </c>
      <c r="S76" s="16">
        <f>S75-IF(N76="已下單",M76,0)</f>
        <v/>
      </c>
      <c r="T76" s="16">
        <f>R76-S76</f>
        <v/>
      </c>
      <c r="U76" s="2">
        <f>U75-IF(N76="已下單",1,0)</f>
        <v/>
      </c>
      <c r="V76" s="16">
        <f>IF(資金模擬!$B$9=2,MAX(R76,0),MAX(V75,FLOOR(MAX(R76,0),資金模擬!$B$6)))</f>
        <v/>
      </c>
      <c r="W76" s="10">
        <f>MAX(W75,R76)</f>
        <v/>
      </c>
      <c r="X76" s="4">
        <f>IF(W76&gt;0,R76/W76-1,-1)</f>
        <v/>
      </c>
      <c r="Y76" s="16">
        <f>IF(R76&gt;0,S76*資金模擬!$B$7/R76,0)</f>
        <v/>
      </c>
      <c r="Z76" s="2">
        <f>IF(OR(Z75=1,R76&lt;=資金模擬!$B$10),1,0)</f>
        <v/>
      </c>
    </row>
    <row r="77">
      <c r="A77" s="2" t="n">
        <v>75</v>
      </c>
      <c r="B77" s="7" t="n">
        <v>46271.47916666666</v>
      </c>
      <c r="C77" s="2" t="inlineStr">
        <is>
          <t>進場</t>
        </is>
      </c>
      <c r="D77" s="2" t="n">
        <v>38</v>
      </c>
      <c r="E77" s="2" t="inlineStr">
        <is>
          <t>RAY_USDT_PERP</t>
        </is>
      </c>
      <c r="F77" s="2" t="inlineStr">
        <is>
          <t>做空</t>
        </is>
      </c>
      <c r="G77" s="17" t="n">
        <v>1.109</v>
      </c>
      <c r="H77" s="17" t="n">
        <v>1.06464</v>
      </c>
      <c r="I77" s="17" t="n">
        <v>1.16445</v>
      </c>
      <c r="J77" s="17" t="n"/>
      <c r="K77" s="2" t="n"/>
      <c r="L77" s="5" t="n"/>
      <c r="M77" s="16">
        <f>資金模擬!$B$5*V76</f>
        <v/>
      </c>
      <c r="N77" s="2">
        <f>IF(Z76=1,"已停止",IF(T76&gt;=M77,"已下單","資金不足略過"))</f>
        <v/>
      </c>
      <c r="O77" s="16">
        <f>IF(N77="已下單",M77*資金模擬!$B$7,0)</f>
        <v/>
      </c>
      <c r="P77" s="4" t="n"/>
      <c r="Q77" s="10" t="n">
        <v>0</v>
      </c>
      <c r="R77" s="10">
        <f>R76+Q77</f>
        <v/>
      </c>
      <c r="S77" s="16">
        <f>S76+IF(N77="已下單",M77,0)</f>
        <v/>
      </c>
      <c r="T77" s="16">
        <f>R77-S77</f>
        <v/>
      </c>
      <c r="U77" s="2">
        <f>U76+IF(N77="已下單",1,0)</f>
        <v/>
      </c>
      <c r="V77" s="16">
        <f>IF(資金模擬!$B$9=2,MAX(R77,0),MAX(V76,FLOOR(MAX(R77,0),資金模擬!$B$6)))</f>
        <v/>
      </c>
      <c r="W77" s="10">
        <f>MAX(W76,R77)</f>
        <v/>
      </c>
      <c r="X77" s="4">
        <f>IF(W77&gt;0,R77/W77-1,-1)</f>
        <v/>
      </c>
      <c r="Y77" s="16">
        <f>IF(R77&gt;0,S77*資金模擬!$B$7/R77,0)</f>
        <v/>
      </c>
      <c r="Z77" s="2">
        <f>IF(OR(Z76=1,R77&lt;=資金模擬!$B$10),1,0)</f>
        <v/>
      </c>
    </row>
    <row r="78">
      <c r="A78" s="2" t="n">
        <v>76</v>
      </c>
      <c r="B78" s="7" t="n">
        <v>46271.49305555555</v>
      </c>
      <c r="C78" s="2" t="inlineStr">
        <is>
          <t>出場</t>
        </is>
      </c>
      <c r="D78" s="2" t="n">
        <v>38</v>
      </c>
      <c r="E78" s="2" t="inlineStr">
        <is>
          <t>RAY_USDT_PERP</t>
        </is>
      </c>
      <c r="F78" s="2" t="inlineStr">
        <is>
          <t>做空</t>
        </is>
      </c>
      <c r="G78" s="17" t="n">
        <v>1.109</v>
      </c>
      <c r="H78" s="17" t="n">
        <v>1.06464</v>
      </c>
      <c r="I78" s="17" t="n">
        <v>1.16445</v>
      </c>
      <c r="J78" s="17" t="n">
        <v>1.16445</v>
      </c>
      <c r="K78" s="2" t="inlineStr">
        <is>
          <t>止損</t>
        </is>
      </c>
      <c r="L78" s="5">
        <f>交易明細!K39</f>
        <v/>
      </c>
      <c r="M78" s="16">
        <f>M77</f>
        <v/>
      </c>
      <c r="N78" s="2">
        <f>N77</f>
        <v/>
      </c>
      <c r="O78" s="16">
        <f>O77</f>
        <v/>
      </c>
      <c r="P78" s="4">
        <f>交易明細!L39</f>
        <v/>
      </c>
      <c r="Q78" s="10">
        <f>IF(N78="已下單",O78*P78,0)</f>
        <v/>
      </c>
      <c r="R78" s="10">
        <f>R77+Q78</f>
        <v/>
      </c>
      <c r="S78" s="16">
        <f>S77-IF(N78="已下單",M78,0)</f>
        <v/>
      </c>
      <c r="T78" s="16">
        <f>R78-S78</f>
        <v/>
      </c>
      <c r="U78" s="2">
        <f>U77-IF(N78="已下單",1,0)</f>
        <v/>
      </c>
      <c r="V78" s="16">
        <f>IF(資金模擬!$B$9=2,MAX(R78,0),MAX(V77,FLOOR(MAX(R78,0),資金模擬!$B$6)))</f>
        <v/>
      </c>
      <c r="W78" s="10">
        <f>MAX(W77,R78)</f>
        <v/>
      </c>
      <c r="X78" s="4">
        <f>IF(W78&gt;0,R78/W78-1,-1)</f>
        <v/>
      </c>
      <c r="Y78" s="16">
        <f>IF(R78&gt;0,S78*資金模擬!$B$7/R78,0)</f>
        <v/>
      </c>
      <c r="Z78" s="2">
        <f>IF(OR(Z77=1,R78&lt;=資金模擬!$B$10),1,0)</f>
        <v/>
      </c>
    </row>
    <row r="79">
      <c r="A79" s="2" t="n">
        <v>77</v>
      </c>
      <c r="B79" s="7" t="n">
        <v>46271.53819444445</v>
      </c>
      <c r="C79" s="2" t="inlineStr">
        <is>
          <t>進場</t>
        </is>
      </c>
      <c r="D79" s="2" t="n">
        <v>39</v>
      </c>
      <c r="E79" s="2" t="inlineStr">
        <is>
          <t>RAY_USDT_PERP</t>
        </is>
      </c>
      <c r="F79" s="2" t="inlineStr">
        <is>
          <t>做空</t>
        </is>
      </c>
      <c r="G79" s="17" t="n">
        <v>1.154</v>
      </c>
      <c r="H79" s="17" t="n">
        <v>1.10784</v>
      </c>
      <c r="I79" s="17" t="n">
        <v>1.2117</v>
      </c>
      <c r="J79" s="17" t="n"/>
      <c r="K79" s="2" t="n"/>
      <c r="L79" s="5" t="n"/>
      <c r="M79" s="16">
        <f>資金模擬!$B$5*V78</f>
        <v/>
      </c>
      <c r="N79" s="2">
        <f>IF(Z78=1,"已停止",IF(T78&gt;=M79,"已下單","資金不足略過"))</f>
        <v/>
      </c>
      <c r="O79" s="16">
        <f>IF(N79="已下單",M79*資金模擬!$B$7,0)</f>
        <v/>
      </c>
      <c r="P79" s="4" t="n"/>
      <c r="Q79" s="10" t="n">
        <v>0</v>
      </c>
      <c r="R79" s="10">
        <f>R78+Q79</f>
        <v/>
      </c>
      <c r="S79" s="16">
        <f>S78+IF(N79="已下單",M79,0)</f>
        <v/>
      </c>
      <c r="T79" s="16">
        <f>R79-S79</f>
        <v/>
      </c>
      <c r="U79" s="2">
        <f>U78+IF(N79="已下單",1,0)</f>
        <v/>
      </c>
      <c r="V79" s="16">
        <f>IF(資金模擬!$B$9=2,MAX(R79,0),MAX(V78,FLOOR(MAX(R79,0),資金模擬!$B$6)))</f>
        <v/>
      </c>
      <c r="W79" s="10">
        <f>MAX(W78,R79)</f>
        <v/>
      </c>
      <c r="X79" s="4">
        <f>IF(W79&gt;0,R79/W79-1,-1)</f>
        <v/>
      </c>
      <c r="Y79" s="16">
        <f>IF(R79&gt;0,S79*資金模擬!$B$7/R79,0)</f>
        <v/>
      </c>
      <c r="Z79" s="2">
        <f>IF(OR(Z78=1,R79&lt;=資金模擬!$B$10),1,0)</f>
        <v/>
      </c>
    </row>
    <row r="80">
      <c r="A80" s="2" t="n">
        <v>78</v>
      </c>
      <c r="B80" s="7" t="n">
        <v>46271.60763888889</v>
      </c>
      <c r="C80" s="2" t="inlineStr">
        <is>
          <t>出場</t>
        </is>
      </c>
      <c r="D80" s="2" t="n">
        <v>39</v>
      </c>
      <c r="E80" s="2" t="inlineStr">
        <is>
          <t>RAY_USDT_PERP</t>
        </is>
      </c>
      <c r="F80" s="2" t="inlineStr">
        <is>
          <t>做空</t>
        </is>
      </c>
      <c r="G80" s="17" t="n">
        <v>1.154</v>
      </c>
      <c r="H80" s="17" t="n">
        <v>1.10784</v>
      </c>
      <c r="I80" s="17" t="n">
        <v>1.2117</v>
      </c>
      <c r="J80" s="17" t="n">
        <v>1.10784</v>
      </c>
      <c r="K80" s="2" t="inlineStr">
        <is>
          <t>止盈</t>
        </is>
      </c>
      <c r="L80" s="5">
        <f>交易明細!K40</f>
        <v/>
      </c>
      <c r="M80" s="16">
        <f>M79</f>
        <v/>
      </c>
      <c r="N80" s="2">
        <f>N79</f>
        <v/>
      </c>
      <c r="O80" s="16">
        <f>O79</f>
        <v/>
      </c>
      <c r="P80" s="4">
        <f>交易明細!L40</f>
        <v/>
      </c>
      <c r="Q80" s="10">
        <f>IF(N80="已下單",O80*P80,0)</f>
        <v/>
      </c>
      <c r="R80" s="10">
        <f>R79+Q80</f>
        <v/>
      </c>
      <c r="S80" s="16">
        <f>S79-IF(N80="已下單",M80,0)</f>
        <v/>
      </c>
      <c r="T80" s="16">
        <f>R80-S80</f>
        <v/>
      </c>
      <c r="U80" s="2">
        <f>U79-IF(N80="已下單",1,0)</f>
        <v/>
      </c>
      <c r="V80" s="16">
        <f>IF(資金模擬!$B$9=2,MAX(R80,0),MAX(V79,FLOOR(MAX(R80,0),資金模擬!$B$6)))</f>
        <v/>
      </c>
      <c r="W80" s="10">
        <f>MAX(W79,R80)</f>
        <v/>
      </c>
      <c r="X80" s="4">
        <f>IF(W80&gt;0,R80/W80-1,-1)</f>
        <v/>
      </c>
      <c r="Y80" s="16">
        <f>IF(R80&gt;0,S80*資金模擬!$B$7/R80,0)</f>
        <v/>
      </c>
      <c r="Z80" s="2">
        <f>IF(OR(Z79=1,R80&lt;=資金模擬!$B$10),1,0)</f>
        <v/>
      </c>
    </row>
    <row r="81">
      <c r="A81" s="2" t="n">
        <v>79</v>
      </c>
      <c r="B81" s="7" t="n">
        <v>46271.69444444445</v>
      </c>
      <c r="C81" s="2" t="inlineStr">
        <is>
          <t>進場</t>
        </is>
      </c>
      <c r="D81" s="2" t="n">
        <v>40</v>
      </c>
      <c r="E81" s="2" t="inlineStr">
        <is>
          <t>SOLV_USDT_PERP</t>
        </is>
      </c>
      <c r="F81" s="2" t="inlineStr">
        <is>
          <t>做空</t>
        </is>
      </c>
      <c r="G81" s="17" t="n">
        <v>0.00374</v>
      </c>
      <c r="H81" s="17" t="n">
        <v>0.0035904</v>
      </c>
      <c r="I81" s="17" t="n">
        <v>0.003927</v>
      </c>
      <c r="J81" s="17" t="n"/>
      <c r="K81" s="2" t="n"/>
      <c r="L81" s="5" t="n"/>
      <c r="M81" s="16">
        <f>資金模擬!$B$5*V80</f>
        <v/>
      </c>
      <c r="N81" s="2">
        <f>IF(Z80=1,"已停止",IF(T80&gt;=M81,"已下單","資金不足略過"))</f>
        <v/>
      </c>
      <c r="O81" s="16">
        <f>IF(N81="已下單",M81*資金模擬!$B$7,0)</f>
        <v/>
      </c>
      <c r="P81" s="4" t="n"/>
      <c r="Q81" s="10" t="n">
        <v>0</v>
      </c>
      <c r="R81" s="10">
        <f>R80+Q81</f>
        <v/>
      </c>
      <c r="S81" s="16">
        <f>S80+IF(N81="已下單",M81,0)</f>
        <v/>
      </c>
      <c r="T81" s="16">
        <f>R81-S81</f>
        <v/>
      </c>
      <c r="U81" s="2">
        <f>U80+IF(N81="已下單",1,0)</f>
        <v/>
      </c>
      <c r="V81" s="16">
        <f>IF(資金模擬!$B$9=2,MAX(R81,0),MAX(V80,FLOOR(MAX(R81,0),資金模擬!$B$6)))</f>
        <v/>
      </c>
      <c r="W81" s="10">
        <f>MAX(W80,R81)</f>
        <v/>
      </c>
      <c r="X81" s="4">
        <f>IF(W81&gt;0,R81/W81-1,-1)</f>
        <v/>
      </c>
      <c r="Y81" s="16">
        <f>IF(R81&gt;0,S81*資金模擬!$B$7/R81,0)</f>
        <v/>
      </c>
      <c r="Z81" s="2">
        <f>IF(OR(Z80=1,R81&lt;=資金模擬!$B$10),1,0)</f>
        <v/>
      </c>
    </row>
    <row r="82">
      <c r="A82" s="2" t="n">
        <v>80</v>
      </c>
      <c r="B82" s="7" t="n">
        <v>46271.71527777778</v>
      </c>
      <c r="C82" s="2" t="inlineStr">
        <is>
          <t>出場</t>
        </is>
      </c>
      <c r="D82" s="2" t="n">
        <v>40</v>
      </c>
      <c r="E82" s="2" t="inlineStr">
        <is>
          <t>SOLV_USDT_PERP</t>
        </is>
      </c>
      <c r="F82" s="2" t="inlineStr">
        <is>
          <t>做空</t>
        </is>
      </c>
      <c r="G82" s="17" t="n">
        <v>0.00374</v>
      </c>
      <c r="H82" s="17" t="n">
        <v>0.0035904</v>
      </c>
      <c r="I82" s="17" t="n">
        <v>0.003927</v>
      </c>
      <c r="J82" s="17" t="n">
        <v>0.003927</v>
      </c>
      <c r="K82" s="2" t="inlineStr">
        <is>
          <t>止損</t>
        </is>
      </c>
      <c r="L82" s="5">
        <f>交易明細!K41</f>
        <v/>
      </c>
      <c r="M82" s="16">
        <f>M81</f>
        <v/>
      </c>
      <c r="N82" s="2">
        <f>N81</f>
        <v/>
      </c>
      <c r="O82" s="16">
        <f>O81</f>
        <v/>
      </c>
      <c r="P82" s="4">
        <f>交易明細!L41</f>
        <v/>
      </c>
      <c r="Q82" s="10">
        <f>IF(N82="已下單",O82*P82,0)</f>
        <v/>
      </c>
      <c r="R82" s="10">
        <f>R81+Q82</f>
        <v/>
      </c>
      <c r="S82" s="16">
        <f>S81-IF(N82="已下單",M82,0)</f>
        <v/>
      </c>
      <c r="T82" s="16">
        <f>R82-S82</f>
        <v/>
      </c>
      <c r="U82" s="2">
        <f>U81-IF(N82="已下單",1,0)</f>
        <v/>
      </c>
      <c r="V82" s="16">
        <f>IF(資金模擬!$B$9=2,MAX(R82,0),MAX(V81,FLOOR(MAX(R82,0),資金模擬!$B$6)))</f>
        <v/>
      </c>
      <c r="W82" s="10">
        <f>MAX(W81,R82)</f>
        <v/>
      </c>
      <c r="X82" s="4">
        <f>IF(W82&gt;0,R82/W82-1,-1)</f>
        <v/>
      </c>
      <c r="Y82" s="16">
        <f>IF(R82&gt;0,S82*資金模擬!$B$7/R82,0)</f>
        <v/>
      </c>
      <c r="Z82" s="2">
        <f>IF(OR(Z81=1,R82&lt;=資金模擬!$B$10),1,0)</f>
        <v/>
      </c>
    </row>
    <row r="83">
      <c r="A83" s="2" t="n">
        <v>81</v>
      </c>
      <c r="B83" s="7" t="n">
        <v>46271.77083333334</v>
      </c>
      <c r="C83" s="2" t="inlineStr">
        <is>
          <t>進場</t>
        </is>
      </c>
      <c r="D83" s="2" t="n">
        <v>41</v>
      </c>
      <c r="E83" s="2" t="inlineStr">
        <is>
          <t>COTI_USDT_PERP</t>
        </is>
      </c>
      <c r="F83" s="2" t="inlineStr">
        <is>
          <t>做空</t>
        </is>
      </c>
      <c r="G83" s="17" t="n">
        <v>0.01845</v>
      </c>
      <c r="H83" s="17" t="n">
        <v>0.017712</v>
      </c>
      <c r="I83" s="17" t="n">
        <v>0.0193725</v>
      </c>
      <c r="J83" s="17" t="n"/>
      <c r="K83" s="2" t="n"/>
      <c r="L83" s="5" t="n"/>
      <c r="M83" s="16">
        <f>資金模擬!$B$5*V82</f>
        <v/>
      </c>
      <c r="N83" s="2">
        <f>IF(Z82=1,"已停止",IF(T82&gt;=M83,"已下單","資金不足略過"))</f>
        <v/>
      </c>
      <c r="O83" s="16">
        <f>IF(N83="已下單",M83*資金模擬!$B$7,0)</f>
        <v/>
      </c>
      <c r="P83" s="4" t="n"/>
      <c r="Q83" s="10" t="n">
        <v>0</v>
      </c>
      <c r="R83" s="10">
        <f>R82+Q83</f>
        <v/>
      </c>
      <c r="S83" s="16">
        <f>S82+IF(N83="已下單",M83,0)</f>
        <v/>
      </c>
      <c r="T83" s="16">
        <f>R83-S83</f>
        <v/>
      </c>
      <c r="U83" s="2">
        <f>U82+IF(N83="已下單",1,0)</f>
        <v/>
      </c>
      <c r="V83" s="16">
        <f>IF(資金模擬!$B$9=2,MAX(R83,0),MAX(V82,FLOOR(MAX(R83,0),資金模擬!$B$6)))</f>
        <v/>
      </c>
      <c r="W83" s="10">
        <f>MAX(W82,R83)</f>
        <v/>
      </c>
      <c r="X83" s="4">
        <f>IF(W83&gt;0,R83/W83-1,-1)</f>
        <v/>
      </c>
      <c r="Y83" s="16">
        <f>IF(R83&gt;0,S83*資金模擬!$B$7/R83,0)</f>
        <v/>
      </c>
      <c r="Z83" s="2">
        <f>IF(OR(Z82=1,R83&lt;=資金模擬!$B$10),1,0)</f>
        <v/>
      </c>
    </row>
    <row r="84">
      <c r="A84" s="2" t="n">
        <v>82</v>
      </c>
      <c r="B84" s="7" t="n">
        <v>46271.77777777778</v>
      </c>
      <c r="C84" s="2" t="inlineStr">
        <is>
          <t>進場</t>
        </is>
      </c>
      <c r="D84" s="2" t="n">
        <v>42</v>
      </c>
      <c r="E84" s="2" t="inlineStr">
        <is>
          <t>NAORIS_USDT_PERP</t>
        </is>
      </c>
      <c r="F84" s="2" t="inlineStr">
        <is>
          <t>做空</t>
        </is>
      </c>
      <c r="G84" s="17" t="n">
        <v>0.03484</v>
      </c>
      <c r="H84" s="17" t="n">
        <v>0.0334464</v>
      </c>
      <c r="I84" s="17" t="n">
        <v>0.036582</v>
      </c>
      <c r="J84" s="17" t="n"/>
      <c r="K84" s="2" t="n"/>
      <c r="L84" s="5" t="n"/>
      <c r="M84" s="16">
        <f>資金模擬!$B$5*V83</f>
        <v/>
      </c>
      <c r="N84" s="2">
        <f>IF(Z83=1,"已停止",IF(T83&gt;=M84,"已下單","資金不足略過"))</f>
        <v/>
      </c>
      <c r="O84" s="16">
        <f>IF(N84="已下單",M84*資金模擬!$B$7,0)</f>
        <v/>
      </c>
      <c r="P84" s="4" t="n"/>
      <c r="Q84" s="10" t="n">
        <v>0</v>
      </c>
      <c r="R84" s="10">
        <f>R83+Q84</f>
        <v/>
      </c>
      <c r="S84" s="16">
        <f>S83+IF(N84="已下單",M84,0)</f>
        <v/>
      </c>
      <c r="T84" s="16">
        <f>R84-S84</f>
        <v/>
      </c>
      <c r="U84" s="2">
        <f>U83+IF(N84="已下單",1,0)</f>
        <v/>
      </c>
      <c r="V84" s="16">
        <f>IF(資金模擬!$B$9=2,MAX(R84,0),MAX(V83,FLOOR(MAX(R84,0),資金模擬!$B$6)))</f>
        <v/>
      </c>
      <c r="W84" s="10">
        <f>MAX(W83,R84)</f>
        <v/>
      </c>
      <c r="X84" s="4">
        <f>IF(W84&gt;0,R84/W84-1,-1)</f>
        <v/>
      </c>
      <c r="Y84" s="16">
        <f>IF(R84&gt;0,S84*資金模擬!$B$7/R84,0)</f>
        <v/>
      </c>
      <c r="Z84" s="2">
        <f>IF(OR(Z83=1,R84&lt;=資金模擬!$B$10),1,0)</f>
        <v/>
      </c>
    </row>
    <row r="85">
      <c r="A85" s="2" t="n">
        <v>83</v>
      </c>
      <c r="B85" s="7" t="n">
        <v>46271.8125</v>
      </c>
      <c r="C85" s="2" t="inlineStr">
        <is>
          <t>出場</t>
        </is>
      </c>
      <c r="D85" s="2" t="n">
        <v>41</v>
      </c>
      <c r="E85" s="2" t="inlineStr">
        <is>
          <t>COTI_USDT_PERP</t>
        </is>
      </c>
      <c r="F85" s="2" t="inlineStr">
        <is>
          <t>做空</t>
        </is>
      </c>
      <c r="G85" s="17" t="n">
        <v>0.01845</v>
      </c>
      <c r="H85" s="17" t="n">
        <v>0.017712</v>
      </c>
      <c r="I85" s="17" t="n">
        <v>0.0193725</v>
      </c>
      <c r="J85" s="17" t="n">
        <v>0.017712</v>
      </c>
      <c r="K85" s="2" t="inlineStr">
        <is>
          <t>止盈</t>
        </is>
      </c>
      <c r="L85" s="5">
        <f>交易明細!K42</f>
        <v/>
      </c>
      <c r="M85" s="16">
        <f>M83</f>
        <v/>
      </c>
      <c r="N85" s="2">
        <f>N83</f>
        <v/>
      </c>
      <c r="O85" s="16">
        <f>O83</f>
        <v/>
      </c>
      <c r="P85" s="4">
        <f>交易明細!L42</f>
        <v/>
      </c>
      <c r="Q85" s="10">
        <f>IF(N85="已下單",O85*P85,0)</f>
        <v/>
      </c>
      <c r="R85" s="10">
        <f>R84+Q85</f>
        <v/>
      </c>
      <c r="S85" s="16">
        <f>S84-IF(N85="已下單",M85,0)</f>
        <v/>
      </c>
      <c r="T85" s="16">
        <f>R85-S85</f>
        <v/>
      </c>
      <c r="U85" s="2">
        <f>U84-IF(N85="已下單",1,0)</f>
        <v/>
      </c>
      <c r="V85" s="16">
        <f>IF(資金模擬!$B$9=2,MAX(R85,0),MAX(V84,FLOOR(MAX(R85,0),資金模擬!$B$6)))</f>
        <v/>
      </c>
      <c r="W85" s="10">
        <f>MAX(W84,R85)</f>
        <v/>
      </c>
      <c r="X85" s="4">
        <f>IF(W85&gt;0,R85/W85-1,-1)</f>
        <v/>
      </c>
      <c r="Y85" s="16">
        <f>IF(R85&gt;0,S85*資金模擬!$B$7/R85,0)</f>
        <v/>
      </c>
      <c r="Z85" s="2">
        <f>IF(OR(Z84=1,R85&lt;=資金模擬!$B$10),1,0)</f>
        <v/>
      </c>
    </row>
    <row r="86">
      <c r="A86" s="2" t="n">
        <v>84</v>
      </c>
      <c r="B86" s="7" t="n">
        <v>46271.84027777778</v>
      </c>
      <c r="C86" s="2" t="inlineStr">
        <is>
          <t>出場</t>
        </is>
      </c>
      <c r="D86" s="2" t="n">
        <v>42</v>
      </c>
      <c r="E86" s="2" t="inlineStr">
        <is>
          <t>NAORIS_USDT_PERP</t>
        </is>
      </c>
      <c r="F86" s="2" t="inlineStr">
        <is>
          <t>做空</t>
        </is>
      </c>
      <c r="G86" s="17" t="n">
        <v>0.03484</v>
      </c>
      <c r="H86" s="17" t="n">
        <v>0.0334464</v>
      </c>
      <c r="I86" s="17" t="n">
        <v>0.036582</v>
      </c>
      <c r="J86" s="17" t="n">
        <v>0.036582</v>
      </c>
      <c r="K86" s="2" t="inlineStr">
        <is>
          <t>止損</t>
        </is>
      </c>
      <c r="L86" s="5">
        <f>交易明細!K43</f>
        <v/>
      </c>
      <c r="M86" s="16">
        <f>M84</f>
        <v/>
      </c>
      <c r="N86" s="2">
        <f>N84</f>
        <v/>
      </c>
      <c r="O86" s="16">
        <f>O84</f>
        <v/>
      </c>
      <c r="P86" s="4">
        <f>交易明細!L43</f>
        <v/>
      </c>
      <c r="Q86" s="10">
        <f>IF(N86="已下單",O86*P86,0)</f>
        <v/>
      </c>
      <c r="R86" s="10">
        <f>R85+Q86</f>
        <v/>
      </c>
      <c r="S86" s="16">
        <f>S85-IF(N86="已下單",M86,0)</f>
        <v/>
      </c>
      <c r="T86" s="16">
        <f>R86-S86</f>
        <v/>
      </c>
      <c r="U86" s="2">
        <f>U85-IF(N86="已下單",1,0)</f>
        <v/>
      </c>
      <c r="V86" s="16">
        <f>IF(資金模擬!$B$9=2,MAX(R86,0),MAX(V85,FLOOR(MAX(R86,0),資金模擬!$B$6)))</f>
        <v/>
      </c>
      <c r="W86" s="10">
        <f>MAX(W85,R86)</f>
        <v/>
      </c>
      <c r="X86" s="4">
        <f>IF(W86&gt;0,R86/W86-1,-1)</f>
        <v/>
      </c>
      <c r="Y86" s="16">
        <f>IF(R86&gt;0,S86*資金模擬!$B$7/R86,0)</f>
        <v/>
      </c>
      <c r="Z86" s="2">
        <f>IF(OR(Z85=1,R86&lt;=資金模擬!$B$10),1,0)</f>
        <v/>
      </c>
    </row>
    <row r="87">
      <c r="A87" s="2" t="n">
        <v>85</v>
      </c>
      <c r="B87" s="7" t="n">
        <v>46272</v>
      </c>
      <c r="C87" s="2" t="inlineStr">
        <is>
          <t>進場</t>
        </is>
      </c>
      <c r="D87" s="2" t="n">
        <v>43</v>
      </c>
      <c r="E87" s="2" t="inlineStr">
        <is>
          <t>LAYER_USDT_PERP</t>
        </is>
      </c>
      <c r="F87" s="2" t="inlineStr">
        <is>
          <t>做空</t>
        </is>
      </c>
      <c r="G87" s="17" t="n">
        <v>0.0881</v>
      </c>
      <c r="H87" s="17" t="n">
        <v>0.084576</v>
      </c>
      <c r="I87" s="17" t="n">
        <v>0.092505</v>
      </c>
      <c r="J87" s="17" t="n"/>
      <c r="K87" s="2" t="n"/>
      <c r="L87" s="5" t="n"/>
      <c r="M87" s="16">
        <f>資金模擬!$B$5*V86</f>
        <v/>
      </c>
      <c r="N87" s="2">
        <f>IF(Z86=1,"已停止",IF(T86&gt;=M87,"已下單","資金不足略過"))</f>
        <v/>
      </c>
      <c r="O87" s="16">
        <f>IF(N87="已下單",M87*資金模擬!$B$7,0)</f>
        <v/>
      </c>
      <c r="P87" s="4" t="n"/>
      <c r="Q87" s="10" t="n">
        <v>0</v>
      </c>
      <c r="R87" s="10">
        <f>R86+Q87</f>
        <v/>
      </c>
      <c r="S87" s="16">
        <f>S86+IF(N87="已下單",M87,0)</f>
        <v/>
      </c>
      <c r="T87" s="16">
        <f>R87-S87</f>
        <v/>
      </c>
      <c r="U87" s="2">
        <f>U86+IF(N87="已下單",1,0)</f>
        <v/>
      </c>
      <c r="V87" s="16">
        <f>IF(資金模擬!$B$9=2,MAX(R87,0),MAX(V86,FLOOR(MAX(R87,0),資金模擬!$B$6)))</f>
        <v/>
      </c>
      <c r="W87" s="10">
        <f>MAX(W86,R87)</f>
        <v/>
      </c>
      <c r="X87" s="4">
        <f>IF(W87&gt;0,R87/W87-1,-1)</f>
        <v/>
      </c>
      <c r="Y87" s="16">
        <f>IF(R87&gt;0,S87*資金模擬!$B$7/R87,0)</f>
        <v/>
      </c>
      <c r="Z87" s="2">
        <f>IF(OR(Z86=1,R87&lt;=資金模擬!$B$10),1,0)</f>
        <v/>
      </c>
    </row>
    <row r="88">
      <c r="A88" s="2" t="n">
        <v>86</v>
      </c>
      <c r="B88" s="7" t="n">
        <v>46272.01041666666</v>
      </c>
      <c r="C88" s="2" t="inlineStr">
        <is>
          <t>出場</t>
        </is>
      </c>
      <c r="D88" s="2" t="n">
        <v>43</v>
      </c>
      <c r="E88" s="2" t="inlineStr">
        <is>
          <t>LAYER_USDT_PERP</t>
        </is>
      </c>
      <c r="F88" s="2" t="inlineStr">
        <is>
          <t>做空</t>
        </is>
      </c>
      <c r="G88" s="17" t="n">
        <v>0.0881</v>
      </c>
      <c r="H88" s="17" t="n">
        <v>0.084576</v>
      </c>
      <c r="I88" s="17" t="n">
        <v>0.092505</v>
      </c>
      <c r="J88" s="17" t="n">
        <v>0.084576</v>
      </c>
      <c r="K88" s="2" t="inlineStr">
        <is>
          <t>止盈</t>
        </is>
      </c>
      <c r="L88" s="5">
        <f>交易明細!K44</f>
        <v/>
      </c>
      <c r="M88" s="16">
        <f>M87</f>
        <v/>
      </c>
      <c r="N88" s="2">
        <f>N87</f>
        <v/>
      </c>
      <c r="O88" s="16">
        <f>O87</f>
        <v/>
      </c>
      <c r="P88" s="4">
        <f>交易明細!L44</f>
        <v/>
      </c>
      <c r="Q88" s="10">
        <f>IF(N88="已下單",O88*P88,0)</f>
        <v/>
      </c>
      <c r="R88" s="10">
        <f>R87+Q88</f>
        <v/>
      </c>
      <c r="S88" s="16">
        <f>S87-IF(N88="已下單",M88,0)</f>
        <v/>
      </c>
      <c r="T88" s="16">
        <f>R88-S88</f>
        <v/>
      </c>
      <c r="U88" s="2">
        <f>U87-IF(N88="已下單",1,0)</f>
        <v/>
      </c>
      <c r="V88" s="16">
        <f>IF(資金模擬!$B$9=2,MAX(R88,0),MAX(V87,FLOOR(MAX(R88,0),資金模擬!$B$6)))</f>
        <v/>
      </c>
      <c r="W88" s="10">
        <f>MAX(W87,R88)</f>
        <v/>
      </c>
      <c r="X88" s="4">
        <f>IF(W88&gt;0,R88/W88-1,-1)</f>
        <v/>
      </c>
      <c r="Y88" s="16">
        <f>IF(R88&gt;0,S88*資金模擬!$B$7/R88,0)</f>
        <v/>
      </c>
      <c r="Z88" s="2">
        <f>IF(OR(Z87=1,R88&lt;=資金模擬!$B$10),1,0)</f>
        <v/>
      </c>
    </row>
    <row r="89">
      <c r="A89" s="2" t="n">
        <v>87</v>
      </c>
      <c r="B89" s="7" t="n">
        <v>46272.40972222222</v>
      </c>
      <c r="C89" s="2" t="inlineStr">
        <is>
          <t>進場</t>
        </is>
      </c>
      <c r="D89" s="2" t="n">
        <v>44</v>
      </c>
      <c r="E89" s="2" t="inlineStr">
        <is>
          <t>ORCA_USDT_PERP</t>
        </is>
      </c>
      <c r="F89" s="2" t="inlineStr">
        <is>
          <t>做空</t>
        </is>
      </c>
      <c r="G89" s="17" t="n">
        <v>1.642</v>
      </c>
      <c r="H89" s="17" t="n">
        <v>1.57632</v>
      </c>
      <c r="I89" s="17" t="n">
        <v>1.7241</v>
      </c>
      <c r="J89" s="17" t="n"/>
      <c r="K89" s="2" t="n"/>
      <c r="L89" s="5" t="n"/>
      <c r="M89" s="16">
        <f>資金模擬!$B$5*V88</f>
        <v/>
      </c>
      <c r="N89" s="2">
        <f>IF(Z88=1,"已停止",IF(T88&gt;=M89,"已下單","資金不足略過"))</f>
        <v/>
      </c>
      <c r="O89" s="16">
        <f>IF(N89="已下單",M89*資金模擬!$B$7,0)</f>
        <v/>
      </c>
      <c r="P89" s="4" t="n"/>
      <c r="Q89" s="10" t="n">
        <v>0</v>
      </c>
      <c r="R89" s="10">
        <f>R88+Q89</f>
        <v/>
      </c>
      <c r="S89" s="16">
        <f>S88+IF(N89="已下單",M89,0)</f>
        <v/>
      </c>
      <c r="T89" s="16">
        <f>R89-S89</f>
        <v/>
      </c>
      <c r="U89" s="2">
        <f>U88+IF(N89="已下單",1,0)</f>
        <v/>
      </c>
      <c r="V89" s="16">
        <f>IF(資金模擬!$B$9=2,MAX(R89,0),MAX(V88,FLOOR(MAX(R89,0),資金模擬!$B$6)))</f>
        <v/>
      </c>
      <c r="W89" s="10">
        <f>MAX(W88,R89)</f>
        <v/>
      </c>
      <c r="X89" s="4">
        <f>IF(W89&gt;0,R89/W89-1,-1)</f>
        <v/>
      </c>
      <c r="Y89" s="16">
        <f>IF(R89&gt;0,S89*資金模擬!$B$7/R89,0)</f>
        <v/>
      </c>
      <c r="Z89" s="2">
        <f>IF(OR(Z88=1,R89&lt;=資金模擬!$B$10),1,0)</f>
        <v/>
      </c>
    </row>
    <row r="90">
      <c r="A90" s="2" t="n">
        <v>88</v>
      </c>
      <c r="B90" s="7" t="n">
        <v>46272.47916666666</v>
      </c>
      <c r="C90" s="2" t="inlineStr">
        <is>
          <t>進場</t>
        </is>
      </c>
      <c r="D90" s="2" t="n">
        <v>45</v>
      </c>
      <c r="E90" s="2" t="inlineStr">
        <is>
          <t>CFG_USDT_PERP</t>
        </is>
      </c>
      <c r="F90" s="2" t="inlineStr">
        <is>
          <t>做空</t>
        </is>
      </c>
      <c r="G90" s="17" t="n">
        <v>0.1336</v>
      </c>
      <c r="H90" s="17" t="n">
        <v>0.128256</v>
      </c>
      <c r="I90" s="17" t="n">
        <v>0.14028</v>
      </c>
      <c r="J90" s="17" t="n"/>
      <c r="K90" s="2" t="n"/>
      <c r="L90" s="5" t="n"/>
      <c r="M90" s="16">
        <f>資金模擬!$B$5*V89</f>
        <v/>
      </c>
      <c r="N90" s="2">
        <f>IF(Z89=1,"已停止",IF(T89&gt;=M90,"已下單","資金不足略過"))</f>
        <v/>
      </c>
      <c r="O90" s="16">
        <f>IF(N90="已下單",M90*資金模擬!$B$7,0)</f>
        <v/>
      </c>
      <c r="P90" s="4" t="n"/>
      <c r="Q90" s="10" t="n">
        <v>0</v>
      </c>
      <c r="R90" s="10">
        <f>R89+Q90</f>
        <v/>
      </c>
      <c r="S90" s="16">
        <f>S89+IF(N90="已下單",M90,0)</f>
        <v/>
      </c>
      <c r="T90" s="16">
        <f>R90-S90</f>
        <v/>
      </c>
      <c r="U90" s="2">
        <f>U89+IF(N90="已下單",1,0)</f>
        <v/>
      </c>
      <c r="V90" s="16">
        <f>IF(資金模擬!$B$9=2,MAX(R90,0),MAX(V89,FLOOR(MAX(R90,0),資金模擬!$B$6)))</f>
        <v/>
      </c>
      <c r="W90" s="10">
        <f>MAX(W89,R90)</f>
        <v/>
      </c>
      <c r="X90" s="4">
        <f>IF(W90&gt;0,R90/W90-1,-1)</f>
        <v/>
      </c>
      <c r="Y90" s="16">
        <f>IF(R90&gt;0,S90*資金模擬!$B$7/R90,0)</f>
        <v/>
      </c>
      <c r="Z90" s="2">
        <f>IF(OR(Z89=1,R90&lt;=資金模擬!$B$10),1,0)</f>
        <v/>
      </c>
    </row>
    <row r="91">
      <c r="A91" s="2" t="n">
        <v>89</v>
      </c>
      <c r="B91" s="7" t="n">
        <v>46272.48611111111</v>
      </c>
      <c r="C91" s="2" t="inlineStr">
        <is>
          <t>出場</t>
        </is>
      </c>
      <c r="D91" s="2" t="n">
        <v>44</v>
      </c>
      <c r="E91" s="2" t="inlineStr">
        <is>
          <t>ORCA_USDT_PERP</t>
        </is>
      </c>
      <c r="F91" s="2" t="inlineStr">
        <is>
          <t>做空</t>
        </is>
      </c>
      <c r="G91" s="17" t="n">
        <v>1.642</v>
      </c>
      <c r="H91" s="17" t="n">
        <v>1.57632</v>
      </c>
      <c r="I91" s="17" t="n">
        <v>1.7241</v>
      </c>
      <c r="J91" s="17" t="n">
        <v>1.57632</v>
      </c>
      <c r="K91" s="2" t="inlineStr">
        <is>
          <t>止盈</t>
        </is>
      </c>
      <c r="L91" s="5">
        <f>交易明細!K45</f>
        <v/>
      </c>
      <c r="M91" s="16">
        <f>M89</f>
        <v/>
      </c>
      <c r="N91" s="2">
        <f>N89</f>
        <v/>
      </c>
      <c r="O91" s="16">
        <f>O89</f>
        <v/>
      </c>
      <c r="P91" s="4">
        <f>交易明細!L45</f>
        <v/>
      </c>
      <c r="Q91" s="10">
        <f>IF(N91="已下單",O91*P91,0)</f>
        <v/>
      </c>
      <c r="R91" s="10">
        <f>R90+Q91</f>
        <v/>
      </c>
      <c r="S91" s="16">
        <f>S90-IF(N91="已下單",M91,0)</f>
        <v/>
      </c>
      <c r="T91" s="16">
        <f>R91-S91</f>
        <v/>
      </c>
      <c r="U91" s="2">
        <f>U90-IF(N91="已下單",1,0)</f>
        <v/>
      </c>
      <c r="V91" s="16">
        <f>IF(資金模擬!$B$9=2,MAX(R91,0),MAX(V90,FLOOR(MAX(R91,0),資金模擬!$B$6)))</f>
        <v/>
      </c>
      <c r="W91" s="10">
        <f>MAX(W90,R91)</f>
        <v/>
      </c>
      <c r="X91" s="4">
        <f>IF(W91&gt;0,R91/W91-1,-1)</f>
        <v/>
      </c>
      <c r="Y91" s="16">
        <f>IF(R91&gt;0,S91*資金模擬!$B$7/R91,0)</f>
        <v/>
      </c>
      <c r="Z91" s="2">
        <f>IF(OR(Z90=1,R91&lt;=資金模擬!$B$10),1,0)</f>
        <v/>
      </c>
    </row>
    <row r="92">
      <c r="A92" s="2" t="n">
        <v>90</v>
      </c>
      <c r="B92" s="7" t="n">
        <v>46272.49305555555</v>
      </c>
      <c r="C92" s="2" t="inlineStr">
        <is>
          <t>出場</t>
        </is>
      </c>
      <c r="D92" s="2" t="n">
        <v>45</v>
      </c>
      <c r="E92" s="2" t="inlineStr">
        <is>
          <t>CFG_USDT_PERP</t>
        </is>
      </c>
      <c r="F92" s="2" t="inlineStr">
        <is>
          <t>做空</t>
        </is>
      </c>
      <c r="G92" s="17" t="n">
        <v>0.1336</v>
      </c>
      <c r="H92" s="17" t="n">
        <v>0.128256</v>
      </c>
      <c r="I92" s="17" t="n">
        <v>0.14028</v>
      </c>
      <c r="J92" s="17" t="n">
        <v>0.128256</v>
      </c>
      <c r="K92" s="2" t="inlineStr">
        <is>
          <t>止盈</t>
        </is>
      </c>
      <c r="L92" s="5">
        <f>交易明細!K46</f>
        <v/>
      </c>
      <c r="M92" s="16">
        <f>M90</f>
        <v/>
      </c>
      <c r="N92" s="2">
        <f>N90</f>
        <v/>
      </c>
      <c r="O92" s="16">
        <f>O90</f>
        <v/>
      </c>
      <c r="P92" s="4">
        <f>交易明細!L46</f>
        <v/>
      </c>
      <c r="Q92" s="10">
        <f>IF(N92="已下單",O92*P92,0)</f>
        <v/>
      </c>
      <c r="R92" s="10">
        <f>R91+Q92</f>
        <v/>
      </c>
      <c r="S92" s="16">
        <f>S91-IF(N92="已下單",M92,0)</f>
        <v/>
      </c>
      <c r="T92" s="16">
        <f>R92-S92</f>
        <v/>
      </c>
      <c r="U92" s="2">
        <f>U91-IF(N92="已下單",1,0)</f>
        <v/>
      </c>
      <c r="V92" s="16">
        <f>IF(資金模擬!$B$9=2,MAX(R92,0),MAX(V91,FLOOR(MAX(R92,0),資金模擬!$B$6)))</f>
        <v/>
      </c>
      <c r="W92" s="10">
        <f>MAX(W91,R92)</f>
        <v/>
      </c>
      <c r="X92" s="4">
        <f>IF(W92&gt;0,R92/W92-1,-1)</f>
        <v/>
      </c>
      <c r="Y92" s="16">
        <f>IF(R92&gt;0,S92*資金模擬!$B$7/R92,0)</f>
        <v/>
      </c>
      <c r="Z92" s="2">
        <f>IF(OR(Z91=1,R92&lt;=資金模擬!$B$10),1,0)</f>
        <v/>
      </c>
    </row>
    <row r="93">
      <c r="A93" s="2" t="n">
        <v>91</v>
      </c>
      <c r="B93" s="7" t="n">
        <v>46272.61458333334</v>
      </c>
      <c r="C93" s="2" t="inlineStr">
        <is>
          <t>進場</t>
        </is>
      </c>
      <c r="D93" s="2" t="n">
        <v>46</v>
      </c>
      <c r="E93" s="2" t="inlineStr">
        <is>
          <t>IOST_USDT_PERP</t>
        </is>
      </c>
      <c r="F93" s="2" t="inlineStr">
        <is>
          <t>做空</t>
        </is>
      </c>
      <c r="G93" s="17" t="n">
        <v>0.000892</v>
      </c>
      <c r="H93" s="17" t="n">
        <v>0.0008563199999999999</v>
      </c>
      <c r="I93" s="17" t="n">
        <v>0.0009366</v>
      </c>
      <c r="J93" s="17" t="n"/>
      <c r="K93" s="2" t="n"/>
      <c r="L93" s="5" t="n"/>
      <c r="M93" s="16">
        <f>資金模擬!$B$5*V92</f>
        <v/>
      </c>
      <c r="N93" s="2">
        <f>IF(Z92=1,"已停止",IF(T92&gt;=M93,"已下單","資金不足略過"))</f>
        <v/>
      </c>
      <c r="O93" s="16">
        <f>IF(N93="已下單",M93*資金模擬!$B$7,0)</f>
        <v/>
      </c>
      <c r="P93" s="4" t="n"/>
      <c r="Q93" s="10" t="n">
        <v>0</v>
      </c>
      <c r="R93" s="10">
        <f>R92+Q93</f>
        <v/>
      </c>
      <c r="S93" s="16">
        <f>S92+IF(N93="已下單",M93,0)</f>
        <v/>
      </c>
      <c r="T93" s="16">
        <f>R93-S93</f>
        <v/>
      </c>
      <c r="U93" s="2">
        <f>U92+IF(N93="已下單",1,0)</f>
        <v/>
      </c>
      <c r="V93" s="16">
        <f>IF(資金模擬!$B$9=2,MAX(R93,0),MAX(V92,FLOOR(MAX(R93,0),資金模擬!$B$6)))</f>
        <v/>
      </c>
      <c r="W93" s="10">
        <f>MAX(W92,R93)</f>
        <v/>
      </c>
      <c r="X93" s="4">
        <f>IF(W93&gt;0,R93/W93-1,-1)</f>
        <v/>
      </c>
      <c r="Y93" s="16">
        <f>IF(R93&gt;0,S93*資金模擬!$B$7/R93,0)</f>
        <v/>
      </c>
      <c r="Z93" s="2">
        <f>IF(OR(Z92=1,R93&lt;=資金模擬!$B$10),1,0)</f>
        <v/>
      </c>
    </row>
    <row r="94">
      <c r="A94" s="2" t="n">
        <v>92</v>
      </c>
      <c r="B94" s="7" t="n">
        <v>46272.62152777778</v>
      </c>
      <c r="C94" s="2" t="inlineStr">
        <is>
          <t>出場</t>
        </is>
      </c>
      <c r="D94" s="2" t="n">
        <v>46</v>
      </c>
      <c r="E94" s="2" t="inlineStr">
        <is>
          <t>IOST_USDT_PERP</t>
        </is>
      </c>
      <c r="F94" s="2" t="inlineStr">
        <is>
          <t>做空</t>
        </is>
      </c>
      <c r="G94" s="17" t="n">
        <v>0.000892</v>
      </c>
      <c r="H94" s="17" t="n">
        <v>0.0008563199999999999</v>
      </c>
      <c r="I94" s="17" t="n">
        <v>0.0009366</v>
      </c>
      <c r="J94" s="17" t="n">
        <v>0.0008563199999999999</v>
      </c>
      <c r="K94" s="2" t="inlineStr">
        <is>
          <t>止盈</t>
        </is>
      </c>
      <c r="L94" s="5">
        <f>交易明細!K47</f>
        <v/>
      </c>
      <c r="M94" s="16">
        <f>M93</f>
        <v/>
      </c>
      <c r="N94" s="2">
        <f>N93</f>
        <v/>
      </c>
      <c r="O94" s="16">
        <f>O93</f>
        <v/>
      </c>
      <c r="P94" s="4">
        <f>交易明細!L47</f>
        <v/>
      </c>
      <c r="Q94" s="10">
        <f>IF(N94="已下單",O94*P94,0)</f>
        <v/>
      </c>
      <c r="R94" s="10">
        <f>R93+Q94</f>
        <v/>
      </c>
      <c r="S94" s="16">
        <f>S93-IF(N94="已下單",M94,0)</f>
        <v/>
      </c>
      <c r="T94" s="16">
        <f>R94-S94</f>
        <v/>
      </c>
      <c r="U94" s="2">
        <f>U93-IF(N94="已下單",1,0)</f>
        <v/>
      </c>
      <c r="V94" s="16">
        <f>IF(資金模擬!$B$9=2,MAX(R94,0),MAX(V93,FLOOR(MAX(R94,0),資金模擬!$B$6)))</f>
        <v/>
      </c>
      <c r="W94" s="10">
        <f>MAX(W93,R94)</f>
        <v/>
      </c>
      <c r="X94" s="4">
        <f>IF(W94&gt;0,R94/W94-1,-1)</f>
        <v/>
      </c>
      <c r="Y94" s="16">
        <f>IF(R94&gt;0,S94*資金模擬!$B$7/R94,0)</f>
        <v/>
      </c>
      <c r="Z94" s="2">
        <f>IF(OR(Z93=1,R94&lt;=資金模擬!$B$10),1,0)</f>
        <v/>
      </c>
    </row>
    <row r="95">
      <c r="A95" s="2" t="n">
        <v>93</v>
      </c>
      <c r="B95" s="7" t="n">
        <v>46272.72569444445</v>
      </c>
      <c r="C95" s="2" t="inlineStr">
        <is>
          <t>進場</t>
        </is>
      </c>
      <c r="D95" s="2" t="n">
        <v>47</v>
      </c>
      <c r="E95" s="2" t="inlineStr">
        <is>
          <t>CAP_USDT_PERP</t>
        </is>
      </c>
      <c r="F95" s="2" t="inlineStr">
        <is>
          <t>做空</t>
        </is>
      </c>
      <c r="G95" s="17" t="n">
        <v>0.04997</v>
      </c>
      <c r="H95" s="17" t="n">
        <v>0.0479712</v>
      </c>
      <c r="I95" s="17" t="n">
        <v>0.0524685</v>
      </c>
      <c r="J95" s="17" t="n"/>
      <c r="K95" s="2" t="n"/>
      <c r="L95" s="5" t="n"/>
      <c r="M95" s="16">
        <f>資金模擬!$B$5*V94</f>
        <v/>
      </c>
      <c r="N95" s="2">
        <f>IF(Z94=1,"已停止",IF(T94&gt;=M95,"已下單","資金不足略過"))</f>
        <v/>
      </c>
      <c r="O95" s="16">
        <f>IF(N95="已下單",M95*資金模擬!$B$7,0)</f>
        <v/>
      </c>
      <c r="P95" s="4" t="n"/>
      <c r="Q95" s="10" t="n">
        <v>0</v>
      </c>
      <c r="R95" s="10">
        <f>R94+Q95</f>
        <v/>
      </c>
      <c r="S95" s="16">
        <f>S94+IF(N95="已下單",M95,0)</f>
        <v/>
      </c>
      <c r="T95" s="16">
        <f>R95-S95</f>
        <v/>
      </c>
      <c r="U95" s="2">
        <f>U94+IF(N95="已下單",1,0)</f>
        <v/>
      </c>
      <c r="V95" s="16">
        <f>IF(資金模擬!$B$9=2,MAX(R95,0),MAX(V94,FLOOR(MAX(R95,0),資金模擬!$B$6)))</f>
        <v/>
      </c>
      <c r="W95" s="10">
        <f>MAX(W94,R95)</f>
        <v/>
      </c>
      <c r="X95" s="4">
        <f>IF(W95&gt;0,R95/W95-1,-1)</f>
        <v/>
      </c>
      <c r="Y95" s="16">
        <f>IF(R95&gt;0,S95*資金模擬!$B$7/R95,0)</f>
        <v/>
      </c>
      <c r="Z95" s="2">
        <f>IF(OR(Z94=1,R95&lt;=資金模擬!$B$10),1,0)</f>
        <v/>
      </c>
    </row>
    <row r="96">
      <c r="A96" s="2" t="n">
        <v>94</v>
      </c>
      <c r="B96" s="7" t="n">
        <v>46272.78125</v>
      </c>
      <c r="C96" s="2" t="inlineStr">
        <is>
          <t>進場</t>
        </is>
      </c>
      <c r="D96" s="2" t="n">
        <v>48</v>
      </c>
      <c r="E96" s="2" t="inlineStr">
        <is>
          <t>4_USDT_PERP</t>
        </is>
      </c>
      <c r="F96" s="2" t="inlineStr">
        <is>
          <t>做空</t>
        </is>
      </c>
      <c r="G96" s="17" t="n">
        <v>0.02664</v>
      </c>
      <c r="H96" s="17" t="n">
        <v>0.0255744</v>
      </c>
      <c r="I96" s="17" t="n">
        <v>0.027972</v>
      </c>
      <c r="J96" s="17" t="n"/>
      <c r="K96" s="2" t="n"/>
      <c r="L96" s="5" t="n"/>
      <c r="M96" s="16">
        <f>資金模擬!$B$5*V95</f>
        <v/>
      </c>
      <c r="N96" s="2">
        <f>IF(Z95=1,"已停止",IF(T95&gt;=M96,"已下單","資金不足略過"))</f>
        <v/>
      </c>
      <c r="O96" s="16">
        <f>IF(N96="已下單",M96*資金模擬!$B$7,0)</f>
        <v/>
      </c>
      <c r="P96" s="4" t="n"/>
      <c r="Q96" s="10" t="n">
        <v>0</v>
      </c>
      <c r="R96" s="10">
        <f>R95+Q96</f>
        <v/>
      </c>
      <c r="S96" s="16">
        <f>S95+IF(N96="已下單",M96,0)</f>
        <v/>
      </c>
      <c r="T96" s="16">
        <f>R96-S96</f>
        <v/>
      </c>
      <c r="U96" s="2">
        <f>U95+IF(N96="已下單",1,0)</f>
        <v/>
      </c>
      <c r="V96" s="16">
        <f>IF(資金模擬!$B$9=2,MAX(R96,0),MAX(V95,FLOOR(MAX(R96,0),資金模擬!$B$6)))</f>
        <v/>
      </c>
      <c r="W96" s="10">
        <f>MAX(W95,R96)</f>
        <v/>
      </c>
      <c r="X96" s="4">
        <f>IF(W96&gt;0,R96/W96-1,-1)</f>
        <v/>
      </c>
      <c r="Y96" s="16">
        <f>IF(R96&gt;0,S96*資金模擬!$B$7/R96,0)</f>
        <v/>
      </c>
      <c r="Z96" s="2">
        <f>IF(OR(Z95=1,R96&lt;=資金模擬!$B$10),1,0)</f>
        <v/>
      </c>
    </row>
    <row r="97">
      <c r="A97" s="2" t="n">
        <v>95</v>
      </c>
      <c r="B97" s="7" t="n">
        <v>46272.79513888889</v>
      </c>
      <c r="C97" s="2" t="inlineStr">
        <is>
          <t>出場</t>
        </is>
      </c>
      <c r="D97" s="2" t="n">
        <v>47</v>
      </c>
      <c r="E97" s="2" t="inlineStr">
        <is>
          <t>CAP_USDT_PERP</t>
        </is>
      </c>
      <c r="F97" s="2" t="inlineStr">
        <is>
          <t>做空</t>
        </is>
      </c>
      <c r="G97" s="17" t="n">
        <v>0.04997</v>
      </c>
      <c r="H97" s="17" t="n">
        <v>0.0479712</v>
      </c>
      <c r="I97" s="17" t="n">
        <v>0.0524685</v>
      </c>
      <c r="J97" s="17" t="n">
        <v>0.0479712</v>
      </c>
      <c r="K97" s="2" t="inlineStr">
        <is>
          <t>止盈</t>
        </is>
      </c>
      <c r="L97" s="5">
        <f>交易明細!K48</f>
        <v/>
      </c>
      <c r="M97" s="16">
        <f>M95</f>
        <v/>
      </c>
      <c r="N97" s="2">
        <f>N95</f>
        <v/>
      </c>
      <c r="O97" s="16">
        <f>O95</f>
        <v/>
      </c>
      <c r="P97" s="4">
        <f>交易明細!L48</f>
        <v/>
      </c>
      <c r="Q97" s="10">
        <f>IF(N97="已下單",O97*P97,0)</f>
        <v/>
      </c>
      <c r="R97" s="10">
        <f>R96+Q97</f>
        <v/>
      </c>
      <c r="S97" s="16">
        <f>S96-IF(N97="已下單",M97,0)</f>
        <v/>
      </c>
      <c r="T97" s="16">
        <f>R97-S97</f>
        <v/>
      </c>
      <c r="U97" s="2">
        <f>U96-IF(N97="已下單",1,0)</f>
        <v/>
      </c>
      <c r="V97" s="16">
        <f>IF(資金模擬!$B$9=2,MAX(R97,0),MAX(V96,FLOOR(MAX(R97,0),資金模擬!$B$6)))</f>
        <v/>
      </c>
      <c r="W97" s="10">
        <f>MAX(W96,R97)</f>
        <v/>
      </c>
      <c r="X97" s="4">
        <f>IF(W97&gt;0,R97/W97-1,-1)</f>
        <v/>
      </c>
      <c r="Y97" s="16">
        <f>IF(R97&gt;0,S97*資金模擬!$B$7/R97,0)</f>
        <v/>
      </c>
      <c r="Z97" s="2">
        <f>IF(OR(Z96=1,R97&lt;=資金模擬!$B$10),1,0)</f>
        <v/>
      </c>
    </row>
    <row r="98">
      <c r="A98" s="2" t="n">
        <v>96</v>
      </c>
      <c r="B98" s="7" t="n">
        <v>46272.79513888889</v>
      </c>
      <c r="C98" s="2" t="inlineStr">
        <is>
          <t>出場</t>
        </is>
      </c>
      <c r="D98" s="2" t="n">
        <v>48</v>
      </c>
      <c r="E98" s="2" t="inlineStr">
        <is>
          <t>4_USDT_PERP</t>
        </is>
      </c>
      <c r="F98" s="2" t="inlineStr">
        <is>
          <t>做空</t>
        </is>
      </c>
      <c r="G98" s="17" t="n">
        <v>0.02664</v>
      </c>
      <c r="H98" s="17" t="n">
        <v>0.0255744</v>
      </c>
      <c r="I98" s="17" t="n">
        <v>0.027972</v>
      </c>
      <c r="J98" s="17" t="n">
        <v>0.0255744</v>
      </c>
      <c r="K98" s="2" t="inlineStr">
        <is>
          <t>止盈</t>
        </is>
      </c>
      <c r="L98" s="5">
        <f>交易明細!K49</f>
        <v/>
      </c>
      <c r="M98" s="16">
        <f>M96</f>
        <v/>
      </c>
      <c r="N98" s="2">
        <f>N96</f>
        <v/>
      </c>
      <c r="O98" s="16">
        <f>O96</f>
        <v/>
      </c>
      <c r="P98" s="4">
        <f>交易明細!L49</f>
        <v/>
      </c>
      <c r="Q98" s="10">
        <f>IF(N98="已下單",O98*P98,0)</f>
        <v/>
      </c>
      <c r="R98" s="10">
        <f>R97+Q98</f>
        <v/>
      </c>
      <c r="S98" s="16">
        <f>S97-IF(N98="已下單",M98,0)</f>
        <v/>
      </c>
      <c r="T98" s="16">
        <f>R98-S98</f>
        <v/>
      </c>
      <c r="U98" s="2">
        <f>U97-IF(N98="已下單",1,0)</f>
        <v/>
      </c>
      <c r="V98" s="16">
        <f>IF(資金模擬!$B$9=2,MAX(R98,0),MAX(V97,FLOOR(MAX(R98,0),資金模擬!$B$6)))</f>
        <v/>
      </c>
      <c r="W98" s="10">
        <f>MAX(W97,R98)</f>
        <v/>
      </c>
      <c r="X98" s="4">
        <f>IF(W98&gt;0,R98/W98-1,-1)</f>
        <v/>
      </c>
      <c r="Y98" s="16">
        <f>IF(R98&gt;0,S98*資金模擬!$B$7/R98,0)</f>
        <v/>
      </c>
      <c r="Z98" s="2">
        <f>IF(OR(Z97=1,R98&lt;=資金模擬!$B$10),1,0)</f>
        <v/>
      </c>
    </row>
    <row r="99">
      <c r="A99" s="2" t="n">
        <v>97</v>
      </c>
      <c r="B99" s="7" t="n">
        <v>46272.83680555555</v>
      </c>
      <c r="C99" s="2" t="inlineStr">
        <is>
          <t>進場</t>
        </is>
      </c>
      <c r="D99" s="2" t="n">
        <v>49</v>
      </c>
      <c r="E99" s="2" t="inlineStr">
        <is>
          <t>LUNA2_USDT_PERP</t>
        </is>
      </c>
      <c r="F99" s="2" t="inlineStr">
        <is>
          <t>做空</t>
        </is>
      </c>
      <c r="G99" s="17" t="n">
        <v>0.05437</v>
      </c>
      <c r="H99" s="17" t="n">
        <v>0.0521952</v>
      </c>
      <c r="I99" s="17" t="n">
        <v>0.05708850000000001</v>
      </c>
      <c r="J99" s="17" t="n"/>
      <c r="K99" s="2" t="n"/>
      <c r="L99" s="5" t="n"/>
      <c r="M99" s="16">
        <f>資金模擬!$B$5*V98</f>
        <v/>
      </c>
      <c r="N99" s="2">
        <f>IF(Z98=1,"已停止",IF(T98&gt;=M99,"已下單","資金不足略過"))</f>
        <v/>
      </c>
      <c r="O99" s="16">
        <f>IF(N99="已下單",M99*資金模擬!$B$7,0)</f>
        <v/>
      </c>
      <c r="P99" s="4" t="n"/>
      <c r="Q99" s="10" t="n">
        <v>0</v>
      </c>
      <c r="R99" s="10">
        <f>R98+Q99</f>
        <v/>
      </c>
      <c r="S99" s="16">
        <f>S98+IF(N99="已下單",M99,0)</f>
        <v/>
      </c>
      <c r="T99" s="16">
        <f>R99-S99</f>
        <v/>
      </c>
      <c r="U99" s="2">
        <f>U98+IF(N99="已下單",1,0)</f>
        <v/>
      </c>
      <c r="V99" s="16">
        <f>IF(資金模擬!$B$9=2,MAX(R99,0),MAX(V98,FLOOR(MAX(R99,0),資金模擬!$B$6)))</f>
        <v/>
      </c>
      <c r="W99" s="10">
        <f>MAX(W98,R99)</f>
        <v/>
      </c>
      <c r="X99" s="4">
        <f>IF(W99&gt;0,R99/W99-1,-1)</f>
        <v/>
      </c>
      <c r="Y99" s="16">
        <f>IF(R99&gt;0,S99*資金模擬!$B$7/R99,0)</f>
        <v/>
      </c>
      <c r="Z99" s="2">
        <f>IF(OR(Z98=1,R99&lt;=資金模擬!$B$10),1,0)</f>
        <v/>
      </c>
    </row>
    <row r="100">
      <c r="A100" s="2" t="n">
        <v>98</v>
      </c>
      <c r="B100" s="7" t="n">
        <v>46272.85763888889</v>
      </c>
      <c r="C100" s="2" t="inlineStr">
        <is>
          <t>出場</t>
        </is>
      </c>
      <c r="D100" s="2" t="n">
        <v>49</v>
      </c>
      <c r="E100" s="2" t="inlineStr">
        <is>
          <t>LUNA2_USDT_PERP</t>
        </is>
      </c>
      <c r="F100" s="2" t="inlineStr">
        <is>
          <t>做空</t>
        </is>
      </c>
      <c r="G100" s="17" t="n">
        <v>0.05437</v>
      </c>
      <c r="H100" s="17" t="n">
        <v>0.0521952</v>
      </c>
      <c r="I100" s="17" t="n">
        <v>0.05708850000000001</v>
      </c>
      <c r="J100" s="17" t="n">
        <v>0.0521952</v>
      </c>
      <c r="K100" s="2" t="inlineStr">
        <is>
          <t>止盈</t>
        </is>
      </c>
      <c r="L100" s="5">
        <f>交易明細!K50</f>
        <v/>
      </c>
      <c r="M100" s="16">
        <f>M99</f>
        <v/>
      </c>
      <c r="N100" s="2">
        <f>N99</f>
        <v/>
      </c>
      <c r="O100" s="16">
        <f>O99</f>
        <v/>
      </c>
      <c r="P100" s="4">
        <f>交易明細!L50</f>
        <v/>
      </c>
      <c r="Q100" s="10">
        <f>IF(N100="已下單",O100*P100,0)</f>
        <v/>
      </c>
      <c r="R100" s="10">
        <f>R99+Q100</f>
        <v/>
      </c>
      <c r="S100" s="16">
        <f>S99-IF(N100="已下單",M100,0)</f>
        <v/>
      </c>
      <c r="T100" s="16">
        <f>R100-S100</f>
        <v/>
      </c>
      <c r="U100" s="2">
        <f>U99-IF(N100="已下單",1,0)</f>
        <v/>
      </c>
      <c r="V100" s="16">
        <f>IF(資金模擬!$B$9=2,MAX(R100,0),MAX(V99,FLOOR(MAX(R100,0),資金模擬!$B$6)))</f>
        <v/>
      </c>
      <c r="W100" s="10">
        <f>MAX(W99,R100)</f>
        <v/>
      </c>
      <c r="X100" s="4">
        <f>IF(W100&gt;0,R100/W100-1,-1)</f>
        <v/>
      </c>
      <c r="Y100" s="16">
        <f>IF(R100&gt;0,S100*資金模擬!$B$7/R100,0)</f>
        <v/>
      </c>
      <c r="Z100" s="2">
        <f>IF(OR(Z99=1,R100&lt;=資金模擬!$B$10),1,0)</f>
        <v/>
      </c>
    </row>
    <row r="101">
      <c r="A101" s="2" t="n">
        <v>99</v>
      </c>
      <c r="B101" s="7" t="n">
        <v>46272.91319444445</v>
      </c>
      <c r="C101" s="2" t="inlineStr">
        <is>
          <t>進場</t>
        </is>
      </c>
      <c r="D101" s="2" t="n">
        <v>50</v>
      </c>
      <c r="E101" s="2" t="inlineStr">
        <is>
          <t>PIEVERSE_USDT_PERP</t>
        </is>
      </c>
      <c r="F101" s="2" t="inlineStr">
        <is>
          <t>做空</t>
        </is>
      </c>
      <c r="G101" s="17" t="n">
        <v>1.3018</v>
      </c>
      <c r="H101" s="17" t="n">
        <v>1.249728</v>
      </c>
      <c r="I101" s="17" t="n">
        <v>1.36689</v>
      </c>
      <c r="J101" s="17" t="n"/>
      <c r="K101" s="2" t="n"/>
      <c r="L101" s="5" t="n"/>
      <c r="M101" s="16">
        <f>資金模擬!$B$5*V100</f>
        <v/>
      </c>
      <c r="N101" s="2">
        <f>IF(Z100=1,"已停止",IF(T100&gt;=M101,"已下單","資金不足略過"))</f>
        <v/>
      </c>
      <c r="O101" s="16">
        <f>IF(N101="已下單",M101*資金模擬!$B$7,0)</f>
        <v/>
      </c>
      <c r="P101" s="4" t="n"/>
      <c r="Q101" s="10" t="n">
        <v>0</v>
      </c>
      <c r="R101" s="10">
        <f>R100+Q101</f>
        <v/>
      </c>
      <c r="S101" s="16">
        <f>S100+IF(N101="已下單",M101,0)</f>
        <v/>
      </c>
      <c r="T101" s="16">
        <f>R101-S101</f>
        <v/>
      </c>
      <c r="U101" s="2">
        <f>U100+IF(N101="已下單",1,0)</f>
        <v/>
      </c>
      <c r="V101" s="16">
        <f>IF(資金模擬!$B$9=2,MAX(R101,0),MAX(V100,FLOOR(MAX(R101,0),資金模擬!$B$6)))</f>
        <v/>
      </c>
      <c r="W101" s="10">
        <f>MAX(W100,R101)</f>
        <v/>
      </c>
      <c r="X101" s="4">
        <f>IF(W101&gt;0,R101/W101-1,-1)</f>
        <v/>
      </c>
      <c r="Y101" s="16">
        <f>IF(R101&gt;0,S101*資金模擬!$B$7/R101,0)</f>
        <v/>
      </c>
      <c r="Z101" s="2">
        <f>IF(OR(Z100=1,R101&lt;=資金模擬!$B$10),1,0)</f>
        <v/>
      </c>
    </row>
    <row r="102">
      <c r="A102" s="2" t="n">
        <v>100</v>
      </c>
      <c r="B102" s="7" t="n">
        <v>46272.96527777778</v>
      </c>
      <c r="C102" s="2" t="inlineStr">
        <is>
          <t>出場</t>
        </is>
      </c>
      <c r="D102" s="2" t="n">
        <v>50</v>
      </c>
      <c r="E102" s="2" t="inlineStr">
        <is>
          <t>PIEVERSE_USDT_PERP</t>
        </is>
      </c>
      <c r="F102" s="2" t="inlineStr">
        <is>
          <t>做空</t>
        </is>
      </c>
      <c r="G102" s="17" t="n">
        <v>1.3018</v>
      </c>
      <c r="H102" s="17" t="n">
        <v>1.249728</v>
      </c>
      <c r="I102" s="17" t="n">
        <v>1.36689</v>
      </c>
      <c r="J102" s="17" t="n">
        <v>1.249728</v>
      </c>
      <c r="K102" s="2" t="inlineStr">
        <is>
          <t>止盈</t>
        </is>
      </c>
      <c r="L102" s="5">
        <f>交易明細!K51</f>
        <v/>
      </c>
      <c r="M102" s="16">
        <f>M101</f>
        <v/>
      </c>
      <c r="N102" s="2">
        <f>N101</f>
        <v/>
      </c>
      <c r="O102" s="16">
        <f>O101</f>
        <v/>
      </c>
      <c r="P102" s="4">
        <f>交易明細!L51</f>
        <v/>
      </c>
      <c r="Q102" s="10">
        <f>IF(N102="已下單",O102*P102,0)</f>
        <v/>
      </c>
      <c r="R102" s="10">
        <f>R101+Q102</f>
        <v/>
      </c>
      <c r="S102" s="16">
        <f>S101-IF(N102="已下單",M102,0)</f>
        <v/>
      </c>
      <c r="T102" s="16">
        <f>R102-S102</f>
        <v/>
      </c>
      <c r="U102" s="2">
        <f>U101-IF(N102="已下單",1,0)</f>
        <v/>
      </c>
      <c r="V102" s="16">
        <f>IF(資金模擬!$B$9=2,MAX(R102,0),MAX(V101,FLOOR(MAX(R102,0),資金模擬!$B$6)))</f>
        <v/>
      </c>
      <c r="W102" s="10">
        <f>MAX(W101,R102)</f>
        <v/>
      </c>
      <c r="X102" s="4">
        <f>IF(W102&gt;0,R102/W102-1,-1)</f>
        <v/>
      </c>
      <c r="Y102" s="16">
        <f>IF(R102&gt;0,S102*資金模擬!$B$7/R102,0)</f>
        <v/>
      </c>
      <c r="Z102" s="2">
        <f>IF(OR(Z101=1,R102&lt;=資金模擬!$B$10),1,0)</f>
        <v/>
      </c>
    </row>
    <row r="103">
      <c r="A103" s="2" t="n">
        <v>101</v>
      </c>
      <c r="B103" s="7" t="n">
        <v>46273.6875</v>
      </c>
      <c r="C103" s="2" t="inlineStr">
        <is>
          <t>進場</t>
        </is>
      </c>
      <c r="D103" s="2" t="n">
        <v>51</v>
      </c>
      <c r="E103" s="2" t="inlineStr">
        <is>
          <t>HAEDAL_USDT_PERP</t>
        </is>
      </c>
      <c r="F103" s="2" t="inlineStr">
        <is>
          <t>做空</t>
        </is>
      </c>
      <c r="G103" s="17" t="n">
        <v>0.02249</v>
      </c>
      <c r="H103" s="17" t="n">
        <v>0.0215904</v>
      </c>
      <c r="I103" s="17" t="n">
        <v>0.0236145</v>
      </c>
      <c r="J103" s="17" t="n"/>
      <c r="K103" s="2" t="n"/>
      <c r="L103" s="5" t="n"/>
      <c r="M103" s="16">
        <f>資金模擬!$B$5*V102</f>
        <v/>
      </c>
      <c r="N103" s="2">
        <f>IF(Z102=1,"已停止",IF(T102&gt;=M103,"已下單","資金不足略過"))</f>
        <v/>
      </c>
      <c r="O103" s="16">
        <f>IF(N103="已下單",M103*資金模擬!$B$7,0)</f>
        <v/>
      </c>
      <c r="P103" s="4" t="n"/>
      <c r="Q103" s="10" t="n">
        <v>0</v>
      </c>
      <c r="R103" s="10">
        <f>R102+Q103</f>
        <v/>
      </c>
      <c r="S103" s="16">
        <f>S102+IF(N103="已下單",M103,0)</f>
        <v/>
      </c>
      <c r="T103" s="16">
        <f>R103-S103</f>
        <v/>
      </c>
      <c r="U103" s="2">
        <f>U102+IF(N103="已下單",1,0)</f>
        <v/>
      </c>
      <c r="V103" s="16">
        <f>IF(資金模擬!$B$9=2,MAX(R103,0),MAX(V102,FLOOR(MAX(R103,0),資金模擬!$B$6)))</f>
        <v/>
      </c>
      <c r="W103" s="10">
        <f>MAX(W102,R103)</f>
        <v/>
      </c>
      <c r="X103" s="4">
        <f>IF(W103&gt;0,R103/W103-1,-1)</f>
        <v/>
      </c>
      <c r="Y103" s="16">
        <f>IF(R103&gt;0,S103*資金模擬!$B$7/R103,0)</f>
        <v/>
      </c>
      <c r="Z103" s="2">
        <f>IF(OR(Z102=1,R103&lt;=資金模擬!$B$10),1,0)</f>
        <v/>
      </c>
    </row>
    <row r="104">
      <c r="A104" s="2" t="n">
        <v>102</v>
      </c>
      <c r="B104" s="7" t="n">
        <v>46273.72916666666</v>
      </c>
      <c r="C104" s="2" t="inlineStr">
        <is>
          <t>出場</t>
        </is>
      </c>
      <c r="D104" s="2" t="n">
        <v>51</v>
      </c>
      <c r="E104" s="2" t="inlineStr">
        <is>
          <t>HAEDAL_USDT_PERP</t>
        </is>
      </c>
      <c r="F104" s="2" t="inlineStr">
        <is>
          <t>做空</t>
        </is>
      </c>
      <c r="G104" s="17" t="n">
        <v>0.02249</v>
      </c>
      <c r="H104" s="17" t="n">
        <v>0.0215904</v>
      </c>
      <c r="I104" s="17" t="n">
        <v>0.0236145</v>
      </c>
      <c r="J104" s="17" t="n">
        <v>0.0215904</v>
      </c>
      <c r="K104" s="2" t="inlineStr">
        <is>
          <t>止盈</t>
        </is>
      </c>
      <c r="L104" s="5">
        <f>交易明細!K52</f>
        <v/>
      </c>
      <c r="M104" s="16">
        <f>M103</f>
        <v/>
      </c>
      <c r="N104" s="2">
        <f>N103</f>
        <v/>
      </c>
      <c r="O104" s="16">
        <f>O103</f>
        <v/>
      </c>
      <c r="P104" s="4">
        <f>交易明細!L52</f>
        <v/>
      </c>
      <c r="Q104" s="10">
        <f>IF(N104="已下單",O104*P104,0)</f>
        <v/>
      </c>
      <c r="R104" s="10">
        <f>R103+Q104</f>
        <v/>
      </c>
      <c r="S104" s="16">
        <f>S103-IF(N104="已下單",M104,0)</f>
        <v/>
      </c>
      <c r="T104" s="16">
        <f>R104-S104</f>
        <v/>
      </c>
      <c r="U104" s="2">
        <f>U103-IF(N104="已下單",1,0)</f>
        <v/>
      </c>
      <c r="V104" s="16">
        <f>IF(資金模擬!$B$9=2,MAX(R104,0),MAX(V103,FLOOR(MAX(R104,0),資金模擬!$B$6)))</f>
        <v/>
      </c>
      <c r="W104" s="10">
        <f>MAX(W103,R104)</f>
        <v/>
      </c>
      <c r="X104" s="4">
        <f>IF(W104&gt;0,R104/W104-1,-1)</f>
        <v/>
      </c>
      <c r="Y104" s="16">
        <f>IF(R104&gt;0,S104*資金模擬!$B$7/R104,0)</f>
        <v/>
      </c>
      <c r="Z104" s="2">
        <f>IF(OR(Z103=1,R104&lt;=資金模擬!$B$10),1,0)</f>
        <v/>
      </c>
    </row>
    <row r="105">
      <c r="A105" s="2" t="n">
        <v>103</v>
      </c>
      <c r="B105" s="7" t="n">
        <v>46273.75347222222</v>
      </c>
      <c r="C105" s="2" t="inlineStr">
        <is>
          <t>進場</t>
        </is>
      </c>
      <c r="D105" s="2" t="n">
        <v>52</v>
      </c>
      <c r="E105" s="2" t="inlineStr">
        <is>
          <t>ON_USDT_PERP</t>
        </is>
      </c>
      <c r="F105" s="2" t="inlineStr">
        <is>
          <t>做空</t>
        </is>
      </c>
      <c r="G105" s="17" t="n">
        <v>0.211</v>
      </c>
      <c r="H105" s="17" t="n">
        <v>0.20256</v>
      </c>
      <c r="I105" s="17" t="n">
        <v>0.22155</v>
      </c>
      <c r="J105" s="17" t="n"/>
      <c r="K105" s="2" t="n"/>
      <c r="L105" s="5" t="n"/>
      <c r="M105" s="16">
        <f>資金模擬!$B$5*V104</f>
        <v/>
      </c>
      <c r="N105" s="2">
        <f>IF(Z104=1,"已停止",IF(T104&gt;=M105,"已下單","資金不足略過"))</f>
        <v/>
      </c>
      <c r="O105" s="16">
        <f>IF(N105="已下單",M105*資金模擬!$B$7,0)</f>
        <v/>
      </c>
      <c r="P105" s="4" t="n"/>
      <c r="Q105" s="10" t="n">
        <v>0</v>
      </c>
      <c r="R105" s="10">
        <f>R104+Q105</f>
        <v/>
      </c>
      <c r="S105" s="16">
        <f>S104+IF(N105="已下單",M105,0)</f>
        <v/>
      </c>
      <c r="T105" s="16">
        <f>R105-S105</f>
        <v/>
      </c>
      <c r="U105" s="2">
        <f>U104+IF(N105="已下單",1,0)</f>
        <v/>
      </c>
      <c r="V105" s="16">
        <f>IF(資金模擬!$B$9=2,MAX(R105,0),MAX(V104,FLOOR(MAX(R105,0),資金模擬!$B$6)))</f>
        <v/>
      </c>
      <c r="W105" s="10">
        <f>MAX(W104,R105)</f>
        <v/>
      </c>
      <c r="X105" s="4">
        <f>IF(W105&gt;0,R105/W105-1,-1)</f>
        <v/>
      </c>
      <c r="Y105" s="16">
        <f>IF(R105&gt;0,S105*資金模擬!$B$7/R105,0)</f>
        <v/>
      </c>
      <c r="Z105" s="2">
        <f>IF(OR(Z104=1,R105&lt;=資金模擬!$B$10),1,0)</f>
        <v/>
      </c>
    </row>
    <row r="106">
      <c r="A106" s="2" t="n">
        <v>104</v>
      </c>
      <c r="B106" s="7" t="n">
        <v>46273.76388888889</v>
      </c>
      <c r="C106" s="2" t="inlineStr">
        <is>
          <t>出場</t>
        </is>
      </c>
      <c r="D106" s="2" t="n">
        <v>52</v>
      </c>
      <c r="E106" s="2" t="inlineStr">
        <is>
          <t>ON_USDT_PERP</t>
        </is>
      </c>
      <c r="F106" s="2" t="inlineStr">
        <is>
          <t>做空</t>
        </is>
      </c>
      <c r="G106" s="17" t="n">
        <v>0.211</v>
      </c>
      <c r="H106" s="17" t="n">
        <v>0.20256</v>
      </c>
      <c r="I106" s="17" t="n">
        <v>0.22155</v>
      </c>
      <c r="J106" s="17" t="n">
        <v>0.20256</v>
      </c>
      <c r="K106" s="2" t="inlineStr">
        <is>
          <t>止盈</t>
        </is>
      </c>
      <c r="L106" s="5">
        <f>交易明細!K53</f>
        <v/>
      </c>
      <c r="M106" s="16">
        <f>M105</f>
        <v/>
      </c>
      <c r="N106" s="2">
        <f>N105</f>
        <v/>
      </c>
      <c r="O106" s="16">
        <f>O105</f>
        <v/>
      </c>
      <c r="P106" s="4">
        <f>交易明細!L53</f>
        <v/>
      </c>
      <c r="Q106" s="10">
        <f>IF(N106="已下單",O106*P106,0)</f>
        <v/>
      </c>
      <c r="R106" s="10">
        <f>R105+Q106</f>
        <v/>
      </c>
      <c r="S106" s="16">
        <f>S105-IF(N106="已下單",M106,0)</f>
        <v/>
      </c>
      <c r="T106" s="16">
        <f>R106-S106</f>
        <v/>
      </c>
      <c r="U106" s="2">
        <f>U105-IF(N106="已下單",1,0)</f>
        <v/>
      </c>
      <c r="V106" s="16">
        <f>IF(資金模擬!$B$9=2,MAX(R106,0),MAX(V105,FLOOR(MAX(R106,0),資金模擬!$B$6)))</f>
        <v/>
      </c>
      <c r="W106" s="10">
        <f>MAX(W105,R106)</f>
        <v/>
      </c>
      <c r="X106" s="4">
        <f>IF(W106&gt;0,R106/W106-1,-1)</f>
        <v/>
      </c>
      <c r="Y106" s="16">
        <f>IF(R106&gt;0,S106*資金模擬!$B$7/R106,0)</f>
        <v/>
      </c>
      <c r="Z106" s="2">
        <f>IF(OR(Z105=1,R106&lt;=資金模擬!$B$10),1,0)</f>
        <v/>
      </c>
    </row>
    <row r="107">
      <c r="A107" s="2" t="n">
        <v>105</v>
      </c>
      <c r="B107" s="7" t="n">
        <v>46274.48611111111</v>
      </c>
      <c r="C107" s="2" t="inlineStr">
        <is>
          <t>進場</t>
        </is>
      </c>
      <c r="D107" s="2" t="n">
        <v>53</v>
      </c>
      <c r="E107" s="2" t="inlineStr">
        <is>
          <t>KAT_USDT_PERP</t>
        </is>
      </c>
      <c r="F107" s="2" t="inlineStr">
        <is>
          <t>做空</t>
        </is>
      </c>
      <c r="G107" s="17" t="n">
        <v>0.006139</v>
      </c>
      <c r="H107" s="17" t="n">
        <v>0.00589344</v>
      </c>
      <c r="I107" s="17" t="n">
        <v>0.006445950000000001</v>
      </c>
      <c r="J107" s="17" t="n"/>
      <c r="K107" s="2" t="n"/>
      <c r="L107" s="5" t="n"/>
      <c r="M107" s="16">
        <f>資金模擬!$B$5*V106</f>
        <v/>
      </c>
      <c r="N107" s="2">
        <f>IF(Z106=1,"已停止",IF(T106&gt;=M107,"已下單","資金不足略過"))</f>
        <v/>
      </c>
      <c r="O107" s="16">
        <f>IF(N107="已下單",M107*資金模擬!$B$7,0)</f>
        <v/>
      </c>
      <c r="P107" s="4" t="n"/>
      <c r="Q107" s="10" t="n">
        <v>0</v>
      </c>
      <c r="R107" s="10">
        <f>R106+Q107</f>
        <v/>
      </c>
      <c r="S107" s="16">
        <f>S106+IF(N107="已下單",M107,0)</f>
        <v/>
      </c>
      <c r="T107" s="16">
        <f>R107-S107</f>
        <v/>
      </c>
      <c r="U107" s="2">
        <f>U106+IF(N107="已下單",1,0)</f>
        <v/>
      </c>
      <c r="V107" s="16">
        <f>IF(資金模擬!$B$9=2,MAX(R107,0),MAX(V106,FLOOR(MAX(R107,0),資金模擬!$B$6)))</f>
        <v/>
      </c>
      <c r="W107" s="10">
        <f>MAX(W106,R107)</f>
        <v/>
      </c>
      <c r="X107" s="4">
        <f>IF(W107&gt;0,R107/W107-1,-1)</f>
        <v/>
      </c>
      <c r="Y107" s="16">
        <f>IF(R107&gt;0,S107*資金模擬!$B$7/R107,0)</f>
        <v/>
      </c>
      <c r="Z107" s="2">
        <f>IF(OR(Z106=1,R107&lt;=資金模擬!$B$10),1,0)</f>
        <v/>
      </c>
    </row>
    <row r="108">
      <c r="A108" s="2" t="n">
        <v>106</v>
      </c>
      <c r="B108" s="7" t="n">
        <v>46274.50347222222</v>
      </c>
      <c r="C108" s="2" t="inlineStr">
        <is>
          <t>出場</t>
        </is>
      </c>
      <c r="D108" s="2" t="n">
        <v>53</v>
      </c>
      <c r="E108" s="2" t="inlineStr">
        <is>
          <t>KAT_USDT_PERP</t>
        </is>
      </c>
      <c r="F108" s="2" t="inlineStr">
        <is>
          <t>做空</t>
        </is>
      </c>
      <c r="G108" s="17" t="n">
        <v>0.006139</v>
      </c>
      <c r="H108" s="17" t="n">
        <v>0.00589344</v>
      </c>
      <c r="I108" s="17" t="n">
        <v>0.006445950000000001</v>
      </c>
      <c r="J108" s="17" t="n">
        <v>0.00589344</v>
      </c>
      <c r="K108" s="2" t="inlineStr">
        <is>
          <t>止盈</t>
        </is>
      </c>
      <c r="L108" s="5">
        <f>交易明細!K54</f>
        <v/>
      </c>
      <c r="M108" s="16">
        <f>M107</f>
        <v/>
      </c>
      <c r="N108" s="2">
        <f>N107</f>
        <v/>
      </c>
      <c r="O108" s="16">
        <f>O107</f>
        <v/>
      </c>
      <c r="P108" s="4">
        <f>交易明細!L54</f>
        <v/>
      </c>
      <c r="Q108" s="10">
        <f>IF(N108="已下單",O108*P108,0)</f>
        <v/>
      </c>
      <c r="R108" s="10">
        <f>R107+Q108</f>
        <v/>
      </c>
      <c r="S108" s="16">
        <f>S107-IF(N108="已下單",M108,0)</f>
        <v/>
      </c>
      <c r="T108" s="16">
        <f>R108-S108</f>
        <v/>
      </c>
      <c r="U108" s="2">
        <f>U107-IF(N108="已下單",1,0)</f>
        <v/>
      </c>
      <c r="V108" s="16">
        <f>IF(資金模擬!$B$9=2,MAX(R108,0),MAX(V107,FLOOR(MAX(R108,0),資金模擬!$B$6)))</f>
        <v/>
      </c>
      <c r="W108" s="10">
        <f>MAX(W107,R108)</f>
        <v/>
      </c>
      <c r="X108" s="4">
        <f>IF(W108&gt;0,R108/W108-1,-1)</f>
        <v/>
      </c>
      <c r="Y108" s="16">
        <f>IF(R108&gt;0,S108*資金模擬!$B$7/R108,0)</f>
        <v/>
      </c>
      <c r="Z108" s="2">
        <f>IF(OR(Z107=1,R108&lt;=資金模擬!$B$10),1,0)</f>
        <v/>
      </c>
    </row>
    <row r="109">
      <c r="A109" s="2" t="n">
        <v>107</v>
      </c>
      <c r="B109" s="7" t="n">
        <v>46274.51388888889</v>
      </c>
      <c r="C109" s="2" t="inlineStr">
        <is>
          <t>進場</t>
        </is>
      </c>
      <c r="D109" s="2" t="n">
        <v>54</v>
      </c>
      <c r="E109" s="2" t="inlineStr">
        <is>
          <t>PROS_USDT_PERP</t>
        </is>
      </c>
      <c r="F109" s="2" t="inlineStr">
        <is>
          <t>做空</t>
        </is>
      </c>
      <c r="G109" s="17" t="n">
        <v>0.5004999999999999</v>
      </c>
      <c r="H109" s="17" t="n">
        <v>0.4804799999999999</v>
      </c>
      <c r="I109" s="17" t="n">
        <v>0.525525</v>
      </c>
      <c r="J109" s="17" t="n"/>
      <c r="K109" s="2" t="n"/>
      <c r="L109" s="5" t="n"/>
      <c r="M109" s="16">
        <f>資金模擬!$B$5*V108</f>
        <v/>
      </c>
      <c r="N109" s="2">
        <f>IF(Z108=1,"已停止",IF(T108&gt;=M109,"已下單","資金不足略過"))</f>
        <v/>
      </c>
      <c r="O109" s="16">
        <f>IF(N109="已下單",M109*資金模擬!$B$7,0)</f>
        <v/>
      </c>
      <c r="P109" s="4" t="n"/>
      <c r="Q109" s="10" t="n">
        <v>0</v>
      </c>
      <c r="R109" s="10">
        <f>R108+Q109</f>
        <v/>
      </c>
      <c r="S109" s="16">
        <f>S108+IF(N109="已下單",M109,0)</f>
        <v/>
      </c>
      <c r="T109" s="16">
        <f>R109-S109</f>
        <v/>
      </c>
      <c r="U109" s="2">
        <f>U108+IF(N109="已下單",1,0)</f>
        <v/>
      </c>
      <c r="V109" s="16">
        <f>IF(資金模擬!$B$9=2,MAX(R109,0),MAX(V108,FLOOR(MAX(R109,0),資金模擬!$B$6)))</f>
        <v/>
      </c>
      <c r="W109" s="10">
        <f>MAX(W108,R109)</f>
        <v/>
      </c>
      <c r="X109" s="4">
        <f>IF(W109&gt;0,R109/W109-1,-1)</f>
        <v/>
      </c>
      <c r="Y109" s="16">
        <f>IF(R109&gt;0,S109*資金模擬!$B$7/R109,0)</f>
        <v/>
      </c>
      <c r="Z109" s="2">
        <f>IF(OR(Z108=1,R109&lt;=資金模擬!$B$10),1,0)</f>
        <v/>
      </c>
    </row>
    <row r="110">
      <c r="A110" s="2" t="n">
        <v>108</v>
      </c>
      <c r="B110" s="7" t="n">
        <v>46274.53125</v>
      </c>
      <c r="C110" s="2" t="inlineStr">
        <is>
          <t>出場</t>
        </is>
      </c>
      <c r="D110" s="2" t="n">
        <v>54</v>
      </c>
      <c r="E110" s="2" t="inlineStr">
        <is>
          <t>PROS_USDT_PERP</t>
        </is>
      </c>
      <c r="F110" s="2" t="inlineStr">
        <is>
          <t>做空</t>
        </is>
      </c>
      <c r="G110" s="17" t="n">
        <v>0.5004999999999999</v>
      </c>
      <c r="H110" s="17" t="n">
        <v>0.4804799999999999</v>
      </c>
      <c r="I110" s="17" t="n">
        <v>0.525525</v>
      </c>
      <c r="J110" s="17" t="n">
        <v>0.525525</v>
      </c>
      <c r="K110" s="2" t="inlineStr">
        <is>
          <t>止損</t>
        </is>
      </c>
      <c r="L110" s="5">
        <f>交易明細!K55</f>
        <v/>
      </c>
      <c r="M110" s="16">
        <f>M109</f>
        <v/>
      </c>
      <c r="N110" s="2">
        <f>N109</f>
        <v/>
      </c>
      <c r="O110" s="16">
        <f>O109</f>
        <v/>
      </c>
      <c r="P110" s="4">
        <f>交易明細!L55</f>
        <v/>
      </c>
      <c r="Q110" s="10">
        <f>IF(N110="已下單",O110*P110,0)</f>
        <v/>
      </c>
      <c r="R110" s="10">
        <f>R109+Q110</f>
        <v/>
      </c>
      <c r="S110" s="16">
        <f>S109-IF(N110="已下單",M110,0)</f>
        <v/>
      </c>
      <c r="T110" s="16">
        <f>R110-S110</f>
        <v/>
      </c>
      <c r="U110" s="2">
        <f>U109-IF(N110="已下單",1,0)</f>
        <v/>
      </c>
      <c r="V110" s="16">
        <f>IF(資金模擬!$B$9=2,MAX(R110,0),MAX(V109,FLOOR(MAX(R110,0),資金模擬!$B$6)))</f>
        <v/>
      </c>
      <c r="W110" s="10">
        <f>MAX(W109,R110)</f>
        <v/>
      </c>
      <c r="X110" s="4">
        <f>IF(W110&gt;0,R110/W110-1,-1)</f>
        <v/>
      </c>
      <c r="Y110" s="16">
        <f>IF(R110&gt;0,S110*資金模擬!$B$7/R110,0)</f>
        <v/>
      </c>
      <c r="Z110" s="2">
        <f>IF(OR(Z109=1,R110&lt;=資金模擬!$B$10),1,0)</f>
        <v/>
      </c>
    </row>
    <row r="111">
      <c r="A111" s="2" t="n">
        <v>109</v>
      </c>
      <c r="B111" s="7" t="n">
        <v>46275.03472222222</v>
      </c>
      <c r="C111" s="2" t="inlineStr">
        <is>
          <t>進場</t>
        </is>
      </c>
      <c r="D111" s="2" t="n">
        <v>55</v>
      </c>
      <c r="E111" s="2" t="inlineStr">
        <is>
          <t>PHA_USDT_PERP</t>
        </is>
      </c>
      <c r="F111" s="2" t="inlineStr">
        <is>
          <t>做空</t>
        </is>
      </c>
      <c r="G111" s="17" t="n">
        <v>0.03342</v>
      </c>
      <c r="H111" s="17" t="n">
        <v>0.0320832</v>
      </c>
      <c r="I111" s="17" t="n">
        <v>0.035091</v>
      </c>
      <c r="J111" s="17" t="n"/>
      <c r="K111" s="2" t="n"/>
      <c r="L111" s="5" t="n"/>
      <c r="M111" s="16">
        <f>資金模擬!$B$5*V110</f>
        <v/>
      </c>
      <c r="N111" s="2">
        <f>IF(Z110=1,"已停止",IF(T110&gt;=M111,"已下單","資金不足略過"))</f>
        <v/>
      </c>
      <c r="O111" s="16">
        <f>IF(N111="已下單",M111*資金模擬!$B$7,0)</f>
        <v/>
      </c>
      <c r="P111" s="4" t="n"/>
      <c r="Q111" s="10" t="n">
        <v>0</v>
      </c>
      <c r="R111" s="10">
        <f>R110+Q111</f>
        <v/>
      </c>
      <c r="S111" s="16">
        <f>S110+IF(N111="已下單",M111,0)</f>
        <v/>
      </c>
      <c r="T111" s="16">
        <f>R111-S111</f>
        <v/>
      </c>
      <c r="U111" s="2">
        <f>U110+IF(N111="已下單",1,0)</f>
        <v/>
      </c>
      <c r="V111" s="16">
        <f>IF(資金模擬!$B$9=2,MAX(R111,0),MAX(V110,FLOOR(MAX(R111,0),資金模擬!$B$6)))</f>
        <v/>
      </c>
      <c r="W111" s="10">
        <f>MAX(W110,R111)</f>
        <v/>
      </c>
      <c r="X111" s="4">
        <f>IF(W111&gt;0,R111/W111-1,-1)</f>
        <v/>
      </c>
      <c r="Y111" s="16">
        <f>IF(R111&gt;0,S111*資金模擬!$B$7/R111,0)</f>
        <v/>
      </c>
      <c r="Z111" s="2">
        <f>IF(OR(Z110=1,R111&lt;=資金模擬!$B$10),1,0)</f>
        <v/>
      </c>
    </row>
    <row r="112">
      <c r="A112" s="2" t="n">
        <v>110</v>
      </c>
      <c r="B112" s="7" t="n">
        <v>46275.04861111111</v>
      </c>
      <c r="C112" s="2" t="inlineStr">
        <is>
          <t>出場</t>
        </is>
      </c>
      <c r="D112" s="2" t="n">
        <v>55</v>
      </c>
      <c r="E112" s="2" t="inlineStr">
        <is>
          <t>PHA_USDT_PERP</t>
        </is>
      </c>
      <c r="F112" s="2" t="inlineStr">
        <is>
          <t>做空</t>
        </is>
      </c>
      <c r="G112" s="17" t="n">
        <v>0.03342</v>
      </c>
      <c r="H112" s="17" t="n">
        <v>0.0320832</v>
      </c>
      <c r="I112" s="17" t="n">
        <v>0.035091</v>
      </c>
      <c r="J112" s="17" t="n">
        <v>0.0320832</v>
      </c>
      <c r="K112" s="2" t="inlineStr">
        <is>
          <t>止盈</t>
        </is>
      </c>
      <c r="L112" s="5">
        <f>交易明細!K56</f>
        <v/>
      </c>
      <c r="M112" s="16">
        <f>M111</f>
        <v/>
      </c>
      <c r="N112" s="2">
        <f>N111</f>
        <v/>
      </c>
      <c r="O112" s="16">
        <f>O111</f>
        <v/>
      </c>
      <c r="P112" s="4">
        <f>交易明細!L56</f>
        <v/>
      </c>
      <c r="Q112" s="10">
        <f>IF(N112="已下單",O112*P112,0)</f>
        <v/>
      </c>
      <c r="R112" s="10">
        <f>R111+Q112</f>
        <v/>
      </c>
      <c r="S112" s="16">
        <f>S111-IF(N112="已下單",M112,0)</f>
        <v/>
      </c>
      <c r="T112" s="16">
        <f>R112-S112</f>
        <v/>
      </c>
      <c r="U112" s="2">
        <f>U111-IF(N112="已下單",1,0)</f>
        <v/>
      </c>
      <c r="V112" s="16">
        <f>IF(資金模擬!$B$9=2,MAX(R112,0),MAX(V111,FLOOR(MAX(R112,0),資金模擬!$B$6)))</f>
        <v/>
      </c>
      <c r="W112" s="10">
        <f>MAX(W111,R112)</f>
        <v/>
      </c>
      <c r="X112" s="4">
        <f>IF(W112&gt;0,R112/W112-1,-1)</f>
        <v/>
      </c>
      <c r="Y112" s="16">
        <f>IF(R112&gt;0,S112*資金模擬!$B$7/R112,0)</f>
        <v/>
      </c>
      <c r="Z112" s="2">
        <f>IF(OR(Z111=1,R112&lt;=資金模擬!$B$10),1,0)</f>
        <v/>
      </c>
    </row>
    <row r="113">
      <c r="A113" s="2" t="n">
        <v>111</v>
      </c>
      <c r="B113" s="7" t="n">
        <v>46275.54513888889</v>
      </c>
      <c r="C113" s="2" t="inlineStr">
        <is>
          <t>進場</t>
        </is>
      </c>
      <c r="D113" s="2" t="n">
        <v>56</v>
      </c>
      <c r="E113" s="2" t="inlineStr">
        <is>
          <t>REZ_USDT_PERP</t>
        </is>
      </c>
      <c r="F113" s="2" t="inlineStr">
        <is>
          <t>做空</t>
        </is>
      </c>
      <c r="G113" s="17" t="n">
        <v>0.00362</v>
      </c>
      <c r="H113" s="17" t="n">
        <v>0.0034752</v>
      </c>
      <c r="I113" s="17" t="n">
        <v>0.003801</v>
      </c>
      <c r="J113" s="17" t="n"/>
      <c r="K113" s="2" t="n"/>
      <c r="L113" s="5" t="n"/>
      <c r="M113" s="16">
        <f>資金模擬!$B$5*V112</f>
        <v/>
      </c>
      <c r="N113" s="2">
        <f>IF(Z112=1,"已停止",IF(T112&gt;=M113,"已下單","資金不足略過"))</f>
        <v/>
      </c>
      <c r="O113" s="16">
        <f>IF(N113="已下單",M113*資金模擬!$B$7,0)</f>
        <v/>
      </c>
      <c r="P113" s="4" t="n"/>
      <c r="Q113" s="10" t="n">
        <v>0</v>
      </c>
      <c r="R113" s="10">
        <f>R112+Q113</f>
        <v/>
      </c>
      <c r="S113" s="16">
        <f>S112+IF(N113="已下單",M113,0)</f>
        <v/>
      </c>
      <c r="T113" s="16">
        <f>R113-S113</f>
        <v/>
      </c>
      <c r="U113" s="2">
        <f>U112+IF(N113="已下單",1,0)</f>
        <v/>
      </c>
      <c r="V113" s="16">
        <f>IF(資金模擬!$B$9=2,MAX(R113,0),MAX(V112,FLOOR(MAX(R113,0),資金模擬!$B$6)))</f>
        <v/>
      </c>
      <c r="W113" s="10">
        <f>MAX(W112,R113)</f>
        <v/>
      </c>
      <c r="X113" s="4">
        <f>IF(W113&gt;0,R113/W113-1,-1)</f>
        <v/>
      </c>
      <c r="Y113" s="16">
        <f>IF(R113&gt;0,S113*資金模擬!$B$7/R113,0)</f>
        <v/>
      </c>
      <c r="Z113" s="2">
        <f>IF(OR(Z112=1,R113&lt;=資金模擬!$B$10),1,0)</f>
        <v/>
      </c>
    </row>
    <row r="114">
      <c r="A114" s="2" t="n">
        <v>112</v>
      </c>
      <c r="B114" s="7" t="n">
        <v>46275.55555555555</v>
      </c>
      <c r="C114" s="2" t="inlineStr">
        <is>
          <t>出場</t>
        </is>
      </c>
      <c r="D114" s="2" t="n">
        <v>56</v>
      </c>
      <c r="E114" s="2" t="inlineStr">
        <is>
          <t>REZ_USDT_PERP</t>
        </is>
      </c>
      <c r="F114" s="2" t="inlineStr">
        <is>
          <t>做空</t>
        </is>
      </c>
      <c r="G114" s="17" t="n">
        <v>0.00362</v>
      </c>
      <c r="H114" s="17" t="n">
        <v>0.0034752</v>
      </c>
      <c r="I114" s="17" t="n">
        <v>0.003801</v>
      </c>
      <c r="J114" s="17" t="n">
        <v>0.003801</v>
      </c>
      <c r="K114" s="2" t="inlineStr">
        <is>
          <t>止損</t>
        </is>
      </c>
      <c r="L114" s="5">
        <f>交易明細!K57</f>
        <v/>
      </c>
      <c r="M114" s="16">
        <f>M113</f>
        <v/>
      </c>
      <c r="N114" s="2">
        <f>N113</f>
        <v/>
      </c>
      <c r="O114" s="16">
        <f>O113</f>
        <v/>
      </c>
      <c r="P114" s="4">
        <f>交易明細!L57</f>
        <v/>
      </c>
      <c r="Q114" s="10">
        <f>IF(N114="已下單",O114*P114,0)</f>
        <v/>
      </c>
      <c r="R114" s="10">
        <f>R113+Q114</f>
        <v/>
      </c>
      <c r="S114" s="16">
        <f>S113-IF(N114="已下單",M114,0)</f>
        <v/>
      </c>
      <c r="T114" s="16">
        <f>R114-S114</f>
        <v/>
      </c>
      <c r="U114" s="2">
        <f>U113-IF(N114="已下單",1,0)</f>
        <v/>
      </c>
      <c r="V114" s="16">
        <f>IF(資金模擬!$B$9=2,MAX(R114,0),MAX(V113,FLOOR(MAX(R114,0),資金模擬!$B$6)))</f>
        <v/>
      </c>
      <c r="W114" s="10">
        <f>MAX(W113,R114)</f>
        <v/>
      </c>
      <c r="X114" s="4">
        <f>IF(W114&gt;0,R114/W114-1,-1)</f>
        <v/>
      </c>
      <c r="Y114" s="16">
        <f>IF(R114&gt;0,S114*資金模擬!$B$7/R114,0)</f>
        <v/>
      </c>
      <c r="Z114" s="2">
        <f>IF(OR(Z113=1,R114&lt;=資金模擬!$B$10),1,0)</f>
        <v/>
      </c>
    </row>
    <row r="115">
      <c r="A115" s="2" t="n">
        <v>113</v>
      </c>
      <c r="B115" s="7" t="n">
        <v>46275.63541666666</v>
      </c>
      <c r="C115" s="2" t="inlineStr">
        <is>
          <t>進場</t>
        </is>
      </c>
      <c r="D115" s="2" t="n">
        <v>57</v>
      </c>
      <c r="E115" s="2" t="inlineStr">
        <is>
          <t>ANIME_USDT_PERP</t>
        </is>
      </c>
      <c r="F115" s="2" t="inlineStr">
        <is>
          <t>做空</t>
        </is>
      </c>
      <c r="G115" s="17" t="n">
        <v>0.003552</v>
      </c>
      <c r="H115" s="17" t="n">
        <v>0.00340992</v>
      </c>
      <c r="I115" s="17" t="n">
        <v>0.0037296</v>
      </c>
      <c r="J115" s="17" t="n"/>
      <c r="K115" s="2" t="n"/>
      <c r="L115" s="5" t="n"/>
      <c r="M115" s="16">
        <f>資金模擬!$B$5*V114</f>
        <v/>
      </c>
      <c r="N115" s="2">
        <f>IF(Z114=1,"已停止",IF(T114&gt;=M115,"已下單","資金不足略過"))</f>
        <v/>
      </c>
      <c r="O115" s="16">
        <f>IF(N115="已下單",M115*資金模擬!$B$7,0)</f>
        <v/>
      </c>
      <c r="P115" s="4" t="n"/>
      <c r="Q115" s="10" t="n">
        <v>0</v>
      </c>
      <c r="R115" s="10">
        <f>R114+Q115</f>
        <v/>
      </c>
      <c r="S115" s="16">
        <f>S114+IF(N115="已下單",M115,0)</f>
        <v/>
      </c>
      <c r="T115" s="16">
        <f>R115-S115</f>
        <v/>
      </c>
      <c r="U115" s="2">
        <f>U114+IF(N115="已下單",1,0)</f>
        <v/>
      </c>
      <c r="V115" s="16">
        <f>IF(資金模擬!$B$9=2,MAX(R115,0),MAX(V114,FLOOR(MAX(R115,0),資金模擬!$B$6)))</f>
        <v/>
      </c>
      <c r="W115" s="10">
        <f>MAX(W114,R115)</f>
        <v/>
      </c>
      <c r="X115" s="4">
        <f>IF(W115&gt;0,R115/W115-1,-1)</f>
        <v/>
      </c>
      <c r="Y115" s="16">
        <f>IF(R115&gt;0,S115*資金模擬!$B$7/R115,0)</f>
        <v/>
      </c>
      <c r="Z115" s="2">
        <f>IF(OR(Z114=1,R115&lt;=資金模擬!$B$10),1,0)</f>
        <v/>
      </c>
    </row>
    <row r="116">
      <c r="A116" s="2" t="n">
        <v>114</v>
      </c>
      <c r="B116" s="7" t="n">
        <v>46275.64583333334</v>
      </c>
      <c r="C116" s="2" t="inlineStr">
        <is>
          <t>出場</t>
        </is>
      </c>
      <c r="D116" s="2" t="n">
        <v>57</v>
      </c>
      <c r="E116" s="2" t="inlineStr">
        <is>
          <t>ANIME_USDT_PERP</t>
        </is>
      </c>
      <c r="F116" s="2" t="inlineStr">
        <is>
          <t>做空</t>
        </is>
      </c>
      <c r="G116" s="17" t="n">
        <v>0.003552</v>
      </c>
      <c r="H116" s="17" t="n">
        <v>0.00340992</v>
      </c>
      <c r="I116" s="17" t="n">
        <v>0.0037296</v>
      </c>
      <c r="J116" s="17" t="n">
        <v>0.00340992</v>
      </c>
      <c r="K116" s="2" t="inlineStr">
        <is>
          <t>止盈</t>
        </is>
      </c>
      <c r="L116" s="5">
        <f>交易明細!K58</f>
        <v/>
      </c>
      <c r="M116" s="16">
        <f>M115</f>
        <v/>
      </c>
      <c r="N116" s="2">
        <f>N115</f>
        <v/>
      </c>
      <c r="O116" s="16">
        <f>O115</f>
        <v/>
      </c>
      <c r="P116" s="4">
        <f>交易明細!L58</f>
        <v/>
      </c>
      <c r="Q116" s="10">
        <f>IF(N116="已下單",O116*P116,0)</f>
        <v/>
      </c>
      <c r="R116" s="10">
        <f>R115+Q116</f>
        <v/>
      </c>
      <c r="S116" s="16">
        <f>S115-IF(N116="已下單",M116,0)</f>
        <v/>
      </c>
      <c r="T116" s="16">
        <f>R116-S116</f>
        <v/>
      </c>
      <c r="U116" s="2">
        <f>U115-IF(N116="已下單",1,0)</f>
        <v/>
      </c>
      <c r="V116" s="16">
        <f>IF(資金模擬!$B$9=2,MAX(R116,0),MAX(V115,FLOOR(MAX(R116,0),資金模擬!$B$6)))</f>
        <v/>
      </c>
      <c r="W116" s="10">
        <f>MAX(W115,R116)</f>
        <v/>
      </c>
      <c r="X116" s="4">
        <f>IF(W116&gt;0,R116/W116-1,-1)</f>
        <v/>
      </c>
      <c r="Y116" s="16">
        <f>IF(R116&gt;0,S116*資金模擬!$B$7/R116,0)</f>
        <v/>
      </c>
      <c r="Z116" s="2">
        <f>IF(OR(Z115=1,R116&lt;=資金模擬!$B$10),1,0)</f>
        <v/>
      </c>
    </row>
    <row r="117">
      <c r="A117" s="2" t="n">
        <v>115</v>
      </c>
      <c r="B117" s="7" t="n">
        <v>46276.02430555555</v>
      </c>
      <c r="C117" s="2" t="inlineStr">
        <is>
          <t>進場</t>
        </is>
      </c>
      <c r="D117" s="2" t="n">
        <v>58</v>
      </c>
      <c r="E117" s="2" t="inlineStr">
        <is>
          <t>SAGA_USDT_PERP</t>
        </is>
      </c>
      <c r="F117" s="2" t="inlineStr">
        <is>
          <t>做空</t>
        </is>
      </c>
      <c r="G117" s="17" t="n">
        <v>0.01776</v>
      </c>
      <c r="H117" s="17" t="n">
        <v>0.0170496</v>
      </c>
      <c r="I117" s="17" t="n">
        <v>0.018648</v>
      </c>
      <c r="J117" s="17" t="n"/>
      <c r="K117" s="2" t="n"/>
      <c r="L117" s="5" t="n"/>
      <c r="M117" s="16">
        <f>資金模擬!$B$5*V116</f>
        <v/>
      </c>
      <c r="N117" s="2">
        <f>IF(Z116=1,"已停止",IF(T116&gt;=M117,"已下單","資金不足略過"))</f>
        <v/>
      </c>
      <c r="O117" s="16">
        <f>IF(N117="已下單",M117*資金模擬!$B$7,0)</f>
        <v/>
      </c>
      <c r="P117" s="4" t="n"/>
      <c r="Q117" s="10" t="n">
        <v>0</v>
      </c>
      <c r="R117" s="10">
        <f>R116+Q117</f>
        <v/>
      </c>
      <c r="S117" s="16">
        <f>S116+IF(N117="已下單",M117,0)</f>
        <v/>
      </c>
      <c r="T117" s="16">
        <f>R117-S117</f>
        <v/>
      </c>
      <c r="U117" s="2">
        <f>U116+IF(N117="已下單",1,0)</f>
        <v/>
      </c>
      <c r="V117" s="16">
        <f>IF(資金模擬!$B$9=2,MAX(R117,0),MAX(V116,FLOOR(MAX(R117,0),資金模擬!$B$6)))</f>
        <v/>
      </c>
      <c r="W117" s="10">
        <f>MAX(W116,R117)</f>
        <v/>
      </c>
      <c r="X117" s="4">
        <f>IF(W117&gt;0,R117/W117-1,-1)</f>
        <v/>
      </c>
      <c r="Y117" s="16">
        <f>IF(R117&gt;0,S117*資金模擬!$B$7/R117,0)</f>
        <v/>
      </c>
      <c r="Z117" s="2">
        <f>IF(OR(Z116=1,R117&lt;=資金模擬!$B$10),1,0)</f>
        <v/>
      </c>
    </row>
    <row r="118">
      <c r="A118" s="2" t="n">
        <v>116</v>
      </c>
      <c r="B118" s="7" t="n">
        <v>46276.07638888889</v>
      </c>
      <c r="C118" s="2" t="inlineStr">
        <is>
          <t>出場</t>
        </is>
      </c>
      <c r="D118" s="2" t="n">
        <v>58</v>
      </c>
      <c r="E118" s="2" t="inlineStr">
        <is>
          <t>SAGA_USDT_PERP</t>
        </is>
      </c>
      <c r="F118" s="2" t="inlineStr">
        <is>
          <t>做空</t>
        </is>
      </c>
      <c r="G118" s="17" t="n">
        <v>0.01776</v>
      </c>
      <c r="H118" s="17" t="n">
        <v>0.0170496</v>
      </c>
      <c r="I118" s="17" t="n">
        <v>0.018648</v>
      </c>
      <c r="J118" s="17" t="n">
        <v>0.0170496</v>
      </c>
      <c r="K118" s="2" t="inlineStr">
        <is>
          <t>止盈</t>
        </is>
      </c>
      <c r="L118" s="5">
        <f>交易明細!K59</f>
        <v/>
      </c>
      <c r="M118" s="16">
        <f>M117</f>
        <v/>
      </c>
      <c r="N118" s="2">
        <f>N117</f>
        <v/>
      </c>
      <c r="O118" s="16">
        <f>O117</f>
        <v/>
      </c>
      <c r="P118" s="4">
        <f>交易明細!L59</f>
        <v/>
      </c>
      <c r="Q118" s="10">
        <f>IF(N118="已下單",O118*P118,0)</f>
        <v/>
      </c>
      <c r="R118" s="10">
        <f>R117+Q118</f>
        <v/>
      </c>
      <c r="S118" s="16">
        <f>S117-IF(N118="已下單",M118,0)</f>
        <v/>
      </c>
      <c r="T118" s="16">
        <f>R118-S118</f>
        <v/>
      </c>
      <c r="U118" s="2">
        <f>U117-IF(N118="已下單",1,0)</f>
        <v/>
      </c>
      <c r="V118" s="16">
        <f>IF(資金模擬!$B$9=2,MAX(R118,0),MAX(V117,FLOOR(MAX(R118,0),資金模擬!$B$6)))</f>
        <v/>
      </c>
      <c r="W118" s="10">
        <f>MAX(W117,R118)</f>
        <v/>
      </c>
      <c r="X118" s="4">
        <f>IF(W118&gt;0,R118/W118-1,-1)</f>
        <v/>
      </c>
      <c r="Y118" s="16">
        <f>IF(R118&gt;0,S118*資金模擬!$B$7/R118,0)</f>
        <v/>
      </c>
      <c r="Z118" s="2">
        <f>IF(OR(Z117=1,R118&lt;=資金模擬!$B$10),1,0)</f>
        <v/>
      </c>
    </row>
    <row r="119">
      <c r="A119" s="2" t="n">
        <v>117</v>
      </c>
      <c r="B119" s="7" t="n">
        <v>46276.14236111111</v>
      </c>
      <c r="C119" s="2" t="inlineStr">
        <is>
          <t>進場</t>
        </is>
      </c>
      <c r="D119" s="2" t="n">
        <v>59</v>
      </c>
      <c r="E119" s="2" t="inlineStr">
        <is>
          <t>哈基米_USDT_PERP</t>
        </is>
      </c>
      <c r="F119" s="2" t="inlineStr">
        <is>
          <t>做空</t>
        </is>
      </c>
      <c r="G119" s="17" t="n">
        <v>0.03622</v>
      </c>
      <c r="H119" s="17" t="n">
        <v>0.0347712</v>
      </c>
      <c r="I119" s="17" t="n">
        <v>0.038031</v>
      </c>
      <c r="J119" s="17" t="n"/>
      <c r="K119" s="2" t="n"/>
      <c r="L119" s="5" t="n"/>
      <c r="M119" s="16">
        <f>資金模擬!$B$5*V118</f>
        <v/>
      </c>
      <c r="N119" s="2">
        <f>IF(Z118=1,"已停止",IF(T118&gt;=M119,"已下單","資金不足略過"))</f>
        <v/>
      </c>
      <c r="O119" s="16">
        <f>IF(N119="已下單",M119*資金模擬!$B$7,0)</f>
        <v/>
      </c>
      <c r="P119" s="4" t="n"/>
      <c r="Q119" s="10" t="n">
        <v>0</v>
      </c>
      <c r="R119" s="10">
        <f>R118+Q119</f>
        <v/>
      </c>
      <c r="S119" s="16">
        <f>S118+IF(N119="已下單",M119,0)</f>
        <v/>
      </c>
      <c r="T119" s="16">
        <f>R119-S119</f>
        <v/>
      </c>
      <c r="U119" s="2">
        <f>U118+IF(N119="已下單",1,0)</f>
        <v/>
      </c>
      <c r="V119" s="16">
        <f>IF(資金模擬!$B$9=2,MAX(R119,0),MAX(V118,FLOOR(MAX(R119,0),資金模擬!$B$6)))</f>
        <v/>
      </c>
      <c r="W119" s="10">
        <f>MAX(W118,R119)</f>
        <v/>
      </c>
      <c r="X119" s="4">
        <f>IF(W119&gt;0,R119/W119-1,-1)</f>
        <v/>
      </c>
      <c r="Y119" s="16">
        <f>IF(R119&gt;0,S119*資金模擬!$B$7/R119,0)</f>
        <v/>
      </c>
      <c r="Z119" s="2">
        <f>IF(OR(Z118=1,R119&lt;=資金模擬!$B$10),1,0)</f>
        <v/>
      </c>
    </row>
    <row r="120">
      <c r="A120" s="2" t="n">
        <v>118</v>
      </c>
      <c r="B120" s="7" t="n">
        <v>46276.15625</v>
      </c>
      <c r="C120" s="2" t="inlineStr">
        <is>
          <t>出場</t>
        </is>
      </c>
      <c r="D120" s="2" t="n">
        <v>59</v>
      </c>
      <c r="E120" s="2" t="inlineStr">
        <is>
          <t>哈基米_USDT_PERP</t>
        </is>
      </c>
      <c r="F120" s="2" t="inlineStr">
        <is>
          <t>做空</t>
        </is>
      </c>
      <c r="G120" s="17" t="n">
        <v>0.03622</v>
      </c>
      <c r="H120" s="17" t="n">
        <v>0.0347712</v>
      </c>
      <c r="I120" s="17" t="n">
        <v>0.038031</v>
      </c>
      <c r="J120" s="17" t="n">
        <v>0.038031</v>
      </c>
      <c r="K120" s="2" t="inlineStr">
        <is>
          <t>止損</t>
        </is>
      </c>
      <c r="L120" s="5">
        <f>交易明細!K60</f>
        <v/>
      </c>
      <c r="M120" s="16">
        <f>M119</f>
        <v/>
      </c>
      <c r="N120" s="2">
        <f>N119</f>
        <v/>
      </c>
      <c r="O120" s="16">
        <f>O119</f>
        <v/>
      </c>
      <c r="P120" s="4">
        <f>交易明細!L60</f>
        <v/>
      </c>
      <c r="Q120" s="10">
        <f>IF(N120="已下單",O120*P120,0)</f>
        <v/>
      </c>
      <c r="R120" s="10">
        <f>R119+Q120</f>
        <v/>
      </c>
      <c r="S120" s="16">
        <f>S119-IF(N120="已下單",M120,0)</f>
        <v/>
      </c>
      <c r="T120" s="16">
        <f>R120-S120</f>
        <v/>
      </c>
      <c r="U120" s="2">
        <f>U119-IF(N120="已下單",1,0)</f>
        <v/>
      </c>
      <c r="V120" s="16">
        <f>IF(資金模擬!$B$9=2,MAX(R120,0),MAX(V119,FLOOR(MAX(R120,0),資金模擬!$B$6)))</f>
        <v/>
      </c>
      <c r="W120" s="10">
        <f>MAX(W119,R120)</f>
        <v/>
      </c>
      <c r="X120" s="4">
        <f>IF(W120&gt;0,R120/W120-1,-1)</f>
        <v/>
      </c>
      <c r="Y120" s="16">
        <f>IF(R120&gt;0,S120*資金模擬!$B$7/R120,0)</f>
        <v/>
      </c>
      <c r="Z120" s="2">
        <f>IF(OR(Z119=1,R120&lt;=資金模擬!$B$10),1,0)</f>
        <v/>
      </c>
    </row>
    <row r="121">
      <c r="A121" s="2" t="n">
        <v>119</v>
      </c>
      <c r="B121" s="7" t="n">
        <v>46276.31944444445</v>
      </c>
      <c r="C121" s="2" t="inlineStr">
        <is>
          <t>進場</t>
        </is>
      </c>
      <c r="D121" s="2" t="n">
        <v>60</v>
      </c>
      <c r="E121" s="2" t="inlineStr">
        <is>
          <t>我踏马来了_USDT_PERP</t>
        </is>
      </c>
      <c r="F121" s="2" t="inlineStr">
        <is>
          <t>做空</t>
        </is>
      </c>
      <c r="G121" s="17" t="n">
        <v>0.012087</v>
      </c>
      <c r="H121" s="17" t="n">
        <v>0.01160352</v>
      </c>
      <c r="I121" s="17" t="n">
        <v>0.01269135</v>
      </c>
      <c r="J121" s="17" t="n"/>
      <c r="K121" s="2" t="n"/>
      <c r="L121" s="5" t="n"/>
      <c r="M121" s="16">
        <f>資金模擬!$B$5*V120</f>
        <v/>
      </c>
      <c r="N121" s="2">
        <f>IF(Z120=1,"已停止",IF(T120&gt;=M121,"已下單","資金不足略過"))</f>
        <v/>
      </c>
      <c r="O121" s="16">
        <f>IF(N121="已下單",M121*資金模擬!$B$7,0)</f>
        <v/>
      </c>
      <c r="P121" s="4" t="n"/>
      <c r="Q121" s="10" t="n">
        <v>0</v>
      </c>
      <c r="R121" s="10">
        <f>R120+Q121</f>
        <v/>
      </c>
      <c r="S121" s="16">
        <f>S120+IF(N121="已下單",M121,0)</f>
        <v/>
      </c>
      <c r="T121" s="16">
        <f>R121-S121</f>
        <v/>
      </c>
      <c r="U121" s="2">
        <f>U120+IF(N121="已下單",1,0)</f>
        <v/>
      </c>
      <c r="V121" s="16">
        <f>IF(資金模擬!$B$9=2,MAX(R121,0),MAX(V120,FLOOR(MAX(R121,0),資金模擬!$B$6)))</f>
        <v/>
      </c>
      <c r="W121" s="10">
        <f>MAX(W120,R121)</f>
        <v/>
      </c>
      <c r="X121" s="4">
        <f>IF(W121&gt;0,R121/W121-1,-1)</f>
        <v/>
      </c>
      <c r="Y121" s="16">
        <f>IF(R121&gt;0,S121*資金模擬!$B$7/R121,0)</f>
        <v/>
      </c>
      <c r="Z121" s="2">
        <f>IF(OR(Z120=1,R121&lt;=資金模擬!$B$10),1,0)</f>
        <v/>
      </c>
    </row>
    <row r="122">
      <c r="A122" s="2" t="n">
        <v>120</v>
      </c>
      <c r="B122" s="7" t="n">
        <v>46276.44097222222</v>
      </c>
      <c r="C122" s="2" t="inlineStr">
        <is>
          <t>出場</t>
        </is>
      </c>
      <c r="D122" s="2" t="n">
        <v>60</v>
      </c>
      <c r="E122" s="2" t="inlineStr">
        <is>
          <t>我踏马来了_USDT_PERP</t>
        </is>
      </c>
      <c r="F122" s="2" t="inlineStr">
        <is>
          <t>做空</t>
        </is>
      </c>
      <c r="G122" s="17" t="n">
        <v>0.012087</v>
      </c>
      <c r="H122" s="17" t="n">
        <v>0.01160352</v>
      </c>
      <c r="I122" s="17" t="n">
        <v>0.01269135</v>
      </c>
      <c r="J122" s="17" t="n">
        <v>0.01269135</v>
      </c>
      <c r="K122" s="2" t="inlineStr">
        <is>
          <t>止損</t>
        </is>
      </c>
      <c r="L122" s="5">
        <f>交易明細!K61</f>
        <v/>
      </c>
      <c r="M122" s="16">
        <f>M121</f>
        <v/>
      </c>
      <c r="N122" s="2">
        <f>N121</f>
        <v/>
      </c>
      <c r="O122" s="16">
        <f>O121</f>
        <v/>
      </c>
      <c r="P122" s="4">
        <f>交易明細!L61</f>
        <v/>
      </c>
      <c r="Q122" s="10">
        <f>IF(N122="已下單",O122*P122,0)</f>
        <v/>
      </c>
      <c r="R122" s="10">
        <f>R121+Q122</f>
        <v/>
      </c>
      <c r="S122" s="16">
        <f>S121-IF(N122="已下單",M122,0)</f>
        <v/>
      </c>
      <c r="T122" s="16">
        <f>R122-S122</f>
        <v/>
      </c>
      <c r="U122" s="2">
        <f>U121-IF(N122="已下單",1,0)</f>
        <v/>
      </c>
      <c r="V122" s="16">
        <f>IF(資金模擬!$B$9=2,MAX(R122,0),MAX(V121,FLOOR(MAX(R122,0),資金模擬!$B$6)))</f>
        <v/>
      </c>
      <c r="W122" s="10">
        <f>MAX(W121,R122)</f>
        <v/>
      </c>
      <c r="X122" s="4">
        <f>IF(W122&gt;0,R122/W122-1,-1)</f>
        <v/>
      </c>
      <c r="Y122" s="16">
        <f>IF(R122&gt;0,S122*資金模擬!$B$7/R122,0)</f>
        <v/>
      </c>
      <c r="Z122" s="2">
        <f>IF(OR(Z121=1,R122&lt;=資金模擬!$B$10),1,0)</f>
        <v/>
      </c>
    </row>
    <row r="123">
      <c r="A123" s="2" t="n">
        <v>121</v>
      </c>
      <c r="B123" s="7" t="n">
        <v>46276.48958333334</v>
      </c>
      <c r="C123" s="2" t="inlineStr">
        <is>
          <t>進場</t>
        </is>
      </c>
      <c r="D123" s="2" t="n">
        <v>61</v>
      </c>
      <c r="E123" s="2" t="inlineStr">
        <is>
          <t>哈基米_USDT_PERP</t>
        </is>
      </c>
      <c r="F123" s="2" t="inlineStr">
        <is>
          <t>做空</t>
        </is>
      </c>
      <c r="G123" s="17" t="n">
        <v>0.0411</v>
      </c>
      <c r="H123" s="17" t="n">
        <v>0.039456</v>
      </c>
      <c r="I123" s="17" t="n">
        <v>0.043155</v>
      </c>
      <c r="J123" s="17" t="n"/>
      <c r="K123" s="2" t="n"/>
      <c r="L123" s="5" t="n"/>
      <c r="M123" s="16">
        <f>資金模擬!$B$5*V122</f>
        <v/>
      </c>
      <c r="N123" s="2">
        <f>IF(Z122=1,"已停止",IF(T122&gt;=M123,"已下單","資金不足略過"))</f>
        <v/>
      </c>
      <c r="O123" s="16">
        <f>IF(N123="已下單",M123*資金模擬!$B$7,0)</f>
        <v/>
      </c>
      <c r="P123" s="4" t="n"/>
      <c r="Q123" s="10" t="n">
        <v>0</v>
      </c>
      <c r="R123" s="10">
        <f>R122+Q123</f>
        <v/>
      </c>
      <c r="S123" s="16">
        <f>S122+IF(N123="已下單",M123,0)</f>
        <v/>
      </c>
      <c r="T123" s="16">
        <f>R123-S123</f>
        <v/>
      </c>
      <c r="U123" s="2">
        <f>U122+IF(N123="已下單",1,0)</f>
        <v/>
      </c>
      <c r="V123" s="16">
        <f>IF(資金模擬!$B$9=2,MAX(R123,0),MAX(V122,FLOOR(MAX(R123,0),資金模擬!$B$6)))</f>
        <v/>
      </c>
      <c r="W123" s="10">
        <f>MAX(W122,R123)</f>
        <v/>
      </c>
      <c r="X123" s="4">
        <f>IF(W123&gt;0,R123/W123-1,-1)</f>
        <v/>
      </c>
      <c r="Y123" s="16">
        <f>IF(R123&gt;0,S123*資金模擬!$B$7/R123,0)</f>
        <v/>
      </c>
      <c r="Z123" s="2">
        <f>IF(OR(Z122=1,R123&lt;=資金模擬!$B$10),1,0)</f>
        <v/>
      </c>
    </row>
    <row r="124">
      <c r="A124" s="2" t="n">
        <v>122</v>
      </c>
      <c r="B124" s="7" t="n">
        <v>46276.50347222222</v>
      </c>
      <c r="C124" s="2" t="inlineStr">
        <is>
          <t>出場</t>
        </is>
      </c>
      <c r="D124" s="2" t="n">
        <v>61</v>
      </c>
      <c r="E124" s="2" t="inlineStr">
        <is>
          <t>哈基米_USDT_PERP</t>
        </is>
      </c>
      <c r="F124" s="2" t="inlineStr">
        <is>
          <t>做空</t>
        </is>
      </c>
      <c r="G124" s="17" t="n">
        <v>0.0411</v>
      </c>
      <c r="H124" s="17" t="n">
        <v>0.039456</v>
      </c>
      <c r="I124" s="17" t="n">
        <v>0.043155</v>
      </c>
      <c r="J124" s="17" t="n">
        <v>0.039456</v>
      </c>
      <c r="K124" s="2" t="inlineStr">
        <is>
          <t>止盈</t>
        </is>
      </c>
      <c r="L124" s="5">
        <f>交易明細!K62</f>
        <v/>
      </c>
      <c r="M124" s="16">
        <f>M123</f>
        <v/>
      </c>
      <c r="N124" s="2">
        <f>N123</f>
        <v/>
      </c>
      <c r="O124" s="16">
        <f>O123</f>
        <v/>
      </c>
      <c r="P124" s="4">
        <f>交易明細!L62</f>
        <v/>
      </c>
      <c r="Q124" s="10">
        <f>IF(N124="已下單",O124*P124,0)</f>
        <v/>
      </c>
      <c r="R124" s="10">
        <f>R123+Q124</f>
        <v/>
      </c>
      <c r="S124" s="16">
        <f>S123-IF(N124="已下單",M124,0)</f>
        <v/>
      </c>
      <c r="T124" s="16">
        <f>R124-S124</f>
        <v/>
      </c>
      <c r="U124" s="2">
        <f>U123-IF(N124="已下單",1,0)</f>
        <v/>
      </c>
      <c r="V124" s="16">
        <f>IF(資金模擬!$B$9=2,MAX(R124,0),MAX(V123,FLOOR(MAX(R124,0),資金模擬!$B$6)))</f>
        <v/>
      </c>
      <c r="W124" s="10">
        <f>MAX(W123,R124)</f>
        <v/>
      </c>
      <c r="X124" s="4">
        <f>IF(W124&gt;0,R124/W124-1,-1)</f>
        <v/>
      </c>
      <c r="Y124" s="16">
        <f>IF(R124&gt;0,S124*資金模擬!$B$7/R124,0)</f>
        <v/>
      </c>
      <c r="Z124" s="2">
        <f>IF(OR(Z123=1,R124&lt;=資金模擬!$B$10),1,0)</f>
        <v/>
      </c>
    </row>
    <row r="125">
      <c r="A125" s="2" t="n">
        <v>123</v>
      </c>
      <c r="B125" s="7" t="n">
        <v>46276.54513888889</v>
      </c>
      <c r="C125" s="2" t="inlineStr">
        <is>
          <t>進場</t>
        </is>
      </c>
      <c r="D125" s="2" t="n">
        <v>62</v>
      </c>
      <c r="E125" s="2" t="inlineStr">
        <is>
          <t>哈基米_USDT_PERP</t>
        </is>
      </c>
      <c r="F125" s="2" t="inlineStr">
        <is>
          <t>做空</t>
        </is>
      </c>
      <c r="G125" s="17" t="n">
        <v>0.04118</v>
      </c>
      <c r="H125" s="17" t="n">
        <v>0.0395328</v>
      </c>
      <c r="I125" s="17" t="n">
        <v>0.04323900000000001</v>
      </c>
      <c r="J125" s="17" t="n"/>
      <c r="K125" s="2" t="n"/>
      <c r="L125" s="5" t="n"/>
      <c r="M125" s="16">
        <f>資金模擬!$B$5*V124</f>
        <v/>
      </c>
      <c r="N125" s="2">
        <f>IF(Z124=1,"已停止",IF(T124&gt;=M125,"已下單","資金不足略過"))</f>
        <v/>
      </c>
      <c r="O125" s="16">
        <f>IF(N125="已下單",M125*資金模擬!$B$7,0)</f>
        <v/>
      </c>
      <c r="P125" s="4" t="n"/>
      <c r="Q125" s="10" t="n">
        <v>0</v>
      </c>
      <c r="R125" s="10">
        <f>R124+Q125</f>
        <v/>
      </c>
      <c r="S125" s="16">
        <f>S124+IF(N125="已下單",M125,0)</f>
        <v/>
      </c>
      <c r="T125" s="16">
        <f>R125-S125</f>
        <v/>
      </c>
      <c r="U125" s="2">
        <f>U124+IF(N125="已下單",1,0)</f>
        <v/>
      </c>
      <c r="V125" s="16">
        <f>IF(資金模擬!$B$9=2,MAX(R125,0),MAX(V124,FLOOR(MAX(R125,0),資金模擬!$B$6)))</f>
        <v/>
      </c>
      <c r="W125" s="10">
        <f>MAX(W124,R125)</f>
        <v/>
      </c>
      <c r="X125" s="4">
        <f>IF(W125&gt;0,R125/W125-1,-1)</f>
        <v/>
      </c>
      <c r="Y125" s="16">
        <f>IF(R125&gt;0,S125*資金模擬!$B$7/R125,0)</f>
        <v/>
      </c>
      <c r="Z125" s="2">
        <f>IF(OR(Z124=1,R125&lt;=資金模擬!$B$10),1,0)</f>
        <v/>
      </c>
    </row>
    <row r="126">
      <c r="A126" s="2" t="n">
        <v>124</v>
      </c>
      <c r="B126" s="7" t="n">
        <v>46276.55208333334</v>
      </c>
      <c r="C126" s="2" t="inlineStr">
        <is>
          <t>出場</t>
        </is>
      </c>
      <c r="D126" s="2" t="n">
        <v>62</v>
      </c>
      <c r="E126" s="2" t="inlineStr">
        <is>
          <t>哈基米_USDT_PERP</t>
        </is>
      </c>
      <c r="F126" s="2" t="inlineStr">
        <is>
          <t>做空</t>
        </is>
      </c>
      <c r="G126" s="17" t="n">
        <v>0.04118</v>
      </c>
      <c r="H126" s="17" t="n">
        <v>0.0395328</v>
      </c>
      <c r="I126" s="17" t="n">
        <v>0.04323900000000001</v>
      </c>
      <c r="J126" s="17" t="n">
        <v>0.0395328</v>
      </c>
      <c r="K126" s="2" t="inlineStr">
        <is>
          <t>止盈</t>
        </is>
      </c>
      <c r="L126" s="5">
        <f>交易明細!K63</f>
        <v/>
      </c>
      <c r="M126" s="16">
        <f>M125</f>
        <v/>
      </c>
      <c r="N126" s="2">
        <f>N125</f>
        <v/>
      </c>
      <c r="O126" s="16">
        <f>O125</f>
        <v/>
      </c>
      <c r="P126" s="4">
        <f>交易明細!L63</f>
        <v/>
      </c>
      <c r="Q126" s="10">
        <f>IF(N126="已下單",O126*P126,0)</f>
        <v/>
      </c>
      <c r="R126" s="10">
        <f>R125+Q126</f>
        <v/>
      </c>
      <c r="S126" s="16">
        <f>S125-IF(N126="已下單",M126,0)</f>
        <v/>
      </c>
      <c r="T126" s="16">
        <f>R126-S126</f>
        <v/>
      </c>
      <c r="U126" s="2">
        <f>U125-IF(N126="已下單",1,0)</f>
        <v/>
      </c>
      <c r="V126" s="16">
        <f>IF(資金模擬!$B$9=2,MAX(R126,0),MAX(V125,FLOOR(MAX(R126,0),資金模擬!$B$6)))</f>
        <v/>
      </c>
      <c r="W126" s="10">
        <f>MAX(W125,R126)</f>
        <v/>
      </c>
      <c r="X126" s="4">
        <f>IF(W126&gt;0,R126/W126-1,-1)</f>
        <v/>
      </c>
      <c r="Y126" s="16">
        <f>IF(R126&gt;0,S126*資金模擬!$B$7/R126,0)</f>
        <v/>
      </c>
      <c r="Z126" s="2">
        <f>IF(OR(Z125=1,R126&lt;=資金模擬!$B$10),1,0)</f>
        <v/>
      </c>
    </row>
    <row r="127">
      <c r="A127" s="2" t="n">
        <v>125</v>
      </c>
      <c r="B127" s="7" t="n">
        <v>46276.76388888889</v>
      </c>
      <c r="C127" s="2" t="inlineStr">
        <is>
          <t>進場</t>
        </is>
      </c>
      <c r="D127" s="2" t="n">
        <v>63</v>
      </c>
      <c r="E127" s="2" t="inlineStr">
        <is>
          <t>LAB_USDT_PERP</t>
        </is>
      </c>
      <c r="F127" s="2" t="inlineStr">
        <is>
          <t>做空</t>
        </is>
      </c>
      <c r="G127" s="17" t="n">
        <v>0.05873</v>
      </c>
      <c r="H127" s="17" t="n">
        <v>0.05638079999999999</v>
      </c>
      <c r="I127" s="17" t="n">
        <v>0.0616665</v>
      </c>
      <c r="J127" s="17" t="n"/>
      <c r="K127" s="2" t="n"/>
      <c r="L127" s="5" t="n"/>
      <c r="M127" s="16">
        <f>資金模擬!$B$5*V126</f>
        <v/>
      </c>
      <c r="N127" s="2">
        <f>IF(Z126=1,"已停止",IF(T126&gt;=M127,"已下單","資金不足略過"))</f>
        <v/>
      </c>
      <c r="O127" s="16">
        <f>IF(N127="已下單",M127*資金模擬!$B$7,0)</f>
        <v/>
      </c>
      <c r="P127" s="4" t="n"/>
      <c r="Q127" s="10" t="n">
        <v>0</v>
      </c>
      <c r="R127" s="10">
        <f>R126+Q127</f>
        <v/>
      </c>
      <c r="S127" s="16">
        <f>S126+IF(N127="已下單",M127,0)</f>
        <v/>
      </c>
      <c r="T127" s="16">
        <f>R127-S127</f>
        <v/>
      </c>
      <c r="U127" s="2">
        <f>U126+IF(N127="已下單",1,0)</f>
        <v/>
      </c>
      <c r="V127" s="16">
        <f>IF(資金模擬!$B$9=2,MAX(R127,0),MAX(V126,FLOOR(MAX(R127,0),資金模擬!$B$6)))</f>
        <v/>
      </c>
      <c r="W127" s="10">
        <f>MAX(W126,R127)</f>
        <v/>
      </c>
      <c r="X127" s="4">
        <f>IF(W127&gt;0,R127/W127-1,-1)</f>
        <v/>
      </c>
      <c r="Y127" s="16">
        <f>IF(R127&gt;0,S127*資金模擬!$B$7/R127,0)</f>
        <v/>
      </c>
      <c r="Z127" s="2">
        <f>IF(OR(Z126=1,R127&lt;=資金模擬!$B$10),1,0)</f>
        <v/>
      </c>
    </row>
    <row r="128">
      <c r="A128" s="2" t="n">
        <v>126</v>
      </c>
      <c r="B128" s="7" t="n">
        <v>46276.78125</v>
      </c>
      <c r="C128" s="2" t="inlineStr">
        <is>
          <t>出場</t>
        </is>
      </c>
      <c r="D128" s="2" t="n">
        <v>63</v>
      </c>
      <c r="E128" s="2" t="inlineStr">
        <is>
          <t>LAB_USDT_PERP</t>
        </is>
      </c>
      <c r="F128" s="2" t="inlineStr">
        <is>
          <t>做空</t>
        </is>
      </c>
      <c r="G128" s="17" t="n">
        <v>0.05873</v>
      </c>
      <c r="H128" s="17" t="n">
        <v>0.05638079999999999</v>
      </c>
      <c r="I128" s="17" t="n">
        <v>0.0616665</v>
      </c>
      <c r="J128" s="17" t="n">
        <v>0.0616665</v>
      </c>
      <c r="K128" s="2" t="inlineStr">
        <is>
          <t>止損</t>
        </is>
      </c>
      <c r="L128" s="5">
        <f>交易明細!K64</f>
        <v/>
      </c>
      <c r="M128" s="16">
        <f>M127</f>
        <v/>
      </c>
      <c r="N128" s="2">
        <f>N127</f>
        <v/>
      </c>
      <c r="O128" s="16">
        <f>O127</f>
        <v/>
      </c>
      <c r="P128" s="4">
        <f>交易明細!L64</f>
        <v/>
      </c>
      <c r="Q128" s="10">
        <f>IF(N128="已下單",O128*P128,0)</f>
        <v/>
      </c>
      <c r="R128" s="10">
        <f>R127+Q128</f>
        <v/>
      </c>
      <c r="S128" s="16">
        <f>S127-IF(N128="已下單",M128,0)</f>
        <v/>
      </c>
      <c r="T128" s="16">
        <f>R128-S128</f>
        <v/>
      </c>
      <c r="U128" s="2">
        <f>U127-IF(N128="已下單",1,0)</f>
        <v/>
      </c>
      <c r="V128" s="16">
        <f>IF(資金模擬!$B$9=2,MAX(R128,0),MAX(V127,FLOOR(MAX(R128,0),資金模擬!$B$6)))</f>
        <v/>
      </c>
      <c r="W128" s="10">
        <f>MAX(W127,R128)</f>
        <v/>
      </c>
      <c r="X128" s="4">
        <f>IF(W128&gt;0,R128/W128-1,-1)</f>
        <v/>
      </c>
      <c r="Y128" s="16">
        <f>IF(R128&gt;0,S128*資金模擬!$B$7/R128,0)</f>
        <v/>
      </c>
      <c r="Z128" s="2">
        <f>IF(OR(Z127=1,R128&lt;=資金模擬!$B$10),1,0)</f>
        <v/>
      </c>
    </row>
    <row r="129">
      <c r="A129" s="2" t="n">
        <v>127</v>
      </c>
      <c r="B129" s="7" t="n">
        <v>46276.92013888889</v>
      </c>
      <c r="C129" s="2" t="inlineStr">
        <is>
          <t>進場</t>
        </is>
      </c>
      <c r="D129" s="2" t="n">
        <v>64</v>
      </c>
      <c r="E129" s="2" t="inlineStr">
        <is>
          <t>CASHCAT_USDT_PERP</t>
        </is>
      </c>
      <c r="F129" s="2" t="inlineStr">
        <is>
          <t>做空</t>
        </is>
      </c>
      <c r="G129" s="17" t="n">
        <v>0.1886</v>
      </c>
      <c r="H129" s="17" t="n">
        <v>0.181056</v>
      </c>
      <c r="I129" s="17" t="n">
        <v>0.19803</v>
      </c>
      <c r="J129" s="17" t="n"/>
      <c r="K129" s="2" t="n"/>
      <c r="L129" s="5" t="n"/>
      <c r="M129" s="16">
        <f>資金模擬!$B$5*V128</f>
        <v/>
      </c>
      <c r="N129" s="2">
        <f>IF(Z128=1,"已停止",IF(T128&gt;=M129,"已下單","資金不足略過"))</f>
        <v/>
      </c>
      <c r="O129" s="16">
        <f>IF(N129="已下單",M129*資金模擬!$B$7,0)</f>
        <v/>
      </c>
      <c r="P129" s="4" t="n"/>
      <c r="Q129" s="10" t="n">
        <v>0</v>
      </c>
      <c r="R129" s="10">
        <f>R128+Q129</f>
        <v/>
      </c>
      <c r="S129" s="16">
        <f>S128+IF(N129="已下單",M129,0)</f>
        <v/>
      </c>
      <c r="T129" s="16">
        <f>R129-S129</f>
        <v/>
      </c>
      <c r="U129" s="2">
        <f>U128+IF(N129="已下單",1,0)</f>
        <v/>
      </c>
      <c r="V129" s="16">
        <f>IF(資金模擬!$B$9=2,MAX(R129,0),MAX(V128,FLOOR(MAX(R129,0),資金模擬!$B$6)))</f>
        <v/>
      </c>
      <c r="W129" s="10">
        <f>MAX(W128,R129)</f>
        <v/>
      </c>
      <c r="X129" s="4">
        <f>IF(W129&gt;0,R129/W129-1,-1)</f>
        <v/>
      </c>
      <c r="Y129" s="16">
        <f>IF(R129&gt;0,S129*資金模擬!$B$7/R129,0)</f>
        <v/>
      </c>
      <c r="Z129" s="2">
        <f>IF(OR(Z128=1,R129&lt;=資金模擬!$B$10),1,0)</f>
        <v/>
      </c>
    </row>
    <row r="130">
      <c r="A130" s="2" t="n">
        <v>128</v>
      </c>
      <c r="B130" s="7" t="n">
        <v>46276.97222222222</v>
      </c>
      <c r="C130" s="2" t="inlineStr">
        <is>
          <t>進場</t>
        </is>
      </c>
      <c r="D130" s="2" t="n">
        <v>65</v>
      </c>
      <c r="E130" s="2" t="inlineStr">
        <is>
          <t>BLUR_USDT_PERP</t>
        </is>
      </c>
      <c r="F130" s="2" t="inlineStr">
        <is>
          <t>做空</t>
        </is>
      </c>
      <c r="G130" s="17" t="n">
        <v>0.02085</v>
      </c>
      <c r="H130" s="17" t="n">
        <v>0.020016</v>
      </c>
      <c r="I130" s="17" t="n">
        <v>0.0218925</v>
      </c>
      <c r="J130" s="17" t="n"/>
      <c r="K130" s="2" t="n"/>
      <c r="L130" s="5" t="n"/>
      <c r="M130" s="16">
        <f>資金模擬!$B$5*V129</f>
        <v/>
      </c>
      <c r="N130" s="2">
        <f>IF(Z129=1,"已停止",IF(T129&gt;=M130,"已下單","資金不足略過"))</f>
        <v/>
      </c>
      <c r="O130" s="16">
        <f>IF(N130="已下單",M130*資金模擬!$B$7,0)</f>
        <v/>
      </c>
      <c r="P130" s="4" t="n"/>
      <c r="Q130" s="10" t="n">
        <v>0</v>
      </c>
      <c r="R130" s="10">
        <f>R129+Q130</f>
        <v/>
      </c>
      <c r="S130" s="16">
        <f>S129+IF(N130="已下單",M130,0)</f>
        <v/>
      </c>
      <c r="T130" s="16">
        <f>R130-S130</f>
        <v/>
      </c>
      <c r="U130" s="2">
        <f>U129+IF(N130="已下單",1,0)</f>
        <v/>
      </c>
      <c r="V130" s="16">
        <f>IF(資金模擬!$B$9=2,MAX(R130,0),MAX(V129,FLOOR(MAX(R130,0),資金模擬!$B$6)))</f>
        <v/>
      </c>
      <c r="W130" s="10">
        <f>MAX(W129,R130)</f>
        <v/>
      </c>
      <c r="X130" s="4">
        <f>IF(W130&gt;0,R130/W130-1,-1)</f>
        <v/>
      </c>
      <c r="Y130" s="16">
        <f>IF(R130&gt;0,S130*資金模擬!$B$7/R130,0)</f>
        <v/>
      </c>
      <c r="Z130" s="2">
        <f>IF(OR(Z129=1,R130&lt;=資金模擬!$B$10),1,0)</f>
        <v/>
      </c>
    </row>
    <row r="131">
      <c r="A131" s="2" t="n">
        <v>129</v>
      </c>
      <c r="B131" s="7" t="n">
        <v>46276.98263888889</v>
      </c>
      <c r="C131" s="2" t="inlineStr">
        <is>
          <t>出場</t>
        </is>
      </c>
      <c r="D131" s="2" t="n">
        <v>65</v>
      </c>
      <c r="E131" s="2" t="inlineStr">
        <is>
          <t>BLUR_USDT_PERP</t>
        </is>
      </c>
      <c r="F131" s="2" t="inlineStr">
        <is>
          <t>做空</t>
        </is>
      </c>
      <c r="G131" s="17" t="n">
        <v>0.02085</v>
      </c>
      <c r="H131" s="17" t="n">
        <v>0.020016</v>
      </c>
      <c r="I131" s="17" t="n">
        <v>0.0218925</v>
      </c>
      <c r="J131" s="17" t="n">
        <v>0.020016</v>
      </c>
      <c r="K131" s="2" t="inlineStr">
        <is>
          <t>止盈</t>
        </is>
      </c>
      <c r="L131" s="5">
        <f>交易明細!K66</f>
        <v/>
      </c>
      <c r="M131" s="16">
        <f>M130</f>
        <v/>
      </c>
      <c r="N131" s="2">
        <f>N130</f>
        <v/>
      </c>
      <c r="O131" s="16">
        <f>O130</f>
        <v/>
      </c>
      <c r="P131" s="4">
        <f>交易明細!L66</f>
        <v/>
      </c>
      <c r="Q131" s="10">
        <f>IF(N131="已下單",O131*P131,0)</f>
        <v/>
      </c>
      <c r="R131" s="10">
        <f>R130+Q131</f>
        <v/>
      </c>
      <c r="S131" s="16">
        <f>S130-IF(N131="已下單",M131,0)</f>
        <v/>
      </c>
      <c r="T131" s="16">
        <f>R131-S131</f>
        <v/>
      </c>
      <c r="U131" s="2">
        <f>U130-IF(N131="已下單",1,0)</f>
        <v/>
      </c>
      <c r="V131" s="16">
        <f>IF(資金模擬!$B$9=2,MAX(R131,0),MAX(V130,FLOOR(MAX(R131,0),資金模擬!$B$6)))</f>
        <v/>
      </c>
      <c r="W131" s="10">
        <f>MAX(W130,R131)</f>
        <v/>
      </c>
      <c r="X131" s="4">
        <f>IF(W131&gt;0,R131/W131-1,-1)</f>
        <v/>
      </c>
      <c r="Y131" s="16">
        <f>IF(R131&gt;0,S131*資金模擬!$B$7/R131,0)</f>
        <v/>
      </c>
      <c r="Z131" s="2">
        <f>IF(OR(Z130=1,R131&lt;=資金模擬!$B$10),1,0)</f>
        <v/>
      </c>
    </row>
    <row r="132">
      <c r="A132" s="2" t="n">
        <v>130</v>
      </c>
      <c r="B132" s="7" t="n">
        <v>46276.99652777778</v>
      </c>
      <c r="C132" s="2" t="inlineStr">
        <is>
          <t>出場</t>
        </is>
      </c>
      <c r="D132" s="2" t="n">
        <v>64</v>
      </c>
      <c r="E132" s="2" t="inlineStr">
        <is>
          <t>CASHCAT_USDT_PERP</t>
        </is>
      </c>
      <c r="F132" s="2" t="inlineStr">
        <is>
          <t>做空</t>
        </is>
      </c>
      <c r="G132" s="17" t="n">
        <v>0.1886</v>
      </c>
      <c r="H132" s="17" t="n">
        <v>0.181056</v>
      </c>
      <c r="I132" s="17" t="n">
        <v>0.19803</v>
      </c>
      <c r="J132" s="17" t="n">
        <v>0.181056</v>
      </c>
      <c r="K132" s="2" t="inlineStr">
        <is>
          <t>止盈</t>
        </is>
      </c>
      <c r="L132" s="5">
        <f>交易明細!K65</f>
        <v/>
      </c>
      <c r="M132" s="16">
        <f>M129</f>
        <v/>
      </c>
      <c r="N132" s="2">
        <f>N129</f>
        <v/>
      </c>
      <c r="O132" s="16">
        <f>O129</f>
        <v/>
      </c>
      <c r="P132" s="4">
        <f>交易明細!L65</f>
        <v/>
      </c>
      <c r="Q132" s="10">
        <f>IF(N132="已下單",O132*P132,0)</f>
        <v/>
      </c>
      <c r="R132" s="10">
        <f>R131+Q132</f>
        <v/>
      </c>
      <c r="S132" s="16">
        <f>S131-IF(N132="已下單",M132,0)</f>
        <v/>
      </c>
      <c r="T132" s="16">
        <f>R132-S132</f>
        <v/>
      </c>
      <c r="U132" s="2">
        <f>U131-IF(N132="已下單",1,0)</f>
        <v/>
      </c>
      <c r="V132" s="16">
        <f>IF(資金模擬!$B$9=2,MAX(R132,0),MAX(V131,FLOOR(MAX(R132,0),資金模擬!$B$6)))</f>
        <v/>
      </c>
      <c r="W132" s="10">
        <f>MAX(W131,R132)</f>
        <v/>
      </c>
      <c r="X132" s="4">
        <f>IF(W132&gt;0,R132/W132-1,-1)</f>
        <v/>
      </c>
      <c r="Y132" s="16">
        <f>IF(R132&gt;0,S132*資金模擬!$B$7/R132,0)</f>
        <v/>
      </c>
      <c r="Z132" s="2">
        <f>IF(OR(Z131=1,R132&lt;=資金模擬!$B$10),1,0)</f>
        <v/>
      </c>
    </row>
    <row r="133">
      <c r="A133" s="2" t="n">
        <v>131</v>
      </c>
      <c r="B133" s="7" t="n">
        <v>46277.30208333334</v>
      </c>
      <c r="C133" s="2" t="inlineStr">
        <is>
          <t>進場</t>
        </is>
      </c>
      <c r="D133" s="2" t="n">
        <v>66</v>
      </c>
      <c r="E133" s="2" t="inlineStr">
        <is>
          <t>CYS_USDT_PERP</t>
        </is>
      </c>
      <c r="F133" s="2" t="inlineStr">
        <is>
          <t>做空</t>
        </is>
      </c>
      <c r="G133" s="17" t="n">
        <v>0.1593</v>
      </c>
      <c r="H133" s="17" t="n">
        <v>0.152928</v>
      </c>
      <c r="I133" s="17" t="n">
        <v>0.167265</v>
      </c>
      <c r="J133" s="17" t="n"/>
      <c r="K133" s="2" t="n"/>
      <c r="L133" s="5" t="n"/>
      <c r="M133" s="16">
        <f>資金模擬!$B$5*V132</f>
        <v/>
      </c>
      <c r="N133" s="2">
        <f>IF(Z132=1,"已停止",IF(T132&gt;=M133,"已下單","資金不足略過"))</f>
        <v/>
      </c>
      <c r="O133" s="16">
        <f>IF(N133="已下單",M133*資金模擬!$B$7,0)</f>
        <v/>
      </c>
      <c r="P133" s="4" t="n"/>
      <c r="Q133" s="10" t="n">
        <v>0</v>
      </c>
      <c r="R133" s="10">
        <f>R132+Q133</f>
        <v/>
      </c>
      <c r="S133" s="16">
        <f>S132+IF(N133="已下單",M133,0)</f>
        <v/>
      </c>
      <c r="T133" s="16">
        <f>R133-S133</f>
        <v/>
      </c>
      <c r="U133" s="2">
        <f>U132+IF(N133="已下單",1,0)</f>
        <v/>
      </c>
      <c r="V133" s="16">
        <f>IF(資金模擬!$B$9=2,MAX(R133,0),MAX(V132,FLOOR(MAX(R133,0),資金模擬!$B$6)))</f>
        <v/>
      </c>
      <c r="W133" s="10">
        <f>MAX(W132,R133)</f>
        <v/>
      </c>
      <c r="X133" s="4">
        <f>IF(W133&gt;0,R133/W133-1,-1)</f>
        <v/>
      </c>
      <c r="Y133" s="16">
        <f>IF(R133&gt;0,S133*資金模擬!$B$7/R133,0)</f>
        <v/>
      </c>
      <c r="Z133" s="2">
        <f>IF(OR(Z132=1,R133&lt;=資金模擬!$B$10),1,0)</f>
        <v/>
      </c>
    </row>
    <row r="134">
      <c r="A134" s="2" t="n">
        <v>132</v>
      </c>
      <c r="B134" s="7" t="n">
        <v>46277.31944444445</v>
      </c>
      <c r="C134" s="2" t="inlineStr">
        <is>
          <t>出場</t>
        </is>
      </c>
      <c r="D134" s="2" t="n">
        <v>66</v>
      </c>
      <c r="E134" s="2" t="inlineStr">
        <is>
          <t>CYS_USDT_PERP</t>
        </is>
      </c>
      <c r="F134" s="2" t="inlineStr">
        <is>
          <t>做空</t>
        </is>
      </c>
      <c r="G134" s="17" t="n">
        <v>0.1593</v>
      </c>
      <c r="H134" s="17" t="n">
        <v>0.152928</v>
      </c>
      <c r="I134" s="17" t="n">
        <v>0.167265</v>
      </c>
      <c r="J134" s="17" t="n">
        <v>0.152928</v>
      </c>
      <c r="K134" s="2" t="inlineStr">
        <is>
          <t>止盈</t>
        </is>
      </c>
      <c r="L134" s="5">
        <f>交易明細!K67</f>
        <v/>
      </c>
      <c r="M134" s="16">
        <f>M133</f>
        <v/>
      </c>
      <c r="N134" s="2">
        <f>N133</f>
        <v/>
      </c>
      <c r="O134" s="16">
        <f>O133</f>
        <v/>
      </c>
      <c r="P134" s="4">
        <f>交易明細!L67</f>
        <v/>
      </c>
      <c r="Q134" s="10">
        <f>IF(N134="已下單",O134*P134,0)</f>
        <v/>
      </c>
      <c r="R134" s="10">
        <f>R133+Q134</f>
        <v/>
      </c>
      <c r="S134" s="16">
        <f>S133-IF(N134="已下單",M134,0)</f>
        <v/>
      </c>
      <c r="T134" s="16">
        <f>R134-S134</f>
        <v/>
      </c>
      <c r="U134" s="2">
        <f>U133-IF(N134="已下單",1,0)</f>
        <v/>
      </c>
      <c r="V134" s="16">
        <f>IF(資金模擬!$B$9=2,MAX(R134,0),MAX(V133,FLOOR(MAX(R134,0),資金模擬!$B$6)))</f>
        <v/>
      </c>
      <c r="W134" s="10">
        <f>MAX(W133,R134)</f>
        <v/>
      </c>
      <c r="X134" s="4">
        <f>IF(W134&gt;0,R134/W134-1,-1)</f>
        <v/>
      </c>
      <c r="Y134" s="16">
        <f>IF(R134&gt;0,S134*資金模擬!$B$7/R134,0)</f>
        <v/>
      </c>
      <c r="Z134" s="2">
        <f>IF(OR(Z133=1,R134&lt;=資金模擬!$B$10),1,0)</f>
        <v/>
      </c>
    </row>
    <row r="135">
      <c r="A135" s="2" t="n">
        <v>133</v>
      </c>
      <c r="B135" s="7" t="n">
        <v>46277.34722222222</v>
      </c>
      <c r="C135" s="2" t="inlineStr">
        <is>
          <t>進場</t>
        </is>
      </c>
      <c r="D135" s="2" t="n">
        <v>67</v>
      </c>
      <c r="E135" s="2" t="inlineStr">
        <is>
          <t>TREE_USDT_PERP</t>
        </is>
      </c>
      <c r="F135" s="2" t="inlineStr">
        <is>
          <t>做空</t>
        </is>
      </c>
      <c r="G135" s="17" t="n">
        <v>0.04535</v>
      </c>
      <c r="H135" s="17" t="n">
        <v>0.043536</v>
      </c>
      <c r="I135" s="17" t="n">
        <v>0.0476175</v>
      </c>
      <c r="J135" s="17" t="n"/>
      <c r="K135" s="2" t="n"/>
      <c r="L135" s="5" t="n"/>
      <c r="M135" s="16">
        <f>資金模擬!$B$5*V134</f>
        <v/>
      </c>
      <c r="N135" s="2">
        <f>IF(Z134=1,"已停止",IF(T134&gt;=M135,"已下單","資金不足略過"))</f>
        <v/>
      </c>
      <c r="O135" s="16">
        <f>IF(N135="已下單",M135*資金模擬!$B$7,0)</f>
        <v/>
      </c>
      <c r="P135" s="4" t="n"/>
      <c r="Q135" s="10" t="n">
        <v>0</v>
      </c>
      <c r="R135" s="10">
        <f>R134+Q135</f>
        <v/>
      </c>
      <c r="S135" s="16">
        <f>S134+IF(N135="已下單",M135,0)</f>
        <v/>
      </c>
      <c r="T135" s="16">
        <f>R135-S135</f>
        <v/>
      </c>
      <c r="U135" s="2">
        <f>U134+IF(N135="已下單",1,0)</f>
        <v/>
      </c>
      <c r="V135" s="16">
        <f>IF(資金模擬!$B$9=2,MAX(R135,0),MAX(V134,FLOOR(MAX(R135,0),資金模擬!$B$6)))</f>
        <v/>
      </c>
      <c r="W135" s="10">
        <f>MAX(W134,R135)</f>
        <v/>
      </c>
      <c r="X135" s="4">
        <f>IF(W135&gt;0,R135/W135-1,-1)</f>
        <v/>
      </c>
      <c r="Y135" s="16">
        <f>IF(R135&gt;0,S135*資金模擬!$B$7/R135,0)</f>
        <v/>
      </c>
      <c r="Z135" s="2">
        <f>IF(OR(Z134=1,R135&lt;=資金模擬!$B$10),1,0)</f>
        <v/>
      </c>
    </row>
    <row r="136">
      <c r="A136" s="2" t="n">
        <v>134</v>
      </c>
      <c r="B136" s="7" t="n">
        <v>46277.35069444445</v>
      </c>
      <c r="C136" s="2" t="inlineStr">
        <is>
          <t>出場</t>
        </is>
      </c>
      <c r="D136" s="2" t="n">
        <v>67</v>
      </c>
      <c r="E136" s="2" t="inlineStr">
        <is>
          <t>TREE_USDT_PERP</t>
        </is>
      </c>
      <c r="F136" s="2" t="inlineStr">
        <is>
          <t>做空</t>
        </is>
      </c>
      <c r="G136" s="17" t="n">
        <v>0.04535</v>
      </c>
      <c r="H136" s="17" t="n">
        <v>0.043536</v>
      </c>
      <c r="I136" s="17" t="n">
        <v>0.0476175</v>
      </c>
      <c r="J136" s="17" t="n">
        <v>0.043536</v>
      </c>
      <c r="K136" s="2" t="inlineStr">
        <is>
          <t>止盈</t>
        </is>
      </c>
      <c r="L136" s="5">
        <f>交易明細!K68</f>
        <v/>
      </c>
      <c r="M136" s="16">
        <f>M135</f>
        <v/>
      </c>
      <c r="N136" s="2">
        <f>N135</f>
        <v/>
      </c>
      <c r="O136" s="16">
        <f>O135</f>
        <v/>
      </c>
      <c r="P136" s="4">
        <f>交易明細!L68</f>
        <v/>
      </c>
      <c r="Q136" s="10">
        <f>IF(N136="已下單",O136*P136,0)</f>
        <v/>
      </c>
      <c r="R136" s="10">
        <f>R135+Q136</f>
        <v/>
      </c>
      <c r="S136" s="16">
        <f>S135-IF(N136="已下單",M136,0)</f>
        <v/>
      </c>
      <c r="T136" s="16">
        <f>R136-S136</f>
        <v/>
      </c>
      <c r="U136" s="2">
        <f>U135-IF(N136="已下單",1,0)</f>
        <v/>
      </c>
      <c r="V136" s="16">
        <f>IF(資金模擬!$B$9=2,MAX(R136,0),MAX(V135,FLOOR(MAX(R136,0),資金模擬!$B$6)))</f>
        <v/>
      </c>
      <c r="W136" s="10">
        <f>MAX(W135,R136)</f>
        <v/>
      </c>
      <c r="X136" s="4">
        <f>IF(W136&gt;0,R136/W136-1,-1)</f>
        <v/>
      </c>
      <c r="Y136" s="16">
        <f>IF(R136&gt;0,S136*資金模擬!$B$7/R136,0)</f>
        <v/>
      </c>
      <c r="Z136" s="2">
        <f>IF(OR(Z135=1,R136&lt;=資金模擬!$B$10),1,0)</f>
        <v/>
      </c>
    </row>
    <row r="137">
      <c r="A137" s="2" t="n">
        <v>135</v>
      </c>
      <c r="B137" s="7" t="n">
        <v>46277.55208333334</v>
      </c>
      <c r="C137" s="2" t="inlineStr">
        <is>
          <t>進場</t>
        </is>
      </c>
      <c r="D137" s="2" t="n">
        <v>68</v>
      </c>
      <c r="E137" s="2" t="inlineStr">
        <is>
          <t>我踏马来了_USDT_PERP</t>
        </is>
      </c>
      <c r="F137" s="2" t="inlineStr">
        <is>
          <t>做空</t>
        </is>
      </c>
      <c r="G137" s="17" t="n">
        <v>0.015</v>
      </c>
      <c r="H137" s="17" t="n">
        <v>0.0144</v>
      </c>
      <c r="I137" s="17" t="n">
        <v>0.01575</v>
      </c>
      <c r="J137" s="17" t="n"/>
      <c r="K137" s="2" t="n"/>
      <c r="L137" s="5" t="n"/>
      <c r="M137" s="16">
        <f>資金模擬!$B$5*V136</f>
        <v/>
      </c>
      <c r="N137" s="2">
        <f>IF(Z136=1,"已停止",IF(T136&gt;=M137,"已下單","資金不足略過"))</f>
        <v/>
      </c>
      <c r="O137" s="16">
        <f>IF(N137="已下單",M137*資金模擬!$B$7,0)</f>
        <v/>
      </c>
      <c r="P137" s="4" t="n"/>
      <c r="Q137" s="10" t="n">
        <v>0</v>
      </c>
      <c r="R137" s="10">
        <f>R136+Q137</f>
        <v/>
      </c>
      <c r="S137" s="16">
        <f>S136+IF(N137="已下單",M137,0)</f>
        <v/>
      </c>
      <c r="T137" s="16">
        <f>R137-S137</f>
        <v/>
      </c>
      <c r="U137" s="2">
        <f>U136+IF(N137="已下單",1,0)</f>
        <v/>
      </c>
      <c r="V137" s="16">
        <f>IF(資金模擬!$B$9=2,MAX(R137,0),MAX(V136,FLOOR(MAX(R137,0),資金模擬!$B$6)))</f>
        <v/>
      </c>
      <c r="W137" s="10">
        <f>MAX(W136,R137)</f>
        <v/>
      </c>
      <c r="X137" s="4">
        <f>IF(W137&gt;0,R137/W137-1,-1)</f>
        <v/>
      </c>
      <c r="Y137" s="16">
        <f>IF(R137&gt;0,S137*資金模擬!$B$7/R137,0)</f>
        <v/>
      </c>
      <c r="Z137" s="2">
        <f>IF(OR(Z136=1,R137&lt;=資金模擬!$B$10),1,0)</f>
        <v/>
      </c>
    </row>
    <row r="138">
      <c r="A138" s="2" t="n">
        <v>136</v>
      </c>
      <c r="B138" s="7" t="n">
        <v>46277.55555555555</v>
      </c>
      <c r="C138" s="2" t="inlineStr">
        <is>
          <t>出場</t>
        </is>
      </c>
      <c r="D138" s="2" t="n">
        <v>68</v>
      </c>
      <c r="E138" s="2" t="inlineStr">
        <is>
          <t>我踏马来了_USDT_PERP</t>
        </is>
      </c>
      <c r="F138" s="2" t="inlineStr">
        <is>
          <t>做空</t>
        </is>
      </c>
      <c r="G138" s="17" t="n">
        <v>0.015</v>
      </c>
      <c r="H138" s="17" t="n">
        <v>0.0144</v>
      </c>
      <c r="I138" s="17" t="n">
        <v>0.01575</v>
      </c>
      <c r="J138" s="17" t="n">
        <v>0.0144</v>
      </c>
      <c r="K138" s="2" t="inlineStr">
        <is>
          <t>止盈</t>
        </is>
      </c>
      <c r="L138" s="5">
        <f>交易明細!K69</f>
        <v/>
      </c>
      <c r="M138" s="16">
        <f>M137</f>
        <v/>
      </c>
      <c r="N138" s="2">
        <f>N137</f>
        <v/>
      </c>
      <c r="O138" s="16">
        <f>O137</f>
        <v/>
      </c>
      <c r="P138" s="4">
        <f>交易明細!L69</f>
        <v/>
      </c>
      <c r="Q138" s="10">
        <f>IF(N138="已下單",O138*P138,0)</f>
        <v/>
      </c>
      <c r="R138" s="10">
        <f>R137+Q138</f>
        <v/>
      </c>
      <c r="S138" s="16">
        <f>S137-IF(N138="已下單",M138,0)</f>
        <v/>
      </c>
      <c r="T138" s="16">
        <f>R138-S138</f>
        <v/>
      </c>
      <c r="U138" s="2">
        <f>U137-IF(N138="已下單",1,0)</f>
        <v/>
      </c>
      <c r="V138" s="16">
        <f>IF(資金模擬!$B$9=2,MAX(R138,0),MAX(V137,FLOOR(MAX(R138,0),資金模擬!$B$6)))</f>
        <v/>
      </c>
      <c r="W138" s="10">
        <f>MAX(W137,R138)</f>
        <v/>
      </c>
      <c r="X138" s="4">
        <f>IF(W138&gt;0,R138/W138-1,-1)</f>
        <v/>
      </c>
      <c r="Y138" s="16">
        <f>IF(R138&gt;0,S138*資金模擬!$B$7/R138,0)</f>
        <v/>
      </c>
      <c r="Z138" s="2">
        <f>IF(OR(Z137=1,R138&lt;=資金模擬!$B$10),1,0)</f>
        <v/>
      </c>
    </row>
    <row r="139">
      <c r="A139" s="2" t="n">
        <v>137</v>
      </c>
      <c r="B139" s="7" t="n">
        <v>46277.64236111111</v>
      </c>
      <c r="C139" s="2" t="inlineStr">
        <is>
          <t>進場</t>
        </is>
      </c>
      <c r="D139" s="2" t="n">
        <v>69</v>
      </c>
      <c r="E139" s="2" t="inlineStr">
        <is>
          <t>GRIFFAIN_USDT_PERP</t>
        </is>
      </c>
      <c r="F139" s="2" t="inlineStr">
        <is>
          <t>做空</t>
        </is>
      </c>
      <c r="G139" s="17" t="n">
        <v>0.01287</v>
      </c>
      <c r="H139" s="17" t="n">
        <v>0.0123552</v>
      </c>
      <c r="I139" s="17" t="n">
        <v>0.0135135</v>
      </c>
      <c r="J139" s="17" t="n"/>
      <c r="K139" s="2" t="n"/>
      <c r="L139" s="5" t="n"/>
      <c r="M139" s="16">
        <f>資金模擬!$B$5*V138</f>
        <v/>
      </c>
      <c r="N139" s="2">
        <f>IF(Z138=1,"已停止",IF(T138&gt;=M139,"已下單","資金不足略過"))</f>
        <v/>
      </c>
      <c r="O139" s="16">
        <f>IF(N139="已下單",M139*資金模擬!$B$7,0)</f>
        <v/>
      </c>
      <c r="P139" s="4" t="n"/>
      <c r="Q139" s="10" t="n">
        <v>0</v>
      </c>
      <c r="R139" s="10">
        <f>R138+Q139</f>
        <v/>
      </c>
      <c r="S139" s="16">
        <f>S138+IF(N139="已下單",M139,0)</f>
        <v/>
      </c>
      <c r="T139" s="16">
        <f>R139-S139</f>
        <v/>
      </c>
      <c r="U139" s="2">
        <f>U138+IF(N139="已下單",1,0)</f>
        <v/>
      </c>
      <c r="V139" s="16">
        <f>IF(資金模擬!$B$9=2,MAX(R139,0),MAX(V138,FLOOR(MAX(R139,0),資金模擬!$B$6)))</f>
        <v/>
      </c>
      <c r="W139" s="10">
        <f>MAX(W138,R139)</f>
        <v/>
      </c>
      <c r="X139" s="4">
        <f>IF(W139&gt;0,R139/W139-1,-1)</f>
        <v/>
      </c>
      <c r="Y139" s="16">
        <f>IF(R139&gt;0,S139*資金模擬!$B$7/R139,0)</f>
        <v/>
      </c>
      <c r="Z139" s="2">
        <f>IF(OR(Z138=1,R139&lt;=資金模擬!$B$10),1,0)</f>
        <v/>
      </c>
    </row>
    <row r="140">
      <c r="A140" s="2" t="n">
        <v>138</v>
      </c>
      <c r="B140" s="7" t="n">
        <v>46277.68402777778</v>
      </c>
      <c r="C140" s="2" t="inlineStr">
        <is>
          <t>出場</t>
        </is>
      </c>
      <c r="D140" s="2" t="n">
        <v>69</v>
      </c>
      <c r="E140" s="2" t="inlineStr">
        <is>
          <t>GRIFFAIN_USDT_PERP</t>
        </is>
      </c>
      <c r="F140" s="2" t="inlineStr">
        <is>
          <t>做空</t>
        </is>
      </c>
      <c r="G140" s="17" t="n">
        <v>0.01287</v>
      </c>
      <c r="H140" s="17" t="n">
        <v>0.0123552</v>
      </c>
      <c r="I140" s="17" t="n">
        <v>0.0135135</v>
      </c>
      <c r="J140" s="17" t="n">
        <v>0.0135135</v>
      </c>
      <c r="K140" s="2" t="inlineStr">
        <is>
          <t>止損</t>
        </is>
      </c>
      <c r="L140" s="5">
        <f>交易明細!K70</f>
        <v/>
      </c>
      <c r="M140" s="16">
        <f>M139</f>
        <v/>
      </c>
      <c r="N140" s="2">
        <f>N139</f>
        <v/>
      </c>
      <c r="O140" s="16">
        <f>O139</f>
        <v/>
      </c>
      <c r="P140" s="4">
        <f>交易明細!L70</f>
        <v/>
      </c>
      <c r="Q140" s="10">
        <f>IF(N140="已下單",O140*P140,0)</f>
        <v/>
      </c>
      <c r="R140" s="10">
        <f>R139+Q140</f>
        <v/>
      </c>
      <c r="S140" s="16">
        <f>S139-IF(N140="已下單",M140,0)</f>
        <v/>
      </c>
      <c r="T140" s="16">
        <f>R140-S140</f>
        <v/>
      </c>
      <c r="U140" s="2">
        <f>U139-IF(N140="已下單",1,0)</f>
        <v/>
      </c>
      <c r="V140" s="16">
        <f>IF(資金模擬!$B$9=2,MAX(R140,0),MAX(V139,FLOOR(MAX(R140,0),資金模擬!$B$6)))</f>
        <v/>
      </c>
      <c r="W140" s="10">
        <f>MAX(W139,R140)</f>
        <v/>
      </c>
      <c r="X140" s="4">
        <f>IF(W140&gt;0,R140/W140-1,-1)</f>
        <v/>
      </c>
      <c r="Y140" s="16">
        <f>IF(R140&gt;0,S140*資金模擬!$B$7/R140,0)</f>
        <v/>
      </c>
      <c r="Z140" s="2">
        <f>IF(OR(Z139=1,R140&lt;=資金模擬!$B$10),1,0)</f>
        <v/>
      </c>
    </row>
    <row r="141">
      <c r="A141" s="2" t="n">
        <v>139</v>
      </c>
      <c r="B141" s="7" t="n">
        <v>46277.83333333334</v>
      </c>
      <c r="C141" s="2" t="inlineStr">
        <is>
          <t>進場</t>
        </is>
      </c>
      <c r="D141" s="2" t="n">
        <v>70</v>
      </c>
      <c r="E141" s="2" t="inlineStr">
        <is>
          <t>TA_USDT_PERP</t>
        </is>
      </c>
      <c r="F141" s="2" t="inlineStr">
        <is>
          <t>做空</t>
        </is>
      </c>
      <c r="G141" s="17" t="n">
        <v>0.06008</v>
      </c>
      <c r="H141" s="17" t="n">
        <v>0.0576768</v>
      </c>
      <c r="I141" s="17" t="n">
        <v>0.063084</v>
      </c>
      <c r="J141" s="17" t="n"/>
      <c r="K141" s="2" t="n"/>
      <c r="L141" s="5" t="n"/>
      <c r="M141" s="16">
        <f>資金模擬!$B$5*V140</f>
        <v/>
      </c>
      <c r="N141" s="2">
        <f>IF(Z140=1,"已停止",IF(T140&gt;=M141,"已下單","資金不足略過"))</f>
        <v/>
      </c>
      <c r="O141" s="16">
        <f>IF(N141="已下單",M141*資金模擬!$B$7,0)</f>
        <v/>
      </c>
      <c r="P141" s="4" t="n"/>
      <c r="Q141" s="10" t="n">
        <v>0</v>
      </c>
      <c r="R141" s="10">
        <f>R140+Q141</f>
        <v/>
      </c>
      <c r="S141" s="16">
        <f>S140+IF(N141="已下單",M141,0)</f>
        <v/>
      </c>
      <c r="T141" s="16">
        <f>R141-S141</f>
        <v/>
      </c>
      <c r="U141" s="2">
        <f>U140+IF(N141="已下單",1,0)</f>
        <v/>
      </c>
      <c r="V141" s="16">
        <f>IF(資金模擬!$B$9=2,MAX(R141,0),MAX(V140,FLOOR(MAX(R141,0),資金模擬!$B$6)))</f>
        <v/>
      </c>
      <c r="W141" s="10">
        <f>MAX(W140,R141)</f>
        <v/>
      </c>
      <c r="X141" s="4">
        <f>IF(W141&gt;0,R141/W141-1,-1)</f>
        <v/>
      </c>
      <c r="Y141" s="16">
        <f>IF(R141&gt;0,S141*資金模擬!$B$7/R141,0)</f>
        <v/>
      </c>
      <c r="Z141" s="2">
        <f>IF(OR(Z140=1,R141&lt;=資金模擬!$B$10),1,0)</f>
        <v/>
      </c>
    </row>
    <row r="142">
      <c r="A142" s="2" t="n">
        <v>140</v>
      </c>
      <c r="B142" s="7" t="n">
        <v>46278.14236111111</v>
      </c>
      <c r="C142" s="2" t="inlineStr">
        <is>
          <t>出場</t>
        </is>
      </c>
      <c r="D142" s="2" t="n">
        <v>70</v>
      </c>
      <c r="E142" s="2" t="inlineStr">
        <is>
          <t>TA_USDT_PERP</t>
        </is>
      </c>
      <c r="F142" s="2" t="inlineStr">
        <is>
          <t>做空</t>
        </is>
      </c>
      <c r="G142" s="17" t="n">
        <v>0.06008</v>
      </c>
      <c r="H142" s="17" t="n">
        <v>0.0576768</v>
      </c>
      <c r="I142" s="17" t="n">
        <v>0.063084</v>
      </c>
      <c r="J142" s="17" t="n">
        <v>0.0576768</v>
      </c>
      <c r="K142" s="2" t="inlineStr">
        <is>
          <t>止盈</t>
        </is>
      </c>
      <c r="L142" s="5">
        <f>交易明細!K71</f>
        <v/>
      </c>
      <c r="M142" s="16">
        <f>M141</f>
        <v/>
      </c>
      <c r="N142" s="2">
        <f>N141</f>
        <v/>
      </c>
      <c r="O142" s="16">
        <f>O141</f>
        <v/>
      </c>
      <c r="P142" s="4">
        <f>交易明細!L71</f>
        <v/>
      </c>
      <c r="Q142" s="10">
        <f>IF(N142="已下單",O142*P142,0)</f>
        <v/>
      </c>
      <c r="R142" s="10">
        <f>R141+Q142</f>
        <v/>
      </c>
      <c r="S142" s="16">
        <f>S141-IF(N142="已下單",M142,0)</f>
        <v/>
      </c>
      <c r="T142" s="16">
        <f>R142-S142</f>
        <v/>
      </c>
      <c r="U142" s="2">
        <f>U141-IF(N142="已下單",1,0)</f>
        <v/>
      </c>
      <c r="V142" s="16">
        <f>IF(資金模擬!$B$9=2,MAX(R142,0),MAX(V141,FLOOR(MAX(R142,0),資金模擬!$B$6)))</f>
        <v/>
      </c>
      <c r="W142" s="10">
        <f>MAX(W141,R142)</f>
        <v/>
      </c>
      <c r="X142" s="4">
        <f>IF(W142&gt;0,R142/W142-1,-1)</f>
        <v/>
      </c>
      <c r="Y142" s="16">
        <f>IF(R142&gt;0,S142*資金模擬!$B$7/R142,0)</f>
        <v/>
      </c>
      <c r="Z142" s="2">
        <f>IF(OR(Z141=1,R142&lt;=資金模擬!$B$10),1,0)</f>
        <v/>
      </c>
    </row>
    <row r="143">
      <c r="A143" s="2" t="n">
        <v>141</v>
      </c>
      <c r="B143" s="7" t="n">
        <v>46278.34027777778</v>
      </c>
      <c r="C143" s="2" t="inlineStr">
        <is>
          <t>進場</t>
        </is>
      </c>
      <c r="D143" s="2" t="n">
        <v>71</v>
      </c>
      <c r="E143" s="2" t="inlineStr">
        <is>
          <t>POWR_USDT_PERP</t>
        </is>
      </c>
      <c r="F143" s="2" t="inlineStr">
        <is>
          <t>做空</t>
        </is>
      </c>
      <c r="G143" s="17" t="n">
        <v>0.06576</v>
      </c>
      <c r="H143" s="17" t="n">
        <v>0.06312959999999999</v>
      </c>
      <c r="I143" s="17" t="n">
        <v>0.069048</v>
      </c>
      <c r="J143" s="17" t="n"/>
      <c r="K143" s="2" t="n"/>
      <c r="L143" s="5" t="n"/>
      <c r="M143" s="16">
        <f>資金模擬!$B$5*V142</f>
        <v/>
      </c>
      <c r="N143" s="2">
        <f>IF(Z142=1,"已停止",IF(T142&gt;=M143,"已下單","資金不足略過"))</f>
        <v/>
      </c>
      <c r="O143" s="16">
        <f>IF(N143="已下單",M143*資金模擬!$B$7,0)</f>
        <v/>
      </c>
      <c r="P143" s="4" t="n"/>
      <c r="Q143" s="10" t="n">
        <v>0</v>
      </c>
      <c r="R143" s="10">
        <f>R142+Q143</f>
        <v/>
      </c>
      <c r="S143" s="16">
        <f>S142+IF(N143="已下單",M143,0)</f>
        <v/>
      </c>
      <c r="T143" s="16">
        <f>R143-S143</f>
        <v/>
      </c>
      <c r="U143" s="2">
        <f>U142+IF(N143="已下單",1,0)</f>
        <v/>
      </c>
      <c r="V143" s="16">
        <f>IF(資金模擬!$B$9=2,MAX(R143,0),MAX(V142,FLOOR(MAX(R143,0),資金模擬!$B$6)))</f>
        <v/>
      </c>
      <c r="W143" s="10">
        <f>MAX(W142,R143)</f>
        <v/>
      </c>
      <c r="X143" s="4">
        <f>IF(W143&gt;0,R143/W143-1,-1)</f>
        <v/>
      </c>
      <c r="Y143" s="16">
        <f>IF(R143&gt;0,S143*資金模擬!$B$7/R143,0)</f>
        <v/>
      </c>
      <c r="Z143" s="2">
        <f>IF(OR(Z142=1,R143&lt;=資金模擬!$B$10),1,0)</f>
        <v/>
      </c>
    </row>
    <row r="144">
      <c r="A144" s="2" t="n">
        <v>142</v>
      </c>
      <c r="B144" s="7" t="n">
        <v>46278.34375</v>
      </c>
      <c r="C144" s="2" t="inlineStr">
        <is>
          <t>出場</t>
        </is>
      </c>
      <c r="D144" s="2" t="n">
        <v>71</v>
      </c>
      <c r="E144" s="2" t="inlineStr">
        <is>
          <t>POWR_USDT_PERP</t>
        </is>
      </c>
      <c r="F144" s="2" t="inlineStr">
        <is>
          <t>做空</t>
        </is>
      </c>
      <c r="G144" s="17" t="n">
        <v>0.06576</v>
      </c>
      <c r="H144" s="17" t="n">
        <v>0.06312959999999999</v>
      </c>
      <c r="I144" s="17" t="n">
        <v>0.069048</v>
      </c>
      <c r="J144" s="17" t="n">
        <v>0.069048</v>
      </c>
      <c r="K144" s="2" t="inlineStr">
        <is>
          <t>止損</t>
        </is>
      </c>
      <c r="L144" s="5">
        <f>交易明細!K72</f>
        <v/>
      </c>
      <c r="M144" s="16">
        <f>M143</f>
        <v/>
      </c>
      <c r="N144" s="2">
        <f>N143</f>
        <v/>
      </c>
      <c r="O144" s="16">
        <f>O143</f>
        <v/>
      </c>
      <c r="P144" s="4">
        <f>交易明細!L72</f>
        <v/>
      </c>
      <c r="Q144" s="10">
        <f>IF(N144="已下單",O144*P144,0)</f>
        <v/>
      </c>
      <c r="R144" s="10">
        <f>R143+Q144</f>
        <v/>
      </c>
      <c r="S144" s="16">
        <f>S143-IF(N144="已下單",M144,0)</f>
        <v/>
      </c>
      <c r="T144" s="16">
        <f>R144-S144</f>
        <v/>
      </c>
      <c r="U144" s="2">
        <f>U143-IF(N144="已下單",1,0)</f>
        <v/>
      </c>
      <c r="V144" s="16">
        <f>IF(資金模擬!$B$9=2,MAX(R144,0),MAX(V143,FLOOR(MAX(R144,0),資金模擬!$B$6)))</f>
        <v/>
      </c>
      <c r="W144" s="10">
        <f>MAX(W143,R144)</f>
        <v/>
      </c>
      <c r="X144" s="4">
        <f>IF(W144&gt;0,R144/W144-1,-1)</f>
        <v/>
      </c>
      <c r="Y144" s="16">
        <f>IF(R144&gt;0,S144*資金模擬!$B$7/R144,0)</f>
        <v/>
      </c>
      <c r="Z144" s="2">
        <f>IF(OR(Z143=1,R144&lt;=資金模擬!$B$10),1,0)</f>
        <v/>
      </c>
    </row>
    <row r="145">
      <c r="A145" s="2" t="n">
        <v>143</v>
      </c>
      <c r="B145" s="7" t="n">
        <v>46278.39583333334</v>
      </c>
      <c r="C145" s="2" t="inlineStr">
        <is>
          <t>進場</t>
        </is>
      </c>
      <c r="D145" s="2" t="n">
        <v>72</v>
      </c>
      <c r="E145" s="2" t="inlineStr">
        <is>
          <t>POWR_USDT_PERP</t>
        </is>
      </c>
      <c r="F145" s="2" t="inlineStr">
        <is>
          <t>做空</t>
        </is>
      </c>
      <c r="G145" s="17" t="n">
        <v>0.0824</v>
      </c>
      <c r="H145" s="17" t="n">
        <v>0.07910399999999999</v>
      </c>
      <c r="I145" s="17" t="n">
        <v>0.08652</v>
      </c>
      <c r="J145" s="17" t="n"/>
      <c r="K145" s="2" t="n"/>
      <c r="L145" s="5" t="n"/>
      <c r="M145" s="16">
        <f>資金模擬!$B$5*V144</f>
        <v/>
      </c>
      <c r="N145" s="2">
        <f>IF(Z144=1,"已停止",IF(T144&gt;=M145,"已下單","資金不足略過"))</f>
        <v/>
      </c>
      <c r="O145" s="16">
        <f>IF(N145="已下單",M145*資金模擬!$B$7,0)</f>
        <v/>
      </c>
      <c r="P145" s="4" t="n"/>
      <c r="Q145" s="10" t="n">
        <v>0</v>
      </c>
      <c r="R145" s="10">
        <f>R144+Q145</f>
        <v/>
      </c>
      <c r="S145" s="16">
        <f>S144+IF(N145="已下單",M145,0)</f>
        <v/>
      </c>
      <c r="T145" s="16">
        <f>R145-S145</f>
        <v/>
      </c>
      <c r="U145" s="2">
        <f>U144+IF(N145="已下單",1,0)</f>
        <v/>
      </c>
      <c r="V145" s="16">
        <f>IF(資金模擬!$B$9=2,MAX(R145,0),MAX(V144,FLOOR(MAX(R145,0),資金模擬!$B$6)))</f>
        <v/>
      </c>
      <c r="W145" s="10">
        <f>MAX(W144,R145)</f>
        <v/>
      </c>
      <c r="X145" s="4">
        <f>IF(W145&gt;0,R145/W145-1,-1)</f>
        <v/>
      </c>
      <c r="Y145" s="16">
        <f>IF(R145&gt;0,S145*資金模擬!$B$7/R145,0)</f>
        <v/>
      </c>
      <c r="Z145" s="2">
        <f>IF(OR(Z144=1,R145&lt;=資金模擬!$B$10),1,0)</f>
        <v/>
      </c>
    </row>
    <row r="146">
      <c r="A146" s="2" t="n">
        <v>144</v>
      </c>
      <c r="B146" s="7" t="n">
        <v>46278.40277777778</v>
      </c>
      <c r="C146" s="2" t="inlineStr">
        <is>
          <t>出場</t>
        </is>
      </c>
      <c r="D146" s="2" t="n">
        <v>72</v>
      </c>
      <c r="E146" s="2" t="inlineStr">
        <is>
          <t>POWR_USDT_PERP</t>
        </is>
      </c>
      <c r="F146" s="2" t="inlineStr">
        <is>
          <t>做空</t>
        </is>
      </c>
      <c r="G146" s="17" t="n">
        <v>0.0824</v>
      </c>
      <c r="H146" s="17" t="n">
        <v>0.07910399999999999</v>
      </c>
      <c r="I146" s="17" t="n">
        <v>0.08652</v>
      </c>
      <c r="J146" s="17" t="n">
        <v>0.07910399999999999</v>
      </c>
      <c r="K146" s="2" t="inlineStr">
        <is>
          <t>止盈</t>
        </is>
      </c>
      <c r="L146" s="5">
        <f>交易明細!K73</f>
        <v/>
      </c>
      <c r="M146" s="16">
        <f>M145</f>
        <v/>
      </c>
      <c r="N146" s="2">
        <f>N145</f>
        <v/>
      </c>
      <c r="O146" s="16">
        <f>O145</f>
        <v/>
      </c>
      <c r="P146" s="4">
        <f>交易明細!L73</f>
        <v/>
      </c>
      <c r="Q146" s="10">
        <f>IF(N146="已下單",O146*P146,0)</f>
        <v/>
      </c>
      <c r="R146" s="10">
        <f>R145+Q146</f>
        <v/>
      </c>
      <c r="S146" s="16">
        <f>S145-IF(N146="已下單",M146,0)</f>
        <v/>
      </c>
      <c r="T146" s="16">
        <f>R146-S146</f>
        <v/>
      </c>
      <c r="U146" s="2">
        <f>U145-IF(N146="已下單",1,0)</f>
        <v/>
      </c>
      <c r="V146" s="16">
        <f>IF(資金模擬!$B$9=2,MAX(R146,0),MAX(V145,FLOOR(MAX(R146,0),資金模擬!$B$6)))</f>
        <v/>
      </c>
      <c r="W146" s="10">
        <f>MAX(W145,R146)</f>
        <v/>
      </c>
      <c r="X146" s="4">
        <f>IF(W146&gt;0,R146/W146-1,-1)</f>
        <v/>
      </c>
      <c r="Y146" s="16">
        <f>IF(R146&gt;0,S146*資金模擬!$B$7/R146,0)</f>
        <v/>
      </c>
      <c r="Z146" s="2">
        <f>IF(OR(Z145=1,R146&lt;=資金模擬!$B$10),1,0)</f>
        <v/>
      </c>
    </row>
    <row r="147">
      <c r="A147" s="2" t="n">
        <v>145</v>
      </c>
      <c r="B147" s="7" t="n">
        <v>46278.45138888889</v>
      </c>
      <c r="C147" s="2" t="inlineStr">
        <is>
          <t>進場</t>
        </is>
      </c>
      <c r="D147" s="2" t="n">
        <v>73</v>
      </c>
      <c r="E147" s="2" t="inlineStr">
        <is>
          <t>POWR_USDT_PERP</t>
        </is>
      </c>
      <c r="F147" s="2" t="inlineStr">
        <is>
          <t>做空</t>
        </is>
      </c>
      <c r="G147" s="17" t="n">
        <v>0.08243</v>
      </c>
      <c r="H147" s="17" t="n">
        <v>0.0791328</v>
      </c>
      <c r="I147" s="17" t="n">
        <v>0.0865515</v>
      </c>
      <c r="J147" s="17" t="n"/>
      <c r="K147" s="2" t="n"/>
      <c r="L147" s="5" t="n"/>
      <c r="M147" s="16">
        <f>資金模擬!$B$5*V146</f>
        <v/>
      </c>
      <c r="N147" s="2">
        <f>IF(Z146=1,"已停止",IF(T146&gt;=M147,"已下單","資金不足略過"))</f>
        <v/>
      </c>
      <c r="O147" s="16">
        <f>IF(N147="已下單",M147*資金模擬!$B$7,0)</f>
        <v/>
      </c>
      <c r="P147" s="4" t="n"/>
      <c r="Q147" s="10" t="n">
        <v>0</v>
      </c>
      <c r="R147" s="10">
        <f>R146+Q147</f>
        <v/>
      </c>
      <c r="S147" s="16">
        <f>S146+IF(N147="已下單",M147,0)</f>
        <v/>
      </c>
      <c r="T147" s="16">
        <f>R147-S147</f>
        <v/>
      </c>
      <c r="U147" s="2">
        <f>U146+IF(N147="已下單",1,0)</f>
        <v/>
      </c>
      <c r="V147" s="16">
        <f>IF(資金模擬!$B$9=2,MAX(R147,0),MAX(V146,FLOOR(MAX(R147,0),資金模擬!$B$6)))</f>
        <v/>
      </c>
      <c r="W147" s="10">
        <f>MAX(W146,R147)</f>
        <v/>
      </c>
      <c r="X147" s="4">
        <f>IF(W147&gt;0,R147/W147-1,-1)</f>
        <v/>
      </c>
      <c r="Y147" s="16">
        <f>IF(R147&gt;0,S147*資金模擬!$B$7/R147,0)</f>
        <v/>
      </c>
      <c r="Z147" s="2">
        <f>IF(OR(Z146=1,R147&lt;=資金模擬!$B$10),1,0)</f>
        <v/>
      </c>
    </row>
    <row r="148">
      <c r="A148" s="2" t="n">
        <v>146</v>
      </c>
      <c r="B148" s="7" t="n">
        <v>46278.45486111111</v>
      </c>
      <c r="C148" s="2" t="inlineStr">
        <is>
          <t>出場</t>
        </is>
      </c>
      <c r="D148" s="2" t="n">
        <v>73</v>
      </c>
      <c r="E148" s="2" t="inlineStr">
        <is>
          <t>POWR_USDT_PERP</t>
        </is>
      </c>
      <c r="F148" s="2" t="inlineStr">
        <is>
          <t>做空</t>
        </is>
      </c>
      <c r="G148" s="17" t="n">
        <v>0.08243</v>
      </c>
      <c r="H148" s="17" t="n">
        <v>0.0791328</v>
      </c>
      <c r="I148" s="17" t="n">
        <v>0.0865515</v>
      </c>
      <c r="J148" s="17" t="n">
        <v>0.0791328</v>
      </c>
      <c r="K148" s="2" t="inlineStr">
        <is>
          <t>止盈</t>
        </is>
      </c>
      <c r="L148" s="5">
        <f>交易明細!K74</f>
        <v/>
      </c>
      <c r="M148" s="16">
        <f>M147</f>
        <v/>
      </c>
      <c r="N148" s="2">
        <f>N147</f>
        <v/>
      </c>
      <c r="O148" s="16">
        <f>O147</f>
        <v/>
      </c>
      <c r="P148" s="4">
        <f>交易明細!L74</f>
        <v/>
      </c>
      <c r="Q148" s="10">
        <f>IF(N148="已下單",O148*P148,0)</f>
        <v/>
      </c>
      <c r="R148" s="10">
        <f>R147+Q148</f>
        <v/>
      </c>
      <c r="S148" s="16">
        <f>S147-IF(N148="已下單",M148,0)</f>
        <v/>
      </c>
      <c r="T148" s="16">
        <f>R148-S148</f>
        <v/>
      </c>
      <c r="U148" s="2">
        <f>U147-IF(N148="已下單",1,0)</f>
        <v/>
      </c>
      <c r="V148" s="16">
        <f>IF(資金模擬!$B$9=2,MAX(R148,0),MAX(V147,FLOOR(MAX(R148,0),資金模擬!$B$6)))</f>
        <v/>
      </c>
      <c r="W148" s="10">
        <f>MAX(W147,R148)</f>
        <v/>
      </c>
      <c r="X148" s="4">
        <f>IF(W148&gt;0,R148/W148-1,-1)</f>
        <v/>
      </c>
      <c r="Y148" s="16">
        <f>IF(R148&gt;0,S148*資金模擬!$B$7/R148,0)</f>
        <v/>
      </c>
      <c r="Z148" s="2">
        <f>IF(OR(Z147=1,R148&lt;=資金模擬!$B$10),1,0)</f>
        <v/>
      </c>
    </row>
    <row r="149">
      <c r="A149" s="2" t="n">
        <v>147</v>
      </c>
      <c r="B149" s="7" t="n">
        <v>46278.60069444445</v>
      </c>
      <c r="C149" s="2" t="inlineStr">
        <is>
          <t>進場</t>
        </is>
      </c>
      <c r="D149" s="2" t="n">
        <v>74</v>
      </c>
      <c r="E149" s="2" t="inlineStr">
        <is>
          <t>CTR_USDT_PERP</t>
        </is>
      </c>
      <c r="F149" s="2" t="inlineStr">
        <is>
          <t>做空</t>
        </is>
      </c>
      <c r="G149" s="17" t="n">
        <v>0.01166</v>
      </c>
      <c r="H149" s="17" t="n">
        <v>0.0111936</v>
      </c>
      <c r="I149" s="17" t="n">
        <v>0.012243</v>
      </c>
      <c r="J149" s="17" t="n"/>
      <c r="K149" s="2" t="n"/>
      <c r="L149" s="5" t="n"/>
      <c r="M149" s="16">
        <f>資金模擬!$B$5*V148</f>
        <v/>
      </c>
      <c r="N149" s="2">
        <f>IF(Z148=1,"已停止",IF(T148&gt;=M149,"已下單","資金不足略過"))</f>
        <v/>
      </c>
      <c r="O149" s="16">
        <f>IF(N149="已下單",M149*資金模擬!$B$7,0)</f>
        <v/>
      </c>
      <c r="P149" s="4" t="n"/>
      <c r="Q149" s="10" t="n">
        <v>0</v>
      </c>
      <c r="R149" s="10">
        <f>R148+Q149</f>
        <v/>
      </c>
      <c r="S149" s="16">
        <f>S148+IF(N149="已下單",M149,0)</f>
        <v/>
      </c>
      <c r="T149" s="16">
        <f>R149-S149</f>
        <v/>
      </c>
      <c r="U149" s="2">
        <f>U148+IF(N149="已下單",1,0)</f>
        <v/>
      </c>
      <c r="V149" s="16">
        <f>IF(資金模擬!$B$9=2,MAX(R149,0),MAX(V148,FLOOR(MAX(R149,0),資金模擬!$B$6)))</f>
        <v/>
      </c>
      <c r="W149" s="10">
        <f>MAX(W148,R149)</f>
        <v/>
      </c>
      <c r="X149" s="4">
        <f>IF(W149&gt;0,R149/W149-1,-1)</f>
        <v/>
      </c>
      <c r="Y149" s="16">
        <f>IF(R149&gt;0,S149*資金模擬!$B$7/R149,0)</f>
        <v/>
      </c>
      <c r="Z149" s="2">
        <f>IF(OR(Z148=1,R149&lt;=資金模擬!$B$10),1,0)</f>
        <v/>
      </c>
    </row>
    <row r="150">
      <c r="A150" s="2" t="n">
        <v>148</v>
      </c>
      <c r="B150" s="7" t="n">
        <v>46278.60416666666</v>
      </c>
      <c r="C150" s="2" t="inlineStr">
        <is>
          <t>出場</t>
        </is>
      </c>
      <c r="D150" s="2" t="n">
        <v>74</v>
      </c>
      <c r="E150" s="2" t="inlineStr">
        <is>
          <t>CTR_USDT_PERP</t>
        </is>
      </c>
      <c r="F150" s="2" t="inlineStr">
        <is>
          <t>做空</t>
        </is>
      </c>
      <c r="G150" s="17" t="n">
        <v>0.01166</v>
      </c>
      <c r="H150" s="17" t="n">
        <v>0.0111936</v>
      </c>
      <c r="I150" s="17" t="n">
        <v>0.012243</v>
      </c>
      <c r="J150" s="17" t="n">
        <v>0.0111936</v>
      </c>
      <c r="K150" s="2" t="inlineStr">
        <is>
          <t>止盈</t>
        </is>
      </c>
      <c r="L150" s="5">
        <f>交易明細!K75</f>
        <v/>
      </c>
      <c r="M150" s="16">
        <f>M149</f>
        <v/>
      </c>
      <c r="N150" s="2">
        <f>N149</f>
        <v/>
      </c>
      <c r="O150" s="16">
        <f>O149</f>
        <v/>
      </c>
      <c r="P150" s="4">
        <f>交易明細!L75</f>
        <v/>
      </c>
      <c r="Q150" s="10">
        <f>IF(N150="已下單",O150*P150,0)</f>
        <v/>
      </c>
      <c r="R150" s="10">
        <f>R149+Q150</f>
        <v/>
      </c>
      <c r="S150" s="16">
        <f>S149-IF(N150="已下單",M150,0)</f>
        <v/>
      </c>
      <c r="T150" s="16">
        <f>R150-S150</f>
        <v/>
      </c>
      <c r="U150" s="2">
        <f>U149-IF(N150="已下單",1,0)</f>
        <v/>
      </c>
      <c r="V150" s="16">
        <f>IF(資金模擬!$B$9=2,MAX(R150,0),MAX(V149,FLOOR(MAX(R150,0),資金模擬!$B$6)))</f>
        <v/>
      </c>
      <c r="W150" s="10">
        <f>MAX(W149,R150)</f>
        <v/>
      </c>
      <c r="X150" s="4">
        <f>IF(W150&gt;0,R150/W150-1,-1)</f>
        <v/>
      </c>
      <c r="Y150" s="16">
        <f>IF(R150&gt;0,S150*資金模擬!$B$7/R150,0)</f>
        <v/>
      </c>
      <c r="Z150" s="2">
        <f>IF(OR(Z149=1,R150&lt;=資金模擬!$B$10),1,0)</f>
        <v/>
      </c>
    </row>
    <row r="151">
      <c r="A151" s="2" t="n">
        <v>149</v>
      </c>
      <c r="B151" s="7" t="n">
        <v>46278.68055555555</v>
      </c>
      <c r="C151" s="2" t="inlineStr">
        <is>
          <t>進場</t>
        </is>
      </c>
      <c r="D151" s="2" t="n">
        <v>75</v>
      </c>
      <c r="E151" s="2" t="inlineStr">
        <is>
          <t>REZ_USDT_PERP</t>
        </is>
      </c>
      <c r="F151" s="2" t="inlineStr">
        <is>
          <t>做空</t>
        </is>
      </c>
      <c r="G151" s="17" t="n">
        <v>0.003949</v>
      </c>
      <c r="H151" s="17" t="n">
        <v>0.00379104</v>
      </c>
      <c r="I151" s="17" t="n">
        <v>0.00414645</v>
      </c>
      <c r="J151" s="17" t="n"/>
      <c r="K151" s="2" t="n"/>
      <c r="L151" s="5" t="n"/>
      <c r="M151" s="16">
        <f>資金模擬!$B$5*V150</f>
        <v/>
      </c>
      <c r="N151" s="2">
        <f>IF(Z150=1,"已停止",IF(T150&gt;=M151,"已下單","資金不足略過"))</f>
        <v/>
      </c>
      <c r="O151" s="16">
        <f>IF(N151="已下單",M151*資金模擬!$B$7,0)</f>
        <v/>
      </c>
      <c r="P151" s="4" t="n"/>
      <c r="Q151" s="10" t="n">
        <v>0</v>
      </c>
      <c r="R151" s="10">
        <f>R150+Q151</f>
        <v/>
      </c>
      <c r="S151" s="16">
        <f>S150+IF(N151="已下單",M151,0)</f>
        <v/>
      </c>
      <c r="T151" s="16">
        <f>R151-S151</f>
        <v/>
      </c>
      <c r="U151" s="2">
        <f>U150+IF(N151="已下單",1,0)</f>
        <v/>
      </c>
      <c r="V151" s="16">
        <f>IF(資金模擬!$B$9=2,MAX(R151,0),MAX(V150,FLOOR(MAX(R151,0),資金模擬!$B$6)))</f>
        <v/>
      </c>
      <c r="W151" s="10">
        <f>MAX(W150,R151)</f>
        <v/>
      </c>
      <c r="X151" s="4">
        <f>IF(W151&gt;0,R151/W151-1,-1)</f>
        <v/>
      </c>
      <c r="Y151" s="16">
        <f>IF(R151&gt;0,S151*資金模擬!$B$7/R151,0)</f>
        <v/>
      </c>
      <c r="Z151" s="2">
        <f>IF(OR(Z150=1,R151&lt;=資金模擬!$B$10),1,0)</f>
        <v/>
      </c>
    </row>
    <row r="152">
      <c r="A152" s="2" t="n">
        <v>150</v>
      </c>
      <c r="B152" s="7" t="n">
        <v>46278.69791666666</v>
      </c>
      <c r="C152" s="2" t="inlineStr">
        <is>
          <t>出場</t>
        </is>
      </c>
      <c r="D152" s="2" t="n">
        <v>75</v>
      </c>
      <c r="E152" s="2" t="inlineStr">
        <is>
          <t>REZ_USDT_PERP</t>
        </is>
      </c>
      <c r="F152" s="2" t="inlineStr">
        <is>
          <t>做空</t>
        </is>
      </c>
      <c r="G152" s="17" t="n">
        <v>0.003949</v>
      </c>
      <c r="H152" s="17" t="n">
        <v>0.00379104</v>
      </c>
      <c r="I152" s="17" t="n">
        <v>0.00414645</v>
      </c>
      <c r="J152" s="17" t="n">
        <v>0.00379104</v>
      </c>
      <c r="K152" s="2" t="inlineStr">
        <is>
          <t>止盈</t>
        </is>
      </c>
      <c r="L152" s="5">
        <f>交易明細!K76</f>
        <v/>
      </c>
      <c r="M152" s="16">
        <f>M151</f>
        <v/>
      </c>
      <c r="N152" s="2">
        <f>N151</f>
        <v/>
      </c>
      <c r="O152" s="16">
        <f>O151</f>
        <v/>
      </c>
      <c r="P152" s="4">
        <f>交易明細!L76</f>
        <v/>
      </c>
      <c r="Q152" s="10">
        <f>IF(N152="已下單",O152*P152,0)</f>
        <v/>
      </c>
      <c r="R152" s="10">
        <f>R151+Q152</f>
        <v/>
      </c>
      <c r="S152" s="16">
        <f>S151-IF(N152="已下單",M152,0)</f>
        <v/>
      </c>
      <c r="T152" s="16">
        <f>R152-S152</f>
        <v/>
      </c>
      <c r="U152" s="2">
        <f>U151-IF(N152="已下單",1,0)</f>
        <v/>
      </c>
      <c r="V152" s="16">
        <f>IF(資金模擬!$B$9=2,MAX(R152,0),MAX(V151,FLOOR(MAX(R152,0),資金模擬!$B$6)))</f>
        <v/>
      </c>
      <c r="W152" s="10">
        <f>MAX(W151,R152)</f>
        <v/>
      </c>
      <c r="X152" s="4">
        <f>IF(W152&gt;0,R152/W152-1,-1)</f>
        <v/>
      </c>
      <c r="Y152" s="16">
        <f>IF(R152&gt;0,S152*資金模擬!$B$7/R152,0)</f>
        <v/>
      </c>
      <c r="Z152" s="2">
        <f>IF(OR(Z151=1,R152&lt;=資金模擬!$B$10),1,0)</f>
        <v/>
      </c>
    </row>
    <row r="153">
      <c r="A153" s="2" t="n">
        <v>151</v>
      </c>
      <c r="B153" s="7" t="n">
        <v>46278.85069444445</v>
      </c>
      <c r="C153" s="2" t="inlineStr">
        <is>
          <t>進場</t>
        </is>
      </c>
      <c r="D153" s="2" t="n">
        <v>76</v>
      </c>
      <c r="E153" s="2" t="inlineStr">
        <is>
          <t>BTW_USDT_PERP</t>
        </is>
      </c>
      <c r="F153" s="2" t="inlineStr">
        <is>
          <t>做空</t>
        </is>
      </c>
      <c r="G153" s="17" t="n">
        <v>0.699394</v>
      </c>
      <c r="H153" s="17" t="n">
        <v>0.6714182399999999</v>
      </c>
      <c r="I153" s="17" t="n">
        <v>0.7343637</v>
      </c>
      <c r="J153" s="17" t="n"/>
      <c r="K153" s="2" t="n"/>
      <c r="L153" s="5" t="n"/>
      <c r="M153" s="16">
        <f>資金模擬!$B$5*V152</f>
        <v/>
      </c>
      <c r="N153" s="2">
        <f>IF(Z152=1,"已停止",IF(T152&gt;=M153,"已下單","資金不足略過"))</f>
        <v/>
      </c>
      <c r="O153" s="16">
        <f>IF(N153="已下單",M153*資金模擬!$B$7,0)</f>
        <v/>
      </c>
      <c r="P153" s="4" t="n"/>
      <c r="Q153" s="10" t="n">
        <v>0</v>
      </c>
      <c r="R153" s="10">
        <f>R152+Q153</f>
        <v/>
      </c>
      <c r="S153" s="16">
        <f>S152+IF(N153="已下單",M153,0)</f>
        <v/>
      </c>
      <c r="T153" s="16">
        <f>R153-S153</f>
        <v/>
      </c>
      <c r="U153" s="2">
        <f>U152+IF(N153="已下單",1,0)</f>
        <v/>
      </c>
      <c r="V153" s="16">
        <f>IF(資金模擬!$B$9=2,MAX(R153,0),MAX(V152,FLOOR(MAX(R153,0),資金模擬!$B$6)))</f>
        <v/>
      </c>
      <c r="W153" s="10">
        <f>MAX(W152,R153)</f>
        <v/>
      </c>
      <c r="X153" s="4">
        <f>IF(W153&gt;0,R153/W153-1,-1)</f>
        <v/>
      </c>
      <c r="Y153" s="16">
        <f>IF(R153&gt;0,S153*資金模擬!$B$7/R153,0)</f>
        <v/>
      </c>
      <c r="Z153" s="2">
        <f>IF(OR(Z152=1,R153&lt;=資金模擬!$B$10),1,0)</f>
        <v/>
      </c>
    </row>
    <row r="154">
      <c r="A154" s="2" t="n">
        <v>152</v>
      </c>
      <c r="B154" s="7" t="n">
        <v>46278.86805555555</v>
      </c>
      <c r="C154" s="2" t="inlineStr">
        <is>
          <t>出場</t>
        </is>
      </c>
      <c r="D154" s="2" t="n">
        <v>76</v>
      </c>
      <c r="E154" s="2" t="inlineStr">
        <is>
          <t>BTW_USDT_PERP</t>
        </is>
      </c>
      <c r="F154" s="2" t="inlineStr">
        <is>
          <t>做空</t>
        </is>
      </c>
      <c r="G154" s="17" t="n">
        <v>0.699394</v>
      </c>
      <c r="H154" s="17" t="n">
        <v>0.6714182399999999</v>
      </c>
      <c r="I154" s="17" t="n">
        <v>0.7343637</v>
      </c>
      <c r="J154" s="17" t="n">
        <v>0.6714182399999999</v>
      </c>
      <c r="K154" s="2" t="inlineStr">
        <is>
          <t>止盈</t>
        </is>
      </c>
      <c r="L154" s="5">
        <f>交易明細!K77</f>
        <v/>
      </c>
      <c r="M154" s="16">
        <f>M153</f>
        <v/>
      </c>
      <c r="N154" s="2">
        <f>N153</f>
        <v/>
      </c>
      <c r="O154" s="16">
        <f>O153</f>
        <v/>
      </c>
      <c r="P154" s="4">
        <f>交易明細!L77</f>
        <v/>
      </c>
      <c r="Q154" s="10">
        <f>IF(N154="已下單",O154*P154,0)</f>
        <v/>
      </c>
      <c r="R154" s="10">
        <f>R153+Q154</f>
        <v/>
      </c>
      <c r="S154" s="16">
        <f>S153-IF(N154="已下單",M154,0)</f>
        <v/>
      </c>
      <c r="T154" s="16">
        <f>R154-S154</f>
        <v/>
      </c>
      <c r="U154" s="2">
        <f>U153-IF(N154="已下單",1,0)</f>
        <v/>
      </c>
      <c r="V154" s="16">
        <f>IF(資金模擬!$B$9=2,MAX(R154,0),MAX(V153,FLOOR(MAX(R154,0),資金模擬!$B$6)))</f>
        <v/>
      </c>
      <c r="W154" s="10">
        <f>MAX(W153,R154)</f>
        <v/>
      </c>
      <c r="X154" s="4">
        <f>IF(W154&gt;0,R154/W154-1,-1)</f>
        <v/>
      </c>
      <c r="Y154" s="16">
        <f>IF(R154&gt;0,S154*資金模擬!$B$7/R154,0)</f>
        <v/>
      </c>
      <c r="Z154" s="2">
        <f>IF(OR(Z153=1,R154&lt;=資金模擬!$B$10),1,0)</f>
        <v/>
      </c>
    </row>
    <row r="155">
      <c r="A155" s="2" t="n">
        <v>153</v>
      </c>
      <c r="B155" s="7" t="n">
        <v>46279.09375</v>
      </c>
      <c r="C155" s="2" t="inlineStr">
        <is>
          <t>進場</t>
        </is>
      </c>
      <c r="D155" s="2" t="n">
        <v>77</v>
      </c>
      <c r="E155" s="2" t="inlineStr">
        <is>
          <t>MAGMA_USDT_PERP</t>
        </is>
      </c>
      <c r="F155" s="2" t="inlineStr">
        <is>
          <t>做空</t>
        </is>
      </c>
      <c r="G155" s="17" t="n">
        <v>0.26632</v>
      </c>
      <c r="H155" s="17" t="n">
        <v>0.2556672</v>
      </c>
      <c r="I155" s="17" t="n">
        <v>0.279636</v>
      </c>
      <c r="J155" s="17" t="n"/>
      <c r="K155" s="2" t="n"/>
      <c r="L155" s="5" t="n"/>
      <c r="M155" s="16">
        <f>資金模擬!$B$5*V154</f>
        <v/>
      </c>
      <c r="N155" s="2">
        <f>IF(Z154=1,"已停止",IF(T154&gt;=M155,"已下單","資金不足略過"))</f>
        <v/>
      </c>
      <c r="O155" s="16">
        <f>IF(N155="已下單",M155*資金模擬!$B$7,0)</f>
        <v/>
      </c>
      <c r="P155" s="4" t="n"/>
      <c r="Q155" s="10" t="n">
        <v>0</v>
      </c>
      <c r="R155" s="10">
        <f>R154+Q155</f>
        <v/>
      </c>
      <c r="S155" s="16">
        <f>S154+IF(N155="已下單",M155,0)</f>
        <v/>
      </c>
      <c r="T155" s="16">
        <f>R155-S155</f>
        <v/>
      </c>
      <c r="U155" s="2">
        <f>U154+IF(N155="已下單",1,0)</f>
        <v/>
      </c>
      <c r="V155" s="16">
        <f>IF(資金模擬!$B$9=2,MAX(R155,0),MAX(V154,FLOOR(MAX(R155,0),資金模擬!$B$6)))</f>
        <v/>
      </c>
      <c r="W155" s="10">
        <f>MAX(W154,R155)</f>
        <v/>
      </c>
      <c r="X155" s="4">
        <f>IF(W155&gt;0,R155/W155-1,-1)</f>
        <v/>
      </c>
      <c r="Y155" s="16">
        <f>IF(R155&gt;0,S155*資金模擬!$B$7/R155,0)</f>
        <v/>
      </c>
      <c r="Z155" s="2">
        <f>IF(OR(Z154=1,R155&lt;=資金模擬!$B$10),1,0)</f>
        <v/>
      </c>
    </row>
    <row r="156">
      <c r="A156" s="2" t="n">
        <v>154</v>
      </c>
      <c r="B156" s="7" t="n">
        <v>46279.10763888889</v>
      </c>
      <c r="C156" s="2" t="inlineStr">
        <is>
          <t>出場</t>
        </is>
      </c>
      <c r="D156" s="2" t="n">
        <v>77</v>
      </c>
      <c r="E156" s="2" t="inlineStr">
        <is>
          <t>MAGMA_USDT_PERP</t>
        </is>
      </c>
      <c r="F156" s="2" t="inlineStr">
        <is>
          <t>做空</t>
        </is>
      </c>
      <c r="G156" s="17" t="n">
        <v>0.26632</v>
      </c>
      <c r="H156" s="17" t="n">
        <v>0.2556672</v>
      </c>
      <c r="I156" s="17" t="n">
        <v>0.279636</v>
      </c>
      <c r="J156" s="17" t="n">
        <v>0.279636</v>
      </c>
      <c r="K156" s="2" t="inlineStr">
        <is>
          <t>止損</t>
        </is>
      </c>
      <c r="L156" s="5">
        <f>交易明細!K78</f>
        <v/>
      </c>
      <c r="M156" s="16">
        <f>M155</f>
        <v/>
      </c>
      <c r="N156" s="2">
        <f>N155</f>
        <v/>
      </c>
      <c r="O156" s="16">
        <f>O155</f>
        <v/>
      </c>
      <c r="P156" s="4">
        <f>交易明細!L78</f>
        <v/>
      </c>
      <c r="Q156" s="10">
        <f>IF(N156="已下單",O156*P156,0)</f>
        <v/>
      </c>
      <c r="R156" s="10">
        <f>R155+Q156</f>
        <v/>
      </c>
      <c r="S156" s="16">
        <f>S155-IF(N156="已下單",M156,0)</f>
        <v/>
      </c>
      <c r="T156" s="16">
        <f>R156-S156</f>
        <v/>
      </c>
      <c r="U156" s="2">
        <f>U155-IF(N156="已下單",1,0)</f>
        <v/>
      </c>
      <c r="V156" s="16">
        <f>IF(資金模擬!$B$9=2,MAX(R156,0),MAX(V155,FLOOR(MAX(R156,0),資金模擬!$B$6)))</f>
        <v/>
      </c>
      <c r="W156" s="10">
        <f>MAX(W155,R156)</f>
        <v/>
      </c>
      <c r="X156" s="4">
        <f>IF(W156&gt;0,R156/W156-1,-1)</f>
        <v/>
      </c>
      <c r="Y156" s="16">
        <f>IF(R156&gt;0,S156*資金模擬!$B$7/R156,0)</f>
        <v/>
      </c>
      <c r="Z156" s="2">
        <f>IF(OR(Z155=1,R156&lt;=資金模擬!$B$10),1,0)</f>
        <v/>
      </c>
    </row>
    <row r="157">
      <c r="A157" s="2" t="n">
        <v>155</v>
      </c>
      <c r="B157" s="7" t="n">
        <v>46279.49652777778</v>
      </c>
      <c r="C157" s="2" t="inlineStr">
        <is>
          <t>進場</t>
        </is>
      </c>
      <c r="D157" s="2" t="n">
        <v>78</v>
      </c>
      <c r="E157" s="2" t="inlineStr">
        <is>
          <t>BR_USDT_PERP</t>
        </is>
      </c>
      <c r="F157" s="2" t="inlineStr">
        <is>
          <t>做空</t>
        </is>
      </c>
      <c r="G157" s="17" t="n">
        <v>0.36686</v>
      </c>
      <c r="H157" s="17" t="n">
        <v>0.3521856</v>
      </c>
      <c r="I157" s="17" t="n">
        <v>0.385203</v>
      </c>
      <c r="J157" s="17" t="n"/>
      <c r="K157" s="2" t="n"/>
      <c r="L157" s="5" t="n"/>
      <c r="M157" s="16">
        <f>資金模擬!$B$5*V156</f>
        <v/>
      </c>
      <c r="N157" s="2">
        <f>IF(Z156=1,"已停止",IF(T156&gt;=M157,"已下單","資金不足略過"))</f>
        <v/>
      </c>
      <c r="O157" s="16">
        <f>IF(N157="已下單",M157*資金模擬!$B$7,0)</f>
        <v/>
      </c>
      <c r="P157" s="4" t="n"/>
      <c r="Q157" s="10" t="n">
        <v>0</v>
      </c>
      <c r="R157" s="10">
        <f>R156+Q157</f>
        <v/>
      </c>
      <c r="S157" s="16">
        <f>S156+IF(N157="已下單",M157,0)</f>
        <v/>
      </c>
      <c r="T157" s="16">
        <f>R157-S157</f>
        <v/>
      </c>
      <c r="U157" s="2">
        <f>U156+IF(N157="已下單",1,0)</f>
        <v/>
      </c>
      <c r="V157" s="16">
        <f>IF(資金模擬!$B$9=2,MAX(R157,0),MAX(V156,FLOOR(MAX(R157,0),資金模擬!$B$6)))</f>
        <v/>
      </c>
      <c r="W157" s="10">
        <f>MAX(W156,R157)</f>
        <v/>
      </c>
      <c r="X157" s="4">
        <f>IF(W157&gt;0,R157/W157-1,-1)</f>
        <v/>
      </c>
      <c r="Y157" s="16">
        <f>IF(R157&gt;0,S157*資金模擬!$B$7/R157,0)</f>
        <v/>
      </c>
      <c r="Z157" s="2">
        <f>IF(OR(Z156=1,R157&lt;=資金模擬!$B$10),1,0)</f>
        <v/>
      </c>
    </row>
    <row r="158">
      <c r="A158" s="2" t="n">
        <v>156</v>
      </c>
      <c r="B158" s="7" t="n">
        <v>46279.5</v>
      </c>
      <c r="C158" s="2" t="inlineStr">
        <is>
          <t>出場</t>
        </is>
      </c>
      <c r="D158" s="2" t="n">
        <v>78</v>
      </c>
      <c r="E158" s="2" t="inlineStr">
        <is>
          <t>BR_USDT_PERP</t>
        </is>
      </c>
      <c r="F158" s="2" t="inlineStr">
        <is>
          <t>做空</t>
        </is>
      </c>
      <c r="G158" s="17" t="n">
        <v>0.36686</v>
      </c>
      <c r="H158" s="17" t="n">
        <v>0.3521856</v>
      </c>
      <c r="I158" s="17" t="n">
        <v>0.385203</v>
      </c>
      <c r="J158" s="17" t="n">
        <v>0.385203</v>
      </c>
      <c r="K158" s="2" t="inlineStr">
        <is>
          <t>止損</t>
        </is>
      </c>
      <c r="L158" s="5">
        <f>交易明細!K79</f>
        <v/>
      </c>
      <c r="M158" s="16">
        <f>M157</f>
        <v/>
      </c>
      <c r="N158" s="2">
        <f>N157</f>
        <v/>
      </c>
      <c r="O158" s="16">
        <f>O157</f>
        <v/>
      </c>
      <c r="P158" s="4">
        <f>交易明細!L79</f>
        <v/>
      </c>
      <c r="Q158" s="10">
        <f>IF(N158="已下單",O158*P158,0)</f>
        <v/>
      </c>
      <c r="R158" s="10">
        <f>R157+Q158</f>
        <v/>
      </c>
      <c r="S158" s="16">
        <f>S157-IF(N158="已下單",M158,0)</f>
        <v/>
      </c>
      <c r="T158" s="16">
        <f>R158-S158</f>
        <v/>
      </c>
      <c r="U158" s="2">
        <f>U157-IF(N158="已下單",1,0)</f>
        <v/>
      </c>
      <c r="V158" s="16">
        <f>IF(資金模擬!$B$9=2,MAX(R158,0),MAX(V157,FLOOR(MAX(R158,0),資金模擬!$B$6)))</f>
        <v/>
      </c>
      <c r="W158" s="10">
        <f>MAX(W157,R158)</f>
        <v/>
      </c>
      <c r="X158" s="4">
        <f>IF(W158&gt;0,R158/W158-1,-1)</f>
        <v/>
      </c>
      <c r="Y158" s="16">
        <f>IF(R158&gt;0,S158*資金模擬!$B$7/R158,0)</f>
        <v/>
      </c>
      <c r="Z158" s="2">
        <f>IF(OR(Z157=1,R158&lt;=資金模擬!$B$10),1,0)</f>
        <v/>
      </c>
    </row>
    <row r="159">
      <c r="A159" s="2" t="n">
        <v>157</v>
      </c>
      <c r="B159" s="7" t="n">
        <v>46279.57638888889</v>
      </c>
      <c r="C159" s="2" t="inlineStr">
        <is>
          <t>進場</t>
        </is>
      </c>
      <c r="D159" s="2" t="n">
        <v>79</v>
      </c>
      <c r="E159" s="2" t="inlineStr">
        <is>
          <t>AIN_USDT_PERP</t>
        </is>
      </c>
      <c r="F159" s="2" t="inlineStr">
        <is>
          <t>做空</t>
        </is>
      </c>
      <c r="G159" s="17" t="n">
        <v>0.10972</v>
      </c>
      <c r="H159" s="17" t="n">
        <v>0.1053312</v>
      </c>
      <c r="I159" s="17" t="n">
        <v>0.115206</v>
      </c>
      <c r="J159" s="17" t="n"/>
      <c r="K159" s="2" t="n"/>
      <c r="L159" s="5" t="n"/>
      <c r="M159" s="16">
        <f>資金模擬!$B$5*V158</f>
        <v/>
      </c>
      <c r="N159" s="2">
        <f>IF(Z158=1,"已停止",IF(T158&gt;=M159,"已下單","資金不足略過"))</f>
        <v/>
      </c>
      <c r="O159" s="16">
        <f>IF(N159="已下單",M159*資金模擬!$B$7,0)</f>
        <v/>
      </c>
      <c r="P159" s="4" t="n"/>
      <c r="Q159" s="10" t="n">
        <v>0</v>
      </c>
      <c r="R159" s="10">
        <f>R158+Q159</f>
        <v/>
      </c>
      <c r="S159" s="16">
        <f>S158+IF(N159="已下單",M159,0)</f>
        <v/>
      </c>
      <c r="T159" s="16">
        <f>R159-S159</f>
        <v/>
      </c>
      <c r="U159" s="2">
        <f>U158+IF(N159="已下單",1,0)</f>
        <v/>
      </c>
      <c r="V159" s="16">
        <f>IF(資金模擬!$B$9=2,MAX(R159,0),MAX(V158,FLOOR(MAX(R159,0),資金模擬!$B$6)))</f>
        <v/>
      </c>
      <c r="W159" s="10">
        <f>MAX(W158,R159)</f>
        <v/>
      </c>
      <c r="X159" s="4">
        <f>IF(W159&gt;0,R159/W159-1,-1)</f>
        <v/>
      </c>
      <c r="Y159" s="16">
        <f>IF(R159&gt;0,S159*資金模擬!$B$7/R159,0)</f>
        <v/>
      </c>
      <c r="Z159" s="2">
        <f>IF(OR(Z158=1,R159&lt;=資金模擬!$B$10),1,0)</f>
        <v/>
      </c>
    </row>
    <row r="160">
      <c r="A160" s="2" t="n">
        <v>158</v>
      </c>
      <c r="B160" s="7" t="n">
        <v>46279.58333333334</v>
      </c>
      <c r="C160" s="2" t="inlineStr">
        <is>
          <t>出場</t>
        </is>
      </c>
      <c r="D160" s="2" t="n">
        <v>79</v>
      </c>
      <c r="E160" s="2" t="inlineStr">
        <is>
          <t>AIN_USDT_PERP</t>
        </is>
      </c>
      <c r="F160" s="2" t="inlineStr">
        <is>
          <t>做空</t>
        </is>
      </c>
      <c r="G160" s="17" t="n">
        <v>0.10972</v>
      </c>
      <c r="H160" s="17" t="n">
        <v>0.1053312</v>
      </c>
      <c r="I160" s="17" t="n">
        <v>0.115206</v>
      </c>
      <c r="J160" s="17" t="n">
        <v>0.1053312</v>
      </c>
      <c r="K160" s="2" t="inlineStr">
        <is>
          <t>止盈</t>
        </is>
      </c>
      <c r="L160" s="5">
        <f>交易明細!K80</f>
        <v/>
      </c>
      <c r="M160" s="16">
        <f>M159</f>
        <v/>
      </c>
      <c r="N160" s="2">
        <f>N159</f>
        <v/>
      </c>
      <c r="O160" s="16">
        <f>O159</f>
        <v/>
      </c>
      <c r="P160" s="4">
        <f>交易明細!L80</f>
        <v/>
      </c>
      <c r="Q160" s="10">
        <f>IF(N160="已下單",O160*P160,0)</f>
        <v/>
      </c>
      <c r="R160" s="10">
        <f>R159+Q160</f>
        <v/>
      </c>
      <c r="S160" s="16">
        <f>S159-IF(N160="已下單",M160,0)</f>
        <v/>
      </c>
      <c r="T160" s="16">
        <f>R160-S160</f>
        <v/>
      </c>
      <c r="U160" s="2">
        <f>U159-IF(N160="已下單",1,0)</f>
        <v/>
      </c>
      <c r="V160" s="16">
        <f>IF(資金模擬!$B$9=2,MAX(R160,0),MAX(V159,FLOOR(MAX(R160,0),資金模擬!$B$6)))</f>
        <v/>
      </c>
      <c r="W160" s="10">
        <f>MAX(W159,R160)</f>
        <v/>
      </c>
      <c r="X160" s="4">
        <f>IF(W160&gt;0,R160/W160-1,-1)</f>
        <v/>
      </c>
      <c r="Y160" s="16">
        <f>IF(R160&gt;0,S160*資金模擬!$B$7/R160,0)</f>
        <v/>
      </c>
      <c r="Z160" s="2">
        <f>IF(OR(Z159=1,R160&lt;=資金模擬!$B$10),1,0)</f>
        <v/>
      </c>
    </row>
    <row r="161">
      <c r="A161" s="2" t="n">
        <v>159</v>
      </c>
      <c r="B161" s="7" t="n">
        <v>46279.60416666666</v>
      </c>
      <c r="C161" s="2" t="inlineStr">
        <is>
          <t>進場</t>
        </is>
      </c>
      <c r="D161" s="2" t="n">
        <v>80</v>
      </c>
      <c r="E161" s="2" t="inlineStr">
        <is>
          <t>XPIN_USDT_PERP</t>
        </is>
      </c>
      <c r="F161" s="2" t="inlineStr">
        <is>
          <t>做空</t>
        </is>
      </c>
      <c r="G161" s="17" t="n">
        <v>0.000886</v>
      </c>
      <c r="H161" s="17" t="n">
        <v>0.0008505599999999999</v>
      </c>
      <c r="I161" s="17" t="n">
        <v>0.0009303</v>
      </c>
      <c r="J161" s="17" t="n"/>
      <c r="K161" s="2" t="n"/>
      <c r="L161" s="5" t="n"/>
      <c r="M161" s="16">
        <f>資金模擬!$B$5*V160</f>
        <v/>
      </c>
      <c r="N161" s="2">
        <f>IF(Z160=1,"已停止",IF(T160&gt;=M161,"已下單","資金不足略過"))</f>
        <v/>
      </c>
      <c r="O161" s="16">
        <f>IF(N161="已下單",M161*資金模擬!$B$7,0)</f>
        <v/>
      </c>
      <c r="P161" s="4" t="n"/>
      <c r="Q161" s="10" t="n">
        <v>0</v>
      </c>
      <c r="R161" s="10">
        <f>R160+Q161</f>
        <v/>
      </c>
      <c r="S161" s="16">
        <f>S160+IF(N161="已下單",M161,0)</f>
        <v/>
      </c>
      <c r="T161" s="16">
        <f>R161-S161</f>
        <v/>
      </c>
      <c r="U161" s="2">
        <f>U160+IF(N161="已下單",1,0)</f>
        <v/>
      </c>
      <c r="V161" s="16">
        <f>IF(資金模擬!$B$9=2,MAX(R161,0),MAX(V160,FLOOR(MAX(R161,0),資金模擬!$B$6)))</f>
        <v/>
      </c>
      <c r="W161" s="10">
        <f>MAX(W160,R161)</f>
        <v/>
      </c>
      <c r="X161" s="4">
        <f>IF(W161&gt;0,R161/W161-1,-1)</f>
        <v/>
      </c>
      <c r="Y161" s="16">
        <f>IF(R161&gt;0,S161*資金模擬!$B$7/R161,0)</f>
        <v/>
      </c>
      <c r="Z161" s="2">
        <f>IF(OR(Z160=1,R161&lt;=資金模擬!$B$10),1,0)</f>
        <v/>
      </c>
    </row>
    <row r="162">
      <c r="A162" s="2" t="n">
        <v>160</v>
      </c>
      <c r="B162" s="7" t="n">
        <v>46279.60763888889</v>
      </c>
      <c r="C162" s="2" t="inlineStr">
        <is>
          <t>出場</t>
        </is>
      </c>
      <c r="D162" s="2" t="n">
        <v>80</v>
      </c>
      <c r="E162" s="2" t="inlineStr">
        <is>
          <t>XPIN_USDT_PERP</t>
        </is>
      </c>
      <c r="F162" s="2" t="inlineStr">
        <is>
          <t>做空</t>
        </is>
      </c>
      <c r="G162" s="17" t="n">
        <v>0.000886</v>
      </c>
      <c r="H162" s="17" t="n">
        <v>0.0008505599999999999</v>
      </c>
      <c r="I162" s="17" t="n">
        <v>0.0009303</v>
      </c>
      <c r="J162" s="17" t="n">
        <v>0.0009303</v>
      </c>
      <c r="K162" s="2" t="inlineStr">
        <is>
          <t>止損</t>
        </is>
      </c>
      <c r="L162" s="5">
        <f>交易明細!K81</f>
        <v/>
      </c>
      <c r="M162" s="16">
        <f>M161</f>
        <v/>
      </c>
      <c r="N162" s="2">
        <f>N161</f>
        <v/>
      </c>
      <c r="O162" s="16">
        <f>O161</f>
        <v/>
      </c>
      <c r="P162" s="4">
        <f>交易明細!L81</f>
        <v/>
      </c>
      <c r="Q162" s="10">
        <f>IF(N162="已下單",O162*P162,0)</f>
        <v/>
      </c>
      <c r="R162" s="10">
        <f>R161+Q162</f>
        <v/>
      </c>
      <c r="S162" s="16">
        <f>S161-IF(N162="已下單",M162,0)</f>
        <v/>
      </c>
      <c r="T162" s="16">
        <f>R162-S162</f>
        <v/>
      </c>
      <c r="U162" s="2">
        <f>U161-IF(N162="已下單",1,0)</f>
        <v/>
      </c>
      <c r="V162" s="16">
        <f>IF(資金模擬!$B$9=2,MAX(R162,0),MAX(V161,FLOOR(MAX(R162,0),資金模擬!$B$6)))</f>
        <v/>
      </c>
      <c r="W162" s="10">
        <f>MAX(W161,R162)</f>
        <v/>
      </c>
      <c r="X162" s="4">
        <f>IF(W162&gt;0,R162/W162-1,-1)</f>
        <v/>
      </c>
      <c r="Y162" s="16">
        <f>IF(R162&gt;0,S162*資金模擬!$B$7/R162,0)</f>
        <v/>
      </c>
      <c r="Z162" s="2">
        <f>IF(OR(Z161=1,R162&lt;=資金模擬!$B$10),1,0)</f>
        <v/>
      </c>
    </row>
    <row r="163">
      <c r="A163" s="2" t="n">
        <v>161</v>
      </c>
      <c r="B163" s="7" t="n">
        <v>46279.625</v>
      </c>
      <c r="C163" s="2" t="inlineStr">
        <is>
          <t>進場</t>
        </is>
      </c>
      <c r="D163" s="2" t="n">
        <v>81</v>
      </c>
      <c r="E163" s="2" t="inlineStr">
        <is>
          <t>AIN_USDT_PERP</t>
        </is>
      </c>
      <c r="F163" s="2" t="inlineStr">
        <is>
          <t>做空</t>
        </is>
      </c>
      <c r="G163" s="17" t="n">
        <v>0.10454</v>
      </c>
      <c r="H163" s="17" t="n">
        <v>0.1003584</v>
      </c>
      <c r="I163" s="17" t="n">
        <v>0.109767</v>
      </c>
      <c r="J163" s="17" t="n"/>
      <c r="K163" s="2" t="n"/>
      <c r="L163" s="5" t="n"/>
      <c r="M163" s="16">
        <f>資金模擬!$B$5*V162</f>
        <v/>
      </c>
      <c r="N163" s="2">
        <f>IF(Z162=1,"已停止",IF(T162&gt;=M163,"已下單","資金不足略過"))</f>
        <v/>
      </c>
      <c r="O163" s="16">
        <f>IF(N163="已下單",M163*資金模擬!$B$7,0)</f>
        <v/>
      </c>
      <c r="P163" s="4" t="n"/>
      <c r="Q163" s="10" t="n">
        <v>0</v>
      </c>
      <c r="R163" s="10">
        <f>R162+Q163</f>
        <v/>
      </c>
      <c r="S163" s="16">
        <f>S162+IF(N163="已下單",M163,0)</f>
        <v/>
      </c>
      <c r="T163" s="16">
        <f>R163-S163</f>
        <v/>
      </c>
      <c r="U163" s="2">
        <f>U162+IF(N163="已下單",1,0)</f>
        <v/>
      </c>
      <c r="V163" s="16">
        <f>IF(資金模擬!$B$9=2,MAX(R163,0),MAX(V162,FLOOR(MAX(R163,0),資金模擬!$B$6)))</f>
        <v/>
      </c>
      <c r="W163" s="10">
        <f>MAX(W162,R163)</f>
        <v/>
      </c>
      <c r="X163" s="4">
        <f>IF(W163&gt;0,R163/W163-1,-1)</f>
        <v/>
      </c>
      <c r="Y163" s="16">
        <f>IF(R163&gt;0,S163*資金模擬!$B$7/R163,0)</f>
        <v/>
      </c>
      <c r="Z163" s="2">
        <f>IF(OR(Z162=1,R163&lt;=資金模擬!$B$10),1,0)</f>
        <v/>
      </c>
    </row>
    <row r="164">
      <c r="A164" s="2" t="n">
        <v>162</v>
      </c>
      <c r="B164" s="7" t="n">
        <v>46279.64583333334</v>
      </c>
      <c r="C164" s="2" t="inlineStr">
        <is>
          <t>出場</t>
        </is>
      </c>
      <c r="D164" s="2" t="n">
        <v>81</v>
      </c>
      <c r="E164" s="2" t="inlineStr">
        <is>
          <t>AIN_USDT_PERP</t>
        </is>
      </c>
      <c r="F164" s="2" t="inlineStr">
        <is>
          <t>做空</t>
        </is>
      </c>
      <c r="G164" s="17" t="n">
        <v>0.10454</v>
      </c>
      <c r="H164" s="17" t="n">
        <v>0.1003584</v>
      </c>
      <c r="I164" s="17" t="n">
        <v>0.109767</v>
      </c>
      <c r="J164" s="17" t="n">
        <v>0.1003584</v>
      </c>
      <c r="K164" s="2" t="inlineStr">
        <is>
          <t>止盈</t>
        </is>
      </c>
      <c r="L164" s="5">
        <f>交易明細!K82</f>
        <v/>
      </c>
      <c r="M164" s="16">
        <f>M163</f>
        <v/>
      </c>
      <c r="N164" s="2">
        <f>N163</f>
        <v/>
      </c>
      <c r="O164" s="16">
        <f>O163</f>
        <v/>
      </c>
      <c r="P164" s="4">
        <f>交易明細!L82</f>
        <v/>
      </c>
      <c r="Q164" s="10">
        <f>IF(N164="已下單",O164*P164,0)</f>
        <v/>
      </c>
      <c r="R164" s="10">
        <f>R163+Q164</f>
        <v/>
      </c>
      <c r="S164" s="16">
        <f>S163-IF(N164="已下單",M164,0)</f>
        <v/>
      </c>
      <c r="T164" s="16">
        <f>R164-S164</f>
        <v/>
      </c>
      <c r="U164" s="2">
        <f>U163-IF(N164="已下單",1,0)</f>
        <v/>
      </c>
      <c r="V164" s="16">
        <f>IF(資金模擬!$B$9=2,MAX(R164,0),MAX(V163,FLOOR(MAX(R164,0),資金模擬!$B$6)))</f>
        <v/>
      </c>
      <c r="W164" s="10">
        <f>MAX(W163,R164)</f>
        <v/>
      </c>
      <c r="X164" s="4">
        <f>IF(W164&gt;0,R164/W164-1,-1)</f>
        <v/>
      </c>
      <c r="Y164" s="16">
        <f>IF(R164&gt;0,S164*資金模擬!$B$7/R164,0)</f>
        <v/>
      </c>
      <c r="Z164" s="2">
        <f>IF(OR(Z163=1,R164&lt;=資金模擬!$B$10),1,0)</f>
        <v/>
      </c>
    </row>
    <row r="165">
      <c r="A165" s="2" t="n">
        <v>163</v>
      </c>
      <c r="B165" s="7" t="n">
        <v>46279.85069444445</v>
      </c>
      <c r="C165" s="2" t="inlineStr">
        <is>
          <t>進場</t>
        </is>
      </c>
      <c r="D165" s="2" t="n">
        <v>82</v>
      </c>
      <c r="E165" s="2" t="inlineStr">
        <is>
          <t>CAP_USDT_PERP</t>
        </is>
      </c>
      <c r="F165" s="2" t="inlineStr">
        <is>
          <t>做空</t>
        </is>
      </c>
      <c r="G165" s="17" t="n">
        <v>0.06824</v>
      </c>
      <c r="H165" s="17" t="n">
        <v>0.0655104</v>
      </c>
      <c r="I165" s="17" t="n">
        <v>0.07165199999999999</v>
      </c>
      <c r="J165" s="17" t="n"/>
      <c r="K165" s="2" t="n"/>
      <c r="L165" s="5" t="n"/>
      <c r="M165" s="16">
        <f>資金模擬!$B$5*V164</f>
        <v/>
      </c>
      <c r="N165" s="2">
        <f>IF(Z164=1,"已停止",IF(T164&gt;=M165,"已下單","資金不足略過"))</f>
        <v/>
      </c>
      <c r="O165" s="16">
        <f>IF(N165="已下單",M165*資金模擬!$B$7,0)</f>
        <v/>
      </c>
      <c r="P165" s="4" t="n"/>
      <c r="Q165" s="10" t="n">
        <v>0</v>
      </c>
      <c r="R165" s="10">
        <f>R164+Q165</f>
        <v/>
      </c>
      <c r="S165" s="16">
        <f>S164+IF(N165="已下單",M165,0)</f>
        <v/>
      </c>
      <c r="T165" s="16">
        <f>R165-S165</f>
        <v/>
      </c>
      <c r="U165" s="2">
        <f>U164+IF(N165="已下單",1,0)</f>
        <v/>
      </c>
      <c r="V165" s="16">
        <f>IF(資金模擬!$B$9=2,MAX(R165,0),MAX(V164,FLOOR(MAX(R165,0),資金模擬!$B$6)))</f>
        <v/>
      </c>
      <c r="W165" s="10">
        <f>MAX(W164,R165)</f>
        <v/>
      </c>
      <c r="X165" s="4">
        <f>IF(W165&gt;0,R165/W165-1,-1)</f>
        <v/>
      </c>
      <c r="Y165" s="16">
        <f>IF(R165&gt;0,S165*資金模擬!$B$7/R165,0)</f>
        <v/>
      </c>
      <c r="Z165" s="2">
        <f>IF(OR(Z164=1,R165&lt;=資金模擬!$B$10),1,0)</f>
        <v/>
      </c>
    </row>
    <row r="166">
      <c r="A166" s="2" t="n">
        <v>164</v>
      </c>
      <c r="B166" s="7" t="n">
        <v>46279.85416666666</v>
      </c>
      <c r="C166" s="2" t="inlineStr">
        <is>
          <t>出場</t>
        </is>
      </c>
      <c r="D166" s="2" t="n">
        <v>82</v>
      </c>
      <c r="E166" s="2" t="inlineStr">
        <is>
          <t>CAP_USDT_PERP</t>
        </is>
      </c>
      <c r="F166" s="2" t="inlineStr">
        <is>
          <t>做空</t>
        </is>
      </c>
      <c r="G166" s="17" t="n">
        <v>0.06824</v>
      </c>
      <c r="H166" s="17" t="n">
        <v>0.0655104</v>
      </c>
      <c r="I166" s="17" t="n">
        <v>0.07165199999999999</v>
      </c>
      <c r="J166" s="17" t="n">
        <v>0.0655104</v>
      </c>
      <c r="K166" s="2" t="inlineStr">
        <is>
          <t>止盈</t>
        </is>
      </c>
      <c r="L166" s="5">
        <f>交易明細!K83</f>
        <v/>
      </c>
      <c r="M166" s="16">
        <f>M165</f>
        <v/>
      </c>
      <c r="N166" s="2">
        <f>N165</f>
        <v/>
      </c>
      <c r="O166" s="16">
        <f>O165</f>
        <v/>
      </c>
      <c r="P166" s="4">
        <f>交易明細!L83</f>
        <v/>
      </c>
      <c r="Q166" s="10">
        <f>IF(N166="已下單",O166*P166,0)</f>
        <v/>
      </c>
      <c r="R166" s="10">
        <f>R165+Q166</f>
        <v/>
      </c>
      <c r="S166" s="16">
        <f>S165-IF(N166="已下單",M166,0)</f>
        <v/>
      </c>
      <c r="T166" s="16">
        <f>R166-S166</f>
        <v/>
      </c>
      <c r="U166" s="2">
        <f>U165-IF(N166="已下單",1,0)</f>
        <v/>
      </c>
      <c r="V166" s="16">
        <f>IF(資金模擬!$B$9=2,MAX(R166,0),MAX(V165,FLOOR(MAX(R166,0),資金模擬!$B$6)))</f>
        <v/>
      </c>
      <c r="W166" s="10">
        <f>MAX(W165,R166)</f>
        <v/>
      </c>
      <c r="X166" s="4">
        <f>IF(W166&gt;0,R166/W166-1,-1)</f>
        <v/>
      </c>
      <c r="Y166" s="16">
        <f>IF(R166&gt;0,S166*資金模擬!$B$7/R166,0)</f>
        <v/>
      </c>
      <c r="Z166" s="2">
        <f>IF(OR(Z165=1,R166&lt;=資金模擬!$B$10),1,0)</f>
        <v/>
      </c>
    </row>
    <row r="167">
      <c r="A167" s="2" t="n">
        <v>165</v>
      </c>
      <c r="B167" s="7" t="n">
        <v>46280.02083333334</v>
      </c>
      <c r="C167" s="2" t="inlineStr">
        <is>
          <t>進場</t>
        </is>
      </c>
      <c r="D167" s="2" t="n">
        <v>83</v>
      </c>
      <c r="E167" s="2" t="inlineStr">
        <is>
          <t>HEMI_USDT_PERP</t>
        </is>
      </c>
      <c r="F167" s="2" t="inlineStr">
        <is>
          <t>做空</t>
        </is>
      </c>
      <c r="G167" s="17" t="n">
        <v>0.00705</v>
      </c>
      <c r="H167" s="17" t="n">
        <v>0.006768</v>
      </c>
      <c r="I167" s="17" t="n">
        <v>0.0074025</v>
      </c>
      <c r="J167" s="17" t="n"/>
      <c r="K167" s="2" t="n"/>
      <c r="L167" s="5" t="n"/>
      <c r="M167" s="16">
        <f>資金模擬!$B$5*V166</f>
        <v/>
      </c>
      <c r="N167" s="2">
        <f>IF(Z166=1,"已停止",IF(T166&gt;=M167,"已下單","資金不足略過"))</f>
        <v/>
      </c>
      <c r="O167" s="16">
        <f>IF(N167="已下單",M167*資金模擬!$B$7,0)</f>
        <v/>
      </c>
      <c r="P167" s="4" t="n"/>
      <c r="Q167" s="10" t="n">
        <v>0</v>
      </c>
      <c r="R167" s="10">
        <f>R166+Q167</f>
        <v/>
      </c>
      <c r="S167" s="16">
        <f>S166+IF(N167="已下單",M167,0)</f>
        <v/>
      </c>
      <c r="T167" s="16">
        <f>R167-S167</f>
        <v/>
      </c>
      <c r="U167" s="2">
        <f>U166+IF(N167="已下單",1,0)</f>
        <v/>
      </c>
      <c r="V167" s="16">
        <f>IF(資金模擬!$B$9=2,MAX(R167,0),MAX(V166,FLOOR(MAX(R167,0),資金模擬!$B$6)))</f>
        <v/>
      </c>
      <c r="W167" s="10">
        <f>MAX(W166,R167)</f>
        <v/>
      </c>
      <c r="X167" s="4">
        <f>IF(W167&gt;0,R167/W167-1,-1)</f>
        <v/>
      </c>
      <c r="Y167" s="16">
        <f>IF(R167&gt;0,S167*資金模擬!$B$7/R167,0)</f>
        <v/>
      </c>
      <c r="Z167" s="2">
        <f>IF(OR(Z166=1,R167&lt;=資金模擬!$B$10),1,0)</f>
        <v/>
      </c>
    </row>
    <row r="168">
      <c r="A168" s="2" t="n">
        <v>166</v>
      </c>
      <c r="B168" s="7" t="n">
        <v>46280.02430555555</v>
      </c>
      <c r="C168" s="2" t="inlineStr">
        <is>
          <t>出場</t>
        </is>
      </c>
      <c r="D168" s="2" t="n">
        <v>83</v>
      </c>
      <c r="E168" s="2" t="inlineStr">
        <is>
          <t>HEMI_USDT_PERP</t>
        </is>
      </c>
      <c r="F168" s="2" t="inlineStr">
        <is>
          <t>做空</t>
        </is>
      </c>
      <c r="G168" s="17" t="n">
        <v>0.00705</v>
      </c>
      <c r="H168" s="17" t="n">
        <v>0.006768</v>
      </c>
      <c r="I168" s="17" t="n">
        <v>0.0074025</v>
      </c>
      <c r="J168" s="17" t="n">
        <v>0.006768</v>
      </c>
      <c r="K168" s="2" t="inlineStr">
        <is>
          <t>止盈</t>
        </is>
      </c>
      <c r="L168" s="5">
        <f>交易明細!K84</f>
        <v/>
      </c>
      <c r="M168" s="16">
        <f>M167</f>
        <v/>
      </c>
      <c r="N168" s="2">
        <f>N167</f>
        <v/>
      </c>
      <c r="O168" s="16">
        <f>O167</f>
        <v/>
      </c>
      <c r="P168" s="4">
        <f>交易明細!L84</f>
        <v/>
      </c>
      <c r="Q168" s="10">
        <f>IF(N168="已下單",O168*P168,0)</f>
        <v/>
      </c>
      <c r="R168" s="10">
        <f>R167+Q168</f>
        <v/>
      </c>
      <c r="S168" s="16">
        <f>S167-IF(N168="已下單",M168,0)</f>
        <v/>
      </c>
      <c r="T168" s="16">
        <f>R168-S168</f>
        <v/>
      </c>
      <c r="U168" s="2">
        <f>U167-IF(N168="已下單",1,0)</f>
        <v/>
      </c>
      <c r="V168" s="16">
        <f>IF(資金模擬!$B$9=2,MAX(R168,0),MAX(V167,FLOOR(MAX(R168,0),資金模擬!$B$6)))</f>
        <v/>
      </c>
      <c r="W168" s="10">
        <f>MAX(W167,R168)</f>
        <v/>
      </c>
      <c r="X168" s="4">
        <f>IF(W168&gt;0,R168/W168-1,-1)</f>
        <v/>
      </c>
      <c r="Y168" s="16">
        <f>IF(R168&gt;0,S168*資金模擬!$B$7/R168,0)</f>
        <v/>
      </c>
      <c r="Z168" s="2">
        <f>IF(OR(Z167=1,R168&lt;=資金模擬!$B$10),1,0)</f>
        <v/>
      </c>
    </row>
    <row r="169">
      <c r="A169" s="2" t="n">
        <v>167</v>
      </c>
      <c r="B169" s="7" t="n">
        <v>46280.37847222222</v>
      </c>
      <c r="C169" s="2" t="inlineStr">
        <is>
          <t>進場</t>
        </is>
      </c>
      <c r="D169" s="2" t="n">
        <v>84</v>
      </c>
      <c r="E169" s="2" t="inlineStr">
        <is>
          <t>ASTR_USDT_PERP</t>
        </is>
      </c>
      <c r="F169" s="2" t="inlineStr">
        <is>
          <t>做空</t>
        </is>
      </c>
      <c r="G169" s="17" t="n">
        <v>0.006865</v>
      </c>
      <c r="H169" s="17" t="n">
        <v>0.0065904</v>
      </c>
      <c r="I169" s="17" t="n">
        <v>0.00720825</v>
      </c>
      <c r="J169" s="17" t="n"/>
      <c r="K169" s="2" t="n"/>
      <c r="L169" s="5" t="n"/>
      <c r="M169" s="16">
        <f>資金模擬!$B$5*V168</f>
        <v/>
      </c>
      <c r="N169" s="2">
        <f>IF(Z168=1,"已停止",IF(T168&gt;=M169,"已下單","資金不足略過"))</f>
        <v/>
      </c>
      <c r="O169" s="16">
        <f>IF(N169="已下單",M169*資金模擬!$B$7,0)</f>
        <v/>
      </c>
      <c r="P169" s="4" t="n"/>
      <c r="Q169" s="10" t="n">
        <v>0</v>
      </c>
      <c r="R169" s="10">
        <f>R168+Q169</f>
        <v/>
      </c>
      <c r="S169" s="16">
        <f>S168+IF(N169="已下單",M169,0)</f>
        <v/>
      </c>
      <c r="T169" s="16">
        <f>R169-S169</f>
        <v/>
      </c>
      <c r="U169" s="2">
        <f>U168+IF(N169="已下單",1,0)</f>
        <v/>
      </c>
      <c r="V169" s="16">
        <f>IF(資金模擬!$B$9=2,MAX(R169,0),MAX(V168,FLOOR(MAX(R169,0),資金模擬!$B$6)))</f>
        <v/>
      </c>
      <c r="W169" s="10">
        <f>MAX(W168,R169)</f>
        <v/>
      </c>
      <c r="X169" s="4">
        <f>IF(W169&gt;0,R169/W169-1,-1)</f>
        <v/>
      </c>
      <c r="Y169" s="16">
        <f>IF(R169&gt;0,S169*資金模擬!$B$7/R169,0)</f>
        <v/>
      </c>
      <c r="Z169" s="2">
        <f>IF(OR(Z168=1,R169&lt;=資金模擬!$B$10),1,0)</f>
        <v/>
      </c>
    </row>
    <row r="170">
      <c r="A170" s="2" t="n">
        <v>168</v>
      </c>
      <c r="B170" s="7" t="n">
        <v>46280.38194444445</v>
      </c>
      <c r="C170" s="2" t="inlineStr">
        <is>
          <t>出場</t>
        </is>
      </c>
      <c r="D170" s="2" t="n">
        <v>84</v>
      </c>
      <c r="E170" s="2" t="inlineStr">
        <is>
          <t>ASTR_USDT_PERP</t>
        </is>
      </c>
      <c r="F170" s="2" t="inlineStr">
        <is>
          <t>做空</t>
        </is>
      </c>
      <c r="G170" s="17" t="n">
        <v>0.006865</v>
      </c>
      <c r="H170" s="17" t="n">
        <v>0.0065904</v>
      </c>
      <c r="I170" s="17" t="n">
        <v>0.00720825</v>
      </c>
      <c r="J170" s="17" t="n">
        <v>0.00720825</v>
      </c>
      <c r="K170" s="2" t="inlineStr">
        <is>
          <t>止損</t>
        </is>
      </c>
      <c r="L170" s="5">
        <f>交易明細!K85</f>
        <v/>
      </c>
      <c r="M170" s="16">
        <f>M169</f>
        <v/>
      </c>
      <c r="N170" s="2">
        <f>N169</f>
        <v/>
      </c>
      <c r="O170" s="16">
        <f>O169</f>
        <v/>
      </c>
      <c r="P170" s="4">
        <f>交易明細!L85</f>
        <v/>
      </c>
      <c r="Q170" s="10">
        <f>IF(N170="已下單",O170*P170,0)</f>
        <v/>
      </c>
      <c r="R170" s="10">
        <f>R169+Q170</f>
        <v/>
      </c>
      <c r="S170" s="16">
        <f>S169-IF(N170="已下單",M170,0)</f>
        <v/>
      </c>
      <c r="T170" s="16">
        <f>R170-S170</f>
        <v/>
      </c>
      <c r="U170" s="2">
        <f>U169-IF(N170="已下單",1,0)</f>
        <v/>
      </c>
      <c r="V170" s="16">
        <f>IF(資金模擬!$B$9=2,MAX(R170,0),MAX(V169,FLOOR(MAX(R170,0),資金模擬!$B$6)))</f>
        <v/>
      </c>
      <c r="W170" s="10">
        <f>MAX(W169,R170)</f>
        <v/>
      </c>
      <c r="X170" s="4">
        <f>IF(W170&gt;0,R170/W170-1,-1)</f>
        <v/>
      </c>
      <c r="Y170" s="16">
        <f>IF(R170&gt;0,S170*資金模擬!$B$7/R170,0)</f>
        <v/>
      </c>
      <c r="Z170" s="2">
        <f>IF(OR(Z169=1,R170&lt;=資金模擬!$B$10),1,0)</f>
        <v/>
      </c>
    </row>
    <row r="171">
      <c r="A171" s="2" t="n">
        <v>169</v>
      </c>
      <c r="B171" s="7" t="n">
        <v>46280.43055555555</v>
      </c>
      <c r="C171" s="2" t="inlineStr">
        <is>
          <t>進場</t>
        </is>
      </c>
      <c r="D171" s="2" t="n">
        <v>85</v>
      </c>
      <c r="E171" s="2" t="inlineStr">
        <is>
          <t>ASTR_USDT_PERP</t>
        </is>
      </c>
      <c r="F171" s="2" t="inlineStr">
        <is>
          <t>做空</t>
        </is>
      </c>
      <c r="G171" s="17" t="n">
        <v>0.007216</v>
      </c>
      <c r="H171" s="17" t="n">
        <v>0.00692736</v>
      </c>
      <c r="I171" s="17" t="n">
        <v>0.007576800000000001</v>
      </c>
      <c r="J171" s="17" t="n"/>
      <c r="K171" s="2" t="n"/>
      <c r="L171" s="5" t="n"/>
      <c r="M171" s="16">
        <f>資金模擬!$B$5*V170</f>
        <v/>
      </c>
      <c r="N171" s="2">
        <f>IF(Z170=1,"已停止",IF(T170&gt;=M171,"已下單","資金不足略過"))</f>
        <v/>
      </c>
      <c r="O171" s="16">
        <f>IF(N171="已下單",M171*資金模擬!$B$7,0)</f>
        <v/>
      </c>
      <c r="P171" s="4" t="n"/>
      <c r="Q171" s="10" t="n">
        <v>0</v>
      </c>
      <c r="R171" s="10">
        <f>R170+Q171</f>
        <v/>
      </c>
      <c r="S171" s="16">
        <f>S170+IF(N171="已下單",M171,0)</f>
        <v/>
      </c>
      <c r="T171" s="16">
        <f>R171-S171</f>
        <v/>
      </c>
      <c r="U171" s="2">
        <f>U170+IF(N171="已下單",1,0)</f>
        <v/>
      </c>
      <c r="V171" s="16">
        <f>IF(資金模擬!$B$9=2,MAX(R171,0),MAX(V170,FLOOR(MAX(R171,0),資金模擬!$B$6)))</f>
        <v/>
      </c>
      <c r="W171" s="10">
        <f>MAX(W170,R171)</f>
        <v/>
      </c>
      <c r="X171" s="4">
        <f>IF(W171&gt;0,R171/W171-1,-1)</f>
        <v/>
      </c>
      <c r="Y171" s="16">
        <f>IF(R171&gt;0,S171*資金模擬!$B$7/R171,0)</f>
        <v/>
      </c>
      <c r="Z171" s="2">
        <f>IF(OR(Z170=1,R171&lt;=資金模擬!$B$10),1,0)</f>
        <v/>
      </c>
    </row>
    <row r="172">
      <c r="A172" s="2" t="n">
        <v>170</v>
      </c>
      <c r="B172" s="7" t="n">
        <v>46280.43402777778</v>
      </c>
      <c r="C172" s="2" t="inlineStr">
        <is>
          <t>出場</t>
        </is>
      </c>
      <c r="D172" s="2" t="n">
        <v>85</v>
      </c>
      <c r="E172" s="2" t="inlineStr">
        <is>
          <t>ASTR_USDT_PERP</t>
        </is>
      </c>
      <c r="F172" s="2" t="inlineStr">
        <is>
          <t>做空</t>
        </is>
      </c>
      <c r="G172" s="17" t="n">
        <v>0.007216</v>
      </c>
      <c r="H172" s="17" t="n">
        <v>0.00692736</v>
      </c>
      <c r="I172" s="17" t="n">
        <v>0.007576800000000001</v>
      </c>
      <c r="J172" s="17" t="n">
        <v>0.007576800000000001</v>
      </c>
      <c r="K172" s="2" t="inlineStr">
        <is>
          <t>止損</t>
        </is>
      </c>
      <c r="L172" s="5">
        <f>交易明細!K86</f>
        <v/>
      </c>
      <c r="M172" s="16">
        <f>M171</f>
        <v/>
      </c>
      <c r="N172" s="2">
        <f>N171</f>
        <v/>
      </c>
      <c r="O172" s="16">
        <f>O171</f>
        <v/>
      </c>
      <c r="P172" s="4">
        <f>交易明細!L86</f>
        <v/>
      </c>
      <c r="Q172" s="10">
        <f>IF(N172="已下單",O172*P172,0)</f>
        <v/>
      </c>
      <c r="R172" s="10">
        <f>R171+Q172</f>
        <v/>
      </c>
      <c r="S172" s="16">
        <f>S171-IF(N172="已下單",M172,0)</f>
        <v/>
      </c>
      <c r="T172" s="16">
        <f>R172-S172</f>
        <v/>
      </c>
      <c r="U172" s="2">
        <f>U171-IF(N172="已下單",1,0)</f>
        <v/>
      </c>
      <c r="V172" s="16">
        <f>IF(資金模擬!$B$9=2,MAX(R172,0),MAX(V171,FLOOR(MAX(R172,0),資金模擬!$B$6)))</f>
        <v/>
      </c>
      <c r="W172" s="10">
        <f>MAX(W171,R172)</f>
        <v/>
      </c>
      <c r="X172" s="4">
        <f>IF(W172&gt;0,R172/W172-1,-1)</f>
        <v/>
      </c>
      <c r="Y172" s="16">
        <f>IF(R172&gt;0,S172*資金模擬!$B$7/R172,0)</f>
        <v/>
      </c>
      <c r="Z172" s="2">
        <f>IF(OR(Z171=1,R172&lt;=資金模擬!$B$10),1,0)</f>
        <v/>
      </c>
    </row>
    <row r="173">
      <c r="A173" s="2" t="n">
        <v>171</v>
      </c>
      <c r="B173" s="7" t="n">
        <v>46280.53472222222</v>
      </c>
      <c r="C173" s="2" t="inlineStr">
        <is>
          <t>進場</t>
        </is>
      </c>
      <c r="D173" s="2" t="n">
        <v>86</v>
      </c>
      <c r="E173" s="2" t="inlineStr">
        <is>
          <t>FF_USDT_PERP</t>
        </is>
      </c>
      <c r="F173" s="2" t="inlineStr">
        <is>
          <t>做空</t>
        </is>
      </c>
      <c r="G173" s="17" t="n">
        <v>0.15524</v>
      </c>
      <c r="H173" s="17" t="n">
        <v>0.1490304</v>
      </c>
      <c r="I173" s="17" t="n">
        <v>0.163002</v>
      </c>
      <c r="J173" s="17" t="n"/>
      <c r="K173" s="2" t="n"/>
      <c r="L173" s="5" t="n"/>
      <c r="M173" s="16">
        <f>資金模擬!$B$5*V172</f>
        <v/>
      </c>
      <c r="N173" s="2">
        <f>IF(Z172=1,"已停止",IF(T172&gt;=M173,"已下單","資金不足略過"))</f>
        <v/>
      </c>
      <c r="O173" s="16">
        <f>IF(N173="已下單",M173*資金模擬!$B$7,0)</f>
        <v/>
      </c>
      <c r="P173" s="4" t="n"/>
      <c r="Q173" s="10" t="n">
        <v>0</v>
      </c>
      <c r="R173" s="10">
        <f>R172+Q173</f>
        <v/>
      </c>
      <c r="S173" s="16">
        <f>S172+IF(N173="已下單",M173,0)</f>
        <v/>
      </c>
      <c r="T173" s="16">
        <f>R173-S173</f>
        <v/>
      </c>
      <c r="U173" s="2">
        <f>U172+IF(N173="已下單",1,0)</f>
        <v/>
      </c>
      <c r="V173" s="16">
        <f>IF(資金模擬!$B$9=2,MAX(R173,0),MAX(V172,FLOOR(MAX(R173,0),資金模擬!$B$6)))</f>
        <v/>
      </c>
      <c r="W173" s="10">
        <f>MAX(W172,R173)</f>
        <v/>
      </c>
      <c r="X173" s="4">
        <f>IF(W173&gt;0,R173/W173-1,-1)</f>
        <v/>
      </c>
      <c r="Y173" s="16">
        <f>IF(R173&gt;0,S173*資金模擬!$B$7/R173,0)</f>
        <v/>
      </c>
      <c r="Z173" s="2">
        <f>IF(OR(Z172=1,R173&lt;=資金模擬!$B$10),1,0)</f>
        <v/>
      </c>
    </row>
    <row r="174">
      <c r="A174" s="2" t="n">
        <v>172</v>
      </c>
      <c r="B174" s="7" t="n">
        <v>46280.53819444445</v>
      </c>
      <c r="C174" s="2" t="inlineStr">
        <is>
          <t>出場</t>
        </is>
      </c>
      <c r="D174" s="2" t="n">
        <v>86</v>
      </c>
      <c r="E174" s="2" t="inlineStr">
        <is>
          <t>FF_USDT_PERP</t>
        </is>
      </c>
      <c r="F174" s="2" t="inlineStr">
        <is>
          <t>做空</t>
        </is>
      </c>
      <c r="G174" s="17" t="n">
        <v>0.15524</v>
      </c>
      <c r="H174" s="17" t="n">
        <v>0.1490304</v>
      </c>
      <c r="I174" s="17" t="n">
        <v>0.163002</v>
      </c>
      <c r="J174" s="17" t="n">
        <v>0.1490304</v>
      </c>
      <c r="K174" s="2" t="inlineStr">
        <is>
          <t>止盈</t>
        </is>
      </c>
      <c r="L174" s="5">
        <f>交易明細!K87</f>
        <v/>
      </c>
      <c r="M174" s="16">
        <f>M173</f>
        <v/>
      </c>
      <c r="N174" s="2">
        <f>N173</f>
        <v/>
      </c>
      <c r="O174" s="16">
        <f>O173</f>
        <v/>
      </c>
      <c r="P174" s="4">
        <f>交易明細!L87</f>
        <v/>
      </c>
      <c r="Q174" s="10">
        <f>IF(N174="已下單",O174*P174,0)</f>
        <v/>
      </c>
      <c r="R174" s="10">
        <f>R173+Q174</f>
        <v/>
      </c>
      <c r="S174" s="16">
        <f>S173-IF(N174="已下單",M174,0)</f>
        <v/>
      </c>
      <c r="T174" s="16">
        <f>R174-S174</f>
        <v/>
      </c>
      <c r="U174" s="2">
        <f>U173-IF(N174="已下單",1,0)</f>
        <v/>
      </c>
      <c r="V174" s="16">
        <f>IF(資金模擬!$B$9=2,MAX(R174,0),MAX(V173,FLOOR(MAX(R174,0),資金模擬!$B$6)))</f>
        <v/>
      </c>
      <c r="W174" s="10">
        <f>MAX(W173,R174)</f>
        <v/>
      </c>
      <c r="X174" s="4">
        <f>IF(W174&gt;0,R174/W174-1,-1)</f>
        <v/>
      </c>
      <c r="Y174" s="16">
        <f>IF(R174&gt;0,S174*資金模擬!$B$7/R174,0)</f>
        <v/>
      </c>
      <c r="Z174" s="2">
        <f>IF(OR(Z173=1,R174&lt;=資金模擬!$B$10),1,0)</f>
        <v/>
      </c>
    </row>
    <row r="175">
      <c r="A175" s="2" t="n">
        <v>173</v>
      </c>
      <c r="B175" s="7" t="n">
        <v>46280.59375</v>
      </c>
      <c r="C175" s="2" t="inlineStr">
        <is>
          <t>進場</t>
        </is>
      </c>
      <c r="D175" s="2" t="n">
        <v>87</v>
      </c>
      <c r="E175" s="2" t="inlineStr">
        <is>
          <t>AXL_USDT_PERP</t>
        </is>
      </c>
      <c r="F175" s="2" t="inlineStr">
        <is>
          <t>做空</t>
        </is>
      </c>
      <c r="G175" s="17" t="n">
        <v>0.0529</v>
      </c>
      <c r="H175" s="17" t="n">
        <v>0.050784</v>
      </c>
      <c r="I175" s="17" t="n">
        <v>0.055545</v>
      </c>
      <c r="J175" s="17" t="n"/>
      <c r="K175" s="2" t="n"/>
      <c r="L175" s="5" t="n"/>
      <c r="M175" s="16">
        <f>資金模擬!$B$5*V174</f>
        <v/>
      </c>
      <c r="N175" s="2">
        <f>IF(Z174=1,"已停止",IF(T174&gt;=M175,"已下單","資金不足略過"))</f>
        <v/>
      </c>
      <c r="O175" s="16">
        <f>IF(N175="已下單",M175*資金模擬!$B$7,0)</f>
        <v/>
      </c>
      <c r="P175" s="4" t="n"/>
      <c r="Q175" s="10" t="n">
        <v>0</v>
      </c>
      <c r="R175" s="10">
        <f>R174+Q175</f>
        <v/>
      </c>
      <c r="S175" s="16">
        <f>S174+IF(N175="已下單",M175,0)</f>
        <v/>
      </c>
      <c r="T175" s="16">
        <f>R175-S175</f>
        <v/>
      </c>
      <c r="U175" s="2">
        <f>U174+IF(N175="已下單",1,0)</f>
        <v/>
      </c>
      <c r="V175" s="16">
        <f>IF(資金模擬!$B$9=2,MAX(R175,0),MAX(V174,FLOOR(MAX(R175,0),資金模擬!$B$6)))</f>
        <v/>
      </c>
      <c r="W175" s="10">
        <f>MAX(W174,R175)</f>
        <v/>
      </c>
      <c r="X175" s="4">
        <f>IF(W175&gt;0,R175/W175-1,-1)</f>
        <v/>
      </c>
      <c r="Y175" s="16">
        <f>IF(R175&gt;0,S175*資金模擬!$B$7/R175,0)</f>
        <v/>
      </c>
      <c r="Z175" s="2">
        <f>IF(OR(Z174=1,R175&lt;=資金模擬!$B$10),1,0)</f>
        <v/>
      </c>
    </row>
    <row r="176">
      <c r="A176" s="2" t="n">
        <v>174</v>
      </c>
      <c r="B176" s="7" t="n">
        <v>46280.59722222222</v>
      </c>
      <c r="C176" s="2" t="inlineStr">
        <is>
          <t>進場</t>
        </is>
      </c>
      <c r="D176" s="2" t="n">
        <v>88</v>
      </c>
      <c r="E176" s="2" t="inlineStr">
        <is>
          <t>CTR_USDT_PERP</t>
        </is>
      </c>
      <c r="F176" s="2" t="inlineStr">
        <is>
          <t>做空</t>
        </is>
      </c>
      <c r="G176" s="17" t="n">
        <v>0.01231</v>
      </c>
      <c r="H176" s="17" t="n">
        <v>0.0118176</v>
      </c>
      <c r="I176" s="17" t="n">
        <v>0.0129255</v>
      </c>
      <c r="J176" s="17" t="n"/>
      <c r="K176" s="2" t="n"/>
      <c r="L176" s="5" t="n"/>
      <c r="M176" s="16">
        <f>資金模擬!$B$5*V175</f>
        <v/>
      </c>
      <c r="N176" s="2">
        <f>IF(Z175=1,"已停止",IF(T175&gt;=M176,"已下單","資金不足略過"))</f>
        <v/>
      </c>
      <c r="O176" s="16">
        <f>IF(N176="已下單",M176*資金模擬!$B$7,0)</f>
        <v/>
      </c>
      <c r="P176" s="4" t="n"/>
      <c r="Q176" s="10" t="n">
        <v>0</v>
      </c>
      <c r="R176" s="10">
        <f>R175+Q176</f>
        <v/>
      </c>
      <c r="S176" s="16">
        <f>S175+IF(N176="已下單",M176,0)</f>
        <v/>
      </c>
      <c r="T176" s="16">
        <f>R176-S176</f>
        <v/>
      </c>
      <c r="U176" s="2">
        <f>U175+IF(N176="已下單",1,0)</f>
        <v/>
      </c>
      <c r="V176" s="16">
        <f>IF(資金模擬!$B$9=2,MAX(R176,0),MAX(V175,FLOOR(MAX(R176,0),資金模擬!$B$6)))</f>
        <v/>
      </c>
      <c r="W176" s="10">
        <f>MAX(W175,R176)</f>
        <v/>
      </c>
      <c r="X176" s="4">
        <f>IF(W176&gt;0,R176/W176-1,-1)</f>
        <v/>
      </c>
      <c r="Y176" s="16">
        <f>IF(R176&gt;0,S176*資金模擬!$B$7/R176,0)</f>
        <v/>
      </c>
      <c r="Z176" s="2">
        <f>IF(OR(Z175=1,R176&lt;=資金模擬!$B$10),1,0)</f>
        <v/>
      </c>
    </row>
    <row r="177">
      <c r="A177" s="2" t="n">
        <v>175</v>
      </c>
      <c r="B177" s="7" t="n">
        <v>46280.60069444445</v>
      </c>
      <c r="C177" s="2" t="inlineStr">
        <is>
          <t>出場</t>
        </is>
      </c>
      <c r="D177" s="2" t="n">
        <v>87</v>
      </c>
      <c r="E177" s="2" t="inlineStr">
        <is>
          <t>AXL_USDT_PERP</t>
        </is>
      </c>
      <c r="F177" s="2" t="inlineStr">
        <is>
          <t>做空</t>
        </is>
      </c>
      <c r="G177" s="17" t="n">
        <v>0.0529</v>
      </c>
      <c r="H177" s="17" t="n">
        <v>0.050784</v>
      </c>
      <c r="I177" s="17" t="n">
        <v>0.055545</v>
      </c>
      <c r="J177" s="17" t="n">
        <v>0.050784</v>
      </c>
      <c r="K177" s="2" t="inlineStr">
        <is>
          <t>止盈</t>
        </is>
      </c>
      <c r="L177" s="5">
        <f>交易明細!K88</f>
        <v/>
      </c>
      <c r="M177" s="16">
        <f>M175</f>
        <v/>
      </c>
      <c r="N177" s="2">
        <f>N175</f>
        <v/>
      </c>
      <c r="O177" s="16">
        <f>O175</f>
        <v/>
      </c>
      <c r="P177" s="4">
        <f>交易明細!L88</f>
        <v/>
      </c>
      <c r="Q177" s="10">
        <f>IF(N177="已下單",O177*P177,0)</f>
        <v/>
      </c>
      <c r="R177" s="10">
        <f>R176+Q177</f>
        <v/>
      </c>
      <c r="S177" s="16">
        <f>S176-IF(N177="已下單",M177,0)</f>
        <v/>
      </c>
      <c r="T177" s="16">
        <f>R177-S177</f>
        <v/>
      </c>
      <c r="U177" s="2">
        <f>U176-IF(N177="已下單",1,0)</f>
        <v/>
      </c>
      <c r="V177" s="16">
        <f>IF(資金模擬!$B$9=2,MAX(R177,0),MAX(V176,FLOOR(MAX(R177,0),資金模擬!$B$6)))</f>
        <v/>
      </c>
      <c r="W177" s="10">
        <f>MAX(W176,R177)</f>
        <v/>
      </c>
      <c r="X177" s="4">
        <f>IF(W177&gt;0,R177/W177-1,-1)</f>
        <v/>
      </c>
      <c r="Y177" s="16">
        <f>IF(R177&gt;0,S177*資金模擬!$B$7/R177,0)</f>
        <v/>
      </c>
      <c r="Z177" s="2">
        <f>IF(OR(Z176=1,R177&lt;=資金模擬!$B$10),1,0)</f>
        <v/>
      </c>
    </row>
    <row r="178">
      <c r="A178" s="2" t="n">
        <v>176</v>
      </c>
      <c r="B178" s="7" t="n">
        <v>46280.61111111111</v>
      </c>
      <c r="C178" s="2" t="inlineStr">
        <is>
          <t>出場</t>
        </is>
      </c>
      <c r="D178" s="2" t="n">
        <v>88</v>
      </c>
      <c r="E178" s="2" t="inlineStr">
        <is>
          <t>CTR_USDT_PERP</t>
        </is>
      </c>
      <c r="F178" s="2" t="inlineStr">
        <is>
          <t>做空</t>
        </is>
      </c>
      <c r="G178" s="17" t="n">
        <v>0.01231</v>
      </c>
      <c r="H178" s="17" t="n">
        <v>0.0118176</v>
      </c>
      <c r="I178" s="17" t="n">
        <v>0.0129255</v>
      </c>
      <c r="J178" s="17" t="n">
        <v>0.0118176</v>
      </c>
      <c r="K178" s="2" t="inlineStr">
        <is>
          <t>止盈</t>
        </is>
      </c>
      <c r="L178" s="5">
        <f>交易明細!K89</f>
        <v/>
      </c>
      <c r="M178" s="16">
        <f>M176</f>
        <v/>
      </c>
      <c r="N178" s="2">
        <f>N176</f>
        <v/>
      </c>
      <c r="O178" s="16">
        <f>O176</f>
        <v/>
      </c>
      <c r="P178" s="4">
        <f>交易明細!L89</f>
        <v/>
      </c>
      <c r="Q178" s="10">
        <f>IF(N178="已下單",O178*P178,0)</f>
        <v/>
      </c>
      <c r="R178" s="10">
        <f>R177+Q178</f>
        <v/>
      </c>
      <c r="S178" s="16">
        <f>S177-IF(N178="已下單",M178,0)</f>
        <v/>
      </c>
      <c r="T178" s="16">
        <f>R178-S178</f>
        <v/>
      </c>
      <c r="U178" s="2">
        <f>U177-IF(N178="已下單",1,0)</f>
        <v/>
      </c>
      <c r="V178" s="16">
        <f>IF(資金模擬!$B$9=2,MAX(R178,0),MAX(V177,FLOOR(MAX(R178,0),資金模擬!$B$6)))</f>
        <v/>
      </c>
      <c r="W178" s="10">
        <f>MAX(W177,R178)</f>
        <v/>
      </c>
      <c r="X178" s="4">
        <f>IF(W178&gt;0,R178/W178-1,-1)</f>
        <v/>
      </c>
      <c r="Y178" s="16">
        <f>IF(R178&gt;0,S178*資金模擬!$B$7/R178,0)</f>
        <v/>
      </c>
      <c r="Z178" s="2">
        <f>IF(OR(Z177=1,R178&lt;=資金模擬!$B$10),1,0)</f>
        <v/>
      </c>
    </row>
    <row r="179">
      <c r="A179" s="2" t="n">
        <v>177</v>
      </c>
      <c r="B179" s="7" t="n">
        <v>46280.82986111111</v>
      </c>
      <c r="C179" s="2" t="inlineStr">
        <is>
          <t>進場</t>
        </is>
      </c>
      <c r="D179" s="2" t="n">
        <v>89</v>
      </c>
      <c r="E179" s="2" t="inlineStr">
        <is>
          <t>IDOL_USDT_PERP</t>
        </is>
      </c>
      <c r="F179" s="2" t="inlineStr">
        <is>
          <t>做空</t>
        </is>
      </c>
      <c r="G179" s="17" t="n">
        <v>0.01197</v>
      </c>
      <c r="H179" s="17" t="n">
        <v>0.0114912</v>
      </c>
      <c r="I179" s="17" t="n">
        <v>0.0125685</v>
      </c>
      <c r="J179" s="17" t="n"/>
      <c r="K179" s="2" t="n"/>
      <c r="L179" s="5" t="n"/>
      <c r="M179" s="16">
        <f>資金模擬!$B$5*V178</f>
        <v/>
      </c>
      <c r="N179" s="2">
        <f>IF(Z178=1,"已停止",IF(T178&gt;=M179,"已下單","資金不足略過"))</f>
        <v/>
      </c>
      <c r="O179" s="16">
        <f>IF(N179="已下單",M179*資金模擬!$B$7,0)</f>
        <v/>
      </c>
      <c r="P179" s="4" t="n"/>
      <c r="Q179" s="10" t="n">
        <v>0</v>
      </c>
      <c r="R179" s="10">
        <f>R178+Q179</f>
        <v/>
      </c>
      <c r="S179" s="16">
        <f>S178+IF(N179="已下單",M179,0)</f>
        <v/>
      </c>
      <c r="T179" s="16">
        <f>R179-S179</f>
        <v/>
      </c>
      <c r="U179" s="2">
        <f>U178+IF(N179="已下單",1,0)</f>
        <v/>
      </c>
      <c r="V179" s="16">
        <f>IF(資金模擬!$B$9=2,MAX(R179,0),MAX(V178,FLOOR(MAX(R179,0),資金模擬!$B$6)))</f>
        <v/>
      </c>
      <c r="W179" s="10">
        <f>MAX(W178,R179)</f>
        <v/>
      </c>
      <c r="X179" s="4">
        <f>IF(W179&gt;0,R179/W179-1,-1)</f>
        <v/>
      </c>
      <c r="Y179" s="16">
        <f>IF(R179&gt;0,S179*資金模擬!$B$7/R179,0)</f>
        <v/>
      </c>
      <c r="Z179" s="2">
        <f>IF(OR(Z178=1,R179&lt;=資金模擬!$B$10),1,0)</f>
        <v/>
      </c>
    </row>
    <row r="180">
      <c r="A180" s="2" t="n">
        <v>178</v>
      </c>
      <c r="B180" s="7" t="n">
        <v>46280.83680555555</v>
      </c>
      <c r="C180" s="2" t="inlineStr">
        <is>
          <t>出場</t>
        </is>
      </c>
      <c r="D180" s="2" t="n">
        <v>89</v>
      </c>
      <c r="E180" s="2" t="inlineStr">
        <is>
          <t>IDOL_USDT_PERP</t>
        </is>
      </c>
      <c r="F180" s="2" t="inlineStr">
        <is>
          <t>做空</t>
        </is>
      </c>
      <c r="G180" s="17" t="n">
        <v>0.01197</v>
      </c>
      <c r="H180" s="17" t="n">
        <v>0.0114912</v>
      </c>
      <c r="I180" s="17" t="n">
        <v>0.0125685</v>
      </c>
      <c r="J180" s="17" t="n">
        <v>0.0114912</v>
      </c>
      <c r="K180" s="2" t="inlineStr">
        <is>
          <t>止盈</t>
        </is>
      </c>
      <c r="L180" s="5">
        <f>交易明細!K90</f>
        <v/>
      </c>
      <c r="M180" s="16">
        <f>M179</f>
        <v/>
      </c>
      <c r="N180" s="2">
        <f>N179</f>
        <v/>
      </c>
      <c r="O180" s="16">
        <f>O179</f>
        <v/>
      </c>
      <c r="P180" s="4">
        <f>交易明細!L90</f>
        <v/>
      </c>
      <c r="Q180" s="10">
        <f>IF(N180="已下單",O180*P180,0)</f>
        <v/>
      </c>
      <c r="R180" s="10">
        <f>R179+Q180</f>
        <v/>
      </c>
      <c r="S180" s="16">
        <f>S179-IF(N180="已下單",M180,0)</f>
        <v/>
      </c>
      <c r="T180" s="16">
        <f>R180-S180</f>
        <v/>
      </c>
      <c r="U180" s="2">
        <f>U179-IF(N180="已下單",1,0)</f>
        <v/>
      </c>
      <c r="V180" s="16">
        <f>IF(資金模擬!$B$9=2,MAX(R180,0),MAX(V179,FLOOR(MAX(R180,0),資金模擬!$B$6)))</f>
        <v/>
      </c>
      <c r="W180" s="10">
        <f>MAX(W179,R180)</f>
        <v/>
      </c>
      <c r="X180" s="4">
        <f>IF(W180&gt;0,R180/W180-1,-1)</f>
        <v/>
      </c>
      <c r="Y180" s="16">
        <f>IF(R180&gt;0,S180*資金模擬!$B$7/R180,0)</f>
        <v/>
      </c>
      <c r="Z180" s="2">
        <f>IF(OR(Z179=1,R180&lt;=資金模擬!$B$10),1,0)</f>
        <v/>
      </c>
    </row>
    <row r="181">
      <c r="A181" s="2" t="n">
        <v>179</v>
      </c>
      <c r="B181" s="7" t="n">
        <v>46280.88888888889</v>
      </c>
      <c r="C181" s="2" t="inlineStr">
        <is>
          <t>進場</t>
        </is>
      </c>
      <c r="D181" s="2" t="n">
        <v>90</v>
      </c>
      <c r="E181" s="2" t="inlineStr">
        <is>
          <t>IDOL_USDT_PERP</t>
        </is>
      </c>
      <c r="F181" s="2" t="inlineStr">
        <is>
          <t>做空</t>
        </is>
      </c>
      <c r="G181" s="17" t="n">
        <v>0.0114</v>
      </c>
      <c r="H181" s="17" t="n">
        <v>0.010944</v>
      </c>
      <c r="I181" s="17" t="n">
        <v>0.01197</v>
      </c>
      <c r="J181" s="17" t="n"/>
      <c r="K181" s="2" t="n"/>
      <c r="L181" s="5" t="n"/>
      <c r="M181" s="16">
        <f>資金模擬!$B$5*V180</f>
        <v/>
      </c>
      <c r="N181" s="2">
        <f>IF(Z180=1,"已停止",IF(T180&gt;=M181,"已下單","資金不足略過"))</f>
        <v/>
      </c>
      <c r="O181" s="16">
        <f>IF(N181="已下單",M181*資金模擬!$B$7,0)</f>
        <v/>
      </c>
      <c r="P181" s="4" t="n"/>
      <c r="Q181" s="10" t="n">
        <v>0</v>
      </c>
      <c r="R181" s="10">
        <f>R180+Q181</f>
        <v/>
      </c>
      <c r="S181" s="16">
        <f>S180+IF(N181="已下單",M181,0)</f>
        <v/>
      </c>
      <c r="T181" s="16">
        <f>R181-S181</f>
        <v/>
      </c>
      <c r="U181" s="2">
        <f>U180+IF(N181="已下單",1,0)</f>
        <v/>
      </c>
      <c r="V181" s="16">
        <f>IF(資金模擬!$B$9=2,MAX(R181,0),MAX(V180,FLOOR(MAX(R181,0),資金模擬!$B$6)))</f>
        <v/>
      </c>
      <c r="W181" s="10">
        <f>MAX(W180,R181)</f>
        <v/>
      </c>
      <c r="X181" s="4">
        <f>IF(W181&gt;0,R181/W181-1,-1)</f>
        <v/>
      </c>
      <c r="Y181" s="16">
        <f>IF(R181&gt;0,S181*資金模擬!$B$7/R181,0)</f>
        <v/>
      </c>
      <c r="Z181" s="2">
        <f>IF(OR(Z180=1,R181&lt;=資金模擬!$B$10),1,0)</f>
        <v/>
      </c>
    </row>
    <row r="182">
      <c r="A182" s="2" t="n">
        <v>180</v>
      </c>
      <c r="B182" s="7" t="n">
        <v>46280.89583333334</v>
      </c>
      <c r="C182" s="2" t="inlineStr">
        <is>
          <t>出場</t>
        </is>
      </c>
      <c r="D182" s="2" t="n">
        <v>90</v>
      </c>
      <c r="E182" s="2" t="inlineStr">
        <is>
          <t>IDOL_USDT_PERP</t>
        </is>
      </c>
      <c r="F182" s="2" t="inlineStr">
        <is>
          <t>做空</t>
        </is>
      </c>
      <c r="G182" s="17" t="n">
        <v>0.0114</v>
      </c>
      <c r="H182" s="17" t="n">
        <v>0.010944</v>
      </c>
      <c r="I182" s="17" t="n">
        <v>0.01197</v>
      </c>
      <c r="J182" s="17" t="n">
        <v>0.010944</v>
      </c>
      <c r="K182" s="2" t="inlineStr">
        <is>
          <t>止盈</t>
        </is>
      </c>
      <c r="L182" s="5">
        <f>交易明細!K91</f>
        <v/>
      </c>
      <c r="M182" s="16">
        <f>M181</f>
        <v/>
      </c>
      <c r="N182" s="2">
        <f>N181</f>
        <v/>
      </c>
      <c r="O182" s="16">
        <f>O181</f>
        <v/>
      </c>
      <c r="P182" s="4">
        <f>交易明細!L91</f>
        <v/>
      </c>
      <c r="Q182" s="10">
        <f>IF(N182="已下單",O182*P182,0)</f>
        <v/>
      </c>
      <c r="R182" s="10">
        <f>R181+Q182</f>
        <v/>
      </c>
      <c r="S182" s="16">
        <f>S181-IF(N182="已下單",M182,0)</f>
        <v/>
      </c>
      <c r="T182" s="16">
        <f>R182-S182</f>
        <v/>
      </c>
      <c r="U182" s="2">
        <f>U181-IF(N182="已下單",1,0)</f>
        <v/>
      </c>
      <c r="V182" s="16">
        <f>IF(資金模擬!$B$9=2,MAX(R182,0),MAX(V181,FLOOR(MAX(R182,0),資金模擬!$B$6)))</f>
        <v/>
      </c>
      <c r="W182" s="10">
        <f>MAX(W181,R182)</f>
        <v/>
      </c>
      <c r="X182" s="4">
        <f>IF(W182&gt;0,R182/W182-1,-1)</f>
        <v/>
      </c>
      <c r="Y182" s="16">
        <f>IF(R182&gt;0,S182*資金模擬!$B$7/R182,0)</f>
        <v/>
      </c>
      <c r="Z182" s="2">
        <f>IF(OR(Z181=1,R182&lt;=資金模擬!$B$10),1,0)</f>
        <v/>
      </c>
    </row>
    <row r="183">
      <c r="A183" s="2" t="n">
        <v>181</v>
      </c>
      <c r="B183" s="7" t="n">
        <v>46282.54166666666</v>
      </c>
      <c r="C183" s="2" t="inlineStr">
        <is>
          <t>進場</t>
        </is>
      </c>
      <c r="D183" s="2" t="n">
        <v>91</v>
      </c>
      <c r="E183" s="2" t="inlineStr">
        <is>
          <t>MOODENG_USDT_PERP</t>
        </is>
      </c>
      <c r="F183" s="2" t="inlineStr">
        <is>
          <t>做空</t>
        </is>
      </c>
      <c r="G183" s="17" t="n">
        <v>0.04393</v>
      </c>
      <c r="H183" s="17" t="n">
        <v>0.0421728</v>
      </c>
      <c r="I183" s="17" t="n">
        <v>0.0461265</v>
      </c>
      <c r="J183" s="17" t="n"/>
      <c r="K183" s="2" t="n"/>
      <c r="L183" s="5" t="n"/>
      <c r="M183" s="16">
        <f>資金模擬!$B$5*V182</f>
        <v/>
      </c>
      <c r="N183" s="2">
        <f>IF(Z182=1,"已停止",IF(T182&gt;=M183,"已下單","資金不足略過"))</f>
        <v/>
      </c>
      <c r="O183" s="16">
        <f>IF(N183="已下單",M183*資金模擬!$B$7,0)</f>
        <v/>
      </c>
      <c r="P183" s="4" t="n"/>
      <c r="Q183" s="10" t="n">
        <v>0</v>
      </c>
      <c r="R183" s="10">
        <f>R182+Q183</f>
        <v/>
      </c>
      <c r="S183" s="16">
        <f>S182+IF(N183="已下單",M183,0)</f>
        <v/>
      </c>
      <c r="T183" s="16">
        <f>R183-S183</f>
        <v/>
      </c>
      <c r="U183" s="2">
        <f>U182+IF(N183="已下單",1,0)</f>
        <v/>
      </c>
      <c r="V183" s="16">
        <f>IF(資金模擬!$B$9=2,MAX(R183,0),MAX(V182,FLOOR(MAX(R183,0),資金模擬!$B$6)))</f>
        <v/>
      </c>
      <c r="W183" s="10">
        <f>MAX(W182,R183)</f>
        <v/>
      </c>
      <c r="X183" s="4">
        <f>IF(W183&gt;0,R183/W183-1,-1)</f>
        <v/>
      </c>
      <c r="Y183" s="16">
        <f>IF(R183&gt;0,S183*資金模擬!$B$7/R183,0)</f>
        <v/>
      </c>
      <c r="Z183" s="2">
        <f>IF(OR(Z182=1,R183&lt;=資金模擬!$B$10),1,0)</f>
        <v/>
      </c>
    </row>
    <row r="184">
      <c r="A184" s="2" t="n">
        <v>182</v>
      </c>
      <c r="B184" s="7" t="n">
        <v>46282.55208333334</v>
      </c>
      <c r="C184" s="2" t="inlineStr">
        <is>
          <t>出場</t>
        </is>
      </c>
      <c r="D184" s="2" t="n">
        <v>91</v>
      </c>
      <c r="E184" s="2" t="inlineStr">
        <is>
          <t>MOODENG_USDT_PERP</t>
        </is>
      </c>
      <c r="F184" s="2" t="inlineStr">
        <is>
          <t>做空</t>
        </is>
      </c>
      <c r="G184" s="17" t="n">
        <v>0.04393</v>
      </c>
      <c r="H184" s="17" t="n">
        <v>0.0421728</v>
      </c>
      <c r="I184" s="17" t="n">
        <v>0.0461265</v>
      </c>
      <c r="J184" s="17" t="n">
        <v>0.0421728</v>
      </c>
      <c r="K184" s="2" t="inlineStr">
        <is>
          <t>止盈</t>
        </is>
      </c>
      <c r="L184" s="5">
        <f>交易明細!K92</f>
        <v/>
      </c>
      <c r="M184" s="16">
        <f>M183</f>
        <v/>
      </c>
      <c r="N184" s="2">
        <f>N183</f>
        <v/>
      </c>
      <c r="O184" s="16">
        <f>O183</f>
        <v/>
      </c>
      <c r="P184" s="4">
        <f>交易明細!L92</f>
        <v/>
      </c>
      <c r="Q184" s="10">
        <f>IF(N184="已下單",O184*P184,0)</f>
        <v/>
      </c>
      <c r="R184" s="10">
        <f>R183+Q184</f>
        <v/>
      </c>
      <c r="S184" s="16">
        <f>S183-IF(N184="已下單",M184,0)</f>
        <v/>
      </c>
      <c r="T184" s="16">
        <f>R184-S184</f>
        <v/>
      </c>
      <c r="U184" s="2">
        <f>U183-IF(N184="已下單",1,0)</f>
        <v/>
      </c>
      <c r="V184" s="16">
        <f>IF(資金模擬!$B$9=2,MAX(R184,0),MAX(V183,FLOOR(MAX(R184,0),資金模擬!$B$6)))</f>
        <v/>
      </c>
      <c r="W184" s="10">
        <f>MAX(W183,R184)</f>
        <v/>
      </c>
      <c r="X184" s="4">
        <f>IF(W184&gt;0,R184/W184-1,-1)</f>
        <v/>
      </c>
      <c r="Y184" s="16">
        <f>IF(R184&gt;0,S184*資金模擬!$B$7/R184,0)</f>
        <v/>
      </c>
      <c r="Z184" s="2">
        <f>IF(OR(Z183=1,R184&lt;=資金模擬!$B$10),1,0)</f>
        <v/>
      </c>
    </row>
    <row r="185">
      <c r="A185" s="2" t="n">
        <v>183</v>
      </c>
      <c r="B185" s="7" t="n">
        <v>46282.83333333334</v>
      </c>
      <c r="C185" s="2" t="inlineStr">
        <is>
          <t>進場</t>
        </is>
      </c>
      <c r="D185" s="2" t="n">
        <v>92</v>
      </c>
      <c r="E185" s="2" t="inlineStr">
        <is>
          <t>GENIUS_USDT_PERP</t>
        </is>
      </c>
      <c r="F185" s="2" t="inlineStr">
        <is>
          <t>做空</t>
        </is>
      </c>
      <c r="G185" s="17" t="n">
        <v>0.4164</v>
      </c>
      <c r="H185" s="17" t="n">
        <v>0.399744</v>
      </c>
      <c r="I185" s="17" t="n">
        <v>0.43722</v>
      </c>
      <c r="J185" s="17" t="n"/>
      <c r="K185" s="2" t="n"/>
      <c r="L185" s="5" t="n"/>
      <c r="M185" s="16">
        <f>資金模擬!$B$5*V184</f>
        <v/>
      </c>
      <c r="N185" s="2">
        <f>IF(Z184=1,"已停止",IF(T184&gt;=M185,"已下單","資金不足略過"))</f>
        <v/>
      </c>
      <c r="O185" s="16">
        <f>IF(N185="已下單",M185*資金模擬!$B$7,0)</f>
        <v/>
      </c>
      <c r="P185" s="4" t="n"/>
      <c r="Q185" s="10" t="n">
        <v>0</v>
      </c>
      <c r="R185" s="10">
        <f>R184+Q185</f>
        <v/>
      </c>
      <c r="S185" s="16">
        <f>S184+IF(N185="已下單",M185,0)</f>
        <v/>
      </c>
      <c r="T185" s="16">
        <f>R185-S185</f>
        <v/>
      </c>
      <c r="U185" s="2">
        <f>U184+IF(N185="已下單",1,0)</f>
        <v/>
      </c>
      <c r="V185" s="16">
        <f>IF(資金模擬!$B$9=2,MAX(R185,0),MAX(V184,FLOOR(MAX(R185,0),資金模擬!$B$6)))</f>
        <v/>
      </c>
      <c r="W185" s="10">
        <f>MAX(W184,R185)</f>
        <v/>
      </c>
      <c r="X185" s="4">
        <f>IF(W185&gt;0,R185/W185-1,-1)</f>
        <v/>
      </c>
      <c r="Y185" s="16">
        <f>IF(R185&gt;0,S185*資金模擬!$B$7/R185,0)</f>
        <v/>
      </c>
      <c r="Z185" s="2">
        <f>IF(OR(Z184=1,R185&lt;=資金模擬!$B$10),1,0)</f>
        <v/>
      </c>
    </row>
    <row r="186">
      <c r="A186" s="2" t="n">
        <v>184</v>
      </c>
      <c r="B186" s="7" t="n">
        <v>46282.83680555555</v>
      </c>
      <c r="C186" s="2" t="inlineStr">
        <is>
          <t>出場</t>
        </is>
      </c>
      <c r="D186" s="2" t="n">
        <v>92</v>
      </c>
      <c r="E186" s="2" t="inlineStr">
        <is>
          <t>GENIUS_USDT_PERP</t>
        </is>
      </c>
      <c r="F186" s="2" t="inlineStr">
        <is>
          <t>做空</t>
        </is>
      </c>
      <c r="G186" s="17" t="n">
        <v>0.4164</v>
      </c>
      <c r="H186" s="17" t="n">
        <v>0.399744</v>
      </c>
      <c r="I186" s="17" t="n">
        <v>0.43722</v>
      </c>
      <c r="J186" s="17" t="n">
        <v>0.399744</v>
      </c>
      <c r="K186" s="2" t="inlineStr">
        <is>
          <t>止盈</t>
        </is>
      </c>
      <c r="L186" s="5">
        <f>交易明細!K93</f>
        <v/>
      </c>
      <c r="M186" s="16">
        <f>M185</f>
        <v/>
      </c>
      <c r="N186" s="2">
        <f>N185</f>
        <v/>
      </c>
      <c r="O186" s="16">
        <f>O185</f>
        <v/>
      </c>
      <c r="P186" s="4">
        <f>交易明細!L93</f>
        <v/>
      </c>
      <c r="Q186" s="10">
        <f>IF(N186="已下單",O186*P186,0)</f>
        <v/>
      </c>
      <c r="R186" s="10">
        <f>R185+Q186</f>
        <v/>
      </c>
      <c r="S186" s="16">
        <f>S185-IF(N186="已下單",M186,0)</f>
        <v/>
      </c>
      <c r="T186" s="16">
        <f>R186-S186</f>
        <v/>
      </c>
      <c r="U186" s="2">
        <f>U185-IF(N186="已下單",1,0)</f>
        <v/>
      </c>
      <c r="V186" s="16">
        <f>IF(資金模擬!$B$9=2,MAX(R186,0),MAX(V185,FLOOR(MAX(R186,0),資金模擬!$B$6)))</f>
        <v/>
      </c>
      <c r="W186" s="10">
        <f>MAX(W185,R186)</f>
        <v/>
      </c>
      <c r="X186" s="4">
        <f>IF(W186&gt;0,R186/W186-1,-1)</f>
        <v/>
      </c>
      <c r="Y186" s="16">
        <f>IF(R186&gt;0,S186*資金模擬!$B$7/R186,0)</f>
        <v/>
      </c>
      <c r="Z186" s="2">
        <f>IF(OR(Z185=1,R186&lt;=資金模擬!$B$10),1,0)</f>
        <v/>
      </c>
    </row>
    <row r="187">
      <c r="A187" s="2" t="n">
        <v>185</v>
      </c>
      <c r="B187" s="7" t="n">
        <v>46283.08333333334</v>
      </c>
      <c r="C187" s="2" t="inlineStr">
        <is>
          <t>進場</t>
        </is>
      </c>
      <c r="D187" s="2" t="n">
        <v>93</v>
      </c>
      <c r="E187" s="2" t="inlineStr">
        <is>
          <t>CROSS_USDT_PERP</t>
        </is>
      </c>
      <c r="F187" s="2" t="inlineStr">
        <is>
          <t>做空</t>
        </is>
      </c>
      <c r="G187" s="17" t="n">
        <v>0.18272</v>
      </c>
      <c r="H187" s="17" t="n">
        <v>0.1754112</v>
      </c>
      <c r="I187" s="17" t="n">
        <v>0.191856</v>
      </c>
      <c r="J187" s="17" t="n"/>
      <c r="K187" s="2" t="n"/>
      <c r="L187" s="5" t="n"/>
      <c r="M187" s="16">
        <f>資金模擬!$B$5*V186</f>
        <v/>
      </c>
      <c r="N187" s="2">
        <f>IF(Z186=1,"已停止",IF(T186&gt;=M187,"已下單","資金不足略過"))</f>
        <v/>
      </c>
      <c r="O187" s="16">
        <f>IF(N187="已下單",M187*資金模擬!$B$7,0)</f>
        <v/>
      </c>
      <c r="P187" s="4" t="n"/>
      <c r="Q187" s="10" t="n">
        <v>0</v>
      </c>
      <c r="R187" s="10">
        <f>R186+Q187</f>
        <v/>
      </c>
      <c r="S187" s="16">
        <f>S186+IF(N187="已下單",M187,0)</f>
        <v/>
      </c>
      <c r="T187" s="16">
        <f>R187-S187</f>
        <v/>
      </c>
      <c r="U187" s="2">
        <f>U186+IF(N187="已下單",1,0)</f>
        <v/>
      </c>
      <c r="V187" s="16">
        <f>IF(資金模擬!$B$9=2,MAX(R187,0),MAX(V186,FLOOR(MAX(R187,0),資金模擬!$B$6)))</f>
        <v/>
      </c>
      <c r="W187" s="10">
        <f>MAX(W186,R187)</f>
        <v/>
      </c>
      <c r="X187" s="4">
        <f>IF(W187&gt;0,R187/W187-1,-1)</f>
        <v/>
      </c>
      <c r="Y187" s="16">
        <f>IF(R187&gt;0,S187*資金模擬!$B$7/R187,0)</f>
        <v/>
      </c>
      <c r="Z187" s="2">
        <f>IF(OR(Z186=1,R187&lt;=資金模擬!$B$10),1,0)</f>
        <v/>
      </c>
    </row>
    <row r="188">
      <c r="A188" s="2" t="n">
        <v>186</v>
      </c>
      <c r="B188" s="7" t="n">
        <v>46283.09375</v>
      </c>
      <c r="C188" s="2" t="inlineStr">
        <is>
          <t>出場</t>
        </is>
      </c>
      <c r="D188" s="2" t="n">
        <v>93</v>
      </c>
      <c r="E188" s="2" t="inlineStr">
        <is>
          <t>CROSS_USDT_PERP</t>
        </is>
      </c>
      <c r="F188" s="2" t="inlineStr">
        <is>
          <t>做空</t>
        </is>
      </c>
      <c r="G188" s="17" t="n">
        <v>0.18272</v>
      </c>
      <c r="H188" s="17" t="n">
        <v>0.1754112</v>
      </c>
      <c r="I188" s="17" t="n">
        <v>0.191856</v>
      </c>
      <c r="J188" s="17" t="n">
        <v>0.1754112</v>
      </c>
      <c r="K188" s="2" t="inlineStr">
        <is>
          <t>止盈</t>
        </is>
      </c>
      <c r="L188" s="5">
        <f>交易明細!K94</f>
        <v/>
      </c>
      <c r="M188" s="16">
        <f>M187</f>
        <v/>
      </c>
      <c r="N188" s="2">
        <f>N187</f>
        <v/>
      </c>
      <c r="O188" s="16">
        <f>O187</f>
        <v/>
      </c>
      <c r="P188" s="4">
        <f>交易明細!L94</f>
        <v/>
      </c>
      <c r="Q188" s="10">
        <f>IF(N188="已下單",O188*P188,0)</f>
        <v/>
      </c>
      <c r="R188" s="10">
        <f>R187+Q188</f>
        <v/>
      </c>
      <c r="S188" s="16">
        <f>S187-IF(N188="已下單",M188,0)</f>
        <v/>
      </c>
      <c r="T188" s="16">
        <f>R188-S188</f>
        <v/>
      </c>
      <c r="U188" s="2">
        <f>U187-IF(N188="已下單",1,0)</f>
        <v/>
      </c>
      <c r="V188" s="16">
        <f>IF(資金模擬!$B$9=2,MAX(R188,0),MAX(V187,FLOOR(MAX(R188,0),資金模擬!$B$6)))</f>
        <v/>
      </c>
      <c r="W188" s="10">
        <f>MAX(W187,R188)</f>
        <v/>
      </c>
      <c r="X188" s="4">
        <f>IF(W188&gt;0,R188/W188-1,-1)</f>
        <v/>
      </c>
      <c r="Y188" s="16">
        <f>IF(R188&gt;0,S188*資金模擬!$B$7/R188,0)</f>
        <v/>
      </c>
      <c r="Z188" s="2">
        <f>IF(OR(Z187=1,R188&lt;=資金模擬!$B$10),1,0)</f>
        <v/>
      </c>
    </row>
    <row r="189">
      <c r="A189" s="2" t="n">
        <v>187</v>
      </c>
      <c r="B189" s="7" t="n">
        <v>46283.35069444445</v>
      </c>
      <c r="C189" s="2" t="inlineStr">
        <is>
          <t>進場</t>
        </is>
      </c>
      <c r="D189" s="2" t="n">
        <v>94</v>
      </c>
      <c r="E189" s="2" t="inlineStr">
        <is>
          <t>DRIFT_USDT_PERP</t>
        </is>
      </c>
      <c r="F189" s="2" t="inlineStr">
        <is>
          <t>做空</t>
        </is>
      </c>
      <c r="G189" s="17" t="n">
        <v>0.01577</v>
      </c>
      <c r="H189" s="17" t="n">
        <v>0.0151392</v>
      </c>
      <c r="I189" s="17" t="n">
        <v>0.0165585</v>
      </c>
      <c r="J189" s="17" t="n"/>
      <c r="K189" s="2" t="n"/>
      <c r="L189" s="5" t="n"/>
      <c r="M189" s="16">
        <f>資金模擬!$B$5*V188</f>
        <v/>
      </c>
      <c r="N189" s="2">
        <f>IF(Z188=1,"已停止",IF(T188&gt;=M189,"已下單","資金不足略過"))</f>
        <v/>
      </c>
      <c r="O189" s="16">
        <f>IF(N189="已下單",M189*資金模擬!$B$7,0)</f>
        <v/>
      </c>
      <c r="P189" s="4" t="n"/>
      <c r="Q189" s="10" t="n">
        <v>0</v>
      </c>
      <c r="R189" s="10">
        <f>R188+Q189</f>
        <v/>
      </c>
      <c r="S189" s="16">
        <f>S188+IF(N189="已下單",M189,0)</f>
        <v/>
      </c>
      <c r="T189" s="16">
        <f>R189-S189</f>
        <v/>
      </c>
      <c r="U189" s="2">
        <f>U188+IF(N189="已下單",1,0)</f>
        <v/>
      </c>
      <c r="V189" s="16">
        <f>IF(資金模擬!$B$9=2,MAX(R189,0),MAX(V188,FLOOR(MAX(R189,0),資金模擬!$B$6)))</f>
        <v/>
      </c>
      <c r="W189" s="10">
        <f>MAX(W188,R189)</f>
        <v/>
      </c>
      <c r="X189" s="4">
        <f>IF(W189&gt;0,R189/W189-1,-1)</f>
        <v/>
      </c>
      <c r="Y189" s="16">
        <f>IF(R189&gt;0,S189*資金模擬!$B$7/R189,0)</f>
        <v/>
      </c>
      <c r="Z189" s="2">
        <f>IF(OR(Z188=1,R189&lt;=資金模擬!$B$10),1,0)</f>
        <v/>
      </c>
    </row>
    <row r="190">
      <c r="A190" s="2" t="n">
        <v>188</v>
      </c>
      <c r="B190" s="7" t="n">
        <v>46283.35416666666</v>
      </c>
      <c r="C190" s="2" t="inlineStr">
        <is>
          <t>出場</t>
        </is>
      </c>
      <c r="D190" s="2" t="n">
        <v>94</v>
      </c>
      <c r="E190" s="2" t="inlineStr">
        <is>
          <t>DRIFT_USDT_PERP</t>
        </is>
      </c>
      <c r="F190" s="2" t="inlineStr">
        <is>
          <t>做空</t>
        </is>
      </c>
      <c r="G190" s="17" t="n">
        <v>0.01577</v>
      </c>
      <c r="H190" s="17" t="n">
        <v>0.0151392</v>
      </c>
      <c r="I190" s="17" t="n">
        <v>0.0165585</v>
      </c>
      <c r="J190" s="17" t="n">
        <v>0.0151392</v>
      </c>
      <c r="K190" s="2" t="inlineStr">
        <is>
          <t>止盈</t>
        </is>
      </c>
      <c r="L190" s="5">
        <f>交易明細!K95</f>
        <v/>
      </c>
      <c r="M190" s="16">
        <f>M189</f>
        <v/>
      </c>
      <c r="N190" s="2">
        <f>N189</f>
        <v/>
      </c>
      <c r="O190" s="16">
        <f>O189</f>
        <v/>
      </c>
      <c r="P190" s="4">
        <f>交易明細!L95</f>
        <v/>
      </c>
      <c r="Q190" s="10">
        <f>IF(N190="已下單",O190*P190,0)</f>
        <v/>
      </c>
      <c r="R190" s="10">
        <f>R189+Q190</f>
        <v/>
      </c>
      <c r="S190" s="16">
        <f>S189-IF(N190="已下單",M190,0)</f>
        <v/>
      </c>
      <c r="T190" s="16">
        <f>R190-S190</f>
        <v/>
      </c>
      <c r="U190" s="2">
        <f>U189-IF(N190="已下單",1,0)</f>
        <v/>
      </c>
      <c r="V190" s="16">
        <f>IF(資金模擬!$B$9=2,MAX(R190,0),MAX(V189,FLOOR(MAX(R190,0),資金模擬!$B$6)))</f>
        <v/>
      </c>
      <c r="W190" s="10">
        <f>MAX(W189,R190)</f>
        <v/>
      </c>
      <c r="X190" s="4">
        <f>IF(W190&gt;0,R190/W190-1,-1)</f>
        <v/>
      </c>
      <c r="Y190" s="16">
        <f>IF(R190&gt;0,S190*資金模擬!$B$7/R190,0)</f>
        <v/>
      </c>
      <c r="Z190" s="2">
        <f>IF(OR(Z189=1,R190&lt;=資金模擬!$B$10),1,0)</f>
        <v/>
      </c>
    </row>
    <row r="191">
      <c r="A191" s="2" t="n">
        <v>189</v>
      </c>
      <c r="B191" s="7" t="n">
        <v>46283.36111111111</v>
      </c>
      <c r="C191" s="2" t="inlineStr">
        <is>
          <t>進場</t>
        </is>
      </c>
      <c r="D191" s="2" t="n">
        <v>95</v>
      </c>
      <c r="E191" s="2" t="inlineStr">
        <is>
          <t>BABY_USDT_PERP</t>
        </is>
      </c>
      <c r="F191" s="2" t="inlineStr">
        <is>
          <t>做空</t>
        </is>
      </c>
      <c r="G191" s="17" t="n">
        <v>0.01258</v>
      </c>
      <c r="H191" s="17" t="n">
        <v>0.0120768</v>
      </c>
      <c r="I191" s="17" t="n">
        <v>0.013209</v>
      </c>
      <c r="J191" s="17" t="n"/>
      <c r="K191" s="2" t="n"/>
      <c r="L191" s="5" t="n"/>
      <c r="M191" s="16">
        <f>資金模擬!$B$5*V190</f>
        <v/>
      </c>
      <c r="N191" s="2">
        <f>IF(Z190=1,"已停止",IF(T190&gt;=M191,"已下單","資金不足略過"))</f>
        <v/>
      </c>
      <c r="O191" s="16">
        <f>IF(N191="已下單",M191*資金模擬!$B$7,0)</f>
        <v/>
      </c>
      <c r="P191" s="4" t="n"/>
      <c r="Q191" s="10" t="n">
        <v>0</v>
      </c>
      <c r="R191" s="10">
        <f>R190+Q191</f>
        <v/>
      </c>
      <c r="S191" s="16">
        <f>S190+IF(N191="已下單",M191,0)</f>
        <v/>
      </c>
      <c r="T191" s="16">
        <f>R191-S191</f>
        <v/>
      </c>
      <c r="U191" s="2">
        <f>U190+IF(N191="已下單",1,0)</f>
        <v/>
      </c>
      <c r="V191" s="16">
        <f>IF(資金模擬!$B$9=2,MAX(R191,0),MAX(V190,FLOOR(MAX(R191,0),資金模擬!$B$6)))</f>
        <v/>
      </c>
      <c r="W191" s="10">
        <f>MAX(W190,R191)</f>
        <v/>
      </c>
      <c r="X191" s="4">
        <f>IF(W191&gt;0,R191/W191-1,-1)</f>
        <v/>
      </c>
      <c r="Y191" s="16">
        <f>IF(R191&gt;0,S191*資金模擬!$B$7/R191,0)</f>
        <v/>
      </c>
      <c r="Z191" s="2">
        <f>IF(OR(Z190=1,R191&lt;=資金模擬!$B$10),1,0)</f>
        <v/>
      </c>
    </row>
    <row r="192">
      <c r="A192" s="2" t="n">
        <v>190</v>
      </c>
      <c r="B192" s="7" t="n">
        <v>46283.36805555555</v>
      </c>
      <c r="C192" s="2" t="inlineStr">
        <is>
          <t>出場</t>
        </is>
      </c>
      <c r="D192" s="2" t="n">
        <v>95</v>
      </c>
      <c r="E192" s="2" t="inlineStr">
        <is>
          <t>BABY_USDT_PERP</t>
        </is>
      </c>
      <c r="F192" s="2" t="inlineStr">
        <is>
          <t>做空</t>
        </is>
      </c>
      <c r="G192" s="17" t="n">
        <v>0.01258</v>
      </c>
      <c r="H192" s="17" t="n">
        <v>0.0120768</v>
      </c>
      <c r="I192" s="17" t="n">
        <v>0.013209</v>
      </c>
      <c r="J192" s="17" t="n">
        <v>0.0120768</v>
      </c>
      <c r="K192" s="2" t="inlineStr">
        <is>
          <t>止盈</t>
        </is>
      </c>
      <c r="L192" s="5">
        <f>交易明細!K96</f>
        <v/>
      </c>
      <c r="M192" s="16">
        <f>M191</f>
        <v/>
      </c>
      <c r="N192" s="2">
        <f>N191</f>
        <v/>
      </c>
      <c r="O192" s="16">
        <f>O191</f>
        <v/>
      </c>
      <c r="P192" s="4">
        <f>交易明細!L96</f>
        <v/>
      </c>
      <c r="Q192" s="10">
        <f>IF(N192="已下單",O192*P192,0)</f>
        <v/>
      </c>
      <c r="R192" s="10">
        <f>R191+Q192</f>
        <v/>
      </c>
      <c r="S192" s="16">
        <f>S191-IF(N192="已下單",M192,0)</f>
        <v/>
      </c>
      <c r="T192" s="16">
        <f>R192-S192</f>
        <v/>
      </c>
      <c r="U192" s="2">
        <f>U191-IF(N192="已下單",1,0)</f>
        <v/>
      </c>
      <c r="V192" s="16">
        <f>IF(資金模擬!$B$9=2,MAX(R192,0),MAX(V191,FLOOR(MAX(R192,0),資金模擬!$B$6)))</f>
        <v/>
      </c>
      <c r="W192" s="10">
        <f>MAX(W191,R192)</f>
        <v/>
      </c>
      <c r="X192" s="4">
        <f>IF(W192&gt;0,R192/W192-1,-1)</f>
        <v/>
      </c>
      <c r="Y192" s="16">
        <f>IF(R192&gt;0,S192*資金模擬!$B$7/R192,0)</f>
        <v/>
      </c>
      <c r="Z192" s="2">
        <f>IF(OR(Z191=1,R192&lt;=資金模擬!$B$10),1,0)</f>
        <v/>
      </c>
    </row>
    <row r="193">
      <c r="A193" s="2" t="n">
        <v>191</v>
      </c>
      <c r="B193" s="7" t="n">
        <v>46283.4375</v>
      </c>
      <c r="C193" s="2" t="inlineStr">
        <is>
          <t>進場</t>
        </is>
      </c>
      <c r="D193" s="2" t="n">
        <v>96</v>
      </c>
      <c r="E193" s="2" t="inlineStr">
        <is>
          <t>DRIFT_USDT_PERP</t>
        </is>
      </c>
      <c r="F193" s="2" t="inlineStr">
        <is>
          <t>做空</t>
        </is>
      </c>
      <c r="G193" s="17" t="n">
        <v>0.01771</v>
      </c>
      <c r="H193" s="17" t="n">
        <v>0.0170016</v>
      </c>
      <c r="I193" s="17" t="n">
        <v>0.0185955</v>
      </c>
      <c r="J193" s="17" t="n"/>
      <c r="K193" s="2" t="n"/>
      <c r="L193" s="5" t="n"/>
      <c r="M193" s="16">
        <f>資金模擬!$B$5*V192</f>
        <v/>
      </c>
      <c r="N193" s="2">
        <f>IF(Z192=1,"已停止",IF(T192&gt;=M193,"已下單","資金不足略過"))</f>
        <v/>
      </c>
      <c r="O193" s="16">
        <f>IF(N193="已下單",M193*資金模擬!$B$7,0)</f>
        <v/>
      </c>
      <c r="P193" s="4" t="n"/>
      <c r="Q193" s="10" t="n">
        <v>0</v>
      </c>
      <c r="R193" s="10">
        <f>R192+Q193</f>
        <v/>
      </c>
      <c r="S193" s="16">
        <f>S192+IF(N193="已下單",M193,0)</f>
        <v/>
      </c>
      <c r="T193" s="16">
        <f>R193-S193</f>
        <v/>
      </c>
      <c r="U193" s="2">
        <f>U192+IF(N193="已下單",1,0)</f>
        <v/>
      </c>
      <c r="V193" s="16">
        <f>IF(資金模擬!$B$9=2,MAX(R193,0),MAX(V192,FLOOR(MAX(R193,0),資金模擬!$B$6)))</f>
        <v/>
      </c>
      <c r="W193" s="10">
        <f>MAX(W192,R193)</f>
        <v/>
      </c>
      <c r="X193" s="4">
        <f>IF(W193&gt;0,R193/W193-1,-1)</f>
        <v/>
      </c>
      <c r="Y193" s="16">
        <f>IF(R193&gt;0,S193*資金模擬!$B$7/R193,0)</f>
        <v/>
      </c>
      <c r="Z193" s="2">
        <f>IF(OR(Z192=1,R193&lt;=資金模擬!$B$10),1,0)</f>
        <v/>
      </c>
    </row>
    <row r="194">
      <c r="A194" s="2" t="n">
        <v>192</v>
      </c>
      <c r="B194" s="7" t="n">
        <v>46283.44097222222</v>
      </c>
      <c r="C194" s="2" t="inlineStr">
        <is>
          <t>出場</t>
        </is>
      </c>
      <c r="D194" s="2" t="n">
        <v>96</v>
      </c>
      <c r="E194" s="2" t="inlineStr">
        <is>
          <t>DRIFT_USDT_PERP</t>
        </is>
      </c>
      <c r="F194" s="2" t="inlineStr">
        <is>
          <t>做空</t>
        </is>
      </c>
      <c r="G194" s="17" t="n">
        <v>0.01771</v>
      </c>
      <c r="H194" s="17" t="n">
        <v>0.0170016</v>
      </c>
      <c r="I194" s="17" t="n">
        <v>0.0185955</v>
      </c>
      <c r="J194" s="17" t="n">
        <v>0.0170016</v>
      </c>
      <c r="K194" s="2" t="inlineStr">
        <is>
          <t>止盈</t>
        </is>
      </c>
      <c r="L194" s="5">
        <f>交易明細!K97</f>
        <v/>
      </c>
      <c r="M194" s="16">
        <f>M193</f>
        <v/>
      </c>
      <c r="N194" s="2">
        <f>N193</f>
        <v/>
      </c>
      <c r="O194" s="16">
        <f>O193</f>
        <v/>
      </c>
      <c r="P194" s="4">
        <f>交易明細!L97</f>
        <v/>
      </c>
      <c r="Q194" s="10">
        <f>IF(N194="已下單",O194*P194,0)</f>
        <v/>
      </c>
      <c r="R194" s="10">
        <f>R193+Q194</f>
        <v/>
      </c>
      <c r="S194" s="16">
        <f>S193-IF(N194="已下單",M194,0)</f>
        <v/>
      </c>
      <c r="T194" s="16">
        <f>R194-S194</f>
        <v/>
      </c>
      <c r="U194" s="2">
        <f>U193-IF(N194="已下單",1,0)</f>
        <v/>
      </c>
      <c r="V194" s="16">
        <f>IF(資金模擬!$B$9=2,MAX(R194,0),MAX(V193,FLOOR(MAX(R194,0),資金模擬!$B$6)))</f>
        <v/>
      </c>
      <c r="W194" s="10">
        <f>MAX(W193,R194)</f>
        <v/>
      </c>
      <c r="X194" s="4">
        <f>IF(W194&gt;0,R194/W194-1,-1)</f>
        <v/>
      </c>
      <c r="Y194" s="16">
        <f>IF(R194&gt;0,S194*資金模擬!$B$7/R194,0)</f>
        <v/>
      </c>
      <c r="Z194" s="2">
        <f>IF(OR(Z193=1,R194&lt;=資金模擬!$B$10),1,0)</f>
        <v/>
      </c>
    </row>
    <row r="195">
      <c r="A195" s="2" t="n">
        <v>193</v>
      </c>
      <c r="B195" s="7" t="n">
        <v>46283.72569444445</v>
      </c>
      <c r="C195" s="2" t="inlineStr">
        <is>
          <t>進場</t>
        </is>
      </c>
      <c r="D195" s="2" t="n">
        <v>97</v>
      </c>
      <c r="E195" s="2" t="inlineStr">
        <is>
          <t>STRK_USDT_PERP</t>
        </is>
      </c>
      <c r="F195" s="2" t="inlineStr">
        <is>
          <t>做空</t>
        </is>
      </c>
      <c r="G195" s="17" t="n">
        <v>0.0359</v>
      </c>
      <c r="H195" s="17" t="n">
        <v>0.034464</v>
      </c>
      <c r="I195" s="17" t="n">
        <v>0.03769500000000001</v>
      </c>
      <c r="J195" s="17" t="n"/>
      <c r="K195" s="2" t="n"/>
      <c r="L195" s="5" t="n"/>
      <c r="M195" s="16">
        <f>資金模擬!$B$5*V194</f>
        <v/>
      </c>
      <c r="N195" s="2">
        <f>IF(Z194=1,"已停止",IF(T194&gt;=M195,"已下單","資金不足略過"))</f>
        <v/>
      </c>
      <c r="O195" s="16">
        <f>IF(N195="已下單",M195*資金模擬!$B$7,0)</f>
        <v/>
      </c>
      <c r="P195" s="4" t="n"/>
      <c r="Q195" s="10" t="n">
        <v>0</v>
      </c>
      <c r="R195" s="10">
        <f>R194+Q195</f>
        <v/>
      </c>
      <c r="S195" s="16">
        <f>S194+IF(N195="已下單",M195,0)</f>
        <v/>
      </c>
      <c r="T195" s="16">
        <f>R195-S195</f>
        <v/>
      </c>
      <c r="U195" s="2">
        <f>U194+IF(N195="已下單",1,0)</f>
        <v/>
      </c>
      <c r="V195" s="16">
        <f>IF(資金模擬!$B$9=2,MAX(R195,0),MAX(V194,FLOOR(MAX(R195,0),資金模擬!$B$6)))</f>
        <v/>
      </c>
      <c r="W195" s="10">
        <f>MAX(W194,R195)</f>
        <v/>
      </c>
      <c r="X195" s="4">
        <f>IF(W195&gt;0,R195/W195-1,-1)</f>
        <v/>
      </c>
      <c r="Y195" s="16">
        <f>IF(R195&gt;0,S195*資金模擬!$B$7/R195,0)</f>
        <v/>
      </c>
      <c r="Z195" s="2">
        <f>IF(OR(Z194=1,R195&lt;=資金模擬!$B$10),1,0)</f>
        <v/>
      </c>
    </row>
    <row r="196">
      <c r="A196" s="2" t="n">
        <v>194</v>
      </c>
      <c r="B196" s="7" t="n">
        <v>46283.74652777778</v>
      </c>
      <c r="C196" s="2" t="inlineStr">
        <is>
          <t>出場</t>
        </is>
      </c>
      <c r="D196" s="2" t="n">
        <v>97</v>
      </c>
      <c r="E196" s="2" t="inlineStr">
        <is>
          <t>STRK_USDT_PERP</t>
        </is>
      </c>
      <c r="F196" s="2" t="inlineStr">
        <is>
          <t>做空</t>
        </is>
      </c>
      <c r="G196" s="17" t="n">
        <v>0.0359</v>
      </c>
      <c r="H196" s="17" t="n">
        <v>0.034464</v>
      </c>
      <c r="I196" s="17" t="n">
        <v>0.03769500000000001</v>
      </c>
      <c r="J196" s="17" t="n">
        <v>0.034464</v>
      </c>
      <c r="K196" s="2" t="inlineStr">
        <is>
          <t>止盈</t>
        </is>
      </c>
      <c r="L196" s="5">
        <f>交易明細!K98</f>
        <v/>
      </c>
      <c r="M196" s="16">
        <f>M195</f>
        <v/>
      </c>
      <c r="N196" s="2">
        <f>N195</f>
        <v/>
      </c>
      <c r="O196" s="16">
        <f>O195</f>
        <v/>
      </c>
      <c r="P196" s="4">
        <f>交易明細!L98</f>
        <v/>
      </c>
      <c r="Q196" s="10">
        <f>IF(N196="已下單",O196*P196,0)</f>
        <v/>
      </c>
      <c r="R196" s="10">
        <f>R195+Q196</f>
        <v/>
      </c>
      <c r="S196" s="16">
        <f>S195-IF(N196="已下單",M196,0)</f>
        <v/>
      </c>
      <c r="T196" s="16">
        <f>R196-S196</f>
        <v/>
      </c>
      <c r="U196" s="2">
        <f>U195-IF(N196="已下單",1,0)</f>
        <v/>
      </c>
      <c r="V196" s="16">
        <f>IF(資金模擬!$B$9=2,MAX(R196,0),MAX(V195,FLOOR(MAX(R196,0),資金模擬!$B$6)))</f>
        <v/>
      </c>
      <c r="W196" s="10">
        <f>MAX(W195,R196)</f>
        <v/>
      </c>
      <c r="X196" s="4">
        <f>IF(W196&gt;0,R196/W196-1,-1)</f>
        <v/>
      </c>
      <c r="Y196" s="16">
        <f>IF(R196&gt;0,S196*資金模擬!$B$7/R196,0)</f>
        <v/>
      </c>
      <c r="Z196" s="2">
        <f>IF(OR(Z195=1,R196&lt;=資金模擬!$B$10),1,0)</f>
        <v/>
      </c>
    </row>
    <row r="197">
      <c r="A197" s="2" t="n">
        <v>195</v>
      </c>
      <c r="B197" s="7" t="n">
        <v>46283.78125</v>
      </c>
      <c r="C197" s="2" t="inlineStr">
        <is>
          <t>進場</t>
        </is>
      </c>
      <c r="D197" s="2" t="n">
        <v>98</v>
      </c>
      <c r="E197" s="2" t="inlineStr">
        <is>
          <t>ENSO_USDT_PERP</t>
        </is>
      </c>
      <c r="F197" s="2" t="inlineStr">
        <is>
          <t>做空</t>
        </is>
      </c>
      <c r="G197" s="17" t="n">
        <v>1.0033</v>
      </c>
      <c r="H197" s="17" t="n">
        <v>0.963168</v>
      </c>
      <c r="I197" s="17" t="n">
        <v>1.053465</v>
      </c>
      <c r="J197" s="17" t="n"/>
      <c r="K197" s="2" t="n"/>
      <c r="L197" s="5" t="n"/>
      <c r="M197" s="16">
        <f>資金模擬!$B$5*V196</f>
        <v/>
      </c>
      <c r="N197" s="2">
        <f>IF(Z196=1,"已停止",IF(T196&gt;=M197,"已下單","資金不足略過"))</f>
        <v/>
      </c>
      <c r="O197" s="16">
        <f>IF(N197="已下單",M197*資金模擬!$B$7,0)</f>
        <v/>
      </c>
      <c r="P197" s="4" t="n"/>
      <c r="Q197" s="10" t="n">
        <v>0</v>
      </c>
      <c r="R197" s="10">
        <f>R196+Q197</f>
        <v/>
      </c>
      <c r="S197" s="16">
        <f>S196+IF(N197="已下單",M197,0)</f>
        <v/>
      </c>
      <c r="T197" s="16">
        <f>R197-S197</f>
        <v/>
      </c>
      <c r="U197" s="2">
        <f>U196+IF(N197="已下單",1,0)</f>
        <v/>
      </c>
      <c r="V197" s="16">
        <f>IF(資金模擬!$B$9=2,MAX(R197,0),MAX(V196,FLOOR(MAX(R197,0),資金模擬!$B$6)))</f>
        <v/>
      </c>
      <c r="W197" s="10">
        <f>MAX(W196,R197)</f>
        <v/>
      </c>
      <c r="X197" s="4">
        <f>IF(W197&gt;0,R197/W197-1,-1)</f>
        <v/>
      </c>
      <c r="Y197" s="16">
        <f>IF(R197&gt;0,S197*資金模擬!$B$7/R197,0)</f>
        <v/>
      </c>
      <c r="Z197" s="2">
        <f>IF(OR(Z196=1,R197&lt;=資金模擬!$B$10),1,0)</f>
        <v/>
      </c>
    </row>
    <row r="198">
      <c r="A198" s="2" t="n">
        <v>196</v>
      </c>
      <c r="B198" s="7" t="n">
        <v>46283.78472222222</v>
      </c>
      <c r="C198" s="2" t="inlineStr">
        <is>
          <t>出場</t>
        </is>
      </c>
      <c r="D198" s="2" t="n">
        <v>98</v>
      </c>
      <c r="E198" s="2" t="inlineStr">
        <is>
          <t>ENSO_USDT_PERP</t>
        </is>
      </c>
      <c r="F198" s="2" t="inlineStr">
        <is>
          <t>做空</t>
        </is>
      </c>
      <c r="G198" s="17" t="n">
        <v>1.0033</v>
      </c>
      <c r="H198" s="17" t="n">
        <v>0.963168</v>
      </c>
      <c r="I198" s="17" t="n">
        <v>1.053465</v>
      </c>
      <c r="J198" s="17" t="n">
        <v>0.963168</v>
      </c>
      <c r="K198" s="2" t="inlineStr">
        <is>
          <t>止盈</t>
        </is>
      </c>
      <c r="L198" s="5">
        <f>交易明細!K99</f>
        <v/>
      </c>
      <c r="M198" s="16">
        <f>M197</f>
        <v/>
      </c>
      <c r="N198" s="2">
        <f>N197</f>
        <v/>
      </c>
      <c r="O198" s="16">
        <f>O197</f>
        <v/>
      </c>
      <c r="P198" s="4">
        <f>交易明細!L99</f>
        <v/>
      </c>
      <c r="Q198" s="10">
        <f>IF(N198="已下單",O198*P198,0)</f>
        <v/>
      </c>
      <c r="R198" s="10">
        <f>R197+Q198</f>
        <v/>
      </c>
      <c r="S198" s="16">
        <f>S197-IF(N198="已下單",M198,0)</f>
        <v/>
      </c>
      <c r="T198" s="16">
        <f>R198-S198</f>
        <v/>
      </c>
      <c r="U198" s="2">
        <f>U197-IF(N198="已下單",1,0)</f>
        <v/>
      </c>
      <c r="V198" s="16">
        <f>IF(資金模擬!$B$9=2,MAX(R198,0),MAX(V197,FLOOR(MAX(R198,0),資金模擬!$B$6)))</f>
        <v/>
      </c>
      <c r="W198" s="10">
        <f>MAX(W197,R198)</f>
        <v/>
      </c>
      <c r="X198" s="4">
        <f>IF(W198&gt;0,R198/W198-1,-1)</f>
        <v/>
      </c>
      <c r="Y198" s="16">
        <f>IF(R198&gt;0,S198*資金模擬!$B$7/R198,0)</f>
        <v/>
      </c>
      <c r="Z198" s="2">
        <f>IF(OR(Z197=1,R198&lt;=資金模擬!$B$10),1,0)</f>
        <v/>
      </c>
    </row>
  </sheetData>
  <autoFilter ref="A1:Z198"/>
  <conditionalFormatting sqref="K2:K198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198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198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21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2026-09-18 18:56（Dry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5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1" t="n">
        <v>0.04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策略4 — 爆量竭盡（只做空）</t>
        </is>
      </c>
      <c r="C8" s="2" t="inlineStr">
        <is>
          <t>5分K逐根判斷、小時尺度條件</t>
        </is>
      </c>
    </row>
    <row r="9">
      <c r="A9" s="2" t="inlineStr">
        <is>
          <t>2小時漲幅下限</t>
        </is>
      </c>
      <c r="B9" s="4" t="n">
        <v>0.14</v>
      </c>
      <c r="C9" s="2" t="inlineStr">
        <is>
          <t>最關鍵的條件（AUC 0.90）</t>
        </is>
      </c>
    </row>
    <row r="10">
      <c r="A10" s="2" t="inlineStr">
        <is>
          <t>量比下限</t>
        </is>
      </c>
      <c r="B10" s="4" t="n">
        <v>2</v>
      </c>
      <c r="C10" s="2" t="inlineStr">
        <is>
          <t>本根量 ÷ 前24h每根均量</t>
        </is>
      </c>
    </row>
    <row r="11">
      <c r="A11" s="2" t="inlineStr">
        <is>
          <t>收盤位置上限</t>
        </is>
      </c>
      <c r="B11" s="2" t="n">
        <v>0.6</v>
      </c>
      <c r="C11" s="2" t="inlineStr">
        <is>
          <t>1=收最高、0=收最低；偏低＝衝高被壓回</t>
        </is>
      </c>
    </row>
    <row r="12">
      <c r="A12" s="2" t="inlineStr">
        <is>
          <t>24h成交額上限</t>
        </is>
      </c>
      <c r="B12" s="2" t="n">
        <v>500000</v>
      </c>
      <c r="C12" s="2" t="inlineStr">
        <is>
          <t>大幣的拉抬較不易回吐</t>
        </is>
      </c>
    </row>
    <row r="13">
      <c r="A13" s="2" t="inlineStr">
        <is>
          <t>24h成交額下限</t>
        </is>
      </c>
      <c r="B13" s="2" t="n">
        <v>20000</v>
      </c>
      <c r="C13" s="2" t="inlineStr">
        <is>
          <t>流動性</t>
        </is>
      </c>
    </row>
    <row r="14">
      <c r="A14" s="2" t="inlineStr">
        <is>
          <t>量/24h最大量下限</t>
        </is>
      </c>
      <c r="B14" s="2" t="inlineStr">
        <is>
          <t>不限</t>
        </is>
      </c>
      <c r="C14" s="2" t="inlineStr">
        <is>
          <t>實驗用</t>
        </is>
      </c>
    </row>
    <row r="15">
      <c r="A15" s="2" t="inlineStr">
        <is>
          <t>1h爆量次數下限</t>
        </is>
      </c>
      <c r="B15" s="2" t="inlineStr">
        <is>
          <t>不限</t>
        </is>
      </c>
      <c r="C15" s="2" t="inlineStr">
        <is>
          <t>實驗用</t>
        </is>
      </c>
    </row>
    <row r="16">
      <c r="A16" s="2" t="inlineStr">
        <is>
          <t>ATR%(1h)下限</t>
        </is>
      </c>
      <c r="B16" s="4" t="inlineStr">
        <is>
          <t>不限</t>
        </is>
      </c>
      <c r="C16" s="2" t="inlineStr">
        <is>
          <t>實驗用</t>
        </is>
      </c>
    </row>
    <row r="17">
      <c r="A17" s="2" t="inlineStr">
        <is>
          <t>盈虧平衡勝率</t>
        </is>
      </c>
      <c r="B17" s="4">
        <f>IFERROR(AVERAGE(交易明細!$AC$2:$AC$99),(B6+2*B7)/(B5+B6))</f>
        <v/>
      </c>
      <c r="C17" s="2" t="inlineStr">
        <is>
          <t>含手續費，各筆平均；勝率低於此值 = 長期虧損</t>
        </is>
      </c>
    </row>
    <row r="18">
      <c r="A18" s="2" t="inlineStr">
        <is>
          <t>RSI(1h)下限</t>
        </is>
      </c>
      <c r="B18" s="4" t="inlineStr">
        <is>
          <t>不限</t>
        </is>
      </c>
      <c r="C18" s="2" t="inlineStr">
        <is>
          <t>實驗用</t>
        </is>
      </c>
    </row>
    <row r="19">
      <c r="A19" s="2" t="inlineStr">
        <is>
          <t>價格上限</t>
        </is>
      </c>
      <c r="B19" s="2" t="inlineStr">
        <is>
          <t>不限</t>
        </is>
      </c>
      <c r="C19" s="2" t="inlineStr">
        <is>
          <t>實驗用</t>
        </is>
      </c>
    </row>
    <row r="20">
      <c r="A20" s="2" t="inlineStr">
        <is>
          <t>出場後冷卻</t>
        </is>
      </c>
      <c r="B20" s="2" t="inlineStr">
        <is>
          <t>1.0 小時（12 根）</t>
        </is>
      </c>
      <c r="C20" s="2" t="inlineStr"/>
    </row>
    <row r="21">
      <c r="A21" s="2" t="inlineStr">
        <is>
          <t>同根雙觸發</t>
        </is>
      </c>
      <c r="B21" s="2" t="inlineStr">
        <is>
          <t>1M 判定</t>
        </is>
      </c>
      <c r="C21" s="2" t="inlineStr">
        <is>
          <t>1分K 僅約7天內有資料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M99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0" customWidth="1" min="30" max="30"/>
    <col width="10" customWidth="1" min="31" max="31"/>
    <col width="11" customWidth="1" min="32" max="32"/>
    <col width="9" customWidth="1" min="33" max="33"/>
    <col width="12" customWidth="1" min="34" max="34"/>
    <col width="11" customWidth="1" min="35" max="35"/>
    <col width="10" customWidth="1" min="36" max="36"/>
    <col width="9" customWidth="1" min="37" max="37"/>
    <col width="10" customWidth="1" min="38" max="38"/>
    <col width="13" customWidth="1" min="39" max="39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漲幅2h</t>
        </is>
      </c>
      <c r="AE1" s="3" t="inlineStr">
        <is>
          <t>漲幅1h</t>
        </is>
      </c>
      <c r="AF1" s="3" t="inlineStr">
        <is>
          <t>量比(本根)</t>
        </is>
      </c>
      <c r="AG1" s="3" t="inlineStr">
        <is>
          <t>收盤位置</t>
        </is>
      </c>
      <c r="AH1" s="3" t="inlineStr">
        <is>
          <t>量/24h最大量</t>
        </is>
      </c>
      <c r="AI1" s="3" t="inlineStr">
        <is>
          <t>1h爆量次數</t>
        </is>
      </c>
      <c r="AJ1" s="3" t="inlineStr">
        <is>
          <t>MA20乖離</t>
        </is>
      </c>
      <c r="AK1" s="3" t="inlineStr">
        <is>
          <t>RSI(1h)</t>
        </is>
      </c>
      <c r="AL1" s="3" t="inlineStr">
        <is>
          <t>ATR%(1h)</t>
        </is>
      </c>
      <c r="AM1" s="3" t="inlineStr">
        <is>
          <t>24h成交額</t>
        </is>
      </c>
    </row>
    <row r="2">
      <c r="A2" s="2" t="n">
        <v>1</v>
      </c>
      <c r="B2" s="2" t="inlineStr">
        <is>
          <t>AGT_USDT_PERP</t>
        </is>
      </c>
      <c r="C2" s="2" t="inlineStr">
        <is>
          <t>做空</t>
        </is>
      </c>
      <c r="D2" s="7" t="n">
        <v>46266.02083333334</v>
      </c>
      <c r="E2" s="17" t="n">
        <v>0.017237</v>
      </c>
      <c r="F2" s="17" t="n">
        <v>0.01654752</v>
      </c>
      <c r="G2" s="17" t="n">
        <v>0.01809885</v>
      </c>
      <c r="H2" s="7" t="n">
        <v>46266.02430555555</v>
      </c>
      <c r="I2" s="17" t="n">
        <v>0.01654752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-0.008741158203462107</v>
      </c>
      <c r="O2" s="4" t="n">
        <v>0.01578178924994062</v>
      </c>
      <c r="P2" s="4" t="n">
        <v>0.1447628830376473</v>
      </c>
      <c r="Q2" s="19" t="n">
        <v>1248219</v>
      </c>
      <c r="R2" s="19" t="n">
        <v>25607.774779</v>
      </c>
      <c r="S2" s="4" t="n">
        <v>0.04</v>
      </c>
      <c r="T2" s="4" t="n">
        <v>0</v>
      </c>
      <c r="U2" s="16" t="n">
        <v>10.82045507209848</v>
      </c>
      <c r="V2" s="16" t="n">
        <v>0.7357859531772608</v>
      </c>
      <c r="W2" s="4" t="n">
        <v>-0.1389699250355989</v>
      </c>
      <c r="X2" s="4" t="n">
        <v>-0.1403903407211378</v>
      </c>
      <c r="Y2" s="4" t="n"/>
      <c r="Z2" s="4" t="n"/>
      <c r="AA2" s="4" t="n">
        <v>0.04</v>
      </c>
      <c r="AB2" s="4" t="n">
        <v>0.05</v>
      </c>
      <c r="AC2" s="4">
        <f>(AB2+2*參數!$B$7)/(AA2+AB2)</f>
        <v/>
      </c>
      <c r="AD2" s="2" t="n">
        <v>0.1493632059745282</v>
      </c>
      <c r="AE2" s="2" t="n">
        <v>0.1432645751807389</v>
      </c>
      <c r="AF2" s="2" t="n">
        <v>10.82045507209848</v>
      </c>
      <c r="AG2" s="2" t="n">
        <v>0.2642140468227392</v>
      </c>
      <c r="AH2" s="2" t="n">
        <v>0.09503349677543192</v>
      </c>
      <c r="AI2" s="2" t="n">
        <v>5</v>
      </c>
      <c r="AJ2" s="2" t="n">
        <v>0.1447628830376473</v>
      </c>
      <c r="AK2" s="2" t="n">
        <v>88.65182501852534</v>
      </c>
      <c r="AL2" s="2" t="n">
        <v>0.05466972163048296</v>
      </c>
      <c r="AM2" s="2" t="n">
        <v>25607.774779</v>
      </c>
    </row>
    <row r="3">
      <c r="A3" s="2" t="n">
        <v>2</v>
      </c>
      <c r="B3" s="2" t="inlineStr">
        <is>
          <t>AGT_USDT_PERP</t>
        </is>
      </c>
      <c r="C3" s="2" t="inlineStr">
        <is>
          <t>做空</t>
        </is>
      </c>
      <c r="D3" s="7" t="n">
        <v>46266.07638888889</v>
      </c>
      <c r="E3" s="17" t="n">
        <v>0.017307</v>
      </c>
      <c r="F3" s="17" t="n">
        <v>0.01661472</v>
      </c>
      <c r="G3" s="17" t="n">
        <v>0.01817235</v>
      </c>
      <c r="H3" s="7" t="n">
        <v>46266.23263888889</v>
      </c>
      <c r="I3" s="17" t="n">
        <v>0.01661472</v>
      </c>
      <c r="J3" s="2" t="inlineStr">
        <is>
          <t>止盈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0.001099028227672161</v>
      </c>
      <c r="O3" s="4" t="n">
        <v>0.01669984033548852</v>
      </c>
      <c r="P3" s="4" t="n">
        <v>0.1395177279437363</v>
      </c>
      <c r="Q3" s="19" t="n">
        <v>1746159</v>
      </c>
      <c r="R3" s="19" t="n">
        <v>52035.999617</v>
      </c>
      <c r="S3" s="4" t="n">
        <v>0.04</v>
      </c>
      <c r="T3" s="4" t="n">
        <v>0.02478765817299355</v>
      </c>
      <c r="U3" s="16" t="n">
        <v>4.574467380378873</v>
      </c>
      <c r="V3" s="16" t="n">
        <v>0.4661654135338393</v>
      </c>
      <c r="W3" s="4" t="n">
        <v>-0.1204189837443113</v>
      </c>
      <c r="X3" s="4" t="n">
        <v>-0.1421500692932092</v>
      </c>
      <c r="Y3" s="4" t="n"/>
      <c r="Z3" s="4" t="n"/>
      <c r="AA3" s="4" t="n">
        <v>0.04</v>
      </c>
      <c r="AB3" s="4" t="n">
        <v>0.05</v>
      </c>
      <c r="AC3" s="4">
        <f>(AB3+2*參數!$B$7)/(AA3+AB3)</f>
        <v/>
      </c>
      <c r="AD3" s="2" t="n">
        <v>0.1509609629580368</v>
      </c>
      <c r="AE3" s="2" t="n">
        <v>0.02130296235099727</v>
      </c>
      <c r="AF3" s="2" t="n">
        <v>4.574467380378873</v>
      </c>
      <c r="AG3" s="2" t="n">
        <v>0.5338345864661607</v>
      </c>
      <c r="AH3" s="2" t="n">
        <v>0.08300756312458332</v>
      </c>
      <c r="AI3" s="2" t="n">
        <v>8</v>
      </c>
      <c r="AJ3" s="2" t="n">
        <v>0.1395177279437363</v>
      </c>
      <c r="AK3" s="2" t="n">
        <v>81.12517716348837</v>
      </c>
      <c r="AL3" s="2" t="n">
        <v>0.05784994387870838</v>
      </c>
      <c r="AM3" s="2" t="n">
        <v>52035.999617</v>
      </c>
    </row>
    <row r="4">
      <c r="A4" s="2" t="n">
        <v>3</v>
      </c>
      <c r="B4" s="2" t="inlineStr">
        <is>
          <t>DOGS_USDT_PERP</t>
        </is>
      </c>
      <c r="C4" s="2" t="inlineStr">
        <is>
          <t>做空</t>
        </is>
      </c>
      <c r="D4" s="7" t="n">
        <v>46266.09375</v>
      </c>
      <c r="E4" s="17" t="n">
        <v>4.62e-05</v>
      </c>
      <c r="F4" s="17" t="n">
        <v>4.4352e-05</v>
      </c>
      <c r="G4" s="17" t="n">
        <v>4.851e-05</v>
      </c>
      <c r="H4" s="7" t="n">
        <v>46266.18055555555</v>
      </c>
      <c r="I4" s="17" t="n">
        <v>4.4352e-05</v>
      </c>
      <c r="J4" s="2" t="inlineStr">
        <is>
          <t>止盈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0.01094091903719918</v>
      </c>
      <c r="O4" s="4" t="n">
        <v>0.02286933458858992</v>
      </c>
      <c r="P4" s="4" t="n">
        <v>0.1444259807817354</v>
      </c>
      <c r="Q4" s="19" t="n">
        <v>138089459</v>
      </c>
      <c r="R4" s="19" t="n">
        <v>128745.1912348</v>
      </c>
      <c r="S4" s="4" t="n">
        <v>0.04</v>
      </c>
      <c r="T4" s="4" t="n">
        <v>0.02380952380952372</v>
      </c>
      <c r="U4" s="16" t="n">
        <v>6.402038683655584</v>
      </c>
      <c r="V4" s="16" t="n">
        <v>0.5384615384615392</v>
      </c>
      <c r="W4" s="4" t="n">
        <v>-0.110550227158001</v>
      </c>
      <c r="X4" s="4" t="n">
        <v>-0.1521197007481296</v>
      </c>
      <c r="Y4" s="4" t="n"/>
      <c r="Z4" s="4" t="n"/>
      <c r="AA4" s="4" t="n">
        <v>0.04</v>
      </c>
      <c r="AB4" s="4" t="n">
        <v>0.05</v>
      </c>
      <c r="AC4" s="4">
        <f>(AB4+2*參數!$B$7)/(AA4+AB4)</f>
        <v/>
      </c>
      <c r="AD4" s="2" t="n">
        <v>0.1435643564356435</v>
      </c>
      <c r="AE4" s="2" t="n">
        <v>0.01762114537444925</v>
      </c>
      <c r="AF4" s="2" t="n">
        <v>6.402038683655584</v>
      </c>
      <c r="AG4" s="2" t="n">
        <v>0.4615384615384607</v>
      </c>
      <c r="AH4" s="2" t="n">
        <v>0.06443187325547248</v>
      </c>
      <c r="AI4" s="2" t="n">
        <v>2</v>
      </c>
      <c r="AJ4" s="2" t="n">
        <v>0.1444259807817354</v>
      </c>
      <c r="AK4" s="2" t="n">
        <v>72.87729784496346</v>
      </c>
      <c r="AL4" s="2" t="n">
        <v>0.07922169888546006</v>
      </c>
      <c r="AM4" s="2" t="n">
        <v>128745.1912348</v>
      </c>
    </row>
    <row r="5">
      <c r="A5" s="2" t="n">
        <v>4</v>
      </c>
      <c r="B5" s="2" t="inlineStr">
        <is>
          <t>AGT_USDT_PERP</t>
        </is>
      </c>
      <c r="C5" s="2" t="inlineStr">
        <is>
          <t>做空</t>
        </is>
      </c>
      <c r="D5" s="7" t="n">
        <v>46266.51388888889</v>
      </c>
      <c r="E5" s="17" t="n">
        <v>0.018968</v>
      </c>
      <c r="F5" s="17" t="n">
        <v>0.01820928</v>
      </c>
      <c r="G5" s="17" t="n">
        <v>0.0199164</v>
      </c>
      <c r="H5" s="7" t="n">
        <v>46266.51736111111</v>
      </c>
      <c r="I5" s="17" t="n">
        <v>0.01820928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-0.009969205073333653</v>
      </c>
      <c r="O5" s="4" t="n">
        <v>0.01798691078749718</v>
      </c>
      <c r="P5" s="4" t="n">
        <v>0.1771517257946442</v>
      </c>
      <c r="Q5" s="19" t="n">
        <v>135637</v>
      </c>
      <c r="R5" s="19" t="n">
        <v>104906.860052</v>
      </c>
      <c r="S5" s="4" t="n">
        <v>0.04</v>
      </c>
      <c r="T5" s="4" t="n">
        <v>0</v>
      </c>
      <c r="U5" s="16" t="n">
        <v>38.91978269286385</v>
      </c>
      <c r="V5" s="16" t="n">
        <v>0.492808478425436</v>
      </c>
      <c r="W5" s="4" t="n">
        <v>-0.1440593115860733</v>
      </c>
      <c r="X5" s="4" t="n">
        <v>-0.2674061205398903</v>
      </c>
      <c r="Y5" s="4" t="n"/>
      <c r="Z5" s="4" t="n"/>
      <c r="AA5" s="4" t="n">
        <v>0.04</v>
      </c>
      <c r="AB5" s="4" t="n">
        <v>0.05</v>
      </c>
      <c r="AC5" s="4">
        <f>(AB5+2*參數!$B$7)/(AA5+AB5)</f>
        <v/>
      </c>
      <c r="AD5" s="2" t="n">
        <v>0.1758725435496868</v>
      </c>
      <c r="AE5" s="2" t="n">
        <v>0.1707919264242947</v>
      </c>
      <c r="AF5" s="2" t="n">
        <v>38.91978269286385</v>
      </c>
      <c r="AG5" s="2" t="n">
        <v>0.507191521574564</v>
      </c>
      <c r="AH5" s="2" t="n">
        <v>1</v>
      </c>
      <c r="AI5" s="2" t="n">
        <v>4</v>
      </c>
      <c r="AJ5" s="2" t="n">
        <v>0.1771517257946442</v>
      </c>
      <c r="AK5" s="2" t="n">
        <v>53.28368197574375</v>
      </c>
      <c r="AL5" s="2" t="n">
        <v>0.06230848671030768</v>
      </c>
      <c r="AM5" s="2" t="n">
        <v>104906.860052</v>
      </c>
    </row>
    <row r="6">
      <c r="A6" s="2" t="n">
        <v>5</v>
      </c>
      <c r="B6" s="2" t="inlineStr">
        <is>
          <t>ACE_USDT_PERP</t>
        </is>
      </c>
      <c r="C6" s="2" t="inlineStr">
        <is>
          <t>做空</t>
        </is>
      </c>
      <c r="D6" s="7" t="n">
        <v>46266.85416666666</v>
      </c>
      <c r="E6" s="17" t="n">
        <v>0.18806</v>
      </c>
      <c r="F6" s="17" t="n">
        <v>0.1805376</v>
      </c>
      <c r="G6" s="17" t="n">
        <v>0.197463</v>
      </c>
      <c r="H6" s="7" t="n">
        <v>46266.86458333334</v>
      </c>
      <c r="I6" s="17" t="n">
        <v>0.1805376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-0.01565035331065168</v>
      </c>
      <c r="O6" s="4" t="n">
        <v>0.01757534106036072</v>
      </c>
      <c r="P6" s="4" t="n">
        <v>0.1370226916318706</v>
      </c>
      <c r="Q6" s="19" t="n">
        <v>355130.1399999998</v>
      </c>
      <c r="R6" s="19" t="n">
        <v>492671.6597381</v>
      </c>
      <c r="S6" s="4" t="n">
        <v>0.04</v>
      </c>
      <c r="T6" s="4" t="n">
        <v>0.0007444432627885522</v>
      </c>
      <c r="U6" s="16" t="n">
        <v>7.383185651059138</v>
      </c>
      <c r="V6" s="16" t="n">
        <v>0.5240549828178697</v>
      </c>
      <c r="W6" s="4" t="n">
        <v>-0.1370280194031179</v>
      </c>
      <c r="X6" s="4" t="n">
        <v>-0.1085828813958971</v>
      </c>
      <c r="Y6" s="4" t="n"/>
      <c r="Z6" s="4" t="n"/>
      <c r="AA6" s="4" t="n">
        <v>0.04</v>
      </c>
      <c r="AB6" s="4" t="n">
        <v>0.05</v>
      </c>
      <c r="AC6" s="4">
        <f>(AB6+2*參數!$B$7)/(AA6+AB6)</f>
        <v/>
      </c>
      <c r="AD6" s="2" t="n">
        <v>0.1493704926048161</v>
      </c>
      <c r="AE6" s="2" t="n">
        <v>0.1011183324550617</v>
      </c>
      <c r="AF6" s="2" t="n">
        <v>7.383185651059138</v>
      </c>
      <c r="AG6" s="2" t="n">
        <v>0.4759450171821303</v>
      </c>
      <c r="AH6" s="2" t="n">
        <v>0.3950871658870863</v>
      </c>
      <c r="AI6" s="2" t="n">
        <v>8</v>
      </c>
      <c r="AJ6" s="2" t="n">
        <v>0.1370226916318706</v>
      </c>
      <c r="AK6" s="2" t="n">
        <v>72.80584968387288</v>
      </c>
      <c r="AL6" s="2" t="n">
        <v>0.06088276735379246</v>
      </c>
      <c r="AM6" s="2" t="n">
        <v>492671.6597381</v>
      </c>
    </row>
    <row r="7">
      <c r="A7" s="2" t="n">
        <v>6</v>
      </c>
      <c r="B7" s="2" t="inlineStr">
        <is>
          <t>FF_USDT_PERP</t>
        </is>
      </c>
      <c r="C7" s="2" t="inlineStr">
        <is>
          <t>做空</t>
        </is>
      </c>
      <c r="D7" s="7" t="n">
        <v>46266.90277777778</v>
      </c>
      <c r="E7" s="17" t="n">
        <v>0.09488000000000001</v>
      </c>
      <c r="F7" s="17" t="n">
        <v>0.09108480000000001</v>
      </c>
      <c r="G7" s="17" t="n">
        <v>0.099624</v>
      </c>
      <c r="H7" s="7" t="n">
        <v>46266.90972222222</v>
      </c>
      <c r="I7" s="17" t="n">
        <v>0.099624</v>
      </c>
      <c r="J7" s="2" t="inlineStr">
        <is>
          <t>止損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0.00593723494486853</v>
      </c>
      <c r="O7" s="4" t="n">
        <v>0.02169686478378512</v>
      </c>
      <c r="P7" s="4" t="n">
        <v>0.1200742938542299</v>
      </c>
      <c r="Q7" s="19" t="n">
        <v>336733</v>
      </c>
      <c r="R7" s="19" t="n">
        <v>247930.59018</v>
      </c>
      <c r="S7" s="4" t="n">
        <v>0.01222596964586853</v>
      </c>
      <c r="T7" s="4" t="n">
        <v>0.05</v>
      </c>
      <c r="U7" s="16" t="n">
        <v>7.56812485368016</v>
      </c>
      <c r="V7" s="16" t="n">
        <v>0.6363636363636331</v>
      </c>
      <c r="W7" s="4" t="n">
        <v>-0.1317684836831143</v>
      </c>
      <c r="X7" s="4" t="n">
        <v>-0.07172709815881628</v>
      </c>
      <c r="Y7" s="4" t="n"/>
      <c r="Z7" s="4" t="n"/>
      <c r="AA7" s="4" t="n">
        <v>0.04</v>
      </c>
      <c r="AB7" s="4" t="n">
        <v>0.05</v>
      </c>
      <c r="AC7" s="4">
        <f>(AB7+2*參數!$B$7)/(AA7+AB7)</f>
        <v/>
      </c>
      <c r="AD7" s="2" t="n">
        <v>0.1465861027190332</v>
      </c>
      <c r="AE7" s="2" t="n">
        <v>0.1295238095238096</v>
      </c>
      <c r="AF7" s="2" t="n">
        <v>7.56812485368016</v>
      </c>
      <c r="AG7" s="2" t="n">
        <v>0.3636363636363669</v>
      </c>
      <c r="AH7" s="2" t="n">
        <v>0.1190970668248996</v>
      </c>
      <c r="AI7" s="2" t="n">
        <v>9</v>
      </c>
      <c r="AJ7" s="2" t="n">
        <v>0.1200742938542299</v>
      </c>
      <c r="AK7" s="2" t="n">
        <v>69.73482840057071</v>
      </c>
      <c r="AL7" s="2" t="n">
        <v>0.07516014434093549</v>
      </c>
      <c r="AM7" s="2" t="n">
        <v>247930.59018</v>
      </c>
    </row>
    <row r="8">
      <c r="A8" s="2" t="n">
        <v>7</v>
      </c>
      <c r="B8" s="2" t="inlineStr">
        <is>
          <t>FF_USDT_PERP</t>
        </is>
      </c>
      <c r="C8" s="2" t="inlineStr">
        <is>
          <t>做空</t>
        </is>
      </c>
      <c r="D8" s="7" t="n">
        <v>46266.95138888889</v>
      </c>
      <c r="E8" s="17" t="n">
        <v>0.10179</v>
      </c>
      <c r="F8" s="17" t="n">
        <v>0.0977184</v>
      </c>
      <c r="G8" s="17" t="n">
        <v>0.1068795</v>
      </c>
      <c r="H8" s="7" t="n">
        <v>46266.96875</v>
      </c>
      <c r="I8" s="17" t="n">
        <v>0.0977184</v>
      </c>
      <c r="J8" s="2" t="inlineStr">
        <is>
          <t>止盈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0.01820546163849146</v>
      </c>
      <c r="O8" s="4" t="n">
        <v>0.02606293732129189</v>
      </c>
      <c r="P8" s="4" t="n">
        <v>0.1904735218857252</v>
      </c>
      <c r="Q8" s="19" t="n">
        <v>565436</v>
      </c>
      <c r="R8" s="19" t="n">
        <v>418234.56252</v>
      </c>
      <c r="S8" s="4" t="n">
        <v>0.04</v>
      </c>
      <c r="T8" s="4" t="n">
        <v>0.01031535514294135</v>
      </c>
      <c r="U8" s="16" t="n">
        <v>17.05922937686183</v>
      </c>
      <c r="V8" s="16" t="n">
        <v>0.489417989417988</v>
      </c>
      <c r="W8" s="4" t="n">
        <v>-0.1821242467282256</v>
      </c>
      <c r="X8" s="4" t="n">
        <v>-0.1694623161764706</v>
      </c>
      <c r="Y8" s="4" t="n"/>
      <c r="Z8" s="4" t="n"/>
      <c r="AA8" s="4" t="n">
        <v>0.04</v>
      </c>
      <c r="AB8" s="4" t="n">
        <v>0.05</v>
      </c>
      <c r="AC8" s="4">
        <f>(AB8+2*參數!$B$7)/(AA8+AB8)</f>
        <v/>
      </c>
      <c r="AD8" s="2" t="n">
        <v>0.2094819391634981</v>
      </c>
      <c r="AE8" s="2" t="n">
        <v>0.0221932114882506</v>
      </c>
      <c r="AF8" s="2" t="n">
        <v>17.05922937686183</v>
      </c>
      <c r="AG8" s="2" t="n">
        <v>0.510582010582012</v>
      </c>
      <c r="AH8" s="2" t="n">
        <v>0.4158893308458587</v>
      </c>
      <c r="AI8" s="2" t="n">
        <v>11</v>
      </c>
      <c r="AJ8" s="2" t="n">
        <v>0.1904735218857252</v>
      </c>
      <c r="AK8" s="2" t="n">
        <v>79.56179356313753</v>
      </c>
      <c r="AL8" s="2" t="n">
        <v>0.09028466326992131</v>
      </c>
      <c r="AM8" s="2" t="n">
        <v>418234.56252</v>
      </c>
    </row>
    <row r="9">
      <c r="A9" s="2" t="n">
        <v>8</v>
      </c>
      <c r="B9" s="2" t="inlineStr">
        <is>
          <t>LA_USDT_PERP</t>
        </is>
      </c>
      <c r="C9" s="2" t="inlineStr">
        <is>
          <t>做空</t>
        </is>
      </c>
      <c r="D9" s="7" t="n">
        <v>46267.39236111111</v>
      </c>
      <c r="E9" s="17" t="n">
        <v>0.06491</v>
      </c>
      <c r="F9" s="17" t="n">
        <v>0.0623136</v>
      </c>
      <c r="G9" s="17" t="n">
        <v>0.06815549999999999</v>
      </c>
      <c r="H9" s="7" t="n">
        <v>46267.47222222222</v>
      </c>
      <c r="I9" s="17" t="n">
        <v>0.0623136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-0.001691787142417689</v>
      </c>
      <c r="O9" s="4" t="n">
        <v>0.01651812118124422</v>
      </c>
      <c r="P9" s="4" t="n">
        <v>0.1056179392514807</v>
      </c>
      <c r="Q9" s="19" t="n">
        <v>-107363.1000000001</v>
      </c>
      <c r="R9" s="19" t="n">
        <v>160827.51252</v>
      </c>
      <c r="S9" s="4" t="n">
        <v>0.04</v>
      </c>
      <c r="T9" s="4" t="n">
        <v>0.03851486673856108</v>
      </c>
      <c r="U9" s="16" t="n">
        <v>15.40967647590159</v>
      </c>
      <c r="V9" s="16" t="n">
        <v>0.4571428571428588</v>
      </c>
      <c r="W9" s="4" t="n">
        <v>-0.1197827714580464</v>
      </c>
      <c r="X9" s="4" t="n">
        <v>-0.06079424742604989</v>
      </c>
      <c r="Y9" s="4" t="n"/>
      <c r="Z9" s="4" t="n"/>
      <c r="AA9" s="4" t="n">
        <v>0.04</v>
      </c>
      <c r="AB9" s="4" t="n">
        <v>0.05</v>
      </c>
      <c r="AC9" s="4">
        <f>(AB9+2*參數!$B$7)/(AA9+AB9)</f>
        <v/>
      </c>
      <c r="AD9" s="2" t="n">
        <v>0.1425805315965498</v>
      </c>
      <c r="AE9" s="2" t="n">
        <v>0.07841834191726194</v>
      </c>
      <c r="AF9" s="2" t="n">
        <v>15.40967647590159</v>
      </c>
      <c r="AG9" s="2" t="n">
        <v>0.5428571428571412</v>
      </c>
      <c r="AH9" s="2" t="n">
        <v>0.3904925137100602</v>
      </c>
      <c r="AI9" s="2" t="n">
        <v>4</v>
      </c>
      <c r="AJ9" s="2" t="n">
        <v>0.1056179392514807</v>
      </c>
      <c r="AK9" s="2" t="n">
        <v>70.57916032440235</v>
      </c>
      <c r="AL9" s="2" t="n">
        <v>0.05722045026298927</v>
      </c>
      <c r="AM9" s="2" t="n">
        <v>160827.51252</v>
      </c>
    </row>
    <row r="10">
      <c r="A10" s="2" t="n">
        <v>9</v>
      </c>
      <c r="B10" s="2" t="inlineStr">
        <is>
          <t>CLO_USDT_PERP</t>
        </is>
      </c>
      <c r="C10" s="2" t="inlineStr">
        <is>
          <t>做空</t>
        </is>
      </c>
      <c r="D10" s="7" t="n">
        <v>46267.48263888889</v>
      </c>
      <c r="E10" s="17" t="n">
        <v>0.1616</v>
      </c>
      <c r="F10" s="17" t="n">
        <v>0.155136</v>
      </c>
      <c r="G10" s="17" t="n">
        <v>0.16968</v>
      </c>
      <c r="H10" s="7" t="n">
        <v>46267.51388888889</v>
      </c>
      <c r="I10" s="17" t="n">
        <v>0.16968</v>
      </c>
      <c r="J10" s="2" t="inlineStr">
        <is>
          <t>止損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-0.003084515731030191</v>
      </c>
      <c r="O10" s="4" t="n">
        <v>0.01402345284158621</v>
      </c>
      <c r="P10" s="4" t="n">
        <v>0.1514242878560719</v>
      </c>
      <c r="Q10" s="19" t="n">
        <v>119452</v>
      </c>
      <c r="R10" s="19" t="n">
        <v>157652.455</v>
      </c>
      <c r="S10" s="4" t="n">
        <v>0.007425742574257432</v>
      </c>
      <c r="T10" s="4" t="n">
        <v>0.05</v>
      </c>
      <c r="U10" s="16" t="n">
        <v>6.404035577975433</v>
      </c>
      <c r="V10" s="16" t="n">
        <v>0.6875000000000033</v>
      </c>
      <c r="W10" s="4" t="n">
        <v>-0.1319538812849357</v>
      </c>
      <c r="X10" s="4" t="n">
        <v>-0.1542857142857141</v>
      </c>
      <c r="Y10" s="4" t="n"/>
      <c r="Z10" s="4" t="n"/>
      <c r="AA10" s="4" t="n">
        <v>0.04</v>
      </c>
      <c r="AB10" s="4" t="n">
        <v>0.05</v>
      </c>
      <c r="AC10" s="4">
        <f>(AB10+2*參數!$B$7)/(AA10+AB10)</f>
        <v/>
      </c>
      <c r="AD10" s="2" t="n">
        <v>0.1404375441072689</v>
      </c>
      <c r="AE10" s="2" t="n">
        <v>0.04123711340206171</v>
      </c>
      <c r="AF10" s="2" t="n">
        <v>6.404035577975433</v>
      </c>
      <c r="AG10" s="2" t="n">
        <v>0.3124999999999967</v>
      </c>
      <c r="AH10" s="2" t="n">
        <v>0.2137269385829855</v>
      </c>
      <c r="AI10" s="2" t="n">
        <v>6</v>
      </c>
      <c r="AJ10" s="2" t="n">
        <v>0.1514242878560719</v>
      </c>
      <c r="AK10" s="2" t="n">
        <v>73.72559793748485</v>
      </c>
      <c r="AL10" s="2" t="n">
        <v>0.04857866563834693</v>
      </c>
      <c r="AM10" s="2" t="n">
        <v>157652.455</v>
      </c>
    </row>
    <row r="11">
      <c r="A11" s="2" t="n">
        <v>10</v>
      </c>
      <c r="B11" s="2" t="inlineStr">
        <is>
          <t>MUBARAK_USDT_PERP</t>
        </is>
      </c>
      <c r="C11" s="2" t="inlineStr">
        <is>
          <t>做空</t>
        </is>
      </c>
      <c r="D11" s="7" t="n">
        <v>46267.98611111111</v>
      </c>
      <c r="E11" s="17" t="n">
        <v>0.02662</v>
      </c>
      <c r="F11" s="17" t="n">
        <v>0.0255552</v>
      </c>
      <c r="G11" s="17" t="n">
        <v>0.027951</v>
      </c>
      <c r="H11" s="7" t="n">
        <v>46267.99305555555</v>
      </c>
      <c r="I11" s="17" t="n">
        <v>0.027951</v>
      </c>
      <c r="J11" s="2" t="inlineStr">
        <is>
          <t>止損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0.004528301886792541</v>
      </c>
      <c r="O11" s="4" t="n">
        <v>0.01574969292934687</v>
      </c>
      <c r="P11" s="4" t="n">
        <v>0.2162933968945377</v>
      </c>
      <c r="Q11" s="19" t="n">
        <v>2080134</v>
      </c>
      <c r="R11" s="19" t="n">
        <v>169789.35028</v>
      </c>
      <c r="S11" s="4" t="n">
        <v>0.001878287002254009</v>
      </c>
      <c r="T11" s="4" t="n">
        <v>0.05</v>
      </c>
      <c r="U11" s="16" t="n">
        <v>15.49600970323184</v>
      </c>
      <c r="V11" s="16" t="n">
        <v>0.4285714285714215</v>
      </c>
      <c r="W11" s="4" t="n">
        <v>-0.1787314688535042</v>
      </c>
      <c r="X11" s="4" t="n">
        <v>-0.2329782306623436</v>
      </c>
      <c r="Y11" s="4" t="n"/>
      <c r="Z11" s="4" t="n"/>
      <c r="AA11" s="4" t="n">
        <v>0.04</v>
      </c>
      <c r="AB11" s="4" t="n">
        <v>0.05</v>
      </c>
      <c r="AC11" s="4">
        <f>(AB11+2*參數!$B$7)/(AA11+AB11)</f>
        <v/>
      </c>
      <c r="AD11" s="2" t="n">
        <v>0.176314626601856</v>
      </c>
      <c r="AE11" s="2" t="n">
        <v>0.1119465329991647</v>
      </c>
      <c r="AF11" s="2" t="n">
        <v>15.49600970323184</v>
      </c>
      <c r="AG11" s="2" t="n">
        <v>0.5714285714285785</v>
      </c>
      <c r="AH11" s="2" t="n">
        <v>0.5427608857639041</v>
      </c>
      <c r="AI11" s="2" t="n">
        <v>11</v>
      </c>
      <c r="AJ11" s="2" t="n">
        <v>0.2162933968945377</v>
      </c>
      <c r="AK11" s="2" t="n">
        <v>89.50135855345663</v>
      </c>
      <c r="AL11" s="2" t="n">
        <v>0.05455853671447417</v>
      </c>
      <c r="AM11" s="2" t="n">
        <v>169789.35028</v>
      </c>
    </row>
    <row r="12">
      <c r="A12" s="2" t="n">
        <v>11</v>
      </c>
      <c r="B12" s="2" t="inlineStr">
        <is>
          <t>CHIP_USDT_PERP</t>
        </is>
      </c>
      <c r="C12" s="2" t="inlineStr">
        <is>
          <t>做空</t>
        </is>
      </c>
      <c r="D12" s="7" t="n">
        <v>46268.67708333334</v>
      </c>
      <c r="E12" s="17" t="n">
        <v>0.05177</v>
      </c>
      <c r="F12" s="17" t="n">
        <v>0.04969919999999999</v>
      </c>
      <c r="G12" s="17" t="n">
        <v>0.0543585</v>
      </c>
      <c r="H12" s="7" t="n">
        <v>46268.80555555555</v>
      </c>
      <c r="I12" s="17" t="n">
        <v>0.04969919999999999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0.002323330106485777</v>
      </c>
      <c r="O12" s="4" t="n">
        <v>0.01271466837012892</v>
      </c>
      <c r="P12" s="4" t="n">
        <v>0.207708854373726</v>
      </c>
      <c r="Q12" s="19" t="n">
        <v>3090786</v>
      </c>
      <c r="R12" s="19" t="n">
        <v>435000.77614</v>
      </c>
      <c r="S12" s="4" t="n">
        <v>0.04</v>
      </c>
      <c r="T12" s="4" t="n">
        <v>0.03824608846822497</v>
      </c>
      <c r="U12" s="16" t="n">
        <v>13.25635742718667</v>
      </c>
      <c r="V12" s="16" t="n">
        <v>0.7017543859649189</v>
      </c>
      <c r="W12" s="4" t="n">
        <v>-0.1634858278121882</v>
      </c>
      <c r="X12" s="4" t="n">
        <v>-0.1278867102396513</v>
      </c>
      <c r="Y12" s="4" t="n"/>
      <c r="Z12" s="4" t="n"/>
      <c r="AA12" s="4" t="n">
        <v>0.04</v>
      </c>
      <c r="AB12" s="4" t="n">
        <v>0.05</v>
      </c>
      <c r="AC12" s="4">
        <f>(AB12+2*參數!$B$7)/(AA12+AB12)</f>
        <v/>
      </c>
      <c r="AD12" s="2" t="n">
        <v>0.1519804183355584</v>
      </c>
      <c r="AE12" s="2" t="n">
        <v>0.08509746384405781</v>
      </c>
      <c r="AF12" s="2" t="n">
        <v>13.25635742718667</v>
      </c>
      <c r="AG12" s="2" t="n">
        <v>0.2982456140350811</v>
      </c>
      <c r="AH12" s="2" t="n">
        <v>0.5429859241556708</v>
      </c>
      <c r="AI12" s="2" t="n">
        <v>8</v>
      </c>
      <c r="AJ12" s="2" t="n">
        <v>0.207708854373726</v>
      </c>
      <c r="AK12" s="2" t="n">
        <v>73.76424768754708</v>
      </c>
      <c r="AL12" s="2" t="n">
        <v>0.0440449032369045</v>
      </c>
      <c r="AM12" s="2" t="n">
        <v>435000.77614</v>
      </c>
    </row>
    <row r="13">
      <c r="A13" s="2" t="n">
        <v>12</v>
      </c>
      <c r="B13" s="2" t="inlineStr">
        <is>
          <t>ZEST_USDT_PERP</t>
        </is>
      </c>
      <c r="C13" s="2" t="inlineStr">
        <is>
          <t>做空</t>
        </is>
      </c>
      <c r="D13" s="7" t="n">
        <v>46268.71875</v>
      </c>
      <c r="E13" s="17" t="n">
        <v>0.15617</v>
      </c>
      <c r="F13" s="17" t="n">
        <v>0.1499232</v>
      </c>
      <c r="G13" s="17" t="n">
        <v>0.1639785</v>
      </c>
      <c r="H13" s="7" t="n">
        <v>46268.72222222222</v>
      </c>
      <c r="I13" s="17" t="n">
        <v>0.1639785</v>
      </c>
      <c r="J13" s="2" t="inlineStr">
        <is>
          <t>止損</t>
        </is>
      </c>
      <c r="K13" s="5">
        <f>(H13-D13)*24</f>
        <v/>
      </c>
      <c r="L13" s="4">
        <f>IF(C13="做多",I13/E13-1,1-I13/E13)-2*參數!$B$7</f>
        <v/>
      </c>
      <c r="M13" s="2" t="inlineStr">
        <is>
          <t>同1h觸發；無小週期K資料→保守計止損</t>
        </is>
      </c>
      <c r="N13" s="4" t="n">
        <v>0.2106201550387596</v>
      </c>
      <c r="O13" s="4" t="n">
        <v>0.02389427039033402</v>
      </c>
      <c r="P13" s="4" t="n">
        <v>0.1882453718703814</v>
      </c>
      <c r="Q13" s="19" t="n">
        <v>59969</v>
      </c>
      <c r="R13" s="19" t="n">
        <v>23878.75843</v>
      </c>
      <c r="S13" s="4" t="n">
        <v>0</v>
      </c>
      <c r="T13" s="4" t="n">
        <v>0.05</v>
      </c>
      <c r="U13" s="16" t="n">
        <v>157.2392634699595</v>
      </c>
      <c r="V13" s="16" t="n">
        <v>0.4097327829676296</v>
      </c>
      <c r="W13" s="4" t="n">
        <v>-0.2091644709895761</v>
      </c>
      <c r="X13" s="4" t="n">
        <v>-0.1835543766578249</v>
      </c>
      <c r="Y13" s="4" t="n"/>
      <c r="Z13" s="4" t="n"/>
      <c r="AA13" s="4" t="n">
        <v>0.04</v>
      </c>
      <c r="AB13" s="4" t="n">
        <v>0.05</v>
      </c>
      <c r="AC13" s="4">
        <f>(AB13+2*參數!$B$7)/(AA13+AB13)</f>
        <v/>
      </c>
      <c r="AD13" s="2" t="n">
        <v>0.2202687919987498</v>
      </c>
      <c r="AE13" s="2" t="n">
        <v>0.2184598580010924</v>
      </c>
      <c r="AF13" s="2" t="n">
        <v>157.2392634699595</v>
      </c>
      <c r="AG13" s="2" t="n">
        <v>0.5902672170323704</v>
      </c>
      <c r="AH13" s="2" t="n">
        <v>1</v>
      </c>
      <c r="AI13" s="2" t="n">
        <v>1</v>
      </c>
      <c r="AJ13" s="2" t="n">
        <v>0.1882453718703814</v>
      </c>
      <c r="AK13" s="2" t="n">
        <v>30.84508980932195</v>
      </c>
      <c r="AL13" s="2" t="n">
        <v>0.08277218065169431</v>
      </c>
      <c r="AM13" s="2" t="n">
        <v>23878.75843</v>
      </c>
    </row>
    <row r="14">
      <c r="A14" s="2" t="n">
        <v>13</v>
      </c>
      <c r="B14" s="2" t="inlineStr">
        <is>
          <t>ZEST_USDT_PERP</t>
        </is>
      </c>
      <c r="C14" s="2" t="inlineStr">
        <is>
          <t>做空</t>
        </is>
      </c>
      <c r="D14" s="7" t="n">
        <v>46268.79513888889</v>
      </c>
      <c r="E14" s="17" t="n">
        <v>0.14801</v>
      </c>
      <c r="F14" s="17" t="n">
        <v>0.1420896</v>
      </c>
      <c r="G14" s="17" t="n">
        <v>0.1554105</v>
      </c>
      <c r="H14" s="7" t="n">
        <v>46269.03472222222</v>
      </c>
      <c r="I14" s="17" t="n">
        <v>0.1554105</v>
      </c>
      <c r="J14" s="2" t="inlineStr">
        <is>
          <t>止損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>
        <v>-0.005375982796855028</v>
      </c>
      <c r="O14" s="4" t="n">
        <v>0.02299008195351351</v>
      </c>
      <c r="P14" s="4" t="n">
        <v>0.1142171020769711</v>
      </c>
      <c r="Q14" s="19" t="n">
        <v>-17436</v>
      </c>
      <c r="R14" s="19" t="n">
        <v>40384.07617</v>
      </c>
      <c r="S14" s="4" t="n">
        <v>0.021620160799946</v>
      </c>
      <c r="T14" s="4" t="n">
        <v>0.05</v>
      </c>
      <c r="U14" s="16" t="n">
        <v>7.061140317755381</v>
      </c>
      <c r="V14" s="16" t="n">
        <v>0.8699186991869952</v>
      </c>
      <c r="W14" s="4" t="n">
        <v>-0.1136517710757525</v>
      </c>
      <c r="X14" s="4" t="n">
        <v>-0.08131209818819407</v>
      </c>
      <c r="Y14" s="4" t="n"/>
      <c r="Z14" s="4" t="n"/>
      <c r="AA14" s="4" t="n">
        <v>0.04</v>
      </c>
      <c r="AB14" s="4" t="n">
        <v>0.05</v>
      </c>
      <c r="AC14" s="4">
        <f>(AB14+2*參數!$B$7)/(AA14+AB14)</f>
        <v/>
      </c>
      <c r="AD14" s="2" t="n">
        <v>0.1565992029381886</v>
      </c>
      <c r="AE14" s="2" t="n">
        <v>0.002777777777777768</v>
      </c>
      <c r="AF14" s="2" t="n">
        <v>7.061140317755381</v>
      </c>
      <c r="AG14" s="2" t="n">
        <v>0.1300813008130048</v>
      </c>
      <c r="AH14" s="2" t="n">
        <v>0.1121369621892695</v>
      </c>
      <c r="AI14" s="2" t="n">
        <v>4</v>
      </c>
      <c r="AJ14" s="2" t="n">
        <v>0.1142171020769711</v>
      </c>
      <c r="AK14" s="2" t="n">
        <v>66.49280688080124</v>
      </c>
      <c r="AL14" s="2" t="n">
        <v>0.0796399800273155</v>
      </c>
      <c r="AM14" s="2" t="n">
        <v>40384.07617</v>
      </c>
    </row>
    <row r="15">
      <c r="A15" s="2" t="n">
        <v>14</v>
      </c>
      <c r="B15" s="2" t="inlineStr">
        <is>
          <t>PORTAL_USDT_PERP</t>
        </is>
      </c>
      <c r="C15" s="2" t="inlineStr">
        <is>
          <t>做空</t>
        </is>
      </c>
      <c r="D15" s="7" t="n">
        <v>46268.92708333334</v>
      </c>
      <c r="E15" s="17" t="n">
        <v>0.01665</v>
      </c>
      <c r="F15" s="17" t="n">
        <v>0.015984</v>
      </c>
      <c r="G15" s="17" t="n">
        <v>0.0174825</v>
      </c>
      <c r="H15" s="7" t="n">
        <v>46268.93055555555</v>
      </c>
      <c r="I15" s="17" t="n">
        <v>0.015984</v>
      </c>
      <c r="J15" s="2" t="inlineStr">
        <is>
          <t>止盈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>
        <v>-0.006563245823388963</v>
      </c>
      <c r="O15" s="4" t="n">
        <v>0.01728538863225937</v>
      </c>
      <c r="P15" s="4" t="n">
        <v>0.1737027148483969</v>
      </c>
      <c r="Q15" s="19" t="n">
        <v>-10504.8000000001</v>
      </c>
      <c r="R15" s="19" t="n">
        <v>104199.677534</v>
      </c>
      <c r="S15" s="4" t="n">
        <v>0.04</v>
      </c>
      <c r="T15" s="4" t="n">
        <v>0</v>
      </c>
      <c r="U15" s="16" t="n">
        <v>46.70472485026579</v>
      </c>
      <c r="V15" s="16" t="n">
        <v>0.4489795918367298</v>
      </c>
      <c r="W15" s="4" t="n">
        <v>-0.1375514972637275</v>
      </c>
      <c r="X15" s="4" t="n">
        <v>-0.1995677233429396</v>
      </c>
      <c r="Y15" s="4" t="n"/>
      <c r="Z15" s="4" t="n"/>
      <c r="AA15" s="4" t="n">
        <v>0.04</v>
      </c>
      <c r="AB15" s="4" t="n">
        <v>0.05</v>
      </c>
      <c r="AC15" s="4">
        <f>(AB15+2*參數!$B$7)/(AA15+AB15)</f>
        <v/>
      </c>
      <c r="AD15" s="2" t="n">
        <v>0.1594707520891367</v>
      </c>
      <c r="AE15" s="2" t="n">
        <v>0.1578581363004172</v>
      </c>
      <c r="AF15" s="2" t="n">
        <v>46.70472485026579</v>
      </c>
      <c r="AG15" s="2" t="n">
        <v>0.5510204081632702</v>
      </c>
      <c r="AH15" s="2" t="n">
        <v>1</v>
      </c>
      <c r="AI15" s="2" t="n">
        <v>9</v>
      </c>
      <c r="AJ15" s="2" t="n">
        <v>0.1737027148483969</v>
      </c>
      <c r="AK15" s="2" t="n">
        <v>56.55436253400508</v>
      </c>
      <c r="AL15" s="2" t="n">
        <v>0.05987834267929347</v>
      </c>
      <c r="AM15" s="2" t="n">
        <v>104199.677534</v>
      </c>
    </row>
    <row r="16">
      <c r="A16" s="2" t="n">
        <v>15</v>
      </c>
      <c r="B16" s="2" t="inlineStr">
        <is>
          <t>CATI_USDT_PERP</t>
        </is>
      </c>
      <c r="C16" s="2" t="inlineStr">
        <is>
          <t>做空</t>
        </is>
      </c>
      <c r="D16" s="7" t="n">
        <v>46268.95138888889</v>
      </c>
      <c r="E16" s="17" t="n">
        <v>0.06712</v>
      </c>
      <c r="F16" s="17" t="n">
        <v>0.0644352</v>
      </c>
      <c r="G16" s="17" t="n">
        <v>0.070476</v>
      </c>
      <c r="H16" s="7" t="n">
        <v>46269.02777777778</v>
      </c>
      <c r="I16" s="17" t="n">
        <v>0.0644352</v>
      </c>
      <c r="J16" s="2" t="inlineStr">
        <is>
          <t>止盈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>
        <v>-0.01554708125550019</v>
      </c>
      <c r="O16" s="4" t="n">
        <v>0.03064006489734419</v>
      </c>
      <c r="P16" s="4" t="n">
        <v>0.1930712281772422</v>
      </c>
      <c r="Q16" s="19" t="n">
        <v>964405</v>
      </c>
      <c r="R16" s="19" t="n">
        <v>115516.39885</v>
      </c>
      <c r="S16" s="4" t="n">
        <v>0.04</v>
      </c>
      <c r="T16" s="4" t="n">
        <v>0.01668653158522049</v>
      </c>
      <c r="U16" s="16" t="n">
        <v>3.757737812982771</v>
      </c>
      <c r="V16" s="16" t="n">
        <v>0.8078602620087354</v>
      </c>
      <c r="W16" s="4" t="n">
        <v>-0.1700249100952997</v>
      </c>
      <c r="X16" s="4" t="n">
        <v>-0.2277300164624108</v>
      </c>
      <c r="Y16" s="4" t="n"/>
      <c r="Z16" s="4" t="n"/>
      <c r="AA16" s="4" t="n">
        <v>0.04</v>
      </c>
      <c r="AB16" s="4" t="n">
        <v>0.05</v>
      </c>
      <c r="AC16" s="4">
        <f>(AB16+2*參數!$B$7)/(AA16+AB16)</f>
        <v/>
      </c>
      <c r="AD16" s="2" t="n">
        <v>0.1888062345023025</v>
      </c>
      <c r="AE16" s="2" t="n">
        <v>0.01527756769021327</v>
      </c>
      <c r="AF16" s="2" t="n">
        <v>3.757737812982771</v>
      </c>
      <c r="AG16" s="2" t="n">
        <v>0.1921397379912646</v>
      </c>
      <c r="AH16" s="2" t="n">
        <v>0.04582738631016418</v>
      </c>
      <c r="AI16" s="2" t="n">
        <v>11</v>
      </c>
      <c r="AJ16" s="2" t="n">
        <v>0.1930712281772422</v>
      </c>
      <c r="AK16" s="2" t="n">
        <v>89.31334880939202</v>
      </c>
      <c r="AL16" s="2" t="n">
        <v>0.1061402982988156</v>
      </c>
      <c r="AM16" s="2" t="n">
        <v>115516.39885</v>
      </c>
    </row>
    <row r="17">
      <c r="A17" s="2" t="n">
        <v>16</v>
      </c>
      <c r="B17" s="2" t="inlineStr">
        <is>
          <t>APR_USDT_PERP</t>
        </is>
      </c>
      <c r="C17" s="2" t="inlineStr">
        <is>
          <t>做空</t>
        </is>
      </c>
      <c r="D17" s="7" t="n">
        <v>46269.03472222222</v>
      </c>
      <c r="E17" s="17" t="n">
        <v>0.269</v>
      </c>
      <c r="F17" s="17" t="n">
        <v>0.25824</v>
      </c>
      <c r="G17" s="17" t="n">
        <v>0.28245</v>
      </c>
      <c r="H17" s="7" t="n">
        <v>46269.03819444445</v>
      </c>
      <c r="I17" s="17" t="n">
        <v>0.25824</v>
      </c>
      <c r="J17" s="2" t="inlineStr">
        <is>
          <t>止盈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>
        <v>-0.08844459505252444</v>
      </c>
      <c r="O17" s="4" t="n">
        <v>0.03305154017981478</v>
      </c>
      <c r="P17" s="4" t="n">
        <v>0.2596763474693111</v>
      </c>
      <c r="Q17" s="19" t="n">
        <v>66607</v>
      </c>
      <c r="R17" s="19" t="n">
        <v>234620.91883</v>
      </c>
      <c r="S17" s="4" t="n">
        <v>0.04</v>
      </c>
      <c r="T17" s="4" t="n">
        <v>0</v>
      </c>
      <c r="U17" s="16" t="n">
        <v>19.8723280944112</v>
      </c>
      <c r="V17" s="16" t="n">
        <v>0.8890756302521</v>
      </c>
      <c r="W17" s="4" t="n">
        <v>-0.1691133296738783</v>
      </c>
      <c r="X17" s="4" t="n">
        <v>-0.3150818870691763</v>
      </c>
      <c r="Y17" s="4" t="n"/>
      <c r="Z17" s="4" t="n"/>
      <c r="AA17" s="4" t="n">
        <v>0.04</v>
      </c>
      <c r="AB17" s="4" t="n">
        <v>0.05</v>
      </c>
      <c r="AC17" s="4">
        <f>(AB17+2*參數!$B$7)/(AA17+AB17)</f>
        <v/>
      </c>
      <c r="AD17" s="2" t="n">
        <v>0.1728798779158491</v>
      </c>
      <c r="AE17" s="2" t="n">
        <v>0.09683995922528044</v>
      </c>
      <c r="AF17" s="2" t="n">
        <v>19.8723280944112</v>
      </c>
      <c r="AG17" s="2" t="n">
        <v>0.1109243697479</v>
      </c>
      <c r="AH17" s="2" t="n">
        <v>0.5209730352654302</v>
      </c>
      <c r="AI17" s="2" t="n">
        <v>5</v>
      </c>
      <c r="AJ17" s="2" t="n">
        <v>0.2596763474693111</v>
      </c>
      <c r="AK17" s="2" t="n">
        <v>75.99821026194185</v>
      </c>
      <c r="AL17" s="2" t="n">
        <v>0.1144938937196868</v>
      </c>
      <c r="AM17" s="2" t="n">
        <v>234620.91883</v>
      </c>
    </row>
    <row r="18">
      <c r="A18" s="2" t="n">
        <v>17</v>
      </c>
      <c r="B18" s="2" t="inlineStr">
        <is>
          <t>APR_USDT_PERP</t>
        </is>
      </c>
      <c r="C18" s="2" t="inlineStr">
        <is>
          <t>做空</t>
        </is>
      </c>
      <c r="D18" s="7" t="n">
        <v>46269.13888888889</v>
      </c>
      <c r="E18" s="17" t="n">
        <v>0.2691</v>
      </c>
      <c r="F18" s="17" t="n">
        <v>0.258336</v>
      </c>
      <c r="G18" s="17" t="n">
        <v>0.282555</v>
      </c>
      <c r="H18" s="7" t="n">
        <v>46269.14930555555</v>
      </c>
      <c r="I18" s="17" t="n">
        <v>0.282555</v>
      </c>
      <c r="J18" s="2" t="inlineStr">
        <is>
          <t>止損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>
        <v>0.01108397520195381</v>
      </c>
      <c r="O18" s="4" t="n">
        <v>0.0229587662933623</v>
      </c>
      <c r="P18" s="4" t="n">
        <v>0.2326999897504043</v>
      </c>
      <c r="Q18" s="19" t="n">
        <v>48633</v>
      </c>
      <c r="R18" s="19" t="n">
        <v>282901.97731</v>
      </c>
      <c r="S18" s="4" t="n">
        <v>0</v>
      </c>
      <c r="T18" s="4" t="n">
        <v>0.05</v>
      </c>
      <c r="U18" s="16" t="n">
        <v>2.900769489518932</v>
      </c>
      <c r="V18" s="16" t="n">
        <v>0.5419254658385082</v>
      </c>
      <c r="W18" s="4" t="n">
        <v>-0.1275232575240495</v>
      </c>
      <c r="X18" s="4" t="n">
        <v>-0.3478587528174306</v>
      </c>
      <c r="Y18" s="4" t="n"/>
      <c r="Z18" s="4" t="n"/>
      <c r="AA18" s="4" t="n">
        <v>0.04</v>
      </c>
      <c r="AB18" s="4" t="n">
        <v>0.05</v>
      </c>
      <c r="AC18" s="4">
        <f>(AB18+2*參數!$B$7)/(AA18+AB18)</f>
        <v/>
      </c>
      <c r="AD18" s="2" t="n">
        <v>0.1606141637194858</v>
      </c>
      <c r="AE18" s="2" t="n">
        <v>0.1463258785942494</v>
      </c>
      <c r="AF18" s="2" t="n">
        <v>2.900769489518932</v>
      </c>
      <c r="AG18" s="2" t="n">
        <v>0.4580745341614919</v>
      </c>
      <c r="AH18" s="2" t="n">
        <v>0.09676907531586902</v>
      </c>
      <c r="AI18" s="2" t="n">
        <v>0</v>
      </c>
      <c r="AJ18" s="2" t="n">
        <v>0.2326999897504043</v>
      </c>
      <c r="AK18" s="2" t="n">
        <v>57.10578612211845</v>
      </c>
      <c r="AL18" s="2" t="n">
        <v>0.07953149939840658</v>
      </c>
      <c r="AM18" s="2" t="n">
        <v>282901.97731</v>
      </c>
    </row>
    <row r="19">
      <c r="A19" s="2" t="n">
        <v>18</v>
      </c>
      <c r="B19" s="2" t="inlineStr">
        <is>
          <t>APR_USDT_PERP</t>
        </is>
      </c>
      <c r="C19" s="2" t="inlineStr">
        <is>
          <t>做空</t>
        </is>
      </c>
      <c r="D19" s="7" t="n">
        <v>46269.19791666666</v>
      </c>
      <c r="E19" s="17" t="n">
        <v>0.27595</v>
      </c>
      <c r="F19" s="17" t="n">
        <v>0.264912</v>
      </c>
      <c r="G19" s="17" t="n">
        <v>0.2897475</v>
      </c>
      <c r="H19" s="7" t="n">
        <v>46269.27777777778</v>
      </c>
      <c r="I19" s="17" t="n">
        <v>0.264912</v>
      </c>
      <c r="J19" s="2" t="inlineStr">
        <is>
          <t>止盈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>
        <v>0</v>
      </c>
      <c r="O19" s="4" t="n">
        <v>0.02317581480715283</v>
      </c>
      <c r="P19" s="4" t="n">
        <v>0.2340539869737501</v>
      </c>
      <c r="Q19" s="19" t="n">
        <v>206192</v>
      </c>
      <c r="R19" s="19" t="n">
        <v>411511.99279</v>
      </c>
      <c r="S19" s="4" t="n">
        <v>0.04</v>
      </c>
      <c r="T19" s="4" t="n">
        <v>0.02736002899075918</v>
      </c>
      <c r="U19" s="16" t="n">
        <v>4.958938723941882</v>
      </c>
      <c r="V19" s="16" t="n">
        <v>0.5934959349593611</v>
      </c>
      <c r="W19" s="4" t="n">
        <v>-0.1147517672622915</v>
      </c>
      <c r="X19" s="4" t="n">
        <v>-0.3842488086280409</v>
      </c>
      <c r="Y19" s="4" t="n"/>
      <c r="Z19" s="4" t="n"/>
      <c r="AA19" s="4" t="n">
        <v>0.04</v>
      </c>
      <c r="AB19" s="4" t="n">
        <v>0.05</v>
      </c>
      <c r="AC19" s="4">
        <f>(AB19+2*參數!$B$7)/(AA19+AB19)</f>
        <v/>
      </c>
      <c r="AD19" s="2" t="n">
        <v>0.1645916860097065</v>
      </c>
      <c r="AE19" s="2" t="n">
        <v>-0.02549705124130386</v>
      </c>
      <c r="AF19" s="2" t="n">
        <v>4.958938723941882</v>
      </c>
      <c r="AG19" s="2" t="n">
        <v>0.4065040650406389</v>
      </c>
      <c r="AH19" s="2" t="n">
        <v>0.1611144014871196</v>
      </c>
      <c r="AI19" s="2" t="n">
        <v>3</v>
      </c>
      <c r="AJ19" s="2" t="n">
        <v>0.2340539869737501</v>
      </c>
      <c r="AK19" s="2" t="n">
        <v>66.23328631030077</v>
      </c>
      <c r="AL19" s="2" t="n">
        <v>0.0802833775055916</v>
      </c>
      <c r="AM19" s="2" t="n">
        <v>411511.99279</v>
      </c>
    </row>
    <row r="20">
      <c r="A20" s="2" t="n">
        <v>19</v>
      </c>
      <c r="B20" s="2" t="inlineStr">
        <is>
          <t>CAP_USDT_PERP</t>
        </is>
      </c>
      <c r="C20" s="2" t="inlineStr">
        <is>
          <t>做空</t>
        </is>
      </c>
      <c r="D20" s="7" t="n">
        <v>46269.47222222222</v>
      </c>
      <c r="E20" s="17" t="n">
        <v>0.05311</v>
      </c>
      <c r="F20" s="17" t="n">
        <v>0.0509856</v>
      </c>
      <c r="G20" s="17" t="n">
        <v>0.0557655</v>
      </c>
      <c r="H20" s="7" t="n">
        <v>46269.47916666666</v>
      </c>
      <c r="I20" s="17" t="n">
        <v>0.0509856</v>
      </c>
      <c r="J20" s="2" t="inlineStr">
        <is>
          <t>止盈</t>
        </is>
      </c>
      <c r="K20" s="5">
        <f>(H20-D20)*24</f>
        <v/>
      </c>
      <c r="L20" s="4">
        <f>IF(C20="做多",I20/E20-1,1-I20/E20)-2*參數!$B$7</f>
        <v/>
      </c>
      <c r="M20" s="2" t="inlineStr"/>
      <c r="N20" s="4" t="n">
        <v>0.01645933014354073</v>
      </c>
      <c r="O20" s="4" t="n">
        <v>0.03162671116167251</v>
      </c>
      <c r="P20" s="4" t="n">
        <v>0.0687837076390565</v>
      </c>
      <c r="Q20" s="19" t="n">
        <v>520925</v>
      </c>
      <c r="R20" s="19" t="n">
        <v>303150.91817</v>
      </c>
      <c r="S20" s="4" t="n">
        <v>0.04</v>
      </c>
      <c r="T20" s="4" t="n">
        <v>0.007719826774618799</v>
      </c>
      <c r="U20" s="16" t="n">
        <v>10.80064755446213</v>
      </c>
      <c r="V20" s="16" t="n">
        <v>0.6083550913838135</v>
      </c>
      <c r="W20" s="4" t="n">
        <v>-0.1154141796843826</v>
      </c>
      <c r="X20" s="4" t="n">
        <v>0.2501764788931244</v>
      </c>
      <c r="Y20" s="4" t="n"/>
      <c r="Z20" s="4" t="n"/>
      <c r="AA20" s="4" t="n">
        <v>0.04</v>
      </c>
      <c r="AB20" s="4" t="n">
        <v>0.05</v>
      </c>
      <c r="AC20" s="4">
        <f>(AB20+2*參數!$B$7)/(AA20+AB20)</f>
        <v/>
      </c>
      <c r="AD20" s="2" t="n">
        <v>0.1820609837525038</v>
      </c>
      <c r="AE20" s="2" t="n">
        <v>0.1299999999999999</v>
      </c>
      <c r="AF20" s="2" t="n">
        <v>10.80064755446213</v>
      </c>
      <c r="AG20" s="2" t="n">
        <v>0.3916449086161865</v>
      </c>
      <c r="AH20" s="2" t="n">
        <v>0.5521769051504362</v>
      </c>
      <c r="AI20" s="2" t="n">
        <v>5</v>
      </c>
      <c r="AJ20" s="2" t="n">
        <v>0.0687837076390565</v>
      </c>
      <c r="AK20" s="2" t="n">
        <v>30.77900405316576</v>
      </c>
      <c r="AL20" s="2" t="n">
        <v>0.109558141216645</v>
      </c>
      <c r="AM20" s="2" t="n">
        <v>303150.91817</v>
      </c>
    </row>
    <row r="21">
      <c r="A21" s="2" t="n">
        <v>20</v>
      </c>
      <c r="B21" s="2" t="inlineStr">
        <is>
          <t>TRIA_USDT_PERP</t>
        </is>
      </c>
      <c r="C21" s="2" t="inlineStr">
        <is>
          <t>做空</t>
        </is>
      </c>
      <c r="D21" s="7" t="n">
        <v>46269.51041666666</v>
      </c>
      <c r="E21" s="17" t="n">
        <v>0.0049</v>
      </c>
      <c r="F21" s="17" t="n">
        <v>0.004704</v>
      </c>
      <c r="G21" s="17" t="n">
        <v>0.005145</v>
      </c>
      <c r="H21" s="7" t="n">
        <v>46269.51388888889</v>
      </c>
      <c r="I21" s="17" t="n">
        <v>0.004704</v>
      </c>
      <c r="J21" s="2" t="inlineStr">
        <is>
          <t>止盈</t>
        </is>
      </c>
      <c r="K21" s="5">
        <f>(H21-D21)*24</f>
        <v/>
      </c>
      <c r="L21" s="4">
        <f>IF(C21="做多",I21/E21-1,1-I21/E21)-2*參數!$B$7</f>
        <v/>
      </c>
      <c r="M21" s="2" t="inlineStr"/>
      <c r="N21" s="4" t="n">
        <v>0.01449275362318825</v>
      </c>
      <c r="O21" s="4" t="n">
        <v>0.01686385881367395</v>
      </c>
      <c r="P21" s="4" t="n">
        <v>0.2591006423982869</v>
      </c>
      <c r="Q21" s="19" t="n">
        <v>9783441</v>
      </c>
      <c r="R21" s="19" t="n">
        <v>101870.77068</v>
      </c>
      <c r="S21" s="4" t="n">
        <v>0.04</v>
      </c>
      <c r="T21" s="4" t="n">
        <v>0</v>
      </c>
      <c r="U21" s="16" t="n">
        <v>12.42410468845696</v>
      </c>
      <c r="V21" s="16" t="n">
        <v>0.4285714285714286</v>
      </c>
      <c r="W21" s="4" t="n">
        <v>-0.2135621764866136</v>
      </c>
      <c r="X21" s="4" t="n">
        <v>-0.3136729222520107</v>
      </c>
      <c r="Y21" s="4" t="n"/>
      <c r="Z21" s="4" t="n"/>
      <c r="AA21" s="4" t="n">
        <v>0.04</v>
      </c>
      <c r="AB21" s="4" t="n">
        <v>0.05</v>
      </c>
      <c r="AC21" s="4">
        <f>(AB21+2*參數!$B$7)/(AA21+AB21)</f>
        <v/>
      </c>
      <c r="AD21" s="2" t="n">
        <v>0.1807228915662651</v>
      </c>
      <c r="AE21" s="2" t="n">
        <v>0.1161731207289294</v>
      </c>
      <c r="AF21" s="2" t="n">
        <v>12.42410468845696</v>
      </c>
      <c r="AG21" s="2" t="n">
        <v>0.5714285714285714</v>
      </c>
      <c r="AH21" s="2" t="n">
        <v>0.3054597361971206</v>
      </c>
      <c r="AI21" s="2" t="n">
        <v>12</v>
      </c>
      <c r="AJ21" s="2" t="n">
        <v>0.2591006423982869</v>
      </c>
      <c r="AK21" s="2" t="n">
        <v>84.87354645765359</v>
      </c>
      <c r="AL21" s="2" t="n">
        <v>0.05841812055390298</v>
      </c>
      <c r="AM21" s="2" t="n">
        <v>101870.77068</v>
      </c>
    </row>
    <row r="22">
      <c r="A22" s="2" t="n">
        <v>21</v>
      </c>
      <c r="B22" s="2" t="inlineStr">
        <is>
          <t>Q_USDT_PERP</t>
        </is>
      </c>
      <c r="C22" s="2" t="inlineStr">
        <is>
          <t>做空</t>
        </is>
      </c>
      <c r="D22" s="7" t="n">
        <v>46269.52083333334</v>
      </c>
      <c r="E22" s="17" t="n">
        <v>0.026302</v>
      </c>
      <c r="F22" s="17" t="n">
        <v>0.02524992</v>
      </c>
      <c r="G22" s="17" t="n">
        <v>0.0276171</v>
      </c>
      <c r="H22" s="7" t="n">
        <v>46269.52777777778</v>
      </c>
      <c r="I22" s="17" t="n">
        <v>0.02524992</v>
      </c>
      <c r="J22" s="2" t="inlineStr">
        <is>
          <t>止盈</t>
        </is>
      </c>
      <c r="K22" s="5">
        <f>(H22-D22)*24</f>
        <v/>
      </c>
      <c r="L22" s="4">
        <f>IF(C22="做多",I22/E22-1,1-I22/E22)-2*參數!$B$7</f>
        <v/>
      </c>
      <c r="M22" s="2" t="inlineStr"/>
      <c r="N22" s="4" t="n">
        <v>0.02402180260852638</v>
      </c>
      <c r="O22" s="4" t="n">
        <v>0.01864579375933181</v>
      </c>
      <c r="P22" s="4" t="n">
        <v>0.2089054626230142</v>
      </c>
      <c r="Q22" s="19" t="n">
        <v>1320740</v>
      </c>
      <c r="R22" s="19" t="n">
        <v>39843.53728</v>
      </c>
      <c r="S22" s="4" t="n">
        <v>0.04</v>
      </c>
      <c r="T22" s="4" t="n">
        <v>0.03113831647783449</v>
      </c>
      <c r="U22" s="16" t="n">
        <v>138.3767803026814</v>
      </c>
      <c r="V22" s="16" t="n">
        <v>0.4066243833685702</v>
      </c>
      <c r="W22" s="4" t="n">
        <v>-0.2031730246247461</v>
      </c>
      <c r="X22" s="4" t="n">
        <v>-0.2139758146404505</v>
      </c>
      <c r="Y22" s="4" t="n"/>
      <c r="Z22" s="4" t="n"/>
      <c r="AA22" s="4" t="n">
        <v>0.04</v>
      </c>
      <c r="AB22" s="4" t="n">
        <v>0.05</v>
      </c>
      <c r="AC22" s="4">
        <f>(AB22+2*參數!$B$7)/(AA22+AB22)</f>
        <v/>
      </c>
      <c r="AD22" s="2" t="n">
        <v>0.2211337573703516</v>
      </c>
      <c r="AE22" s="2" t="n">
        <v>0.1888984314966324</v>
      </c>
      <c r="AF22" s="2" t="n">
        <v>138.3767803026814</v>
      </c>
      <c r="AG22" s="2" t="n">
        <v>0.5933756166314298</v>
      </c>
      <c r="AH22" s="2" t="n">
        <v>1</v>
      </c>
      <c r="AI22" s="2" t="n">
        <v>12</v>
      </c>
      <c r="AJ22" s="2" t="n">
        <v>0.2089054626230142</v>
      </c>
      <c r="AK22" s="2" t="n">
        <v>89.86831176871584</v>
      </c>
      <c r="AL22" s="2" t="n">
        <v>0.06459092427722679</v>
      </c>
      <c r="AM22" s="2" t="n">
        <v>39843.53728</v>
      </c>
    </row>
    <row r="23">
      <c r="A23" s="2" t="n">
        <v>22</v>
      </c>
      <c r="B23" s="2" t="inlineStr">
        <is>
          <t>TRIA_USDT_PERP</t>
        </is>
      </c>
      <c r="C23" s="2" t="inlineStr">
        <is>
          <t>做空</t>
        </is>
      </c>
      <c r="D23" s="7" t="n">
        <v>46269.60763888889</v>
      </c>
      <c r="E23" s="17" t="n">
        <v>0.00525</v>
      </c>
      <c r="F23" s="17" t="n">
        <v>0.00504</v>
      </c>
      <c r="G23" s="17" t="n">
        <v>0.005512500000000001</v>
      </c>
      <c r="H23" s="7" t="n">
        <v>46269.63888888889</v>
      </c>
      <c r="I23" s="17" t="n">
        <v>0.00504</v>
      </c>
      <c r="J23" s="2" t="inlineStr">
        <is>
          <t>止盈</t>
        </is>
      </c>
      <c r="K23" s="5">
        <f>(H23-D23)*24</f>
        <v/>
      </c>
      <c r="L23" s="4">
        <f>IF(C23="做多",I23/E23-1,1-I23/E23)-2*參數!$B$7</f>
        <v/>
      </c>
      <c r="M23" s="2" t="inlineStr"/>
      <c r="N23" s="4" t="n">
        <v>-0.007561436672967936</v>
      </c>
      <c r="O23" s="4" t="n">
        <v>0.02247100376299462</v>
      </c>
      <c r="P23" s="4" t="n">
        <v>0.3132934481249088</v>
      </c>
      <c r="Q23" s="19" t="n">
        <v>8918211</v>
      </c>
      <c r="R23" s="19" t="n">
        <v>334629.99303</v>
      </c>
      <c r="S23" s="4" t="n">
        <v>0.04</v>
      </c>
      <c r="T23" s="4" t="n">
        <v>0.03809523809523796</v>
      </c>
      <c r="U23" s="16" t="n">
        <v>7.038760822410627</v>
      </c>
      <c r="V23" s="16" t="n">
        <v>0.4285714285714251</v>
      </c>
      <c r="W23" s="4" t="n">
        <v>-0.2287887653598595</v>
      </c>
      <c r="X23" s="4" t="n">
        <v>-0.3815789473684212</v>
      </c>
      <c r="Y23" s="4" t="n"/>
      <c r="Z23" s="4" t="n"/>
      <c r="AA23" s="4" t="n">
        <v>0.04</v>
      </c>
      <c r="AB23" s="4" t="n">
        <v>0.05</v>
      </c>
      <c r="AC23" s="4">
        <f>(AB23+2*參數!$B$7)/(AA23+AB23)</f>
        <v/>
      </c>
      <c r="AD23" s="2" t="n">
        <v>0.1958997722095672</v>
      </c>
      <c r="AE23" s="2" t="n">
        <v>0.1388286334056399</v>
      </c>
      <c r="AF23" s="2" t="n">
        <v>7.038760822410627</v>
      </c>
      <c r="AG23" s="2" t="n">
        <v>0.5714285714285749</v>
      </c>
      <c r="AH23" s="2" t="n">
        <v>0.2290049746492384</v>
      </c>
      <c r="AI23" s="2" t="n">
        <v>10</v>
      </c>
      <c r="AJ23" s="2" t="n">
        <v>0.3132934481249088</v>
      </c>
      <c r="AK23" s="2" t="n">
        <v>92.808857187729</v>
      </c>
      <c r="AL23" s="2" t="n">
        <v>0.07784184042915623</v>
      </c>
      <c r="AM23" s="2" t="n">
        <v>334629.99303</v>
      </c>
    </row>
    <row r="24">
      <c r="A24" s="2" t="n">
        <v>23</v>
      </c>
      <c r="B24" s="2" t="inlineStr">
        <is>
          <t>PTB_USDT_PERP</t>
        </is>
      </c>
      <c r="C24" s="2" t="inlineStr">
        <is>
          <t>做空</t>
        </is>
      </c>
      <c r="D24" s="7" t="n">
        <v>46269.90972222222</v>
      </c>
      <c r="E24" s="17" t="n">
        <v>0.000816</v>
      </c>
      <c r="F24" s="17" t="n">
        <v>0.00078336</v>
      </c>
      <c r="G24" s="17" t="n">
        <v>0.0008568</v>
      </c>
      <c r="H24" s="7" t="n">
        <v>46269.91319444445</v>
      </c>
      <c r="I24" s="17" t="n">
        <v>0.00078336</v>
      </c>
      <c r="J24" s="2" t="inlineStr">
        <is>
          <t>止盈</t>
        </is>
      </c>
      <c r="K24" s="5">
        <f>(H24-D24)*24</f>
        <v/>
      </c>
      <c r="L24" s="4">
        <f>IF(C24="做多",I24/E24-1,1-I24/E24)-2*參數!$B$7</f>
        <v/>
      </c>
      <c r="M24" s="2" t="inlineStr"/>
      <c r="N24" s="4" t="n">
        <v>-0.04337631887456039</v>
      </c>
      <c r="O24" s="4" t="n">
        <v>0.02437026860112865</v>
      </c>
      <c r="P24" s="4" t="n">
        <v>0.131003257178498</v>
      </c>
      <c r="Q24" s="19" t="n">
        <v>9863073</v>
      </c>
      <c r="R24" s="19" t="n">
        <v>32046.606739</v>
      </c>
      <c r="S24" s="4" t="n">
        <v>0.04</v>
      </c>
      <c r="T24" s="4" t="n">
        <v>0</v>
      </c>
      <c r="U24" s="16" t="n">
        <v>91.39870063722886</v>
      </c>
      <c r="V24" s="16" t="n">
        <v>0.4767441860465117</v>
      </c>
      <c r="W24" s="4" t="n">
        <v>-0.1334907626059174</v>
      </c>
      <c r="X24" s="4" t="n">
        <v>-0.1412587412587412</v>
      </c>
      <c r="Y24" s="4" t="n"/>
      <c r="Z24" s="4" t="n"/>
      <c r="AA24" s="4" t="n">
        <v>0.04</v>
      </c>
      <c r="AB24" s="4" t="n">
        <v>0.05</v>
      </c>
      <c r="AC24" s="4">
        <f>(AB24+2*參數!$B$7)/(AA24+AB24)</f>
        <v/>
      </c>
      <c r="AD24" s="2" t="n">
        <v>0.1476793248945147</v>
      </c>
      <c r="AE24" s="2" t="n">
        <v>0.1349095966620306</v>
      </c>
      <c r="AF24" s="2" t="n">
        <v>91.39870063722886</v>
      </c>
      <c r="AG24" s="2" t="n">
        <v>0.5232558139534883</v>
      </c>
      <c r="AH24" s="2" t="n">
        <v>1</v>
      </c>
      <c r="AI24" s="2" t="n">
        <v>12</v>
      </c>
      <c r="AJ24" s="2" t="n">
        <v>0.131003257178498</v>
      </c>
      <c r="AK24" s="2" t="n">
        <v>79.75206857803238</v>
      </c>
      <c r="AL24" s="2" t="n">
        <v>0.08442108682251066</v>
      </c>
      <c r="AM24" s="2" t="n">
        <v>32046.606739</v>
      </c>
    </row>
    <row r="25">
      <c r="A25" s="2" t="n">
        <v>24</v>
      </c>
      <c r="B25" s="2" t="inlineStr">
        <is>
          <t>4_USDT_PERP</t>
        </is>
      </c>
      <c r="C25" s="2" t="inlineStr">
        <is>
          <t>做空</t>
        </is>
      </c>
      <c r="D25" s="7" t="n">
        <v>46270.02430555555</v>
      </c>
      <c r="E25" s="17" t="n">
        <v>0.01808</v>
      </c>
      <c r="F25" s="17" t="n">
        <v>0.0173568</v>
      </c>
      <c r="G25" s="17" t="n">
        <v>0.018984</v>
      </c>
      <c r="H25" s="7" t="n">
        <v>46270.03125</v>
      </c>
      <c r="I25" s="17" t="n">
        <v>0.018984</v>
      </c>
      <c r="J25" s="2" t="inlineStr">
        <is>
          <t>止損</t>
        </is>
      </c>
      <c r="K25" s="5">
        <f>(H25-D25)*24</f>
        <v/>
      </c>
      <c r="L25" s="4">
        <f>IF(C25="做多",I25/E25-1,1-I25/E25)-2*參數!$B$7</f>
        <v/>
      </c>
      <c r="M25" s="2" t="inlineStr"/>
      <c r="N25" s="4" t="n">
        <v>0.01118568232662187</v>
      </c>
      <c r="O25" s="4" t="n">
        <v>0.0205045299939307</v>
      </c>
      <c r="P25" s="4" t="n">
        <v>0.1102639026062748</v>
      </c>
      <c r="Q25" s="19" t="n">
        <v>901083</v>
      </c>
      <c r="R25" s="19" t="n">
        <v>91172.69407</v>
      </c>
      <c r="S25" s="4" t="n">
        <v>0.03152654867256621</v>
      </c>
      <c r="T25" s="4" t="n">
        <v>0.05</v>
      </c>
      <c r="U25" s="16" t="n">
        <v>11.75736486296425</v>
      </c>
      <c r="V25" s="16" t="n">
        <v>0.7083333333333349</v>
      </c>
      <c r="W25" s="4" t="n">
        <v>-0.1390913730209233</v>
      </c>
      <c r="X25" s="4" t="n">
        <v>-0.1356783919597988</v>
      </c>
      <c r="Y25" s="4" t="n"/>
      <c r="Z25" s="4" t="n"/>
      <c r="AA25" s="4" t="n">
        <v>0.04</v>
      </c>
      <c r="AB25" s="4" t="n">
        <v>0.05</v>
      </c>
      <c r="AC25" s="4">
        <f>(AB25+2*參數!$B$7)/(AA25+AB25)</f>
        <v/>
      </c>
      <c r="AD25" s="2" t="n">
        <v>0.201328903654485</v>
      </c>
      <c r="AE25" s="2" t="n">
        <v>0.1392564587271581</v>
      </c>
      <c r="AF25" s="2" t="n">
        <v>11.75736486296425</v>
      </c>
      <c r="AG25" s="2" t="n">
        <v>0.2916666666666651</v>
      </c>
      <c r="AH25" s="2" t="n">
        <v>0.4786948185024584</v>
      </c>
      <c r="AI25" s="2" t="n">
        <v>4</v>
      </c>
      <c r="AJ25" s="2" t="n">
        <v>0.1102639026062748</v>
      </c>
      <c r="AK25" s="2" t="n">
        <v>64.46738702697837</v>
      </c>
      <c r="AL25" s="2" t="n">
        <v>0.07102977546961588</v>
      </c>
      <c r="AM25" s="2" t="n">
        <v>91172.69407</v>
      </c>
    </row>
    <row r="26">
      <c r="A26" s="2" t="n">
        <v>25</v>
      </c>
      <c r="B26" s="2" t="inlineStr">
        <is>
          <t>4_USDT_PERP</t>
        </is>
      </c>
      <c r="C26" s="2" t="inlineStr">
        <is>
          <t>做空</t>
        </is>
      </c>
      <c r="D26" s="7" t="n">
        <v>46270.07986111111</v>
      </c>
      <c r="E26" s="17" t="n">
        <v>0.02088</v>
      </c>
      <c r="F26" s="17" t="n">
        <v>0.0200448</v>
      </c>
      <c r="G26" s="17" t="n">
        <v>0.021924</v>
      </c>
      <c r="H26" s="7" t="n">
        <v>46270.09375</v>
      </c>
      <c r="I26" s="17" t="n">
        <v>0.021924</v>
      </c>
      <c r="J26" s="2" t="inlineStr">
        <is>
          <t>止損</t>
        </is>
      </c>
      <c r="K26" s="5">
        <f>(H26-D26)*24</f>
        <v/>
      </c>
      <c r="L26" s="4">
        <f>IF(C26="做多",I26/E26-1,1-I26/E26)-2*參數!$B$7</f>
        <v/>
      </c>
      <c r="M26" s="2" t="inlineStr"/>
      <c r="N26" s="4" t="n">
        <v>0.0009587727708533222</v>
      </c>
      <c r="O26" s="4" t="n">
        <v>0.02363742655103594</v>
      </c>
      <c r="P26" s="4" t="n">
        <v>0.2692655473125116</v>
      </c>
      <c r="Q26" s="19" t="n">
        <v>3376207</v>
      </c>
      <c r="R26" s="19" t="n">
        <v>228487.9211</v>
      </c>
      <c r="S26" s="4" t="n">
        <v>0.003352490421456022</v>
      </c>
      <c r="T26" s="4" t="n">
        <v>0.05</v>
      </c>
      <c r="U26" s="16" t="n">
        <v>13.0306322029232</v>
      </c>
      <c r="V26" s="16" t="n">
        <v>0.4242424242424274</v>
      </c>
      <c r="W26" s="4" t="n">
        <v>-0.2691543226010371</v>
      </c>
      <c r="X26" s="4" t="n">
        <v>-0.2662219526986052</v>
      </c>
      <c r="Y26" s="4" t="n"/>
      <c r="Z26" s="4" t="n"/>
      <c r="AA26" s="4" t="n">
        <v>0.04</v>
      </c>
      <c r="AB26" s="4" t="n">
        <v>0.05</v>
      </c>
      <c r="AC26" s="4">
        <f>(AB26+2*參數!$B$7)/(AA26+AB26)</f>
        <v/>
      </c>
      <c r="AD26" s="2" t="n">
        <v>0.3123821495914518</v>
      </c>
      <c r="AE26" s="2" t="n">
        <v>0.08298755186722007</v>
      </c>
      <c r="AF26" s="2" t="n">
        <v>13.0306322029232</v>
      </c>
      <c r="AG26" s="2" t="n">
        <v>0.5757575757575726</v>
      </c>
      <c r="AH26" s="2" t="n">
        <v>0.39073283687209</v>
      </c>
      <c r="AI26" s="2" t="n">
        <v>10</v>
      </c>
      <c r="AJ26" s="2" t="n">
        <v>0.2692655473125116</v>
      </c>
      <c r="AK26" s="2" t="n">
        <v>73.83858347860253</v>
      </c>
      <c r="AL26" s="2" t="n">
        <v>0.08188244749314365</v>
      </c>
      <c r="AM26" s="2" t="n">
        <v>228487.9211</v>
      </c>
    </row>
    <row r="27">
      <c r="A27" s="2" t="n">
        <v>26</v>
      </c>
      <c r="B27" s="2" t="inlineStr">
        <is>
          <t>4_USDT_PERP</t>
        </is>
      </c>
      <c r="C27" s="2" t="inlineStr">
        <is>
          <t>做空</t>
        </is>
      </c>
      <c r="D27" s="7" t="n">
        <v>46270.13541666666</v>
      </c>
      <c r="E27" s="17" t="n">
        <v>0.02226</v>
      </c>
      <c r="F27" s="17" t="n">
        <v>0.0213696</v>
      </c>
      <c r="G27" s="17" t="n">
        <v>0.023373</v>
      </c>
      <c r="H27" s="7" t="n">
        <v>46270.14583333334</v>
      </c>
      <c r="I27" s="17" t="n">
        <v>0.0213696</v>
      </c>
      <c r="J27" s="2" t="inlineStr">
        <is>
          <t>止盈</t>
        </is>
      </c>
      <c r="K27" s="5">
        <f>(H27-D27)*24</f>
        <v/>
      </c>
      <c r="L27" s="4">
        <f>IF(C27="做多",I27/E27-1,1-I27/E27)-2*參數!$B$7</f>
        <v/>
      </c>
      <c r="M27" s="2" t="inlineStr"/>
      <c r="N27" s="4" t="n">
        <v>-0.009786476868327454</v>
      </c>
      <c r="O27" s="4" t="n">
        <v>0.02844508164613507</v>
      </c>
      <c r="P27" s="4" t="n">
        <v>0.3259207783182765</v>
      </c>
      <c r="Q27" s="19" t="n">
        <v>4117890</v>
      </c>
      <c r="R27" s="19" t="n">
        <v>348916.6634</v>
      </c>
      <c r="S27" s="4" t="n">
        <v>0.04</v>
      </c>
      <c r="T27" s="4" t="n">
        <v>0.0296495956873315</v>
      </c>
      <c r="U27" s="16" t="n">
        <v>2.56966754139735</v>
      </c>
      <c r="V27" s="16" t="n">
        <v>0.5857142857142873</v>
      </c>
      <c r="W27" s="4" t="n">
        <v>-0.2792809360704351</v>
      </c>
      <c r="X27" s="4" t="n">
        <v>-0.3361344537815125</v>
      </c>
      <c r="Y27" s="4" t="n"/>
      <c r="Z27" s="4" t="n"/>
      <c r="AA27" s="4" t="n">
        <v>0.04</v>
      </c>
      <c r="AB27" s="4" t="n">
        <v>0.05</v>
      </c>
      <c r="AC27" s="4">
        <f>(AB27+2*參數!$B$7)/(AA27+AB27)</f>
        <v/>
      </c>
      <c r="AD27" s="2" t="n">
        <v>0.1654450261780105</v>
      </c>
      <c r="AE27" s="2" t="n">
        <v>0.01736745886654467</v>
      </c>
      <c r="AF27" s="2" t="n">
        <v>2.56966754139735</v>
      </c>
      <c r="AG27" s="2" t="n">
        <v>0.4142857142857127</v>
      </c>
      <c r="AH27" s="2" t="n">
        <v>0.1149270837738248</v>
      </c>
      <c r="AI27" s="2" t="n">
        <v>9</v>
      </c>
      <c r="AJ27" s="2" t="n">
        <v>0.3259207783182765</v>
      </c>
      <c r="AK27" s="2" t="n">
        <v>81.74382932804517</v>
      </c>
      <c r="AL27" s="2" t="n">
        <v>0.09853665327310179</v>
      </c>
      <c r="AM27" s="2" t="n">
        <v>348916.6634</v>
      </c>
    </row>
    <row r="28">
      <c r="A28" s="2" t="n">
        <v>27</v>
      </c>
      <c r="B28" s="2" t="inlineStr">
        <is>
          <t>ELSA_USDT_PERP</t>
        </is>
      </c>
      <c r="C28" s="2" t="inlineStr">
        <is>
          <t>做空</t>
        </is>
      </c>
      <c r="D28" s="7" t="n">
        <v>46270.37152777778</v>
      </c>
      <c r="E28" s="17" t="n">
        <v>0.05706</v>
      </c>
      <c r="F28" s="17" t="n">
        <v>0.0547776</v>
      </c>
      <c r="G28" s="17" t="n">
        <v>0.059913</v>
      </c>
      <c r="H28" s="7" t="n">
        <v>46270.39583333334</v>
      </c>
      <c r="I28" s="17" t="n">
        <v>0.0547776</v>
      </c>
      <c r="J28" s="2" t="inlineStr">
        <is>
          <t>止盈</t>
        </is>
      </c>
      <c r="K28" s="5">
        <f>(H28-D28)*24</f>
        <v/>
      </c>
      <c r="L28" s="4">
        <f>IF(C28="做多",I28/E28-1,1-I28/E28)-2*參數!$B$7</f>
        <v/>
      </c>
      <c r="M28" s="2" t="inlineStr"/>
      <c r="N28" s="4" t="n">
        <v>-0.01433753670754878</v>
      </c>
      <c r="O28" s="4" t="n">
        <v>0.01837180322759043</v>
      </c>
      <c r="P28" s="4" t="n">
        <v>0.1356843596267461</v>
      </c>
      <c r="Q28" s="19" t="n">
        <v>283157</v>
      </c>
      <c r="R28" s="19" t="n">
        <v>65414.67929</v>
      </c>
      <c r="S28" s="4" t="n">
        <v>0.04</v>
      </c>
      <c r="T28" s="4" t="n">
        <v>0.01524710830704534</v>
      </c>
      <c r="U28" s="16" t="n">
        <v>11.04003599033738</v>
      </c>
      <c r="V28" s="16" t="n">
        <v>0.9835164835164824</v>
      </c>
      <c r="W28" s="4" t="n">
        <v>-0.1288146457072996</v>
      </c>
      <c r="X28" s="4" t="n">
        <v>-0.1721446179129005</v>
      </c>
      <c r="Y28" s="4" t="n"/>
      <c r="Z28" s="4" t="n"/>
      <c r="AA28" s="4" t="n">
        <v>0.04</v>
      </c>
      <c r="AB28" s="4" t="n">
        <v>0.05</v>
      </c>
      <c r="AC28" s="4">
        <f>(AB28+2*參數!$B$7)/(AA28+AB28)</f>
        <v/>
      </c>
      <c r="AD28" s="2" t="n">
        <v>0.1522617124394183</v>
      </c>
      <c r="AE28" s="2" t="n">
        <v>0.1421136909527623</v>
      </c>
      <c r="AF28" s="2" t="n">
        <v>11.04003599033738</v>
      </c>
      <c r="AG28" s="2" t="n">
        <v>0.0164835164835177</v>
      </c>
      <c r="AH28" s="2" t="n">
        <v>0.8164806360338154</v>
      </c>
      <c r="AI28" s="2" t="n">
        <v>11</v>
      </c>
      <c r="AJ28" s="2" t="n">
        <v>0.1356843596267461</v>
      </c>
      <c r="AK28" s="2" t="n">
        <v>71.67770096752236</v>
      </c>
      <c r="AL28" s="2" t="n">
        <v>0.06364179323368901</v>
      </c>
      <c r="AM28" s="2" t="n">
        <v>65414.67929</v>
      </c>
    </row>
    <row r="29">
      <c r="A29" s="2" t="n">
        <v>28</v>
      </c>
      <c r="B29" s="2" t="inlineStr">
        <is>
          <t>NOM_USDT_PERP</t>
        </is>
      </c>
      <c r="C29" s="2" t="inlineStr">
        <is>
          <t>做空</t>
        </is>
      </c>
      <c r="D29" s="7" t="n">
        <v>46270.44444444445</v>
      </c>
      <c r="E29" s="17" t="n">
        <v>0.001789</v>
      </c>
      <c r="F29" s="17" t="n">
        <v>0.00171744</v>
      </c>
      <c r="G29" s="17" t="n">
        <v>0.00187845</v>
      </c>
      <c r="H29" s="7" t="n">
        <v>46270.45833333334</v>
      </c>
      <c r="I29" s="17" t="n">
        <v>0.00187845</v>
      </c>
      <c r="J29" s="2" t="inlineStr">
        <is>
          <t>止損</t>
        </is>
      </c>
      <c r="K29" s="5">
        <f>(H29-D29)*24</f>
        <v/>
      </c>
      <c r="L29" s="4">
        <f>IF(C29="做多",I29/E29-1,1-I29/E29)-2*參數!$B$7</f>
        <v/>
      </c>
      <c r="M29" s="2" t="inlineStr"/>
      <c r="N29" s="4" t="n">
        <v>-0.01703296703296708</v>
      </c>
      <c r="O29" s="4" t="n">
        <v>0.02057095219266099</v>
      </c>
      <c r="P29" s="4" t="n">
        <v>0.1450699267129645</v>
      </c>
      <c r="Q29" s="19" t="n">
        <v>17083741</v>
      </c>
      <c r="R29" s="19" t="n">
        <v>85977.01693500001</v>
      </c>
      <c r="S29" s="4" t="n">
        <v>0.01173840134153159</v>
      </c>
      <c r="T29" s="4" t="n">
        <v>0.05</v>
      </c>
      <c r="U29" s="16" t="n">
        <v>13.45609089663708</v>
      </c>
      <c r="V29" s="16" t="n">
        <v>0.8181818181818175</v>
      </c>
      <c r="W29" s="4" t="n">
        <v>-0.134180746188227</v>
      </c>
      <c r="X29" s="4" t="n">
        <v>-0.1344324667089409</v>
      </c>
      <c r="Y29" s="4" t="n"/>
      <c r="Z29" s="4" t="n"/>
      <c r="AA29" s="4" t="n">
        <v>0.04</v>
      </c>
      <c r="AB29" s="4" t="n">
        <v>0.05</v>
      </c>
      <c r="AC29" s="4">
        <f>(AB29+2*參數!$B$7)/(AA29+AB29)</f>
        <v/>
      </c>
      <c r="AD29" s="2" t="n">
        <v>0.1482670089858793</v>
      </c>
      <c r="AE29" s="2" t="n">
        <v>0.1132545115121344</v>
      </c>
      <c r="AF29" s="2" t="n">
        <v>13.45609089663708</v>
      </c>
      <c r="AG29" s="2" t="n">
        <v>0.1818181818181825</v>
      </c>
      <c r="AH29" s="2" t="n">
        <v>0.2588687316881919</v>
      </c>
      <c r="AI29" s="2" t="n">
        <v>12</v>
      </c>
      <c r="AJ29" s="2" t="n">
        <v>0.1450699267129645</v>
      </c>
      <c r="AK29" s="2" t="n">
        <v>84.30856172696564</v>
      </c>
      <c r="AL29" s="2" t="n">
        <v>0.07125986871551845</v>
      </c>
      <c r="AM29" s="2" t="n">
        <v>85977.01693500001</v>
      </c>
    </row>
    <row r="30">
      <c r="A30" s="2" t="n">
        <v>29</v>
      </c>
      <c r="B30" s="2" t="inlineStr">
        <is>
          <t>NOM_USDT_PERP</t>
        </is>
      </c>
      <c r="C30" s="2" t="inlineStr">
        <is>
          <t>做空</t>
        </is>
      </c>
      <c r="D30" s="7" t="n">
        <v>46270.56944444445</v>
      </c>
      <c r="E30" s="17" t="n">
        <v>0.002085</v>
      </c>
      <c r="F30" s="17" t="n">
        <v>0.0020016</v>
      </c>
      <c r="G30" s="17" t="n">
        <v>0.00218925</v>
      </c>
      <c r="H30" s="7" t="n">
        <v>46270.58333333334</v>
      </c>
      <c r="I30" s="17" t="n">
        <v>0.0020016</v>
      </c>
      <c r="J30" s="2" t="inlineStr">
        <is>
          <t>止盈</t>
        </is>
      </c>
      <c r="K30" s="5">
        <f>(H30-D30)*24</f>
        <v/>
      </c>
      <c r="L30" s="4">
        <f>IF(C30="做多",I30/E30-1,1-I30/E30)-2*參數!$B$7</f>
        <v/>
      </c>
      <c r="M30" s="2" t="inlineStr"/>
      <c r="N30" s="4" t="n">
        <v>0.01806640625</v>
      </c>
      <c r="O30" s="4" t="n">
        <v>0.04028698899428593</v>
      </c>
      <c r="P30" s="4" t="n">
        <v>0.3017893099267941</v>
      </c>
      <c r="Q30" s="19" t="n">
        <v>2248922</v>
      </c>
      <c r="R30" s="19" t="n">
        <v>258642.812045</v>
      </c>
      <c r="S30" s="4" t="n">
        <v>0.04</v>
      </c>
      <c r="T30" s="4" t="n">
        <v>0.01486810551558748</v>
      </c>
      <c r="U30" s="16" t="n">
        <v>6.098072496517265</v>
      </c>
      <c r="V30" s="16" t="n">
        <v>0.4912280701754393</v>
      </c>
      <c r="W30" s="4" t="n">
        <v>-0.2465920505093986</v>
      </c>
      <c r="X30" s="4" t="n">
        <v>-0.3331202046035806</v>
      </c>
      <c r="Y30" s="4" t="n"/>
      <c r="Z30" s="4" t="n"/>
      <c r="AA30" s="4" t="n">
        <v>0.04</v>
      </c>
      <c r="AB30" s="4" t="n">
        <v>0.05</v>
      </c>
      <c r="AC30" s="4">
        <f>(AB30+2*參數!$B$7)/(AA30+AB30)</f>
        <v/>
      </c>
      <c r="AD30" s="2" t="n">
        <v>0.1860068259385665</v>
      </c>
      <c r="AE30" s="2" t="n">
        <v>0.2395957193816887</v>
      </c>
      <c r="AF30" s="2" t="n">
        <v>6.098072496517265</v>
      </c>
      <c r="AG30" s="2" t="n">
        <v>0.5087719298245607</v>
      </c>
      <c r="AH30" s="2" t="n">
        <v>0.1807743340015253</v>
      </c>
      <c r="AI30" s="2" t="n">
        <v>5</v>
      </c>
      <c r="AJ30" s="2" t="n">
        <v>0.3017893099267941</v>
      </c>
      <c r="AK30" s="2" t="n">
        <v>81.18310690007606</v>
      </c>
      <c r="AL30" s="2" t="n">
        <v>0.1395582236441428</v>
      </c>
      <c r="AM30" s="2" t="n">
        <v>258642.812045</v>
      </c>
    </row>
    <row r="31">
      <c r="A31" s="2" t="n">
        <v>30</v>
      </c>
      <c r="B31" s="2" t="inlineStr">
        <is>
          <t>B_USDT_PERP</t>
        </is>
      </c>
      <c r="C31" s="2" t="inlineStr">
        <is>
          <t>做空</t>
        </is>
      </c>
      <c r="D31" s="7" t="n">
        <v>46270.60069444445</v>
      </c>
      <c r="E31" s="17" t="n">
        <v>0.2168</v>
      </c>
      <c r="F31" s="17" t="n">
        <v>0.208128</v>
      </c>
      <c r="G31" s="17" t="n">
        <v>0.22764</v>
      </c>
      <c r="H31" s="7" t="n">
        <v>46270.60416666666</v>
      </c>
      <c r="I31" s="17" t="n">
        <v>0.208128</v>
      </c>
      <c r="J31" s="2" t="inlineStr">
        <is>
          <t>止盈</t>
        </is>
      </c>
      <c r="K31" s="5">
        <f>(H31-D31)*24</f>
        <v/>
      </c>
      <c r="L31" s="4">
        <f>IF(C31="做多",I31/E31-1,1-I31/E31)-2*參數!$B$7</f>
        <v/>
      </c>
      <c r="M31" s="2" t="inlineStr"/>
      <c r="N31" s="4" t="n">
        <v>-0.01049748973071651</v>
      </c>
      <c r="O31" s="4" t="n">
        <v>0.02910155529424353</v>
      </c>
      <c r="P31" s="4" t="n">
        <v>0.6143865070648027</v>
      </c>
      <c r="Q31" s="19" t="n">
        <v>233985</v>
      </c>
      <c r="R31" s="19" t="n">
        <v>80785.15579999999</v>
      </c>
      <c r="S31" s="4" t="n">
        <v>0.04</v>
      </c>
      <c r="T31" s="4" t="n">
        <v>0</v>
      </c>
      <c r="U31" s="16" t="n">
        <v>30.88554153706357</v>
      </c>
      <c r="V31" s="16" t="n">
        <v>0.4098360655737713</v>
      </c>
      <c r="W31" s="4" t="n">
        <v>-0.5657386343119202</v>
      </c>
      <c r="X31" s="4" t="n">
        <v>-0.6924277907884466</v>
      </c>
      <c r="Y31" s="4" t="n"/>
      <c r="Z31" s="4" t="n"/>
      <c r="AA31" s="4" t="n">
        <v>0.04</v>
      </c>
      <c r="AB31" s="4" t="n">
        <v>0.05</v>
      </c>
      <c r="AC31" s="4">
        <f>(AB31+2*參數!$B$7)/(AA31+AB31)</f>
        <v/>
      </c>
      <c r="AD31" s="2" t="n">
        <v>0.5859546452084858</v>
      </c>
      <c r="AE31" s="2" t="n">
        <v>0.5824817518248173</v>
      </c>
      <c r="AF31" s="2" t="n">
        <v>30.88554153706357</v>
      </c>
      <c r="AG31" s="2" t="n">
        <v>0.5901639344262287</v>
      </c>
      <c r="AH31" s="2" t="n">
        <v>0.3078041929982947</v>
      </c>
      <c r="AI31" s="2" t="n">
        <v>4</v>
      </c>
      <c r="AJ31" s="2" t="n">
        <v>0.6143865070648027</v>
      </c>
      <c r="AK31" s="2" t="n">
        <v>94.9041995962435</v>
      </c>
      <c r="AL31" s="2" t="n">
        <v>0.1008107446978097</v>
      </c>
      <c r="AM31" s="2" t="n">
        <v>80785.15579999999</v>
      </c>
    </row>
    <row r="32">
      <c r="A32" s="2" t="n">
        <v>31</v>
      </c>
      <c r="B32" s="2" t="inlineStr">
        <is>
          <t>NAORIS_USDT_PERP</t>
        </is>
      </c>
      <c r="C32" s="2" t="inlineStr">
        <is>
          <t>做空</t>
        </is>
      </c>
      <c r="D32" s="7" t="n">
        <v>46270.61805555555</v>
      </c>
      <c r="E32" s="17" t="n">
        <v>0.03141</v>
      </c>
      <c r="F32" s="17" t="n">
        <v>0.0301536</v>
      </c>
      <c r="G32" s="17" t="n">
        <v>0.0329805</v>
      </c>
      <c r="H32" s="7" t="n">
        <v>46270.63194444445</v>
      </c>
      <c r="I32" s="17" t="n">
        <v>0.0301536</v>
      </c>
      <c r="J32" s="2" t="inlineStr">
        <is>
          <t>止盈</t>
        </is>
      </c>
      <c r="K32" s="5">
        <f>(H32-D32)*24</f>
        <v/>
      </c>
      <c r="L32" s="4">
        <f>IF(C32="做多",I32/E32-1,1-I32/E32)-2*參數!$B$7</f>
        <v/>
      </c>
      <c r="M32" s="2" t="inlineStr"/>
      <c r="N32" s="4" t="n">
        <v>-0.03709380748007363</v>
      </c>
      <c r="O32" s="4" t="n">
        <v>0.0275645116608186</v>
      </c>
      <c r="P32" s="4" t="n">
        <v>0.2331671312473009</v>
      </c>
      <c r="Q32" s="19" t="n">
        <v>277161</v>
      </c>
      <c r="R32" s="19" t="n">
        <v>69139.5478</v>
      </c>
      <c r="S32" s="4" t="n">
        <v>0.04</v>
      </c>
      <c r="T32" s="4" t="n">
        <v>0.02515122572429163</v>
      </c>
      <c r="U32" s="16" t="n">
        <v>106.4184220575352</v>
      </c>
      <c r="V32" s="16" t="n">
        <v>0.5547169811320752</v>
      </c>
      <c r="W32" s="4" t="n">
        <v>-0.2114783816099048</v>
      </c>
      <c r="X32" s="4" t="n">
        <v>-0.2609393817743877</v>
      </c>
      <c r="Y32" s="4" t="n"/>
      <c r="Z32" s="4" t="n"/>
      <c r="AA32" s="4" t="n">
        <v>0.04</v>
      </c>
      <c r="AB32" s="4" t="n">
        <v>0.05</v>
      </c>
      <c r="AC32" s="4">
        <f>(AB32+2*參數!$B$7)/(AA32+AB32)</f>
        <v/>
      </c>
      <c r="AD32" s="2" t="n">
        <v>0.2146171693735499</v>
      </c>
      <c r="AE32" s="2" t="n">
        <v>0.1764044943820224</v>
      </c>
      <c r="AF32" s="2" t="n">
        <v>106.4184220575352</v>
      </c>
      <c r="AG32" s="2" t="n">
        <v>0.4452830188679248</v>
      </c>
      <c r="AH32" s="2" t="n">
        <v>1</v>
      </c>
      <c r="AI32" s="2" t="n">
        <v>12</v>
      </c>
      <c r="AJ32" s="2" t="n">
        <v>0.2331671312473009</v>
      </c>
      <c r="AK32" s="2" t="n">
        <v>89.24081535129608</v>
      </c>
      <c r="AL32" s="2" t="n">
        <v>0.09548626936472517</v>
      </c>
      <c r="AM32" s="2" t="n">
        <v>69139.5478</v>
      </c>
    </row>
    <row r="33">
      <c r="A33" s="2" t="n">
        <v>32</v>
      </c>
      <c r="B33" s="2" t="inlineStr">
        <is>
          <t>TRADOOR_USDT_PERP</t>
        </is>
      </c>
      <c r="C33" s="2" t="inlineStr">
        <is>
          <t>做空</t>
        </is>
      </c>
      <c r="D33" s="7" t="n">
        <v>46270.63194444445</v>
      </c>
      <c r="E33" s="17" t="n">
        <v>0.7411</v>
      </c>
      <c r="F33" s="17" t="n">
        <v>0.711456</v>
      </c>
      <c r="G33" s="17" t="n">
        <v>0.778155</v>
      </c>
      <c r="H33" s="7" t="n">
        <v>46270.63541666666</v>
      </c>
      <c r="I33" s="17" t="n">
        <v>0.778155</v>
      </c>
      <c r="J33" s="2" t="inlineStr">
        <is>
          <t>止損</t>
        </is>
      </c>
      <c r="K33" s="5">
        <f>(H33-D33)*24</f>
        <v/>
      </c>
      <c r="L33" s="4">
        <f>IF(C33="做多",I33/E33-1,1-I33/E33)-2*參數!$B$7</f>
        <v/>
      </c>
      <c r="M33" s="2" t="inlineStr">
        <is>
          <t>同1h觸發；無小週期K資料→保守計止損</t>
        </is>
      </c>
      <c r="N33" s="4" t="n">
        <v>-0.0009436505796711625</v>
      </c>
      <c r="O33" s="4" t="n">
        <v>0.01721242024533929</v>
      </c>
      <c r="P33" s="4" t="n">
        <v>0.1668974910234364</v>
      </c>
      <c r="Q33" s="19" t="n">
        <v>5608</v>
      </c>
      <c r="R33" s="19" t="n">
        <v>116863.3092</v>
      </c>
      <c r="S33" s="4" t="n">
        <v>0</v>
      </c>
      <c r="T33" s="4" t="n">
        <v>0.05</v>
      </c>
      <c r="U33" s="16" t="n">
        <v>8.401592757717047</v>
      </c>
      <c r="V33" s="16" t="n">
        <v>0.9326424870466338</v>
      </c>
      <c r="W33" s="4" t="n">
        <v>-0.1660344287752942</v>
      </c>
      <c r="X33" s="4" t="n">
        <v>-0.1608709273182958</v>
      </c>
      <c r="Y33" s="4" t="n"/>
      <c r="Z33" s="4" t="n"/>
      <c r="AA33" s="4" t="n">
        <v>0.04</v>
      </c>
      <c r="AB33" s="4" t="n">
        <v>0.05</v>
      </c>
      <c r="AC33" s="4">
        <f>(AB33+2*參數!$B$7)/(AA33+AB33)</f>
        <v/>
      </c>
      <c r="AD33" s="2" t="n">
        <v>0.16232747804266</v>
      </c>
      <c r="AE33" s="2" t="n">
        <v>0.1610527964906783</v>
      </c>
      <c r="AF33" s="2" t="n">
        <v>8.401592757717047</v>
      </c>
      <c r="AG33" s="2" t="n">
        <v>0.06735751295336627</v>
      </c>
      <c r="AH33" s="2" t="n">
        <v>0.1608645334834694</v>
      </c>
      <c r="AI33" s="2" t="n">
        <v>4</v>
      </c>
      <c r="AJ33" s="2" t="n">
        <v>0.1668974910234364</v>
      </c>
      <c r="AK33" s="2" t="n">
        <v>58.64417812348868</v>
      </c>
      <c r="AL33" s="2" t="n">
        <v>0.05962557277230961</v>
      </c>
      <c r="AM33" s="2" t="n">
        <v>116863.3092</v>
      </c>
    </row>
    <row r="34">
      <c r="A34" s="2" t="n">
        <v>33</v>
      </c>
      <c r="B34" s="2" t="inlineStr">
        <is>
          <t>B_USDT_PERP</t>
        </is>
      </c>
      <c r="C34" s="2" t="inlineStr">
        <is>
          <t>做空</t>
        </is>
      </c>
      <c r="D34" s="7" t="n">
        <v>46270.64583333334</v>
      </c>
      <c r="E34" s="17" t="n">
        <v>0.1992</v>
      </c>
      <c r="F34" s="17" t="n">
        <v>0.191232</v>
      </c>
      <c r="G34" s="17" t="n">
        <v>0.20916</v>
      </c>
      <c r="H34" s="7" t="n">
        <v>46270.73611111111</v>
      </c>
      <c r="I34" s="17" t="n">
        <v>0.191232</v>
      </c>
      <c r="J34" s="2" t="inlineStr">
        <is>
          <t>止盈</t>
        </is>
      </c>
      <c r="K34" s="5">
        <f>(H34-D34)*24</f>
        <v/>
      </c>
      <c r="L34" s="4">
        <f>IF(C34="做多",I34/E34-1,1-I34/E34)-2*參數!$B$7</f>
        <v/>
      </c>
      <c r="M34" s="2" t="inlineStr"/>
      <c r="N34" s="4" t="n">
        <v>0.01116751269035521</v>
      </c>
      <c r="O34" s="4" t="n">
        <v>0.03911163473740106</v>
      </c>
      <c r="P34" s="4" t="n">
        <v>0.4420457938822848</v>
      </c>
      <c r="Q34" s="19" t="n">
        <v>62137</v>
      </c>
      <c r="R34" s="19" t="n">
        <v>168484.8679</v>
      </c>
      <c r="S34" s="4" t="n">
        <v>0.04</v>
      </c>
      <c r="T34" s="4" t="n">
        <v>0.01907630522088377</v>
      </c>
      <c r="U34" s="16" t="n">
        <v>6.248157917835051</v>
      </c>
      <c r="V34" s="16" t="n">
        <v>0.465116279069768</v>
      </c>
      <c r="W34" s="4" t="n">
        <v>-0.3576696064666511</v>
      </c>
      <c r="X34" s="4" t="n">
        <v>-0.5489891135303266</v>
      </c>
      <c r="Y34" s="4" t="n"/>
      <c r="Z34" s="4" t="n"/>
      <c r="AA34" s="4" t="n">
        <v>0.04</v>
      </c>
      <c r="AB34" s="4" t="n">
        <v>0.05</v>
      </c>
      <c r="AC34" s="4">
        <f>(AB34+2*參數!$B$7)/(AA34+AB34)</f>
        <v/>
      </c>
      <c r="AD34" s="2" t="n">
        <v>0.4550766983199415</v>
      </c>
      <c r="AE34" s="2" t="n">
        <v>-0.04780114722753348</v>
      </c>
      <c r="AF34" s="2" t="n">
        <v>6.248157917835051</v>
      </c>
      <c r="AG34" s="2" t="n">
        <v>0.534883720930232</v>
      </c>
      <c r="AH34" s="2" t="n">
        <v>0.1345958184658154</v>
      </c>
      <c r="AI34" s="2" t="n">
        <v>12</v>
      </c>
      <c r="AJ34" s="2" t="n">
        <v>0.4420457938822848</v>
      </c>
      <c r="AK34" s="2" t="n">
        <v>77.24557866333932</v>
      </c>
      <c r="AL34" s="2" t="n">
        <v>0.1354866770645089</v>
      </c>
      <c r="AM34" s="2" t="n">
        <v>168484.8679</v>
      </c>
    </row>
    <row r="35">
      <c r="A35" s="2" t="n">
        <v>34</v>
      </c>
      <c r="B35" s="2" t="inlineStr">
        <is>
          <t>COLLECT_USDT_PERP</t>
        </is>
      </c>
      <c r="C35" s="2" t="inlineStr">
        <is>
          <t>做空</t>
        </is>
      </c>
      <c r="D35" s="7" t="n">
        <v>46270.75694444445</v>
      </c>
      <c r="E35" s="17" t="n">
        <v>0.09433</v>
      </c>
      <c r="F35" s="17" t="n">
        <v>0.09055679999999999</v>
      </c>
      <c r="G35" s="17" t="n">
        <v>0.0990465</v>
      </c>
      <c r="H35" s="7" t="n">
        <v>46270.76041666666</v>
      </c>
      <c r="I35" s="17" t="n">
        <v>0.09055679999999999</v>
      </c>
      <c r="J35" s="2" t="inlineStr">
        <is>
          <t>止盈</t>
        </is>
      </c>
      <c r="K35" s="5">
        <f>(H35-D35)*24</f>
        <v/>
      </c>
      <c r="L35" s="4">
        <f>IF(C35="做多",I35/E35-1,1-I35/E35)-2*參數!$B$7</f>
        <v/>
      </c>
      <c r="M35" s="2" t="inlineStr"/>
      <c r="N35" s="4" t="n">
        <v>0.01038988860325629</v>
      </c>
      <c r="O35" s="4" t="n">
        <v>0.01873711895780194</v>
      </c>
      <c r="P35" s="4" t="n">
        <v>0.1633752022746229</v>
      </c>
      <c r="Q35" s="19" t="n">
        <v>64394</v>
      </c>
      <c r="R35" s="19" t="n">
        <v>52570.93895</v>
      </c>
      <c r="S35" s="4" t="n">
        <v>0.04</v>
      </c>
      <c r="T35" s="4" t="n">
        <v>0</v>
      </c>
      <c r="U35" s="16" t="n">
        <v>5.132269539006586</v>
      </c>
      <c r="V35" s="16" t="n">
        <v>0.5288888888888902</v>
      </c>
      <c r="W35" s="4" t="n">
        <v>-0.1474245288297558</v>
      </c>
      <c r="X35" s="4" t="n">
        <v>-0.1825247586812084</v>
      </c>
      <c r="Y35" s="4" t="n"/>
      <c r="Z35" s="4" t="n"/>
      <c r="AA35" s="4" t="n">
        <v>0.04</v>
      </c>
      <c r="AB35" s="4" t="n">
        <v>0.05</v>
      </c>
      <c r="AC35" s="4">
        <f>(AB35+2*參數!$B$7)/(AA35+AB35)</f>
        <v/>
      </c>
      <c r="AD35" s="2" t="n">
        <v>0.1516298376266634</v>
      </c>
      <c r="AE35" s="2" t="n">
        <v>0.1378769601930037</v>
      </c>
      <c r="AF35" s="2" t="n">
        <v>5.132269539006586</v>
      </c>
      <c r="AG35" s="2" t="n">
        <v>0.4711111111111098</v>
      </c>
      <c r="AH35" s="2" t="n">
        <v>0.2238996470095527</v>
      </c>
      <c r="AI35" s="2" t="n">
        <v>12</v>
      </c>
      <c r="AJ35" s="2" t="n">
        <v>0.1633752022746229</v>
      </c>
      <c r="AK35" s="2" t="n">
        <v>76.58809013416754</v>
      </c>
      <c r="AL35" s="2" t="n">
        <v>0.06490728404474995</v>
      </c>
      <c r="AM35" s="2" t="n">
        <v>52570.93895</v>
      </c>
    </row>
    <row r="36">
      <c r="A36" s="2" t="n">
        <v>35</v>
      </c>
      <c r="B36" s="2" t="inlineStr">
        <is>
          <t>MOODENG_USDT_PERP</t>
        </is>
      </c>
      <c r="C36" s="2" t="inlineStr">
        <is>
          <t>做空</t>
        </is>
      </c>
      <c r="D36" s="7" t="n">
        <v>46271.05902777778</v>
      </c>
      <c r="E36" s="17" t="n">
        <v>0.04783</v>
      </c>
      <c r="F36" s="17" t="n">
        <v>0.04591679999999999</v>
      </c>
      <c r="G36" s="17" t="n">
        <v>0.0502215</v>
      </c>
      <c r="H36" s="7" t="n">
        <v>46271.07291666666</v>
      </c>
      <c r="I36" s="17" t="n">
        <v>0.04591679999999999</v>
      </c>
      <c r="J36" s="2" t="inlineStr">
        <is>
          <t>止盈</t>
        </is>
      </c>
      <c r="K36" s="5">
        <f>(H36-D36)*24</f>
        <v/>
      </c>
      <c r="L36" s="4">
        <f>IF(C36="做多",I36/E36-1,1-I36/E36)-2*參數!$B$7</f>
        <v/>
      </c>
      <c r="M36" s="2" t="inlineStr"/>
      <c r="N36" s="4" t="n">
        <v>-0.006233118637024804</v>
      </c>
      <c r="O36" s="4" t="n">
        <v>0.01668673565348473</v>
      </c>
      <c r="P36" s="4" t="n">
        <v>0.1322295627198284</v>
      </c>
      <c r="Q36" s="19" t="n">
        <v>-352322</v>
      </c>
      <c r="R36" s="19" t="n">
        <v>134398.94128</v>
      </c>
      <c r="S36" s="4" t="n">
        <v>0.04</v>
      </c>
      <c r="T36" s="4" t="n">
        <v>0.004808697470207068</v>
      </c>
      <c r="U36" s="16" t="n">
        <v>86.09823844311926</v>
      </c>
      <c r="V36" s="16" t="n">
        <v>0.5520833333333347</v>
      </c>
      <c r="W36" s="4" t="n">
        <v>-0.1166519585183523</v>
      </c>
      <c r="X36" s="4" t="n">
        <v>-0.1612041757708182</v>
      </c>
      <c r="Y36" s="4" t="n"/>
      <c r="Z36" s="4" t="n"/>
      <c r="AA36" s="4" t="n">
        <v>0.04</v>
      </c>
      <c r="AB36" s="4" t="n">
        <v>0.05</v>
      </c>
      <c r="AC36" s="4">
        <f>(AB36+2*參數!$B$7)/(AA36+AB36)</f>
        <v/>
      </c>
      <c r="AD36" s="2" t="n">
        <v>0.143984692657259</v>
      </c>
      <c r="AE36" s="2" t="n">
        <v>0.03148587448781526</v>
      </c>
      <c r="AF36" s="2" t="n">
        <v>86.09823844311926</v>
      </c>
      <c r="AG36" s="2" t="n">
        <v>0.4479166666666653</v>
      </c>
      <c r="AH36" s="2" t="n">
        <v>1</v>
      </c>
      <c r="AI36" s="2" t="n">
        <v>11</v>
      </c>
      <c r="AJ36" s="2" t="n">
        <v>0.1322295627198284</v>
      </c>
      <c r="AK36" s="2" t="n">
        <v>85.86791560410063</v>
      </c>
      <c r="AL36" s="2" t="n">
        <v>0.05780454792861319</v>
      </c>
      <c r="AM36" s="2" t="n">
        <v>134398.94128</v>
      </c>
    </row>
    <row r="37">
      <c r="A37" s="2" t="n">
        <v>36</v>
      </c>
      <c r="B37" s="2" t="inlineStr">
        <is>
          <t>SUSHI_USDT_PERP</t>
        </is>
      </c>
      <c r="C37" s="2" t="inlineStr">
        <is>
          <t>做空</t>
        </is>
      </c>
      <c r="D37" s="7" t="n">
        <v>46271.06944444445</v>
      </c>
      <c r="E37" s="17" t="n">
        <v>0.2401</v>
      </c>
      <c r="F37" s="17" t="n">
        <v>0.230496</v>
      </c>
      <c r="G37" s="17" t="n">
        <v>0.252105</v>
      </c>
      <c r="H37" s="7" t="n">
        <v>46271.08333333334</v>
      </c>
      <c r="I37" s="17" t="n">
        <v>0.252105</v>
      </c>
      <c r="J37" s="2" t="inlineStr">
        <is>
          <t>止損</t>
        </is>
      </c>
      <c r="K37" s="5">
        <f>(H37-D37)*24</f>
        <v/>
      </c>
      <c r="L37" s="4">
        <f>IF(C37="做多",I37/E37-1,1-I37/E37)-2*參數!$B$7</f>
        <v/>
      </c>
      <c r="M37" s="2" t="inlineStr"/>
      <c r="N37" s="4" t="n">
        <v>-0.003734439834024883</v>
      </c>
      <c r="O37" s="4" t="n">
        <v>0.01513301513026677</v>
      </c>
      <c r="P37" s="4" t="n">
        <v>0.2085545122598316</v>
      </c>
      <c r="Q37" s="19" t="n">
        <v>55375</v>
      </c>
      <c r="R37" s="19" t="n">
        <v>73988.3698</v>
      </c>
      <c r="S37" s="4" t="n">
        <v>0.005830903790087549</v>
      </c>
      <c r="T37" s="4" t="n">
        <v>0.05</v>
      </c>
      <c r="U37" s="16" t="n">
        <v>19.32812219397159</v>
      </c>
      <c r="V37" s="16" t="n">
        <v>0.526315789473685</v>
      </c>
      <c r="W37" s="4" t="n">
        <v>-0.1554323607682349</v>
      </c>
      <c r="X37" s="4" t="n">
        <v>-0.2623554153522607</v>
      </c>
      <c r="Y37" s="4" t="n"/>
      <c r="Z37" s="4" t="n"/>
      <c r="AA37" s="4" t="n">
        <v>0.04</v>
      </c>
      <c r="AB37" s="4" t="n">
        <v>0.05</v>
      </c>
      <c r="AC37" s="4">
        <f>(AB37+2*參數!$B$7)/(AA37+AB37)</f>
        <v/>
      </c>
      <c r="AD37" s="2" t="n">
        <v>0.1482544237207077</v>
      </c>
      <c r="AE37" s="2" t="n">
        <v>0.1034007352941178</v>
      </c>
      <c r="AF37" s="2" t="n">
        <v>19.32812219397159</v>
      </c>
      <c r="AG37" s="2" t="n">
        <v>0.473684210526315</v>
      </c>
      <c r="AH37" s="2" t="n">
        <v>0.5401272916296879</v>
      </c>
      <c r="AI37" s="2" t="n">
        <v>12</v>
      </c>
      <c r="AJ37" s="2" t="n">
        <v>0.2085545122598316</v>
      </c>
      <c r="AK37" s="2" t="n">
        <v>89.01815436614156</v>
      </c>
      <c r="AL37" s="2" t="n">
        <v>0.0524223021546612</v>
      </c>
      <c r="AM37" s="2" t="n">
        <v>73988.3698</v>
      </c>
    </row>
    <row r="38">
      <c r="A38" s="2" t="n">
        <v>37</v>
      </c>
      <c r="B38" s="2" t="inlineStr">
        <is>
          <t>SUSHI_USDT_PERP</t>
        </is>
      </c>
      <c r="C38" s="2" t="inlineStr">
        <is>
          <t>做空</t>
        </is>
      </c>
      <c r="D38" s="7" t="n">
        <v>46271.14236111111</v>
      </c>
      <c r="E38" s="17" t="n">
        <v>0.2775</v>
      </c>
      <c r="F38" s="17" t="n">
        <v>0.2664</v>
      </c>
      <c r="G38" s="17" t="n">
        <v>0.2913750000000001</v>
      </c>
      <c r="H38" s="7" t="n">
        <v>46271.15277777778</v>
      </c>
      <c r="I38" s="17" t="n">
        <v>0.2664</v>
      </c>
      <c r="J38" s="2" t="inlineStr">
        <is>
          <t>止盈</t>
        </is>
      </c>
      <c r="K38" s="5">
        <f>(H38-D38)*24</f>
        <v/>
      </c>
      <c r="L38" s="4">
        <f>IF(C38="做多",I38/E38-1,1-I38/E38)-2*參數!$B$7</f>
        <v/>
      </c>
      <c r="M38" s="2" t="inlineStr"/>
      <c r="N38" s="4" t="n">
        <v>0.0007212405337180261</v>
      </c>
      <c r="O38" s="4" t="n">
        <v>0.02274180560949057</v>
      </c>
      <c r="P38" s="4" t="n">
        <v>0.3572170935990708</v>
      </c>
      <c r="Q38" s="19" t="n">
        <v>290632</v>
      </c>
      <c r="R38" s="19" t="n">
        <v>265454.0202</v>
      </c>
      <c r="S38" s="4" t="n">
        <v>0.04</v>
      </c>
      <c r="T38" s="4" t="n">
        <v>0.00432432432432428</v>
      </c>
      <c r="U38" s="16" t="n">
        <v>13.04635153205452</v>
      </c>
      <c r="V38" s="16" t="n">
        <v>0.7692307692307618</v>
      </c>
      <c r="W38" s="4" t="n">
        <v>-0.2670307192168608</v>
      </c>
      <c r="X38" s="4" t="n">
        <v>-0.4475743348982786</v>
      </c>
      <c r="Y38" s="4" t="n"/>
      <c r="Z38" s="4" t="n"/>
      <c r="AA38" s="4" t="n">
        <v>0.04</v>
      </c>
      <c r="AB38" s="4" t="n">
        <v>0.05</v>
      </c>
      <c r="AC38" s="4">
        <f>(AB38+2*參數!$B$7)/(AA38+AB38)</f>
        <v/>
      </c>
      <c r="AD38" s="2" t="n">
        <v>0.1961206896551724</v>
      </c>
      <c r="AE38" s="2" t="n">
        <v>0.1007536691788975</v>
      </c>
      <c r="AF38" s="2" t="n">
        <v>13.04635153205452</v>
      </c>
      <c r="AG38" s="2" t="n">
        <v>0.2307692307692382</v>
      </c>
      <c r="AH38" s="2" t="n">
        <v>0.3937736358725014</v>
      </c>
      <c r="AI38" s="2" t="n">
        <v>12</v>
      </c>
      <c r="AJ38" s="2" t="n">
        <v>0.3572170935990708</v>
      </c>
      <c r="AK38" s="2" t="n">
        <v>94.97809964471776</v>
      </c>
      <c r="AL38" s="2" t="n">
        <v>0.07877992554298512</v>
      </c>
      <c r="AM38" s="2" t="n">
        <v>265454.0202</v>
      </c>
    </row>
    <row r="39">
      <c r="A39" s="2" t="n">
        <v>38</v>
      </c>
      <c r="B39" s="2" t="inlineStr">
        <is>
          <t>RAY_USDT_PERP</t>
        </is>
      </c>
      <c r="C39" s="2" t="inlineStr">
        <is>
          <t>做空</t>
        </is>
      </c>
      <c r="D39" s="7" t="n">
        <v>46271.47916666666</v>
      </c>
      <c r="E39" s="17" t="n">
        <v>1.109</v>
      </c>
      <c r="F39" s="17" t="n">
        <v>1.06464</v>
      </c>
      <c r="G39" s="17" t="n">
        <v>1.16445</v>
      </c>
      <c r="H39" s="7" t="n">
        <v>46271.49305555555</v>
      </c>
      <c r="I39" s="17" t="n">
        <v>1.16445</v>
      </c>
      <c r="J39" s="2" t="inlineStr">
        <is>
          <t>止損</t>
        </is>
      </c>
      <c r="K39" s="5">
        <f>(H39-D39)*24</f>
        <v/>
      </c>
      <c r="L39" s="4">
        <f>IF(C39="做多",I39/E39-1,1-I39/E39)-2*參數!$B$7</f>
        <v/>
      </c>
      <c r="M39" s="2" t="inlineStr"/>
      <c r="N39" s="4" t="n">
        <v>0.002712477396021651</v>
      </c>
      <c r="O39" s="4" t="n">
        <v>0.01692640165371572</v>
      </c>
      <c r="P39" s="4" t="n">
        <v>0.2758308287435827</v>
      </c>
      <c r="Q39" s="19" t="n">
        <v>100145.5</v>
      </c>
      <c r="R39" s="19" t="n">
        <v>216333.2328</v>
      </c>
      <c r="S39" s="4" t="n">
        <v>0.001803426510369688</v>
      </c>
      <c r="T39" s="4" t="n">
        <v>0.05</v>
      </c>
      <c r="U39" s="16" t="n">
        <v>31.43812191711219</v>
      </c>
      <c r="V39" s="16" t="n">
        <v>0.7916666666666694</v>
      </c>
      <c r="W39" s="4" t="n">
        <v>-0.2201025370211454</v>
      </c>
      <c r="X39" s="4" t="n">
        <v>-0.3426150121065377</v>
      </c>
      <c r="Y39" s="4" t="n"/>
      <c r="Z39" s="4" t="n"/>
      <c r="AA39" s="4" t="n">
        <v>0.04</v>
      </c>
      <c r="AB39" s="4" t="n">
        <v>0.05</v>
      </c>
      <c r="AC39" s="4">
        <f>(AB39+2*參數!$B$7)/(AA39+AB39)</f>
        <v/>
      </c>
      <c r="AD39" s="2" t="n">
        <v>0.2146768893756845</v>
      </c>
      <c r="AE39" s="2" t="n">
        <v>0.1576200417536535</v>
      </c>
      <c r="AF39" s="2" t="n">
        <v>31.43812191711219</v>
      </c>
      <c r="AG39" s="2" t="n">
        <v>0.2083333333333306</v>
      </c>
      <c r="AH39" s="2" t="n">
        <v>0.4536709239237639</v>
      </c>
      <c r="AI39" s="2" t="n">
        <v>7</v>
      </c>
      <c r="AJ39" s="2" t="n">
        <v>0.2758308287435827</v>
      </c>
      <c r="AK39" s="2" t="n">
        <v>94.0482966940565</v>
      </c>
      <c r="AL39" s="2" t="n">
        <v>0.05863477530710697</v>
      </c>
      <c r="AM39" s="2" t="n">
        <v>216333.2328</v>
      </c>
    </row>
    <row r="40">
      <c r="A40" s="2" t="n">
        <v>39</v>
      </c>
      <c r="B40" s="2" t="inlineStr">
        <is>
          <t>RAY_USDT_PERP</t>
        </is>
      </c>
      <c r="C40" s="2" t="inlineStr">
        <is>
          <t>做空</t>
        </is>
      </c>
      <c r="D40" s="7" t="n">
        <v>46271.53819444445</v>
      </c>
      <c r="E40" s="17" t="n">
        <v>1.154</v>
      </c>
      <c r="F40" s="17" t="n">
        <v>1.10784</v>
      </c>
      <c r="G40" s="17" t="n">
        <v>1.2117</v>
      </c>
      <c r="H40" s="7" t="n">
        <v>46271.60763888889</v>
      </c>
      <c r="I40" s="17" t="n">
        <v>1.10784</v>
      </c>
      <c r="J40" s="2" t="inlineStr">
        <is>
          <t>止盈</t>
        </is>
      </c>
      <c r="K40" s="5">
        <f>(H40-D40)*24</f>
        <v/>
      </c>
      <c r="L40" s="4">
        <f>IF(C40="做多",I40/E40-1,1-I40/E40)-2*參數!$B$7</f>
        <v/>
      </c>
      <c r="M40" s="2" t="inlineStr"/>
      <c r="N40" s="4" t="n">
        <v>-0.00602928509905265</v>
      </c>
      <c r="O40" s="4" t="n">
        <v>0.02000596731309121</v>
      </c>
      <c r="P40" s="4" t="n">
        <v>0.2939516543482121</v>
      </c>
      <c r="Q40" s="19" t="n">
        <v>54235.19999999997</v>
      </c>
      <c r="R40" s="19" t="n">
        <v>411247.2593</v>
      </c>
      <c r="S40" s="4" t="n">
        <v>0.04</v>
      </c>
      <c r="T40" s="4" t="n">
        <v>0.01126516464471417</v>
      </c>
      <c r="U40" s="16" t="n">
        <v>4.034547608089766</v>
      </c>
      <c r="V40" s="16" t="n">
        <v>0.5833333333333426</v>
      </c>
      <c r="W40" s="4" t="n">
        <v>-0.2057382273349424</v>
      </c>
      <c r="X40" s="4" t="n">
        <v>-0.3920386007237635</v>
      </c>
      <c r="Y40" s="4" t="n"/>
      <c r="Z40" s="4" t="n"/>
      <c r="AA40" s="4" t="n">
        <v>0.04</v>
      </c>
      <c r="AB40" s="4" t="n">
        <v>0.05</v>
      </c>
      <c r="AC40" s="4">
        <f>(AB40+2*參數!$B$7)/(AA40+AB40)</f>
        <v/>
      </c>
      <c r="AD40" s="2" t="n">
        <v>0.1872427983539093</v>
      </c>
      <c r="AE40" s="2" t="n">
        <v>-0.003454231433506094</v>
      </c>
      <c r="AF40" s="2" t="n">
        <v>4.034547608089766</v>
      </c>
      <c r="AG40" s="2" t="n">
        <v>0.4166666666666574</v>
      </c>
      <c r="AH40" s="2" t="n">
        <v>0.1120577065627926</v>
      </c>
      <c r="AI40" s="2" t="n">
        <v>11</v>
      </c>
      <c r="AJ40" s="2" t="n">
        <v>0.2939516543482121</v>
      </c>
      <c r="AK40" s="2" t="n">
        <v>95.07386624545182</v>
      </c>
      <c r="AL40" s="2" t="n">
        <v>0.06930270368167239</v>
      </c>
      <c r="AM40" s="2" t="n">
        <v>411247.2593</v>
      </c>
    </row>
    <row r="41">
      <c r="A41" s="2" t="n">
        <v>40</v>
      </c>
      <c r="B41" s="2" t="inlineStr">
        <is>
          <t>SOLV_USDT_PERP</t>
        </is>
      </c>
      <c r="C41" s="2" t="inlineStr">
        <is>
          <t>做空</t>
        </is>
      </c>
      <c r="D41" s="7" t="n">
        <v>46271.69444444445</v>
      </c>
      <c r="E41" s="17" t="n">
        <v>0.00374</v>
      </c>
      <c r="F41" s="17" t="n">
        <v>0.0035904</v>
      </c>
      <c r="G41" s="17" t="n">
        <v>0.003927</v>
      </c>
      <c r="H41" s="7" t="n">
        <v>46271.71527777778</v>
      </c>
      <c r="I41" s="17" t="n">
        <v>0.003927</v>
      </c>
      <c r="J41" s="2" t="inlineStr">
        <is>
          <t>止損</t>
        </is>
      </c>
      <c r="K41" s="5">
        <f>(H41-D41)*24</f>
        <v/>
      </c>
      <c r="L41" s="4">
        <f>IF(C41="做多",I41/E41-1,1-I41/E41)-2*參數!$B$7</f>
        <v/>
      </c>
      <c r="M41" s="2" t="inlineStr"/>
      <c r="N41" s="4" t="n">
        <v>0.002680965147453085</v>
      </c>
      <c r="O41" s="4" t="n">
        <v>0.01253925642095096</v>
      </c>
      <c r="P41" s="4" t="n">
        <v>0.1274257363562141</v>
      </c>
      <c r="Q41" s="19" t="n">
        <v>43486590</v>
      </c>
      <c r="R41" s="19" t="n">
        <v>384629.87922</v>
      </c>
      <c r="S41" s="4" t="n">
        <v>0</v>
      </c>
      <c r="T41" s="4" t="n">
        <v>0.05</v>
      </c>
      <c r="U41" s="16" t="n">
        <v>7.87655518475756</v>
      </c>
      <c r="V41" s="16" t="n">
        <v>0.6000000000000052</v>
      </c>
      <c r="W41" s="4" t="n">
        <v>-0.1283753205611704</v>
      </c>
      <c r="X41" s="4" t="n">
        <v>-0.1724137931034482</v>
      </c>
      <c r="Y41" s="4" t="n"/>
      <c r="Z41" s="4" t="n"/>
      <c r="AA41" s="4" t="n">
        <v>0.04</v>
      </c>
      <c r="AB41" s="4" t="n">
        <v>0.05</v>
      </c>
      <c r="AC41" s="4">
        <f>(AB41+2*參數!$B$7)/(AA41+AB41)</f>
        <v/>
      </c>
      <c r="AD41" s="2" t="n">
        <v>0.154320987654321</v>
      </c>
      <c r="AE41" s="2" t="n">
        <v>0.04761904761904767</v>
      </c>
      <c r="AF41" s="2" t="n">
        <v>7.87655518475756</v>
      </c>
      <c r="AG41" s="2" t="n">
        <v>0.3999999999999948</v>
      </c>
      <c r="AH41" s="2" t="n">
        <v>0.1783553535538016</v>
      </c>
      <c r="AI41" s="2" t="n">
        <v>11</v>
      </c>
      <c r="AJ41" s="2" t="n">
        <v>0.1274257363562141</v>
      </c>
      <c r="AK41" s="2" t="n">
        <v>74.96982073748117</v>
      </c>
      <c r="AL41" s="2" t="n">
        <v>0.04343725842044269</v>
      </c>
      <c r="AM41" s="2" t="n">
        <v>384629.87922</v>
      </c>
    </row>
    <row r="42">
      <c r="A42" s="2" t="n">
        <v>41</v>
      </c>
      <c r="B42" s="2" t="inlineStr">
        <is>
          <t>COTI_USDT_PERP</t>
        </is>
      </c>
      <c r="C42" s="2" t="inlineStr">
        <is>
          <t>做空</t>
        </is>
      </c>
      <c r="D42" s="7" t="n">
        <v>46271.77083333334</v>
      </c>
      <c r="E42" s="17" t="n">
        <v>0.01845</v>
      </c>
      <c r="F42" s="17" t="n">
        <v>0.017712</v>
      </c>
      <c r="G42" s="17" t="n">
        <v>0.0193725</v>
      </c>
      <c r="H42" s="7" t="n">
        <v>46271.8125</v>
      </c>
      <c r="I42" s="17" t="n">
        <v>0.017712</v>
      </c>
      <c r="J42" s="2" t="inlineStr">
        <is>
          <t>止盈</t>
        </is>
      </c>
      <c r="K42" s="5">
        <f>(H42-D42)*24</f>
        <v/>
      </c>
      <c r="L42" s="4">
        <f>IF(C42="做多",I42/E42-1,1-I42/E42)-2*參數!$B$7</f>
        <v/>
      </c>
      <c r="M42" s="2" t="inlineStr"/>
      <c r="N42" s="4" t="n">
        <v>0.001628664495114229</v>
      </c>
      <c r="O42" s="4" t="n">
        <v>0.01522204615672356</v>
      </c>
      <c r="P42" s="4" t="n">
        <v>0.1589044322598376</v>
      </c>
      <c r="Q42" s="19" t="n">
        <v>1976410</v>
      </c>
      <c r="R42" s="19" t="n">
        <v>230897.00419</v>
      </c>
      <c r="S42" s="4" t="n">
        <v>0.04</v>
      </c>
      <c r="T42" s="4" t="n">
        <v>0.04281842818428183</v>
      </c>
      <c r="U42" s="16" t="n">
        <v>11.79028425897819</v>
      </c>
      <c r="V42" s="16" t="n">
        <v>0.4324324324324309</v>
      </c>
      <c r="W42" s="4" t="n">
        <v>-0.1142582784256649</v>
      </c>
      <c r="X42" s="4" t="n">
        <v>-0.2466216216216217</v>
      </c>
      <c r="Y42" s="4" t="n"/>
      <c r="Z42" s="4" t="n"/>
      <c r="AA42" s="4" t="n">
        <v>0.04</v>
      </c>
      <c r="AB42" s="4" t="n">
        <v>0.05</v>
      </c>
      <c r="AC42" s="4">
        <f>(AB42+2*參數!$B$7)/(AA42+AB42)</f>
        <v/>
      </c>
      <c r="AD42" s="2" t="n">
        <v>0.1438313701177931</v>
      </c>
      <c r="AE42" s="2" t="n">
        <v>0.1291309669522644</v>
      </c>
      <c r="AF42" s="2" t="n">
        <v>11.79028425897819</v>
      </c>
      <c r="AG42" s="2" t="n">
        <v>0.5675675675675691</v>
      </c>
      <c r="AH42" s="2" t="n">
        <v>0.7922885025931178</v>
      </c>
      <c r="AI42" s="2" t="n">
        <v>4</v>
      </c>
      <c r="AJ42" s="2" t="n">
        <v>0.1589044322598376</v>
      </c>
      <c r="AK42" s="2" t="n">
        <v>75.39389693440134</v>
      </c>
      <c r="AL42" s="2" t="n">
        <v>0.05273071467720754</v>
      </c>
      <c r="AM42" s="2" t="n">
        <v>230897.00419</v>
      </c>
    </row>
    <row r="43">
      <c r="A43" s="2" t="n">
        <v>42</v>
      </c>
      <c r="B43" s="2" t="inlineStr">
        <is>
          <t>NAORIS_USDT_PERP</t>
        </is>
      </c>
      <c r="C43" s="2" t="inlineStr">
        <is>
          <t>做空</t>
        </is>
      </c>
      <c r="D43" s="7" t="n">
        <v>46271.77777777778</v>
      </c>
      <c r="E43" s="17" t="n">
        <v>0.03484</v>
      </c>
      <c r="F43" s="17" t="n">
        <v>0.0334464</v>
      </c>
      <c r="G43" s="17" t="n">
        <v>0.036582</v>
      </c>
      <c r="H43" s="7" t="n">
        <v>46271.84027777778</v>
      </c>
      <c r="I43" s="17" t="n">
        <v>0.036582</v>
      </c>
      <c r="J43" s="2" t="inlineStr">
        <is>
          <t>止損</t>
        </is>
      </c>
      <c r="K43" s="5">
        <f>(H43-D43)*24</f>
        <v/>
      </c>
      <c r="L43" s="4">
        <f>IF(C43="做多",I43/E43-1,1-I43/E43)-2*參數!$B$7</f>
        <v/>
      </c>
      <c r="M43" s="2" t="inlineStr"/>
      <c r="N43" s="4" t="n">
        <v>-0.02817294281729421</v>
      </c>
      <c r="O43" s="4" t="n">
        <v>0.0167881717094576</v>
      </c>
      <c r="P43" s="4" t="n">
        <v>0.1280541686172243</v>
      </c>
      <c r="Q43" s="19" t="n">
        <v>661666</v>
      </c>
      <c r="R43" s="19" t="n">
        <v>256120.62239</v>
      </c>
      <c r="S43" s="4" t="n">
        <v>0.01349024110218155</v>
      </c>
      <c r="T43" s="4" t="n">
        <v>0.05</v>
      </c>
      <c r="U43" s="16" t="n">
        <v>12.66951485102637</v>
      </c>
      <c r="V43" s="16" t="n">
        <v>0.9268292682926828</v>
      </c>
      <c r="W43" s="4" t="n">
        <v>-0.1353045835804458</v>
      </c>
      <c r="X43" s="4" t="n">
        <v>-0.15862986365148</v>
      </c>
      <c r="Y43" s="4" t="n"/>
      <c r="Z43" s="4" t="n"/>
      <c r="AA43" s="4" t="n">
        <v>0.04</v>
      </c>
      <c r="AB43" s="4" t="n">
        <v>0.05</v>
      </c>
      <c r="AC43" s="4">
        <f>(AB43+2*參數!$B$7)/(AA43+AB43)</f>
        <v/>
      </c>
      <c r="AD43" s="2" t="n">
        <v>0.1419206817436907</v>
      </c>
      <c r="AE43" s="2" t="n">
        <v>0.06642179369452106</v>
      </c>
      <c r="AF43" s="2" t="n">
        <v>12.66951485102637</v>
      </c>
      <c r="AG43" s="2" t="n">
        <v>0.07317073170731721</v>
      </c>
      <c r="AH43" s="2" t="n">
        <v>1</v>
      </c>
      <c r="AI43" s="2" t="n">
        <v>9</v>
      </c>
      <c r="AJ43" s="2" t="n">
        <v>0.1280541686172243</v>
      </c>
      <c r="AK43" s="2" t="n">
        <v>76.3793746077254</v>
      </c>
      <c r="AL43" s="2" t="n">
        <v>0.05815593273394205</v>
      </c>
      <c r="AM43" s="2" t="n">
        <v>256120.62239</v>
      </c>
    </row>
    <row r="44">
      <c r="A44" s="2" t="n">
        <v>43</v>
      </c>
      <c r="B44" s="2" t="inlineStr">
        <is>
          <t>LAYER_USDT_PERP</t>
        </is>
      </c>
      <c r="C44" s="2" t="inlineStr">
        <is>
          <t>做空</t>
        </is>
      </c>
      <c r="D44" s="7" t="n">
        <v>46272</v>
      </c>
      <c r="E44" s="17" t="n">
        <v>0.0881</v>
      </c>
      <c r="F44" s="17" t="n">
        <v>0.084576</v>
      </c>
      <c r="G44" s="17" t="n">
        <v>0.092505</v>
      </c>
      <c r="H44" s="7" t="n">
        <v>46272.01041666666</v>
      </c>
      <c r="I44" s="17" t="n">
        <v>0.084576</v>
      </c>
      <c r="J44" s="2" t="inlineStr">
        <is>
          <t>止盈</t>
        </is>
      </c>
      <c r="K44" s="5">
        <f>(H44-D44)*24</f>
        <v/>
      </c>
      <c r="L44" s="4">
        <f>IF(C44="做多",I44/E44-1,1-I44/E44)-2*參數!$B$7</f>
        <v/>
      </c>
      <c r="M44" s="2" t="inlineStr"/>
      <c r="N44" s="4" t="n">
        <v>0.002275312855517519</v>
      </c>
      <c r="O44" s="4" t="n">
        <v>0.02105749628249218</v>
      </c>
      <c r="P44" s="4" t="n">
        <v>0.2313282901518194</v>
      </c>
      <c r="Q44" s="19" t="n">
        <v>277488.7000000002</v>
      </c>
      <c r="R44" s="19" t="n">
        <v>63278.17664</v>
      </c>
      <c r="S44" s="4" t="n">
        <v>0.04</v>
      </c>
      <c r="T44" s="4" t="n">
        <v>0.01816118047673099</v>
      </c>
      <c r="U44" s="16" t="n">
        <v>24.121896037269</v>
      </c>
      <c r="V44" s="16" t="n">
        <v>0.444444444444447</v>
      </c>
      <c r="W44" s="4" t="n">
        <v>-0.2026975372686071</v>
      </c>
      <c r="X44" s="4" t="n">
        <v>-0.2621776504297995</v>
      </c>
      <c r="Y44" s="4" t="n"/>
      <c r="Z44" s="4" t="n"/>
      <c r="AA44" s="4" t="n">
        <v>0.04</v>
      </c>
      <c r="AB44" s="4" t="n">
        <v>0.05</v>
      </c>
      <c r="AC44" s="4">
        <f>(AB44+2*參數!$B$7)/(AA44+AB44)</f>
        <v/>
      </c>
      <c r="AD44" s="2" t="n">
        <v>0.1889338731443995</v>
      </c>
      <c r="AE44" s="2" t="n">
        <v>0.1699867197875164</v>
      </c>
      <c r="AF44" s="2" t="n">
        <v>24.121896037269</v>
      </c>
      <c r="AG44" s="2" t="n">
        <v>0.555555555555553</v>
      </c>
      <c r="AH44" s="2" t="n">
        <v>0.3449373516892423</v>
      </c>
      <c r="AI44" s="2" t="n">
        <v>12</v>
      </c>
      <c r="AJ44" s="2" t="n">
        <v>0.2313282901518194</v>
      </c>
      <c r="AK44" s="2" t="n">
        <v>90.63916744268863</v>
      </c>
      <c r="AL44" s="2" t="n">
        <v>0.07294530688293843</v>
      </c>
      <c r="AM44" s="2" t="n">
        <v>63278.17664</v>
      </c>
    </row>
    <row r="45">
      <c r="A45" s="2" t="n">
        <v>44</v>
      </c>
      <c r="B45" s="2" t="inlineStr">
        <is>
          <t>ORCA_USDT_PERP</t>
        </is>
      </c>
      <c r="C45" s="2" t="inlineStr">
        <is>
          <t>做空</t>
        </is>
      </c>
      <c r="D45" s="7" t="n">
        <v>46272.40972222222</v>
      </c>
      <c r="E45" s="17" t="n">
        <v>1.642</v>
      </c>
      <c r="F45" s="17" t="n">
        <v>1.57632</v>
      </c>
      <c r="G45" s="17" t="n">
        <v>1.7241</v>
      </c>
      <c r="H45" s="7" t="n">
        <v>46272.48611111111</v>
      </c>
      <c r="I45" s="17" t="n">
        <v>1.57632</v>
      </c>
      <c r="J45" s="2" t="inlineStr">
        <is>
          <t>止盈</t>
        </is>
      </c>
      <c r="K45" s="5">
        <f>(H45-D45)*24</f>
        <v/>
      </c>
      <c r="L45" s="4">
        <f>IF(C45="做多",I45/E45-1,1-I45/E45)-2*參數!$B$7</f>
        <v/>
      </c>
      <c r="M45" s="2" t="inlineStr"/>
      <c r="N45" s="4" t="n">
        <v>-0.00545124167171418</v>
      </c>
      <c r="O45" s="4" t="n">
        <v>0.02019067274685428</v>
      </c>
      <c r="P45" s="4" t="n">
        <v>0.1677655460566281</v>
      </c>
      <c r="Q45" s="19" t="n">
        <v>9045.600000000013</v>
      </c>
      <c r="R45" s="19" t="n">
        <v>353262.3417</v>
      </c>
      <c r="S45" s="4" t="n">
        <v>0.04</v>
      </c>
      <c r="T45" s="4" t="n">
        <v>0.03654080389768577</v>
      </c>
      <c r="U45" s="16" t="n">
        <v>24.88139333023604</v>
      </c>
      <c r="V45" s="16" t="n">
        <v>0.8809523809523836</v>
      </c>
      <c r="W45" s="4" t="n">
        <v>-0.1460238138444143</v>
      </c>
      <c r="X45" s="4" t="n">
        <v>-0.263076923076923</v>
      </c>
      <c r="Y45" s="4" t="n"/>
      <c r="Z45" s="4" t="n"/>
      <c r="AA45" s="4" t="n">
        <v>0.04</v>
      </c>
      <c r="AB45" s="4" t="n">
        <v>0.05</v>
      </c>
      <c r="AC45" s="4">
        <f>(AB45+2*參數!$B$7)/(AA45+AB45)</f>
        <v/>
      </c>
      <c r="AD45" s="2" t="n">
        <v>0.1661931818181819</v>
      </c>
      <c r="AE45" s="2" t="n">
        <v>0.08597883597883582</v>
      </c>
      <c r="AF45" s="2" t="n">
        <v>24.88139333023604</v>
      </c>
      <c r="AG45" s="2" t="n">
        <v>0.1190476190476164</v>
      </c>
      <c r="AH45" s="2" t="n">
        <v>1</v>
      </c>
      <c r="AI45" s="2" t="n">
        <v>7</v>
      </c>
      <c r="AJ45" s="2" t="n">
        <v>0.1677655460566281</v>
      </c>
      <c r="AK45" s="2" t="n">
        <v>79.32977542078486</v>
      </c>
      <c r="AL45" s="2" t="n">
        <v>0.06994254207309576</v>
      </c>
      <c r="AM45" s="2" t="n">
        <v>353262.3417</v>
      </c>
    </row>
    <row r="46">
      <c r="A46" s="2" t="n">
        <v>45</v>
      </c>
      <c r="B46" s="2" t="inlineStr">
        <is>
          <t>CFG_USDT_PERP</t>
        </is>
      </c>
      <c r="C46" s="2" t="inlineStr">
        <is>
          <t>做空</t>
        </is>
      </c>
      <c r="D46" s="7" t="n">
        <v>46272.47916666666</v>
      </c>
      <c r="E46" s="17" t="n">
        <v>0.1336</v>
      </c>
      <c r="F46" s="17" t="n">
        <v>0.128256</v>
      </c>
      <c r="G46" s="17" t="n">
        <v>0.14028</v>
      </c>
      <c r="H46" s="7" t="n">
        <v>46272.49305555555</v>
      </c>
      <c r="I46" s="17" t="n">
        <v>0.128256</v>
      </c>
      <c r="J46" s="2" t="inlineStr">
        <is>
          <t>止盈</t>
        </is>
      </c>
      <c r="K46" s="5">
        <f>(H46-D46)*24</f>
        <v/>
      </c>
      <c r="L46" s="4">
        <f>IF(C46="做多",I46/E46-1,1-I46/E46)-2*參數!$B$7</f>
        <v/>
      </c>
      <c r="M46" s="2" t="inlineStr"/>
      <c r="N46" s="4" t="n">
        <v>-0.0132939438700147</v>
      </c>
      <c r="O46" s="4" t="n">
        <v>0.02076264359473402</v>
      </c>
      <c r="P46" s="4" t="n">
        <v>0.2443871789000618</v>
      </c>
      <c r="Q46" s="19" t="n">
        <v>71122</v>
      </c>
      <c r="R46" s="19" t="n">
        <v>92539.0364</v>
      </c>
      <c r="S46" s="4" t="n">
        <v>0.04</v>
      </c>
      <c r="T46" s="4" t="n">
        <v>0.02844311377245501</v>
      </c>
      <c r="U46" s="16" t="n">
        <v>39.05839701662002</v>
      </c>
      <c r="V46" s="16" t="n">
        <v>0.6862745098039231</v>
      </c>
      <c r="W46" s="4" t="n">
        <v>-0.2114727191940442</v>
      </c>
      <c r="X46" s="4" t="n">
        <v>-0.3034146341463415</v>
      </c>
      <c r="Y46" s="4" t="n"/>
      <c r="Z46" s="4" t="n"/>
      <c r="AA46" s="4" t="n">
        <v>0.04</v>
      </c>
      <c r="AB46" s="4" t="n">
        <v>0.05</v>
      </c>
      <c r="AC46" s="4">
        <f>(AB46+2*參數!$B$7)/(AA46+AB46)</f>
        <v/>
      </c>
      <c r="AD46" s="2" t="n">
        <v>0.1823008849557521</v>
      </c>
      <c r="AE46" s="2" t="n">
        <v>0.1379897785349233</v>
      </c>
      <c r="AF46" s="2" t="n">
        <v>39.05839701662002</v>
      </c>
      <c r="AG46" s="2" t="n">
        <v>0.3137254901960769</v>
      </c>
      <c r="AH46" s="2" t="n">
        <v>0.9639956713897064</v>
      </c>
      <c r="AI46" s="2" t="n">
        <v>11</v>
      </c>
      <c r="AJ46" s="2" t="n">
        <v>0.2443871789000618</v>
      </c>
      <c r="AK46" s="2" t="n">
        <v>92.82257995859234</v>
      </c>
      <c r="AL46" s="2" t="n">
        <v>0.07192390721104767</v>
      </c>
      <c r="AM46" s="2" t="n">
        <v>92539.0364</v>
      </c>
    </row>
    <row r="47">
      <c r="A47" s="2" t="n">
        <v>46</v>
      </c>
      <c r="B47" s="2" t="inlineStr">
        <is>
          <t>IOST_USDT_PERP</t>
        </is>
      </c>
      <c r="C47" s="2" t="inlineStr">
        <is>
          <t>做空</t>
        </is>
      </c>
      <c r="D47" s="7" t="n">
        <v>46272.61458333334</v>
      </c>
      <c r="E47" s="17" t="n">
        <v>0.000892</v>
      </c>
      <c r="F47" s="17" t="n">
        <v>0.0008563199999999999</v>
      </c>
      <c r="G47" s="17" t="n">
        <v>0.0009366</v>
      </c>
      <c r="H47" s="7" t="n">
        <v>46272.62152777778</v>
      </c>
      <c r="I47" s="17" t="n">
        <v>0.0008563199999999999</v>
      </c>
      <c r="J47" s="2" t="inlineStr">
        <is>
          <t>止盈</t>
        </is>
      </c>
      <c r="K47" s="5">
        <f>(H47-D47)*24</f>
        <v/>
      </c>
      <c r="L47" s="4">
        <f>IF(C47="做多",I47/E47-1,1-I47/E47)-2*參數!$B$7</f>
        <v/>
      </c>
      <c r="M47" s="2" t="inlineStr"/>
      <c r="N47" s="4" t="n">
        <v>-0.01870187018701863</v>
      </c>
      <c r="O47" s="4" t="n">
        <v>0.02103225923861882</v>
      </c>
      <c r="P47" s="4" t="n">
        <v>0.213020936623509</v>
      </c>
      <c r="Q47" s="19" t="n">
        <v>43217625</v>
      </c>
      <c r="R47" s="19" t="n">
        <v>233256.51619</v>
      </c>
      <c r="S47" s="4" t="n">
        <v>0.04</v>
      </c>
      <c r="T47" s="4" t="n">
        <v>0</v>
      </c>
      <c r="U47" s="16" t="n">
        <v>7.501532882372214</v>
      </c>
      <c r="V47" s="16" t="n">
        <v>0.5405405405405415</v>
      </c>
      <c r="W47" s="4" t="n">
        <v>-0.1990536616840519</v>
      </c>
      <c r="X47" s="4" t="n">
        <v>-0.1554404145077719</v>
      </c>
      <c r="Y47" s="4" t="n"/>
      <c r="Z47" s="4" t="n"/>
      <c r="AA47" s="4" t="n">
        <v>0.04</v>
      </c>
      <c r="AB47" s="4" t="n">
        <v>0.05</v>
      </c>
      <c r="AC47" s="4">
        <f>(AB47+2*參數!$B$7)/(AA47+AB47)</f>
        <v/>
      </c>
      <c r="AD47" s="2" t="n">
        <v>0.1435897435897435</v>
      </c>
      <c r="AE47" s="2" t="n">
        <v>0.1291139240506329</v>
      </c>
      <c r="AF47" s="2" t="n">
        <v>7.501532882372214</v>
      </c>
      <c r="AG47" s="2" t="n">
        <v>0.4594594594594585</v>
      </c>
      <c r="AH47" s="2" t="n">
        <v>0.3004494007521215</v>
      </c>
      <c r="AI47" s="2" t="n">
        <v>9</v>
      </c>
      <c r="AJ47" s="2" t="n">
        <v>0.213020936623509</v>
      </c>
      <c r="AK47" s="2" t="n">
        <v>74.85630070644272</v>
      </c>
      <c r="AL47" s="2" t="n">
        <v>0.0728578831984954</v>
      </c>
      <c r="AM47" s="2" t="n">
        <v>233256.51619</v>
      </c>
    </row>
    <row r="48">
      <c r="A48" s="2" t="n">
        <v>47</v>
      </c>
      <c r="B48" s="2" t="inlineStr">
        <is>
          <t>CAP_USDT_PERP</t>
        </is>
      </c>
      <c r="C48" s="2" t="inlineStr">
        <is>
          <t>做空</t>
        </is>
      </c>
      <c r="D48" s="7" t="n">
        <v>46272.72569444445</v>
      </c>
      <c r="E48" s="17" t="n">
        <v>0.04997</v>
      </c>
      <c r="F48" s="17" t="n">
        <v>0.0479712</v>
      </c>
      <c r="G48" s="17" t="n">
        <v>0.0524685</v>
      </c>
      <c r="H48" s="7" t="n">
        <v>46272.79513888889</v>
      </c>
      <c r="I48" s="17" t="n">
        <v>0.0479712</v>
      </c>
      <c r="J48" s="2" t="inlineStr">
        <is>
          <t>止盈</t>
        </is>
      </c>
      <c r="K48" s="5">
        <f>(H48-D48)*24</f>
        <v/>
      </c>
      <c r="L48" s="4">
        <f>IF(C48="做多",I48/E48-1,1-I48/E48)-2*參數!$B$7</f>
        <v/>
      </c>
      <c r="M48" s="2" t="inlineStr"/>
      <c r="N48" s="4" t="n">
        <v>0.007053607416364516</v>
      </c>
      <c r="O48" s="4" t="n">
        <v>0.01745629485814132</v>
      </c>
      <c r="P48" s="4" t="n">
        <v>0.1543148204829088</v>
      </c>
      <c r="Q48" s="19" t="n">
        <v>644814</v>
      </c>
      <c r="R48" s="19" t="n">
        <v>80672.94287</v>
      </c>
      <c r="S48" s="4" t="n">
        <v>0.04</v>
      </c>
      <c r="T48" s="4" t="n">
        <v>0.004202521512907786</v>
      </c>
      <c r="U48" s="16" t="n">
        <v>18.36242080304738</v>
      </c>
      <c r="V48" s="16" t="n">
        <v>0.538461538461537</v>
      </c>
      <c r="W48" s="4" t="n">
        <v>-0.1477013817433483</v>
      </c>
      <c r="X48" s="4" t="n">
        <v>-0.1338779214885411</v>
      </c>
      <c r="Y48" s="4" t="n"/>
      <c r="Z48" s="4" t="n"/>
      <c r="AA48" s="4" t="n">
        <v>0.04</v>
      </c>
      <c r="AB48" s="4" t="n">
        <v>0.05</v>
      </c>
      <c r="AC48" s="4">
        <f>(AB48+2*參數!$B$7)/(AA48+AB48)</f>
        <v/>
      </c>
      <c r="AD48" s="2" t="n">
        <v>0.1442637966567437</v>
      </c>
      <c r="AE48" s="2" t="n">
        <v>0.05891078618351342</v>
      </c>
      <c r="AF48" s="2" t="n">
        <v>18.36242080304738</v>
      </c>
      <c r="AG48" s="2" t="n">
        <v>0.4615384615384631</v>
      </c>
      <c r="AH48" s="2" t="n">
        <v>0.6673277648524607</v>
      </c>
      <c r="AI48" s="2" t="n">
        <v>12</v>
      </c>
      <c r="AJ48" s="2" t="n">
        <v>0.1543148204829088</v>
      </c>
      <c r="AK48" s="2" t="n">
        <v>80.97903918686539</v>
      </c>
      <c r="AL48" s="2" t="n">
        <v>0.06047037921240821</v>
      </c>
      <c r="AM48" s="2" t="n">
        <v>80672.94287</v>
      </c>
    </row>
    <row r="49">
      <c r="A49" s="2" t="n">
        <v>48</v>
      </c>
      <c r="B49" s="2" t="inlineStr">
        <is>
          <t>4_USDT_PERP</t>
        </is>
      </c>
      <c r="C49" s="2" t="inlineStr">
        <is>
          <t>做空</t>
        </is>
      </c>
      <c r="D49" s="7" t="n">
        <v>46272.78125</v>
      </c>
      <c r="E49" s="17" t="n">
        <v>0.02664</v>
      </c>
      <c r="F49" s="17" t="n">
        <v>0.0255744</v>
      </c>
      <c r="G49" s="17" t="n">
        <v>0.027972</v>
      </c>
      <c r="H49" s="7" t="n">
        <v>46272.79513888889</v>
      </c>
      <c r="I49" s="17" t="n">
        <v>0.0255744</v>
      </c>
      <c r="J49" s="2" t="inlineStr">
        <is>
          <t>止盈</t>
        </is>
      </c>
      <c r="K49" s="5">
        <f>(H49-D49)*24</f>
        <v/>
      </c>
      <c r="L49" s="4">
        <f>IF(C49="做多",I49/E49-1,1-I49/E49)-2*參數!$B$7</f>
        <v/>
      </c>
      <c r="M49" s="2" t="inlineStr"/>
      <c r="N49" s="4" t="n">
        <v>-0.0147928994082841</v>
      </c>
      <c r="O49" s="4" t="n">
        <v>0.01778820519980939</v>
      </c>
      <c r="P49" s="4" t="n">
        <v>0.1039893910929384</v>
      </c>
      <c r="Q49" s="19" t="n">
        <v>997907</v>
      </c>
      <c r="R49" s="19" t="n">
        <v>495654.04866</v>
      </c>
      <c r="S49" s="4" t="n">
        <v>0.04</v>
      </c>
      <c r="T49" s="4" t="n">
        <v>0.01876876876876876</v>
      </c>
      <c r="U49" s="16" t="n">
        <v>6.48580868019858</v>
      </c>
      <c r="V49" s="16" t="n">
        <v>0.8421052631578945</v>
      </c>
      <c r="W49" s="4" t="n">
        <v>-0.1590974355404335</v>
      </c>
      <c r="X49" s="4" t="n">
        <v>-0.1448216587881392</v>
      </c>
      <c r="Y49" s="4" t="n"/>
      <c r="Z49" s="4" t="n"/>
      <c r="AA49" s="4" t="n">
        <v>0.04</v>
      </c>
      <c r="AB49" s="4" t="n">
        <v>0.05</v>
      </c>
      <c r="AC49" s="4">
        <f>(AB49+2*參數!$B$7)/(AA49+AB49)</f>
        <v/>
      </c>
      <c r="AD49" s="2" t="n">
        <v>0.1477811288237827</v>
      </c>
      <c r="AE49" s="2" t="n">
        <v>0.08073022312373235</v>
      </c>
      <c r="AF49" s="2" t="n">
        <v>6.48580868019858</v>
      </c>
      <c r="AG49" s="2" t="n">
        <v>0.1578947368421056</v>
      </c>
      <c r="AH49" s="2" t="n">
        <v>0.2870383753245699</v>
      </c>
      <c r="AI49" s="2" t="n">
        <v>5</v>
      </c>
      <c r="AJ49" s="2" t="n">
        <v>0.1039893910929384</v>
      </c>
      <c r="AK49" s="2" t="n">
        <v>53.55647227336242</v>
      </c>
      <c r="AL49" s="2" t="n">
        <v>0.06162015036306152</v>
      </c>
      <c r="AM49" s="2" t="n">
        <v>495654.04866</v>
      </c>
    </row>
    <row r="50">
      <c r="A50" s="2" t="n">
        <v>49</v>
      </c>
      <c r="B50" s="2" t="inlineStr">
        <is>
          <t>LUNA2_USDT_PERP</t>
        </is>
      </c>
      <c r="C50" s="2" t="inlineStr">
        <is>
          <t>做空</t>
        </is>
      </c>
      <c r="D50" s="7" t="n">
        <v>46272.83680555555</v>
      </c>
      <c r="E50" s="17" t="n">
        <v>0.05437</v>
      </c>
      <c r="F50" s="17" t="n">
        <v>0.0521952</v>
      </c>
      <c r="G50" s="17" t="n">
        <v>0.05708850000000001</v>
      </c>
      <c r="H50" s="7" t="n">
        <v>46272.85763888889</v>
      </c>
      <c r="I50" s="17" t="n">
        <v>0.0521952</v>
      </c>
      <c r="J50" s="2" t="inlineStr">
        <is>
          <t>止盈</t>
        </is>
      </c>
      <c r="K50" s="5">
        <f>(H50-D50)*24</f>
        <v/>
      </c>
      <c r="L50" s="4">
        <f>IF(C50="做多",I50/E50-1,1-I50/E50)-2*參數!$B$7</f>
        <v/>
      </c>
      <c r="M50" s="2" t="inlineStr"/>
      <c r="N50" s="4" t="n">
        <v>-0.01521463502988585</v>
      </c>
      <c r="O50" s="4" t="n">
        <v>0.02192157783561765</v>
      </c>
      <c r="P50" s="4" t="n">
        <v>0.1489836063264187</v>
      </c>
      <c r="Q50" s="19" t="n">
        <v>-136373</v>
      </c>
      <c r="R50" s="19" t="n">
        <v>128595.87992</v>
      </c>
      <c r="S50" s="4" t="n">
        <v>0.04</v>
      </c>
      <c r="T50" s="4" t="n">
        <v>0.009196247930844281</v>
      </c>
      <c r="U50" s="16" t="n">
        <v>18.27547013862815</v>
      </c>
      <c r="V50" s="16" t="n">
        <v>0.7003610108303235</v>
      </c>
      <c r="W50" s="4" t="n">
        <v>-0.142402091076993</v>
      </c>
      <c r="X50" s="4" t="n">
        <v>-0.1509314140558848</v>
      </c>
      <c r="Y50" s="4" t="n"/>
      <c r="Z50" s="4" t="n"/>
      <c r="AA50" s="4" t="n">
        <v>0.04</v>
      </c>
      <c r="AB50" s="4" t="n">
        <v>0.05</v>
      </c>
      <c r="AC50" s="4">
        <f>(AB50+2*參數!$B$7)/(AA50+AB50)</f>
        <v/>
      </c>
      <c r="AD50" s="2" t="n">
        <v>0.1617521367521368</v>
      </c>
      <c r="AE50" s="2" t="n">
        <v>0.08783513405362164</v>
      </c>
      <c r="AF50" s="2" t="n">
        <v>18.27547013862815</v>
      </c>
      <c r="AG50" s="2" t="n">
        <v>0.2996389891696765</v>
      </c>
      <c r="AH50" s="2" t="n">
        <v>0.3893664109053145</v>
      </c>
      <c r="AI50" s="2" t="n">
        <v>9</v>
      </c>
      <c r="AJ50" s="2" t="n">
        <v>0.1489836063264187</v>
      </c>
      <c r="AK50" s="2" t="n">
        <v>69.50741631616563</v>
      </c>
      <c r="AL50" s="2" t="n">
        <v>0.07593857318673111</v>
      </c>
      <c r="AM50" s="2" t="n">
        <v>128595.87992</v>
      </c>
    </row>
    <row r="51">
      <c r="A51" s="2" t="n">
        <v>50</v>
      </c>
      <c r="B51" s="2" t="inlineStr">
        <is>
          <t>PIEVERSE_USDT_PERP</t>
        </is>
      </c>
      <c r="C51" s="2" t="inlineStr">
        <is>
          <t>做空</t>
        </is>
      </c>
      <c r="D51" s="7" t="n">
        <v>46272.91319444445</v>
      </c>
      <c r="E51" s="17" t="n">
        <v>1.3018</v>
      </c>
      <c r="F51" s="17" t="n">
        <v>1.249728</v>
      </c>
      <c r="G51" s="17" t="n">
        <v>1.36689</v>
      </c>
      <c r="H51" s="7" t="n">
        <v>46272.96527777778</v>
      </c>
      <c r="I51" s="17" t="n">
        <v>1.249728</v>
      </c>
      <c r="J51" s="2" t="inlineStr">
        <is>
          <t>止盈</t>
        </is>
      </c>
      <c r="K51" s="5">
        <f>(H51-D51)*24</f>
        <v/>
      </c>
      <c r="L51" s="4">
        <f>IF(C51="做多",I51/E51-1,1-I51/E51)-2*參數!$B$7</f>
        <v/>
      </c>
      <c r="M51" s="2" t="inlineStr"/>
      <c r="N51" s="4" t="n">
        <v>0.001230579910783014</v>
      </c>
      <c r="O51" s="4" t="n">
        <v>0.01216894542003848</v>
      </c>
      <c r="P51" s="4" t="n">
        <v>0.187110756652402</v>
      </c>
      <c r="Q51" s="19" t="n">
        <v>114340</v>
      </c>
      <c r="R51" s="19" t="n">
        <v>321063.4837</v>
      </c>
      <c r="S51" s="4" t="n">
        <v>0.04</v>
      </c>
      <c r="T51" s="4" t="n">
        <v>0.009755722845291137</v>
      </c>
      <c r="U51" s="16" t="n">
        <v>22.3709450262398</v>
      </c>
      <c r="V51" s="16" t="n">
        <v>0.7083333333333325</v>
      </c>
      <c r="W51" s="4" t="n">
        <v>-0.1498049800740511</v>
      </c>
      <c r="X51" s="4" t="n">
        <v>-0.275899245320004</v>
      </c>
      <c r="Y51" s="4" t="n"/>
      <c r="Z51" s="4" t="n"/>
      <c r="AA51" s="4" t="n">
        <v>0.04</v>
      </c>
      <c r="AB51" s="4" t="n">
        <v>0.05</v>
      </c>
      <c r="AC51" s="4">
        <f>(AB51+2*參數!$B$7)/(AA51+AB51)</f>
        <v/>
      </c>
      <c r="AD51" s="2" t="n">
        <v>0.1441378098084023</v>
      </c>
      <c r="AE51" s="2" t="n">
        <v>0.07845248943749472</v>
      </c>
      <c r="AF51" s="2" t="n">
        <v>22.3709450262398</v>
      </c>
      <c r="AG51" s="2" t="n">
        <v>0.2916666666666675</v>
      </c>
      <c r="AH51" s="2" t="n">
        <v>1</v>
      </c>
      <c r="AI51" s="2" t="n">
        <v>12</v>
      </c>
      <c r="AJ51" s="2" t="n">
        <v>0.187110756652402</v>
      </c>
      <c r="AK51" s="2" t="n">
        <v>86.24849059918861</v>
      </c>
      <c r="AL51" s="2" t="n">
        <v>0.04215446348407849</v>
      </c>
      <c r="AM51" s="2" t="n">
        <v>321063.4837</v>
      </c>
    </row>
    <row r="52">
      <c r="A52" s="2" t="n">
        <v>51</v>
      </c>
      <c r="B52" s="2" t="inlineStr">
        <is>
          <t>HAEDAL_USDT_PERP</t>
        </is>
      </c>
      <c r="C52" s="2" t="inlineStr">
        <is>
          <t>做空</t>
        </is>
      </c>
      <c r="D52" s="7" t="n">
        <v>46273.6875</v>
      </c>
      <c r="E52" s="17" t="n">
        <v>0.02249</v>
      </c>
      <c r="F52" s="17" t="n">
        <v>0.0215904</v>
      </c>
      <c r="G52" s="17" t="n">
        <v>0.0236145</v>
      </c>
      <c r="H52" s="7" t="n">
        <v>46273.72916666666</v>
      </c>
      <c r="I52" s="17" t="n">
        <v>0.0215904</v>
      </c>
      <c r="J52" s="2" t="inlineStr">
        <is>
          <t>止盈</t>
        </is>
      </c>
      <c r="K52" s="5">
        <f>(H52-D52)*24</f>
        <v/>
      </c>
      <c r="L52" s="4">
        <f>IF(C52="做多",I52/E52-1,1-I52/E52)-2*參數!$B$7</f>
        <v/>
      </c>
      <c r="M52" s="2" t="inlineStr"/>
      <c r="N52" s="4" t="n">
        <v>-0.03600514359194174</v>
      </c>
      <c r="O52" s="4" t="n">
        <v>0.030344582344676</v>
      </c>
      <c r="P52" s="4" t="n">
        <v>0.1990962791493294</v>
      </c>
      <c r="Q52" s="19" t="n">
        <v>-75587</v>
      </c>
      <c r="R52" s="19" t="n">
        <v>217534.25815</v>
      </c>
      <c r="S52" s="4" t="n">
        <v>0.04</v>
      </c>
      <c r="T52" s="4" t="n">
        <v>0.04224099599822151</v>
      </c>
      <c r="U52" s="16" t="n">
        <v>174.6045537288737</v>
      </c>
      <c r="V52" s="16" t="n">
        <v>0.6842105263157894</v>
      </c>
      <c r="W52" s="4" t="n">
        <v>-0.1772711806736986</v>
      </c>
      <c r="X52" s="4" t="n">
        <v>-0.2216186854970126</v>
      </c>
      <c r="Y52" s="4" t="n"/>
      <c r="Z52" s="4" t="n"/>
      <c r="AA52" s="4" t="n">
        <v>0.04</v>
      </c>
      <c r="AB52" s="4" t="n">
        <v>0.05</v>
      </c>
      <c r="AC52" s="4">
        <f>(AB52+2*參數!$B$7)/(AA52+AB52)</f>
        <v/>
      </c>
      <c r="AD52" s="2" t="n">
        <v>0.1527421834956433</v>
      </c>
      <c r="AE52" s="2" t="n">
        <v>0.122255489021956</v>
      </c>
      <c r="AF52" s="2" t="n">
        <v>174.6045537288737</v>
      </c>
      <c r="AG52" s="2" t="n">
        <v>0.3157894736842106</v>
      </c>
      <c r="AH52" s="2" t="n">
        <v>1</v>
      </c>
      <c r="AI52" s="2" t="n">
        <v>10</v>
      </c>
      <c r="AJ52" s="2" t="n">
        <v>0.1990962791493294</v>
      </c>
      <c r="AK52" s="2" t="n">
        <v>91.72629315568176</v>
      </c>
      <c r="AL52" s="2" t="n">
        <v>0.1051167167108727</v>
      </c>
      <c r="AM52" s="2" t="n">
        <v>217534.25815</v>
      </c>
    </row>
    <row r="53">
      <c r="A53" s="2" t="n">
        <v>52</v>
      </c>
      <c r="B53" s="2" t="inlineStr">
        <is>
          <t>ON_USDT_PERP</t>
        </is>
      </c>
      <c r="C53" s="2" t="inlineStr">
        <is>
          <t>做空</t>
        </is>
      </c>
      <c r="D53" s="7" t="n">
        <v>46273.75347222222</v>
      </c>
      <c r="E53" s="17" t="n">
        <v>0.211</v>
      </c>
      <c r="F53" s="17" t="n">
        <v>0.20256</v>
      </c>
      <c r="G53" s="17" t="n">
        <v>0.22155</v>
      </c>
      <c r="H53" s="7" t="n">
        <v>46273.76388888889</v>
      </c>
      <c r="I53" s="17" t="n">
        <v>0.20256</v>
      </c>
      <c r="J53" s="2" t="inlineStr">
        <is>
          <t>止盈</t>
        </is>
      </c>
      <c r="K53" s="5">
        <f>(H53-D53)*24</f>
        <v/>
      </c>
      <c r="L53" s="4">
        <f>IF(C53="做多",I53/E53-1,1-I53/E53)-2*參數!$B$7</f>
        <v/>
      </c>
      <c r="M53" s="2" t="inlineStr"/>
      <c r="N53" s="4" t="n">
        <v>0.001804197132276197</v>
      </c>
      <c r="O53" s="4" t="n">
        <v>0.01533853607999465</v>
      </c>
      <c r="P53" s="4" t="n">
        <v>0.2027969303976283</v>
      </c>
      <c r="Q53" s="19" t="n">
        <v>223777</v>
      </c>
      <c r="R53" s="19" t="n">
        <v>95985.15217999999</v>
      </c>
      <c r="S53" s="4" t="n">
        <v>0.04</v>
      </c>
      <c r="T53" s="4" t="n">
        <v>0.004502369668246464</v>
      </c>
      <c r="U53" s="16" t="n">
        <v>74.47545618613458</v>
      </c>
      <c r="V53" s="16" t="n">
        <v>0.601398601398602</v>
      </c>
      <c r="W53" s="4" t="n">
        <v>-0.1688248380263588</v>
      </c>
      <c r="X53" s="4" t="n">
        <v>-0.2210648148148147</v>
      </c>
      <c r="Y53" s="4" t="n"/>
      <c r="Z53" s="4" t="n"/>
      <c r="AA53" s="4" t="n">
        <v>0.04</v>
      </c>
      <c r="AB53" s="4" t="n">
        <v>0.05</v>
      </c>
      <c r="AC53" s="4">
        <f>(AB53+2*參數!$B$7)/(AA53+AB53)</f>
        <v/>
      </c>
      <c r="AD53" s="2" t="n">
        <v>0.1414660535569381</v>
      </c>
      <c r="AE53" s="2" t="n">
        <v>0.1175847457627119</v>
      </c>
      <c r="AF53" s="2" t="n">
        <v>74.47545618613458</v>
      </c>
      <c r="AG53" s="2" t="n">
        <v>0.398601398601398</v>
      </c>
      <c r="AH53" s="2" t="n">
        <v>1</v>
      </c>
      <c r="AI53" s="2" t="n">
        <v>8</v>
      </c>
      <c r="AJ53" s="2" t="n">
        <v>0.2027969303976283</v>
      </c>
      <c r="AK53" s="2" t="n">
        <v>77.37355476156911</v>
      </c>
      <c r="AL53" s="2" t="n">
        <v>0.05313424760855821</v>
      </c>
      <c r="AM53" s="2" t="n">
        <v>95985.15217999999</v>
      </c>
    </row>
    <row r="54">
      <c r="A54" s="2" t="n">
        <v>53</v>
      </c>
      <c r="B54" s="2" t="inlineStr">
        <is>
          <t>KAT_USDT_PERP</t>
        </is>
      </c>
      <c r="C54" s="2" t="inlineStr">
        <is>
          <t>做空</t>
        </is>
      </c>
      <c r="D54" s="7" t="n">
        <v>46274.48611111111</v>
      </c>
      <c r="E54" s="17" t="n">
        <v>0.006139</v>
      </c>
      <c r="F54" s="17" t="n">
        <v>0.00589344</v>
      </c>
      <c r="G54" s="17" t="n">
        <v>0.006445950000000001</v>
      </c>
      <c r="H54" s="7" t="n">
        <v>46274.50347222222</v>
      </c>
      <c r="I54" s="17" t="n">
        <v>0.00589344</v>
      </c>
      <c r="J54" s="2" t="inlineStr">
        <is>
          <t>止盈</t>
        </is>
      </c>
      <c r="K54" s="5">
        <f>(H54-D54)*24</f>
        <v/>
      </c>
      <c r="L54" s="4">
        <f>IF(C54="做多",I54/E54-1,1-I54/E54)-2*參數!$B$7</f>
        <v/>
      </c>
      <c r="M54" s="2" t="inlineStr"/>
      <c r="N54" s="4" t="n">
        <v>-0.01460674157303365</v>
      </c>
      <c r="O54" s="4" t="n">
        <v>0.02428278739376929</v>
      </c>
      <c r="P54" s="4" t="n">
        <v>0.2758252520503035</v>
      </c>
      <c r="Q54" s="19" t="n">
        <v>17136284</v>
      </c>
      <c r="R54" s="19" t="n">
        <v>165272.125795</v>
      </c>
      <c r="S54" s="4" t="n">
        <v>0.04</v>
      </c>
      <c r="T54" s="4" t="n">
        <v>0.02394526795895091</v>
      </c>
      <c r="U54" s="16" t="n">
        <v>45.4943858494041</v>
      </c>
      <c r="V54" s="16" t="n">
        <v>0.4591029023746693</v>
      </c>
      <c r="W54" s="4" t="n">
        <v>-0.2562361617575437</v>
      </c>
      <c r="X54" s="4" t="n">
        <v>-0.3114719077120274</v>
      </c>
      <c r="Y54" s="4" t="n"/>
      <c r="Z54" s="4" t="n"/>
      <c r="AA54" s="4" t="n">
        <v>0.04</v>
      </c>
      <c r="AB54" s="4" t="n">
        <v>0.05</v>
      </c>
      <c r="AC54" s="4">
        <f>(AB54+2*參數!$B$7)/(AA54+AB54)</f>
        <v/>
      </c>
      <c r="AD54" s="2" t="n">
        <v>0.2715410107705054</v>
      </c>
      <c r="AE54" s="2" t="n">
        <v>0.2270637617429543</v>
      </c>
      <c r="AF54" s="2" t="n">
        <v>45.4943858494041</v>
      </c>
      <c r="AG54" s="2" t="n">
        <v>0.5408970976253307</v>
      </c>
      <c r="AH54" s="2" t="n">
        <v>0.4860774396076513</v>
      </c>
      <c r="AI54" s="2" t="n">
        <v>12</v>
      </c>
      <c r="AJ54" s="2" t="n">
        <v>0.2758252520503035</v>
      </c>
      <c r="AK54" s="2" t="n">
        <v>90.51876007331751</v>
      </c>
      <c r="AL54" s="2" t="n">
        <v>0.08411804303080291</v>
      </c>
      <c r="AM54" s="2" t="n">
        <v>165272.125795</v>
      </c>
    </row>
    <row r="55">
      <c r="A55" s="2" t="n">
        <v>54</v>
      </c>
      <c r="B55" s="2" t="inlineStr">
        <is>
          <t>PROS_USDT_PERP</t>
        </is>
      </c>
      <c r="C55" s="2" t="inlineStr">
        <is>
          <t>做空</t>
        </is>
      </c>
      <c r="D55" s="7" t="n">
        <v>46274.51388888889</v>
      </c>
      <c r="E55" s="17" t="n">
        <v>0.5004999999999999</v>
      </c>
      <c r="F55" s="17" t="n">
        <v>0.4804799999999999</v>
      </c>
      <c r="G55" s="17" t="n">
        <v>0.525525</v>
      </c>
      <c r="H55" s="7" t="n">
        <v>46274.53125</v>
      </c>
      <c r="I55" s="17" t="n">
        <v>0.525525</v>
      </c>
      <c r="J55" s="2" t="inlineStr">
        <is>
          <t>止損</t>
        </is>
      </c>
      <c r="K55" s="5">
        <f>(H55-D55)*24</f>
        <v/>
      </c>
      <c r="L55" s="4">
        <f>IF(C55="做多",I55/E55-1,1-I55/E55)-2*參數!$B$7</f>
        <v/>
      </c>
      <c r="M55" s="2" t="inlineStr"/>
      <c r="N55" s="4" t="n">
        <v>-0.00969529085872578</v>
      </c>
      <c r="O55" s="4" t="n">
        <v>0.02433804920434951</v>
      </c>
      <c r="P55" s="4" t="n">
        <v>0.1411200303994677</v>
      </c>
      <c r="Q55" s="19" t="n">
        <v>-105147</v>
      </c>
      <c r="R55" s="19" t="n">
        <v>106307.0314</v>
      </c>
      <c r="S55" s="4" t="n">
        <v>0.01778221778221767</v>
      </c>
      <c r="T55" s="4" t="n">
        <v>0.05</v>
      </c>
      <c r="U55" s="16" t="n">
        <v>51.54589013471001</v>
      </c>
      <c r="V55" s="16" t="n">
        <v>0.4615384615384659</v>
      </c>
      <c r="W55" s="4" t="n">
        <v>-0.134951517955137</v>
      </c>
      <c r="X55" s="4" t="n">
        <v>-0.1550888529886914</v>
      </c>
      <c r="Y55" s="4" t="n"/>
      <c r="Z55" s="4" t="n"/>
      <c r="AA55" s="4" t="n">
        <v>0.04</v>
      </c>
      <c r="AB55" s="4" t="n">
        <v>0.05</v>
      </c>
      <c r="AC55" s="4">
        <f>(AB55+2*參數!$B$7)/(AA55+AB55)</f>
        <v/>
      </c>
      <c r="AD55" s="2" t="n">
        <v>0.166394779771615</v>
      </c>
      <c r="AE55" s="2" t="n">
        <v>0.1707602339181284</v>
      </c>
      <c r="AF55" s="2" t="n">
        <v>51.54589013471001</v>
      </c>
      <c r="AG55" s="2" t="n">
        <v>0.5384615384615341</v>
      </c>
      <c r="AH55" s="2" t="n">
        <v>0.2921806003037513</v>
      </c>
      <c r="AI55" s="2" t="n">
        <v>10</v>
      </c>
      <c r="AJ55" s="2" t="n">
        <v>0.1411200303994677</v>
      </c>
      <c r="AK55" s="2" t="n">
        <v>52.50860965668419</v>
      </c>
      <c r="AL55" s="2" t="n">
        <v>0.08430947555808929</v>
      </c>
      <c r="AM55" s="2" t="n">
        <v>106307.0314</v>
      </c>
    </row>
    <row r="56">
      <c r="A56" s="2" t="n">
        <v>55</v>
      </c>
      <c r="B56" s="2" t="inlineStr">
        <is>
          <t>PHA_USDT_PERP</t>
        </is>
      </c>
      <c r="C56" s="2" t="inlineStr">
        <is>
          <t>做空</t>
        </is>
      </c>
      <c r="D56" s="7" t="n">
        <v>46275.03472222222</v>
      </c>
      <c r="E56" s="17" t="n">
        <v>0.03342</v>
      </c>
      <c r="F56" s="17" t="n">
        <v>0.0320832</v>
      </c>
      <c r="G56" s="17" t="n">
        <v>0.035091</v>
      </c>
      <c r="H56" s="7" t="n">
        <v>46275.04861111111</v>
      </c>
      <c r="I56" s="17" t="n">
        <v>0.0320832</v>
      </c>
      <c r="J56" s="2" t="inlineStr">
        <is>
          <t>止盈</t>
        </is>
      </c>
      <c r="K56" s="5">
        <f>(H56-D56)*24</f>
        <v/>
      </c>
      <c r="L56" s="4">
        <f>IF(C56="做多",I56/E56-1,1-I56/E56)-2*參數!$B$7</f>
        <v/>
      </c>
      <c r="M56" s="2" t="inlineStr"/>
      <c r="N56" s="4" t="n">
        <v>-0.002388059701492695</v>
      </c>
      <c r="O56" s="4" t="n">
        <v>0.02018733177816259</v>
      </c>
      <c r="P56" s="4" t="n">
        <v>0.2218205748077193</v>
      </c>
      <c r="Q56" s="19" t="n">
        <v>941577</v>
      </c>
      <c r="R56" s="19" t="n">
        <v>230979.3289</v>
      </c>
      <c r="S56" s="4" t="n">
        <v>0.04</v>
      </c>
      <c r="T56" s="4" t="n">
        <v>0.0442848593656493</v>
      </c>
      <c r="U56" s="16" t="n">
        <v>2.804928032070223</v>
      </c>
      <c r="V56" s="16" t="n">
        <v>0.5405405405405433</v>
      </c>
      <c r="W56" s="4" t="n">
        <v>-0.1522508886674643</v>
      </c>
      <c r="X56" s="4" t="n">
        <v>-0.2923433874709975</v>
      </c>
      <c r="Y56" s="4" t="n"/>
      <c r="Z56" s="4" t="n"/>
      <c r="AA56" s="4" t="n">
        <v>0.04</v>
      </c>
      <c r="AB56" s="4" t="n">
        <v>0.05</v>
      </c>
      <c r="AC56" s="4">
        <f>(AB56+2*參數!$B$7)/(AA56+AB56)</f>
        <v/>
      </c>
      <c r="AD56" s="2" t="n">
        <v>0.1445205479452054</v>
      </c>
      <c r="AE56" s="2" t="n">
        <v>0.1080901856763925</v>
      </c>
      <c r="AF56" s="2" t="n">
        <v>2.804928032070223</v>
      </c>
      <c r="AG56" s="2" t="n">
        <v>0.4594594594594567</v>
      </c>
      <c r="AH56" s="2" t="n">
        <v>0.1357464610334585</v>
      </c>
      <c r="AI56" s="2" t="n">
        <v>9</v>
      </c>
      <c r="AJ56" s="2" t="n">
        <v>0.2218205748077193</v>
      </c>
      <c r="AK56" s="2" t="n">
        <v>80.4266059826863</v>
      </c>
      <c r="AL56" s="2" t="n">
        <v>0.06993096861805474</v>
      </c>
      <c r="AM56" s="2" t="n">
        <v>230979.3289</v>
      </c>
    </row>
    <row r="57">
      <c r="A57" s="2" t="n">
        <v>56</v>
      </c>
      <c r="B57" s="2" t="inlineStr">
        <is>
          <t>REZ_USDT_PERP</t>
        </is>
      </c>
      <c r="C57" s="2" t="inlineStr">
        <is>
          <t>做空</t>
        </is>
      </c>
      <c r="D57" s="7" t="n">
        <v>46275.54513888889</v>
      </c>
      <c r="E57" s="17" t="n">
        <v>0.00362</v>
      </c>
      <c r="F57" s="17" t="n">
        <v>0.0034752</v>
      </c>
      <c r="G57" s="17" t="n">
        <v>0.003801</v>
      </c>
      <c r="H57" s="7" t="n">
        <v>46275.55555555555</v>
      </c>
      <c r="I57" s="17" t="n">
        <v>0.003801</v>
      </c>
      <c r="J57" s="2" t="inlineStr">
        <is>
          <t>止損</t>
        </is>
      </c>
      <c r="K57" s="5">
        <f>(H57-D57)*24</f>
        <v/>
      </c>
      <c r="L57" s="4">
        <f>IF(C57="做多",I57/E57-1,1-I57/E57)-2*參數!$B$7</f>
        <v/>
      </c>
      <c r="M57" s="2" t="inlineStr"/>
      <c r="N57" s="4" t="n">
        <v>-0.02688172043010761</v>
      </c>
      <c r="O57" s="4" t="n">
        <v>0.02572909776682849</v>
      </c>
      <c r="P57" s="4" t="n">
        <v>0.1373573721389336</v>
      </c>
      <c r="Q57" s="19" t="n">
        <v>1363493</v>
      </c>
      <c r="R57" s="19" t="n">
        <v>115235.532015</v>
      </c>
      <c r="S57" s="4" t="n">
        <v>0.004419889502762397</v>
      </c>
      <c r="T57" s="4" t="n">
        <v>0.05</v>
      </c>
      <c r="U57" s="16" t="n">
        <v>184.0897526405562</v>
      </c>
      <c r="V57" s="16" t="n">
        <v>0.6757990867579915</v>
      </c>
      <c r="W57" s="4" t="n">
        <v>-0.1504700401075467</v>
      </c>
      <c r="X57" s="4" t="n">
        <v>-0.14702154626109</v>
      </c>
      <c r="Y57" s="4" t="n"/>
      <c r="Z57" s="4" t="n"/>
      <c r="AA57" s="4" t="n">
        <v>0.04</v>
      </c>
      <c r="AB57" s="4" t="n">
        <v>0.05</v>
      </c>
      <c r="AC57" s="4">
        <f>(AB57+2*參數!$B$7)/(AA57+AB57)</f>
        <v/>
      </c>
      <c r="AD57" s="2" t="n">
        <v>0.1558109833971904</v>
      </c>
      <c r="AE57" s="2" t="n">
        <v>0.1576590981771666</v>
      </c>
      <c r="AF57" s="2" t="n">
        <v>184.0897526405562</v>
      </c>
      <c r="AG57" s="2" t="n">
        <v>0.3242009132420086</v>
      </c>
      <c r="AH57" s="2" t="n">
        <v>1</v>
      </c>
      <c r="AI57" s="2" t="n">
        <v>7</v>
      </c>
      <c r="AJ57" s="2" t="n">
        <v>0.1373573721389336</v>
      </c>
      <c r="AK57" s="2" t="n">
        <v>46.13807772532023</v>
      </c>
      <c r="AL57" s="2" t="n">
        <v>0.08912820913010777</v>
      </c>
      <c r="AM57" s="2" t="n">
        <v>115235.532015</v>
      </c>
    </row>
    <row r="58">
      <c r="A58" s="2" t="n">
        <v>57</v>
      </c>
      <c r="B58" s="2" t="inlineStr">
        <is>
          <t>ANIME_USDT_PERP</t>
        </is>
      </c>
      <c r="C58" s="2" t="inlineStr">
        <is>
          <t>做空</t>
        </is>
      </c>
      <c r="D58" s="7" t="n">
        <v>46275.63541666666</v>
      </c>
      <c r="E58" s="17" t="n">
        <v>0.003552</v>
      </c>
      <c r="F58" s="17" t="n">
        <v>0.00340992</v>
      </c>
      <c r="G58" s="17" t="n">
        <v>0.0037296</v>
      </c>
      <c r="H58" s="7" t="n">
        <v>46275.64583333334</v>
      </c>
      <c r="I58" s="17" t="n">
        <v>0.00340992</v>
      </c>
      <c r="J58" s="2" t="inlineStr">
        <is>
          <t>止盈</t>
        </is>
      </c>
      <c r="K58" s="5">
        <f>(H58-D58)*24</f>
        <v/>
      </c>
      <c r="L58" s="4">
        <f>IF(C58="做多",I58/E58-1,1-I58/E58)-2*參數!$B$7</f>
        <v/>
      </c>
      <c r="M58" s="2" t="inlineStr"/>
      <c r="N58" s="4" t="n">
        <v>-0.02175709171027262</v>
      </c>
      <c r="O58" s="4" t="n">
        <v>0.01832290178780784</v>
      </c>
      <c r="P58" s="4" t="n">
        <v>0.1615260835146628</v>
      </c>
      <c r="Q58" s="19" t="n">
        <v>7442246</v>
      </c>
      <c r="R58" s="19" t="n">
        <v>203953.257142</v>
      </c>
      <c r="S58" s="4" t="n">
        <v>0.04</v>
      </c>
      <c r="T58" s="4" t="n">
        <v>0.02083333333333326</v>
      </c>
      <c r="U58" s="16" t="n">
        <v>136.2752968755439</v>
      </c>
      <c r="V58" s="16" t="n">
        <v>0.8986486486486497</v>
      </c>
      <c r="W58" s="4" t="n">
        <v>-0.1577612704083129</v>
      </c>
      <c r="X58" s="4" t="n">
        <v>-0.1975724881995955</v>
      </c>
      <c r="Y58" s="4" t="n"/>
      <c r="Z58" s="4" t="n"/>
      <c r="AA58" s="4" t="n">
        <v>0.04</v>
      </c>
      <c r="AB58" s="4" t="n">
        <v>0.05</v>
      </c>
      <c r="AC58" s="4">
        <f>(AB58+2*參數!$B$7)/(AA58+AB58)</f>
        <v/>
      </c>
      <c r="AD58" s="2" t="n">
        <v>0.1749917300694674</v>
      </c>
      <c r="AE58" s="2" t="n">
        <v>0.1585127201565557</v>
      </c>
      <c r="AF58" s="2" t="n">
        <v>136.2752968755439</v>
      </c>
      <c r="AG58" s="2" t="n">
        <v>0.1013513513513504</v>
      </c>
      <c r="AH58" s="2" t="n">
        <v>0.8320209359269626</v>
      </c>
      <c r="AI58" s="2" t="n">
        <v>9</v>
      </c>
      <c r="AJ58" s="2" t="n">
        <v>0.1615260835146628</v>
      </c>
      <c r="AK58" s="2" t="n">
        <v>53.51482352250129</v>
      </c>
      <c r="AL58" s="2" t="n">
        <v>0.0634723936771556</v>
      </c>
      <c r="AM58" s="2" t="n">
        <v>203953.257142</v>
      </c>
    </row>
    <row r="59">
      <c r="A59" s="2" t="n">
        <v>58</v>
      </c>
      <c r="B59" s="2" t="inlineStr">
        <is>
          <t>SAGA_USDT_PERP</t>
        </is>
      </c>
      <c r="C59" s="2" t="inlineStr">
        <is>
          <t>做空</t>
        </is>
      </c>
      <c r="D59" s="7" t="n">
        <v>46276.02430555555</v>
      </c>
      <c r="E59" s="17" t="n">
        <v>0.01776</v>
      </c>
      <c r="F59" s="17" t="n">
        <v>0.0170496</v>
      </c>
      <c r="G59" s="17" t="n">
        <v>0.018648</v>
      </c>
      <c r="H59" s="7" t="n">
        <v>46276.07638888889</v>
      </c>
      <c r="I59" s="17" t="n">
        <v>0.0170496</v>
      </c>
      <c r="J59" s="2" t="inlineStr">
        <is>
          <t>止盈</t>
        </is>
      </c>
      <c r="K59" s="5">
        <f>(H59-D59)*24</f>
        <v/>
      </c>
      <c r="L59" s="4">
        <f>IF(C59="做多",I59/E59-1,1-I59/E59)-2*參數!$B$7</f>
        <v/>
      </c>
      <c r="M59" s="2" t="inlineStr"/>
      <c r="N59" s="4" t="n">
        <v>0.007945516458569779</v>
      </c>
      <c r="O59" s="4" t="n">
        <v>0.01787643422477274</v>
      </c>
      <c r="P59" s="4" t="n">
        <v>0.2185353219152826</v>
      </c>
      <c r="Q59" s="19" t="n">
        <v>15316871.8</v>
      </c>
      <c r="R59" s="19" t="n">
        <v>456561.923971</v>
      </c>
      <c r="S59" s="4" t="n">
        <v>0.04</v>
      </c>
      <c r="T59" s="4" t="n">
        <v>0.04617117117117098</v>
      </c>
      <c r="U59" s="16" t="n">
        <v>80.15320996229781</v>
      </c>
      <c r="V59" s="16" t="n">
        <v>0.7619047619047601</v>
      </c>
      <c r="W59" s="4" t="n">
        <v>-0.1735553573198534</v>
      </c>
      <c r="X59" s="4" t="n">
        <v>-0.2181069958847739</v>
      </c>
      <c r="Y59" s="4" t="n"/>
      <c r="Z59" s="4" t="n"/>
      <c r="AA59" s="4" t="n">
        <v>0.04</v>
      </c>
      <c r="AB59" s="4" t="n">
        <v>0.05</v>
      </c>
      <c r="AC59" s="4">
        <f>(AB59+2*參數!$B$7)/(AA59+AB59)</f>
        <v/>
      </c>
      <c r="AD59" s="2" t="n">
        <v>0.162303664921466</v>
      </c>
      <c r="AE59" s="2" t="n">
        <v>0.1148775894538607</v>
      </c>
      <c r="AF59" s="2" t="n">
        <v>80.15320996229781</v>
      </c>
      <c r="AG59" s="2" t="n">
        <v>0.2380952380952399</v>
      </c>
      <c r="AH59" s="2" t="n">
        <v>1</v>
      </c>
      <c r="AI59" s="2" t="n">
        <v>12</v>
      </c>
      <c r="AJ59" s="2" t="n">
        <v>0.2185353219152826</v>
      </c>
      <c r="AK59" s="2" t="n">
        <v>83.47785607563219</v>
      </c>
      <c r="AL59" s="2" t="n">
        <v>0.06192578467093906</v>
      </c>
      <c r="AM59" s="2" t="n">
        <v>456561.923971</v>
      </c>
    </row>
    <row r="60">
      <c r="A60" s="2" t="n">
        <v>59</v>
      </c>
      <c r="B60" s="2" t="inlineStr">
        <is>
          <t>哈基米_USDT_PERP</t>
        </is>
      </c>
      <c r="C60" s="2" t="inlineStr">
        <is>
          <t>做空</t>
        </is>
      </c>
      <c r="D60" s="7" t="n">
        <v>46276.14236111111</v>
      </c>
      <c r="E60" s="17" t="n">
        <v>0.03622</v>
      </c>
      <c r="F60" s="17" t="n">
        <v>0.0347712</v>
      </c>
      <c r="G60" s="17" t="n">
        <v>0.038031</v>
      </c>
      <c r="H60" s="7" t="n">
        <v>46276.15625</v>
      </c>
      <c r="I60" s="17" t="n">
        <v>0.038031</v>
      </c>
      <c r="J60" s="2" t="inlineStr">
        <is>
          <t>止損</t>
        </is>
      </c>
      <c r="K60" s="5">
        <f>(H60-D60)*24</f>
        <v/>
      </c>
      <c r="L60" s="4">
        <f>IF(C60="做多",I60/E60-1,1-I60/E60)-2*參數!$B$7</f>
        <v/>
      </c>
      <c r="M60" s="2" t="inlineStr"/>
      <c r="N60" s="4" t="n">
        <v>-0.03180967655707023</v>
      </c>
      <c r="O60" s="4" t="n">
        <v>0.02072547375113655</v>
      </c>
      <c r="P60" s="4" t="n">
        <v>0.12175148497092</v>
      </c>
      <c r="Q60" s="19" t="n">
        <v>297331</v>
      </c>
      <c r="R60" s="19" t="n">
        <v>91989.83894</v>
      </c>
      <c r="S60" s="4" t="n">
        <v>0</v>
      </c>
      <c r="T60" s="4" t="n">
        <v>0.05</v>
      </c>
      <c r="U60" s="16" t="n">
        <v>4.8768022672256</v>
      </c>
      <c r="V60" s="16" t="n">
        <v>0.8272251308900505</v>
      </c>
      <c r="W60" s="4" t="n">
        <v>-0.1593219470975342</v>
      </c>
      <c r="X60" s="4" t="n">
        <v>-0.000828958275766789</v>
      </c>
      <c r="Y60" s="4" t="n"/>
      <c r="Z60" s="4" t="n"/>
      <c r="AA60" s="4" t="n">
        <v>0.04</v>
      </c>
      <c r="AB60" s="4" t="n">
        <v>0.05</v>
      </c>
      <c r="AC60" s="4">
        <f>(AB60+2*參數!$B$7)/(AA60+AB60)</f>
        <v/>
      </c>
      <c r="AD60" s="2" t="n">
        <v>0.1623876765083441</v>
      </c>
      <c r="AE60" s="2" t="n">
        <v>0.08670867086708678</v>
      </c>
      <c r="AF60" s="2" t="n">
        <v>4.8768022672256</v>
      </c>
      <c r="AG60" s="2" t="n">
        <v>0.1727748691099495</v>
      </c>
      <c r="AH60" s="2" t="n">
        <v>0.4935081187623189</v>
      </c>
      <c r="AI60" s="2" t="n">
        <v>7</v>
      </c>
      <c r="AJ60" s="2" t="n">
        <v>0.12175148497092</v>
      </c>
      <c r="AK60" s="2" t="n">
        <v>52.51372721624652</v>
      </c>
      <c r="AL60" s="2" t="n">
        <v>0.07179514709580727</v>
      </c>
      <c r="AM60" s="2" t="n">
        <v>91989.83894</v>
      </c>
    </row>
    <row r="61">
      <c r="A61" s="2" t="n">
        <v>60</v>
      </c>
      <c r="B61" s="2" t="inlineStr">
        <is>
          <t>我踏马来了_USDT_PERP</t>
        </is>
      </c>
      <c r="C61" s="2" t="inlineStr">
        <is>
          <t>做空</t>
        </is>
      </c>
      <c r="D61" s="7" t="n">
        <v>46276.31944444445</v>
      </c>
      <c r="E61" s="17" t="n">
        <v>0.012087</v>
      </c>
      <c r="F61" s="17" t="n">
        <v>0.01160352</v>
      </c>
      <c r="G61" s="17" t="n">
        <v>0.01269135</v>
      </c>
      <c r="H61" s="7" t="n">
        <v>46276.44097222222</v>
      </c>
      <c r="I61" s="17" t="n">
        <v>0.01269135</v>
      </c>
      <c r="J61" s="2" t="inlineStr">
        <is>
          <t>止損</t>
        </is>
      </c>
      <c r="K61" s="5">
        <f>(H61-D61)*24</f>
        <v/>
      </c>
      <c r="L61" s="4">
        <f>IF(C61="做多",I61/E61-1,1-I61/E61)-2*參數!$B$7</f>
        <v/>
      </c>
      <c r="M61" s="2" t="inlineStr"/>
      <c r="N61" s="4" t="n">
        <v>0.01588502269288949</v>
      </c>
      <c r="O61" s="4" t="n">
        <v>0.01596446170172047</v>
      </c>
      <c r="P61" s="4" t="n">
        <v>0.1658595203742481</v>
      </c>
      <c r="Q61" s="19" t="n">
        <v>1827629</v>
      </c>
      <c r="R61" s="19" t="n">
        <v>66488.960852</v>
      </c>
      <c r="S61" s="4" t="n">
        <v>0.03714734839083311</v>
      </c>
      <c r="T61" s="4" t="n">
        <v>0.05</v>
      </c>
      <c r="U61" s="16" t="n">
        <v>5.833294639060695</v>
      </c>
      <c r="V61" s="16" t="n">
        <v>0.4155124653739585</v>
      </c>
      <c r="W61" s="4" t="n">
        <v>-0.1845180637289729</v>
      </c>
      <c r="X61" s="4" t="n">
        <v>-0.08306451612903243</v>
      </c>
      <c r="Y61" s="4" t="n"/>
      <c r="Z61" s="4" t="n"/>
      <c r="AA61" s="4" t="n">
        <v>0.04</v>
      </c>
      <c r="AB61" s="4" t="n">
        <v>0.05</v>
      </c>
      <c r="AC61" s="4">
        <f>(AB61+2*參數!$B$7)/(AA61+AB61)</f>
        <v/>
      </c>
      <c r="AD61" s="2" t="n">
        <v>0.1609835750648354</v>
      </c>
      <c r="AE61" s="2" t="n">
        <v>0.155876446399541</v>
      </c>
      <c r="AF61" s="2" t="n">
        <v>5.833294639060695</v>
      </c>
      <c r="AG61" s="2" t="n">
        <v>0.5844875346260415</v>
      </c>
      <c r="AH61" s="2" t="n">
        <v>0.1316573424572462</v>
      </c>
      <c r="AI61" s="2" t="n">
        <v>5</v>
      </c>
      <c r="AJ61" s="2" t="n">
        <v>0.1658595203742481</v>
      </c>
      <c r="AK61" s="2" t="n">
        <v>63.60779658165353</v>
      </c>
      <c r="AL61" s="2" t="n">
        <v>0.05530251756573471</v>
      </c>
      <c r="AM61" s="2" t="n">
        <v>66488.960852</v>
      </c>
    </row>
    <row r="62">
      <c r="A62" s="2" t="n">
        <v>61</v>
      </c>
      <c r="B62" s="2" t="inlineStr">
        <is>
          <t>哈基米_USDT_PERP</t>
        </is>
      </c>
      <c r="C62" s="2" t="inlineStr">
        <is>
          <t>做空</t>
        </is>
      </c>
      <c r="D62" s="7" t="n">
        <v>46276.48958333334</v>
      </c>
      <c r="E62" s="17" t="n">
        <v>0.0411</v>
      </c>
      <c r="F62" s="17" t="n">
        <v>0.039456</v>
      </c>
      <c r="G62" s="17" t="n">
        <v>0.043155</v>
      </c>
      <c r="H62" s="7" t="n">
        <v>46276.50347222222</v>
      </c>
      <c r="I62" s="17" t="n">
        <v>0.039456</v>
      </c>
      <c r="J62" s="2" t="inlineStr">
        <is>
          <t>止盈</t>
        </is>
      </c>
      <c r="K62" s="5">
        <f>(H62-D62)*24</f>
        <v/>
      </c>
      <c r="L62" s="4">
        <f>IF(C62="做多",I62/E62-1,1-I62/E62)-2*參數!$B$7</f>
        <v/>
      </c>
      <c r="M62" s="2" t="inlineStr"/>
      <c r="N62" s="4" t="n">
        <v>0.008588957055214674</v>
      </c>
      <c r="O62" s="4" t="n">
        <v>0.02504594095132378</v>
      </c>
      <c r="P62" s="4" t="n">
        <v>0.2444300903801413</v>
      </c>
      <c r="Q62" s="19" t="n">
        <v>354180</v>
      </c>
      <c r="R62" s="19" t="n">
        <v>144607.27633</v>
      </c>
      <c r="S62" s="4" t="n">
        <v>0.04</v>
      </c>
      <c r="T62" s="4" t="n">
        <v>0.003649635036496512</v>
      </c>
      <c r="U62" s="16" t="n">
        <v>5.412148489716829</v>
      </c>
      <c r="V62" s="16" t="n">
        <v>0.5970149253731347</v>
      </c>
      <c r="W62" s="4" t="n">
        <v>-0.1532957319639698</v>
      </c>
      <c r="X62" s="4" t="n">
        <v>-0.1790017211703958</v>
      </c>
      <c r="Y62" s="4" t="n"/>
      <c r="Z62" s="4" t="n"/>
      <c r="AA62" s="4" t="n">
        <v>0.04</v>
      </c>
      <c r="AB62" s="4" t="n">
        <v>0.05</v>
      </c>
      <c r="AC62" s="4">
        <f>(AB62+2*參數!$B$7)/(AA62+AB62)</f>
        <v/>
      </c>
      <c r="AD62" s="2" t="n">
        <v>0.1746213203772506</v>
      </c>
      <c r="AE62" s="2" t="n">
        <v>0.1810344827586208</v>
      </c>
      <c r="AF62" s="2" t="n">
        <v>5.412148489716829</v>
      </c>
      <c r="AG62" s="2" t="n">
        <v>0.4029850746268652</v>
      </c>
      <c r="AH62" s="2" t="n">
        <v>0.641996911146162</v>
      </c>
      <c r="AI62" s="2" t="n">
        <v>2</v>
      </c>
      <c r="AJ62" s="2" t="n">
        <v>0.2444300903801413</v>
      </c>
      <c r="AK62" s="2" t="n">
        <v>51.47186630017069</v>
      </c>
      <c r="AL62" s="2" t="n">
        <v>0.08676168450212553</v>
      </c>
      <c r="AM62" s="2" t="n">
        <v>144607.27633</v>
      </c>
    </row>
    <row r="63">
      <c r="A63" s="2" t="n">
        <v>62</v>
      </c>
      <c r="B63" s="2" t="inlineStr">
        <is>
          <t>哈基米_USDT_PERP</t>
        </is>
      </c>
      <c r="C63" s="2" t="inlineStr">
        <is>
          <t>做空</t>
        </is>
      </c>
      <c r="D63" s="7" t="n">
        <v>46276.54513888889</v>
      </c>
      <c r="E63" s="17" t="n">
        <v>0.04118</v>
      </c>
      <c r="F63" s="17" t="n">
        <v>0.0395328</v>
      </c>
      <c r="G63" s="17" t="n">
        <v>0.04323900000000001</v>
      </c>
      <c r="H63" s="7" t="n">
        <v>46276.55208333334</v>
      </c>
      <c r="I63" s="17" t="n">
        <v>0.0395328</v>
      </c>
      <c r="J63" s="2" t="inlineStr">
        <is>
          <t>止盈</t>
        </is>
      </c>
      <c r="K63" s="5">
        <f>(H63-D63)*24</f>
        <v/>
      </c>
      <c r="L63" s="4">
        <f>IF(C63="做多",I63/E63-1,1-I63/E63)-2*參數!$B$7</f>
        <v/>
      </c>
      <c r="M63" s="2" t="inlineStr"/>
      <c r="N63" s="4" t="n">
        <v>-0.009143407122232827</v>
      </c>
      <c r="O63" s="4" t="n">
        <v>0.02652192575188217</v>
      </c>
      <c r="P63" s="4" t="n">
        <v>0.2303968986110232</v>
      </c>
      <c r="Q63" s="19" t="n">
        <v>124326</v>
      </c>
      <c r="R63" s="19" t="n">
        <v>159835.63652</v>
      </c>
      <c r="S63" s="4" t="n">
        <v>0.04</v>
      </c>
      <c r="T63" s="4" t="n">
        <v>0.03399708596406015</v>
      </c>
      <c r="U63" s="16" t="n">
        <v>3.020375253605158</v>
      </c>
      <c r="V63" s="16" t="n">
        <v>0.4772727272727256</v>
      </c>
      <c r="W63" s="4" t="n">
        <v>-0.1477625876221136</v>
      </c>
      <c r="X63" s="4" t="n">
        <v>-0.1887990762124712</v>
      </c>
      <c r="Y63" s="4" t="n"/>
      <c r="Z63" s="4" t="n"/>
      <c r="AA63" s="4" t="n">
        <v>0.04</v>
      </c>
      <c r="AB63" s="4" t="n">
        <v>0.05</v>
      </c>
      <c r="AC63" s="4">
        <f>(AB63+2*參數!$B$7)/(AA63+AB63)</f>
        <v/>
      </c>
      <c r="AD63" s="2" t="n">
        <v>0.1435712302138294</v>
      </c>
      <c r="AE63" s="2" t="n">
        <v>0.05806783144912631</v>
      </c>
      <c r="AF63" s="2" t="n">
        <v>3.020375253605158</v>
      </c>
      <c r="AG63" s="2" t="n">
        <v>0.5227272727272744</v>
      </c>
      <c r="AH63" s="2" t="n">
        <v>0.3938617245005258</v>
      </c>
      <c r="AI63" s="2" t="n">
        <v>1</v>
      </c>
      <c r="AJ63" s="2" t="n">
        <v>0.2303968986110232</v>
      </c>
      <c r="AK63" s="2" t="n">
        <v>60.23885682127936</v>
      </c>
      <c r="AL63" s="2" t="n">
        <v>0.09187464583365861</v>
      </c>
      <c r="AM63" s="2" t="n">
        <v>159835.63652</v>
      </c>
    </row>
    <row r="64">
      <c r="A64" s="2" t="n">
        <v>63</v>
      </c>
      <c r="B64" s="2" t="inlineStr">
        <is>
          <t>LAB_USDT_PERP</t>
        </is>
      </c>
      <c r="C64" s="2" t="inlineStr">
        <is>
          <t>做空</t>
        </is>
      </c>
      <c r="D64" s="7" t="n">
        <v>46276.76388888889</v>
      </c>
      <c r="E64" s="17" t="n">
        <v>0.05873</v>
      </c>
      <c r="F64" s="17" t="n">
        <v>0.05638079999999999</v>
      </c>
      <c r="G64" s="17" t="n">
        <v>0.0616665</v>
      </c>
      <c r="H64" s="7" t="n">
        <v>46276.78125</v>
      </c>
      <c r="I64" s="17" t="n">
        <v>0.0616665</v>
      </c>
      <c r="J64" s="2" t="inlineStr">
        <is>
          <t>止損</t>
        </is>
      </c>
      <c r="K64" s="5">
        <f>(H64-D64)*24</f>
        <v/>
      </c>
      <c r="L64" s="4">
        <f>IF(C64="做多",I64/E64-1,1-I64/E64)-2*參數!$B$7</f>
        <v/>
      </c>
      <c r="M64" s="2" t="inlineStr"/>
      <c r="N64" s="4" t="n">
        <v>0.002560600887674847</v>
      </c>
      <c r="O64" s="4" t="n">
        <v>0.02119252232604689</v>
      </c>
      <c r="P64" s="4" t="n">
        <v>0.2418689355673442</v>
      </c>
      <c r="Q64" s="19" t="n">
        <v>1478857</v>
      </c>
      <c r="R64" s="19" t="n">
        <v>307672.4554</v>
      </c>
      <c r="S64" s="4" t="n">
        <v>0.001532436574152918</v>
      </c>
      <c r="T64" s="4" t="n">
        <v>0.05</v>
      </c>
      <c r="U64" s="16" t="n">
        <v>5.589058824402443</v>
      </c>
      <c r="V64" s="16" t="n">
        <v>0.5515151515151526</v>
      </c>
      <c r="W64" s="4" t="n">
        <v>-0.2301150942013048</v>
      </c>
      <c r="X64" s="4" t="n">
        <v>-0.194913530010173</v>
      </c>
      <c r="Y64" s="4" t="n"/>
      <c r="Z64" s="4" t="n"/>
      <c r="AA64" s="4" t="n">
        <v>0.04</v>
      </c>
      <c r="AB64" s="4" t="n">
        <v>0.05</v>
      </c>
      <c r="AC64" s="4">
        <f>(AB64+2*參數!$B$7)/(AA64+AB64)</f>
        <v/>
      </c>
      <c r="AD64" s="2" t="n">
        <v>0.2049651210504719</v>
      </c>
      <c r="AE64" s="2" t="n">
        <v>0.2421742808798646</v>
      </c>
      <c r="AF64" s="2" t="n">
        <v>5.589058824402443</v>
      </c>
      <c r="AG64" s="2" t="n">
        <v>0.4484848484848474</v>
      </c>
      <c r="AH64" s="2" t="n">
        <v>0.3055476942809444</v>
      </c>
      <c r="AI64" s="2" t="n">
        <v>9</v>
      </c>
      <c r="AJ64" s="2" t="n">
        <v>0.2418689355673442</v>
      </c>
      <c r="AK64" s="2" t="n">
        <v>42.74977000167494</v>
      </c>
      <c r="AL64" s="2" t="n">
        <v>0.07341305081850195</v>
      </c>
      <c r="AM64" s="2" t="n">
        <v>307672.4554</v>
      </c>
    </row>
    <row r="65">
      <c r="A65" s="2" t="n">
        <v>64</v>
      </c>
      <c r="B65" s="2" t="inlineStr">
        <is>
          <t>CASHCAT_USDT_PERP</t>
        </is>
      </c>
      <c r="C65" s="2" t="inlineStr">
        <is>
          <t>做空</t>
        </is>
      </c>
      <c r="D65" s="7" t="n">
        <v>46276.92013888889</v>
      </c>
      <c r="E65" s="17" t="n">
        <v>0.1886</v>
      </c>
      <c r="F65" s="17" t="n">
        <v>0.181056</v>
      </c>
      <c r="G65" s="17" t="n">
        <v>0.19803</v>
      </c>
      <c r="H65" s="7" t="n">
        <v>46276.99652777778</v>
      </c>
      <c r="I65" s="17" t="n">
        <v>0.181056</v>
      </c>
      <c r="J65" s="2" t="inlineStr">
        <is>
          <t>止盈</t>
        </is>
      </c>
      <c r="K65" s="5">
        <f>(H65-D65)*24</f>
        <v/>
      </c>
      <c r="L65" s="4">
        <f>IF(C65="做多",I65/E65-1,1-I65/E65)-2*參數!$B$7</f>
        <v/>
      </c>
      <c r="M65" s="2" t="inlineStr"/>
      <c r="N65" s="4" t="n">
        <v>0.004794885455513986</v>
      </c>
      <c r="O65" s="4" t="n">
        <v>0.01847184603163247</v>
      </c>
      <c r="P65" s="4" t="n">
        <v>0.1202435312024352</v>
      </c>
      <c r="Q65" s="19" t="n">
        <v>246212</v>
      </c>
      <c r="R65" s="19" t="n">
        <v>172599.785</v>
      </c>
      <c r="S65" s="4" t="n">
        <v>0.04</v>
      </c>
      <c r="T65" s="4" t="n">
        <v>0.03128313891834589</v>
      </c>
      <c r="U65" s="16" t="n">
        <v>6.099240134210581</v>
      </c>
      <c r="V65" s="16" t="n">
        <v>0.537037037037038</v>
      </c>
      <c r="W65" s="4" t="n">
        <v>-0.1234750285932138</v>
      </c>
      <c r="X65" s="4" t="n">
        <v>-0.1634793337446021</v>
      </c>
      <c r="Y65" s="4" t="n"/>
      <c r="Z65" s="4" t="n"/>
      <c r="AA65" s="4" t="n">
        <v>0.04</v>
      </c>
      <c r="AB65" s="4" t="n">
        <v>0.05</v>
      </c>
      <c r="AC65" s="4">
        <f>(AB65+2*參數!$B$7)/(AA65+AB65)</f>
        <v/>
      </c>
      <c r="AD65" s="2" t="n">
        <v>0.174346201743462</v>
      </c>
      <c r="AE65" s="2" t="n">
        <v>0.118623962040332</v>
      </c>
      <c r="AF65" s="2" t="n">
        <v>6.099240134210581</v>
      </c>
      <c r="AG65" s="2" t="n">
        <v>0.462962962962962</v>
      </c>
      <c r="AH65" s="2" t="n">
        <v>0.312279458445911</v>
      </c>
      <c r="AI65" s="2" t="n">
        <v>4</v>
      </c>
      <c r="AJ65" s="2" t="n">
        <v>0.1202435312024352</v>
      </c>
      <c r="AK65" s="2" t="n">
        <v>54.45963336515353</v>
      </c>
      <c r="AL65" s="2" t="n">
        <v>0.06398835167275396</v>
      </c>
      <c r="AM65" s="2" t="n">
        <v>172599.785</v>
      </c>
    </row>
    <row r="66">
      <c r="A66" s="2" t="n">
        <v>65</v>
      </c>
      <c r="B66" s="2" t="inlineStr">
        <is>
          <t>BLUR_USDT_PERP</t>
        </is>
      </c>
      <c r="C66" s="2" t="inlineStr">
        <is>
          <t>做空</t>
        </is>
      </c>
      <c r="D66" s="7" t="n">
        <v>46276.97222222222</v>
      </c>
      <c r="E66" s="17" t="n">
        <v>0.02085</v>
      </c>
      <c r="F66" s="17" t="n">
        <v>0.020016</v>
      </c>
      <c r="G66" s="17" t="n">
        <v>0.0218925</v>
      </c>
      <c r="H66" s="7" t="n">
        <v>46276.98263888889</v>
      </c>
      <c r="I66" s="17" t="n">
        <v>0.020016</v>
      </c>
      <c r="J66" s="2" t="inlineStr">
        <is>
          <t>止盈</t>
        </is>
      </c>
      <c r="K66" s="5">
        <f>(H66-D66)*24</f>
        <v/>
      </c>
      <c r="L66" s="4">
        <f>IF(C66="做多",I66/E66-1,1-I66/E66)-2*參數!$B$7</f>
        <v/>
      </c>
      <c r="M66" s="2" t="inlineStr"/>
      <c r="N66" s="4" t="n">
        <v>0.0116448326055314</v>
      </c>
      <c r="O66" s="4" t="n">
        <v>0.0175886924665684</v>
      </c>
      <c r="P66" s="4" t="n">
        <v>0.2165503358641665</v>
      </c>
      <c r="Q66" s="19" t="n">
        <v>2700828</v>
      </c>
      <c r="R66" s="19" t="n">
        <v>136541.57067</v>
      </c>
      <c r="S66" s="4" t="n">
        <v>0.04</v>
      </c>
      <c r="T66" s="4" t="n">
        <v>0.01486810551558748</v>
      </c>
      <c r="U66" s="16" t="n">
        <v>43.8921963331126</v>
      </c>
      <c r="V66" s="16" t="n">
        <v>0.6739130434782593</v>
      </c>
      <c r="W66" s="4" t="n">
        <v>-0.1929965096984609</v>
      </c>
      <c r="X66" s="4" t="n">
        <v>-0.2910216718266254</v>
      </c>
      <c r="Y66" s="4" t="n"/>
      <c r="Z66" s="4" t="n"/>
      <c r="AA66" s="4" t="n">
        <v>0.04</v>
      </c>
      <c r="AB66" s="4" t="n">
        <v>0.05</v>
      </c>
      <c r="AC66" s="4">
        <f>(AB66+2*參數!$B$7)/(AA66+AB66)</f>
        <v/>
      </c>
      <c r="AD66" s="2" t="n">
        <v>0.2200117027501463</v>
      </c>
      <c r="AE66" s="2" t="n">
        <v>0.1570477247502775</v>
      </c>
      <c r="AF66" s="2" t="n">
        <v>43.8921963331126</v>
      </c>
      <c r="AG66" s="2" t="n">
        <v>0.3260869565217407</v>
      </c>
      <c r="AH66" s="2" t="n">
        <v>1</v>
      </c>
      <c r="AI66" s="2" t="n">
        <v>8</v>
      </c>
      <c r="AJ66" s="2" t="n">
        <v>0.2165503358641665</v>
      </c>
      <c r="AK66" s="2" t="n">
        <v>65.33283413263675</v>
      </c>
      <c r="AL66" s="2" t="n">
        <v>0.06092901798160087</v>
      </c>
      <c r="AM66" s="2" t="n">
        <v>136541.57067</v>
      </c>
    </row>
    <row r="67">
      <c r="A67" s="2" t="n">
        <v>66</v>
      </c>
      <c r="B67" s="2" t="inlineStr">
        <is>
          <t>CYS_USDT_PERP</t>
        </is>
      </c>
      <c r="C67" s="2" t="inlineStr">
        <is>
          <t>做空</t>
        </is>
      </c>
      <c r="D67" s="7" t="n">
        <v>46277.30208333334</v>
      </c>
      <c r="E67" s="17" t="n">
        <v>0.1593</v>
      </c>
      <c r="F67" s="17" t="n">
        <v>0.152928</v>
      </c>
      <c r="G67" s="17" t="n">
        <v>0.167265</v>
      </c>
      <c r="H67" s="7" t="n">
        <v>46277.31944444445</v>
      </c>
      <c r="I67" s="17" t="n">
        <v>0.152928</v>
      </c>
      <c r="J67" s="2" t="inlineStr">
        <is>
          <t>止盈</t>
        </is>
      </c>
      <c r="K67" s="5">
        <f>(H67-D67)*24</f>
        <v/>
      </c>
      <c r="L67" s="4">
        <f>IF(C67="做多",I67/E67-1,1-I67/E67)-2*參數!$B$7</f>
        <v/>
      </c>
      <c r="M67" s="2" t="inlineStr"/>
      <c r="N67" s="4" t="n">
        <v>0.003780718336483968</v>
      </c>
      <c r="O67" s="4" t="n">
        <v>0.02358836065256801</v>
      </c>
      <c r="P67" s="4" t="n">
        <v>0.2099959489568566</v>
      </c>
      <c r="Q67" s="19" t="n">
        <v>142108</v>
      </c>
      <c r="R67" s="19" t="n">
        <v>258408.1158</v>
      </c>
      <c r="S67" s="4" t="n">
        <v>0.04</v>
      </c>
      <c r="T67" s="4" t="n">
        <v>0.01129943502824848</v>
      </c>
      <c r="U67" s="16" t="n">
        <v>2.353827649188904</v>
      </c>
      <c r="V67" s="16" t="n">
        <v>0.4722222222222252</v>
      </c>
      <c r="W67" s="4" t="n">
        <v>-0.1894450749656531</v>
      </c>
      <c r="X67" s="4" t="n">
        <v>-0.1468682505399568</v>
      </c>
      <c r="Y67" s="4" t="n"/>
      <c r="Z67" s="4" t="n"/>
      <c r="AA67" s="4" t="n">
        <v>0.04</v>
      </c>
      <c r="AB67" s="4" t="n">
        <v>0.05</v>
      </c>
      <c r="AC67" s="4">
        <f>(AB67+2*參數!$B$7)/(AA67+AB67)</f>
        <v/>
      </c>
      <c r="AD67" s="2" t="n">
        <v>0.2086494688922609</v>
      </c>
      <c r="AE67" s="2" t="n">
        <v>0.1661786237188871</v>
      </c>
      <c r="AF67" s="2" t="n">
        <v>2.353827649188904</v>
      </c>
      <c r="AG67" s="2" t="n">
        <v>0.5277777777777748</v>
      </c>
      <c r="AH67" s="2" t="n">
        <v>0.05653753026634382</v>
      </c>
      <c r="AI67" s="2" t="n">
        <v>6</v>
      </c>
      <c r="AJ67" s="2" t="n">
        <v>0.2099959489568566</v>
      </c>
      <c r="AK67" s="2" t="n">
        <v>63.0595531136139</v>
      </c>
      <c r="AL67" s="2" t="n">
        <v>0.08171247823501271</v>
      </c>
      <c r="AM67" s="2" t="n">
        <v>258408.1158</v>
      </c>
    </row>
    <row r="68">
      <c r="A68" s="2" t="n">
        <v>67</v>
      </c>
      <c r="B68" s="2" t="inlineStr">
        <is>
          <t>TREE_USDT_PERP</t>
        </is>
      </c>
      <c r="C68" s="2" t="inlineStr">
        <is>
          <t>做空</t>
        </is>
      </c>
      <c r="D68" s="7" t="n">
        <v>46277.34722222222</v>
      </c>
      <c r="E68" s="17" t="n">
        <v>0.04535</v>
      </c>
      <c r="F68" s="17" t="n">
        <v>0.043536</v>
      </c>
      <c r="G68" s="17" t="n">
        <v>0.0476175</v>
      </c>
      <c r="H68" s="7" t="n">
        <v>46277.35069444445</v>
      </c>
      <c r="I68" s="17" t="n">
        <v>0.043536</v>
      </c>
      <c r="J68" s="2" t="inlineStr">
        <is>
          <t>止盈</t>
        </is>
      </c>
      <c r="K68" s="5">
        <f>(H68-D68)*24</f>
        <v/>
      </c>
      <c r="L68" s="4">
        <f>IF(C68="做多",I68/E68-1,1-I68/E68)-2*參數!$B$7</f>
        <v/>
      </c>
      <c r="M68" s="2" t="inlineStr"/>
      <c r="N68" s="4" t="n">
        <v>-0.01112080244221536</v>
      </c>
      <c r="O68" s="4" t="n">
        <v>0.0178305496420541</v>
      </c>
      <c r="P68" s="4" t="n">
        <v>0.1533216277475364</v>
      </c>
      <c r="Q68" s="19" t="n">
        <v>196256</v>
      </c>
      <c r="R68" s="19" t="n">
        <v>29752.21494</v>
      </c>
      <c r="S68" s="4" t="n">
        <v>0.04</v>
      </c>
      <c r="T68" s="4" t="n">
        <v>0</v>
      </c>
      <c r="U68" s="16" t="n">
        <v>18.12890308521833</v>
      </c>
      <c r="V68" s="16" t="n">
        <v>0.8636363636363602</v>
      </c>
      <c r="W68" s="4" t="n">
        <v>-0.1478193962495287</v>
      </c>
      <c r="X68" s="4" t="n">
        <v>-0.1902887139107612</v>
      </c>
      <c r="Y68" s="4" t="n"/>
      <c r="Z68" s="4" t="n"/>
      <c r="AA68" s="4" t="n">
        <v>0.04</v>
      </c>
      <c r="AB68" s="4" t="n">
        <v>0.05</v>
      </c>
      <c r="AC68" s="4">
        <f>(AB68+2*參數!$B$7)/(AA68+AB68)</f>
        <v/>
      </c>
      <c r="AD68" s="2" t="n">
        <v>0.1568877551020409</v>
      </c>
      <c r="AE68" s="2" t="n">
        <v>0.1580694586312563</v>
      </c>
      <c r="AF68" s="2" t="n">
        <v>18.12890308521833</v>
      </c>
      <c r="AG68" s="2" t="n">
        <v>0.1363636363636398</v>
      </c>
      <c r="AH68" s="2" t="n">
        <v>0.1935377655614728</v>
      </c>
      <c r="AI68" s="2" t="n">
        <v>5</v>
      </c>
      <c r="AJ68" s="2" t="n">
        <v>0.1533216277475364</v>
      </c>
      <c r="AK68" s="2" t="n">
        <v>45.59716647618711</v>
      </c>
      <c r="AL68" s="2" t="n">
        <v>0.06176683581383351</v>
      </c>
      <c r="AM68" s="2" t="n">
        <v>29752.21494</v>
      </c>
    </row>
    <row r="69">
      <c r="A69" s="2" t="n">
        <v>68</v>
      </c>
      <c r="B69" s="2" t="inlineStr">
        <is>
          <t>我踏马来了_USDT_PERP</t>
        </is>
      </c>
      <c r="C69" s="2" t="inlineStr">
        <is>
          <t>做空</t>
        </is>
      </c>
      <c r="D69" s="7" t="n">
        <v>46277.55208333334</v>
      </c>
      <c r="E69" s="17" t="n">
        <v>0.015</v>
      </c>
      <c r="F69" s="17" t="n">
        <v>0.0144</v>
      </c>
      <c r="G69" s="17" t="n">
        <v>0.01575</v>
      </c>
      <c r="H69" s="7" t="n">
        <v>46277.55555555555</v>
      </c>
      <c r="I69" s="17" t="n">
        <v>0.0144</v>
      </c>
      <c r="J69" s="2" t="inlineStr">
        <is>
          <t>止盈</t>
        </is>
      </c>
      <c r="K69" s="5">
        <f>(H69-D69)*24</f>
        <v/>
      </c>
      <c r="L69" s="4">
        <f>IF(C69="做多",I69/E69-1,1-I69/E69)-2*參數!$B$7</f>
        <v/>
      </c>
      <c r="M69" s="2" t="inlineStr"/>
      <c r="N69" s="4" t="n">
        <v>-0.0730441230997404</v>
      </c>
      <c r="O69" s="4" t="n">
        <v>0.04280809318299815</v>
      </c>
      <c r="P69" s="4" t="n">
        <v>0.2184369822700496</v>
      </c>
      <c r="Q69" s="19" t="n">
        <v>2307802</v>
      </c>
      <c r="R69" s="19" t="n">
        <v>250006.492562</v>
      </c>
      <c r="S69" s="4" t="n">
        <v>0.04</v>
      </c>
      <c r="T69" s="4" t="n">
        <v>0</v>
      </c>
      <c r="U69" s="16" t="n">
        <v>7.884083447952517</v>
      </c>
      <c r="V69" s="16" t="n">
        <v>0.5620726880172726</v>
      </c>
      <c r="W69" s="4" t="n">
        <v>-0.1673288015035197</v>
      </c>
      <c r="X69" s="4" t="n">
        <v>-0.2283000327546674</v>
      </c>
      <c r="Y69" s="4" t="n"/>
      <c r="Z69" s="4" t="n"/>
      <c r="AA69" s="4" t="n">
        <v>0.04</v>
      </c>
      <c r="AB69" s="4" t="n">
        <v>0.05</v>
      </c>
      <c r="AC69" s="4">
        <f>(AB69+2*參數!$B$7)/(AA69+AB69)</f>
        <v/>
      </c>
      <c r="AD69" s="2" t="n">
        <v>0.1850213303839467</v>
      </c>
      <c r="AE69" s="2" t="n">
        <v>0.05507491031863254</v>
      </c>
      <c r="AF69" s="2" t="n">
        <v>7.884083447952517</v>
      </c>
      <c r="AG69" s="2" t="n">
        <v>0.4379273119827273</v>
      </c>
      <c r="AH69" s="2" t="n">
        <v>0.3912277596759213</v>
      </c>
      <c r="AI69" s="2" t="n">
        <v>5</v>
      </c>
      <c r="AJ69" s="2" t="n">
        <v>0.2184369822700496</v>
      </c>
      <c r="AK69" s="2" t="n">
        <v>65.33981484062997</v>
      </c>
      <c r="AL69" s="2" t="n">
        <v>0.1482915847361914</v>
      </c>
      <c r="AM69" s="2" t="n">
        <v>250006.492562</v>
      </c>
    </row>
    <row r="70">
      <c r="A70" s="2" t="n">
        <v>69</v>
      </c>
      <c r="B70" s="2" t="inlineStr">
        <is>
          <t>GRIFFAIN_USDT_PERP</t>
        </is>
      </c>
      <c r="C70" s="2" t="inlineStr">
        <is>
          <t>做空</t>
        </is>
      </c>
      <c r="D70" s="7" t="n">
        <v>46277.64236111111</v>
      </c>
      <c r="E70" s="17" t="n">
        <v>0.01287</v>
      </c>
      <c r="F70" s="17" t="n">
        <v>0.0123552</v>
      </c>
      <c r="G70" s="17" t="n">
        <v>0.0135135</v>
      </c>
      <c r="H70" s="7" t="n">
        <v>46277.68402777778</v>
      </c>
      <c r="I70" s="17" t="n">
        <v>0.0135135</v>
      </c>
      <c r="J70" s="2" t="inlineStr">
        <is>
          <t>止損</t>
        </is>
      </c>
      <c r="K70" s="5">
        <f>(H70-D70)*24</f>
        <v/>
      </c>
      <c r="L70" s="4">
        <f>IF(C70="做多",I70/E70-1,1-I70/E70)-2*參數!$B$7</f>
        <v/>
      </c>
      <c r="M70" s="2" t="inlineStr"/>
      <c r="N70" s="4" t="n">
        <v>-0.008474576271186529</v>
      </c>
      <c r="O70" s="4" t="n">
        <v>0.01596830645568615</v>
      </c>
      <c r="P70" s="4" t="n">
        <v>0.1519570365674006</v>
      </c>
      <c r="Q70" s="19" t="n">
        <v>641045</v>
      </c>
      <c r="R70" s="19" t="n">
        <v>25011.74084</v>
      </c>
      <c r="S70" s="4" t="n">
        <v>0.003885003885003901</v>
      </c>
      <c r="T70" s="4" t="n">
        <v>0.05</v>
      </c>
      <c r="U70" s="16" t="n">
        <v>6.577599589942425</v>
      </c>
      <c r="V70" s="16" t="n">
        <v>1</v>
      </c>
      <c r="W70" s="4" t="n">
        <v>-0.137347779211368</v>
      </c>
      <c r="X70" s="4" t="n">
        <v>-0.1521933751119069</v>
      </c>
      <c r="Y70" s="4" t="n"/>
      <c r="Z70" s="4" t="n"/>
      <c r="AA70" s="4" t="n">
        <v>0.04</v>
      </c>
      <c r="AB70" s="4" t="n">
        <v>0.05</v>
      </c>
      <c r="AC70" s="4">
        <f>(AB70+2*參數!$B$7)/(AA70+AB70)</f>
        <v/>
      </c>
      <c r="AD70" s="2" t="n">
        <v>0.1439999999999999</v>
      </c>
      <c r="AE70" s="2" t="n">
        <v>0.1171874999999998</v>
      </c>
      <c r="AF70" s="2" t="n">
        <v>6.577599589942425</v>
      </c>
      <c r="AG70" s="2" t="n">
        <v>0</v>
      </c>
      <c r="AH70" s="2" t="n">
        <v>0.1180171297000467</v>
      </c>
      <c r="AI70" s="2" t="n">
        <v>12</v>
      </c>
      <c r="AJ70" s="2" t="n">
        <v>0.1519570365674006</v>
      </c>
      <c r="AK70" s="2" t="n">
        <v>86.4339265295351</v>
      </c>
      <c r="AL70" s="2" t="n">
        <v>0.05531583618415701</v>
      </c>
      <c r="AM70" s="2" t="n">
        <v>25011.74084</v>
      </c>
    </row>
    <row r="71">
      <c r="A71" s="2" t="n">
        <v>70</v>
      </c>
      <c r="B71" s="2" t="inlineStr">
        <is>
          <t>TA_USDT_PERP</t>
        </is>
      </c>
      <c r="C71" s="2" t="inlineStr">
        <is>
          <t>做空</t>
        </is>
      </c>
      <c r="D71" s="7" t="n">
        <v>46277.83333333334</v>
      </c>
      <c r="E71" s="17" t="n">
        <v>0.06008</v>
      </c>
      <c r="F71" s="17" t="n">
        <v>0.0576768</v>
      </c>
      <c r="G71" s="17" t="n">
        <v>0.063084</v>
      </c>
      <c r="H71" s="7" t="n">
        <v>46278.14236111111</v>
      </c>
      <c r="I71" s="17" t="n">
        <v>0.0576768</v>
      </c>
      <c r="J71" s="2" t="inlineStr">
        <is>
          <t>止盈</t>
        </is>
      </c>
      <c r="K71" s="5">
        <f>(H71-D71)*24</f>
        <v/>
      </c>
      <c r="L71" s="4">
        <f>IF(C71="做多",I71/E71-1,1-I71/E71)-2*參數!$B$7</f>
        <v/>
      </c>
      <c r="M71" s="2" t="inlineStr"/>
      <c r="N71" s="4" t="n">
        <v>-0.0009976720984369303</v>
      </c>
      <c r="O71" s="4" t="n">
        <v>0.01354665529935232</v>
      </c>
      <c r="P71" s="4" t="n">
        <v>0.214051105799226</v>
      </c>
      <c r="Q71" s="19" t="n">
        <v>291824</v>
      </c>
      <c r="R71" s="19" t="n">
        <v>163785.97981</v>
      </c>
      <c r="S71" s="4" t="n">
        <v>0.04</v>
      </c>
      <c r="T71" s="4" t="n">
        <v>0.04543941411451402</v>
      </c>
      <c r="U71" s="16" t="n">
        <v>4.512846576807917</v>
      </c>
      <c r="V71" s="16" t="n">
        <v>0.4857142857142863</v>
      </c>
      <c r="W71" s="4" t="n">
        <v>-0.1548560466555693</v>
      </c>
      <c r="X71" s="4" t="n">
        <v>-0.2802045599829535</v>
      </c>
      <c r="Y71" s="4" t="n"/>
      <c r="Z71" s="4" t="n"/>
      <c r="AA71" s="4" t="n">
        <v>0.04</v>
      </c>
      <c r="AB71" s="4" t="n">
        <v>0.05</v>
      </c>
      <c r="AC71" s="4">
        <f>(AB71+2*參數!$B$7)/(AA71+AB71)</f>
        <v/>
      </c>
      <c r="AD71" s="2" t="n">
        <v>0.1531669865642995</v>
      </c>
      <c r="AE71" s="2" t="n">
        <v>0.07902298850574718</v>
      </c>
      <c r="AF71" s="2" t="n">
        <v>4.512846576807917</v>
      </c>
      <c r="AG71" s="2" t="n">
        <v>0.5142857142857137</v>
      </c>
      <c r="AH71" s="2" t="n">
        <v>0.1001095452779875</v>
      </c>
      <c r="AI71" s="2" t="n">
        <v>6</v>
      </c>
      <c r="AJ71" s="2" t="n">
        <v>0.214051105799226</v>
      </c>
      <c r="AK71" s="2" t="n">
        <v>80.99491768118494</v>
      </c>
      <c r="AL71" s="2" t="n">
        <v>0.04692699050220079</v>
      </c>
      <c r="AM71" s="2" t="n">
        <v>163785.97981</v>
      </c>
    </row>
    <row r="72">
      <c r="A72" s="2" t="n">
        <v>71</v>
      </c>
      <c r="B72" s="2" t="inlineStr">
        <is>
          <t>POWR_USDT_PERP</t>
        </is>
      </c>
      <c r="C72" s="2" t="inlineStr">
        <is>
          <t>做空</t>
        </is>
      </c>
      <c r="D72" s="7" t="n">
        <v>46278.34027777778</v>
      </c>
      <c r="E72" s="17" t="n">
        <v>0.06576</v>
      </c>
      <c r="F72" s="17" t="n">
        <v>0.06312959999999999</v>
      </c>
      <c r="G72" s="17" t="n">
        <v>0.069048</v>
      </c>
      <c r="H72" s="7" t="n">
        <v>46278.34375</v>
      </c>
      <c r="I72" s="17" t="n">
        <v>0.069048</v>
      </c>
      <c r="J72" s="2" t="inlineStr">
        <is>
          <t>止損</t>
        </is>
      </c>
      <c r="K72" s="5">
        <f>(H72-D72)*24</f>
        <v/>
      </c>
      <c r="L72" s="4">
        <f>IF(C72="做多",I72/E72-1,1-I72/E72)-2*參數!$B$7</f>
        <v/>
      </c>
      <c r="M72" s="2" t="inlineStr"/>
      <c r="N72" s="4" t="n">
        <v>0.003816211265455616</v>
      </c>
      <c r="O72" s="4" t="n">
        <v>0.01770328233611666</v>
      </c>
      <c r="P72" s="4" t="n">
        <v>0.198930698213956</v>
      </c>
      <c r="Q72" s="19" t="n">
        <v>256134</v>
      </c>
      <c r="R72" s="19" t="n">
        <v>55930.46621</v>
      </c>
      <c r="S72" s="4" t="n">
        <v>0</v>
      </c>
      <c r="T72" s="4" t="n">
        <v>0.05</v>
      </c>
      <c r="U72" s="16" t="n">
        <v>42.83964162594054</v>
      </c>
      <c r="V72" s="16" t="n">
        <v>0.6659919028340083</v>
      </c>
      <c r="W72" s="4" t="n">
        <v>-0.1920947584811667</v>
      </c>
      <c r="X72" s="4" t="n">
        <v>-0.2209431860378761</v>
      </c>
      <c r="Y72" s="4" t="n"/>
      <c r="Z72" s="4" t="n"/>
      <c r="AA72" s="4" t="n">
        <v>0.04</v>
      </c>
      <c r="AB72" s="4" t="n">
        <v>0.05</v>
      </c>
      <c r="AC72" s="4">
        <f>(AB72+2*參數!$B$7)/(AA72+AB72)</f>
        <v/>
      </c>
      <c r="AD72" s="2" t="n">
        <v>0.2024136039495337</v>
      </c>
      <c r="AE72" s="2" t="n">
        <v>0.1880758807588074</v>
      </c>
      <c r="AF72" s="2" t="n">
        <v>42.83964162594054</v>
      </c>
      <c r="AG72" s="2" t="n">
        <v>0.3340080971659917</v>
      </c>
      <c r="AH72" s="2" t="n">
        <v>0.9730807189872631</v>
      </c>
      <c r="AI72" s="2" t="n">
        <v>2</v>
      </c>
      <c r="AJ72" s="2" t="n">
        <v>0.198930698213956</v>
      </c>
      <c r="AK72" s="2" t="n">
        <v>64.17011982414027</v>
      </c>
      <c r="AL72" s="2" t="n">
        <v>0.06132596893378141</v>
      </c>
      <c r="AM72" s="2" t="n">
        <v>55930.46621</v>
      </c>
    </row>
    <row r="73">
      <c r="A73" s="2" t="n">
        <v>72</v>
      </c>
      <c r="B73" s="2" t="inlineStr">
        <is>
          <t>POWR_USDT_PERP</t>
        </is>
      </c>
      <c r="C73" s="2" t="inlineStr">
        <is>
          <t>做空</t>
        </is>
      </c>
      <c r="D73" s="7" t="n">
        <v>46278.39583333334</v>
      </c>
      <c r="E73" s="17" t="n">
        <v>0.0824</v>
      </c>
      <c r="F73" s="17" t="n">
        <v>0.07910399999999999</v>
      </c>
      <c r="G73" s="17" t="n">
        <v>0.08652</v>
      </c>
      <c r="H73" s="7" t="n">
        <v>46278.40277777778</v>
      </c>
      <c r="I73" s="17" t="n">
        <v>0.07910399999999999</v>
      </c>
      <c r="J73" s="2" t="inlineStr">
        <is>
          <t>止盈</t>
        </is>
      </c>
      <c r="K73" s="5">
        <f>(H73-D73)*24</f>
        <v/>
      </c>
      <c r="L73" s="4">
        <f>IF(C73="做多",I73/E73-1,1-I73/E73)-2*參數!$B$7</f>
        <v/>
      </c>
      <c r="M73" s="2" t="inlineStr"/>
      <c r="N73" s="4" t="n">
        <v>0.009061964241978915</v>
      </c>
      <c r="O73" s="4" t="n">
        <v>0.03942347456193043</v>
      </c>
      <c r="P73" s="4" t="n">
        <v>0.4703684620240318</v>
      </c>
      <c r="Q73" s="19" t="n">
        <v>679657</v>
      </c>
      <c r="R73" s="19" t="n">
        <v>138105.95295</v>
      </c>
      <c r="S73" s="4" t="n">
        <v>0.04</v>
      </c>
      <c r="T73" s="4" t="n">
        <v>0.009830097087378808</v>
      </c>
      <c r="U73" s="16" t="n">
        <v>11.6940519536707</v>
      </c>
      <c r="V73" s="16" t="n">
        <v>0.6804979253112037</v>
      </c>
      <c r="W73" s="4" t="n">
        <v>-0.4164841625381195</v>
      </c>
      <c r="X73" s="4" t="n">
        <v>-0.522823877287008</v>
      </c>
      <c r="Y73" s="4" t="n"/>
      <c r="Z73" s="4" t="n"/>
      <c r="AA73" s="4" t="n">
        <v>0.04</v>
      </c>
      <c r="AB73" s="4" t="n">
        <v>0.05</v>
      </c>
      <c r="AC73" s="4">
        <f>(AB73+2*參數!$B$7)/(AA73+AB73)</f>
        <v/>
      </c>
      <c r="AD73" s="2" t="n">
        <v>0.4656705798648169</v>
      </c>
      <c r="AE73" s="2" t="n">
        <v>0.1691259931895572</v>
      </c>
      <c r="AF73" s="2" t="n">
        <v>11.6940519536707</v>
      </c>
      <c r="AG73" s="2" t="n">
        <v>0.3195020746887963</v>
      </c>
      <c r="AH73" s="2" t="n">
        <v>0.3832323617802795</v>
      </c>
      <c r="AI73" s="2" t="n">
        <v>12</v>
      </c>
      <c r="AJ73" s="2" t="n">
        <v>0.4703684620240318</v>
      </c>
      <c r="AK73" s="2" t="n">
        <v>93.92053444241289</v>
      </c>
      <c r="AL73" s="2" t="n">
        <v>0.1365669219043254</v>
      </c>
      <c r="AM73" s="2" t="n">
        <v>138105.95295</v>
      </c>
    </row>
    <row r="74">
      <c r="A74" s="2" t="n">
        <v>73</v>
      </c>
      <c r="B74" s="2" t="inlineStr">
        <is>
          <t>POWR_USDT_PERP</t>
        </is>
      </c>
      <c r="C74" s="2" t="inlineStr">
        <is>
          <t>做空</t>
        </is>
      </c>
      <c r="D74" s="7" t="n">
        <v>46278.45138888889</v>
      </c>
      <c r="E74" s="17" t="n">
        <v>0.08243</v>
      </c>
      <c r="F74" s="17" t="n">
        <v>0.0791328</v>
      </c>
      <c r="G74" s="17" t="n">
        <v>0.0865515</v>
      </c>
      <c r="H74" s="7" t="n">
        <v>46278.45486111111</v>
      </c>
      <c r="I74" s="17" t="n">
        <v>0.0791328</v>
      </c>
      <c r="J74" s="2" t="inlineStr">
        <is>
          <t>止盈</t>
        </is>
      </c>
      <c r="K74" s="5">
        <f>(H74-D74)*24</f>
        <v/>
      </c>
      <c r="L74" s="4">
        <f>IF(C74="做多",I74/E74-1,1-I74/E74)-2*參數!$B$7</f>
        <v/>
      </c>
      <c r="M74" s="2" t="inlineStr"/>
      <c r="N74" s="4" t="n">
        <v>0.01803136964307761</v>
      </c>
      <c r="O74" s="4" t="n">
        <v>0.0327239405948686</v>
      </c>
      <c r="P74" s="4" t="n">
        <v>0.4285136618335164</v>
      </c>
      <c r="Q74" s="19" t="n">
        <v>1118426</v>
      </c>
      <c r="R74" s="19" t="n">
        <v>253033.27421</v>
      </c>
      <c r="S74" s="4" t="n">
        <v>0.04</v>
      </c>
      <c r="T74" s="4" t="n">
        <v>0</v>
      </c>
      <c r="U74" s="16" t="n">
        <v>23.81639638125648</v>
      </c>
      <c r="V74" s="16" t="n">
        <v>0.6805251641137853</v>
      </c>
      <c r="W74" s="4" t="n">
        <v>-0.3227381626728842</v>
      </c>
      <c r="X74" s="4" t="n">
        <v>-0.5278962001853569</v>
      </c>
      <c r="Y74" s="4" t="n"/>
      <c r="Z74" s="4" t="n"/>
      <c r="AA74" s="4" t="n">
        <v>0.04</v>
      </c>
      <c r="AB74" s="4" t="n">
        <v>0.05</v>
      </c>
      <c r="AC74" s="4">
        <f>(AB74+2*參數!$B$7)/(AA74+AB74)</f>
        <v/>
      </c>
      <c r="AD74" s="2" t="n">
        <v>0.1702157864849518</v>
      </c>
      <c r="AE74" s="2" t="n">
        <v>0.04065143289988637</v>
      </c>
      <c r="AF74" s="2" t="n">
        <v>23.81639638125648</v>
      </c>
      <c r="AG74" s="2" t="n">
        <v>0.3194748358862148</v>
      </c>
      <c r="AH74" s="2" t="n">
        <v>0.9910156526798268</v>
      </c>
      <c r="AI74" s="2" t="n">
        <v>9</v>
      </c>
      <c r="AJ74" s="2" t="n">
        <v>0.4285136618335164</v>
      </c>
      <c r="AK74" s="2" t="n">
        <v>91.83676230722196</v>
      </c>
      <c r="AL74" s="2" t="n">
        <v>0.1133590554683562</v>
      </c>
      <c r="AM74" s="2" t="n">
        <v>253033.27421</v>
      </c>
    </row>
    <row r="75">
      <c r="A75" s="2" t="n">
        <v>74</v>
      </c>
      <c r="B75" s="2" t="inlineStr">
        <is>
          <t>CTR_USDT_PERP</t>
        </is>
      </c>
      <c r="C75" s="2" t="inlineStr">
        <is>
          <t>做空</t>
        </is>
      </c>
      <c r="D75" s="7" t="n">
        <v>46278.60069444445</v>
      </c>
      <c r="E75" s="17" t="n">
        <v>0.01166</v>
      </c>
      <c r="F75" s="17" t="n">
        <v>0.0111936</v>
      </c>
      <c r="G75" s="17" t="n">
        <v>0.012243</v>
      </c>
      <c r="H75" s="7" t="n">
        <v>46278.60416666666</v>
      </c>
      <c r="I75" s="17" t="n">
        <v>0.0111936</v>
      </c>
      <c r="J75" s="2" t="inlineStr">
        <is>
          <t>止盈</t>
        </is>
      </c>
      <c r="K75" s="5">
        <f>(H75-D75)*24</f>
        <v/>
      </c>
      <c r="L75" s="4">
        <f>IF(C75="做多",I75/E75-1,1-I75/E75)-2*參數!$B$7</f>
        <v/>
      </c>
      <c r="M75" s="2" t="inlineStr"/>
      <c r="N75" s="4" t="n">
        <v>0.021015761821366</v>
      </c>
      <c r="O75" s="4" t="n">
        <v>0.03208731293113014</v>
      </c>
      <c r="P75" s="4" t="n">
        <v>0.1569660236321391</v>
      </c>
      <c r="Q75" s="19" t="n">
        <v>5512673</v>
      </c>
      <c r="R75" s="19" t="n">
        <v>162809.89436</v>
      </c>
      <c r="S75" s="4" t="n">
        <v>0.04</v>
      </c>
      <c r="T75" s="4" t="n">
        <v>0</v>
      </c>
      <c r="U75" s="16" t="n">
        <v>3.223534241859662</v>
      </c>
      <c r="V75" s="16" t="n">
        <v>0.7499999999999996</v>
      </c>
      <c r="W75" s="4" t="n">
        <v>-0.1293196962653029</v>
      </c>
      <c r="X75" s="4" t="n">
        <v>-0.1648351648351649</v>
      </c>
      <c r="Y75" s="4" t="n"/>
      <c r="Z75" s="4" t="n"/>
      <c r="AA75" s="4" t="n">
        <v>0.04</v>
      </c>
      <c r="AB75" s="4" t="n">
        <v>0.05</v>
      </c>
      <c r="AC75" s="4">
        <f>(AB75+2*參數!$B$7)/(AA75+AB75)</f>
        <v/>
      </c>
      <c r="AD75" s="2" t="n">
        <v>0.1706827309236947</v>
      </c>
      <c r="AE75" s="2" t="n">
        <v>0.029126213592233</v>
      </c>
      <c r="AF75" s="2" t="n">
        <v>3.223534241859662</v>
      </c>
      <c r="AG75" s="2" t="n">
        <v>0.2500000000000004</v>
      </c>
      <c r="AH75" s="2" t="n">
        <v>0.04621563056717366</v>
      </c>
      <c r="AI75" s="2" t="n">
        <v>10</v>
      </c>
      <c r="AJ75" s="2" t="n">
        <v>0.1569660236321391</v>
      </c>
      <c r="AK75" s="2" t="n">
        <v>81.31471339120321</v>
      </c>
      <c r="AL75" s="2" t="n">
        <v>0.1111537125501585</v>
      </c>
      <c r="AM75" s="2" t="n">
        <v>162809.89436</v>
      </c>
    </row>
    <row r="76">
      <c r="A76" s="2" t="n">
        <v>75</v>
      </c>
      <c r="B76" s="2" t="inlineStr">
        <is>
          <t>REZ_USDT_PERP</t>
        </is>
      </c>
      <c r="C76" s="2" t="inlineStr">
        <is>
          <t>做空</t>
        </is>
      </c>
      <c r="D76" s="7" t="n">
        <v>46278.68055555555</v>
      </c>
      <c r="E76" s="17" t="n">
        <v>0.003949</v>
      </c>
      <c r="F76" s="17" t="n">
        <v>0.00379104</v>
      </c>
      <c r="G76" s="17" t="n">
        <v>0.00414645</v>
      </c>
      <c r="H76" s="7" t="n">
        <v>46278.69791666666</v>
      </c>
      <c r="I76" s="17" t="n">
        <v>0.00379104</v>
      </c>
      <c r="J76" s="2" t="inlineStr">
        <is>
          <t>止盈</t>
        </is>
      </c>
      <c r="K76" s="5">
        <f>(H76-D76)*24</f>
        <v/>
      </c>
      <c r="L76" s="4">
        <f>IF(C76="做多",I76/E76-1,1-I76/E76)-2*參數!$B$7</f>
        <v/>
      </c>
      <c r="M76" s="2" t="inlineStr"/>
      <c r="N76" s="4" t="n">
        <v>0.02279202279202286</v>
      </c>
      <c r="O76" s="4" t="n">
        <v>0.01638598978778854</v>
      </c>
      <c r="P76" s="4" t="n">
        <v>0.04633062263605203</v>
      </c>
      <c r="Q76" s="19" t="n">
        <v>9990817</v>
      </c>
      <c r="R76" s="19" t="n">
        <v>378808.935149</v>
      </c>
      <c r="S76" s="4" t="n">
        <v>0.04</v>
      </c>
      <c r="T76" s="4" t="n">
        <v>0.03038743985819181</v>
      </c>
      <c r="U76" s="16" t="n">
        <v>3.36226138231943</v>
      </c>
      <c r="V76" s="16" t="n">
        <v>0.4210526315789456</v>
      </c>
      <c r="W76" s="4" t="n">
        <v>-0.05187734401636557</v>
      </c>
      <c r="X76" s="4" t="n">
        <v>-0.2226006191950467</v>
      </c>
      <c r="Y76" s="4" t="n"/>
      <c r="Z76" s="4" t="n"/>
      <c r="AA76" s="4" t="n">
        <v>0.04</v>
      </c>
      <c r="AB76" s="4" t="n">
        <v>0.05</v>
      </c>
      <c r="AC76" s="4">
        <f>(AB76+2*參數!$B$7)/(AA76+AB76)</f>
        <v/>
      </c>
      <c r="AD76" s="2" t="n">
        <v>0.1624963202826024</v>
      </c>
      <c r="AE76" s="2" t="n">
        <v>0.1202836879432625</v>
      </c>
      <c r="AF76" s="2" t="n">
        <v>3.36226138231943</v>
      </c>
      <c r="AG76" s="2" t="n">
        <v>0.5789473684210544</v>
      </c>
      <c r="AH76" s="2" t="n">
        <v>0.2693209168186302</v>
      </c>
      <c r="AI76" s="2" t="n">
        <v>4</v>
      </c>
      <c r="AJ76" s="2" t="n">
        <v>0.04633062263605203</v>
      </c>
      <c r="AK76" s="2" t="n">
        <v>49.63775664035177</v>
      </c>
      <c r="AL76" s="2" t="n">
        <v>0.05676273368950902</v>
      </c>
      <c r="AM76" s="2" t="n">
        <v>378808.935149</v>
      </c>
    </row>
    <row r="77">
      <c r="A77" s="2" t="n">
        <v>76</v>
      </c>
      <c r="B77" s="2" t="inlineStr">
        <is>
          <t>BTW_USDT_PERP</t>
        </is>
      </c>
      <c r="C77" s="2" t="inlineStr">
        <is>
          <t>做空</t>
        </is>
      </c>
      <c r="D77" s="7" t="n">
        <v>46278.85069444445</v>
      </c>
      <c r="E77" s="17" t="n">
        <v>0.699394</v>
      </c>
      <c r="F77" s="17" t="n">
        <v>0.6714182399999999</v>
      </c>
      <c r="G77" s="17" t="n">
        <v>0.7343637</v>
      </c>
      <c r="H77" s="7" t="n">
        <v>46278.86805555555</v>
      </c>
      <c r="I77" s="17" t="n">
        <v>0.6714182399999999</v>
      </c>
      <c r="J77" s="2" t="inlineStr">
        <is>
          <t>止盈</t>
        </is>
      </c>
      <c r="K77" s="5">
        <f>(H77-D77)*24</f>
        <v/>
      </c>
      <c r="L77" s="4">
        <f>IF(C77="做多",I77/E77-1,1-I77/E77)-2*參數!$B$7</f>
        <v/>
      </c>
      <c r="M77" s="2" t="inlineStr"/>
      <c r="N77" s="4" t="n">
        <v>-0.006676655848997792</v>
      </c>
      <c r="O77" s="4" t="n">
        <v>0.03522131090874502</v>
      </c>
      <c r="P77" s="4" t="n">
        <v>0.2454010077850992</v>
      </c>
      <c r="Q77" s="19" t="n">
        <v>73617</v>
      </c>
      <c r="R77" s="19" t="n">
        <v>343506.596626</v>
      </c>
      <c r="S77" s="4" t="n">
        <v>0.04</v>
      </c>
      <c r="T77" s="4" t="n">
        <v>0.04821602701767524</v>
      </c>
      <c r="U77" s="16" t="n">
        <v>2.160512512180457</v>
      </c>
      <c r="V77" s="16" t="n">
        <v>0.462496358869794</v>
      </c>
      <c r="W77" s="4" t="n">
        <v>-0.2189125188879468</v>
      </c>
      <c r="X77" s="4" t="n">
        <v>-0.271292607026524</v>
      </c>
      <c r="Y77" s="4" t="n"/>
      <c r="Z77" s="4" t="n"/>
      <c r="AA77" s="4" t="n">
        <v>0.04</v>
      </c>
      <c r="AB77" s="4" t="n">
        <v>0.05</v>
      </c>
      <c r="AC77" s="4">
        <f>(AB77+2*參數!$B$7)/(AA77+AB77)</f>
        <v/>
      </c>
      <c r="AD77" s="2" t="n">
        <v>0.2955579430942501</v>
      </c>
      <c r="AE77" s="2" t="n">
        <v>0.1466885272779439</v>
      </c>
      <c r="AF77" s="2" t="n">
        <v>2.160512512180457</v>
      </c>
      <c r="AG77" s="2" t="n">
        <v>0.537503641130206</v>
      </c>
      <c r="AH77" s="2" t="n">
        <v>0.1289920085558955</v>
      </c>
      <c r="AI77" s="2" t="n">
        <v>9</v>
      </c>
      <c r="AJ77" s="2" t="n">
        <v>0.2454010077850992</v>
      </c>
      <c r="AK77" s="2" t="n">
        <v>81.98187043681469</v>
      </c>
      <c r="AL77" s="2" t="n">
        <v>0.1220102000062526</v>
      </c>
      <c r="AM77" s="2" t="n">
        <v>343506.596626</v>
      </c>
    </row>
    <row r="78">
      <c r="A78" s="2" t="n">
        <v>77</v>
      </c>
      <c r="B78" s="2" t="inlineStr">
        <is>
          <t>MAGMA_USDT_PERP</t>
        </is>
      </c>
      <c r="C78" s="2" t="inlineStr">
        <is>
          <t>做空</t>
        </is>
      </c>
      <c r="D78" s="7" t="n">
        <v>46279.09375</v>
      </c>
      <c r="E78" s="17" t="n">
        <v>0.26632</v>
      </c>
      <c r="F78" s="17" t="n">
        <v>0.2556672</v>
      </c>
      <c r="G78" s="17" t="n">
        <v>0.279636</v>
      </c>
      <c r="H78" s="7" t="n">
        <v>46279.10763888889</v>
      </c>
      <c r="I78" s="17" t="n">
        <v>0.279636</v>
      </c>
      <c r="J78" s="2" t="inlineStr">
        <is>
          <t>止損</t>
        </is>
      </c>
      <c r="K78" s="5">
        <f>(H78-D78)*24</f>
        <v/>
      </c>
      <c r="L78" s="4">
        <f>IF(C78="做多",I78/E78-1,1-I78/E78)-2*參數!$B$7</f>
        <v/>
      </c>
      <c r="M78" s="2" t="inlineStr"/>
      <c r="N78" s="4" t="n">
        <v>-0.004187855219862424</v>
      </c>
      <c r="O78" s="4" t="n">
        <v>0.01805019178355691</v>
      </c>
      <c r="P78" s="4" t="n">
        <v>0.116181406720929</v>
      </c>
      <c r="Q78" s="19" t="n">
        <v>3641</v>
      </c>
      <c r="R78" s="19" t="n">
        <v>72090.47331</v>
      </c>
      <c r="S78" s="4" t="n">
        <v>0.0177605887653951</v>
      </c>
      <c r="T78" s="4" t="n">
        <v>0.05</v>
      </c>
      <c r="U78" s="16" t="n">
        <v>7.333107739480536</v>
      </c>
      <c r="V78" s="16" t="n">
        <v>0.7454545454545509</v>
      </c>
      <c r="W78" s="4" t="n">
        <v>-0.1355878795011292</v>
      </c>
      <c r="X78" s="4" t="n">
        <v>-0.03703126825279401</v>
      </c>
      <c r="Y78" s="4" t="n"/>
      <c r="Z78" s="4" t="n"/>
      <c r="AA78" s="4" t="n">
        <v>0.04</v>
      </c>
      <c r="AB78" s="4" t="n">
        <v>0.05</v>
      </c>
      <c r="AC78" s="4">
        <f>(AB78+2*參數!$B$7)/(AA78+AB78)</f>
        <v/>
      </c>
      <c r="AD78" s="2" t="n">
        <v>0.145413100511806</v>
      </c>
      <c r="AE78" s="2" t="n">
        <v>0.0998595853638391</v>
      </c>
      <c r="AF78" s="2" t="n">
        <v>7.333107739480536</v>
      </c>
      <c r="AG78" s="2" t="n">
        <v>0.254545454545449</v>
      </c>
      <c r="AH78" s="2" t="n">
        <v>0.3670482827277252</v>
      </c>
      <c r="AI78" s="2" t="n">
        <v>11</v>
      </c>
      <c r="AJ78" s="2" t="n">
        <v>0.116181406720929</v>
      </c>
      <c r="AK78" s="2" t="n">
        <v>51.25993647350046</v>
      </c>
      <c r="AL78" s="2" t="n">
        <v>0.06252769851096573</v>
      </c>
      <c r="AM78" s="2" t="n">
        <v>72090.47331</v>
      </c>
    </row>
    <row r="79">
      <c r="A79" s="2" t="n">
        <v>78</v>
      </c>
      <c r="B79" s="2" t="inlineStr">
        <is>
          <t>BR_USDT_PERP</t>
        </is>
      </c>
      <c r="C79" s="2" t="inlineStr">
        <is>
          <t>做空</t>
        </is>
      </c>
      <c r="D79" s="7" t="n">
        <v>46279.49652777778</v>
      </c>
      <c r="E79" s="17" t="n">
        <v>0.36686</v>
      </c>
      <c r="F79" s="17" t="n">
        <v>0.3521856</v>
      </c>
      <c r="G79" s="17" t="n">
        <v>0.385203</v>
      </c>
      <c r="H79" s="7" t="n">
        <v>46279.5</v>
      </c>
      <c r="I79" s="17" t="n">
        <v>0.385203</v>
      </c>
      <c r="J79" s="2" t="inlineStr">
        <is>
          <t>止損</t>
        </is>
      </c>
      <c r="K79" s="5">
        <f>(H79-D79)*24</f>
        <v/>
      </c>
      <c r="L79" s="4">
        <f>IF(C79="做多",I79/E79-1,1-I79/E79)-2*參數!$B$7</f>
        <v/>
      </c>
      <c r="M79" s="2" t="inlineStr"/>
      <c r="N79" s="4" t="n">
        <v>0.005922676172196217</v>
      </c>
      <c r="O79" s="4" t="n">
        <v>0.0229941724569759</v>
      </c>
      <c r="P79" s="4" t="n">
        <v>0.2414557421614481</v>
      </c>
      <c r="Q79" s="19" t="n">
        <v>296837</v>
      </c>
      <c r="R79" s="19" t="n">
        <v>464471.52355</v>
      </c>
      <c r="S79" s="4" t="n">
        <v>0</v>
      </c>
      <c r="T79" s="4" t="n">
        <v>0.05</v>
      </c>
      <c r="U79" s="16" t="n">
        <v>4.430089757253476</v>
      </c>
      <c r="V79" s="16" t="n">
        <v>0.610132158590305</v>
      </c>
      <c r="W79" s="4" t="n">
        <v>-0.1452149830056415</v>
      </c>
      <c r="X79" s="4" t="n">
        <v>-0.4433078920450075</v>
      </c>
      <c r="Y79" s="4" t="n"/>
      <c r="Z79" s="4" t="n"/>
      <c r="AA79" s="4" t="n">
        <v>0.04</v>
      </c>
      <c r="AB79" s="4" t="n">
        <v>0.05</v>
      </c>
      <c r="AC79" s="4">
        <f>(AB79+2*參數!$B$7)/(AA79+AB79)</f>
        <v/>
      </c>
      <c r="AD79" s="2" t="n">
        <v>0.1590420826488057</v>
      </c>
      <c r="AE79" s="2" t="n">
        <v>0.1052663292359606</v>
      </c>
      <c r="AF79" s="2" t="n">
        <v>4.430089757253476</v>
      </c>
      <c r="AG79" s="2" t="n">
        <v>0.389867841409695</v>
      </c>
      <c r="AH79" s="2" t="n">
        <v>0.2100477142119505</v>
      </c>
      <c r="AI79" s="2" t="n">
        <v>11</v>
      </c>
      <c r="AJ79" s="2" t="n">
        <v>0.2414557421614481</v>
      </c>
      <c r="AK79" s="2" t="n">
        <v>81.98212550584483</v>
      </c>
      <c r="AL79" s="2" t="n">
        <v>0.07965414994696628</v>
      </c>
      <c r="AM79" s="2" t="n">
        <v>464471.52355</v>
      </c>
    </row>
    <row r="80">
      <c r="A80" s="2" t="n">
        <v>79</v>
      </c>
      <c r="B80" s="2" t="inlineStr">
        <is>
          <t>AIN_USDT_PERP</t>
        </is>
      </c>
      <c r="C80" s="2" t="inlineStr">
        <is>
          <t>做空</t>
        </is>
      </c>
      <c r="D80" s="7" t="n">
        <v>46279.57638888889</v>
      </c>
      <c r="E80" s="17" t="n">
        <v>0.10972</v>
      </c>
      <c r="F80" s="17" t="n">
        <v>0.1053312</v>
      </c>
      <c r="G80" s="17" t="n">
        <v>0.115206</v>
      </c>
      <c r="H80" s="7" t="n">
        <v>46279.58333333334</v>
      </c>
      <c r="I80" s="17" t="n">
        <v>0.1053312</v>
      </c>
      <c r="J80" s="2" t="inlineStr">
        <is>
          <t>止盈</t>
        </is>
      </c>
      <c r="K80" s="5">
        <f>(H80-D80)*24</f>
        <v/>
      </c>
      <c r="L80" s="4">
        <f>IF(C80="做多",I80/E80-1,1-I80/E80)-2*參數!$B$7</f>
        <v/>
      </c>
      <c r="M80" s="2" t="inlineStr"/>
      <c r="N80" s="4" t="n">
        <v>0.0504547630445189</v>
      </c>
      <c r="O80" s="4" t="n">
        <v>0.03863486141161759</v>
      </c>
      <c r="P80" s="4" t="n">
        <v>0.564707098724718</v>
      </c>
      <c r="Q80" s="19" t="n">
        <v>1489869</v>
      </c>
      <c r="R80" s="19" t="n">
        <v>146004.27567</v>
      </c>
      <c r="S80" s="4" t="n">
        <v>0.04</v>
      </c>
      <c r="T80" s="4" t="n">
        <v>0.0161319722931097</v>
      </c>
      <c r="U80" s="16" t="n">
        <v>50.46717394916099</v>
      </c>
      <c r="V80" s="16" t="n">
        <v>0.4256086564472499</v>
      </c>
      <c r="W80" s="4" t="n">
        <v>-0.5554141084508659</v>
      </c>
      <c r="X80" s="4" t="n">
        <v>-0.5486238532110093</v>
      </c>
      <c r="Y80" s="4" t="n"/>
      <c r="Z80" s="4" t="n"/>
      <c r="AA80" s="4" t="n">
        <v>0.04</v>
      </c>
      <c r="AB80" s="4" t="n">
        <v>0.05</v>
      </c>
      <c r="AC80" s="4">
        <f>(AB80+2*參數!$B$7)/(AA80+AB80)</f>
        <v/>
      </c>
      <c r="AD80" s="2" t="n">
        <v>0.5915288656803017</v>
      </c>
      <c r="AE80" s="2" t="n">
        <v>0.5768899108939349</v>
      </c>
      <c r="AF80" s="2" t="n">
        <v>50.46717394916099</v>
      </c>
      <c r="AG80" s="2" t="n">
        <v>0.5743913435527501</v>
      </c>
      <c r="AH80" s="2" t="n">
        <v>0.911946446961895</v>
      </c>
      <c r="AI80" s="2" t="n">
        <v>8</v>
      </c>
      <c r="AJ80" s="2" t="n">
        <v>0.564707098724718</v>
      </c>
      <c r="AK80" s="2" t="n">
        <v>84.29529213680388</v>
      </c>
      <c r="AL80" s="2" t="n">
        <v>0.1338350858166078</v>
      </c>
      <c r="AM80" s="2" t="n">
        <v>146004.27567</v>
      </c>
    </row>
    <row r="81">
      <c r="A81" s="2" t="n">
        <v>80</v>
      </c>
      <c r="B81" s="2" t="inlineStr">
        <is>
          <t>XPIN_USDT_PERP</t>
        </is>
      </c>
      <c r="C81" s="2" t="inlineStr">
        <is>
          <t>做空</t>
        </is>
      </c>
      <c r="D81" s="7" t="n">
        <v>46279.60416666666</v>
      </c>
      <c r="E81" s="17" t="n">
        <v>0.000886</v>
      </c>
      <c r="F81" s="17" t="n">
        <v>0.0008505599999999999</v>
      </c>
      <c r="G81" s="17" t="n">
        <v>0.0009303</v>
      </c>
      <c r="H81" s="7" t="n">
        <v>46279.60763888889</v>
      </c>
      <c r="I81" s="17" t="n">
        <v>0.0009303</v>
      </c>
      <c r="J81" s="2" t="inlineStr">
        <is>
          <t>止損</t>
        </is>
      </c>
      <c r="K81" s="5">
        <f>(H81-D81)*24</f>
        <v/>
      </c>
      <c r="L81" s="4">
        <f>IF(C81="做多",I81/E81-1,1-I81/E81)-2*參數!$B$7</f>
        <v/>
      </c>
      <c r="M81" s="2" t="inlineStr"/>
      <c r="N81" s="4" t="n">
        <v>-0.01555555555555554</v>
      </c>
      <c r="O81" s="4" t="n">
        <v>0.01967602747269053</v>
      </c>
      <c r="P81" s="4" t="n">
        <v>0.1431336182565921</v>
      </c>
      <c r="Q81" s="19" t="n">
        <v>-1880861</v>
      </c>
      <c r="R81" s="19" t="n">
        <v>46512.118328</v>
      </c>
      <c r="S81" s="4" t="n">
        <v>0</v>
      </c>
      <c r="T81" s="4" t="n">
        <v>0.05</v>
      </c>
      <c r="U81" s="16" t="n">
        <v>24.5356006844947</v>
      </c>
      <c r="V81" s="16" t="n">
        <v>0.4947368421052636</v>
      </c>
      <c r="W81" s="4" t="n">
        <v>-0.1510380128355029</v>
      </c>
      <c r="X81" s="4" t="n">
        <v>-0.05854241338112298</v>
      </c>
      <c r="Y81" s="4" t="n"/>
      <c r="Z81" s="4" t="n"/>
      <c r="AA81" s="4" t="n">
        <v>0.04</v>
      </c>
      <c r="AB81" s="4" t="n">
        <v>0.05</v>
      </c>
      <c r="AC81" s="4">
        <f>(AB81+2*參數!$B$7)/(AA81+AB81)</f>
        <v/>
      </c>
      <c r="AD81" s="2" t="n">
        <v>0.1673254281949934</v>
      </c>
      <c r="AE81" s="2" t="n">
        <v>0.1506493506493507</v>
      </c>
      <c r="AF81" s="2" t="n">
        <v>24.5356006844947</v>
      </c>
      <c r="AG81" s="2" t="n">
        <v>0.5052631578947364</v>
      </c>
      <c r="AH81" s="2" t="n">
        <v>0.6280233482155111</v>
      </c>
      <c r="AI81" s="2" t="n">
        <v>2</v>
      </c>
      <c r="AJ81" s="2" t="n">
        <v>0.1431336182565921</v>
      </c>
      <c r="AK81" s="2" t="n">
        <v>71.57558694125927</v>
      </c>
      <c r="AL81" s="2" t="n">
        <v>0.06815975854764211</v>
      </c>
      <c r="AM81" s="2" t="n">
        <v>46512.118328</v>
      </c>
    </row>
    <row r="82">
      <c r="A82" s="2" t="n">
        <v>81</v>
      </c>
      <c r="B82" s="2" t="inlineStr">
        <is>
          <t>AIN_USDT_PERP</t>
        </is>
      </c>
      <c r="C82" s="2" t="inlineStr">
        <is>
          <t>做空</t>
        </is>
      </c>
      <c r="D82" s="7" t="n">
        <v>46279.625</v>
      </c>
      <c r="E82" s="17" t="n">
        <v>0.10454</v>
      </c>
      <c r="F82" s="17" t="n">
        <v>0.1003584</v>
      </c>
      <c r="G82" s="17" t="n">
        <v>0.109767</v>
      </c>
      <c r="H82" s="7" t="n">
        <v>46279.64583333334</v>
      </c>
      <c r="I82" s="17" t="n">
        <v>0.1003584</v>
      </c>
      <c r="J82" s="2" t="inlineStr">
        <is>
          <t>止盈</t>
        </is>
      </c>
      <c r="K82" s="5">
        <f>(H82-D82)*24</f>
        <v/>
      </c>
      <c r="L82" s="4">
        <f>IF(C82="做多",I82/E82-1,1-I82/E82)-2*參數!$B$7</f>
        <v/>
      </c>
      <c r="M82" s="2" t="inlineStr"/>
      <c r="N82" s="4" t="n">
        <v>-0.007877004840087465</v>
      </c>
      <c r="O82" s="4" t="n">
        <v>0.04550985933302</v>
      </c>
      <c r="P82" s="4" t="n">
        <v>0.4501502192310667</v>
      </c>
      <c r="Q82" s="19" t="n">
        <v>1753221</v>
      </c>
      <c r="R82" s="19" t="n">
        <v>353622.98583</v>
      </c>
      <c r="S82" s="4" t="n">
        <v>0.04</v>
      </c>
      <c r="T82" s="4" t="n">
        <v>0.02515783432179086</v>
      </c>
      <c r="U82" s="16" t="n">
        <v>3.015863839110425</v>
      </c>
      <c r="V82" s="16" t="n">
        <v>0.7286135693215361</v>
      </c>
      <c r="W82" s="4" t="n">
        <v>-0.3861026437249488</v>
      </c>
      <c r="X82" s="4" t="n">
        <v>-0.4705303136868757</v>
      </c>
      <c r="Y82" s="4" t="n"/>
      <c r="Z82" s="4" t="n"/>
      <c r="AA82" s="4" t="n">
        <v>0.04</v>
      </c>
      <c r="AB82" s="4" t="n">
        <v>0.05</v>
      </c>
      <c r="AC82" s="4">
        <f>(AB82+2*參數!$B$7)/(AA82+AB82)</f>
        <v/>
      </c>
      <c r="AD82" s="2" t="n">
        <v>0.5046056419113414</v>
      </c>
      <c r="AE82" s="2" t="n">
        <v>0.04268900857769786</v>
      </c>
      <c r="AF82" s="2" t="n">
        <v>3.015863839110425</v>
      </c>
      <c r="AG82" s="2" t="n">
        <v>0.271386430678464</v>
      </c>
      <c r="AH82" s="2" t="n">
        <v>0.08425372137210098</v>
      </c>
      <c r="AI82" s="2" t="n">
        <v>12</v>
      </c>
      <c r="AJ82" s="2" t="n">
        <v>0.4501502192310667</v>
      </c>
      <c r="AK82" s="2" t="n">
        <v>93.72309506643671</v>
      </c>
      <c r="AL82" s="2" t="n">
        <v>0.1576507772202066</v>
      </c>
      <c r="AM82" s="2" t="n">
        <v>353622.98583</v>
      </c>
    </row>
    <row r="83">
      <c r="A83" s="2" t="n">
        <v>82</v>
      </c>
      <c r="B83" s="2" t="inlineStr">
        <is>
          <t>CAP_USDT_PERP</t>
        </is>
      </c>
      <c r="C83" s="2" t="inlineStr">
        <is>
          <t>做空</t>
        </is>
      </c>
      <c r="D83" s="7" t="n">
        <v>46279.85069444445</v>
      </c>
      <c r="E83" s="17" t="n">
        <v>0.06824</v>
      </c>
      <c r="F83" s="17" t="n">
        <v>0.0655104</v>
      </c>
      <c r="G83" s="17" t="n">
        <v>0.07165199999999999</v>
      </c>
      <c r="H83" s="7" t="n">
        <v>46279.85416666666</v>
      </c>
      <c r="I83" s="17" t="n">
        <v>0.0655104</v>
      </c>
      <c r="J83" s="2" t="inlineStr">
        <is>
          <t>止盈</t>
        </is>
      </c>
      <c r="K83" s="5">
        <f>(H83-D83)*24</f>
        <v/>
      </c>
      <c r="L83" s="4">
        <f>IF(C83="做多",I83/E83-1,1-I83/E83)-2*參數!$B$7</f>
        <v/>
      </c>
      <c r="M83" s="2" t="inlineStr"/>
      <c r="N83" s="4" t="n">
        <v>-0.008571843672817159</v>
      </c>
      <c r="O83" s="4" t="n">
        <v>0.0243079274747861</v>
      </c>
      <c r="P83" s="4" t="n">
        <v>0.4056976002650443</v>
      </c>
      <c r="Q83" s="19" t="n">
        <v>2442294</v>
      </c>
      <c r="R83" s="19" t="n">
        <v>428697.34845</v>
      </c>
      <c r="S83" s="4" t="n">
        <v>0.04</v>
      </c>
      <c r="T83" s="4" t="n">
        <v>0</v>
      </c>
      <c r="U83" s="16" t="n">
        <v>72.09773833162896</v>
      </c>
      <c r="V83" s="16" t="n">
        <v>0.7323076923076939</v>
      </c>
      <c r="W83" s="4" t="n">
        <v>-0.3486565807286777</v>
      </c>
      <c r="X83" s="4" t="n">
        <v>-0.4668959587274291</v>
      </c>
      <c r="Y83" s="4" t="n"/>
      <c r="Z83" s="4" t="n"/>
      <c r="AA83" s="4" t="n">
        <v>0.04</v>
      </c>
      <c r="AB83" s="4" t="n">
        <v>0.05</v>
      </c>
      <c r="AC83" s="4">
        <f>(AB83+2*參數!$B$7)/(AA83+AB83)</f>
        <v/>
      </c>
      <c r="AD83" s="2" t="n">
        <v>0.3120553739665448</v>
      </c>
      <c r="AE83" s="2" t="n">
        <v>0.244574138245486</v>
      </c>
      <c r="AF83" s="2" t="n">
        <v>72.09773833162896</v>
      </c>
      <c r="AG83" s="2" t="n">
        <v>0.2676923076923062</v>
      </c>
      <c r="AH83" s="2" t="n">
        <v>1</v>
      </c>
      <c r="AI83" s="2" t="n">
        <v>11</v>
      </c>
      <c r="AJ83" s="2" t="n">
        <v>0.4056976002650443</v>
      </c>
      <c r="AK83" s="2" t="n">
        <v>94.46676118304705</v>
      </c>
      <c r="AL83" s="2" t="n">
        <v>0.08420513082605793</v>
      </c>
      <c r="AM83" s="2" t="n">
        <v>428697.34845</v>
      </c>
    </row>
    <row r="84">
      <c r="A84" s="2" t="n">
        <v>83</v>
      </c>
      <c r="B84" s="2" t="inlineStr">
        <is>
          <t>HEMI_USDT_PERP</t>
        </is>
      </c>
      <c r="C84" s="2" t="inlineStr">
        <is>
          <t>做空</t>
        </is>
      </c>
      <c r="D84" s="7" t="n">
        <v>46280.02083333334</v>
      </c>
      <c r="E84" s="17" t="n">
        <v>0.00705</v>
      </c>
      <c r="F84" s="17" t="n">
        <v>0.006768</v>
      </c>
      <c r="G84" s="17" t="n">
        <v>0.0074025</v>
      </c>
      <c r="H84" s="7" t="n">
        <v>46280.02430555555</v>
      </c>
      <c r="I84" s="17" t="n">
        <v>0.006768</v>
      </c>
      <c r="J84" s="2" t="inlineStr">
        <is>
          <t>止盈</t>
        </is>
      </c>
      <c r="K84" s="5">
        <f>(H84-D84)*24</f>
        <v/>
      </c>
      <c r="L84" s="4">
        <f>IF(C84="做多",I84/E84-1,1-I84/E84)-2*參數!$B$7</f>
        <v/>
      </c>
      <c r="M84" s="2" t="inlineStr"/>
      <c r="N84" s="4" t="n">
        <v>-0.01947148817802513</v>
      </c>
      <c r="O84" s="4" t="n">
        <v>0.01697444968657837</v>
      </c>
      <c r="P84" s="4" t="n">
        <v>0.1228275079467254</v>
      </c>
      <c r="Q84" s="19" t="n">
        <v>-5787753</v>
      </c>
      <c r="R84" s="19" t="n">
        <v>179210.24066</v>
      </c>
      <c r="S84" s="4" t="n">
        <v>0.04</v>
      </c>
      <c r="T84" s="4" t="n">
        <v>0</v>
      </c>
      <c r="U84" s="16" t="n">
        <v>3.340402817976596</v>
      </c>
      <c r="V84" s="16" t="n">
        <v>0.5384615384615403</v>
      </c>
      <c r="W84" s="4" t="n">
        <v>-0.1315666982328301</v>
      </c>
      <c r="X84" s="4" t="n">
        <v>-0.115506329113924</v>
      </c>
      <c r="Y84" s="4" t="n"/>
      <c r="Z84" s="4" t="n"/>
      <c r="AA84" s="4" t="n">
        <v>0.04</v>
      </c>
      <c r="AB84" s="4" t="n">
        <v>0.05</v>
      </c>
      <c r="AC84" s="4">
        <f>(AB84+2*參數!$B$7)/(AA84+AB84)</f>
        <v/>
      </c>
      <c r="AD84" s="2" t="n">
        <v>0.1482084690553747</v>
      </c>
      <c r="AE84" s="2" t="n">
        <v>0.08294930875576023</v>
      </c>
      <c r="AF84" s="2" t="n">
        <v>3.340402817976596</v>
      </c>
      <c r="AG84" s="2" t="n">
        <v>0.4615384615384597</v>
      </c>
      <c r="AH84" s="2" t="n">
        <v>0.03386817031518535</v>
      </c>
      <c r="AI84" s="2" t="n">
        <v>3</v>
      </c>
      <c r="AJ84" s="2" t="n">
        <v>0.1228275079467254</v>
      </c>
      <c r="AK84" s="2" t="n">
        <v>73.61542241108583</v>
      </c>
      <c r="AL84" s="2" t="n">
        <v>0.05880121857535069</v>
      </c>
      <c r="AM84" s="2" t="n">
        <v>179210.24066</v>
      </c>
    </row>
    <row r="85">
      <c r="A85" s="2" t="n">
        <v>84</v>
      </c>
      <c r="B85" s="2" t="inlineStr">
        <is>
          <t>ASTR_USDT_PERP</t>
        </is>
      </c>
      <c r="C85" s="2" t="inlineStr">
        <is>
          <t>做空</t>
        </is>
      </c>
      <c r="D85" s="7" t="n">
        <v>46280.37847222222</v>
      </c>
      <c r="E85" s="17" t="n">
        <v>0.006865</v>
      </c>
      <c r="F85" s="17" t="n">
        <v>0.0065904</v>
      </c>
      <c r="G85" s="17" t="n">
        <v>0.00720825</v>
      </c>
      <c r="H85" s="7" t="n">
        <v>46280.38194444445</v>
      </c>
      <c r="I85" s="17" t="n">
        <v>0.00720825</v>
      </c>
      <c r="J85" s="2" t="inlineStr">
        <is>
          <t>止損</t>
        </is>
      </c>
      <c r="K85" s="5">
        <f>(H85-D85)*24</f>
        <v/>
      </c>
      <c r="L85" s="4">
        <f>IF(C85="做多",I85/E85-1,1-I85/E85)-2*參數!$B$7</f>
        <v/>
      </c>
      <c r="M85" s="2" t="inlineStr"/>
      <c r="N85" s="4" t="n">
        <v>0.02523894862604537</v>
      </c>
      <c r="O85" s="4" t="n">
        <v>0.0219801121868151</v>
      </c>
      <c r="P85" s="4" t="n">
        <v>0.1185533485316101</v>
      </c>
      <c r="Q85" s="19" t="n">
        <v>4520210</v>
      </c>
      <c r="R85" s="19" t="n">
        <v>61523.703745</v>
      </c>
      <c r="S85" s="4" t="n">
        <v>0</v>
      </c>
      <c r="T85" s="4" t="n">
        <v>0.05</v>
      </c>
      <c r="U85" s="16" t="n">
        <v>41.54243002145525</v>
      </c>
      <c r="V85" s="16" t="n">
        <v>0.7713125845737485</v>
      </c>
      <c r="W85" s="4" t="n">
        <v>-0.1215542634582427</v>
      </c>
      <c r="X85" s="4" t="n">
        <v>-0.1017493179264963</v>
      </c>
      <c r="Y85" s="4" t="n"/>
      <c r="Z85" s="4" t="n"/>
      <c r="AA85" s="4" t="n">
        <v>0.04</v>
      </c>
      <c r="AB85" s="4" t="n">
        <v>0.05</v>
      </c>
      <c r="AC85" s="4">
        <f>(AB85+2*參數!$B$7)/(AA85+AB85)</f>
        <v/>
      </c>
      <c r="AD85" s="2" t="n">
        <v>0.1464595858383433</v>
      </c>
      <c r="AE85" s="2" t="n">
        <v>0.0589233379608205</v>
      </c>
      <c r="AF85" s="2" t="n">
        <v>41.54243002145525</v>
      </c>
      <c r="AG85" s="2" t="n">
        <v>0.2286874154262515</v>
      </c>
      <c r="AH85" s="2" t="n">
        <v>0.2562857685491344</v>
      </c>
      <c r="AI85" s="2" t="n">
        <v>6</v>
      </c>
      <c r="AJ85" s="2" t="n">
        <v>0.1185533485316101</v>
      </c>
      <c r="AK85" s="2" t="n">
        <v>65.23212893077874</v>
      </c>
      <c r="AL85" s="2" t="n">
        <v>0.07614134212725522</v>
      </c>
      <c r="AM85" s="2" t="n">
        <v>61523.703745</v>
      </c>
    </row>
    <row r="86">
      <c r="A86" s="2" t="n">
        <v>85</v>
      </c>
      <c r="B86" s="2" t="inlineStr">
        <is>
          <t>ASTR_USDT_PERP</t>
        </is>
      </c>
      <c r="C86" s="2" t="inlineStr">
        <is>
          <t>做空</t>
        </is>
      </c>
      <c r="D86" s="7" t="n">
        <v>46280.43055555555</v>
      </c>
      <c r="E86" s="17" t="n">
        <v>0.007216</v>
      </c>
      <c r="F86" s="17" t="n">
        <v>0.00692736</v>
      </c>
      <c r="G86" s="17" t="n">
        <v>0.007576800000000001</v>
      </c>
      <c r="H86" s="7" t="n">
        <v>46280.43402777778</v>
      </c>
      <c r="I86" s="17" t="n">
        <v>0.007576800000000001</v>
      </c>
      <c r="J86" s="2" t="inlineStr">
        <is>
          <t>止損</t>
        </is>
      </c>
      <c r="K86" s="5">
        <f>(H86-D86)*24</f>
        <v/>
      </c>
      <c r="L86" s="4">
        <f>IF(C86="做多",I86/E86-1,1-I86/E86)-2*參數!$B$7</f>
        <v/>
      </c>
      <c r="M86" s="2" t="inlineStr"/>
      <c r="N86" s="4" t="n">
        <v>-0.03322615219721325</v>
      </c>
      <c r="O86" s="4" t="n">
        <v>0.03515932699881551</v>
      </c>
      <c r="P86" s="4" t="n">
        <v>0.161980406878325</v>
      </c>
      <c r="Q86" s="19" t="n">
        <v>-315180</v>
      </c>
      <c r="R86" s="19" t="n">
        <v>146832.093784</v>
      </c>
      <c r="S86" s="4" t="n">
        <v>0</v>
      </c>
      <c r="T86" s="4" t="n">
        <v>0.05</v>
      </c>
      <c r="U86" s="16" t="n">
        <v>2.621852474591524</v>
      </c>
      <c r="V86" s="16" t="n">
        <v>0.9833333333333335</v>
      </c>
      <c r="W86" s="4" t="n">
        <v>-0.1410752293694042</v>
      </c>
      <c r="X86" s="4" t="n">
        <v>-0.1328100470957614</v>
      </c>
      <c r="Y86" s="4" t="n"/>
      <c r="Z86" s="4" t="n"/>
      <c r="AA86" s="4" t="n">
        <v>0.04</v>
      </c>
      <c r="AB86" s="4" t="n">
        <v>0.05</v>
      </c>
      <c r="AC86" s="4">
        <f>(AB86+2*參數!$B$7)/(AA86+AB86)</f>
        <v/>
      </c>
      <c r="AD86" s="2" t="n">
        <v>0.1586384071933205</v>
      </c>
      <c r="AE86" s="2" t="n">
        <v>-0.003727737125500452</v>
      </c>
      <c r="AF86" s="2" t="n">
        <v>2.621852474591524</v>
      </c>
      <c r="AG86" s="2" t="n">
        <v>0.01666666666666647</v>
      </c>
      <c r="AH86" s="2" t="n">
        <v>0.03962244448078885</v>
      </c>
      <c r="AI86" s="2" t="n">
        <v>8</v>
      </c>
      <c r="AJ86" s="2" t="n">
        <v>0.161980406878325</v>
      </c>
      <c r="AK86" s="2" t="n">
        <v>84.17503614018469</v>
      </c>
      <c r="AL86" s="2" t="n">
        <v>0.1217954814437533</v>
      </c>
      <c r="AM86" s="2" t="n">
        <v>146832.093784</v>
      </c>
    </row>
    <row r="87">
      <c r="A87" s="2" t="n">
        <v>86</v>
      </c>
      <c r="B87" s="2" t="inlineStr">
        <is>
          <t>FF_USDT_PERP</t>
        </is>
      </c>
      <c r="C87" s="2" t="inlineStr">
        <is>
          <t>做空</t>
        </is>
      </c>
      <c r="D87" s="7" t="n">
        <v>46280.53472222222</v>
      </c>
      <c r="E87" s="17" t="n">
        <v>0.15524</v>
      </c>
      <c r="F87" s="17" t="n">
        <v>0.1490304</v>
      </c>
      <c r="G87" s="17" t="n">
        <v>0.163002</v>
      </c>
      <c r="H87" s="7" t="n">
        <v>46280.53819444445</v>
      </c>
      <c r="I87" s="17" t="n">
        <v>0.1490304</v>
      </c>
      <c r="J87" s="2" t="inlineStr">
        <is>
          <t>止盈</t>
        </is>
      </c>
      <c r="K87" s="5">
        <f>(H87-D87)*24</f>
        <v/>
      </c>
      <c r="L87" s="4">
        <f>IF(C87="做多",I87/E87-1,1-I87/E87)-2*參數!$B$7</f>
        <v/>
      </c>
      <c r="M87" s="2" t="inlineStr"/>
      <c r="N87" s="4" t="n">
        <v>-0.04279195955111603</v>
      </c>
      <c r="O87" s="4" t="n">
        <v>0.02820506530070383</v>
      </c>
      <c r="P87" s="4" t="n">
        <v>0.187071367466223</v>
      </c>
      <c r="Q87" s="19" t="n">
        <v>329987</v>
      </c>
      <c r="R87" s="19" t="n">
        <v>324358.35279</v>
      </c>
      <c r="S87" s="4" t="n">
        <v>0.04</v>
      </c>
      <c r="T87" s="4" t="n">
        <v>0</v>
      </c>
      <c r="U87" s="16" t="n">
        <v>52.20914990186956</v>
      </c>
      <c r="V87" s="16" t="n">
        <v>0.9034090909090924</v>
      </c>
      <c r="W87" s="4" t="n">
        <v>-0.2097965150940115</v>
      </c>
      <c r="X87" s="4" t="n">
        <v>-0.09024510148184572</v>
      </c>
      <c r="Y87" s="4" t="n"/>
      <c r="Z87" s="4" t="n"/>
      <c r="AA87" s="4" t="n">
        <v>0.04</v>
      </c>
      <c r="AB87" s="4" t="n">
        <v>0.05</v>
      </c>
      <c r="AC87" s="4">
        <f>(AB87+2*參數!$B$7)/(AA87+AB87)</f>
        <v/>
      </c>
      <c r="AD87" s="2" t="n">
        <v>0.2287478233338609</v>
      </c>
      <c r="AE87" s="2" t="n">
        <v>0.2285533396644508</v>
      </c>
      <c r="AF87" s="2" t="n">
        <v>52.20914990186956</v>
      </c>
      <c r="AG87" s="2" t="n">
        <v>0.0965909090909076</v>
      </c>
      <c r="AH87" s="2" t="n">
        <v>1</v>
      </c>
      <c r="AI87" s="2" t="n">
        <v>7</v>
      </c>
      <c r="AJ87" s="2" t="n">
        <v>0.187071367466223</v>
      </c>
      <c r="AK87" s="2" t="n">
        <v>55.41680282009644</v>
      </c>
      <c r="AL87" s="2" t="n">
        <v>0.09770521226323398</v>
      </c>
      <c r="AM87" s="2" t="n">
        <v>324358.35279</v>
      </c>
    </row>
    <row r="88">
      <c r="A88" s="2" t="n">
        <v>87</v>
      </c>
      <c r="B88" s="2" t="inlineStr">
        <is>
          <t>AXL_USDT_PERP</t>
        </is>
      </c>
      <c r="C88" s="2" t="inlineStr">
        <is>
          <t>做空</t>
        </is>
      </c>
      <c r="D88" s="7" t="n">
        <v>46280.59375</v>
      </c>
      <c r="E88" s="17" t="n">
        <v>0.0529</v>
      </c>
      <c r="F88" s="17" t="n">
        <v>0.050784</v>
      </c>
      <c r="G88" s="17" t="n">
        <v>0.055545</v>
      </c>
      <c r="H88" s="7" t="n">
        <v>46280.60069444445</v>
      </c>
      <c r="I88" s="17" t="n">
        <v>0.050784</v>
      </c>
      <c r="J88" s="2" t="inlineStr">
        <is>
          <t>止盈</t>
        </is>
      </c>
      <c r="K88" s="5">
        <f>(H88-D88)*24</f>
        <v/>
      </c>
      <c r="L88" s="4">
        <f>IF(C88="做多",I88/E88-1,1-I88/E88)-2*參數!$B$7</f>
        <v/>
      </c>
      <c r="M88" s="2" t="inlineStr"/>
      <c r="N88" s="4" t="n">
        <v>-0.009363295880149836</v>
      </c>
      <c r="O88" s="4" t="n">
        <v>0.01601382571006306</v>
      </c>
      <c r="P88" s="4" t="n">
        <v>0.1741639538324951</v>
      </c>
      <c r="Q88" s="19" t="n">
        <v>247035</v>
      </c>
      <c r="R88" s="19" t="n">
        <v>53389.8842</v>
      </c>
      <c r="S88" s="4" t="n">
        <v>0.04</v>
      </c>
      <c r="T88" s="4" t="n">
        <v>0.01323251417769367</v>
      </c>
      <c r="U88" s="16" t="n">
        <v>38.16982898088975</v>
      </c>
      <c r="V88" s="16" t="n">
        <v>0.7391304347826076</v>
      </c>
      <c r="W88" s="4" t="n">
        <v>-0.1550974954691358</v>
      </c>
      <c r="X88" s="4" t="n">
        <v>-0.1755555555555557</v>
      </c>
      <c r="Y88" s="4" t="n"/>
      <c r="Z88" s="4" t="n"/>
      <c r="AA88" s="4" t="n">
        <v>0.04</v>
      </c>
      <c r="AB88" s="4" t="n">
        <v>0.05</v>
      </c>
      <c r="AC88" s="4">
        <f>(AB88+2*參數!$B$7)/(AA88+AB88)</f>
        <v/>
      </c>
      <c r="AD88" s="2" t="n">
        <v>0.1400862068965518</v>
      </c>
      <c r="AE88" s="2" t="n">
        <v>0.1279317697228146</v>
      </c>
      <c r="AF88" s="2" t="n">
        <v>38.16982898088975</v>
      </c>
      <c r="AG88" s="2" t="n">
        <v>0.2608695652173924</v>
      </c>
      <c r="AH88" s="2" t="n">
        <v>0.6071224060008045</v>
      </c>
      <c r="AI88" s="2" t="n">
        <v>11</v>
      </c>
      <c r="AJ88" s="2" t="n">
        <v>0.1741639538324951</v>
      </c>
      <c r="AK88" s="2" t="n">
        <v>72.50672280602507</v>
      </c>
      <c r="AL88" s="2" t="n">
        <v>0.05547351950676393</v>
      </c>
      <c r="AM88" s="2" t="n">
        <v>53389.8842</v>
      </c>
    </row>
    <row r="89">
      <c r="A89" s="2" t="n">
        <v>88</v>
      </c>
      <c r="B89" s="2" t="inlineStr">
        <is>
          <t>CTR_USDT_PERP</t>
        </is>
      </c>
      <c r="C89" s="2" t="inlineStr">
        <is>
          <t>做空</t>
        </is>
      </c>
      <c r="D89" s="7" t="n">
        <v>46280.59722222222</v>
      </c>
      <c r="E89" s="17" t="n">
        <v>0.01231</v>
      </c>
      <c r="F89" s="17" t="n">
        <v>0.0118176</v>
      </c>
      <c r="G89" s="17" t="n">
        <v>0.0129255</v>
      </c>
      <c r="H89" s="7" t="n">
        <v>46280.61111111111</v>
      </c>
      <c r="I89" s="17" t="n">
        <v>0.0118176</v>
      </c>
      <c r="J89" s="2" t="inlineStr">
        <is>
          <t>止盈</t>
        </is>
      </c>
      <c r="K89" s="5">
        <f>(H89-D89)*24</f>
        <v/>
      </c>
      <c r="L89" s="4">
        <f>IF(C89="做多",I89/E89-1,1-I89/E89)-2*參數!$B$7</f>
        <v/>
      </c>
      <c r="M89" s="2" t="inlineStr"/>
      <c r="N89" s="4" t="n">
        <v>0.004897959183673306</v>
      </c>
      <c r="O89" s="4" t="n">
        <v>0.03630655350369405</v>
      </c>
      <c r="P89" s="4" t="n">
        <v>0.1188408651096915</v>
      </c>
      <c r="Q89" s="19" t="n">
        <v>-535099</v>
      </c>
      <c r="R89" s="19" t="n">
        <v>102658.82125</v>
      </c>
      <c r="S89" s="4" t="n">
        <v>0.04</v>
      </c>
      <c r="T89" s="4" t="n">
        <v>0.02761982128350926</v>
      </c>
      <c r="U89" s="16" t="n">
        <v>2.030993865445389</v>
      </c>
      <c r="V89" s="16" t="n">
        <v>0.5</v>
      </c>
      <c r="W89" s="4" t="n">
        <v>-0.09942126321806222</v>
      </c>
      <c r="X89" s="4" t="n">
        <v>-0.1504672897196262</v>
      </c>
      <c r="Y89" s="4" t="n"/>
      <c r="Z89" s="4" t="n"/>
      <c r="AA89" s="4" t="n">
        <v>0.04</v>
      </c>
      <c r="AB89" s="4" t="n">
        <v>0.05</v>
      </c>
      <c r="AC89" s="4">
        <f>(AB89+2*參數!$B$7)/(AA89+AB89)</f>
        <v/>
      </c>
      <c r="AD89" s="2" t="n">
        <v>0.1451162790697675</v>
      </c>
      <c r="AE89" s="2" t="n">
        <v>0.0423370025402201</v>
      </c>
      <c r="AF89" s="2" t="n">
        <v>2.030993865445389</v>
      </c>
      <c r="AG89" s="2" t="n">
        <v>0.5</v>
      </c>
      <c r="AH89" s="2" t="n">
        <v>0.02442976878518716</v>
      </c>
      <c r="AI89" s="2" t="n">
        <v>11</v>
      </c>
      <c r="AJ89" s="2" t="n">
        <v>0.1188408651096915</v>
      </c>
      <c r="AK89" s="2" t="n">
        <v>83.39613714915004</v>
      </c>
      <c r="AL89" s="2" t="n">
        <v>0.1257695906322319</v>
      </c>
      <c r="AM89" s="2" t="n">
        <v>102658.82125</v>
      </c>
    </row>
    <row r="90">
      <c r="A90" s="2" t="n">
        <v>89</v>
      </c>
      <c r="B90" s="2" t="inlineStr">
        <is>
          <t>IDOL_USDT_PERP</t>
        </is>
      </c>
      <c r="C90" s="2" t="inlineStr">
        <is>
          <t>做空</t>
        </is>
      </c>
      <c r="D90" s="7" t="n">
        <v>46280.82986111111</v>
      </c>
      <c r="E90" s="17" t="n">
        <v>0.01197</v>
      </c>
      <c r="F90" s="17" t="n">
        <v>0.0114912</v>
      </c>
      <c r="G90" s="17" t="n">
        <v>0.0125685</v>
      </c>
      <c r="H90" s="7" t="n">
        <v>46280.83680555555</v>
      </c>
      <c r="I90" s="17" t="n">
        <v>0.0114912</v>
      </c>
      <c r="J90" s="2" t="inlineStr">
        <is>
          <t>止盈</t>
        </is>
      </c>
      <c r="K90" s="5">
        <f>(H90-D90)*24</f>
        <v/>
      </c>
      <c r="L90" s="4">
        <f>IF(C90="做多",I90/E90-1,1-I90/E90)-2*參數!$B$7</f>
        <v/>
      </c>
      <c r="M90" s="2" t="inlineStr"/>
      <c r="N90" s="4" t="n">
        <v>0.01959114139693341</v>
      </c>
      <c r="O90" s="4" t="n">
        <v>0.02336918029178993</v>
      </c>
      <c r="P90" s="4" t="n">
        <v>0.3106676521310667</v>
      </c>
      <c r="Q90" s="19" t="n">
        <v>3809661</v>
      </c>
      <c r="R90" s="19" t="n">
        <v>51723.71428</v>
      </c>
      <c r="S90" s="4" t="n">
        <v>0.04</v>
      </c>
      <c r="T90" s="4" t="n">
        <v>0.03258145363408516</v>
      </c>
      <c r="U90" s="16" t="n">
        <v>58.77933380102385</v>
      </c>
      <c r="V90" s="16" t="n">
        <v>0.4423076923076932</v>
      </c>
      <c r="W90" s="4" t="n">
        <v>-0.2892871760625579</v>
      </c>
      <c r="X90" s="4" t="n">
        <v>-0.3081967213114754</v>
      </c>
      <c r="Y90" s="4" t="n"/>
      <c r="Z90" s="4" t="n"/>
      <c r="AA90" s="4" t="n">
        <v>0.04</v>
      </c>
      <c r="AB90" s="4" t="n">
        <v>0.05</v>
      </c>
      <c r="AC90" s="4">
        <f>(AB90+2*參數!$B$7)/(AA90+AB90)</f>
        <v/>
      </c>
      <c r="AD90" s="2" t="n">
        <v>0.3153846153846154</v>
      </c>
      <c r="AE90" s="2" t="n">
        <v>0.3241150442477876</v>
      </c>
      <c r="AF90" s="2" t="n">
        <v>58.77933380102385</v>
      </c>
      <c r="AG90" s="2" t="n">
        <v>0.5576923076923068</v>
      </c>
      <c r="AH90" s="2" t="n">
        <v>0.5251294502165514</v>
      </c>
      <c r="AI90" s="2" t="n">
        <v>5</v>
      </c>
      <c r="AJ90" s="2" t="n">
        <v>0.3106676521310667</v>
      </c>
      <c r="AK90" s="2" t="n">
        <v>37.57342393733918</v>
      </c>
      <c r="AL90" s="2" t="n">
        <v>0.08095321519323488</v>
      </c>
      <c r="AM90" s="2" t="n">
        <v>51723.71428</v>
      </c>
    </row>
    <row r="91">
      <c r="A91" s="2" t="n">
        <v>90</v>
      </c>
      <c r="B91" s="2" t="inlineStr">
        <is>
          <t>IDOL_USDT_PERP</t>
        </is>
      </c>
      <c r="C91" s="2" t="inlineStr">
        <is>
          <t>做空</t>
        </is>
      </c>
      <c r="D91" s="7" t="n">
        <v>46280.88888888889</v>
      </c>
      <c r="E91" s="17" t="n">
        <v>0.0114</v>
      </c>
      <c r="F91" s="17" t="n">
        <v>0.010944</v>
      </c>
      <c r="G91" s="17" t="n">
        <v>0.01197</v>
      </c>
      <c r="H91" s="7" t="n">
        <v>46280.89583333334</v>
      </c>
      <c r="I91" s="17" t="n">
        <v>0.010944</v>
      </c>
      <c r="J91" s="2" t="inlineStr">
        <is>
          <t>止盈</t>
        </is>
      </c>
      <c r="K91" s="5">
        <f>(H91-D91)*24</f>
        <v/>
      </c>
      <c r="L91" s="4">
        <f>IF(C91="做多",I91/E91-1,1-I91/E91)-2*參數!$B$7</f>
        <v/>
      </c>
      <c r="M91" s="2" t="inlineStr"/>
      <c r="N91" s="4" t="n">
        <v>-0.02229845626072036</v>
      </c>
      <c r="O91" s="4" t="n">
        <v>0.02737159269474078</v>
      </c>
      <c r="P91" s="4" t="n">
        <v>0.2241775057383322</v>
      </c>
      <c r="Q91" s="19" t="n">
        <v>3729920</v>
      </c>
      <c r="R91" s="19" t="n">
        <v>108318.39754</v>
      </c>
      <c r="S91" s="4" t="n">
        <v>0.04</v>
      </c>
      <c r="T91" s="4" t="n">
        <v>0.01052631578947372</v>
      </c>
      <c r="U91" s="16" t="n">
        <v>2.468408796786413</v>
      </c>
      <c r="V91" s="16" t="n">
        <v>0.8285714285714263</v>
      </c>
      <c r="W91" s="4" t="n">
        <v>-0.1766162992321032</v>
      </c>
      <c r="X91" s="4" t="n">
        <v>-0.2527472527472527</v>
      </c>
      <c r="Y91" s="4" t="n"/>
      <c r="Z91" s="4" t="n"/>
      <c r="AA91" s="4" t="n">
        <v>0.04</v>
      </c>
      <c r="AB91" s="4" t="n">
        <v>0.05</v>
      </c>
      <c r="AC91" s="4">
        <f>(AB91+2*參數!$B$7)/(AA91+AB91)</f>
        <v/>
      </c>
      <c r="AD91" s="2" t="n">
        <v>0.2723214285714288</v>
      </c>
      <c r="AE91" s="2" t="n">
        <v>-0.008695652173912993</v>
      </c>
      <c r="AF91" s="2" t="n">
        <v>2.468408796786413</v>
      </c>
      <c r="AG91" s="2" t="n">
        <v>0.1714285714285737</v>
      </c>
      <c r="AH91" s="2" t="n">
        <v>0.04688162199244737</v>
      </c>
      <c r="AI91" s="2" t="n">
        <v>7</v>
      </c>
      <c r="AJ91" s="2" t="n">
        <v>0.2241775057383322</v>
      </c>
      <c r="AK91" s="2" t="n">
        <v>86.43537574116034</v>
      </c>
      <c r="AL91" s="2" t="n">
        <v>0.09481797846274428</v>
      </c>
      <c r="AM91" s="2" t="n">
        <v>108318.39754</v>
      </c>
    </row>
    <row r="92">
      <c r="A92" s="2" t="n">
        <v>91</v>
      </c>
      <c r="B92" s="2" t="inlineStr">
        <is>
          <t>MOODENG_USDT_PERP</t>
        </is>
      </c>
      <c r="C92" s="2" t="inlineStr">
        <is>
          <t>做空</t>
        </is>
      </c>
      <c r="D92" s="7" t="n">
        <v>46282.54166666666</v>
      </c>
      <c r="E92" s="17" t="n">
        <v>0.04393</v>
      </c>
      <c r="F92" s="17" t="n">
        <v>0.0421728</v>
      </c>
      <c r="G92" s="17" t="n">
        <v>0.0461265</v>
      </c>
      <c r="H92" s="7" t="n">
        <v>46282.55208333334</v>
      </c>
      <c r="I92" s="17" t="n">
        <v>0.0421728</v>
      </c>
      <c r="J92" s="2" t="inlineStr">
        <is>
          <t>止盈</t>
        </is>
      </c>
      <c r="K92" s="5">
        <f>(H92-D92)*24</f>
        <v/>
      </c>
      <c r="L92" s="4">
        <f>IF(C92="做多",I92/E92-1,1-I92/E92)-2*參數!$B$7</f>
        <v/>
      </c>
      <c r="M92" s="2" t="inlineStr"/>
      <c r="N92" s="4" t="n">
        <v>-0.003854875283446746</v>
      </c>
      <c r="O92" s="4" t="n">
        <v>0.01265623168226123</v>
      </c>
      <c r="P92" s="4" t="n">
        <v>0.1591780909271818</v>
      </c>
      <c r="Q92" s="19" t="n">
        <v>804020</v>
      </c>
      <c r="R92" s="19" t="n">
        <v>78377.07574999999</v>
      </c>
      <c r="S92" s="4" t="n">
        <v>0.04</v>
      </c>
      <c r="T92" s="4" t="n">
        <v>0.0006829046209879674</v>
      </c>
      <c r="U92" s="16" t="n">
        <v>13.32761650926087</v>
      </c>
      <c r="V92" s="16" t="n">
        <v>0.4225352112676107</v>
      </c>
      <c r="W92" s="4" t="n">
        <v>-0.1377851909215464</v>
      </c>
      <c r="X92" s="4" t="n">
        <v>-0.1609408033826638</v>
      </c>
      <c r="Y92" s="4" t="n"/>
      <c r="Z92" s="4" t="n"/>
      <c r="AA92" s="4" t="n">
        <v>0.04</v>
      </c>
      <c r="AB92" s="4" t="n">
        <v>0.05</v>
      </c>
      <c r="AC92" s="4">
        <f>(AB92+2*參數!$B$7)/(AA92+AB92)</f>
        <v/>
      </c>
      <c r="AD92" s="2" t="n">
        <v>0.1437125748502994</v>
      </c>
      <c r="AE92" s="2" t="n">
        <v>0.132800412583806</v>
      </c>
      <c r="AF92" s="2" t="n">
        <v>13.32761650926087</v>
      </c>
      <c r="AG92" s="2" t="n">
        <v>0.5774647887323893</v>
      </c>
      <c r="AH92" s="2" t="n">
        <v>0.3207857312864453</v>
      </c>
      <c r="AI92" s="2" t="n">
        <v>10</v>
      </c>
      <c r="AJ92" s="2" t="n">
        <v>0.1591780909271818</v>
      </c>
      <c r="AK92" s="2" t="n">
        <v>74.9708403820383</v>
      </c>
      <c r="AL92" s="2" t="n">
        <v>0.04384247261207873</v>
      </c>
      <c r="AM92" s="2" t="n">
        <v>78377.07574999999</v>
      </c>
    </row>
    <row r="93">
      <c r="A93" s="2" t="n">
        <v>92</v>
      </c>
      <c r="B93" s="2" t="inlineStr">
        <is>
          <t>GENIUS_USDT_PERP</t>
        </is>
      </c>
      <c r="C93" s="2" t="inlineStr">
        <is>
          <t>做空</t>
        </is>
      </c>
      <c r="D93" s="7" t="n">
        <v>46282.83333333334</v>
      </c>
      <c r="E93" s="17" t="n">
        <v>0.4164</v>
      </c>
      <c r="F93" s="17" t="n">
        <v>0.399744</v>
      </c>
      <c r="G93" s="17" t="n">
        <v>0.43722</v>
      </c>
      <c r="H93" s="7" t="n">
        <v>46282.83680555555</v>
      </c>
      <c r="I93" s="17" t="n">
        <v>0.399744</v>
      </c>
      <c r="J93" s="2" t="inlineStr">
        <is>
          <t>止盈</t>
        </is>
      </c>
      <c r="K93" s="5">
        <f>(H93-D93)*24</f>
        <v/>
      </c>
      <c r="L93" s="4">
        <f>IF(C93="做多",I93/E93-1,1-I93/E93)-2*參數!$B$7</f>
        <v/>
      </c>
      <c r="M93" s="2" t="inlineStr"/>
      <c r="N93" s="4" t="n">
        <v>-0.03072625698324016</v>
      </c>
      <c r="O93" s="4" t="n">
        <v>0.03159814582009703</v>
      </c>
      <c r="P93" s="4" t="n">
        <v>0.3639639246172994</v>
      </c>
      <c r="Q93" s="19" t="n">
        <v>597495</v>
      </c>
      <c r="R93" s="19" t="n">
        <v>344467.8061</v>
      </c>
      <c r="S93" s="4" t="n">
        <v>0.04</v>
      </c>
      <c r="T93" s="4" t="n">
        <v>0</v>
      </c>
      <c r="U93" s="16" t="n">
        <v>37.38021559216895</v>
      </c>
      <c r="V93" s="16" t="n">
        <v>0.8125000000000003</v>
      </c>
      <c r="W93" s="4" t="n">
        <v>-0.341572642743458</v>
      </c>
      <c r="X93" s="4" t="n">
        <v>-0.3724456163480554</v>
      </c>
      <c r="Y93" s="4" t="n"/>
      <c r="Z93" s="4" t="n"/>
      <c r="AA93" s="4" t="n">
        <v>0.04</v>
      </c>
      <c r="AB93" s="4" t="n">
        <v>0.05</v>
      </c>
      <c r="AC93" s="4">
        <f>(AB93+2*參數!$B$7)/(AA93+AB93)</f>
        <v/>
      </c>
      <c r="AD93" s="2" t="n">
        <v>0.3679369250985545</v>
      </c>
      <c r="AE93" s="2" t="n">
        <v>0.3643512450851898</v>
      </c>
      <c r="AF93" s="2" t="n">
        <v>37.38021559216895</v>
      </c>
      <c r="AG93" s="2" t="n">
        <v>0.1874999999999996</v>
      </c>
      <c r="AH93" s="2" t="n">
        <v>0.4857924637461233</v>
      </c>
      <c r="AI93" s="2" t="n">
        <v>6</v>
      </c>
      <c r="AJ93" s="2" t="n">
        <v>0.3639639246172994</v>
      </c>
      <c r="AK93" s="2" t="n">
        <v>53.20151988539478</v>
      </c>
      <c r="AL93" s="2" t="n">
        <v>0.1094591879707564</v>
      </c>
      <c r="AM93" s="2" t="n">
        <v>344467.8061</v>
      </c>
    </row>
    <row r="94">
      <c r="A94" s="2" t="n">
        <v>93</v>
      </c>
      <c r="B94" s="2" t="inlineStr">
        <is>
          <t>CROSS_USDT_PERP</t>
        </is>
      </c>
      <c r="C94" s="2" t="inlineStr">
        <is>
          <t>做空</t>
        </is>
      </c>
      <c r="D94" s="7" t="n">
        <v>46283.08333333334</v>
      </c>
      <c r="E94" s="17" t="n">
        <v>0.18272</v>
      </c>
      <c r="F94" s="17" t="n">
        <v>0.1754112</v>
      </c>
      <c r="G94" s="17" t="n">
        <v>0.191856</v>
      </c>
      <c r="H94" s="7" t="n">
        <v>46283.09375</v>
      </c>
      <c r="I94" s="17" t="n">
        <v>0.1754112</v>
      </c>
      <c r="J94" s="2" t="inlineStr">
        <is>
          <t>止盈</t>
        </is>
      </c>
      <c r="K94" s="5">
        <f>(H94-D94)*24</f>
        <v/>
      </c>
      <c r="L94" s="4">
        <f>IF(C94="做多",I94/E94-1,1-I94/E94)-2*參數!$B$7</f>
        <v/>
      </c>
      <c r="M94" s="2" t="inlineStr"/>
      <c r="N94" s="4" t="n">
        <v>-0.007334166349758364</v>
      </c>
      <c r="O94" s="4" t="n">
        <v>0.02306839856482394</v>
      </c>
      <c r="P94" s="4" t="n">
        <v>0.3104956076545984</v>
      </c>
      <c r="Q94" s="19" t="n">
        <v>431861</v>
      </c>
      <c r="R94" s="19" t="n">
        <v>251245.59323</v>
      </c>
      <c r="S94" s="4" t="n">
        <v>0.04</v>
      </c>
      <c r="T94" s="4" t="n">
        <v>0.02024956217162877</v>
      </c>
      <c r="U94" s="16" t="n">
        <v>12.6833791164147</v>
      </c>
      <c r="V94" s="16" t="n">
        <v>0.6321353065539117</v>
      </c>
      <c r="W94" s="4" t="n">
        <v>-0.2408735826082113</v>
      </c>
      <c r="X94" s="4" t="n">
        <v>-0.4071621101270697</v>
      </c>
      <c r="Y94" s="4" t="n"/>
      <c r="Z94" s="4" t="n"/>
      <c r="AA94" s="4" t="n">
        <v>0.04</v>
      </c>
      <c r="AB94" s="4" t="n">
        <v>0.05</v>
      </c>
      <c r="AC94" s="4">
        <f>(AB94+2*參數!$B$7)/(AA94+AB94)</f>
        <v/>
      </c>
      <c r="AD94" s="2" t="n">
        <v>0.2188646521246083</v>
      </c>
      <c r="AE94" s="2" t="n">
        <v>0.144431917825379</v>
      </c>
      <c r="AF94" s="2" t="n">
        <v>12.6833791164147</v>
      </c>
      <c r="AG94" s="2" t="n">
        <v>0.3678646934460882</v>
      </c>
      <c r="AH94" s="2" t="n">
        <v>0.2357409288925385</v>
      </c>
      <c r="AI94" s="2" t="n">
        <v>6</v>
      </c>
      <c r="AJ94" s="2" t="n">
        <v>0.3104956076545984</v>
      </c>
      <c r="AK94" s="2" t="n">
        <v>80.5311546788019</v>
      </c>
      <c r="AL94" s="2" t="n">
        <v>0.07991127672704806</v>
      </c>
      <c r="AM94" s="2" t="n">
        <v>251245.59323</v>
      </c>
    </row>
    <row r="95">
      <c r="A95" s="2" t="n">
        <v>94</v>
      </c>
      <c r="B95" s="2" t="inlineStr">
        <is>
          <t>DRIFT_USDT_PERP</t>
        </is>
      </c>
      <c r="C95" s="2" t="inlineStr">
        <is>
          <t>做空</t>
        </is>
      </c>
      <c r="D95" s="7" t="n">
        <v>46283.35069444445</v>
      </c>
      <c r="E95" s="17" t="n">
        <v>0.01577</v>
      </c>
      <c r="F95" s="17" t="n">
        <v>0.0151392</v>
      </c>
      <c r="G95" s="17" t="n">
        <v>0.0165585</v>
      </c>
      <c r="H95" s="7" t="n">
        <v>46283.35416666666</v>
      </c>
      <c r="I95" s="17" t="n">
        <v>0.0151392</v>
      </c>
      <c r="J95" s="2" t="inlineStr">
        <is>
          <t>止盈</t>
        </is>
      </c>
      <c r="K95" s="5">
        <f>(H95-D95)*24</f>
        <v/>
      </c>
      <c r="L95" s="4">
        <f>IF(C95="做多",I95/E95-1,1-I95/E95)-2*參數!$B$7</f>
        <v/>
      </c>
      <c r="M95" s="2" t="inlineStr"/>
      <c r="N95" s="4" t="n">
        <v>-0.008176100628930927</v>
      </c>
      <c r="O95" s="4" t="n">
        <v>0.02658116830419847</v>
      </c>
      <c r="P95" s="4" t="n">
        <v>0.2280855454642796</v>
      </c>
      <c r="Q95" s="19" t="n">
        <v>740372</v>
      </c>
      <c r="R95" s="19" t="n">
        <v>192526.72277</v>
      </c>
      <c r="S95" s="4" t="n">
        <v>0.04</v>
      </c>
      <c r="T95" s="4" t="n">
        <v>0</v>
      </c>
      <c r="U95" s="16" t="n">
        <v>14.42737817560455</v>
      </c>
      <c r="V95" s="16" t="n">
        <v>0.5526315789473706</v>
      </c>
      <c r="W95" s="4" t="n">
        <v>-0.1481449123420115</v>
      </c>
      <c r="X95" s="4" t="n">
        <v>-0.3375742154368109</v>
      </c>
      <c r="Y95" s="4" t="n"/>
      <c r="Z95" s="4" t="n"/>
      <c r="AA95" s="4" t="n">
        <v>0.04</v>
      </c>
      <c r="AB95" s="4" t="n">
        <v>0.05</v>
      </c>
      <c r="AC95" s="4">
        <f>(AB95+2*參數!$B$7)/(AA95+AB95)</f>
        <v/>
      </c>
      <c r="AD95" s="2" t="n">
        <v>0.1460755813953487</v>
      </c>
      <c r="AE95" s="2" t="n">
        <v>0.06626098715348205</v>
      </c>
      <c r="AF95" s="2" t="n">
        <v>14.42737817560455</v>
      </c>
      <c r="AG95" s="2" t="n">
        <v>0.4473684210526294</v>
      </c>
      <c r="AH95" s="2" t="n">
        <v>0.7147660150481682</v>
      </c>
      <c r="AI95" s="2" t="n">
        <v>6</v>
      </c>
      <c r="AJ95" s="2" t="n">
        <v>0.2280855454642796</v>
      </c>
      <c r="AK95" s="2" t="n">
        <v>90.61252726429824</v>
      </c>
      <c r="AL95" s="2" t="n">
        <v>0.09207986805482242</v>
      </c>
      <c r="AM95" s="2" t="n">
        <v>192526.72277</v>
      </c>
    </row>
    <row r="96">
      <c r="A96" s="2" t="n">
        <v>95</v>
      </c>
      <c r="B96" s="2" t="inlineStr">
        <is>
          <t>BABY_USDT_PERP</t>
        </is>
      </c>
      <c r="C96" s="2" t="inlineStr">
        <is>
          <t>做空</t>
        </is>
      </c>
      <c r="D96" s="7" t="n">
        <v>46283.36111111111</v>
      </c>
      <c r="E96" s="17" t="n">
        <v>0.01258</v>
      </c>
      <c r="F96" s="17" t="n">
        <v>0.0120768</v>
      </c>
      <c r="G96" s="17" t="n">
        <v>0.013209</v>
      </c>
      <c r="H96" s="7" t="n">
        <v>46283.36805555555</v>
      </c>
      <c r="I96" s="17" t="n">
        <v>0.0120768</v>
      </c>
      <c r="J96" s="2" t="inlineStr">
        <is>
          <t>止盈</t>
        </is>
      </c>
      <c r="K96" s="5">
        <f>(H96-D96)*24</f>
        <v/>
      </c>
      <c r="L96" s="4">
        <f>IF(C96="做多",I96/E96-1,1-I96/E96)-2*參數!$B$7</f>
        <v/>
      </c>
      <c r="M96" s="2" t="inlineStr"/>
      <c r="N96" s="4" t="n">
        <v>-0.009448818897637823</v>
      </c>
      <c r="O96" s="4" t="n">
        <v>0.01614183124750519</v>
      </c>
      <c r="P96" s="4" t="n">
        <v>0.1724820877264517</v>
      </c>
      <c r="Q96" s="19" t="n">
        <v>1609610</v>
      </c>
      <c r="R96" s="19" t="n">
        <v>32281.6662</v>
      </c>
      <c r="S96" s="4" t="n">
        <v>0.04</v>
      </c>
      <c r="T96" s="4" t="n">
        <v>0.002384737678855275</v>
      </c>
      <c r="U96" s="16" t="n">
        <v>24.32406435967452</v>
      </c>
      <c r="V96" s="16" t="n">
        <v>0.692307692307698</v>
      </c>
      <c r="W96" s="4" t="n">
        <v>-0.1577397386342718</v>
      </c>
      <c r="X96" s="4" t="n">
        <v>-0.1834430856067732</v>
      </c>
      <c r="Y96" s="4" t="n"/>
      <c r="Z96" s="4" t="n"/>
      <c r="AA96" s="4" t="n">
        <v>0.04</v>
      </c>
      <c r="AB96" s="4" t="n">
        <v>0.05</v>
      </c>
      <c r="AC96" s="4">
        <f>(AB96+2*參數!$B$7)/(AA96+AB96)</f>
        <v/>
      </c>
      <c r="AD96" s="2" t="n">
        <v>0.1713221601489758</v>
      </c>
      <c r="AE96" s="2" t="n">
        <v>0.1669758812615956</v>
      </c>
      <c r="AF96" s="2" t="n">
        <v>24.32406435967452</v>
      </c>
      <c r="AG96" s="2" t="n">
        <v>0.307692307692302</v>
      </c>
      <c r="AH96" s="2" t="n">
        <v>0.5604303904085017</v>
      </c>
      <c r="AI96" s="2" t="n">
        <v>10</v>
      </c>
      <c r="AJ96" s="2" t="n">
        <v>0.1724820877264517</v>
      </c>
      <c r="AK96" s="2" t="n">
        <v>85.92353476312218</v>
      </c>
      <c r="AL96" s="2" t="n">
        <v>0.05591694369576378</v>
      </c>
      <c r="AM96" s="2" t="n">
        <v>32281.6662</v>
      </c>
    </row>
    <row r="97">
      <c r="A97" s="2" t="n">
        <v>96</v>
      </c>
      <c r="B97" s="2" t="inlineStr">
        <is>
          <t>DRIFT_USDT_PERP</t>
        </is>
      </c>
      <c r="C97" s="2" t="inlineStr">
        <is>
          <t>做空</t>
        </is>
      </c>
      <c r="D97" s="7" t="n">
        <v>46283.4375</v>
      </c>
      <c r="E97" s="17" t="n">
        <v>0.01771</v>
      </c>
      <c r="F97" s="17" t="n">
        <v>0.0170016</v>
      </c>
      <c r="G97" s="17" t="n">
        <v>0.0185955</v>
      </c>
      <c r="H97" s="7" t="n">
        <v>46283.44097222222</v>
      </c>
      <c r="I97" s="17" t="n">
        <v>0.0170016</v>
      </c>
      <c r="J97" s="2" t="inlineStr">
        <is>
          <t>止盈</t>
        </is>
      </c>
      <c r="K97" s="5">
        <f>(H97-D97)*24</f>
        <v/>
      </c>
      <c r="L97" s="4">
        <f>IF(C97="做多",I97/E97-1,1-I97/E97)-2*參數!$B$7</f>
        <v/>
      </c>
      <c r="M97" s="2" t="inlineStr"/>
      <c r="N97" s="4" t="n">
        <v>-0.01720310765815769</v>
      </c>
      <c r="O97" s="4" t="n">
        <v>0.04222735599617217</v>
      </c>
      <c r="P97" s="4" t="n">
        <v>0.3222749699794054</v>
      </c>
      <c r="Q97" s="19" t="n">
        <v>128946</v>
      </c>
      <c r="R97" s="19" t="n">
        <v>451361.60317</v>
      </c>
      <c r="S97" s="4" t="n">
        <v>0.04</v>
      </c>
      <c r="T97" s="4" t="n">
        <v>0</v>
      </c>
      <c r="U97" s="16" t="n">
        <v>2.114965819278435</v>
      </c>
      <c r="V97" s="16" t="n">
        <v>0.6666666666666667</v>
      </c>
      <c r="W97" s="4" t="n">
        <v>-0.1979085639301683</v>
      </c>
      <c r="X97" s="4" t="n">
        <v>-0.483249581239531</v>
      </c>
      <c r="Y97" s="4" t="n"/>
      <c r="Z97" s="4" t="n"/>
      <c r="AA97" s="4" t="n">
        <v>0.04</v>
      </c>
      <c r="AB97" s="4" t="n">
        <v>0.05</v>
      </c>
      <c r="AC97" s="4">
        <f>(AB97+2*參數!$B$7)/(AA97+AB97)</f>
        <v/>
      </c>
      <c r="AD97" s="2" t="n">
        <v>0.1917900403768507</v>
      </c>
      <c r="AE97" s="2" t="n">
        <v>0.02310803004043915</v>
      </c>
      <c r="AF97" s="2" t="n">
        <v>2.114965819278435</v>
      </c>
      <c r="AG97" s="2" t="n">
        <v>0.3333333333333333</v>
      </c>
      <c r="AH97" s="2" t="n">
        <v>0.1416773462514317</v>
      </c>
      <c r="AI97" s="2" t="n">
        <v>6</v>
      </c>
      <c r="AJ97" s="2" t="n">
        <v>0.3222749699794054</v>
      </c>
      <c r="AK97" s="2" t="n">
        <v>94.36642798523648</v>
      </c>
      <c r="AL97" s="2" t="n">
        <v>0.1462798521093369</v>
      </c>
      <c r="AM97" s="2" t="n">
        <v>451361.60317</v>
      </c>
    </row>
    <row r="98">
      <c r="A98" s="2" t="n">
        <v>97</v>
      </c>
      <c r="B98" s="2" t="inlineStr">
        <is>
          <t>STRK_USDT_PERP</t>
        </is>
      </c>
      <c r="C98" s="2" t="inlineStr">
        <is>
          <t>做空</t>
        </is>
      </c>
      <c r="D98" s="7" t="n">
        <v>46283.72569444445</v>
      </c>
      <c r="E98" s="17" t="n">
        <v>0.0359</v>
      </c>
      <c r="F98" s="17" t="n">
        <v>0.034464</v>
      </c>
      <c r="G98" s="17" t="n">
        <v>0.03769500000000001</v>
      </c>
      <c r="H98" s="7" t="n">
        <v>46283.74652777778</v>
      </c>
      <c r="I98" s="17" t="n">
        <v>0.034464</v>
      </c>
      <c r="J98" s="2" t="inlineStr">
        <is>
          <t>止盈</t>
        </is>
      </c>
      <c r="K98" s="5">
        <f>(H98-D98)*24</f>
        <v/>
      </c>
      <c r="L98" s="4">
        <f>IF(C98="做多",I98/E98-1,1-I98/E98)-2*參數!$B$7</f>
        <v/>
      </c>
      <c r="M98" s="2" t="inlineStr"/>
      <c r="N98" s="4" t="n">
        <v>0.005602240896358524</v>
      </c>
      <c r="O98" s="4" t="n">
        <v>0.01848251747046416</v>
      </c>
      <c r="P98" s="4" t="n">
        <v>0.2168116596994691</v>
      </c>
      <c r="Q98" s="19" t="n">
        <v>877500.7</v>
      </c>
      <c r="R98" s="19" t="n">
        <v>191419.89269</v>
      </c>
      <c r="S98" s="4" t="n">
        <v>0.04</v>
      </c>
      <c r="T98" s="4" t="n">
        <v>0.01671309192200554</v>
      </c>
      <c r="U98" s="16" t="n">
        <v>4.746003751508724</v>
      </c>
      <c r="V98" s="16" t="n">
        <v>0.5</v>
      </c>
      <c r="W98" s="4" t="n">
        <v>-0.1524139702105805</v>
      </c>
      <c r="X98" s="4" t="n">
        <v>-0.2821428571428573</v>
      </c>
      <c r="Y98" s="4" t="n"/>
      <c r="Z98" s="4" t="n"/>
      <c r="AA98" s="4" t="n">
        <v>0.04</v>
      </c>
      <c r="AB98" s="4" t="n">
        <v>0.05</v>
      </c>
      <c r="AC98" s="4">
        <f>(AB98+2*參數!$B$7)/(AA98+AB98)</f>
        <v/>
      </c>
      <c r="AD98" s="2" t="n">
        <v>0.1469648562300319</v>
      </c>
      <c r="AE98" s="2" t="n">
        <v>0.03160919540229901</v>
      </c>
      <c r="AF98" s="2" t="n">
        <v>4.746003751508724</v>
      </c>
      <c r="AG98" s="2" t="n">
        <v>0.5</v>
      </c>
      <c r="AH98" s="2" t="n">
        <v>0.1256704149593862</v>
      </c>
      <c r="AI98" s="2" t="n">
        <v>12</v>
      </c>
      <c r="AJ98" s="2" t="n">
        <v>0.2168116596994691</v>
      </c>
      <c r="AK98" s="2" t="n">
        <v>86.91848698919159</v>
      </c>
      <c r="AL98" s="2" t="n">
        <v>0.06402531862124665</v>
      </c>
      <c r="AM98" s="2" t="n">
        <v>191419.89269</v>
      </c>
    </row>
    <row r="99">
      <c r="A99" s="2" t="n">
        <v>98</v>
      </c>
      <c r="B99" s="2" t="inlineStr">
        <is>
          <t>ENSO_USDT_PERP</t>
        </is>
      </c>
      <c r="C99" s="2" t="inlineStr">
        <is>
          <t>做空</t>
        </is>
      </c>
      <c r="D99" s="7" t="n">
        <v>46283.78125</v>
      </c>
      <c r="E99" s="17" t="n">
        <v>1.0033</v>
      </c>
      <c r="F99" s="17" t="n">
        <v>0.963168</v>
      </c>
      <c r="G99" s="17" t="n">
        <v>1.053465</v>
      </c>
      <c r="H99" s="7" t="n">
        <v>46283.78472222222</v>
      </c>
      <c r="I99" s="17" t="n">
        <v>0.963168</v>
      </c>
      <c r="J99" s="2" t="inlineStr">
        <is>
          <t>止盈</t>
        </is>
      </c>
      <c r="K99" s="5">
        <f>(H99-D99)*24</f>
        <v/>
      </c>
      <c r="L99" s="4">
        <f>IF(C99="做多",I99/E99-1,1-I99/E99)-2*參數!$B$7</f>
        <v/>
      </c>
      <c r="M99" s="2" t="inlineStr"/>
      <c r="N99" s="4" t="n">
        <v>-0.0003985254558134255</v>
      </c>
      <c r="O99" s="4" t="n">
        <v>0.01800164623452362</v>
      </c>
      <c r="P99" s="4" t="n">
        <v>0.1215245788786805</v>
      </c>
      <c r="Q99" s="19" t="n">
        <v>9636.900000000001</v>
      </c>
      <c r="R99" s="19" t="n">
        <v>119304.48086</v>
      </c>
      <c r="S99" s="4" t="n">
        <v>0.04</v>
      </c>
      <c r="T99" s="4" t="n">
        <v>0</v>
      </c>
      <c r="U99" s="16" t="n">
        <v>13.94689816868386</v>
      </c>
      <c r="V99" s="16" t="n">
        <v>0.5938566552900977</v>
      </c>
      <c r="W99" s="4" t="n">
        <v>-0.1379050660762975</v>
      </c>
      <c r="X99" s="4" t="n">
        <v>-0.09746226208707065</v>
      </c>
      <c r="Y99" s="4" t="n"/>
      <c r="Z99" s="4" t="n"/>
      <c r="AA99" s="4" t="n">
        <v>0.04</v>
      </c>
      <c r="AB99" s="4" t="n">
        <v>0.05</v>
      </c>
      <c r="AC99" s="4">
        <f>(AB99+2*參數!$B$7)/(AA99+AB99)</f>
        <v/>
      </c>
      <c r="AD99" s="2" t="n">
        <v>0.1485975958786492</v>
      </c>
      <c r="AE99" s="2" t="n">
        <v>0.1521589343132752</v>
      </c>
      <c r="AF99" s="2" t="n">
        <v>13.94689816868386</v>
      </c>
      <c r="AG99" s="2" t="n">
        <v>0.4061433447099023</v>
      </c>
      <c r="AH99" s="2" t="n">
        <v>0.2189640047540891</v>
      </c>
      <c r="AI99" s="2" t="n">
        <v>9</v>
      </c>
      <c r="AJ99" s="2" t="n">
        <v>0.1215245788786805</v>
      </c>
      <c r="AK99" s="2" t="n">
        <v>74.87405252868203</v>
      </c>
      <c r="AL99" s="2" t="n">
        <v>0.06235953179615174</v>
      </c>
      <c r="AM99" s="2" t="n">
        <v>119304.48086</v>
      </c>
    </row>
  </sheetData>
  <autoFilter ref="A1:AM99"/>
  <conditionalFormatting sqref="J2:J99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4_USDT_PERP</t>
        </is>
      </c>
      <c r="B2" s="2">
        <f>COUNTIFS(交易明細!$B$2:$B$99,$A2)</f>
        <v/>
      </c>
      <c r="C2" s="2">
        <f>COUNTIFS(交易明細!$B$2:$B$99,$A2,交易明細!$C$2:$C$99,"做多")</f>
        <v/>
      </c>
      <c r="D2" s="2">
        <f>COUNTIFS(交易明細!$B$2:$B$99,$A2,交易明細!$C$2:$C$99,"做空")</f>
        <v/>
      </c>
      <c r="E2" s="2">
        <f>F2+G2+COUNTIFS(交易明細!$B$2:$B$99,$A2,交易明細!$J$2:$J$99,"時間出場")</f>
        <v/>
      </c>
      <c r="F2" s="2">
        <f>COUNTIFS(交易明細!$B$2:$B$99,$A2,交易明細!$J$2:$J$99,"止盈")</f>
        <v/>
      </c>
      <c r="G2" s="2">
        <f>COUNTIFS(交易明細!$B$2:$B$99,$A2,交易明細!$J$2:$J$99,"止損")</f>
        <v/>
      </c>
      <c r="H2" s="4">
        <f>IFERROR(F2/E2,0)</f>
        <v/>
      </c>
      <c r="I2" s="4">
        <f>IFERROR(AVERAGEIFS(交易明細!$L$2:$L$99,交易明細!$B$2:$B$99,$A2,交易明細!$J$2:$J$99,"&lt;&gt;未平倉"),0)</f>
        <v/>
      </c>
      <c r="J2" s="4">
        <f>SUMIFS(交易明細!$L$2:$L$99,交易明細!$B$2:$B$99,$A2,交易明細!$J$2:$J$99,"&lt;&gt;未平倉")</f>
        <v/>
      </c>
      <c r="K2" s="5">
        <f>IFERROR(AVERAGEIFS(交易明細!$K$2:$K$99,交易明細!$B$2:$B$99,$A2,交易明細!$J$2:$J$99,"&lt;&gt;未平倉"),0)</f>
        <v/>
      </c>
      <c r="L2" s="2">
        <f>COUNTIFS(交易明細!$B$2:$B$99,$A2,交易明細!$J$2:$J$99,"未平倉")</f>
        <v/>
      </c>
    </row>
    <row r="3">
      <c r="A3" s="2" t="inlineStr">
        <is>
          <t>AGT_USDT_PERP</t>
        </is>
      </c>
      <c r="B3" s="2">
        <f>COUNTIFS(交易明細!$B$2:$B$99,$A3)</f>
        <v/>
      </c>
      <c r="C3" s="2">
        <f>COUNTIFS(交易明細!$B$2:$B$99,$A3,交易明細!$C$2:$C$99,"做多")</f>
        <v/>
      </c>
      <c r="D3" s="2">
        <f>COUNTIFS(交易明細!$B$2:$B$99,$A3,交易明細!$C$2:$C$99,"做空")</f>
        <v/>
      </c>
      <c r="E3" s="2">
        <f>F3+G3+COUNTIFS(交易明細!$B$2:$B$99,$A3,交易明細!$J$2:$J$99,"時間出場")</f>
        <v/>
      </c>
      <c r="F3" s="2">
        <f>COUNTIFS(交易明細!$B$2:$B$99,$A3,交易明細!$J$2:$J$99,"止盈")</f>
        <v/>
      </c>
      <c r="G3" s="2">
        <f>COUNTIFS(交易明細!$B$2:$B$99,$A3,交易明細!$J$2:$J$99,"止損")</f>
        <v/>
      </c>
      <c r="H3" s="4">
        <f>IFERROR(F3/E3,0)</f>
        <v/>
      </c>
      <c r="I3" s="4">
        <f>IFERROR(AVERAGEIFS(交易明細!$L$2:$L$99,交易明細!$B$2:$B$99,$A3,交易明細!$J$2:$J$99,"&lt;&gt;未平倉"),0)</f>
        <v/>
      </c>
      <c r="J3" s="4">
        <f>SUMIFS(交易明細!$L$2:$L$99,交易明細!$B$2:$B$99,$A3,交易明細!$J$2:$J$99,"&lt;&gt;未平倉")</f>
        <v/>
      </c>
      <c r="K3" s="5">
        <f>IFERROR(AVERAGEIFS(交易明細!$K$2:$K$99,交易明細!$B$2:$B$99,$A3,交易明細!$J$2:$J$99,"&lt;&gt;未平倉"),0)</f>
        <v/>
      </c>
      <c r="L3" s="2">
        <f>COUNTIFS(交易明細!$B$2:$B$99,$A3,交易明細!$J$2:$J$99,"未平倉")</f>
        <v/>
      </c>
    </row>
    <row r="4">
      <c r="A4" s="2" t="inlineStr">
        <is>
          <t>FF_USDT_PERP</t>
        </is>
      </c>
      <c r="B4" s="2">
        <f>COUNTIFS(交易明細!$B$2:$B$99,$A4)</f>
        <v/>
      </c>
      <c r="C4" s="2">
        <f>COUNTIFS(交易明細!$B$2:$B$99,$A4,交易明細!$C$2:$C$99,"做多")</f>
        <v/>
      </c>
      <c r="D4" s="2">
        <f>COUNTIFS(交易明細!$B$2:$B$99,$A4,交易明細!$C$2:$C$99,"做空")</f>
        <v/>
      </c>
      <c r="E4" s="2">
        <f>F4+G4+COUNTIFS(交易明細!$B$2:$B$99,$A4,交易明細!$J$2:$J$99,"時間出場")</f>
        <v/>
      </c>
      <c r="F4" s="2">
        <f>COUNTIFS(交易明細!$B$2:$B$99,$A4,交易明細!$J$2:$J$99,"止盈")</f>
        <v/>
      </c>
      <c r="G4" s="2">
        <f>COUNTIFS(交易明細!$B$2:$B$99,$A4,交易明細!$J$2:$J$99,"止損")</f>
        <v/>
      </c>
      <c r="H4" s="4">
        <f>IFERROR(F4/E4,0)</f>
        <v/>
      </c>
      <c r="I4" s="4">
        <f>IFERROR(AVERAGEIFS(交易明細!$L$2:$L$99,交易明細!$B$2:$B$99,$A4,交易明細!$J$2:$J$99,"&lt;&gt;未平倉"),0)</f>
        <v/>
      </c>
      <c r="J4" s="4">
        <f>SUMIFS(交易明細!$L$2:$L$99,交易明細!$B$2:$B$99,$A4,交易明細!$J$2:$J$99,"&lt;&gt;未平倉")</f>
        <v/>
      </c>
      <c r="K4" s="5">
        <f>IFERROR(AVERAGEIFS(交易明細!$K$2:$K$99,交易明細!$B$2:$B$99,$A4,交易明細!$J$2:$J$99,"&lt;&gt;未平倉"),0)</f>
        <v/>
      </c>
      <c r="L4" s="2">
        <f>COUNTIFS(交易明細!$B$2:$B$99,$A4,交易明細!$J$2:$J$99,"未平倉")</f>
        <v/>
      </c>
    </row>
    <row r="5">
      <c r="A5" s="2" t="inlineStr">
        <is>
          <t>APR_USDT_PERP</t>
        </is>
      </c>
      <c r="B5" s="2">
        <f>COUNTIFS(交易明細!$B$2:$B$99,$A5)</f>
        <v/>
      </c>
      <c r="C5" s="2">
        <f>COUNTIFS(交易明細!$B$2:$B$99,$A5,交易明細!$C$2:$C$99,"做多")</f>
        <v/>
      </c>
      <c r="D5" s="2">
        <f>COUNTIFS(交易明細!$B$2:$B$99,$A5,交易明細!$C$2:$C$99,"做空")</f>
        <v/>
      </c>
      <c r="E5" s="2">
        <f>F5+G5+COUNTIFS(交易明細!$B$2:$B$99,$A5,交易明細!$J$2:$J$99,"時間出場")</f>
        <v/>
      </c>
      <c r="F5" s="2">
        <f>COUNTIFS(交易明細!$B$2:$B$99,$A5,交易明細!$J$2:$J$99,"止盈")</f>
        <v/>
      </c>
      <c r="G5" s="2">
        <f>COUNTIFS(交易明細!$B$2:$B$99,$A5,交易明細!$J$2:$J$99,"止損")</f>
        <v/>
      </c>
      <c r="H5" s="4">
        <f>IFERROR(F5/E5,0)</f>
        <v/>
      </c>
      <c r="I5" s="4">
        <f>IFERROR(AVERAGEIFS(交易明細!$L$2:$L$99,交易明細!$B$2:$B$99,$A5,交易明細!$J$2:$J$99,"&lt;&gt;未平倉"),0)</f>
        <v/>
      </c>
      <c r="J5" s="4">
        <f>SUMIFS(交易明細!$L$2:$L$99,交易明細!$B$2:$B$99,$A5,交易明細!$J$2:$J$99,"&lt;&gt;未平倉")</f>
        <v/>
      </c>
      <c r="K5" s="5">
        <f>IFERROR(AVERAGEIFS(交易明細!$K$2:$K$99,交易明細!$B$2:$B$99,$A5,交易明細!$J$2:$J$99,"&lt;&gt;未平倉"),0)</f>
        <v/>
      </c>
      <c r="L5" s="2">
        <f>COUNTIFS(交易明細!$B$2:$B$99,$A5,交易明細!$J$2:$J$99,"未平倉")</f>
        <v/>
      </c>
    </row>
    <row r="6">
      <c r="A6" s="2" t="inlineStr">
        <is>
          <t>CAP_USDT_PERP</t>
        </is>
      </c>
      <c r="B6" s="2">
        <f>COUNTIFS(交易明細!$B$2:$B$99,$A6)</f>
        <v/>
      </c>
      <c r="C6" s="2">
        <f>COUNTIFS(交易明細!$B$2:$B$99,$A6,交易明細!$C$2:$C$99,"做多")</f>
        <v/>
      </c>
      <c r="D6" s="2">
        <f>COUNTIFS(交易明細!$B$2:$B$99,$A6,交易明細!$C$2:$C$99,"做空")</f>
        <v/>
      </c>
      <c r="E6" s="2">
        <f>F6+G6+COUNTIFS(交易明細!$B$2:$B$99,$A6,交易明細!$J$2:$J$99,"時間出場")</f>
        <v/>
      </c>
      <c r="F6" s="2">
        <f>COUNTIFS(交易明細!$B$2:$B$99,$A6,交易明細!$J$2:$J$99,"止盈")</f>
        <v/>
      </c>
      <c r="G6" s="2">
        <f>COUNTIFS(交易明細!$B$2:$B$99,$A6,交易明細!$J$2:$J$99,"止損")</f>
        <v/>
      </c>
      <c r="H6" s="4">
        <f>IFERROR(F6/E6,0)</f>
        <v/>
      </c>
      <c r="I6" s="4">
        <f>IFERROR(AVERAGEIFS(交易明細!$L$2:$L$99,交易明細!$B$2:$B$99,$A6,交易明細!$J$2:$J$99,"&lt;&gt;未平倉"),0)</f>
        <v/>
      </c>
      <c r="J6" s="4">
        <f>SUMIFS(交易明細!$L$2:$L$99,交易明細!$B$2:$B$99,$A6,交易明細!$J$2:$J$99,"&lt;&gt;未平倉")</f>
        <v/>
      </c>
      <c r="K6" s="5">
        <f>IFERROR(AVERAGEIFS(交易明細!$K$2:$K$99,交易明細!$B$2:$B$99,$A6,交易明細!$J$2:$J$99,"&lt;&gt;未平倉"),0)</f>
        <v/>
      </c>
      <c r="L6" s="2">
        <f>COUNTIFS(交易明細!$B$2:$B$99,$A6,交易明細!$J$2:$J$99,"未平倉")</f>
        <v/>
      </c>
    </row>
    <row r="7">
      <c r="A7" s="2" t="inlineStr">
        <is>
          <t>哈基米_USDT_PERP</t>
        </is>
      </c>
      <c r="B7" s="2">
        <f>COUNTIFS(交易明細!$B$2:$B$99,$A7)</f>
        <v/>
      </c>
      <c r="C7" s="2">
        <f>COUNTIFS(交易明細!$B$2:$B$99,$A7,交易明細!$C$2:$C$99,"做多")</f>
        <v/>
      </c>
      <c r="D7" s="2">
        <f>COUNTIFS(交易明細!$B$2:$B$99,$A7,交易明細!$C$2:$C$99,"做空")</f>
        <v/>
      </c>
      <c r="E7" s="2">
        <f>F7+G7+COUNTIFS(交易明細!$B$2:$B$99,$A7,交易明細!$J$2:$J$99,"時間出場")</f>
        <v/>
      </c>
      <c r="F7" s="2">
        <f>COUNTIFS(交易明細!$B$2:$B$99,$A7,交易明細!$J$2:$J$99,"止盈")</f>
        <v/>
      </c>
      <c r="G7" s="2">
        <f>COUNTIFS(交易明細!$B$2:$B$99,$A7,交易明細!$J$2:$J$99,"止損")</f>
        <v/>
      </c>
      <c r="H7" s="4">
        <f>IFERROR(F7/E7,0)</f>
        <v/>
      </c>
      <c r="I7" s="4">
        <f>IFERROR(AVERAGEIFS(交易明細!$L$2:$L$99,交易明細!$B$2:$B$99,$A7,交易明細!$J$2:$J$99,"&lt;&gt;未平倉"),0)</f>
        <v/>
      </c>
      <c r="J7" s="4">
        <f>SUMIFS(交易明細!$L$2:$L$99,交易明細!$B$2:$B$99,$A7,交易明細!$J$2:$J$99,"&lt;&gt;未平倉")</f>
        <v/>
      </c>
      <c r="K7" s="5">
        <f>IFERROR(AVERAGEIFS(交易明細!$K$2:$K$99,交易明細!$B$2:$B$99,$A7,交易明細!$J$2:$J$99,"&lt;&gt;未平倉"),0)</f>
        <v/>
      </c>
      <c r="L7" s="2">
        <f>COUNTIFS(交易明細!$B$2:$B$99,$A7,交易明細!$J$2:$J$99,"未平倉")</f>
        <v/>
      </c>
    </row>
    <row r="8">
      <c r="A8" s="2" t="inlineStr">
        <is>
          <t>POWR_USDT_PERP</t>
        </is>
      </c>
      <c r="B8" s="2">
        <f>COUNTIFS(交易明細!$B$2:$B$99,$A8)</f>
        <v/>
      </c>
      <c r="C8" s="2">
        <f>COUNTIFS(交易明細!$B$2:$B$99,$A8,交易明細!$C$2:$C$99,"做多")</f>
        <v/>
      </c>
      <c r="D8" s="2">
        <f>COUNTIFS(交易明細!$B$2:$B$99,$A8,交易明細!$C$2:$C$99,"做空")</f>
        <v/>
      </c>
      <c r="E8" s="2">
        <f>F8+G8+COUNTIFS(交易明細!$B$2:$B$99,$A8,交易明細!$J$2:$J$99,"時間出場")</f>
        <v/>
      </c>
      <c r="F8" s="2">
        <f>COUNTIFS(交易明細!$B$2:$B$99,$A8,交易明細!$J$2:$J$99,"止盈")</f>
        <v/>
      </c>
      <c r="G8" s="2">
        <f>COUNTIFS(交易明細!$B$2:$B$99,$A8,交易明細!$J$2:$J$99,"止損")</f>
        <v/>
      </c>
      <c r="H8" s="4">
        <f>IFERROR(F8/E8,0)</f>
        <v/>
      </c>
      <c r="I8" s="4">
        <f>IFERROR(AVERAGEIFS(交易明細!$L$2:$L$99,交易明細!$B$2:$B$99,$A8,交易明細!$J$2:$J$99,"&lt;&gt;未平倉"),0)</f>
        <v/>
      </c>
      <c r="J8" s="4">
        <f>SUMIFS(交易明細!$L$2:$L$99,交易明細!$B$2:$B$99,$A8,交易明細!$J$2:$J$99,"&lt;&gt;未平倉")</f>
        <v/>
      </c>
      <c r="K8" s="5">
        <f>IFERROR(AVERAGEIFS(交易明細!$K$2:$K$99,交易明細!$B$2:$B$99,$A8,交易明細!$J$2:$J$99,"&lt;&gt;未平倉"),0)</f>
        <v/>
      </c>
      <c r="L8" s="2">
        <f>COUNTIFS(交易明細!$B$2:$B$99,$A8,交易明細!$J$2:$J$99,"未平倉")</f>
        <v/>
      </c>
    </row>
    <row r="9">
      <c r="A9" s="2" t="inlineStr">
        <is>
          <t>ZEST_USDT_PERP</t>
        </is>
      </c>
      <c r="B9" s="2">
        <f>COUNTIFS(交易明細!$B$2:$B$99,$A9)</f>
        <v/>
      </c>
      <c r="C9" s="2">
        <f>COUNTIFS(交易明細!$B$2:$B$99,$A9,交易明細!$C$2:$C$99,"做多")</f>
        <v/>
      </c>
      <c r="D9" s="2">
        <f>COUNTIFS(交易明細!$B$2:$B$99,$A9,交易明細!$C$2:$C$99,"做空")</f>
        <v/>
      </c>
      <c r="E9" s="2">
        <f>F9+G9+COUNTIFS(交易明細!$B$2:$B$99,$A9,交易明細!$J$2:$J$99,"時間出場")</f>
        <v/>
      </c>
      <c r="F9" s="2">
        <f>COUNTIFS(交易明細!$B$2:$B$99,$A9,交易明細!$J$2:$J$99,"止盈")</f>
        <v/>
      </c>
      <c r="G9" s="2">
        <f>COUNTIFS(交易明細!$B$2:$B$99,$A9,交易明細!$J$2:$J$99,"止損")</f>
        <v/>
      </c>
      <c r="H9" s="4">
        <f>IFERROR(F9/E9,0)</f>
        <v/>
      </c>
      <c r="I9" s="4">
        <f>IFERROR(AVERAGEIFS(交易明細!$L$2:$L$99,交易明細!$B$2:$B$99,$A9,交易明細!$J$2:$J$99,"&lt;&gt;未平倉"),0)</f>
        <v/>
      </c>
      <c r="J9" s="4">
        <f>SUMIFS(交易明細!$L$2:$L$99,交易明細!$B$2:$B$99,$A9,交易明細!$J$2:$J$99,"&lt;&gt;未平倉")</f>
        <v/>
      </c>
      <c r="K9" s="5">
        <f>IFERROR(AVERAGEIFS(交易明細!$K$2:$K$99,交易明細!$B$2:$B$99,$A9,交易明細!$J$2:$J$99,"&lt;&gt;未平倉"),0)</f>
        <v/>
      </c>
      <c r="L9" s="2">
        <f>COUNTIFS(交易明細!$B$2:$B$99,$A9,交易明細!$J$2:$J$99,"未平倉")</f>
        <v/>
      </c>
    </row>
    <row r="10">
      <c r="A10" s="2" t="inlineStr">
        <is>
          <t>TRIA_USDT_PERP</t>
        </is>
      </c>
      <c r="B10" s="2">
        <f>COUNTIFS(交易明細!$B$2:$B$99,$A10)</f>
        <v/>
      </c>
      <c r="C10" s="2">
        <f>COUNTIFS(交易明細!$B$2:$B$99,$A10,交易明細!$C$2:$C$99,"做多")</f>
        <v/>
      </c>
      <c r="D10" s="2">
        <f>COUNTIFS(交易明細!$B$2:$B$99,$A10,交易明細!$C$2:$C$99,"做空")</f>
        <v/>
      </c>
      <c r="E10" s="2">
        <f>F10+G10+COUNTIFS(交易明細!$B$2:$B$99,$A10,交易明細!$J$2:$J$99,"時間出場")</f>
        <v/>
      </c>
      <c r="F10" s="2">
        <f>COUNTIFS(交易明細!$B$2:$B$99,$A10,交易明細!$J$2:$J$99,"止盈")</f>
        <v/>
      </c>
      <c r="G10" s="2">
        <f>COUNTIFS(交易明細!$B$2:$B$99,$A10,交易明細!$J$2:$J$99,"止損")</f>
        <v/>
      </c>
      <c r="H10" s="4">
        <f>IFERROR(F10/E10,0)</f>
        <v/>
      </c>
      <c r="I10" s="4">
        <f>IFERROR(AVERAGEIFS(交易明細!$L$2:$L$99,交易明細!$B$2:$B$99,$A10,交易明細!$J$2:$J$99,"&lt;&gt;未平倉"),0)</f>
        <v/>
      </c>
      <c r="J10" s="4">
        <f>SUMIFS(交易明細!$L$2:$L$99,交易明細!$B$2:$B$99,$A10,交易明細!$J$2:$J$99,"&lt;&gt;未平倉")</f>
        <v/>
      </c>
      <c r="K10" s="5">
        <f>IFERROR(AVERAGEIFS(交易明細!$K$2:$K$99,交易明細!$B$2:$B$99,$A10,交易明細!$J$2:$J$99,"&lt;&gt;未平倉"),0)</f>
        <v/>
      </c>
      <c r="L10" s="2">
        <f>COUNTIFS(交易明細!$B$2:$B$99,$A10,交易明細!$J$2:$J$99,"未平倉")</f>
        <v/>
      </c>
    </row>
    <row r="11">
      <c r="A11" s="2" t="inlineStr">
        <is>
          <t>NOM_USDT_PERP</t>
        </is>
      </c>
      <c r="B11" s="2">
        <f>COUNTIFS(交易明細!$B$2:$B$99,$A11)</f>
        <v/>
      </c>
      <c r="C11" s="2">
        <f>COUNTIFS(交易明細!$B$2:$B$99,$A11,交易明細!$C$2:$C$99,"做多")</f>
        <v/>
      </c>
      <c r="D11" s="2">
        <f>COUNTIFS(交易明細!$B$2:$B$99,$A11,交易明細!$C$2:$C$99,"做空")</f>
        <v/>
      </c>
      <c r="E11" s="2">
        <f>F11+G11+COUNTIFS(交易明細!$B$2:$B$99,$A11,交易明細!$J$2:$J$99,"時間出場")</f>
        <v/>
      </c>
      <c r="F11" s="2">
        <f>COUNTIFS(交易明細!$B$2:$B$99,$A11,交易明細!$J$2:$J$99,"止盈")</f>
        <v/>
      </c>
      <c r="G11" s="2">
        <f>COUNTIFS(交易明細!$B$2:$B$99,$A11,交易明細!$J$2:$J$99,"止損")</f>
        <v/>
      </c>
      <c r="H11" s="4">
        <f>IFERROR(F11/E11,0)</f>
        <v/>
      </c>
      <c r="I11" s="4">
        <f>IFERROR(AVERAGEIFS(交易明細!$L$2:$L$99,交易明細!$B$2:$B$99,$A11,交易明細!$J$2:$J$99,"&lt;&gt;未平倉"),0)</f>
        <v/>
      </c>
      <c r="J11" s="4">
        <f>SUMIFS(交易明細!$L$2:$L$99,交易明細!$B$2:$B$99,$A11,交易明細!$J$2:$J$99,"&lt;&gt;未平倉")</f>
        <v/>
      </c>
      <c r="K11" s="5">
        <f>IFERROR(AVERAGEIFS(交易明細!$K$2:$K$99,交易明細!$B$2:$B$99,$A11,交易明細!$J$2:$J$99,"&lt;&gt;未平倉"),0)</f>
        <v/>
      </c>
      <c r="L11" s="2">
        <f>COUNTIFS(交易明細!$B$2:$B$99,$A11,交易明細!$J$2:$J$99,"未平倉")</f>
        <v/>
      </c>
    </row>
    <row r="12">
      <c r="A12" s="2" t="inlineStr">
        <is>
          <t>B_USDT_PERP</t>
        </is>
      </c>
      <c r="B12" s="2">
        <f>COUNTIFS(交易明細!$B$2:$B$99,$A12)</f>
        <v/>
      </c>
      <c r="C12" s="2">
        <f>COUNTIFS(交易明細!$B$2:$B$99,$A12,交易明細!$C$2:$C$99,"做多")</f>
        <v/>
      </c>
      <c r="D12" s="2">
        <f>COUNTIFS(交易明細!$B$2:$B$99,$A12,交易明細!$C$2:$C$99,"做空")</f>
        <v/>
      </c>
      <c r="E12" s="2">
        <f>F12+G12+COUNTIFS(交易明細!$B$2:$B$99,$A12,交易明細!$J$2:$J$99,"時間出場")</f>
        <v/>
      </c>
      <c r="F12" s="2">
        <f>COUNTIFS(交易明細!$B$2:$B$99,$A12,交易明細!$J$2:$J$99,"止盈")</f>
        <v/>
      </c>
      <c r="G12" s="2">
        <f>COUNTIFS(交易明細!$B$2:$B$99,$A12,交易明細!$J$2:$J$99,"止損")</f>
        <v/>
      </c>
      <c r="H12" s="4">
        <f>IFERROR(F12/E12,0)</f>
        <v/>
      </c>
      <c r="I12" s="4">
        <f>IFERROR(AVERAGEIFS(交易明細!$L$2:$L$99,交易明細!$B$2:$B$99,$A12,交易明細!$J$2:$J$99,"&lt;&gt;未平倉"),0)</f>
        <v/>
      </c>
      <c r="J12" s="4">
        <f>SUMIFS(交易明細!$L$2:$L$99,交易明細!$B$2:$B$99,$A12,交易明細!$J$2:$J$99,"&lt;&gt;未平倉")</f>
        <v/>
      </c>
      <c r="K12" s="5">
        <f>IFERROR(AVERAGEIFS(交易明細!$K$2:$K$99,交易明細!$B$2:$B$99,$A12,交易明細!$J$2:$J$99,"&lt;&gt;未平倉"),0)</f>
        <v/>
      </c>
      <c r="L12" s="2">
        <f>COUNTIFS(交易明細!$B$2:$B$99,$A12,交易明細!$J$2:$J$99,"未平倉")</f>
        <v/>
      </c>
    </row>
    <row r="13">
      <c r="A13" s="2" t="inlineStr">
        <is>
          <t>NAORIS_USDT_PERP</t>
        </is>
      </c>
      <c r="B13" s="2">
        <f>COUNTIFS(交易明細!$B$2:$B$99,$A13)</f>
        <v/>
      </c>
      <c r="C13" s="2">
        <f>COUNTIFS(交易明細!$B$2:$B$99,$A13,交易明細!$C$2:$C$99,"做多")</f>
        <v/>
      </c>
      <c r="D13" s="2">
        <f>COUNTIFS(交易明細!$B$2:$B$99,$A13,交易明細!$C$2:$C$99,"做空")</f>
        <v/>
      </c>
      <c r="E13" s="2">
        <f>F13+G13+COUNTIFS(交易明細!$B$2:$B$99,$A13,交易明細!$J$2:$J$99,"時間出場")</f>
        <v/>
      </c>
      <c r="F13" s="2">
        <f>COUNTIFS(交易明細!$B$2:$B$99,$A13,交易明細!$J$2:$J$99,"止盈")</f>
        <v/>
      </c>
      <c r="G13" s="2">
        <f>COUNTIFS(交易明細!$B$2:$B$99,$A13,交易明細!$J$2:$J$99,"止損")</f>
        <v/>
      </c>
      <c r="H13" s="4">
        <f>IFERROR(F13/E13,0)</f>
        <v/>
      </c>
      <c r="I13" s="4">
        <f>IFERROR(AVERAGEIFS(交易明細!$L$2:$L$99,交易明細!$B$2:$B$99,$A13,交易明細!$J$2:$J$99,"&lt;&gt;未平倉"),0)</f>
        <v/>
      </c>
      <c r="J13" s="4">
        <f>SUMIFS(交易明細!$L$2:$L$99,交易明細!$B$2:$B$99,$A13,交易明細!$J$2:$J$99,"&lt;&gt;未平倉")</f>
        <v/>
      </c>
      <c r="K13" s="5">
        <f>IFERROR(AVERAGEIFS(交易明細!$K$2:$K$99,交易明細!$B$2:$B$99,$A13,交易明細!$J$2:$J$99,"&lt;&gt;未平倉"),0)</f>
        <v/>
      </c>
      <c r="L13" s="2">
        <f>COUNTIFS(交易明細!$B$2:$B$99,$A13,交易明細!$J$2:$J$99,"未平倉")</f>
        <v/>
      </c>
    </row>
    <row r="14">
      <c r="A14" s="2" t="inlineStr">
        <is>
          <t>MOODENG_USDT_PERP</t>
        </is>
      </c>
      <c r="B14" s="2">
        <f>COUNTIFS(交易明細!$B$2:$B$99,$A14)</f>
        <v/>
      </c>
      <c r="C14" s="2">
        <f>COUNTIFS(交易明細!$B$2:$B$99,$A14,交易明細!$C$2:$C$99,"做多")</f>
        <v/>
      </c>
      <c r="D14" s="2">
        <f>COUNTIFS(交易明細!$B$2:$B$99,$A14,交易明細!$C$2:$C$99,"做空")</f>
        <v/>
      </c>
      <c r="E14" s="2">
        <f>F14+G14+COUNTIFS(交易明細!$B$2:$B$99,$A14,交易明細!$J$2:$J$99,"時間出場")</f>
        <v/>
      </c>
      <c r="F14" s="2">
        <f>COUNTIFS(交易明細!$B$2:$B$99,$A14,交易明細!$J$2:$J$99,"止盈")</f>
        <v/>
      </c>
      <c r="G14" s="2">
        <f>COUNTIFS(交易明細!$B$2:$B$99,$A14,交易明細!$J$2:$J$99,"止損")</f>
        <v/>
      </c>
      <c r="H14" s="4">
        <f>IFERROR(F14/E14,0)</f>
        <v/>
      </c>
      <c r="I14" s="4">
        <f>IFERROR(AVERAGEIFS(交易明細!$L$2:$L$99,交易明細!$B$2:$B$99,$A14,交易明細!$J$2:$J$99,"&lt;&gt;未平倉"),0)</f>
        <v/>
      </c>
      <c r="J14" s="4">
        <f>SUMIFS(交易明細!$L$2:$L$99,交易明細!$B$2:$B$99,$A14,交易明細!$J$2:$J$99,"&lt;&gt;未平倉")</f>
        <v/>
      </c>
      <c r="K14" s="5">
        <f>IFERROR(AVERAGEIFS(交易明細!$K$2:$K$99,交易明細!$B$2:$B$99,$A14,交易明細!$J$2:$J$99,"&lt;&gt;未平倉"),0)</f>
        <v/>
      </c>
      <c r="L14" s="2">
        <f>COUNTIFS(交易明細!$B$2:$B$99,$A14,交易明細!$J$2:$J$99,"未平倉")</f>
        <v/>
      </c>
    </row>
    <row r="15">
      <c r="A15" s="2" t="inlineStr">
        <is>
          <t>SUSHI_USDT_PERP</t>
        </is>
      </c>
      <c r="B15" s="2">
        <f>COUNTIFS(交易明細!$B$2:$B$99,$A15)</f>
        <v/>
      </c>
      <c r="C15" s="2">
        <f>COUNTIFS(交易明細!$B$2:$B$99,$A15,交易明細!$C$2:$C$99,"做多")</f>
        <v/>
      </c>
      <c r="D15" s="2">
        <f>COUNTIFS(交易明細!$B$2:$B$99,$A15,交易明細!$C$2:$C$99,"做空")</f>
        <v/>
      </c>
      <c r="E15" s="2">
        <f>F15+G15+COUNTIFS(交易明細!$B$2:$B$99,$A15,交易明細!$J$2:$J$99,"時間出場")</f>
        <v/>
      </c>
      <c r="F15" s="2">
        <f>COUNTIFS(交易明細!$B$2:$B$99,$A15,交易明細!$J$2:$J$99,"止盈")</f>
        <v/>
      </c>
      <c r="G15" s="2">
        <f>COUNTIFS(交易明細!$B$2:$B$99,$A15,交易明細!$J$2:$J$99,"止損")</f>
        <v/>
      </c>
      <c r="H15" s="4">
        <f>IFERROR(F15/E15,0)</f>
        <v/>
      </c>
      <c r="I15" s="4">
        <f>IFERROR(AVERAGEIFS(交易明細!$L$2:$L$99,交易明細!$B$2:$B$99,$A15,交易明細!$J$2:$J$99,"&lt;&gt;未平倉"),0)</f>
        <v/>
      </c>
      <c r="J15" s="4">
        <f>SUMIFS(交易明細!$L$2:$L$99,交易明細!$B$2:$B$99,$A15,交易明細!$J$2:$J$99,"&lt;&gt;未平倉")</f>
        <v/>
      </c>
      <c r="K15" s="5">
        <f>IFERROR(AVERAGEIFS(交易明細!$K$2:$K$99,交易明細!$B$2:$B$99,$A15,交易明細!$J$2:$J$99,"&lt;&gt;未平倉"),0)</f>
        <v/>
      </c>
      <c r="L15" s="2">
        <f>COUNTIFS(交易明細!$B$2:$B$99,$A15,交易明細!$J$2:$J$99,"未平倉")</f>
        <v/>
      </c>
    </row>
    <row r="16">
      <c r="A16" s="2" t="inlineStr">
        <is>
          <t>RAY_USDT_PERP</t>
        </is>
      </c>
      <c r="B16" s="2">
        <f>COUNTIFS(交易明細!$B$2:$B$99,$A16)</f>
        <v/>
      </c>
      <c r="C16" s="2">
        <f>COUNTIFS(交易明細!$B$2:$B$99,$A16,交易明細!$C$2:$C$99,"做多")</f>
        <v/>
      </c>
      <c r="D16" s="2">
        <f>COUNTIFS(交易明細!$B$2:$B$99,$A16,交易明細!$C$2:$C$99,"做空")</f>
        <v/>
      </c>
      <c r="E16" s="2">
        <f>F16+G16+COUNTIFS(交易明細!$B$2:$B$99,$A16,交易明細!$J$2:$J$99,"時間出場")</f>
        <v/>
      </c>
      <c r="F16" s="2">
        <f>COUNTIFS(交易明細!$B$2:$B$99,$A16,交易明細!$J$2:$J$99,"止盈")</f>
        <v/>
      </c>
      <c r="G16" s="2">
        <f>COUNTIFS(交易明細!$B$2:$B$99,$A16,交易明細!$J$2:$J$99,"止損")</f>
        <v/>
      </c>
      <c r="H16" s="4">
        <f>IFERROR(F16/E16,0)</f>
        <v/>
      </c>
      <c r="I16" s="4">
        <f>IFERROR(AVERAGEIFS(交易明細!$L$2:$L$99,交易明細!$B$2:$B$99,$A16,交易明細!$J$2:$J$99,"&lt;&gt;未平倉"),0)</f>
        <v/>
      </c>
      <c r="J16" s="4">
        <f>SUMIFS(交易明細!$L$2:$L$99,交易明細!$B$2:$B$99,$A16,交易明細!$J$2:$J$99,"&lt;&gt;未平倉")</f>
        <v/>
      </c>
      <c r="K16" s="5">
        <f>IFERROR(AVERAGEIFS(交易明細!$K$2:$K$99,交易明細!$B$2:$B$99,$A16,交易明細!$J$2:$J$99,"&lt;&gt;未平倉"),0)</f>
        <v/>
      </c>
      <c r="L16" s="2">
        <f>COUNTIFS(交易明細!$B$2:$B$99,$A16,交易明細!$J$2:$J$99,"未平倉")</f>
        <v/>
      </c>
    </row>
    <row r="17">
      <c r="A17" s="2" t="inlineStr">
        <is>
          <t>REZ_USDT_PERP</t>
        </is>
      </c>
      <c r="B17" s="2">
        <f>COUNTIFS(交易明細!$B$2:$B$99,$A17)</f>
        <v/>
      </c>
      <c r="C17" s="2">
        <f>COUNTIFS(交易明細!$B$2:$B$99,$A17,交易明細!$C$2:$C$99,"做多")</f>
        <v/>
      </c>
      <c r="D17" s="2">
        <f>COUNTIFS(交易明細!$B$2:$B$99,$A17,交易明細!$C$2:$C$99,"做空")</f>
        <v/>
      </c>
      <c r="E17" s="2">
        <f>F17+G17+COUNTIFS(交易明細!$B$2:$B$99,$A17,交易明細!$J$2:$J$99,"時間出場")</f>
        <v/>
      </c>
      <c r="F17" s="2">
        <f>COUNTIFS(交易明細!$B$2:$B$99,$A17,交易明細!$J$2:$J$99,"止盈")</f>
        <v/>
      </c>
      <c r="G17" s="2">
        <f>COUNTIFS(交易明細!$B$2:$B$99,$A17,交易明細!$J$2:$J$99,"止損")</f>
        <v/>
      </c>
      <c r="H17" s="4">
        <f>IFERROR(F17/E17,0)</f>
        <v/>
      </c>
      <c r="I17" s="4">
        <f>IFERROR(AVERAGEIFS(交易明細!$L$2:$L$99,交易明細!$B$2:$B$99,$A17,交易明細!$J$2:$J$99,"&lt;&gt;未平倉"),0)</f>
        <v/>
      </c>
      <c r="J17" s="4">
        <f>SUMIFS(交易明細!$L$2:$L$99,交易明細!$B$2:$B$99,$A17,交易明細!$J$2:$J$99,"&lt;&gt;未平倉")</f>
        <v/>
      </c>
      <c r="K17" s="5">
        <f>IFERROR(AVERAGEIFS(交易明細!$K$2:$K$99,交易明細!$B$2:$B$99,$A17,交易明細!$J$2:$J$99,"&lt;&gt;未平倉"),0)</f>
        <v/>
      </c>
      <c r="L17" s="2">
        <f>COUNTIFS(交易明細!$B$2:$B$99,$A17,交易明細!$J$2:$J$99,"未平倉")</f>
        <v/>
      </c>
    </row>
    <row r="18">
      <c r="A18" s="2" t="inlineStr">
        <is>
          <t>我踏马来了_USDT_PERP</t>
        </is>
      </c>
      <c r="B18" s="2">
        <f>COUNTIFS(交易明細!$B$2:$B$99,$A18)</f>
        <v/>
      </c>
      <c r="C18" s="2">
        <f>COUNTIFS(交易明細!$B$2:$B$99,$A18,交易明細!$C$2:$C$99,"做多")</f>
        <v/>
      </c>
      <c r="D18" s="2">
        <f>COUNTIFS(交易明細!$B$2:$B$99,$A18,交易明細!$C$2:$C$99,"做空")</f>
        <v/>
      </c>
      <c r="E18" s="2">
        <f>F18+G18+COUNTIFS(交易明細!$B$2:$B$99,$A18,交易明細!$J$2:$J$99,"時間出場")</f>
        <v/>
      </c>
      <c r="F18" s="2">
        <f>COUNTIFS(交易明細!$B$2:$B$99,$A18,交易明細!$J$2:$J$99,"止盈")</f>
        <v/>
      </c>
      <c r="G18" s="2">
        <f>COUNTIFS(交易明細!$B$2:$B$99,$A18,交易明細!$J$2:$J$99,"止損")</f>
        <v/>
      </c>
      <c r="H18" s="4">
        <f>IFERROR(F18/E18,0)</f>
        <v/>
      </c>
      <c r="I18" s="4">
        <f>IFERROR(AVERAGEIFS(交易明細!$L$2:$L$99,交易明細!$B$2:$B$99,$A18,交易明細!$J$2:$J$99,"&lt;&gt;未平倉"),0)</f>
        <v/>
      </c>
      <c r="J18" s="4">
        <f>SUMIFS(交易明細!$L$2:$L$99,交易明細!$B$2:$B$99,$A18,交易明細!$J$2:$J$99,"&lt;&gt;未平倉")</f>
        <v/>
      </c>
      <c r="K18" s="5">
        <f>IFERROR(AVERAGEIFS(交易明細!$K$2:$K$99,交易明細!$B$2:$B$99,$A18,交易明細!$J$2:$J$99,"&lt;&gt;未平倉"),0)</f>
        <v/>
      </c>
      <c r="L18" s="2">
        <f>COUNTIFS(交易明細!$B$2:$B$99,$A18,交易明細!$J$2:$J$99,"未平倉")</f>
        <v/>
      </c>
    </row>
    <row r="19">
      <c r="A19" s="2" t="inlineStr">
        <is>
          <t>CTR_USDT_PERP</t>
        </is>
      </c>
      <c r="B19" s="2">
        <f>COUNTIFS(交易明細!$B$2:$B$99,$A19)</f>
        <v/>
      </c>
      <c r="C19" s="2">
        <f>COUNTIFS(交易明細!$B$2:$B$99,$A19,交易明細!$C$2:$C$99,"做多")</f>
        <v/>
      </c>
      <c r="D19" s="2">
        <f>COUNTIFS(交易明細!$B$2:$B$99,$A19,交易明細!$C$2:$C$99,"做空")</f>
        <v/>
      </c>
      <c r="E19" s="2">
        <f>F19+G19+COUNTIFS(交易明細!$B$2:$B$99,$A19,交易明細!$J$2:$J$99,"時間出場")</f>
        <v/>
      </c>
      <c r="F19" s="2">
        <f>COUNTIFS(交易明細!$B$2:$B$99,$A19,交易明細!$J$2:$J$99,"止盈")</f>
        <v/>
      </c>
      <c r="G19" s="2">
        <f>COUNTIFS(交易明細!$B$2:$B$99,$A19,交易明細!$J$2:$J$99,"止損")</f>
        <v/>
      </c>
      <c r="H19" s="4">
        <f>IFERROR(F19/E19,0)</f>
        <v/>
      </c>
      <c r="I19" s="4">
        <f>IFERROR(AVERAGEIFS(交易明細!$L$2:$L$99,交易明細!$B$2:$B$99,$A19,交易明細!$J$2:$J$99,"&lt;&gt;未平倉"),0)</f>
        <v/>
      </c>
      <c r="J19" s="4">
        <f>SUMIFS(交易明細!$L$2:$L$99,交易明細!$B$2:$B$99,$A19,交易明細!$J$2:$J$99,"&lt;&gt;未平倉")</f>
        <v/>
      </c>
      <c r="K19" s="5">
        <f>IFERROR(AVERAGEIFS(交易明細!$K$2:$K$99,交易明細!$B$2:$B$99,$A19,交易明細!$J$2:$J$99,"&lt;&gt;未平倉"),0)</f>
        <v/>
      </c>
      <c r="L19" s="2">
        <f>COUNTIFS(交易明細!$B$2:$B$99,$A19,交易明細!$J$2:$J$99,"未平倉")</f>
        <v/>
      </c>
    </row>
    <row r="20">
      <c r="A20" s="2" t="inlineStr">
        <is>
          <t>AIN_USDT_PERP</t>
        </is>
      </c>
      <c r="B20" s="2">
        <f>COUNTIFS(交易明細!$B$2:$B$99,$A20)</f>
        <v/>
      </c>
      <c r="C20" s="2">
        <f>COUNTIFS(交易明細!$B$2:$B$99,$A20,交易明細!$C$2:$C$99,"做多")</f>
        <v/>
      </c>
      <c r="D20" s="2">
        <f>COUNTIFS(交易明細!$B$2:$B$99,$A20,交易明細!$C$2:$C$99,"做空")</f>
        <v/>
      </c>
      <c r="E20" s="2">
        <f>F20+G20+COUNTIFS(交易明細!$B$2:$B$99,$A20,交易明細!$J$2:$J$99,"時間出場")</f>
        <v/>
      </c>
      <c r="F20" s="2">
        <f>COUNTIFS(交易明細!$B$2:$B$99,$A20,交易明細!$J$2:$J$99,"止盈")</f>
        <v/>
      </c>
      <c r="G20" s="2">
        <f>COUNTIFS(交易明細!$B$2:$B$99,$A20,交易明細!$J$2:$J$99,"止損")</f>
        <v/>
      </c>
      <c r="H20" s="4">
        <f>IFERROR(F20/E20,0)</f>
        <v/>
      </c>
      <c r="I20" s="4">
        <f>IFERROR(AVERAGEIFS(交易明細!$L$2:$L$99,交易明細!$B$2:$B$99,$A20,交易明細!$J$2:$J$99,"&lt;&gt;未平倉"),0)</f>
        <v/>
      </c>
      <c r="J20" s="4">
        <f>SUMIFS(交易明細!$L$2:$L$99,交易明細!$B$2:$B$99,$A20,交易明細!$J$2:$J$99,"&lt;&gt;未平倉")</f>
        <v/>
      </c>
      <c r="K20" s="5">
        <f>IFERROR(AVERAGEIFS(交易明細!$K$2:$K$99,交易明細!$B$2:$B$99,$A20,交易明細!$J$2:$J$99,"&lt;&gt;未平倉"),0)</f>
        <v/>
      </c>
      <c r="L20" s="2">
        <f>COUNTIFS(交易明細!$B$2:$B$99,$A20,交易明細!$J$2:$J$99,"未平倉")</f>
        <v/>
      </c>
    </row>
    <row r="21">
      <c r="A21" s="2" t="inlineStr">
        <is>
          <t>ASTR_USDT_PERP</t>
        </is>
      </c>
      <c r="B21" s="2">
        <f>COUNTIFS(交易明細!$B$2:$B$99,$A21)</f>
        <v/>
      </c>
      <c r="C21" s="2">
        <f>COUNTIFS(交易明細!$B$2:$B$99,$A21,交易明細!$C$2:$C$99,"做多")</f>
        <v/>
      </c>
      <c r="D21" s="2">
        <f>COUNTIFS(交易明細!$B$2:$B$99,$A21,交易明細!$C$2:$C$99,"做空")</f>
        <v/>
      </c>
      <c r="E21" s="2">
        <f>F21+G21+COUNTIFS(交易明細!$B$2:$B$99,$A21,交易明細!$J$2:$J$99,"時間出場")</f>
        <v/>
      </c>
      <c r="F21" s="2">
        <f>COUNTIFS(交易明細!$B$2:$B$99,$A21,交易明細!$J$2:$J$99,"止盈")</f>
        <v/>
      </c>
      <c r="G21" s="2">
        <f>COUNTIFS(交易明細!$B$2:$B$99,$A21,交易明細!$J$2:$J$99,"止損")</f>
        <v/>
      </c>
      <c r="H21" s="4">
        <f>IFERROR(F21/E21,0)</f>
        <v/>
      </c>
      <c r="I21" s="4">
        <f>IFERROR(AVERAGEIFS(交易明細!$L$2:$L$99,交易明細!$B$2:$B$99,$A21,交易明細!$J$2:$J$99,"&lt;&gt;未平倉"),0)</f>
        <v/>
      </c>
      <c r="J21" s="4">
        <f>SUMIFS(交易明細!$L$2:$L$99,交易明細!$B$2:$B$99,$A21,交易明細!$J$2:$J$99,"&lt;&gt;未平倉")</f>
        <v/>
      </c>
      <c r="K21" s="5">
        <f>IFERROR(AVERAGEIFS(交易明細!$K$2:$K$99,交易明細!$B$2:$B$99,$A21,交易明細!$J$2:$J$99,"&lt;&gt;未平倉"),0)</f>
        <v/>
      </c>
      <c r="L21" s="2">
        <f>COUNTIFS(交易明細!$B$2:$B$99,$A21,交易明細!$J$2:$J$99,"未平倉")</f>
        <v/>
      </c>
    </row>
    <row r="22">
      <c r="A22" s="2" t="inlineStr">
        <is>
          <t>IDOL_USDT_PERP</t>
        </is>
      </c>
      <c r="B22" s="2">
        <f>COUNTIFS(交易明細!$B$2:$B$99,$A22)</f>
        <v/>
      </c>
      <c r="C22" s="2">
        <f>COUNTIFS(交易明細!$B$2:$B$99,$A22,交易明細!$C$2:$C$99,"做多")</f>
        <v/>
      </c>
      <c r="D22" s="2">
        <f>COUNTIFS(交易明細!$B$2:$B$99,$A22,交易明細!$C$2:$C$99,"做空")</f>
        <v/>
      </c>
      <c r="E22" s="2">
        <f>F22+G22+COUNTIFS(交易明細!$B$2:$B$99,$A22,交易明細!$J$2:$J$99,"時間出場")</f>
        <v/>
      </c>
      <c r="F22" s="2">
        <f>COUNTIFS(交易明細!$B$2:$B$99,$A22,交易明細!$J$2:$J$99,"止盈")</f>
        <v/>
      </c>
      <c r="G22" s="2">
        <f>COUNTIFS(交易明細!$B$2:$B$99,$A22,交易明細!$J$2:$J$99,"止損")</f>
        <v/>
      </c>
      <c r="H22" s="4">
        <f>IFERROR(F22/E22,0)</f>
        <v/>
      </c>
      <c r="I22" s="4">
        <f>IFERROR(AVERAGEIFS(交易明細!$L$2:$L$99,交易明細!$B$2:$B$99,$A22,交易明細!$J$2:$J$99,"&lt;&gt;未平倉"),0)</f>
        <v/>
      </c>
      <c r="J22" s="4">
        <f>SUMIFS(交易明細!$L$2:$L$99,交易明細!$B$2:$B$99,$A22,交易明細!$J$2:$J$99,"&lt;&gt;未平倉")</f>
        <v/>
      </c>
      <c r="K22" s="5">
        <f>IFERROR(AVERAGEIFS(交易明細!$K$2:$K$99,交易明細!$B$2:$B$99,$A22,交易明細!$J$2:$J$99,"&lt;&gt;未平倉"),0)</f>
        <v/>
      </c>
      <c r="L22" s="2">
        <f>COUNTIFS(交易明細!$B$2:$B$99,$A22,交易明細!$J$2:$J$99,"未平倉")</f>
        <v/>
      </c>
    </row>
    <row r="23">
      <c r="A23" s="2" t="inlineStr">
        <is>
          <t>DRIFT_USDT_PERP</t>
        </is>
      </c>
      <c r="B23" s="2">
        <f>COUNTIFS(交易明細!$B$2:$B$99,$A23)</f>
        <v/>
      </c>
      <c r="C23" s="2">
        <f>COUNTIFS(交易明細!$B$2:$B$99,$A23,交易明細!$C$2:$C$99,"做多")</f>
        <v/>
      </c>
      <c r="D23" s="2">
        <f>COUNTIFS(交易明細!$B$2:$B$99,$A23,交易明細!$C$2:$C$99,"做空")</f>
        <v/>
      </c>
      <c r="E23" s="2">
        <f>F23+G23+COUNTIFS(交易明細!$B$2:$B$99,$A23,交易明細!$J$2:$J$99,"時間出場")</f>
        <v/>
      </c>
      <c r="F23" s="2">
        <f>COUNTIFS(交易明細!$B$2:$B$99,$A23,交易明細!$J$2:$J$99,"止盈")</f>
        <v/>
      </c>
      <c r="G23" s="2">
        <f>COUNTIFS(交易明細!$B$2:$B$99,$A23,交易明細!$J$2:$J$99,"止損")</f>
        <v/>
      </c>
      <c r="H23" s="4">
        <f>IFERROR(F23/E23,0)</f>
        <v/>
      </c>
      <c r="I23" s="4">
        <f>IFERROR(AVERAGEIFS(交易明細!$L$2:$L$99,交易明細!$B$2:$B$99,$A23,交易明細!$J$2:$J$99,"&lt;&gt;未平倉"),0)</f>
        <v/>
      </c>
      <c r="J23" s="4">
        <f>SUMIFS(交易明細!$L$2:$L$99,交易明細!$B$2:$B$99,$A23,交易明細!$J$2:$J$99,"&lt;&gt;未平倉")</f>
        <v/>
      </c>
      <c r="K23" s="5">
        <f>IFERROR(AVERAGEIFS(交易明細!$K$2:$K$99,交易明細!$B$2:$B$99,$A23,交易明細!$J$2:$J$99,"&lt;&gt;未平倉"),0)</f>
        <v/>
      </c>
      <c r="L23" s="2">
        <f>COUNTIFS(交易明細!$B$2:$B$99,$A23,交易明細!$J$2:$J$99,"未平倉")</f>
        <v/>
      </c>
    </row>
    <row r="24">
      <c r="A24" s="2" t="inlineStr">
        <is>
          <t>DOGS_USDT_PERP</t>
        </is>
      </c>
      <c r="B24" s="2">
        <f>COUNTIFS(交易明細!$B$2:$B$99,$A24)</f>
        <v/>
      </c>
      <c r="C24" s="2">
        <f>COUNTIFS(交易明細!$B$2:$B$99,$A24,交易明細!$C$2:$C$99,"做多")</f>
        <v/>
      </c>
      <c r="D24" s="2">
        <f>COUNTIFS(交易明細!$B$2:$B$99,$A24,交易明細!$C$2:$C$99,"做空")</f>
        <v/>
      </c>
      <c r="E24" s="2">
        <f>F24+G24+COUNTIFS(交易明細!$B$2:$B$99,$A24,交易明細!$J$2:$J$99,"時間出場")</f>
        <v/>
      </c>
      <c r="F24" s="2">
        <f>COUNTIFS(交易明細!$B$2:$B$99,$A24,交易明細!$J$2:$J$99,"止盈")</f>
        <v/>
      </c>
      <c r="G24" s="2">
        <f>COUNTIFS(交易明細!$B$2:$B$99,$A24,交易明細!$J$2:$J$99,"止損")</f>
        <v/>
      </c>
      <c r="H24" s="4">
        <f>IFERROR(F24/E24,0)</f>
        <v/>
      </c>
      <c r="I24" s="4">
        <f>IFERROR(AVERAGEIFS(交易明細!$L$2:$L$99,交易明細!$B$2:$B$99,$A24,交易明細!$J$2:$J$99,"&lt;&gt;未平倉"),0)</f>
        <v/>
      </c>
      <c r="J24" s="4">
        <f>SUMIFS(交易明細!$L$2:$L$99,交易明細!$B$2:$B$99,$A24,交易明細!$J$2:$J$99,"&lt;&gt;未平倉")</f>
        <v/>
      </c>
      <c r="K24" s="5">
        <f>IFERROR(AVERAGEIFS(交易明細!$K$2:$K$99,交易明細!$B$2:$B$99,$A24,交易明細!$J$2:$J$99,"&lt;&gt;未平倉"),0)</f>
        <v/>
      </c>
      <c r="L24" s="2">
        <f>COUNTIFS(交易明細!$B$2:$B$99,$A24,交易明細!$J$2:$J$99,"未平倉")</f>
        <v/>
      </c>
    </row>
    <row r="25">
      <c r="A25" s="2" t="inlineStr">
        <is>
          <t>ACE_USDT_PERP</t>
        </is>
      </c>
      <c r="B25" s="2">
        <f>COUNTIFS(交易明細!$B$2:$B$99,$A25)</f>
        <v/>
      </c>
      <c r="C25" s="2">
        <f>COUNTIFS(交易明細!$B$2:$B$99,$A25,交易明細!$C$2:$C$99,"做多")</f>
        <v/>
      </c>
      <c r="D25" s="2">
        <f>COUNTIFS(交易明細!$B$2:$B$99,$A25,交易明細!$C$2:$C$99,"做空")</f>
        <v/>
      </c>
      <c r="E25" s="2">
        <f>F25+G25+COUNTIFS(交易明細!$B$2:$B$99,$A25,交易明細!$J$2:$J$99,"時間出場")</f>
        <v/>
      </c>
      <c r="F25" s="2">
        <f>COUNTIFS(交易明細!$B$2:$B$99,$A25,交易明細!$J$2:$J$99,"止盈")</f>
        <v/>
      </c>
      <c r="G25" s="2">
        <f>COUNTIFS(交易明細!$B$2:$B$99,$A25,交易明細!$J$2:$J$99,"止損")</f>
        <v/>
      </c>
      <c r="H25" s="4">
        <f>IFERROR(F25/E25,0)</f>
        <v/>
      </c>
      <c r="I25" s="4">
        <f>IFERROR(AVERAGEIFS(交易明細!$L$2:$L$99,交易明細!$B$2:$B$99,$A25,交易明細!$J$2:$J$99,"&lt;&gt;未平倉"),0)</f>
        <v/>
      </c>
      <c r="J25" s="4">
        <f>SUMIFS(交易明細!$L$2:$L$99,交易明細!$B$2:$B$99,$A25,交易明細!$J$2:$J$99,"&lt;&gt;未平倉")</f>
        <v/>
      </c>
      <c r="K25" s="5">
        <f>IFERROR(AVERAGEIFS(交易明細!$K$2:$K$99,交易明細!$B$2:$B$99,$A25,交易明細!$J$2:$J$99,"&lt;&gt;未平倉"),0)</f>
        <v/>
      </c>
      <c r="L25" s="2">
        <f>COUNTIFS(交易明細!$B$2:$B$99,$A25,交易明細!$J$2:$J$99,"未平倉")</f>
        <v/>
      </c>
    </row>
    <row r="26">
      <c r="A26" s="2" t="inlineStr">
        <is>
          <t>LA_USDT_PERP</t>
        </is>
      </c>
      <c r="B26" s="2">
        <f>COUNTIFS(交易明細!$B$2:$B$99,$A26)</f>
        <v/>
      </c>
      <c r="C26" s="2">
        <f>COUNTIFS(交易明細!$B$2:$B$99,$A26,交易明細!$C$2:$C$99,"做多")</f>
        <v/>
      </c>
      <c r="D26" s="2">
        <f>COUNTIFS(交易明細!$B$2:$B$99,$A26,交易明細!$C$2:$C$99,"做空")</f>
        <v/>
      </c>
      <c r="E26" s="2">
        <f>F26+G26+COUNTIFS(交易明細!$B$2:$B$99,$A26,交易明細!$J$2:$J$99,"時間出場")</f>
        <v/>
      </c>
      <c r="F26" s="2">
        <f>COUNTIFS(交易明細!$B$2:$B$99,$A26,交易明細!$J$2:$J$99,"止盈")</f>
        <v/>
      </c>
      <c r="G26" s="2">
        <f>COUNTIFS(交易明細!$B$2:$B$99,$A26,交易明細!$J$2:$J$99,"止損")</f>
        <v/>
      </c>
      <c r="H26" s="4">
        <f>IFERROR(F26/E26,0)</f>
        <v/>
      </c>
      <c r="I26" s="4">
        <f>IFERROR(AVERAGEIFS(交易明細!$L$2:$L$99,交易明細!$B$2:$B$99,$A26,交易明細!$J$2:$J$99,"&lt;&gt;未平倉"),0)</f>
        <v/>
      </c>
      <c r="J26" s="4">
        <f>SUMIFS(交易明細!$L$2:$L$99,交易明細!$B$2:$B$99,$A26,交易明細!$J$2:$J$99,"&lt;&gt;未平倉")</f>
        <v/>
      </c>
      <c r="K26" s="5">
        <f>IFERROR(AVERAGEIFS(交易明細!$K$2:$K$99,交易明細!$B$2:$B$99,$A26,交易明細!$J$2:$J$99,"&lt;&gt;未平倉"),0)</f>
        <v/>
      </c>
      <c r="L26" s="2">
        <f>COUNTIFS(交易明細!$B$2:$B$99,$A26,交易明細!$J$2:$J$99,"未平倉")</f>
        <v/>
      </c>
    </row>
    <row r="27">
      <c r="A27" s="2" t="inlineStr">
        <is>
          <t>CLO_USDT_PERP</t>
        </is>
      </c>
      <c r="B27" s="2">
        <f>COUNTIFS(交易明細!$B$2:$B$99,$A27)</f>
        <v/>
      </c>
      <c r="C27" s="2">
        <f>COUNTIFS(交易明細!$B$2:$B$99,$A27,交易明細!$C$2:$C$99,"做多")</f>
        <v/>
      </c>
      <c r="D27" s="2">
        <f>COUNTIFS(交易明細!$B$2:$B$99,$A27,交易明細!$C$2:$C$99,"做空")</f>
        <v/>
      </c>
      <c r="E27" s="2">
        <f>F27+G27+COUNTIFS(交易明細!$B$2:$B$99,$A27,交易明細!$J$2:$J$99,"時間出場")</f>
        <v/>
      </c>
      <c r="F27" s="2">
        <f>COUNTIFS(交易明細!$B$2:$B$99,$A27,交易明細!$J$2:$J$99,"止盈")</f>
        <v/>
      </c>
      <c r="G27" s="2">
        <f>COUNTIFS(交易明細!$B$2:$B$99,$A27,交易明細!$J$2:$J$99,"止損")</f>
        <v/>
      </c>
      <c r="H27" s="4">
        <f>IFERROR(F27/E27,0)</f>
        <v/>
      </c>
      <c r="I27" s="4">
        <f>IFERROR(AVERAGEIFS(交易明細!$L$2:$L$99,交易明細!$B$2:$B$99,$A27,交易明細!$J$2:$J$99,"&lt;&gt;未平倉"),0)</f>
        <v/>
      </c>
      <c r="J27" s="4">
        <f>SUMIFS(交易明細!$L$2:$L$99,交易明細!$B$2:$B$99,$A27,交易明細!$J$2:$J$99,"&lt;&gt;未平倉")</f>
        <v/>
      </c>
      <c r="K27" s="5">
        <f>IFERROR(AVERAGEIFS(交易明細!$K$2:$K$99,交易明細!$B$2:$B$99,$A27,交易明細!$J$2:$J$99,"&lt;&gt;未平倉"),0)</f>
        <v/>
      </c>
      <c r="L27" s="2">
        <f>COUNTIFS(交易明細!$B$2:$B$99,$A27,交易明細!$J$2:$J$99,"未平倉")</f>
        <v/>
      </c>
    </row>
    <row r="28">
      <c r="A28" s="2" t="inlineStr">
        <is>
          <t>MUBARAK_USDT_PERP</t>
        </is>
      </c>
      <c r="B28" s="2">
        <f>COUNTIFS(交易明細!$B$2:$B$99,$A28)</f>
        <v/>
      </c>
      <c r="C28" s="2">
        <f>COUNTIFS(交易明細!$B$2:$B$99,$A28,交易明細!$C$2:$C$99,"做多")</f>
        <v/>
      </c>
      <c r="D28" s="2">
        <f>COUNTIFS(交易明細!$B$2:$B$99,$A28,交易明細!$C$2:$C$99,"做空")</f>
        <v/>
      </c>
      <c r="E28" s="2">
        <f>F28+G28+COUNTIFS(交易明細!$B$2:$B$99,$A28,交易明細!$J$2:$J$99,"時間出場")</f>
        <v/>
      </c>
      <c r="F28" s="2">
        <f>COUNTIFS(交易明細!$B$2:$B$99,$A28,交易明細!$J$2:$J$99,"止盈")</f>
        <v/>
      </c>
      <c r="G28" s="2">
        <f>COUNTIFS(交易明細!$B$2:$B$99,$A28,交易明細!$J$2:$J$99,"止損")</f>
        <v/>
      </c>
      <c r="H28" s="4">
        <f>IFERROR(F28/E28,0)</f>
        <v/>
      </c>
      <c r="I28" s="4">
        <f>IFERROR(AVERAGEIFS(交易明細!$L$2:$L$99,交易明細!$B$2:$B$99,$A28,交易明細!$J$2:$J$99,"&lt;&gt;未平倉"),0)</f>
        <v/>
      </c>
      <c r="J28" s="4">
        <f>SUMIFS(交易明細!$L$2:$L$99,交易明細!$B$2:$B$99,$A28,交易明細!$J$2:$J$99,"&lt;&gt;未平倉")</f>
        <v/>
      </c>
      <c r="K28" s="5">
        <f>IFERROR(AVERAGEIFS(交易明細!$K$2:$K$99,交易明細!$B$2:$B$99,$A28,交易明細!$J$2:$J$99,"&lt;&gt;未平倉"),0)</f>
        <v/>
      </c>
      <c r="L28" s="2">
        <f>COUNTIFS(交易明細!$B$2:$B$99,$A28,交易明細!$J$2:$J$99,"未平倉")</f>
        <v/>
      </c>
    </row>
    <row r="29">
      <c r="A29" s="2" t="inlineStr">
        <is>
          <t>CHIP_USDT_PERP</t>
        </is>
      </c>
      <c r="B29" s="2">
        <f>COUNTIFS(交易明細!$B$2:$B$99,$A29)</f>
        <v/>
      </c>
      <c r="C29" s="2">
        <f>COUNTIFS(交易明細!$B$2:$B$99,$A29,交易明細!$C$2:$C$99,"做多")</f>
        <v/>
      </c>
      <c r="D29" s="2">
        <f>COUNTIFS(交易明細!$B$2:$B$99,$A29,交易明細!$C$2:$C$99,"做空")</f>
        <v/>
      </c>
      <c r="E29" s="2">
        <f>F29+G29+COUNTIFS(交易明細!$B$2:$B$99,$A29,交易明細!$J$2:$J$99,"時間出場")</f>
        <v/>
      </c>
      <c r="F29" s="2">
        <f>COUNTIFS(交易明細!$B$2:$B$99,$A29,交易明細!$J$2:$J$99,"止盈")</f>
        <v/>
      </c>
      <c r="G29" s="2">
        <f>COUNTIFS(交易明細!$B$2:$B$99,$A29,交易明細!$J$2:$J$99,"止損")</f>
        <v/>
      </c>
      <c r="H29" s="4">
        <f>IFERROR(F29/E29,0)</f>
        <v/>
      </c>
      <c r="I29" s="4">
        <f>IFERROR(AVERAGEIFS(交易明細!$L$2:$L$99,交易明細!$B$2:$B$99,$A29,交易明細!$J$2:$J$99,"&lt;&gt;未平倉"),0)</f>
        <v/>
      </c>
      <c r="J29" s="4">
        <f>SUMIFS(交易明細!$L$2:$L$99,交易明細!$B$2:$B$99,$A29,交易明細!$J$2:$J$99,"&lt;&gt;未平倉")</f>
        <v/>
      </c>
      <c r="K29" s="5">
        <f>IFERROR(AVERAGEIFS(交易明細!$K$2:$K$99,交易明細!$B$2:$B$99,$A29,交易明細!$J$2:$J$99,"&lt;&gt;未平倉"),0)</f>
        <v/>
      </c>
      <c r="L29" s="2">
        <f>COUNTIFS(交易明細!$B$2:$B$99,$A29,交易明細!$J$2:$J$99,"未平倉")</f>
        <v/>
      </c>
    </row>
    <row r="30">
      <c r="A30" s="2" t="inlineStr">
        <is>
          <t>PORTAL_USDT_PERP</t>
        </is>
      </c>
      <c r="B30" s="2">
        <f>COUNTIFS(交易明細!$B$2:$B$99,$A30)</f>
        <v/>
      </c>
      <c r="C30" s="2">
        <f>COUNTIFS(交易明細!$B$2:$B$99,$A30,交易明細!$C$2:$C$99,"做多")</f>
        <v/>
      </c>
      <c r="D30" s="2">
        <f>COUNTIFS(交易明細!$B$2:$B$99,$A30,交易明細!$C$2:$C$99,"做空")</f>
        <v/>
      </c>
      <c r="E30" s="2">
        <f>F30+G30+COUNTIFS(交易明細!$B$2:$B$99,$A30,交易明細!$J$2:$J$99,"時間出場")</f>
        <v/>
      </c>
      <c r="F30" s="2">
        <f>COUNTIFS(交易明細!$B$2:$B$99,$A30,交易明細!$J$2:$J$99,"止盈")</f>
        <v/>
      </c>
      <c r="G30" s="2">
        <f>COUNTIFS(交易明細!$B$2:$B$99,$A30,交易明細!$J$2:$J$99,"止損")</f>
        <v/>
      </c>
      <c r="H30" s="4">
        <f>IFERROR(F30/E30,0)</f>
        <v/>
      </c>
      <c r="I30" s="4">
        <f>IFERROR(AVERAGEIFS(交易明細!$L$2:$L$99,交易明細!$B$2:$B$99,$A30,交易明細!$J$2:$J$99,"&lt;&gt;未平倉"),0)</f>
        <v/>
      </c>
      <c r="J30" s="4">
        <f>SUMIFS(交易明細!$L$2:$L$99,交易明細!$B$2:$B$99,$A30,交易明細!$J$2:$J$99,"&lt;&gt;未平倉")</f>
        <v/>
      </c>
      <c r="K30" s="5">
        <f>IFERROR(AVERAGEIFS(交易明細!$K$2:$K$99,交易明細!$B$2:$B$99,$A30,交易明細!$J$2:$J$99,"&lt;&gt;未平倉"),0)</f>
        <v/>
      </c>
      <c r="L30" s="2">
        <f>COUNTIFS(交易明細!$B$2:$B$99,$A30,交易明細!$J$2:$J$99,"未平倉")</f>
        <v/>
      </c>
    </row>
    <row r="31">
      <c r="A31" s="2" t="inlineStr">
        <is>
          <t>CATI_USDT_PERP</t>
        </is>
      </c>
      <c r="B31" s="2">
        <f>COUNTIFS(交易明細!$B$2:$B$99,$A31)</f>
        <v/>
      </c>
      <c r="C31" s="2">
        <f>COUNTIFS(交易明細!$B$2:$B$99,$A31,交易明細!$C$2:$C$99,"做多")</f>
        <v/>
      </c>
      <c r="D31" s="2">
        <f>COUNTIFS(交易明細!$B$2:$B$99,$A31,交易明細!$C$2:$C$99,"做空")</f>
        <v/>
      </c>
      <c r="E31" s="2">
        <f>F31+G31+COUNTIFS(交易明細!$B$2:$B$99,$A31,交易明細!$J$2:$J$99,"時間出場")</f>
        <v/>
      </c>
      <c r="F31" s="2">
        <f>COUNTIFS(交易明細!$B$2:$B$99,$A31,交易明細!$J$2:$J$99,"止盈")</f>
        <v/>
      </c>
      <c r="G31" s="2">
        <f>COUNTIFS(交易明細!$B$2:$B$99,$A31,交易明細!$J$2:$J$99,"止損")</f>
        <v/>
      </c>
      <c r="H31" s="4">
        <f>IFERROR(F31/E31,0)</f>
        <v/>
      </c>
      <c r="I31" s="4">
        <f>IFERROR(AVERAGEIFS(交易明細!$L$2:$L$99,交易明細!$B$2:$B$99,$A31,交易明細!$J$2:$J$99,"&lt;&gt;未平倉"),0)</f>
        <v/>
      </c>
      <c r="J31" s="4">
        <f>SUMIFS(交易明細!$L$2:$L$99,交易明細!$B$2:$B$99,$A31,交易明細!$J$2:$J$99,"&lt;&gt;未平倉")</f>
        <v/>
      </c>
      <c r="K31" s="5">
        <f>IFERROR(AVERAGEIFS(交易明細!$K$2:$K$99,交易明細!$B$2:$B$99,$A31,交易明細!$J$2:$J$99,"&lt;&gt;未平倉"),0)</f>
        <v/>
      </c>
      <c r="L31" s="2">
        <f>COUNTIFS(交易明細!$B$2:$B$99,$A31,交易明細!$J$2:$J$99,"未平倉")</f>
        <v/>
      </c>
    </row>
    <row r="32">
      <c r="A32" s="2" t="inlineStr">
        <is>
          <t>Q_USDT_PERP</t>
        </is>
      </c>
      <c r="B32" s="2">
        <f>COUNTIFS(交易明細!$B$2:$B$99,$A32)</f>
        <v/>
      </c>
      <c r="C32" s="2">
        <f>COUNTIFS(交易明細!$B$2:$B$99,$A32,交易明細!$C$2:$C$99,"做多")</f>
        <v/>
      </c>
      <c r="D32" s="2">
        <f>COUNTIFS(交易明細!$B$2:$B$99,$A32,交易明細!$C$2:$C$99,"做空")</f>
        <v/>
      </c>
      <c r="E32" s="2">
        <f>F32+G32+COUNTIFS(交易明細!$B$2:$B$99,$A32,交易明細!$J$2:$J$99,"時間出場")</f>
        <v/>
      </c>
      <c r="F32" s="2">
        <f>COUNTIFS(交易明細!$B$2:$B$99,$A32,交易明細!$J$2:$J$99,"止盈")</f>
        <v/>
      </c>
      <c r="G32" s="2">
        <f>COUNTIFS(交易明細!$B$2:$B$99,$A32,交易明細!$J$2:$J$99,"止損")</f>
        <v/>
      </c>
      <c r="H32" s="4">
        <f>IFERROR(F32/E32,0)</f>
        <v/>
      </c>
      <c r="I32" s="4">
        <f>IFERROR(AVERAGEIFS(交易明細!$L$2:$L$99,交易明細!$B$2:$B$99,$A32,交易明細!$J$2:$J$99,"&lt;&gt;未平倉"),0)</f>
        <v/>
      </c>
      <c r="J32" s="4">
        <f>SUMIFS(交易明細!$L$2:$L$99,交易明細!$B$2:$B$99,$A32,交易明細!$J$2:$J$99,"&lt;&gt;未平倉")</f>
        <v/>
      </c>
      <c r="K32" s="5">
        <f>IFERROR(AVERAGEIFS(交易明細!$K$2:$K$99,交易明細!$B$2:$B$99,$A32,交易明細!$J$2:$J$99,"&lt;&gt;未平倉"),0)</f>
        <v/>
      </c>
      <c r="L32" s="2">
        <f>COUNTIFS(交易明細!$B$2:$B$99,$A32,交易明細!$J$2:$J$99,"未平倉")</f>
        <v/>
      </c>
    </row>
    <row r="33">
      <c r="A33" s="2" t="inlineStr">
        <is>
          <t>PTB_USDT_PERP</t>
        </is>
      </c>
      <c r="B33" s="2">
        <f>COUNTIFS(交易明細!$B$2:$B$99,$A33)</f>
        <v/>
      </c>
      <c r="C33" s="2">
        <f>COUNTIFS(交易明細!$B$2:$B$99,$A33,交易明細!$C$2:$C$99,"做多")</f>
        <v/>
      </c>
      <c r="D33" s="2">
        <f>COUNTIFS(交易明細!$B$2:$B$99,$A33,交易明細!$C$2:$C$99,"做空")</f>
        <v/>
      </c>
      <c r="E33" s="2">
        <f>F33+G33+COUNTIFS(交易明細!$B$2:$B$99,$A33,交易明細!$J$2:$J$99,"時間出場")</f>
        <v/>
      </c>
      <c r="F33" s="2">
        <f>COUNTIFS(交易明細!$B$2:$B$99,$A33,交易明細!$J$2:$J$99,"止盈")</f>
        <v/>
      </c>
      <c r="G33" s="2">
        <f>COUNTIFS(交易明細!$B$2:$B$99,$A33,交易明細!$J$2:$J$99,"止損")</f>
        <v/>
      </c>
      <c r="H33" s="4">
        <f>IFERROR(F33/E33,0)</f>
        <v/>
      </c>
      <c r="I33" s="4">
        <f>IFERROR(AVERAGEIFS(交易明細!$L$2:$L$99,交易明細!$B$2:$B$99,$A33,交易明細!$J$2:$J$99,"&lt;&gt;未平倉"),0)</f>
        <v/>
      </c>
      <c r="J33" s="4">
        <f>SUMIFS(交易明細!$L$2:$L$99,交易明細!$B$2:$B$99,$A33,交易明細!$J$2:$J$99,"&lt;&gt;未平倉")</f>
        <v/>
      </c>
      <c r="K33" s="5">
        <f>IFERROR(AVERAGEIFS(交易明細!$K$2:$K$99,交易明細!$B$2:$B$99,$A33,交易明細!$J$2:$J$99,"&lt;&gt;未平倉"),0)</f>
        <v/>
      </c>
      <c r="L33" s="2">
        <f>COUNTIFS(交易明細!$B$2:$B$99,$A33,交易明細!$J$2:$J$99,"未平倉")</f>
        <v/>
      </c>
    </row>
    <row r="34">
      <c r="A34" s="2" t="inlineStr">
        <is>
          <t>ELSA_USDT_PERP</t>
        </is>
      </c>
      <c r="B34" s="2">
        <f>COUNTIFS(交易明細!$B$2:$B$99,$A34)</f>
        <v/>
      </c>
      <c r="C34" s="2">
        <f>COUNTIFS(交易明細!$B$2:$B$99,$A34,交易明細!$C$2:$C$99,"做多")</f>
        <v/>
      </c>
      <c r="D34" s="2">
        <f>COUNTIFS(交易明細!$B$2:$B$99,$A34,交易明細!$C$2:$C$99,"做空")</f>
        <v/>
      </c>
      <c r="E34" s="2">
        <f>F34+G34+COUNTIFS(交易明細!$B$2:$B$99,$A34,交易明細!$J$2:$J$99,"時間出場")</f>
        <v/>
      </c>
      <c r="F34" s="2">
        <f>COUNTIFS(交易明細!$B$2:$B$99,$A34,交易明細!$J$2:$J$99,"止盈")</f>
        <v/>
      </c>
      <c r="G34" s="2">
        <f>COUNTIFS(交易明細!$B$2:$B$99,$A34,交易明細!$J$2:$J$99,"止損")</f>
        <v/>
      </c>
      <c r="H34" s="4">
        <f>IFERROR(F34/E34,0)</f>
        <v/>
      </c>
      <c r="I34" s="4">
        <f>IFERROR(AVERAGEIFS(交易明細!$L$2:$L$99,交易明細!$B$2:$B$99,$A34,交易明細!$J$2:$J$99,"&lt;&gt;未平倉"),0)</f>
        <v/>
      </c>
      <c r="J34" s="4">
        <f>SUMIFS(交易明細!$L$2:$L$99,交易明細!$B$2:$B$99,$A34,交易明細!$J$2:$J$99,"&lt;&gt;未平倉")</f>
        <v/>
      </c>
      <c r="K34" s="5">
        <f>IFERROR(AVERAGEIFS(交易明細!$K$2:$K$99,交易明細!$B$2:$B$99,$A34,交易明細!$J$2:$J$99,"&lt;&gt;未平倉"),0)</f>
        <v/>
      </c>
      <c r="L34" s="2">
        <f>COUNTIFS(交易明細!$B$2:$B$99,$A34,交易明細!$J$2:$J$99,"未平倉")</f>
        <v/>
      </c>
    </row>
    <row r="35">
      <c r="A35" s="2" t="inlineStr">
        <is>
          <t>TRADOOR_USDT_PERP</t>
        </is>
      </c>
      <c r="B35" s="2">
        <f>COUNTIFS(交易明細!$B$2:$B$99,$A35)</f>
        <v/>
      </c>
      <c r="C35" s="2">
        <f>COUNTIFS(交易明細!$B$2:$B$99,$A35,交易明細!$C$2:$C$99,"做多")</f>
        <v/>
      </c>
      <c r="D35" s="2">
        <f>COUNTIFS(交易明細!$B$2:$B$99,$A35,交易明細!$C$2:$C$99,"做空")</f>
        <v/>
      </c>
      <c r="E35" s="2">
        <f>F35+G35+COUNTIFS(交易明細!$B$2:$B$99,$A35,交易明細!$J$2:$J$99,"時間出場")</f>
        <v/>
      </c>
      <c r="F35" s="2">
        <f>COUNTIFS(交易明細!$B$2:$B$99,$A35,交易明細!$J$2:$J$99,"止盈")</f>
        <v/>
      </c>
      <c r="G35" s="2">
        <f>COUNTIFS(交易明細!$B$2:$B$99,$A35,交易明細!$J$2:$J$99,"止損")</f>
        <v/>
      </c>
      <c r="H35" s="4">
        <f>IFERROR(F35/E35,0)</f>
        <v/>
      </c>
      <c r="I35" s="4">
        <f>IFERROR(AVERAGEIFS(交易明細!$L$2:$L$99,交易明細!$B$2:$B$99,$A35,交易明細!$J$2:$J$99,"&lt;&gt;未平倉"),0)</f>
        <v/>
      </c>
      <c r="J35" s="4">
        <f>SUMIFS(交易明細!$L$2:$L$99,交易明細!$B$2:$B$99,$A35,交易明細!$J$2:$J$99,"&lt;&gt;未平倉")</f>
        <v/>
      </c>
      <c r="K35" s="5">
        <f>IFERROR(AVERAGEIFS(交易明細!$K$2:$K$99,交易明細!$B$2:$B$99,$A35,交易明細!$J$2:$J$99,"&lt;&gt;未平倉"),0)</f>
        <v/>
      </c>
      <c r="L35" s="2">
        <f>COUNTIFS(交易明細!$B$2:$B$99,$A35,交易明細!$J$2:$J$99,"未平倉")</f>
        <v/>
      </c>
    </row>
    <row r="36">
      <c r="A36" s="2" t="inlineStr">
        <is>
          <t>COLLECT_USDT_PERP</t>
        </is>
      </c>
      <c r="B36" s="2">
        <f>COUNTIFS(交易明細!$B$2:$B$99,$A36)</f>
        <v/>
      </c>
      <c r="C36" s="2">
        <f>COUNTIFS(交易明細!$B$2:$B$99,$A36,交易明細!$C$2:$C$99,"做多")</f>
        <v/>
      </c>
      <c r="D36" s="2">
        <f>COUNTIFS(交易明細!$B$2:$B$99,$A36,交易明細!$C$2:$C$99,"做空")</f>
        <v/>
      </c>
      <c r="E36" s="2">
        <f>F36+G36+COUNTIFS(交易明細!$B$2:$B$99,$A36,交易明細!$J$2:$J$99,"時間出場")</f>
        <v/>
      </c>
      <c r="F36" s="2">
        <f>COUNTIFS(交易明細!$B$2:$B$99,$A36,交易明細!$J$2:$J$99,"止盈")</f>
        <v/>
      </c>
      <c r="G36" s="2">
        <f>COUNTIFS(交易明細!$B$2:$B$99,$A36,交易明細!$J$2:$J$99,"止損")</f>
        <v/>
      </c>
      <c r="H36" s="4">
        <f>IFERROR(F36/E36,0)</f>
        <v/>
      </c>
      <c r="I36" s="4">
        <f>IFERROR(AVERAGEIFS(交易明細!$L$2:$L$99,交易明細!$B$2:$B$99,$A36,交易明細!$J$2:$J$99,"&lt;&gt;未平倉"),0)</f>
        <v/>
      </c>
      <c r="J36" s="4">
        <f>SUMIFS(交易明細!$L$2:$L$99,交易明細!$B$2:$B$99,$A36,交易明細!$J$2:$J$99,"&lt;&gt;未平倉")</f>
        <v/>
      </c>
      <c r="K36" s="5">
        <f>IFERROR(AVERAGEIFS(交易明細!$K$2:$K$99,交易明細!$B$2:$B$99,$A36,交易明細!$J$2:$J$99,"&lt;&gt;未平倉"),0)</f>
        <v/>
      </c>
      <c r="L36" s="2">
        <f>COUNTIFS(交易明細!$B$2:$B$99,$A36,交易明細!$J$2:$J$99,"未平倉")</f>
        <v/>
      </c>
    </row>
    <row r="37">
      <c r="A37" s="2" t="inlineStr">
        <is>
          <t>SOLV_USDT_PERP</t>
        </is>
      </c>
      <c r="B37" s="2">
        <f>COUNTIFS(交易明細!$B$2:$B$99,$A37)</f>
        <v/>
      </c>
      <c r="C37" s="2">
        <f>COUNTIFS(交易明細!$B$2:$B$99,$A37,交易明細!$C$2:$C$99,"做多")</f>
        <v/>
      </c>
      <c r="D37" s="2">
        <f>COUNTIFS(交易明細!$B$2:$B$99,$A37,交易明細!$C$2:$C$99,"做空")</f>
        <v/>
      </c>
      <c r="E37" s="2">
        <f>F37+G37+COUNTIFS(交易明細!$B$2:$B$99,$A37,交易明細!$J$2:$J$99,"時間出場")</f>
        <v/>
      </c>
      <c r="F37" s="2">
        <f>COUNTIFS(交易明細!$B$2:$B$99,$A37,交易明細!$J$2:$J$99,"止盈")</f>
        <v/>
      </c>
      <c r="G37" s="2">
        <f>COUNTIFS(交易明細!$B$2:$B$99,$A37,交易明細!$J$2:$J$99,"止損")</f>
        <v/>
      </c>
      <c r="H37" s="4">
        <f>IFERROR(F37/E37,0)</f>
        <v/>
      </c>
      <c r="I37" s="4">
        <f>IFERROR(AVERAGEIFS(交易明細!$L$2:$L$99,交易明細!$B$2:$B$99,$A37,交易明細!$J$2:$J$99,"&lt;&gt;未平倉"),0)</f>
        <v/>
      </c>
      <c r="J37" s="4">
        <f>SUMIFS(交易明細!$L$2:$L$99,交易明細!$B$2:$B$99,$A37,交易明細!$J$2:$J$99,"&lt;&gt;未平倉")</f>
        <v/>
      </c>
      <c r="K37" s="5">
        <f>IFERROR(AVERAGEIFS(交易明細!$K$2:$K$99,交易明細!$B$2:$B$99,$A37,交易明細!$J$2:$J$99,"&lt;&gt;未平倉"),0)</f>
        <v/>
      </c>
      <c r="L37" s="2">
        <f>COUNTIFS(交易明細!$B$2:$B$99,$A37,交易明細!$J$2:$J$99,"未平倉")</f>
        <v/>
      </c>
    </row>
    <row r="38">
      <c r="A38" s="2" t="inlineStr">
        <is>
          <t>COTI_USDT_PERP</t>
        </is>
      </c>
      <c r="B38" s="2">
        <f>COUNTIFS(交易明細!$B$2:$B$99,$A38)</f>
        <v/>
      </c>
      <c r="C38" s="2">
        <f>COUNTIFS(交易明細!$B$2:$B$99,$A38,交易明細!$C$2:$C$99,"做多")</f>
        <v/>
      </c>
      <c r="D38" s="2">
        <f>COUNTIFS(交易明細!$B$2:$B$99,$A38,交易明細!$C$2:$C$99,"做空")</f>
        <v/>
      </c>
      <c r="E38" s="2">
        <f>F38+G38+COUNTIFS(交易明細!$B$2:$B$99,$A38,交易明細!$J$2:$J$99,"時間出場")</f>
        <v/>
      </c>
      <c r="F38" s="2">
        <f>COUNTIFS(交易明細!$B$2:$B$99,$A38,交易明細!$J$2:$J$99,"止盈")</f>
        <v/>
      </c>
      <c r="G38" s="2">
        <f>COUNTIFS(交易明細!$B$2:$B$99,$A38,交易明細!$J$2:$J$99,"止損")</f>
        <v/>
      </c>
      <c r="H38" s="4">
        <f>IFERROR(F38/E38,0)</f>
        <v/>
      </c>
      <c r="I38" s="4">
        <f>IFERROR(AVERAGEIFS(交易明細!$L$2:$L$99,交易明細!$B$2:$B$99,$A38,交易明細!$J$2:$J$99,"&lt;&gt;未平倉"),0)</f>
        <v/>
      </c>
      <c r="J38" s="4">
        <f>SUMIFS(交易明細!$L$2:$L$99,交易明細!$B$2:$B$99,$A38,交易明細!$J$2:$J$99,"&lt;&gt;未平倉")</f>
        <v/>
      </c>
      <c r="K38" s="5">
        <f>IFERROR(AVERAGEIFS(交易明細!$K$2:$K$99,交易明細!$B$2:$B$99,$A38,交易明細!$J$2:$J$99,"&lt;&gt;未平倉"),0)</f>
        <v/>
      </c>
      <c r="L38" s="2">
        <f>COUNTIFS(交易明細!$B$2:$B$99,$A38,交易明細!$J$2:$J$99,"未平倉")</f>
        <v/>
      </c>
    </row>
    <row r="39">
      <c r="A39" s="2" t="inlineStr">
        <is>
          <t>LAYER_USDT_PERP</t>
        </is>
      </c>
      <c r="B39" s="2">
        <f>COUNTIFS(交易明細!$B$2:$B$99,$A39)</f>
        <v/>
      </c>
      <c r="C39" s="2">
        <f>COUNTIFS(交易明細!$B$2:$B$99,$A39,交易明細!$C$2:$C$99,"做多")</f>
        <v/>
      </c>
      <c r="D39" s="2">
        <f>COUNTIFS(交易明細!$B$2:$B$99,$A39,交易明細!$C$2:$C$99,"做空")</f>
        <v/>
      </c>
      <c r="E39" s="2">
        <f>F39+G39+COUNTIFS(交易明細!$B$2:$B$99,$A39,交易明細!$J$2:$J$99,"時間出場")</f>
        <v/>
      </c>
      <c r="F39" s="2">
        <f>COUNTIFS(交易明細!$B$2:$B$99,$A39,交易明細!$J$2:$J$99,"止盈")</f>
        <v/>
      </c>
      <c r="G39" s="2">
        <f>COUNTIFS(交易明細!$B$2:$B$99,$A39,交易明細!$J$2:$J$99,"止損")</f>
        <v/>
      </c>
      <c r="H39" s="4">
        <f>IFERROR(F39/E39,0)</f>
        <v/>
      </c>
      <c r="I39" s="4">
        <f>IFERROR(AVERAGEIFS(交易明細!$L$2:$L$99,交易明細!$B$2:$B$99,$A39,交易明細!$J$2:$J$99,"&lt;&gt;未平倉"),0)</f>
        <v/>
      </c>
      <c r="J39" s="4">
        <f>SUMIFS(交易明細!$L$2:$L$99,交易明細!$B$2:$B$99,$A39,交易明細!$J$2:$J$99,"&lt;&gt;未平倉")</f>
        <v/>
      </c>
      <c r="K39" s="5">
        <f>IFERROR(AVERAGEIFS(交易明細!$K$2:$K$99,交易明細!$B$2:$B$99,$A39,交易明細!$J$2:$J$99,"&lt;&gt;未平倉"),0)</f>
        <v/>
      </c>
      <c r="L39" s="2">
        <f>COUNTIFS(交易明細!$B$2:$B$99,$A39,交易明細!$J$2:$J$99,"未平倉")</f>
        <v/>
      </c>
    </row>
    <row r="40">
      <c r="A40" s="2" t="inlineStr">
        <is>
          <t>ORCA_USDT_PERP</t>
        </is>
      </c>
      <c r="B40" s="2">
        <f>COUNTIFS(交易明細!$B$2:$B$99,$A40)</f>
        <v/>
      </c>
      <c r="C40" s="2">
        <f>COUNTIFS(交易明細!$B$2:$B$99,$A40,交易明細!$C$2:$C$99,"做多")</f>
        <v/>
      </c>
      <c r="D40" s="2">
        <f>COUNTIFS(交易明細!$B$2:$B$99,$A40,交易明細!$C$2:$C$99,"做空")</f>
        <v/>
      </c>
      <c r="E40" s="2">
        <f>F40+G40+COUNTIFS(交易明細!$B$2:$B$99,$A40,交易明細!$J$2:$J$99,"時間出場")</f>
        <v/>
      </c>
      <c r="F40" s="2">
        <f>COUNTIFS(交易明細!$B$2:$B$99,$A40,交易明細!$J$2:$J$99,"止盈")</f>
        <v/>
      </c>
      <c r="G40" s="2">
        <f>COUNTIFS(交易明細!$B$2:$B$99,$A40,交易明細!$J$2:$J$99,"止損")</f>
        <v/>
      </c>
      <c r="H40" s="4">
        <f>IFERROR(F40/E40,0)</f>
        <v/>
      </c>
      <c r="I40" s="4">
        <f>IFERROR(AVERAGEIFS(交易明細!$L$2:$L$99,交易明細!$B$2:$B$99,$A40,交易明細!$J$2:$J$99,"&lt;&gt;未平倉"),0)</f>
        <v/>
      </c>
      <c r="J40" s="4">
        <f>SUMIFS(交易明細!$L$2:$L$99,交易明細!$B$2:$B$99,$A40,交易明細!$J$2:$J$99,"&lt;&gt;未平倉")</f>
        <v/>
      </c>
      <c r="K40" s="5">
        <f>IFERROR(AVERAGEIFS(交易明細!$K$2:$K$99,交易明細!$B$2:$B$99,$A40,交易明細!$J$2:$J$99,"&lt;&gt;未平倉"),0)</f>
        <v/>
      </c>
      <c r="L40" s="2">
        <f>COUNTIFS(交易明細!$B$2:$B$99,$A40,交易明細!$J$2:$J$99,"未平倉")</f>
        <v/>
      </c>
    </row>
    <row r="41">
      <c r="A41" s="2" t="inlineStr">
        <is>
          <t>CFG_USDT_PERP</t>
        </is>
      </c>
      <c r="B41" s="2">
        <f>COUNTIFS(交易明細!$B$2:$B$99,$A41)</f>
        <v/>
      </c>
      <c r="C41" s="2">
        <f>COUNTIFS(交易明細!$B$2:$B$99,$A41,交易明細!$C$2:$C$99,"做多")</f>
        <v/>
      </c>
      <c r="D41" s="2">
        <f>COUNTIFS(交易明細!$B$2:$B$99,$A41,交易明細!$C$2:$C$99,"做空")</f>
        <v/>
      </c>
      <c r="E41" s="2">
        <f>F41+G41+COUNTIFS(交易明細!$B$2:$B$99,$A41,交易明細!$J$2:$J$99,"時間出場")</f>
        <v/>
      </c>
      <c r="F41" s="2">
        <f>COUNTIFS(交易明細!$B$2:$B$99,$A41,交易明細!$J$2:$J$99,"止盈")</f>
        <v/>
      </c>
      <c r="G41" s="2">
        <f>COUNTIFS(交易明細!$B$2:$B$99,$A41,交易明細!$J$2:$J$99,"止損")</f>
        <v/>
      </c>
      <c r="H41" s="4">
        <f>IFERROR(F41/E41,0)</f>
        <v/>
      </c>
      <c r="I41" s="4">
        <f>IFERROR(AVERAGEIFS(交易明細!$L$2:$L$99,交易明細!$B$2:$B$99,$A41,交易明細!$J$2:$J$99,"&lt;&gt;未平倉"),0)</f>
        <v/>
      </c>
      <c r="J41" s="4">
        <f>SUMIFS(交易明細!$L$2:$L$99,交易明細!$B$2:$B$99,$A41,交易明細!$J$2:$J$99,"&lt;&gt;未平倉")</f>
        <v/>
      </c>
      <c r="K41" s="5">
        <f>IFERROR(AVERAGEIFS(交易明細!$K$2:$K$99,交易明細!$B$2:$B$99,$A41,交易明細!$J$2:$J$99,"&lt;&gt;未平倉"),0)</f>
        <v/>
      </c>
      <c r="L41" s="2">
        <f>COUNTIFS(交易明細!$B$2:$B$99,$A41,交易明細!$J$2:$J$99,"未平倉")</f>
        <v/>
      </c>
    </row>
    <row r="42">
      <c r="A42" s="2" t="inlineStr">
        <is>
          <t>IOST_USDT_PERP</t>
        </is>
      </c>
      <c r="B42" s="2">
        <f>COUNTIFS(交易明細!$B$2:$B$99,$A42)</f>
        <v/>
      </c>
      <c r="C42" s="2">
        <f>COUNTIFS(交易明細!$B$2:$B$99,$A42,交易明細!$C$2:$C$99,"做多")</f>
        <v/>
      </c>
      <c r="D42" s="2">
        <f>COUNTIFS(交易明細!$B$2:$B$99,$A42,交易明細!$C$2:$C$99,"做空")</f>
        <v/>
      </c>
      <c r="E42" s="2">
        <f>F42+G42+COUNTIFS(交易明細!$B$2:$B$99,$A42,交易明細!$J$2:$J$99,"時間出場")</f>
        <v/>
      </c>
      <c r="F42" s="2">
        <f>COUNTIFS(交易明細!$B$2:$B$99,$A42,交易明細!$J$2:$J$99,"止盈")</f>
        <v/>
      </c>
      <c r="G42" s="2">
        <f>COUNTIFS(交易明細!$B$2:$B$99,$A42,交易明細!$J$2:$J$99,"止損")</f>
        <v/>
      </c>
      <c r="H42" s="4">
        <f>IFERROR(F42/E42,0)</f>
        <v/>
      </c>
      <c r="I42" s="4">
        <f>IFERROR(AVERAGEIFS(交易明細!$L$2:$L$99,交易明細!$B$2:$B$99,$A42,交易明細!$J$2:$J$99,"&lt;&gt;未平倉"),0)</f>
        <v/>
      </c>
      <c r="J42" s="4">
        <f>SUMIFS(交易明細!$L$2:$L$99,交易明細!$B$2:$B$99,$A42,交易明細!$J$2:$J$99,"&lt;&gt;未平倉")</f>
        <v/>
      </c>
      <c r="K42" s="5">
        <f>IFERROR(AVERAGEIFS(交易明細!$K$2:$K$99,交易明細!$B$2:$B$99,$A42,交易明細!$J$2:$J$99,"&lt;&gt;未平倉"),0)</f>
        <v/>
      </c>
      <c r="L42" s="2">
        <f>COUNTIFS(交易明細!$B$2:$B$99,$A42,交易明細!$J$2:$J$99,"未平倉")</f>
        <v/>
      </c>
    </row>
    <row r="43">
      <c r="A43" s="2" t="inlineStr">
        <is>
          <t>LUNA2_USDT_PERP</t>
        </is>
      </c>
      <c r="B43" s="2">
        <f>COUNTIFS(交易明細!$B$2:$B$99,$A43)</f>
        <v/>
      </c>
      <c r="C43" s="2">
        <f>COUNTIFS(交易明細!$B$2:$B$99,$A43,交易明細!$C$2:$C$99,"做多")</f>
        <v/>
      </c>
      <c r="D43" s="2">
        <f>COUNTIFS(交易明細!$B$2:$B$99,$A43,交易明細!$C$2:$C$99,"做空")</f>
        <v/>
      </c>
      <c r="E43" s="2">
        <f>F43+G43+COUNTIFS(交易明細!$B$2:$B$99,$A43,交易明細!$J$2:$J$99,"時間出場")</f>
        <v/>
      </c>
      <c r="F43" s="2">
        <f>COUNTIFS(交易明細!$B$2:$B$99,$A43,交易明細!$J$2:$J$99,"止盈")</f>
        <v/>
      </c>
      <c r="G43" s="2">
        <f>COUNTIFS(交易明細!$B$2:$B$99,$A43,交易明細!$J$2:$J$99,"止損")</f>
        <v/>
      </c>
      <c r="H43" s="4">
        <f>IFERROR(F43/E43,0)</f>
        <v/>
      </c>
      <c r="I43" s="4">
        <f>IFERROR(AVERAGEIFS(交易明細!$L$2:$L$99,交易明細!$B$2:$B$99,$A43,交易明細!$J$2:$J$99,"&lt;&gt;未平倉"),0)</f>
        <v/>
      </c>
      <c r="J43" s="4">
        <f>SUMIFS(交易明細!$L$2:$L$99,交易明細!$B$2:$B$99,$A43,交易明細!$J$2:$J$99,"&lt;&gt;未平倉")</f>
        <v/>
      </c>
      <c r="K43" s="5">
        <f>IFERROR(AVERAGEIFS(交易明細!$K$2:$K$99,交易明細!$B$2:$B$99,$A43,交易明細!$J$2:$J$99,"&lt;&gt;未平倉"),0)</f>
        <v/>
      </c>
      <c r="L43" s="2">
        <f>COUNTIFS(交易明細!$B$2:$B$99,$A43,交易明細!$J$2:$J$99,"未平倉")</f>
        <v/>
      </c>
    </row>
    <row r="44">
      <c r="A44" s="2" t="inlineStr">
        <is>
          <t>PIEVERSE_USDT_PERP</t>
        </is>
      </c>
      <c r="B44" s="2">
        <f>COUNTIFS(交易明細!$B$2:$B$99,$A44)</f>
        <v/>
      </c>
      <c r="C44" s="2">
        <f>COUNTIFS(交易明細!$B$2:$B$99,$A44,交易明細!$C$2:$C$99,"做多")</f>
        <v/>
      </c>
      <c r="D44" s="2">
        <f>COUNTIFS(交易明細!$B$2:$B$99,$A44,交易明細!$C$2:$C$99,"做空")</f>
        <v/>
      </c>
      <c r="E44" s="2">
        <f>F44+G44+COUNTIFS(交易明細!$B$2:$B$99,$A44,交易明細!$J$2:$J$99,"時間出場")</f>
        <v/>
      </c>
      <c r="F44" s="2">
        <f>COUNTIFS(交易明細!$B$2:$B$99,$A44,交易明細!$J$2:$J$99,"止盈")</f>
        <v/>
      </c>
      <c r="G44" s="2">
        <f>COUNTIFS(交易明細!$B$2:$B$99,$A44,交易明細!$J$2:$J$99,"止損")</f>
        <v/>
      </c>
      <c r="H44" s="4">
        <f>IFERROR(F44/E44,0)</f>
        <v/>
      </c>
      <c r="I44" s="4">
        <f>IFERROR(AVERAGEIFS(交易明細!$L$2:$L$99,交易明細!$B$2:$B$99,$A44,交易明細!$J$2:$J$99,"&lt;&gt;未平倉"),0)</f>
        <v/>
      </c>
      <c r="J44" s="4">
        <f>SUMIFS(交易明細!$L$2:$L$99,交易明細!$B$2:$B$99,$A44,交易明細!$J$2:$J$99,"&lt;&gt;未平倉")</f>
        <v/>
      </c>
      <c r="K44" s="5">
        <f>IFERROR(AVERAGEIFS(交易明細!$K$2:$K$99,交易明細!$B$2:$B$99,$A44,交易明細!$J$2:$J$99,"&lt;&gt;未平倉"),0)</f>
        <v/>
      </c>
      <c r="L44" s="2">
        <f>COUNTIFS(交易明細!$B$2:$B$99,$A44,交易明細!$J$2:$J$99,"未平倉")</f>
        <v/>
      </c>
    </row>
    <row r="45">
      <c r="A45" s="2" t="inlineStr">
        <is>
          <t>HAEDAL_USDT_PERP</t>
        </is>
      </c>
      <c r="B45" s="2">
        <f>COUNTIFS(交易明細!$B$2:$B$99,$A45)</f>
        <v/>
      </c>
      <c r="C45" s="2">
        <f>COUNTIFS(交易明細!$B$2:$B$99,$A45,交易明細!$C$2:$C$99,"做多")</f>
        <v/>
      </c>
      <c r="D45" s="2">
        <f>COUNTIFS(交易明細!$B$2:$B$99,$A45,交易明細!$C$2:$C$99,"做空")</f>
        <v/>
      </c>
      <c r="E45" s="2">
        <f>F45+G45+COUNTIFS(交易明細!$B$2:$B$99,$A45,交易明細!$J$2:$J$99,"時間出場")</f>
        <v/>
      </c>
      <c r="F45" s="2">
        <f>COUNTIFS(交易明細!$B$2:$B$99,$A45,交易明細!$J$2:$J$99,"止盈")</f>
        <v/>
      </c>
      <c r="G45" s="2">
        <f>COUNTIFS(交易明細!$B$2:$B$99,$A45,交易明細!$J$2:$J$99,"止損")</f>
        <v/>
      </c>
      <c r="H45" s="4">
        <f>IFERROR(F45/E45,0)</f>
        <v/>
      </c>
      <c r="I45" s="4">
        <f>IFERROR(AVERAGEIFS(交易明細!$L$2:$L$99,交易明細!$B$2:$B$99,$A45,交易明細!$J$2:$J$99,"&lt;&gt;未平倉"),0)</f>
        <v/>
      </c>
      <c r="J45" s="4">
        <f>SUMIFS(交易明細!$L$2:$L$99,交易明細!$B$2:$B$99,$A45,交易明細!$J$2:$J$99,"&lt;&gt;未平倉")</f>
        <v/>
      </c>
      <c r="K45" s="5">
        <f>IFERROR(AVERAGEIFS(交易明細!$K$2:$K$99,交易明細!$B$2:$B$99,$A45,交易明細!$J$2:$J$99,"&lt;&gt;未平倉"),0)</f>
        <v/>
      </c>
      <c r="L45" s="2">
        <f>COUNTIFS(交易明細!$B$2:$B$99,$A45,交易明細!$J$2:$J$99,"未平倉")</f>
        <v/>
      </c>
    </row>
    <row r="46">
      <c r="A46" s="2" t="inlineStr">
        <is>
          <t>ON_USDT_PERP</t>
        </is>
      </c>
      <c r="B46" s="2">
        <f>COUNTIFS(交易明細!$B$2:$B$99,$A46)</f>
        <v/>
      </c>
      <c r="C46" s="2">
        <f>COUNTIFS(交易明細!$B$2:$B$99,$A46,交易明細!$C$2:$C$99,"做多")</f>
        <v/>
      </c>
      <c r="D46" s="2">
        <f>COUNTIFS(交易明細!$B$2:$B$99,$A46,交易明細!$C$2:$C$99,"做空")</f>
        <v/>
      </c>
      <c r="E46" s="2">
        <f>F46+G46+COUNTIFS(交易明細!$B$2:$B$99,$A46,交易明細!$J$2:$J$99,"時間出場")</f>
        <v/>
      </c>
      <c r="F46" s="2">
        <f>COUNTIFS(交易明細!$B$2:$B$99,$A46,交易明細!$J$2:$J$99,"止盈")</f>
        <v/>
      </c>
      <c r="G46" s="2">
        <f>COUNTIFS(交易明細!$B$2:$B$99,$A46,交易明細!$J$2:$J$99,"止損")</f>
        <v/>
      </c>
      <c r="H46" s="4">
        <f>IFERROR(F46/E46,0)</f>
        <v/>
      </c>
      <c r="I46" s="4">
        <f>IFERROR(AVERAGEIFS(交易明細!$L$2:$L$99,交易明細!$B$2:$B$99,$A46,交易明細!$J$2:$J$99,"&lt;&gt;未平倉"),0)</f>
        <v/>
      </c>
      <c r="J46" s="4">
        <f>SUMIFS(交易明細!$L$2:$L$99,交易明細!$B$2:$B$99,$A46,交易明細!$J$2:$J$99,"&lt;&gt;未平倉")</f>
        <v/>
      </c>
      <c r="K46" s="5">
        <f>IFERROR(AVERAGEIFS(交易明細!$K$2:$K$99,交易明細!$B$2:$B$99,$A46,交易明細!$J$2:$J$99,"&lt;&gt;未平倉"),0)</f>
        <v/>
      </c>
      <c r="L46" s="2">
        <f>COUNTIFS(交易明細!$B$2:$B$99,$A46,交易明細!$J$2:$J$99,"未平倉")</f>
        <v/>
      </c>
    </row>
    <row r="47">
      <c r="A47" s="2" t="inlineStr">
        <is>
          <t>KAT_USDT_PERP</t>
        </is>
      </c>
      <c r="B47" s="2">
        <f>COUNTIFS(交易明細!$B$2:$B$99,$A47)</f>
        <v/>
      </c>
      <c r="C47" s="2">
        <f>COUNTIFS(交易明細!$B$2:$B$99,$A47,交易明細!$C$2:$C$99,"做多")</f>
        <v/>
      </c>
      <c r="D47" s="2">
        <f>COUNTIFS(交易明細!$B$2:$B$99,$A47,交易明細!$C$2:$C$99,"做空")</f>
        <v/>
      </c>
      <c r="E47" s="2">
        <f>F47+G47+COUNTIFS(交易明細!$B$2:$B$99,$A47,交易明細!$J$2:$J$99,"時間出場")</f>
        <v/>
      </c>
      <c r="F47" s="2">
        <f>COUNTIFS(交易明細!$B$2:$B$99,$A47,交易明細!$J$2:$J$99,"止盈")</f>
        <v/>
      </c>
      <c r="G47" s="2">
        <f>COUNTIFS(交易明細!$B$2:$B$99,$A47,交易明細!$J$2:$J$99,"止損")</f>
        <v/>
      </c>
      <c r="H47" s="4">
        <f>IFERROR(F47/E47,0)</f>
        <v/>
      </c>
      <c r="I47" s="4">
        <f>IFERROR(AVERAGEIFS(交易明細!$L$2:$L$99,交易明細!$B$2:$B$99,$A47,交易明細!$J$2:$J$99,"&lt;&gt;未平倉"),0)</f>
        <v/>
      </c>
      <c r="J47" s="4">
        <f>SUMIFS(交易明細!$L$2:$L$99,交易明細!$B$2:$B$99,$A47,交易明細!$J$2:$J$99,"&lt;&gt;未平倉")</f>
        <v/>
      </c>
      <c r="K47" s="5">
        <f>IFERROR(AVERAGEIFS(交易明細!$K$2:$K$99,交易明細!$B$2:$B$99,$A47,交易明細!$J$2:$J$99,"&lt;&gt;未平倉"),0)</f>
        <v/>
      </c>
      <c r="L47" s="2">
        <f>COUNTIFS(交易明細!$B$2:$B$99,$A47,交易明細!$J$2:$J$99,"未平倉")</f>
        <v/>
      </c>
    </row>
    <row r="48">
      <c r="A48" s="2" t="inlineStr">
        <is>
          <t>PROS_USDT_PERP</t>
        </is>
      </c>
      <c r="B48" s="2">
        <f>COUNTIFS(交易明細!$B$2:$B$99,$A48)</f>
        <v/>
      </c>
      <c r="C48" s="2">
        <f>COUNTIFS(交易明細!$B$2:$B$99,$A48,交易明細!$C$2:$C$99,"做多")</f>
        <v/>
      </c>
      <c r="D48" s="2">
        <f>COUNTIFS(交易明細!$B$2:$B$99,$A48,交易明細!$C$2:$C$99,"做空")</f>
        <v/>
      </c>
      <c r="E48" s="2">
        <f>F48+G48+COUNTIFS(交易明細!$B$2:$B$99,$A48,交易明細!$J$2:$J$99,"時間出場")</f>
        <v/>
      </c>
      <c r="F48" s="2">
        <f>COUNTIFS(交易明細!$B$2:$B$99,$A48,交易明細!$J$2:$J$99,"止盈")</f>
        <v/>
      </c>
      <c r="G48" s="2">
        <f>COUNTIFS(交易明細!$B$2:$B$99,$A48,交易明細!$J$2:$J$99,"止損")</f>
        <v/>
      </c>
      <c r="H48" s="4">
        <f>IFERROR(F48/E48,0)</f>
        <v/>
      </c>
      <c r="I48" s="4">
        <f>IFERROR(AVERAGEIFS(交易明細!$L$2:$L$99,交易明細!$B$2:$B$99,$A48,交易明細!$J$2:$J$99,"&lt;&gt;未平倉"),0)</f>
        <v/>
      </c>
      <c r="J48" s="4">
        <f>SUMIFS(交易明細!$L$2:$L$99,交易明細!$B$2:$B$99,$A48,交易明細!$J$2:$J$99,"&lt;&gt;未平倉")</f>
        <v/>
      </c>
      <c r="K48" s="5">
        <f>IFERROR(AVERAGEIFS(交易明細!$K$2:$K$99,交易明細!$B$2:$B$99,$A48,交易明細!$J$2:$J$99,"&lt;&gt;未平倉"),0)</f>
        <v/>
      </c>
      <c r="L48" s="2">
        <f>COUNTIFS(交易明細!$B$2:$B$99,$A48,交易明細!$J$2:$J$99,"未平倉")</f>
        <v/>
      </c>
    </row>
    <row r="49">
      <c r="A49" s="2" t="inlineStr">
        <is>
          <t>PHA_USDT_PERP</t>
        </is>
      </c>
      <c r="B49" s="2">
        <f>COUNTIFS(交易明細!$B$2:$B$99,$A49)</f>
        <v/>
      </c>
      <c r="C49" s="2">
        <f>COUNTIFS(交易明細!$B$2:$B$99,$A49,交易明細!$C$2:$C$99,"做多")</f>
        <v/>
      </c>
      <c r="D49" s="2">
        <f>COUNTIFS(交易明細!$B$2:$B$99,$A49,交易明細!$C$2:$C$99,"做空")</f>
        <v/>
      </c>
      <c r="E49" s="2">
        <f>F49+G49+COUNTIFS(交易明細!$B$2:$B$99,$A49,交易明細!$J$2:$J$99,"時間出場")</f>
        <v/>
      </c>
      <c r="F49" s="2">
        <f>COUNTIFS(交易明細!$B$2:$B$99,$A49,交易明細!$J$2:$J$99,"止盈")</f>
        <v/>
      </c>
      <c r="G49" s="2">
        <f>COUNTIFS(交易明細!$B$2:$B$99,$A49,交易明細!$J$2:$J$99,"止損")</f>
        <v/>
      </c>
      <c r="H49" s="4">
        <f>IFERROR(F49/E49,0)</f>
        <v/>
      </c>
      <c r="I49" s="4">
        <f>IFERROR(AVERAGEIFS(交易明細!$L$2:$L$99,交易明細!$B$2:$B$99,$A49,交易明細!$J$2:$J$99,"&lt;&gt;未平倉"),0)</f>
        <v/>
      </c>
      <c r="J49" s="4">
        <f>SUMIFS(交易明細!$L$2:$L$99,交易明細!$B$2:$B$99,$A49,交易明細!$J$2:$J$99,"&lt;&gt;未平倉")</f>
        <v/>
      </c>
      <c r="K49" s="5">
        <f>IFERROR(AVERAGEIFS(交易明細!$K$2:$K$99,交易明細!$B$2:$B$99,$A49,交易明細!$J$2:$J$99,"&lt;&gt;未平倉"),0)</f>
        <v/>
      </c>
      <c r="L49" s="2">
        <f>COUNTIFS(交易明細!$B$2:$B$99,$A49,交易明細!$J$2:$J$99,"未平倉")</f>
        <v/>
      </c>
    </row>
    <row r="50">
      <c r="A50" s="2" t="inlineStr">
        <is>
          <t>ANIME_USDT_PERP</t>
        </is>
      </c>
      <c r="B50" s="2">
        <f>COUNTIFS(交易明細!$B$2:$B$99,$A50)</f>
        <v/>
      </c>
      <c r="C50" s="2">
        <f>COUNTIFS(交易明細!$B$2:$B$99,$A50,交易明細!$C$2:$C$99,"做多")</f>
        <v/>
      </c>
      <c r="D50" s="2">
        <f>COUNTIFS(交易明細!$B$2:$B$99,$A50,交易明細!$C$2:$C$99,"做空")</f>
        <v/>
      </c>
      <c r="E50" s="2">
        <f>F50+G50+COUNTIFS(交易明細!$B$2:$B$99,$A50,交易明細!$J$2:$J$99,"時間出場")</f>
        <v/>
      </c>
      <c r="F50" s="2">
        <f>COUNTIFS(交易明細!$B$2:$B$99,$A50,交易明細!$J$2:$J$99,"止盈")</f>
        <v/>
      </c>
      <c r="G50" s="2">
        <f>COUNTIFS(交易明細!$B$2:$B$99,$A50,交易明細!$J$2:$J$99,"止損")</f>
        <v/>
      </c>
      <c r="H50" s="4">
        <f>IFERROR(F50/E50,0)</f>
        <v/>
      </c>
      <c r="I50" s="4">
        <f>IFERROR(AVERAGEIFS(交易明細!$L$2:$L$99,交易明細!$B$2:$B$99,$A50,交易明細!$J$2:$J$99,"&lt;&gt;未平倉"),0)</f>
        <v/>
      </c>
      <c r="J50" s="4">
        <f>SUMIFS(交易明細!$L$2:$L$99,交易明細!$B$2:$B$99,$A50,交易明細!$J$2:$J$99,"&lt;&gt;未平倉")</f>
        <v/>
      </c>
      <c r="K50" s="5">
        <f>IFERROR(AVERAGEIFS(交易明細!$K$2:$K$99,交易明細!$B$2:$B$99,$A50,交易明細!$J$2:$J$99,"&lt;&gt;未平倉"),0)</f>
        <v/>
      </c>
      <c r="L50" s="2">
        <f>COUNTIFS(交易明細!$B$2:$B$99,$A50,交易明細!$J$2:$J$99,"未平倉")</f>
        <v/>
      </c>
    </row>
    <row r="51">
      <c r="A51" s="2" t="inlineStr">
        <is>
          <t>SAGA_USDT_PERP</t>
        </is>
      </c>
      <c r="B51" s="2">
        <f>COUNTIFS(交易明細!$B$2:$B$99,$A51)</f>
        <v/>
      </c>
      <c r="C51" s="2">
        <f>COUNTIFS(交易明細!$B$2:$B$99,$A51,交易明細!$C$2:$C$99,"做多")</f>
        <v/>
      </c>
      <c r="D51" s="2">
        <f>COUNTIFS(交易明細!$B$2:$B$99,$A51,交易明細!$C$2:$C$99,"做空")</f>
        <v/>
      </c>
      <c r="E51" s="2">
        <f>F51+G51+COUNTIFS(交易明細!$B$2:$B$99,$A51,交易明細!$J$2:$J$99,"時間出場")</f>
        <v/>
      </c>
      <c r="F51" s="2">
        <f>COUNTIFS(交易明細!$B$2:$B$99,$A51,交易明細!$J$2:$J$99,"止盈")</f>
        <v/>
      </c>
      <c r="G51" s="2">
        <f>COUNTIFS(交易明細!$B$2:$B$99,$A51,交易明細!$J$2:$J$99,"止損")</f>
        <v/>
      </c>
      <c r="H51" s="4">
        <f>IFERROR(F51/E51,0)</f>
        <v/>
      </c>
      <c r="I51" s="4">
        <f>IFERROR(AVERAGEIFS(交易明細!$L$2:$L$99,交易明細!$B$2:$B$99,$A51,交易明細!$J$2:$J$99,"&lt;&gt;未平倉"),0)</f>
        <v/>
      </c>
      <c r="J51" s="4">
        <f>SUMIFS(交易明細!$L$2:$L$99,交易明細!$B$2:$B$99,$A51,交易明細!$J$2:$J$99,"&lt;&gt;未平倉")</f>
        <v/>
      </c>
      <c r="K51" s="5">
        <f>IFERROR(AVERAGEIFS(交易明細!$K$2:$K$99,交易明細!$B$2:$B$99,$A51,交易明細!$J$2:$J$99,"&lt;&gt;未平倉"),0)</f>
        <v/>
      </c>
      <c r="L51" s="2">
        <f>COUNTIFS(交易明細!$B$2:$B$99,$A51,交易明細!$J$2:$J$99,"未平倉")</f>
        <v/>
      </c>
    </row>
    <row r="52">
      <c r="A52" s="2" t="inlineStr">
        <is>
          <t>LAB_USDT_PERP</t>
        </is>
      </c>
      <c r="B52" s="2">
        <f>COUNTIFS(交易明細!$B$2:$B$99,$A52)</f>
        <v/>
      </c>
      <c r="C52" s="2">
        <f>COUNTIFS(交易明細!$B$2:$B$99,$A52,交易明細!$C$2:$C$99,"做多")</f>
        <v/>
      </c>
      <c r="D52" s="2">
        <f>COUNTIFS(交易明細!$B$2:$B$99,$A52,交易明細!$C$2:$C$99,"做空")</f>
        <v/>
      </c>
      <c r="E52" s="2">
        <f>F52+G52+COUNTIFS(交易明細!$B$2:$B$99,$A52,交易明細!$J$2:$J$99,"時間出場")</f>
        <v/>
      </c>
      <c r="F52" s="2">
        <f>COUNTIFS(交易明細!$B$2:$B$99,$A52,交易明細!$J$2:$J$99,"止盈")</f>
        <v/>
      </c>
      <c r="G52" s="2">
        <f>COUNTIFS(交易明細!$B$2:$B$99,$A52,交易明細!$J$2:$J$99,"止損")</f>
        <v/>
      </c>
      <c r="H52" s="4">
        <f>IFERROR(F52/E52,0)</f>
        <v/>
      </c>
      <c r="I52" s="4">
        <f>IFERROR(AVERAGEIFS(交易明細!$L$2:$L$99,交易明細!$B$2:$B$99,$A52,交易明細!$J$2:$J$99,"&lt;&gt;未平倉"),0)</f>
        <v/>
      </c>
      <c r="J52" s="4">
        <f>SUMIFS(交易明細!$L$2:$L$99,交易明細!$B$2:$B$99,$A52,交易明細!$J$2:$J$99,"&lt;&gt;未平倉")</f>
        <v/>
      </c>
      <c r="K52" s="5">
        <f>IFERROR(AVERAGEIFS(交易明細!$K$2:$K$99,交易明細!$B$2:$B$99,$A52,交易明細!$J$2:$J$99,"&lt;&gt;未平倉"),0)</f>
        <v/>
      </c>
      <c r="L52" s="2">
        <f>COUNTIFS(交易明細!$B$2:$B$99,$A52,交易明細!$J$2:$J$99,"未平倉")</f>
        <v/>
      </c>
    </row>
    <row r="53">
      <c r="A53" s="2" t="inlineStr">
        <is>
          <t>CASHCAT_USDT_PERP</t>
        </is>
      </c>
      <c r="B53" s="2">
        <f>COUNTIFS(交易明細!$B$2:$B$99,$A53)</f>
        <v/>
      </c>
      <c r="C53" s="2">
        <f>COUNTIFS(交易明細!$B$2:$B$99,$A53,交易明細!$C$2:$C$99,"做多")</f>
        <v/>
      </c>
      <c r="D53" s="2">
        <f>COUNTIFS(交易明細!$B$2:$B$99,$A53,交易明細!$C$2:$C$99,"做空")</f>
        <v/>
      </c>
      <c r="E53" s="2">
        <f>F53+G53+COUNTIFS(交易明細!$B$2:$B$99,$A53,交易明細!$J$2:$J$99,"時間出場")</f>
        <v/>
      </c>
      <c r="F53" s="2">
        <f>COUNTIFS(交易明細!$B$2:$B$99,$A53,交易明細!$J$2:$J$99,"止盈")</f>
        <v/>
      </c>
      <c r="G53" s="2">
        <f>COUNTIFS(交易明細!$B$2:$B$99,$A53,交易明細!$J$2:$J$99,"止損")</f>
        <v/>
      </c>
      <c r="H53" s="4">
        <f>IFERROR(F53/E53,0)</f>
        <v/>
      </c>
      <c r="I53" s="4">
        <f>IFERROR(AVERAGEIFS(交易明細!$L$2:$L$99,交易明細!$B$2:$B$99,$A53,交易明細!$J$2:$J$99,"&lt;&gt;未平倉"),0)</f>
        <v/>
      </c>
      <c r="J53" s="4">
        <f>SUMIFS(交易明細!$L$2:$L$99,交易明細!$B$2:$B$99,$A53,交易明細!$J$2:$J$99,"&lt;&gt;未平倉")</f>
        <v/>
      </c>
      <c r="K53" s="5">
        <f>IFERROR(AVERAGEIFS(交易明細!$K$2:$K$99,交易明細!$B$2:$B$99,$A53,交易明細!$J$2:$J$99,"&lt;&gt;未平倉"),0)</f>
        <v/>
      </c>
      <c r="L53" s="2">
        <f>COUNTIFS(交易明細!$B$2:$B$99,$A53,交易明細!$J$2:$J$99,"未平倉")</f>
        <v/>
      </c>
    </row>
    <row r="54">
      <c r="A54" s="2" t="inlineStr">
        <is>
          <t>BLUR_USDT_PERP</t>
        </is>
      </c>
      <c r="B54" s="2">
        <f>COUNTIFS(交易明細!$B$2:$B$99,$A54)</f>
        <v/>
      </c>
      <c r="C54" s="2">
        <f>COUNTIFS(交易明細!$B$2:$B$99,$A54,交易明細!$C$2:$C$99,"做多")</f>
        <v/>
      </c>
      <c r="D54" s="2">
        <f>COUNTIFS(交易明細!$B$2:$B$99,$A54,交易明細!$C$2:$C$99,"做空")</f>
        <v/>
      </c>
      <c r="E54" s="2">
        <f>F54+G54+COUNTIFS(交易明細!$B$2:$B$99,$A54,交易明細!$J$2:$J$99,"時間出場")</f>
        <v/>
      </c>
      <c r="F54" s="2">
        <f>COUNTIFS(交易明細!$B$2:$B$99,$A54,交易明細!$J$2:$J$99,"止盈")</f>
        <v/>
      </c>
      <c r="G54" s="2">
        <f>COUNTIFS(交易明細!$B$2:$B$99,$A54,交易明細!$J$2:$J$99,"止損")</f>
        <v/>
      </c>
      <c r="H54" s="4">
        <f>IFERROR(F54/E54,0)</f>
        <v/>
      </c>
      <c r="I54" s="4">
        <f>IFERROR(AVERAGEIFS(交易明細!$L$2:$L$99,交易明細!$B$2:$B$99,$A54,交易明細!$J$2:$J$99,"&lt;&gt;未平倉"),0)</f>
        <v/>
      </c>
      <c r="J54" s="4">
        <f>SUMIFS(交易明細!$L$2:$L$99,交易明細!$B$2:$B$99,$A54,交易明細!$J$2:$J$99,"&lt;&gt;未平倉")</f>
        <v/>
      </c>
      <c r="K54" s="5">
        <f>IFERROR(AVERAGEIFS(交易明細!$K$2:$K$99,交易明細!$B$2:$B$99,$A54,交易明細!$J$2:$J$99,"&lt;&gt;未平倉"),0)</f>
        <v/>
      </c>
      <c r="L54" s="2">
        <f>COUNTIFS(交易明細!$B$2:$B$99,$A54,交易明細!$J$2:$J$99,"未平倉")</f>
        <v/>
      </c>
    </row>
    <row r="55">
      <c r="A55" s="2" t="inlineStr">
        <is>
          <t>CYS_USDT_PERP</t>
        </is>
      </c>
      <c r="B55" s="2">
        <f>COUNTIFS(交易明細!$B$2:$B$99,$A55)</f>
        <v/>
      </c>
      <c r="C55" s="2">
        <f>COUNTIFS(交易明細!$B$2:$B$99,$A55,交易明細!$C$2:$C$99,"做多")</f>
        <v/>
      </c>
      <c r="D55" s="2">
        <f>COUNTIFS(交易明細!$B$2:$B$99,$A55,交易明細!$C$2:$C$99,"做空")</f>
        <v/>
      </c>
      <c r="E55" s="2">
        <f>F55+G55+COUNTIFS(交易明細!$B$2:$B$99,$A55,交易明細!$J$2:$J$99,"時間出場")</f>
        <v/>
      </c>
      <c r="F55" s="2">
        <f>COUNTIFS(交易明細!$B$2:$B$99,$A55,交易明細!$J$2:$J$99,"止盈")</f>
        <v/>
      </c>
      <c r="G55" s="2">
        <f>COUNTIFS(交易明細!$B$2:$B$99,$A55,交易明細!$J$2:$J$99,"止損")</f>
        <v/>
      </c>
      <c r="H55" s="4">
        <f>IFERROR(F55/E55,0)</f>
        <v/>
      </c>
      <c r="I55" s="4">
        <f>IFERROR(AVERAGEIFS(交易明細!$L$2:$L$99,交易明細!$B$2:$B$99,$A55,交易明細!$J$2:$J$99,"&lt;&gt;未平倉"),0)</f>
        <v/>
      </c>
      <c r="J55" s="4">
        <f>SUMIFS(交易明細!$L$2:$L$99,交易明細!$B$2:$B$99,$A55,交易明細!$J$2:$J$99,"&lt;&gt;未平倉")</f>
        <v/>
      </c>
      <c r="K55" s="5">
        <f>IFERROR(AVERAGEIFS(交易明細!$K$2:$K$99,交易明細!$B$2:$B$99,$A55,交易明細!$J$2:$J$99,"&lt;&gt;未平倉"),0)</f>
        <v/>
      </c>
      <c r="L55" s="2">
        <f>COUNTIFS(交易明細!$B$2:$B$99,$A55,交易明細!$J$2:$J$99,"未平倉")</f>
        <v/>
      </c>
    </row>
    <row r="56">
      <c r="A56" s="2" t="inlineStr">
        <is>
          <t>TREE_USDT_PERP</t>
        </is>
      </c>
      <c r="B56" s="2">
        <f>COUNTIFS(交易明細!$B$2:$B$99,$A56)</f>
        <v/>
      </c>
      <c r="C56" s="2">
        <f>COUNTIFS(交易明細!$B$2:$B$99,$A56,交易明細!$C$2:$C$99,"做多")</f>
        <v/>
      </c>
      <c r="D56" s="2">
        <f>COUNTIFS(交易明細!$B$2:$B$99,$A56,交易明細!$C$2:$C$99,"做空")</f>
        <v/>
      </c>
      <c r="E56" s="2">
        <f>F56+G56+COUNTIFS(交易明細!$B$2:$B$99,$A56,交易明細!$J$2:$J$99,"時間出場")</f>
        <v/>
      </c>
      <c r="F56" s="2">
        <f>COUNTIFS(交易明細!$B$2:$B$99,$A56,交易明細!$J$2:$J$99,"止盈")</f>
        <v/>
      </c>
      <c r="G56" s="2">
        <f>COUNTIFS(交易明細!$B$2:$B$99,$A56,交易明細!$J$2:$J$99,"止損")</f>
        <v/>
      </c>
      <c r="H56" s="4">
        <f>IFERROR(F56/E56,0)</f>
        <v/>
      </c>
      <c r="I56" s="4">
        <f>IFERROR(AVERAGEIFS(交易明細!$L$2:$L$99,交易明細!$B$2:$B$99,$A56,交易明細!$J$2:$J$99,"&lt;&gt;未平倉"),0)</f>
        <v/>
      </c>
      <c r="J56" s="4">
        <f>SUMIFS(交易明細!$L$2:$L$99,交易明細!$B$2:$B$99,$A56,交易明細!$J$2:$J$99,"&lt;&gt;未平倉")</f>
        <v/>
      </c>
      <c r="K56" s="5">
        <f>IFERROR(AVERAGEIFS(交易明細!$K$2:$K$99,交易明細!$B$2:$B$99,$A56,交易明細!$J$2:$J$99,"&lt;&gt;未平倉"),0)</f>
        <v/>
      </c>
      <c r="L56" s="2">
        <f>COUNTIFS(交易明細!$B$2:$B$99,$A56,交易明細!$J$2:$J$99,"未平倉")</f>
        <v/>
      </c>
    </row>
    <row r="57">
      <c r="A57" s="2" t="inlineStr">
        <is>
          <t>GRIFFAIN_USDT_PERP</t>
        </is>
      </c>
      <c r="B57" s="2">
        <f>COUNTIFS(交易明細!$B$2:$B$99,$A57)</f>
        <v/>
      </c>
      <c r="C57" s="2">
        <f>COUNTIFS(交易明細!$B$2:$B$99,$A57,交易明細!$C$2:$C$99,"做多")</f>
        <v/>
      </c>
      <c r="D57" s="2">
        <f>COUNTIFS(交易明細!$B$2:$B$99,$A57,交易明細!$C$2:$C$99,"做空")</f>
        <v/>
      </c>
      <c r="E57" s="2">
        <f>F57+G57+COUNTIFS(交易明細!$B$2:$B$99,$A57,交易明細!$J$2:$J$99,"時間出場")</f>
        <v/>
      </c>
      <c r="F57" s="2">
        <f>COUNTIFS(交易明細!$B$2:$B$99,$A57,交易明細!$J$2:$J$99,"止盈")</f>
        <v/>
      </c>
      <c r="G57" s="2">
        <f>COUNTIFS(交易明細!$B$2:$B$99,$A57,交易明細!$J$2:$J$99,"止損")</f>
        <v/>
      </c>
      <c r="H57" s="4">
        <f>IFERROR(F57/E57,0)</f>
        <v/>
      </c>
      <c r="I57" s="4">
        <f>IFERROR(AVERAGEIFS(交易明細!$L$2:$L$99,交易明細!$B$2:$B$99,$A57,交易明細!$J$2:$J$99,"&lt;&gt;未平倉"),0)</f>
        <v/>
      </c>
      <c r="J57" s="4">
        <f>SUMIFS(交易明細!$L$2:$L$99,交易明細!$B$2:$B$99,$A57,交易明細!$J$2:$J$99,"&lt;&gt;未平倉")</f>
        <v/>
      </c>
      <c r="K57" s="5">
        <f>IFERROR(AVERAGEIFS(交易明細!$K$2:$K$99,交易明細!$B$2:$B$99,$A57,交易明細!$J$2:$J$99,"&lt;&gt;未平倉"),0)</f>
        <v/>
      </c>
      <c r="L57" s="2">
        <f>COUNTIFS(交易明細!$B$2:$B$99,$A57,交易明細!$J$2:$J$99,"未平倉")</f>
        <v/>
      </c>
    </row>
    <row r="58">
      <c r="A58" s="2" t="inlineStr">
        <is>
          <t>TA_USDT_PERP</t>
        </is>
      </c>
      <c r="B58" s="2">
        <f>COUNTIFS(交易明細!$B$2:$B$99,$A58)</f>
        <v/>
      </c>
      <c r="C58" s="2">
        <f>COUNTIFS(交易明細!$B$2:$B$99,$A58,交易明細!$C$2:$C$99,"做多")</f>
        <v/>
      </c>
      <c r="D58" s="2">
        <f>COUNTIFS(交易明細!$B$2:$B$99,$A58,交易明細!$C$2:$C$99,"做空")</f>
        <v/>
      </c>
      <c r="E58" s="2">
        <f>F58+G58+COUNTIFS(交易明細!$B$2:$B$99,$A58,交易明細!$J$2:$J$99,"時間出場")</f>
        <v/>
      </c>
      <c r="F58" s="2">
        <f>COUNTIFS(交易明細!$B$2:$B$99,$A58,交易明細!$J$2:$J$99,"止盈")</f>
        <v/>
      </c>
      <c r="G58" s="2">
        <f>COUNTIFS(交易明細!$B$2:$B$99,$A58,交易明細!$J$2:$J$99,"止損")</f>
        <v/>
      </c>
      <c r="H58" s="4">
        <f>IFERROR(F58/E58,0)</f>
        <v/>
      </c>
      <c r="I58" s="4">
        <f>IFERROR(AVERAGEIFS(交易明細!$L$2:$L$99,交易明細!$B$2:$B$99,$A58,交易明細!$J$2:$J$99,"&lt;&gt;未平倉"),0)</f>
        <v/>
      </c>
      <c r="J58" s="4">
        <f>SUMIFS(交易明細!$L$2:$L$99,交易明細!$B$2:$B$99,$A58,交易明細!$J$2:$J$99,"&lt;&gt;未平倉")</f>
        <v/>
      </c>
      <c r="K58" s="5">
        <f>IFERROR(AVERAGEIFS(交易明細!$K$2:$K$99,交易明細!$B$2:$B$99,$A58,交易明細!$J$2:$J$99,"&lt;&gt;未平倉"),0)</f>
        <v/>
      </c>
      <c r="L58" s="2">
        <f>COUNTIFS(交易明細!$B$2:$B$99,$A58,交易明細!$J$2:$J$99,"未平倉")</f>
        <v/>
      </c>
    </row>
    <row r="59">
      <c r="A59" s="2" t="inlineStr">
        <is>
          <t>BTW_USDT_PERP</t>
        </is>
      </c>
      <c r="B59" s="2">
        <f>COUNTIFS(交易明細!$B$2:$B$99,$A59)</f>
        <v/>
      </c>
      <c r="C59" s="2">
        <f>COUNTIFS(交易明細!$B$2:$B$99,$A59,交易明細!$C$2:$C$99,"做多")</f>
        <v/>
      </c>
      <c r="D59" s="2">
        <f>COUNTIFS(交易明細!$B$2:$B$99,$A59,交易明細!$C$2:$C$99,"做空")</f>
        <v/>
      </c>
      <c r="E59" s="2">
        <f>F59+G59+COUNTIFS(交易明細!$B$2:$B$99,$A59,交易明細!$J$2:$J$99,"時間出場")</f>
        <v/>
      </c>
      <c r="F59" s="2">
        <f>COUNTIFS(交易明細!$B$2:$B$99,$A59,交易明細!$J$2:$J$99,"止盈")</f>
        <v/>
      </c>
      <c r="G59" s="2">
        <f>COUNTIFS(交易明細!$B$2:$B$99,$A59,交易明細!$J$2:$J$99,"止損")</f>
        <v/>
      </c>
      <c r="H59" s="4">
        <f>IFERROR(F59/E59,0)</f>
        <v/>
      </c>
      <c r="I59" s="4">
        <f>IFERROR(AVERAGEIFS(交易明細!$L$2:$L$99,交易明細!$B$2:$B$99,$A59,交易明細!$J$2:$J$99,"&lt;&gt;未平倉"),0)</f>
        <v/>
      </c>
      <c r="J59" s="4">
        <f>SUMIFS(交易明細!$L$2:$L$99,交易明細!$B$2:$B$99,$A59,交易明細!$J$2:$J$99,"&lt;&gt;未平倉")</f>
        <v/>
      </c>
      <c r="K59" s="5">
        <f>IFERROR(AVERAGEIFS(交易明細!$K$2:$K$99,交易明細!$B$2:$B$99,$A59,交易明細!$J$2:$J$99,"&lt;&gt;未平倉"),0)</f>
        <v/>
      </c>
      <c r="L59" s="2">
        <f>COUNTIFS(交易明細!$B$2:$B$99,$A59,交易明細!$J$2:$J$99,"未平倉")</f>
        <v/>
      </c>
    </row>
    <row r="60">
      <c r="A60" s="2" t="inlineStr">
        <is>
          <t>MAGMA_USDT_PERP</t>
        </is>
      </c>
      <c r="B60" s="2">
        <f>COUNTIFS(交易明細!$B$2:$B$99,$A60)</f>
        <v/>
      </c>
      <c r="C60" s="2">
        <f>COUNTIFS(交易明細!$B$2:$B$99,$A60,交易明細!$C$2:$C$99,"做多")</f>
        <v/>
      </c>
      <c r="D60" s="2">
        <f>COUNTIFS(交易明細!$B$2:$B$99,$A60,交易明細!$C$2:$C$99,"做空")</f>
        <v/>
      </c>
      <c r="E60" s="2">
        <f>F60+G60+COUNTIFS(交易明細!$B$2:$B$99,$A60,交易明細!$J$2:$J$99,"時間出場")</f>
        <v/>
      </c>
      <c r="F60" s="2">
        <f>COUNTIFS(交易明細!$B$2:$B$99,$A60,交易明細!$J$2:$J$99,"止盈")</f>
        <v/>
      </c>
      <c r="G60" s="2">
        <f>COUNTIFS(交易明細!$B$2:$B$99,$A60,交易明細!$J$2:$J$99,"止損")</f>
        <v/>
      </c>
      <c r="H60" s="4">
        <f>IFERROR(F60/E60,0)</f>
        <v/>
      </c>
      <c r="I60" s="4">
        <f>IFERROR(AVERAGEIFS(交易明細!$L$2:$L$99,交易明細!$B$2:$B$99,$A60,交易明細!$J$2:$J$99,"&lt;&gt;未平倉"),0)</f>
        <v/>
      </c>
      <c r="J60" s="4">
        <f>SUMIFS(交易明細!$L$2:$L$99,交易明細!$B$2:$B$99,$A60,交易明細!$J$2:$J$99,"&lt;&gt;未平倉")</f>
        <v/>
      </c>
      <c r="K60" s="5">
        <f>IFERROR(AVERAGEIFS(交易明細!$K$2:$K$99,交易明細!$B$2:$B$99,$A60,交易明細!$J$2:$J$99,"&lt;&gt;未平倉"),0)</f>
        <v/>
      </c>
      <c r="L60" s="2">
        <f>COUNTIFS(交易明細!$B$2:$B$99,$A60,交易明細!$J$2:$J$99,"未平倉")</f>
        <v/>
      </c>
    </row>
    <row r="61">
      <c r="A61" s="2" t="inlineStr">
        <is>
          <t>BR_USDT_PERP</t>
        </is>
      </c>
      <c r="B61" s="2">
        <f>COUNTIFS(交易明細!$B$2:$B$99,$A61)</f>
        <v/>
      </c>
      <c r="C61" s="2">
        <f>COUNTIFS(交易明細!$B$2:$B$99,$A61,交易明細!$C$2:$C$99,"做多")</f>
        <v/>
      </c>
      <c r="D61" s="2">
        <f>COUNTIFS(交易明細!$B$2:$B$99,$A61,交易明細!$C$2:$C$99,"做空")</f>
        <v/>
      </c>
      <c r="E61" s="2">
        <f>F61+G61+COUNTIFS(交易明細!$B$2:$B$99,$A61,交易明細!$J$2:$J$99,"時間出場")</f>
        <v/>
      </c>
      <c r="F61" s="2">
        <f>COUNTIFS(交易明細!$B$2:$B$99,$A61,交易明細!$J$2:$J$99,"止盈")</f>
        <v/>
      </c>
      <c r="G61" s="2">
        <f>COUNTIFS(交易明細!$B$2:$B$99,$A61,交易明細!$J$2:$J$99,"止損")</f>
        <v/>
      </c>
      <c r="H61" s="4">
        <f>IFERROR(F61/E61,0)</f>
        <v/>
      </c>
      <c r="I61" s="4">
        <f>IFERROR(AVERAGEIFS(交易明細!$L$2:$L$99,交易明細!$B$2:$B$99,$A61,交易明細!$J$2:$J$99,"&lt;&gt;未平倉"),0)</f>
        <v/>
      </c>
      <c r="J61" s="4">
        <f>SUMIFS(交易明細!$L$2:$L$99,交易明細!$B$2:$B$99,$A61,交易明細!$J$2:$J$99,"&lt;&gt;未平倉")</f>
        <v/>
      </c>
      <c r="K61" s="5">
        <f>IFERROR(AVERAGEIFS(交易明細!$K$2:$K$99,交易明細!$B$2:$B$99,$A61,交易明細!$J$2:$J$99,"&lt;&gt;未平倉"),0)</f>
        <v/>
      </c>
      <c r="L61" s="2">
        <f>COUNTIFS(交易明細!$B$2:$B$99,$A61,交易明細!$J$2:$J$99,"未平倉")</f>
        <v/>
      </c>
    </row>
    <row r="62">
      <c r="A62" s="2" t="inlineStr">
        <is>
          <t>XPIN_USDT_PERP</t>
        </is>
      </c>
      <c r="B62" s="2">
        <f>COUNTIFS(交易明細!$B$2:$B$99,$A62)</f>
        <v/>
      </c>
      <c r="C62" s="2">
        <f>COUNTIFS(交易明細!$B$2:$B$99,$A62,交易明細!$C$2:$C$99,"做多")</f>
        <v/>
      </c>
      <c r="D62" s="2">
        <f>COUNTIFS(交易明細!$B$2:$B$99,$A62,交易明細!$C$2:$C$99,"做空")</f>
        <v/>
      </c>
      <c r="E62" s="2">
        <f>F62+G62+COUNTIFS(交易明細!$B$2:$B$99,$A62,交易明細!$J$2:$J$99,"時間出場")</f>
        <v/>
      </c>
      <c r="F62" s="2">
        <f>COUNTIFS(交易明細!$B$2:$B$99,$A62,交易明細!$J$2:$J$99,"止盈")</f>
        <v/>
      </c>
      <c r="G62" s="2">
        <f>COUNTIFS(交易明細!$B$2:$B$99,$A62,交易明細!$J$2:$J$99,"止損")</f>
        <v/>
      </c>
      <c r="H62" s="4">
        <f>IFERROR(F62/E62,0)</f>
        <v/>
      </c>
      <c r="I62" s="4">
        <f>IFERROR(AVERAGEIFS(交易明細!$L$2:$L$99,交易明細!$B$2:$B$99,$A62,交易明細!$J$2:$J$99,"&lt;&gt;未平倉"),0)</f>
        <v/>
      </c>
      <c r="J62" s="4">
        <f>SUMIFS(交易明細!$L$2:$L$99,交易明細!$B$2:$B$99,$A62,交易明細!$J$2:$J$99,"&lt;&gt;未平倉")</f>
        <v/>
      </c>
      <c r="K62" s="5">
        <f>IFERROR(AVERAGEIFS(交易明細!$K$2:$K$99,交易明細!$B$2:$B$99,$A62,交易明細!$J$2:$J$99,"&lt;&gt;未平倉"),0)</f>
        <v/>
      </c>
      <c r="L62" s="2">
        <f>COUNTIFS(交易明細!$B$2:$B$99,$A62,交易明細!$J$2:$J$99,"未平倉")</f>
        <v/>
      </c>
    </row>
    <row r="63">
      <c r="A63" s="2" t="inlineStr">
        <is>
          <t>HEMI_USDT_PERP</t>
        </is>
      </c>
      <c r="B63" s="2">
        <f>COUNTIFS(交易明細!$B$2:$B$99,$A63)</f>
        <v/>
      </c>
      <c r="C63" s="2">
        <f>COUNTIFS(交易明細!$B$2:$B$99,$A63,交易明細!$C$2:$C$99,"做多")</f>
        <v/>
      </c>
      <c r="D63" s="2">
        <f>COUNTIFS(交易明細!$B$2:$B$99,$A63,交易明細!$C$2:$C$99,"做空")</f>
        <v/>
      </c>
      <c r="E63" s="2">
        <f>F63+G63+COUNTIFS(交易明細!$B$2:$B$99,$A63,交易明細!$J$2:$J$99,"時間出場")</f>
        <v/>
      </c>
      <c r="F63" s="2">
        <f>COUNTIFS(交易明細!$B$2:$B$99,$A63,交易明細!$J$2:$J$99,"止盈")</f>
        <v/>
      </c>
      <c r="G63" s="2">
        <f>COUNTIFS(交易明細!$B$2:$B$99,$A63,交易明細!$J$2:$J$99,"止損")</f>
        <v/>
      </c>
      <c r="H63" s="4">
        <f>IFERROR(F63/E63,0)</f>
        <v/>
      </c>
      <c r="I63" s="4">
        <f>IFERROR(AVERAGEIFS(交易明細!$L$2:$L$99,交易明細!$B$2:$B$99,$A63,交易明細!$J$2:$J$99,"&lt;&gt;未平倉"),0)</f>
        <v/>
      </c>
      <c r="J63" s="4">
        <f>SUMIFS(交易明細!$L$2:$L$99,交易明細!$B$2:$B$99,$A63,交易明細!$J$2:$J$99,"&lt;&gt;未平倉")</f>
        <v/>
      </c>
      <c r="K63" s="5">
        <f>IFERROR(AVERAGEIFS(交易明細!$K$2:$K$99,交易明細!$B$2:$B$99,$A63,交易明細!$J$2:$J$99,"&lt;&gt;未平倉"),0)</f>
        <v/>
      </c>
      <c r="L63" s="2">
        <f>COUNTIFS(交易明細!$B$2:$B$99,$A63,交易明細!$J$2:$J$99,"未平倉")</f>
        <v/>
      </c>
    </row>
    <row r="64">
      <c r="A64" s="2" t="inlineStr">
        <is>
          <t>AXL_USDT_PERP</t>
        </is>
      </c>
      <c r="B64" s="2">
        <f>COUNTIFS(交易明細!$B$2:$B$99,$A64)</f>
        <v/>
      </c>
      <c r="C64" s="2">
        <f>COUNTIFS(交易明細!$B$2:$B$99,$A64,交易明細!$C$2:$C$99,"做多")</f>
        <v/>
      </c>
      <c r="D64" s="2">
        <f>COUNTIFS(交易明細!$B$2:$B$99,$A64,交易明細!$C$2:$C$99,"做空")</f>
        <v/>
      </c>
      <c r="E64" s="2">
        <f>F64+G64+COUNTIFS(交易明細!$B$2:$B$99,$A64,交易明細!$J$2:$J$99,"時間出場")</f>
        <v/>
      </c>
      <c r="F64" s="2">
        <f>COUNTIFS(交易明細!$B$2:$B$99,$A64,交易明細!$J$2:$J$99,"止盈")</f>
        <v/>
      </c>
      <c r="G64" s="2">
        <f>COUNTIFS(交易明細!$B$2:$B$99,$A64,交易明細!$J$2:$J$99,"止損")</f>
        <v/>
      </c>
      <c r="H64" s="4">
        <f>IFERROR(F64/E64,0)</f>
        <v/>
      </c>
      <c r="I64" s="4">
        <f>IFERROR(AVERAGEIFS(交易明細!$L$2:$L$99,交易明細!$B$2:$B$99,$A64,交易明細!$J$2:$J$99,"&lt;&gt;未平倉"),0)</f>
        <v/>
      </c>
      <c r="J64" s="4">
        <f>SUMIFS(交易明細!$L$2:$L$99,交易明細!$B$2:$B$99,$A64,交易明細!$J$2:$J$99,"&lt;&gt;未平倉")</f>
        <v/>
      </c>
      <c r="K64" s="5">
        <f>IFERROR(AVERAGEIFS(交易明細!$K$2:$K$99,交易明細!$B$2:$B$99,$A64,交易明細!$J$2:$J$99,"&lt;&gt;未平倉"),0)</f>
        <v/>
      </c>
      <c r="L64" s="2">
        <f>COUNTIFS(交易明細!$B$2:$B$99,$A64,交易明細!$J$2:$J$99,"未平倉")</f>
        <v/>
      </c>
    </row>
    <row r="65">
      <c r="A65" s="2" t="inlineStr">
        <is>
          <t>GENIUS_USDT_PERP</t>
        </is>
      </c>
      <c r="B65" s="2">
        <f>COUNTIFS(交易明細!$B$2:$B$99,$A65)</f>
        <v/>
      </c>
      <c r="C65" s="2">
        <f>COUNTIFS(交易明細!$B$2:$B$99,$A65,交易明細!$C$2:$C$99,"做多")</f>
        <v/>
      </c>
      <c r="D65" s="2">
        <f>COUNTIFS(交易明細!$B$2:$B$99,$A65,交易明細!$C$2:$C$99,"做空")</f>
        <v/>
      </c>
      <c r="E65" s="2">
        <f>F65+G65+COUNTIFS(交易明細!$B$2:$B$99,$A65,交易明細!$J$2:$J$99,"時間出場")</f>
        <v/>
      </c>
      <c r="F65" s="2">
        <f>COUNTIFS(交易明細!$B$2:$B$99,$A65,交易明細!$J$2:$J$99,"止盈")</f>
        <v/>
      </c>
      <c r="G65" s="2">
        <f>COUNTIFS(交易明細!$B$2:$B$99,$A65,交易明細!$J$2:$J$99,"止損")</f>
        <v/>
      </c>
      <c r="H65" s="4">
        <f>IFERROR(F65/E65,0)</f>
        <v/>
      </c>
      <c r="I65" s="4">
        <f>IFERROR(AVERAGEIFS(交易明細!$L$2:$L$99,交易明細!$B$2:$B$99,$A65,交易明細!$J$2:$J$99,"&lt;&gt;未平倉"),0)</f>
        <v/>
      </c>
      <c r="J65" s="4">
        <f>SUMIFS(交易明細!$L$2:$L$99,交易明細!$B$2:$B$99,$A65,交易明細!$J$2:$J$99,"&lt;&gt;未平倉")</f>
        <v/>
      </c>
      <c r="K65" s="5">
        <f>IFERROR(AVERAGEIFS(交易明細!$K$2:$K$99,交易明細!$B$2:$B$99,$A65,交易明細!$J$2:$J$99,"&lt;&gt;未平倉"),0)</f>
        <v/>
      </c>
      <c r="L65" s="2">
        <f>COUNTIFS(交易明細!$B$2:$B$99,$A65,交易明細!$J$2:$J$99,"未平倉")</f>
        <v/>
      </c>
    </row>
    <row r="66">
      <c r="A66" s="2" t="inlineStr">
        <is>
          <t>CROSS_USDT_PERP</t>
        </is>
      </c>
      <c r="B66" s="2">
        <f>COUNTIFS(交易明細!$B$2:$B$99,$A66)</f>
        <v/>
      </c>
      <c r="C66" s="2">
        <f>COUNTIFS(交易明細!$B$2:$B$99,$A66,交易明細!$C$2:$C$99,"做多")</f>
        <v/>
      </c>
      <c r="D66" s="2">
        <f>COUNTIFS(交易明細!$B$2:$B$99,$A66,交易明細!$C$2:$C$99,"做空")</f>
        <v/>
      </c>
      <c r="E66" s="2">
        <f>F66+G66+COUNTIFS(交易明細!$B$2:$B$99,$A66,交易明細!$J$2:$J$99,"時間出場")</f>
        <v/>
      </c>
      <c r="F66" s="2">
        <f>COUNTIFS(交易明細!$B$2:$B$99,$A66,交易明細!$J$2:$J$99,"止盈")</f>
        <v/>
      </c>
      <c r="G66" s="2">
        <f>COUNTIFS(交易明細!$B$2:$B$99,$A66,交易明細!$J$2:$J$99,"止損")</f>
        <v/>
      </c>
      <c r="H66" s="4">
        <f>IFERROR(F66/E66,0)</f>
        <v/>
      </c>
      <c r="I66" s="4">
        <f>IFERROR(AVERAGEIFS(交易明細!$L$2:$L$99,交易明細!$B$2:$B$99,$A66,交易明細!$J$2:$J$99,"&lt;&gt;未平倉"),0)</f>
        <v/>
      </c>
      <c r="J66" s="4">
        <f>SUMIFS(交易明細!$L$2:$L$99,交易明細!$B$2:$B$99,$A66,交易明細!$J$2:$J$99,"&lt;&gt;未平倉")</f>
        <v/>
      </c>
      <c r="K66" s="5">
        <f>IFERROR(AVERAGEIFS(交易明細!$K$2:$K$99,交易明細!$B$2:$B$99,$A66,交易明細!$J$2:$J$99,"&lt;&gt;未平倉"),0)</f>
        <v/>
      </c>
      <c r="L66" s="2">
        <f>COUNTIFS(交易明細!$B$2:$B$99,$A66,交易明細!$J$2:$J$99,"未平倉")</f>
        <v/>
      </c>
    </row>
    <row r="67">
      <c r="A67" s="2" t="inlineStr">
        <is>
          <t>BABY_USDT_PERP</t>
        </is>
      </c>
      <c r="B67" s="2">
        <f>COUNTIFS(交易明細!$B$2:$B$99,$A67)</f>
        <v/>
      </c>
      <c r="C67" s="2">
        <f>COUNTIFS(交易明細!$B$2:$B$99,$A67,交易明細!$C$2:$C$99,"做多")</f>
        <v/>
      </c>
      <c r="D67" s="2">
        <f>COUNTIFS(交易明細!$B$2:$B$99,$A67,交易明細!$C$2:$C$99,"做空")</f>
        <v/>
      </c>
      <c r="E67" s="2">
        <f>F67+G67+COUNTIFS(交易明細!$B$2:$B$99,$A67,交易明細!$J$2:$J$99,"時間出場")</f>
        <v/>
      </c>
      <c r="F67" s="2">
        <f>COUNTIFS(交易明細!$B$2:$B$99,$A67,交易明細!$J$2:$J$99,"止盈")</f>
        <v/>
      </c>
      <c r="G67" s="2">
        <f>COUNTIFS(交易明細!$B$2:$B$99,$A67,交易明細!$J$2:$J$99,"止損")</f>
        <v/>
      </c>
      <c r="H67" s="4">
        <f>IFERROR(F67/E67,0)</f>
        <v/>
      </c>
      <c r="I67" s="4">
        <f>IFERROR(AVERAGEIFS(交易明細!$L$2:$L$99,交易明細!$B$2:$B$99,$A67,交易明細!$J$2:$J$99,"&lt;&gt;未平倉"),0)</f>
        <v/>
      </c>
      <c r="J67" s="4">
        <f>SUMIFS(交易明細!$L$2:$L$99,交易明細!$B$2:$B$99,$A67,交易明細!$J$2:$J$99,"&lt;&gt;未平倉")</f>
        <v/>
      </c>
      <c r="K67" s="5">
        <f>IFERROR(AVERAGEIFS(交易明細!$K$2:$K$99,交易明細!$B$2:$B$99,$A67,交易明細!$J$2:$J$99,"&lt;&gt;未平倉"),0)</f>
        <v/>
      </c>
      <c r="L67" s="2">
        <f>COUNTIFS(交易明細!$B$2:$B$99,$A67,交易明細!$J$2:$J$99,"未平倉")</f>
        <v/>
      </c>
    </row>
    <row r="68">
      <c r="A68" s="2" t="inlineStr">
        <is>
          <t>STRK_USDT_PERP</t>
        </is>
      </c>
      <c r="B68" s="2">
        <f>COUNTIFS(交易明細!$B$2:$B$99,$A68)</f>
        <v/>
      </c>
      <c r="C68" s="2">
        <f>COUNTIFS(交易明細!$B$2:$B$99,$A68,交易明細!$C$2:$C$99,"做多")</f>
        <v/>
      </c>
      <c r="D68" s="2">
        <f>COUNTIFS(交易明細!$B$2:$B$99,$A68,交易明細!$C$2:$C$99,"做空")</f>
        <v/>
      </c>
      <c r="E68" s="2">
        <f>F68+G68+COUNTIFS(交易明細!$B$2:$B$99,$A68,交易明細!$J$2:$J$99,"時間出場")</f>
        <v/>
      </c>
      <c r="F68" s="2">
        <f>COUNTIFS(交易明細!$B$2:$B$99,$A68,交易明細!$J$2:$J$99,"止盈")</f>
        <v/>
      </c>
      <c r="G68" s="2">
        <f>COUNTIFS(交易明細!$B$2:$B$99,$A68,交易明細!$J$2:$J$99,"止損")</f>
        <v/>
      </c>
      <c r="H68" s="4">
        <f>IFERROR(F68/E68,0)</f>
        <v/>
      </c>
      <c r="I68" s="4">
        <f>IFERROR(AVERAGEIFS(交易明細!$L$2:$L$99,交易明細!$B$2:$B$99,$A68,交易明細!$J$2:$J$99,"&lt;&gt;未平倉"),0)</f>
        <v/>
      </c>
      <c r="J68" s="4">
        <f>SUMIFS(交易明細!$L$2:$L$99,交易明細!$B$2:$B$99,$A68,交易明細!$J$2:$J$99,"&lt;&gt;未平倉")</f>
        <v/>
      </c>
      <c r="K68" s="5">
        <f>IFERROR(AVERAGEIFS(交易明細!$K$2:$K$99,交易明細!$B$2:$B$99,$A68,交易明細!$J$2:$J$99,"&lt;&gt;未平倉"),0)</f>
        <v/>
      </c>
      <c r="L68" s="2">
        <f>COUNTIFS(交易明細!$B$2:$B$99,$A68,交易明細!$J$2:$J$99,"未平倉")</f>
        <v/>
      </c>
    </row>
    <row r="69">
      <c r="A69" s="2" t="inlineStr">
        <is>
          <t>ENSO_USDT_PERP</t>
        </is>
      </c>
      <c r="B69" s="2">
        <f>COUNTIFS(交易明細!$B$2:$B$99,$A69)</f>
        <v/>
      </c>
      <c r="C69" s="2">
        <f>COUNTIFS(交易明細!$B$2:$B$99,$A69,交易明細!$C$2:$C$99,"做多")</f>
        <v/>
      </c>
      <c r="D69" s="2">
        <f>COUNTIFS(交易明細!$B$2:$B$99,$A69,交易明細!$C$2:$C$99,"做空")</f>
        <v/>
      </c>
      <c r="E69" s="2">
        <f>F69+G69+COUNTIFS(交易明細!$B$2:$B$99,$A69,交易明細!$J$2:$J$99,"時間出場")</f>
        <v/>
      </c>
      <c r="F69" s="2">
        <f>COUNTIFS(交易明細!$B$2:$B$99,$A69,交易明細!$J$2:$J$99,"止盈")</f>
        <v/>
      </c>
      <c r="G69" s="2">
        <f>COUNTIFS(交易明細!$B$2:$B$99,$A69,交易明細!$J$2:$J$99,"止損")</f>
        <v/>
      </c>
      <c r="H69" s="4">
        <f>IFERROR(F69/E69,0)</f>
        <v/>
      </c>
      <c r="I69" s="4">
        <f>IFERROR(AVERAGEIFS(交易明細!$L$2:$L$99,交易明細!$B$2:$B$99,$A69,交易明細!$J$2:$J$99,"&lt;&gt;未平倉"),0)</f>
        <v/>
      </c>
      <c r="J69" s="4">
        <f>SUMIFS(交易明細!$L$2:$L$99,交易明細!$B$2:$B$99,$A69,交易明細!$J$2:$J$99,"&lt;&gt;未平倉")</f>
        <v/>
      </c>
      <c r="K69" s="5">
        <f>IFERROR(AVERAGEIFS(交易明細!$K$2:$K$99,交易明細!$B$2:$B$99,$A69,交易明細!$J$2:$J$99,"&lt;&gt;未平倉"),0)</f>
        <v/>
      </c>
      <c r="L69" s="2">
        <f>COUNTIFS(交易明細!$B$2:$B$99,$A69,交易明細!$J$2:$J$99,"未平倉")</f>
        <v/>
      </c>
    </row>
  </sheetData>
  <autoFilter ref="A1:L69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AGT_USDT_PERP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AIA_USDT_PERP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AIGENSYN_USDT_PERP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AIO_USDT_PERP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AIXBT_USDT_PERP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AKE_USDT_PERP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AKT_USDT_PERP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ALCH_USDT_PERP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ALGO_USDT_PERP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ALLO_USDT_PERP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ALT_USDT_PERP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ANIME_USDT_PERP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ANTHROPIC_USDT_PERP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APE_USDT_PERP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API3_USDT_PERP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APR_USDT_PERP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APT_USDT_PERP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ARB_USDT_PERP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ARC_USDT_PERP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ARIA_USDT_PERP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ARKM_USDT_PERP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ARPA_USDT_PERP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ARX_USDT_PERP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ASTER_USDT_PERP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ATH_USDT_PERP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ATOM_USDT_PERP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AUCTION_USDT_PERP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AVAX_USDT_PERP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AVNT_USDT_PERP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AWE_USDT_PERP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AXL_USDT_PERP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AXS_USDT_PERP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BABY_USDT_PERP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BANANAS31_USDT_PERP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BAND_USDT_PERP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BANK_USDT_PERP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BARD_USDT_PERP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BASED_USDT_PERP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BAT_USDT_PERP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BB_USDT_PERP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BCH_USDT_PERP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BEAMX_USDT_PERP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BEAT_USDT_PERP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BEL_USDT_PERP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BERA_USDT_PERP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BEX_USDT_PERP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BICO_USDT_PERP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BILL_USDT_PERP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BIO_USDT_PERP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BIRB_USDT_PERP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BLEND_USDT_PERP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BLESS_USDT_PERP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BLUAI_USDT_PERP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BLUR_USDT_PERP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BNB_USDT_PERP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BOME_USDT_PERP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BONK_USDT_PERP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BRENTOIL_USDT_PERP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BRETT_USDT_PERP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BREV_USDT_PERP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BROCCOLI_USDT_PERP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BR_USDT_PERP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BSB_USDT_PERP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BSV_USDT_PERP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BTC_USDT_PERP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BTR_USDT_PERP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BTW_USDT_PERP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BULLA_USDT_PERP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B_USDT_PERP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CAKE_USDT_PERP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CAP_USDT_PERP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CASHCAT_USDT_PERP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CATI_USDT_PERP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CBRS_USDT_PERP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CC_USDT_PERP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CETUS_USDT_PERP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CFG_USDT_PERP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CFX_USDT_PERP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CF_USDT_PERP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CHIP_USDT_PERP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CHZ_USDT_PERP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CKB_USDT_PERP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CLANKER_USDT_PERP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CLO_USDT_PERP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COAI_USDT_PERP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COLLECT_USDT_PERP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COMP_USDT_PERP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COOKIE_USDT_PERP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COTI_USDT_PERP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CROSS_USDT_PERP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CRO_USDT_PERP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CRV_USDT_PERP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CTR_USDT_PERP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CVX_USDT_PERP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CYS_USDT_PERP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DASH_USDT_PERP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DATA_USDT_PERP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DODO_USDT_PERP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DOGE_USDT_PERP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DOGS_USDT_PERP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DOLO_USDT_PERP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DOS_USDT_PERP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DOT_USDT_PERP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DRIFT_USDT_PERP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DUSK_USDT_PERP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DYM_USDT_PERP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EDEN_USDT_PERP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EDGE_USDT_PERP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EDU_USDT_PERP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EGLD_USDT_PERP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EIGEN_USDT_PERP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ELSA_USDT_PERP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ENA_USDT_PERP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ENJ_USDT_PERP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ENSO_USDT_PERP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ENS_USDT_PERP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ESP_USDT_PERP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ETC_USDT_PERP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ETHFI_USDT_PERP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ETH_USDT_PERP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EUL_USDT_PERP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EVAA_USDT_PERP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FARTCOIN_USDT_PERP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FET_USDT_PERP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FF_USDT_PERP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FHE_USDT_PERP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FIGHT_USDT_PERP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FIL_USDT_PERP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FLOKI_USDT_PERP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FLUID_USDT_PERP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FOGO_USDT_PERP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FOLKS_USDT_PERP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GALA_USDT_PERP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GAS_USDT_PERP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GENIUS_USDT_PERP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GIGGLE_USDT_PERP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GMT_USDT_PERP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GMX_USDT_PERP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GOAT_USDT_PERP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GPS_USDT_PERP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GRAM_USDT_PERP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GRASS_USDT_PERP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GRIFFAIN_USDT_PERP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GRT_USDT_PERP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GRVT_USDT_PERP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GUA_USDT_PERP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GUN_USDT_PERP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GWEI_USDT_PERP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HAEDAL_USDT_PERP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HANA_USDT_PERP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HBAR_USDT_PERP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HEMI_USDT_PERP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HMSTR_USDT_PERP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HOLO_USDT_PERP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HOME_USDT_PERP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HUMA_USDT_PERP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HYPE_USDT_PERP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HYUNDAI_USDT_PERP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H_USDT_PERP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ICNT_USDT_PERP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ICP_USDT_PERP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IDOL_USDT_PERP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IMX_USDT_PERP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INIT_USDT_PERP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INJ_USDT_PERP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INX_USDT_PERP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IOST_USDT_PERP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IOTA_USDT_PERP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IO_USDT_PERP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IRYS_USDT_PERP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JASMY_USDT_PERP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JELLYJELLY_USDT_PERP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JTO_USDT_PERP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JUP_USDT_PERP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KAIA_USDT_PERP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KAITO_USDT_PERP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KAS_USDT_PERP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KAT_USDT_PERP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KAVA_USDT_PERP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KERNEL_USDT_PERP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KGEN_USDT_PERP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KIOXIA_USDT_PERP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KITE_USDT_PERP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KMNO_USDT_PERP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KNC_USDT_PERP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LAB_USDT_PERP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LAYER_USDT_PERP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LA_USDT_PERP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LDO_USDT_PERP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LIGHT_USDT_PERP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LINEA_USDT_PERP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LINK_USDT_PERP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LISTA_USDT_PERP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LIT_USDT_PERP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LPT_USDT_PERP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LRC_USDT_PERP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LSK_USDT_PERP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LTC_USDT_PERP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LUNA2_USDT_PERP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LUNC_USDT_PERP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LYN_USDT_PERP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MAGIC_USDT_PERP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MAGMA_USDT_PERP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MANA_USDT_PERP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MANTA_USDT_PERP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MANTRA_USDT_PERP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MARSCOIN_USDT_PERP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MASK_USDT_PERP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MAV_USDT_PERP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MEGA_USDT_PERP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MELANIA_USDT_PERP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MEME_USDT_PERP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MERL_USDT_PERP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METIS_USDT_PERP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MET_USDT_PERP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MEW_USDT_PERP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ME_USDT_PERP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MITO_USDT_PERP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MMT_USDT_PERP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MNT_USDT_PERP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MON_USDT_PERP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MOODENG_USDT_PERP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MOVE_USDT_PERP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MOVR_USDT_PERP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MPX_USDT_PERP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MUBARAK_USDT_PERP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MUX_USDT_PERP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MYX_USDT_PERP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NAORIS_USDT_PERP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NEAR_USDT_PERP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NEIRO_USDT_PERP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NEO_USDT_PERP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NIGHT_USDT_PERP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NIL_USDT_PERP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NMR_USDT_PERP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NOM_USDT_PERP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NOT_USDT_PERP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NXPC_USDT_PERP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OFC_USDT_PERP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OGN_USDT_PERP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OG_USDT_PERP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OKB_USDT_PERP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ONDO_USDT_PERP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ONG_USDT_PERP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ONT_USDT_PERP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ONX_USDT_PERP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ON_USDT_PERP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OPENAI_USDT_PERP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OPEN_USDT_PERP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OPG_USDT_PERP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OPN_USDT_PERP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OP_USDT_PERP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ORCA_USDT_PERP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ORDER_USDT_PERP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ORDI_USDT_PERP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O_USDT_PERP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PARTI_USDT_PERP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PENDLE_USDT_PERP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PENGU_USDT_PERP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PEOPLE_USDT_PERP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PEPE_USDT_PERP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PHA_USDT_PERP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PIEVERSE_USDT_PERP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PIPPIN_USDT_PERP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PIXEL_USDT_PERP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PI_USDT_PERP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PLAY_USDT_PERP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PLUME_USDT_PERP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PNUT_USDT_PERP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POLYX_USDT_PERP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POL_USDT_PERP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PONS_USDT_PERP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POPCAT_USDT_PERP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PORTAL_USDT_PERP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POWER_USDT_PERP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POWR_USDT_PERP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PRL_USDT_PERP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PROMPT_USDT_PERP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PROS_USDT_PERP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PROVE_USDT_PERP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PTB_USDT_PERP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PUMP_USDT_PERP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PYTH_USDT_PERP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QNT_USDT_PERP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QTUM_USDT_PERP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Q_USDT_PERP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RARE_USDT_PERP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RATS_USDT_PERP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RAVE_USDT_PERP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RAY_USDT_PERP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RECALL_USDT_PERP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RENDER_USDT_PERP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RESOLV_USDT_PERP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REZ_USDT_PERP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RE_USDT_PERP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RIF_USDT_PERP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RIVER_USDT_PERP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ROBO_USDT_PERP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ROSE_USDT_PERP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RSR_USDT_PERP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RUNE_USDT_PERP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SAGA_USDT_PERP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SAHARA_USDT_PERP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SAND_USDT_PERP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SAPIEN_USDT_PERP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SEI_USDT_PERP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SENT_USDT_PERP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SFP_USDT_PERP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SHELL_USDT_PERP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SHIB_USDT_PERP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SIREN_USDT_PERP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SKL_USDT_PERP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SKR_USDT_PERP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SKYAI_USDT_PERP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SKY_USDT_PERP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SLP_USDT_PERP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SLX_USDT_PERP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SNX_USDT_PERP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SOLV_USDT_PERP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SOL_USDT_PERP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SOMI_USDT_PERP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SOON_USDT_PERP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SPACE_USDT_PERP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SPELL_USDT_PERP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SPK_USDT_PERP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SPORTFUN_USDT_PERP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SPX_USDT_PERP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SQD_USDT_PERP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SSV_USDT_PERP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STABLE_USDT_PERP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STAR_USDT_PERP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STBL_USDT_PERP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STG_USDT_PERP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STO_USDT_PERP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STRK_USDT_PERP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STX_USDT_PERP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SUI_USDT_PERP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SUN_USDT_PERP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SUPER_USDT_PERP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SUSHI_USDT_PERP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SXT_USDT_PERP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SYRUP_USDT_PERP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S_USDT_PERP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TAC_USDT_PERP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TAKE_USDT_PERP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TAO_USDT_PERP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TA_USDT_PERP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THETA_USDT_PERP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THE_USDT_PERP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TIA_USDT_PERP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TLM_USDT_PERP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TNSR_USDT_PERP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TOSHI_USDT_PERP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TOWNS_USDT_PERP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TRADOOR_USDT_PERP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TRB_USDT_PERP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TREE_USDT_PERP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TRIA_USDT_PERP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TRUMP_USDT_PERP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TRUST_USDT_PERP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TRUTH_USDT_PERP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TRX_USDT_PERP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TST_USDT_PERP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TURBO_USDT_PERP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TURTLE_USDT_PERP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TUT_USDT_PERP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TWT_USDT_PERP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UAI_USDT_PERP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UB_USDT_PERP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UNI_USDT_PERP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UP_USDT_PERP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USELESS_USDT_PERP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USTC_USDT_PERP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USUAL_USDT_PERP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US_USDT_PERP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VELODROME_USDT_PERP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VET_USDT_PERP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VIRTUAL_USDT_PERP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VVV_USDT_PERP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WAL_USDT_PERP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WCT_USDT_PERP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WIF_USDT_PERP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WLD_USDT_PERP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WLFI_USDT_PERP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WTI_USDT_PERP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W_USDT_PERP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XAI_USDT_PERP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XAN_USDT_PERP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XEC_USDT_PERP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XLM_USDT_PERP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XMR_USDT_PERP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XNY_USDT_PERP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XPIN_USDT_PERP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XPL_USDT_PERP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XRP_USDT_PERP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XTZ_USDT_PERP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XVG_USDT_PERP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XYZX_USDT_PERP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YB_USDT_PERP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YFI_USDT_PERP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YGG_USDT_PERP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ZAMA_USDT_PERP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ZBT_USDT_PERP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ZEC_USDT_PERP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ZEN_USDT_PERP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ZEREBRO_USDT_PERP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ZEST_USDT_PERP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ZETA_USDT_PERP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ZIL_USDT_PERP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ZKC_USDT_PERP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ZKP_USDT_PERP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ZKSYNC_USDT_PERP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  <row r="435">
      <c r="A435" s="2" t="inlineStr">
        <is>
          <t>ZORA_USDT_PERP</t>
        </is>
      </c>
      <c r="B435" s="2" t="inlineStr">
        <is>
          <t>已掃描</t>
        </is>
      </c>
      <c r="C435" s="2" t="inlineStr"/>
      <c r="D435" s="2" t="n"/>
      <c r="E435" s="17" t="n"/>
      <c r="F435" s="17" t="n"/>
      <c r="G435" s="2" t="n"/>
      <c r="H435" s="2" t="n"/>
    </row>
    <row r="436">
      <c r="A436" s="2" t="inlineStr">
        <is>
          <t>ZRO_USDT_PERP</t>
        </is>
      </c>
      <c r="B436" s="2" t="inlineStr">
        <is>
          <t>已掃描</t>
        </is>
      </c>
      <c r="C436" s="2" t="inlineStr"/>
      <c r="D436" s="2" t="n"/>
      <c r="E436" s="17" t="n"/>
      <c r="F436" s="17" t="n"/>
      <c r="G436" s="2" t="n"/>
      <c r="H436" s="2" t="n"/>
    </row>
    <row r="437">
      <c r="A437" s="2" t="inlineStr">
        <is>
          <t>ZRX_USDT_PERP</t>
        </is>
      </c>
      <c r="B437" s="2" t="inlineStr">
        <is>
          <t>已掃描</t>
        </is>
      </c>
      <c r="C437" s="2" t="inlineStr"/>
      <c r="D437" s="2" t="n"/>
      <c r="E437" s="17" t="n"/>
      <c r="F437" s="17" t="n"/>
      <c r="G437" s="2" t="n"/>
      <c r="H437" s="2" t="n"/>
    </row>
    <row r="438">
      <c r="A438" s="2" t="inlineStr">
        <is>
          <t>哈基米_USDT_PERP</t>
        </is>
      </c>
      <c r="B438" s="2" t="inlineStr">
        <is>
          <t>已掃描</t>
        </is>
      </c>
      <c r="C438" s="2" t="inlineStr"/>
      <c r="D438" s="2" t="n"/>
      <c r="E438" s="17" t="n"/>
      <c r="F438" s="17" t="n"/>
      <c r="G438" s="2" t="n"/>
      <c r="H438" s="2" t="n"/>
    </row>
    <row r="439">
      <c r="A439" s="2" t="inlineStr">
        <is>
          <t>币安人生_USDT_PERP</t>
        </is>
      </c>
      <c r="B439" s="2" t="inlineStr">
        <is>
          <t>已掃描</t>
        </is>
      </c>
      <c r="C439" s="2" t="inlineStr"/>
      <c r="D439" s="2" t="n"/>
      <c r="E439" s="17" t="n"/>
      <c r="F439" s="17" t="n"/>
      <c r="G439" s="2" t="n"/>
      <c r="H439" s="2" t="n"/>
    </row>
    <row r="440">
      <c r="A440" s="2" t="inlineStr">
        <is>
          <t>我踏马来了_USDT_PERP</t>
        </is>
      </c>
      <c r="B440" s="2" t="inlineStr">
        <is>
          <t>已掃描</t>
        </is>
      </c>
      <c r="C440" s="2" t="inlineStr"/>
      <c r="D440" s="2" t="n"/>
      <c r="E440" s="17" t="n"/>
      <c r="F440" s="17" t="n"/>
      <c r="G440" s="2" t="n"/>
      <c r="H440" s="2" t="n"/>
    </row>
    <row r="441">
      <c r="A441" s="2" t="inlineStr">
        <is>
          <t>牛来_USDT_PERP</t>
        </is>
      </c>
      <c r="B441" s="2" t="inlineStr">
        <is>
          <t>已掃描</t>
        </is>
      </c>
      <c r="C441" s="2" t="inlineStr"/>
      <c r="D441" s="2" t="n"/>
      <c r="E441" s="17" t="n"/>
      <c r="F441" s="17" t="n"/>
      <c r="G441" s="2" t="n"/>
      <c r="H441" s="2" t="n"/>
    </row>
  </sheetData>
  <autoFilter ref="A1:H44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2026-09-18T10:58:23Z</dcterms:created>
  <dcterms:modified xsi:type="dcterms:W3CDTF">2026-09-18T10:58:23Z</dcterms:modified>
</cp:coreProperties>
</file>