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'資金明細'!$A$1:$Z$348</definedName>
    <definedName name="_xlnm._FilterDatabase" localSheetId="5" hidden="1">'交易明細'!$A$1:$AM$174</definedName>
    <definedName name="_xlnm._FilterDatabase" localSheetId="6" hidden="1">'幣種統計'!$A$1:$L$106</definedName>
    <definedName name="_xlnm._FilterDatabase" localSheetId="7" hidden="1">'掃描清單'!$A$1:$H$445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'資金明細'!$R$2:$R$348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2026-10-05 03:41（Dry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COUNTIFS(交易明細!$B$2:$B$174,"&lt;&gt;")</f>
        <v/>
      </c>
      <c r="C5" s="2">
        <f>D5+E5+F5</f>
        <v/>
      </c>
      <c r="D5" s="2">
        <f>COUNTIFS(交易明細!$J$2:$J$174,"止盈")</f>
        <v/>
      </c>
      <c r="E5" s="2">
        <f>COUNTIFS(交易明細!$J$2:$J$174,"止損")</f>
        <v/>
      </c>
      <c r="F5" s="2">
        <f>COUNTIFS(交易明細!$J$2:$J$174,"時間出場")</f>
        <v/>
      </c>
      <c r="G5" s="2">
        <f>COUNTIFS(交易明細!$J$2:$J$174,"未平倉")</f>
        <v/>
      </c>
      <c r="H5" s="4">
        <f>IFERROR(D5/C5,0)</f>
        <v/>
      </c>
      <c r="I5" s="4">
        <f>IFERROR(AVERAGEIFS(交易明細!$AC$2:$AC$174,交易明細!$J$2:$J$174,"&lt;&gt;未平倉"),參數!$B$16)</f>
        <v/>
      </c>
      <c r="J5" s="4">
        <f>IFERROR(AVERAGEIFS(交易明細!$L$2:$L$174,交易明細!$J$2:$J$174,"&lt;&gt;未平倉"),0)</f>
        <v/>
      </c>
      <c r="K5" s="4">
        <f>SUMIFS(交易明細!$L$2:$L$174,交易明細!$J$2:$J$174,"&lt;&gt;未平倉")</f>
        <v/>
      </c>
      <c r="L5" s="5">
        <f>IFERROR(AVERAGEIFS(交易明細!$K$2:$K$174,交易明細!$J$2:$J$174,"&lt;&gt;未平倉"),0)</f>
        <v/>
      </c>
      <c r="M5" s="5">
        <f>IFERROR(AVERAGEIFS(交易明細!$K$2:$K$174,交易明細!$J$2:$J$174,"止盈"),0)</f>
        <v/>
      </c>
      <c r="N5" s="5">
        <f>IFERROR(AVERAGEIFS(交易明細!$K$2:$K$174,交易明細!$J$2:$J$174,"止損"),0)</f>
        <v/>
      </c>
      <c r="O5" s="4">
        <f>IFERROR(AVERAGEIFS(交易明細!$L$2:$L$174,交易明細!$J$2:$J$174,"時間出場"),0)</f>
        <v/>
      </c>
      <c r="P5" s="4">
        <f>IFERROR(COUNTIFS(交易明細!$J$2:$J$174,"&lt;&gt;未平倉",交易明細!$L$2:$L$174,"&gt;0")/C5,0)</f>
        <v/>
      </c>
    </row>
    <row r="6">
      <c r="A6" s="2" t="inlineStr">
        <is>
          <t>做多</t>
        </is>
      </c>
      <c r="B6" s="2">
        <f>COUNTIFS(交易明細!$C$2:$C$174,"做多",交易明細!$B$2:$B$174,"&lt;&gt;")</f>
        <v/>
      </c>
      <c r="C6" s="2">
        <f>D6+E6+F6</f>
        <v/>
      </c>
      <c r="D6" s="2">
        <f>COUNTIFS(交易明細!$C$2:$C$174,"做多",交易明細!$J$2:$J$174,"止盈")</f>
        <v/>
      </c>
      <c r="E6" s="2">
        <f>COUNTIFS(交易明細!$C$2:$C$174,"做多",交易明細!$J$2:$J$174,"止損")</f>
        <v/>
      </c>
      <c r="F6" s="2">
        <f>COUNTIFS(交易明細!$C$2:$C$174,"做多",交易明細!$J$2:$J$174,"時間出場")</f>
        <v/>
      </c>
      <c r="G6" s="2">
        <f>COUNTIFS(交易明細!$C$2:$C$174,"做多",交易明細!$J$2:$J$174,"未平倉")</f>
        <v/>
      </c>
      <c r="H6" s="4">
        <f>IFERROR(D6/C6,0)</f>
        <v/>
      </c>
      <c r="I6" s="4">
        <f>IFERROR(AVERAGEIFS(交易明細!$AC$2:$AC$174,交易明細!$C$2:$C$174,"做多",交易明細!$J$2:$J$174,"&lt;&gt;未平倉"),參數!$B$16)</f>
        <v/>
      </c>
      <c r="J6" s="4">
        <f>IFERROR(AVERAGEIFS(交易明細!$L$2:$L$174,交易明細!$C$2:$C$174,"做多",交易明細!$J$2:$J$174,"&lt;&gt;未平倉"),0)</f>
        <v/>
      </c>
      <c r="K6" s="4">
        <f>SUMIFS(交易明細!$L$2:$L$174,交易明細!$C$2:$C$174,"做多",交易明細!$J$2:$J$174,"&lt;&gt;未平倉")</f>
        <v/>
      </c>
      <c r="L6" s="5">
        <f>IFERROR(AVERAGEIFS(交易明細!$K$2:$K$174,交易明細!$C$2:$C$174,"做多",交易明細!$J$2:$J$174,"&lt;&gt;未平倉"),0)</f>
        <v/>
      </c>
      <c r="M6" s="5">
        <f>IFERROR(AVERAGEIFS(交易明細!$K$2:$K$174,交易明細!$C$2:$C$174,"做多",交易明細!$J$2:$J$174,"止盈"),0)</f>
        <v/>
      </c>
      <c r="N6" s="5">
        <f>IFERROR(AVERAGEIFS(交易明細!$K$2:$K$174,交易明細!$C$2:$C$174,"做多",交易明細!$J$2:$J$174,"止損"),0)</f>
        <v/>
      </c>
      <c r="O6" s="4">
        <f>IFERROR(AVERAGEIFS(交易明細!$L$2:$L$174,交易明細!$C$2:$C$174,"做多",交易明細!$J$2:$J$174,"時間出場"),0)</f>
        <v/>
      </c>
      <c r="P6" s="4">
        <f>IFERROR(COUNTIFS(交易明細!$C$2:$C$174,"做多",交易明細!$J$2:$J$174,"&lt;&gt;未平倉",交易明細!$L$2:$L$174,"&gt;0")/C6,0)</f>
        <v/>
      </c>
    </row>
    <row r="7">
      <c r="A7" s="2" t="inlineStr">
        <is>
          <t>做空</t>
        </is>
      </c>
      <c r="B7" s="2">
        <f>COUNTIFS(交易明細!$C$2:$C$174,"做空",交易明細!$B$2:$B$174,"&lt;&gt;")</f>
        <v/>
      </c>
      <c r="C7" s="2">
        <f>D7+E7+F7</f>
        <v/>
      </c>
      <c r="D7" s="2">
        <f>COUNTIFS(交易明細!$C$2:$C$174,"做空",交易明細!$J$2:$J$174,"止盈")</f>
        <v/>
      </c>
      <c r="E7" s="2">
        <f>COUNTIFS(交易明細!$C$2:$C$174,"做空",交易明細!$J$2:$J$174,"止損")</f>
        <v/>
      </c>
      <c r="F7" s="2">
        <f>COUNTIFS(交易明細!$C$2:$C$174,"做空",交易明細!$J$2:$J$174,"時間出場")</f>
        <v/>
      </c>
      <c r="G7" s="2">
        <f>COUNTIFS(交易明細!$C$2:$C$174,"做空",交易明細!$J$2:$J$174,"未平倉")</f>
        <v/>
      </c>
      <c r="H7" s="4">
        <f>IFERROR(D7/C7,0)</f>
        <v/>
      </c>
      <c r="I7" s="4">
        <f>IFERROR(AVERAGEIFS(交易明細!$AC$2:$AC$174,交易明細!$C$2:$C$174,"做空",交易明細!$J$2:$J$174,"&lt;&gt;未平倉"),參數!$B$16)</f>
        <v/>
      </c>
      <c r="J7" s="4">
        <f>IFERROR(AVERAGEIFS(交易明細!$L$2:$L$174,交易明細!$C$2:$C$174,"做空",交易明細!$J$2:$J$174,"&lt;&gt;未平倉"),0)</f>
        <v/>
      </c>
      <c r="K7" s="4">
        <f>SUMIFS(交易明細!$L$2:$L$174,交易明細!$C$2:$C$174,"做空",交易明細!$J$2:$J$174,"&lt;&gt;未平倉")</f>
        <v/>
      </c>
      <c r="L7" s="5">
        <f>IFERROR(AVERAGEIFS(交易明細!$K$2:$K$174,交易明細!$C$2:$C$174,"做空",交易明細!$J$2:$J$174,"&lt;&gt;未平倉"),0)</f>
        <v/>
      </c>
      <c r="M7" s="5">
        <f>IFERROR(AVERAGEIFS(交易明細!$K$2:$K$174,交易明細!$C$2:$C$174,"做空",交易明細!$J$2:$J$174,"止盈"),0)</f>
        <v/>
      </c>
      <c r="N7" s="5">
        <f>IFERROR(AVERAGEIFS(交易明細!$K$2:$K$174,交易明細!$C$2:$C$174,"做空",交易明細!$J$2:$J$174,"止損"),0)</f>
        <v/>
      </c>
      <c r="O7" s="4">
        <f>IFERROR(AVERAGEIFS(交易明細!$L$2:$L$174,交易明細!$C$2:$C$174,"做空",交易明細!$J$2:$J$174,"時間出場"),0)</f>
        <v/>
      </c>
      <c r="P7" s="4">
        <f>IFERROR(COUNTIFS(交易明細!$C$2:$C$174,"做空",交易明細!$J$2:$J$174,"&lt;&gt;未平倉",交易明細!$L$2:$L$174,"&gt;0")/C7,0)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46300.1536875926</v>
      </c>
      <c r="B2" s="7" t="n">
        <v>46300.15277777778</v>
      </c>
      <c r="C2" s="2" t="n">
        <v>435</v>
      </c>
      <c r="D2" s="2" t="n">
        <v>0</v>
      </c>
      <c r="E2" s="2" t="n">
        <v>0</v>
      </c>
      <c r="F2" s="2" t="n">
        <v>0</v>
      </c>
      <c r="G2" s="2" t="n">
        <v>149.8</v>
      </c>
    </row>
    <row r="3">
      <c r="A3" s="7" t="n">
        <v>46299.97588962963</v>
      </c>
      <c r="B3" s="7" t="n">
        <v>46299.975</v>
      </c>
      <c r="C3" s="2" t="n">
        <v>435</v>
      </c>
      <c r="D3" s="2" t="n">
        <v>1</v>
      </c>
      <c r="E3" s="2" t="n">
        <v>1</v>
      </c>
      <c r="F3" s="2" t="n">
        <v>0</v>
      </c>
      <c r="G3" s="2" t="n">
        <v>191.9</v>
      </c>
    </row>
    <row r="4">
      <c r="A4" s="7" t="n">
        <v>46299.90213123843</v>
      </c>
      <c r="B4" s="7" t="n">
        <v>46299.90138888889</v>
      </c>
      <c r="C4" s="2" t="n">
        <v>435</v>
      </c>
      <c r="D4" s="2" t="n">
        <v>0</v>
      </c>
      <c r="E4" s="2" t="n">
        <v>0</v>
      </c>
      <c r="F4" s="2" t="n">
        <v>0</v>
      </c>
      <c r="G4" s="2" t="n">
        <v>188.2</v>
      </c>
    </row>
    <row r="5">
      <c r="A5" s="7" t="n">
        <v>46299.74574608796</v>
      </c>
      <c r="B5" s="7" t="n">
        <v>46299.74444444444</v>
      </c>
      <c r="C5" s="2" t="n">
        <v>435</v>
      </c>
      <c r="D5" s="2" t="n">
        <v>2</v>
      </c>
      <c r="E5" s="2" t="n">
        <v>2</v>
      </c>
      <c r="F5" s="2" t="n">
        <v>1</v>
      </c>
      <c r="G5" s="2" t="n">
        <v>187.4</v>
      </c>
    </row>
    <row r="6">
      <c r="A6" s="7" t="n">
        <v>46299.48719824074</v>
      </c>
      <c r="B6" s="7" t="n">
        <v>46299.48611111111</v>
      </c>
      <c r="C6" s="2" t="n">
        <v>435</v>
      </c>
      <c r="D6" s="2" t="n">
        <v>0</v>
      </c>
      <c r="E6" s="2" t="n">
        <v>0</v>
      </c>
      <c r="F6" s="2" t="n">
        <v>1</v>
      </c>
      <c r="G6" s="2" t="n">
        <v>184.7</v>
      </c>
    </row>
    <row r="7">
      <c r="A7" s="7" t="n">
        <v>46299.44683753472</v>
      </c>
      <c r="B7" s="7" t="n">
        <v>46299.44583333333</v>
      </c>
      <c r="C7" s="2" t="n">
        <v>435</v>
      </c>
      <c r="D7" s="2" t="n">
        <v>0</v>
      </c>
      <c r="E7" s="2" t="n">
        <v>0</v>
      </c>
      <c r="F7" s="2" t="n">
        <v>1</v>
      </c>
      <c r="G7" s="2" t="n">
        <v>189.6</v>
      </c>
    </row>
    <row r="8">
      <c r="A8" s="7" t="n">
        <v>46299.29732329861</v>
      </c>
      <c r="B8" s="7" t="n">
        <v>46299.29652777778</v>
      </c>
      <c r="C8" s="2" t="n">
        <v>435</v>
      </c>
      <c r="D8" s="2" t="n">
        <v>0</v>
      </c>
      <c r="E8" s="2" t="n">
        <v>0</v>
      </c>
      <c r="F8" s="2" t="n">
        <v>1</v>
      </c>
      <c r="G8" s="2" t="n">
        <v>186.6</v>
      </c>
    </row>
    <row r="9">
      <c r="A9" s="7" t="n">
        <v>46299.16534118055</v>
      </c>
      <c r="B9" s="7" t="n">
        <v>46299.16458333333</v>
      </c>
      <c r="C9" s="2" t="n">
        <v>435</v>
      </c>
      <c r="D9" s="2" t="n">
        <v>0</v>
      </c>
      <c r="E9" s="2" t="n">
        <v>1</v>
      </c>
      <c r="F9" s="2" t="n">
        <v>1</v>
      </c>
      <c r="G9" s="2" t="n">
        <v>160.2</v>
      </c>
    </row>
    <row r="10">
      <c r="A10" s="7" t="n">
        <v>46299.01924309028</v>
      </c>
      <c r="B10" s="7" t="n">
        <v>46299.01805555556</v>
      </c>
      <c r="C10" s="2" t="n">
        <v>435</v>
      </c>
      <c r="D10" s="2" t="n">
        <v>2</v>
      </c>
      <c r="E10" s="2" t="n">
        <v>1</v>
      </c>
      <c r="F10" s="2" t="n">
        <v>1</v>
      </c>
      <c r="G10" s="2" t="n">
        <v>194</v>
      </c>
    </row>
    <row r="11">
      <c r="A11" s="7" t="n">
        <v>46298.82413289352</v>
      </c>
      <c r="B11" s="7" t="n">
        <v>46298.82291666666</v>
      </c>
      <c r="C11" s="2" t="n">
        <v>435</v>
      </c>
      <c r="D11" s="2" t="n">
        <v>0</v>
      </c>
      <c r="E11" s="2" t="n">
        <v>0</v>
      </c>
      <c r="F11" s="2" t="n">
        <v>1</v>
      </c>
      <c r="G11" s="2" t="n">
        <v>180.1</v>
      </c>
    </row>
    <row r="12">
      <c r="A12" s="7" t="n">
        <v>46298.64104893518</v>
      </c>
      <c r="B12" s="7" t="n">
        <v>46298.64027777778</v>
      </c>
      <c r="C12" s="2" t="n">
        <v>435</v>
      </c>
      <c r="D12" s="2" t="n">
        <v>0</v>
      </c>
      <c r="E12" s="2" t="n">
        <v>0</v>
      </c>
      <c r="F12" s="2" t="n">
        <v>1</v>
      </c>
      <c r="G12" s="2" t="n">
        <v>180.1</v>
      </c>
    </row>
    <row r="13">
      <c r="A13" s="7" t="n">
        <v>46298.55905060185</v>
      </c>
      <c r="B13" s="7" t="n">
        <v>46298.55833333333</v>
      </c>
      <c r="C13" s="2" t="n">
        <v>435</v>
      </c>
      <c r="D13" s="2" t="n">
        <v>0</v>
      </c>
      <c r="E13" s="2" t="n">
        <v>0</v>
      </c>
      <c r="F13" s="2" t="n">
        <v>1</v>
      </c>
      <c r="G13" s="2" t="n">
        <v>159.7</v>
      </c>
    </row>
    <row r="14">
      <c r="A14" s="7" t="n">
        <v>46298.32651334491</v>
      </c>
      <c r="B14" s="7" t="n">
        <v>46298.32569444444</v>
      </c>
      <c r="C14" s="2" t="n">
        <v>435</v>
      </c>
      <c r="D14" s="2" t="n">
        <v>0</v>
      </c>
      <c r="E14" s="2" t="n">
        <v>0</v>
      </c>
      <c r="F14" s="2" t="n">
        <v>2</v>
      </c>
      <c r="G14" s="2" t="n">
        <v>189.1</v>
      </c>
    </row>
    <row r="15">
      <c r="A15" s="7" t="n">
        <v>46298.14088650463</v>
      </c>
      <c r="B15" s="7" t="n">
        <v>46298.13958333333</v>
      </c>
      <c r="C15" s="2" t="n">
        <v>435</v>
      </c>
      <c r="D15" s="2" t="n">
        <v>0</v>
      </c>
      <c r="E15" s="2" t="n">
        <v>0</v>
      </c>
      <c r="F15" s="2" t="n">
        <v>2</v>
      </c>
      <c r="G15" s="2" t="n">
        <v>195.5</v>
      </c>
    </row>
    <row r="16">
      <c r="A16" s="7" t="n">
        <v>46298.00826386574</v>
      </c>
      <c r="B16" s="7" t="n">
        <v>46298.00694444445</v>
      </c>
      <c r="C16" s="2" t="n">
        <v>435</v>
      </c>
      <c r="D16" s="2" t="n">
        <v>0</v>
      </c>
      <c r="E16" s="2" t="n">
        <v>0</v>
      </c>
      <c r="F16" s="2" t="n">
        <v>2</v>
      </c>
      <c r="G16" s="2" t="n">
        <v>190.7</v>
      </c>
    </row>
    <row r="17">
      <c r="A17" s="7" t="n">
        <v>46297.91349550926</v>
      </c>
      <c r="B17" s="7" t="n">
        <v>46297.9125</v>
      </c>
      <c r="C17" s="2" t="n">
        <v>435</v>
      </c>
      <c r="D17" s="2" t="n">
        <v>0</v>
      </c>
      <c r="E17" s="2" t="n">
        <v>0</v>
      </c>
      <c r="F17" s="2" t="n">
        <v>3</v>
      </c>
      <c r="G17" s="2" t="n">
        <v>179.2</v>
      </c>
    </row>
    <row r="18">
      <c r="A18" s="7" t="n">
        <v>46297.90064986111</v>
      </c>
      <c r="B18" s="7" t="n">
        <v>46297.89930555555</v>
      </c>
      <c r="C18" s="2" t="n">
        <v>435</v>
      </c>
      <c r="D18" s="2" t="n">
        <v>0</v>
      </c>
      <c r="E18" s="2" t="n">
        <v>0</v>
      </c>
      <c r="F18" s="2" t="n">
        <v>3</v>
      </c>
      <c r="G18" s="2" t="n">
        <v>180.1</v>
      </c>
    </row>
    <row r="19">
      <c r="A19" s="7" t="n">
        <v>46297.75623421296</v>
      </c>
      <c r="B19" s="7" t="n">
        <v>46297.75486111111</v>
      </c>
      <c r="C19" s="2" t="n">
        <v>435</v>
      </c>
      <c r="D19" s="2" t="n">
        <v>0</v>
      </c>
      <c r="E19" s="2" t="n">
        <v>0</v>
      </c>
      <c r="F19" s="2" t="n">
        <v>3</v>
      </c>
      <c r="G19" s="2" t="n">
        <v>199.1</v>
      </c>
    </row>
    <row r="20">
      <c r="A20" s="7" t="n">
        <v>46297.70907445602</v>
      </c>
      <c r="B20" s="7" t="n">
        <v>46297.70833333334</v>
      </c>
      <c r="C20" s="2" t="n">
        <v>435</v>
      </c>
      <c r="D20" s="2" t="n">
        <v>1</v>
      </c>
      <c r="E20" s="2" t="n">
        <v>1</v>
      </c>
      <c r="F20" s="2" t="n">
        <v>3</v>
      </c>
      <c r="G20" s="2" t="n">
        <v>148.2</v>
      </c>
    </row>
    <row r="21">
      <c r="A21" s="7" t="n">
        <v>46297.62748648148</v>
      </c>
      <c r="B21" s="7" t="n">
        <v>46297.62638888889</v>
      </c>
      <c r="C21" s="2" t="n">
        <v>435</v>
      </c>
      <c r="D21" s="2" t="n">
        <v>0</v>
      </c>
      <c r="E21" s="2" t="n">
        <v>0</v>
      </c>
      <c r="F21" s="2" t="n">
        <v>3</v>
      </c>
      <c r="G21" s="2" t="n">
        <v>188.8</v>
      </c>
    </row>
    <row r="22">
      <c r="A22" s="7" t="n">
        <v>46297.59146636574</v>
      </c>
      <c r="B22" s="7" t="n">
        <v>46297.59027777778</v>
      </c>
      <c r="C22" s="2" t="n">
        <v>435</v>
      </c>
      <c r="D22" s="2" t="n">
        <v>0</v>
      </c>
      <c r="E22" s="2" t="n">
        <v>0</v>
      </c>
      <c r="F22" s="2" t="n">
        <v>3</v>
      </c>
      <c r="G22" s="2" t="n">
        <v>188.7</v>
      </c>
    </row>
    <row r="23">
      <c r="A23" s="7" t="n">
        <v>46297.47377153935</v>
      </c>
      <c r="B23" s="7" t="n">
        <v>46297.47291666667</v>
      </c>
      <c r="C23" s="2" t="n">
        <v>435</v>
      </c>
      <c r="D23" s="2" t="n">
        <v>0</v>
      </c>
      <c r="E23" s="2" t="n">
        <v>0</v>
      </c>
      <c r="F23" s="2" t="n">
        <v>4</v>
      </c>
      <c r="G23" s="2" t="n">
        <v>159.9</v>
      </c>
    </row>
    <row r="24">
      <c r="A24" s="7" t="n">
        <v>46297.43863659722</v>
      </c>
      <c r="B24" s="7" t="n">
        <v>46297.4375</v>
      </c>
      <c r="C24" s="2" t="n">
        <v>435</v>
      </c>
      <c r="D24" s="2" t="n">
        <v>0</v>
      </c>
      <c r="E24" s="2" t="n">
        <v>0</v>
      </c>
      <c r="F24" s="2" t="n">
        <v>4</v>
      </c>
      <c r="G24" s="2" t="n">
        <v>181.3</v>
      </c>
    </row>
    <row r="25">
      <c r="A25" s="7" t="n">
        <v>46297.36902693287</v>
      </c>
      <c r="B25" s="7" t="n">
        <v>46297.36805555555</v>
      </c>
      <c r="C25" s="2" t="n">
        <v>434</v>
      </c>
      <c r="D25" s="2" t="n">
        <v>0</v>
      </c>
      <c r="E25" s="2" t="n">
        <v>0</v>
      </c>
      <c r="F25" s="2" t="n">
        <v>1</v>
      </c>
      <c r="G25" s="2" t="n">
        <v>191.7</v>
      </c>
    </row>
    <row r="26">
      <c r="A26" s="7" t="n">
        <v>46297.34984872685</v>
      </c>
      <c r="B26" s="7" t="n">
        <v>46297.34861111111</v>
      </c>
      <c r="C26" s="2" t="n">
        <v>434</v>
      </c>
      <c r="D26" s="2" t="n">
        <v>0</v>
      </c>
      <c r="E26" s="2" t="n">
        <v>0</v>
      </c>
      <c r="F26" s="2" t="n">
        <v>1</v>
      </c>
      <c r="G26" s="2" t="n">
        <v>185.3</v>
      </c>
    </row>
    <row r="27">
      <c r="A27" s="7" t="n">
        <v>46297.18230064815</v>
      </c>
      <c r="B27" s="7" t="n">
        <v>46297.18125</v>
      </c>
      <c r="C27" s="2" t="n">
        <v>434</v>
      </c>
      <c r="D27" s="2" t="n">
        <v>1</v>
      </c>
      <c r="E27" s="2" t="n">
        <v>1</v>
      </c>
      <c r="F27" s="2" t="n">
        <v>1</v>
      </c>
      <c r="G27" s="2" t="n">
        <v>159.5</v>
      </c>
    </row>
    <row r="28">
      <c r="A28" s="7" t="n">
        <v>46297.01546863426</v>
      </c>
      <c r="B28" s="7" t="n">
        <v>46297.01458333333</v>
      </c>
      <c r="C28" s="2" t="n">
        <v>434</v>
      </c>
      <c r="D28" s="2" t="n">
        <v>0</v>
      </c>
      <c r="E28" s="2" t="n">
        <v>0</v>
      </c>
      <c r="F28" s="2" t="n">
        <v>2</v>
      </c>
      <c r="G28" s="2" t="n">
        <v>179.4</v>
      </c>
    </row>
    <row r="29">
      <c r="A29" s="7" t="n">
        <v>46296.99918069445</v>
      </c>
      <c r="B29" s="7" t="n">
        <v>46296.99791666667</v>
      </c>
      <c r="C29" s="2" t="n">
        <v>434</v>
      </c>
      <c r="D29" s="2" t="n">
        <v>0</v>
      </c>
      <c r="E29" s="2" t="n">
        <v>0</v>
      </c>
      <c r="F29" s="2" t="n">
        <v>2</v>
      </c>
      <c r="G29" s="2" t="n">
        <v>167.2</v>
      </c>
    </row>
    <row r="30">
      <c r="A30" s="7" t="n">
        <v>46296.94003458333</v>
      </c>
      <c r="B30" s="7" t="n">
        <v>46296.93888888889</v>
      </c>
      <c r="C30" s="2" t="n">
        <v>434</v>
      </c>
      <c r="D30" s="2" t="n">
        <v>0</v>
      </c>
      <c r="E30" s="2" t="n">
        <v>0</v>
      </c>
      <c r="F30" s="2" t="n">
        <v>2</v>
      </c>
      <c r="G30" s="2" t="n">
        <v>189.5</v>
      </c>
    </row>
    <row r="31">
      <c r="A31" s="7" t="n">
        <v>46296.7419153125</v>
      </c>
      <c r="B31" s="7" t="n">
        <v>46296.74097222222</v>
      </c>
      <c r="C31" s="2" t="n">
        <v>434</v>
      </c>
      <c r="D31" s="2" t="n">
        <v>0</v>
      </c>
      <c r="E31" s="2" t="n">
        <v>0</v>
      </c>
      <c r="F31" s="2" t="n">
        <v>2</v>
      </c>
      <c r="G31" s="2" t="n">
        <v>150</v>
      </c>
    </row>
    <row r="32">
      <c r="A32" s="7" t="n">
        <v>46296.63539230324</v>
      </c>
      <c r="B32" s="7" t="n">
        <v>46296.63402777778</v>
      </c>
      <c r="C32" s="2" t="n">
        <v>434</v>
      </c>
      <c r="D32" s="2" t="n">
        <v>0</v>
      </c>
      <c r="E32" s="2" t="n">
        <v>0</v>
      </c>
      <c r="F32" s="2" t="n">
        <v>2</v>
      </c>
      <c r="G32" s="2" t="n">
        <v>195</v>
      </c>
    </row>
    <row r="33">
      <c r="A33" s="7" t="n">
        <v>46296.6196469213</v>
      </c>
      <c r="B33" s="7" t="n">
        <v>46296.61875</v>
      </c>
      <c r="C33" s="2" t="n">
        <v>434</v>
      </c>
      <c r="D33" s="2" t="n">
        <v>0</v>
      </c>
      <c r="E33" s="2" t="n">
        <v>0</v>
      </c>
      <c r="F33" s="2" t="n">
        <v>2</v>
      </c>
      <c r="G33" s="2" t="n">
        <v>190.6</v>
      </c>
    </row>
    <row r="34">
      <c r="A34" s="7" t="n">
        <v>46296.55481784722</v>
      </c>
      <c r="B34" s="7" t="n">
        <v>46296.55347222222</v>
      </c>
      <c r="C34" s="2" t="n">
        <v>434</v>
      </c>
      <c r="D34" s="2" t="n">
        <v>0</v>
      </c>
      <c r="E34" s="2" t="n">
        <v>0</v>
      </c>
      <c r="F34" s="2" t="n">
        <v>2</v>
      </c>
      <c r="G34" s="2" t="n">
        <v>189.9</v>
      </c>
    </row>
    <row r="35">
      <c r="A35" s="7" t="n">
        <v>46296.49238505787</v>
      </c>
      <c r="B35" s="7" t="n">
        <v>46296.49166666667</v>
      </c>
      <c r="C35" s="2" t="n">
        <v>434</v>
      </c>
      <c r="D35" s="2" t="n">
        <v>0</v>
      </c>
      <c r="E35" s="2" t="n">
        <v>0</v>
      </c>
      <c r="F35" s="2" t="n">
        <v>3</v>
      </c>
      <c r="G35" s="2" t="n">
        <v>189.7</v>
      </c>
    </row>
    <row r="36">
      <c r="A36" s="7" t="n">
        <v>46296.35809899306</v>
      </c>
      <c r="B36" s="7" t="n">
        <v>46296.35694444444</v>
      </c>
      <c r="C36" s="2" t="n">
        <v>434</v>
      </c>
      <c r="D36" s="2" t="n">
        <v>0</v>
      </c>
      <c r="E36" s="2" t="n">
        <v>0</v>
      </c>
      <c r="F36" s="2" t="n">
        <v>3</v>
      </c>
      <c r="G36" s="2" t="n">
        <v>152.4</v>
      </c>
    </row>
    <row r="37">
      <c r="A37" s="7" t="n">
        <v>46296.20216918981</v>
      </c>
      <c r="B37" s="7" t="n">
        <v>46296.20138888889</v>
      </c>
      <c r="C37" s="2" t="n">
        <v>434</v>
      </c>
      <c r="D37" s="2" t="n">
        <v>1</v>
      </c>
      <c r="E37" s="2" t="n">
        <v>1</v>
      </c>
      <c r="F37" s="2" t="n">
        <v>3</v>
      </c>
      <c r="G37" s="2" t="n">
        <v>180</v>
      </c>
    </row>
    <row r="38">
      <c r="A38" s="7" t="n">
        <v>46295.99840958334</v>
      </c>
      <c r="B38" s="7" t="n">
        <v>46295.99722222222</v>
      </c>
      <c r="C38" s="2" t="n">
        <v>434</v>
      </c>
      <c r="D38" s="2" t="n">
        <v>0</v>
      </c>
      <c r="E38" s="2" t="n">
        <v>0</v>
      </c>
      <c r="F38" s="2" t="n">
        <v>3</v>
      </c>
      <c r="G38" s="2" t="n">
        <v>187.6</v>
      </c>
    </row>
    <row r="39">
      <c r="A39" s="7" t="n">
        <v>46295.94423819445</v>
      </c>
      <c r="B39" s="7" t="n">
        <v>46295.94305555556</v>
      </c>
      <c r="C39" s="2" t="n">
        <v>434</v>
      </c>
      <c r="D39" s="2" t="n">
        <v>0</v>
      </c>
      <c r="E39" s="2" t="n">
        <v>0</v>
      </c>
      <c r="F39" s="2" t="n">
        <v>3</v>
      </c>
      <c r="G39" s="2" t="n">
        <v>150.7</v>
      </c>
    </row>
    <row r="40">
      <c r="A40" s="7" t="n">
        <v>46295.91675143519</v>
      </c>
      <c r="B40" s="7" t="n">
        <v>46295.91597222222</v>
      </c>
      <c r="C40" s="2" t="n">
        <v>434</v>
      </c>
      <c r="D40" s="2" t="n">
        <v>0</v>
      </c>
      <c r="E40" s="2" t="n">
        <v>1</v>
      </c>
      <c r="F40" s="2" t="n">
        <v>3</v>
      </c>
      <c r="G40" s="2" t="n">
        <v>189.9</v>
      </c>
    </row>
    <row r="41">
      <c r="A41" s="7" t="n">
        <v>46295.87897131944</v>
      </c>
      <c r="B41" s="7" t="n">
        <v>46295.87777777778</v>
      </c>
      <c r="C41" s="2" t="n">
        <v>434</v>
      </c>
      <c r="D41" s="2" t="n">
        <v>1</v>
      </c>
      <c r="E41" s="2" t="n">
        <v>0</v>
      </c>
      <c r="F41" s="2" t="n">
        <v>3</v>
      </c>
      <c r="G41" s="2" t="n">
        <v>187.8</v>
      </c>
    </row>
    <row r="42">
      <c r="A42" s="7" t="n">
        <v>46295.84232043981</v>
      </c>
      <c r="B42" s="7" t="n">
        <v>46295.84097222222</v>
      </c>
      <c r="C42" s="2" t="n">
        <v>434</v>
      </c>
      <c r="D42" s="2" t="n">
        <v>1</v>
      </c>
      <c r="E42" s="2" t="n">
        <v>1</v>
      </c>
      <c r="F42" s="2" t="n">
        <v>3</v>
      </c>
      <c r="G42" s="2" t="n">
        <v>147.8</v>
      </c>
    </row>
    <row r="43">
      <c r="A43" s="7" t="n">
        <v>46295.76311292824</v>
      </c>
      <c r="B43" s="7" t="n">
        <v>46295.76180555556</v>
      </c>
      <c r="C43" s="2" t="n">
        <v>434</v>
      </c>
      <c r="D43" s="2" t="n">
        <v>1</v>
      </c>
      <c r="E43" s="2" t="n">
        <v>1</v>
      </c>
      <c r="F43" s="2" t="n">
        <v>3</v>
      </c>
      <c r="G43" s="2" t="n">
        <v>188</v>
      </c>
    </row>
    <row r="44">
      <c r="A44" s="7" t="n">
        <v>46295.71942712963</v>
      </c>
      <c r="B44" s="7" t="n">
        <v>46295.71805555555</v>
      </c>
      <c r="C44" s="2" t="n">
        <v>434</v>
      </c>
      <c r="D44" s="2" t="n">
        <v>0</v>
      </c>
      <c r="E44" s="2" t="n">
        <v>0</v>
      </c>
      <c r="F44" s="2" t="n">
        <v>3</v>
      </c>
      <c r="G44" s="2" t="n">
        <v>163.9</v>
      </c>
    </row>
    <row r="45">
      <c r="A45" s="7" t="n">
        <v>46295.69435030092</v>
      </c>
      <c r="B45" s="7" t="n">
        <v>46295.69305555556</v>
      </c>
      <c r="C45" s="2" t="n">
        <v>434</v>
      </c>
      <c r="D45" s="2" t="n">
        <v>0</v>
      </c>
      <c r="E45" s="2" t="n">
        <v>0</v>
      </c>
      <c r="F45" s="2" t="n">
        <v>3</v>
      </c>
      <c r="G45" s="2" t="n">
        <v>141.1</v>
      </c>
    </row>
    <row r="46">
      <c r="A46" s="7" t="n">
        <v>46295.5782999537</v>
      </c>
      <c r="B46" s="7" t="n">
        <v>46295.57708333333</v>
      </c>
      <c r="C46" s="2" t="n">
        <v>434</v>
      </c>
      <c r="D46" s="2" t="n">
        <v>0</v>
      </c>
      <c r="E46" s="2" t="n">
        <v>0</v>
      </c>
      <c r="F46" s="2" t="n">
        <v>5</v>
      </c>
      <c r="G46" s="2" t="n">
        <v>191.3</v>
      </c>
    </row>
    <row r="47">
      <c r="A47" s="7" t="n">
        <v>46295.51228863426</v>
      </c>
      <c r="B47" s="7" t="n">
        <v>46295.51111111111</v>
      </c>
      <c r="C47" s="2" t="n">
        <v>434</v>
      </c>
      <c r="D47" s="2" t="n">
        <v>0</v>
      </c>
      <c r="E47" s="2" t="n">
        <v>0</v>
      </c>
      <c r="F47" s="2" t="n">
        <v>5</v>
      </c>
      <c r="G47" s="2" t="n">
        <v>188.8</v>
      </c>
    </row>
    <row r="48">
      <c r="A48" s="7" t="n">
        <v>46295.44308225694</v>
      </c>
      <c r="B48" s="7" t="n">
        <v>46295.44236111111</v>
      </c>
      <c r="C48" s="2" t="n">
        <v>433</v>
      </c>
      <c r="D48" s="2" t="n">
        <v>0</v>
      </c>
      <c r="E48" s="2" t="n">
        <v>0</v>
      </c>
      <c r="F48" s="2" t="n">
        <v>2</v>
      </c>
      <c r="G48" s="2" t="n">
        <v>167.1</v>
      </c>
    </row>
    <row r="49">
      <c r="A49" s="7" t="n">
        <v>46295.42368403935</v>
      </c>
      <c r="B49" s="7" t="n">
        <v>46295.42291666667</v>
      </c>
      <c r="C49" s="2" t="n">
        <v>433</v>
      </c>
      <c r="D49" s="2" t="n">
        <v>0</v>
      </c>
      <c r="E49" s="2" t="n">
        <v>0</v>
      </c>
      <c r="F49" s="2" t="n">
        <v>2</v>
      </c>
      <c r="G49" s="2" t="n">
        <v>150.9</v>
      </c>
    </row>
    <row r="50">
      <c r="A50" s="7" t="n">
        <v>46295.29174006944</v>
      </c>
      <c r="B50" s="7" t="n">
        <v>46295.29097222222</v>
      </c>
      <c r="C50" s="2" t="n">
        <v>433</v>
      </c>
      <c r="D50" s="2" t="n">
        <v>0</v>
      </c>
      <c r="E50" s="2" t="n">
        <v>0</v>
      </c>
      <c r="F50" s="2" t="n">
        <v>2</v>
      </c>
      <c r="G50" s="2" t="n">
        <v>191.4</v>
      </c>
    </row>
    <row r="51">
      <c r="A51" s="7" t="n">
        <v>46295.11156024306</v>
      </c>
      <c r="B51" s="7" t="n">
        <v>46295.11041666667</v>
      </c>
      <c r="C51" s="2" t="n">
        <v>433</v>
      </c>
      <c r="D51" s="2" t="n">
        <v>0</v>
      </c>
      <c r="E51" s="2" t="n">
        <v>0</v>
      </c>
      <c r="F51" s="2" t="n">
        <v>2</v>
      </c>
      <c r="G51" s="2" t="n">
        <v>185.8</v>
      </c>
    </row>
    <row r="52">
      <c r="A52" s="7" t="n">
        <v>46294.99800613426</v>
      </c>
      <c r="B52" s="7" t="n">
        <v>46294.99722222222</v>
      </c>
      <c r="C52" s="2" t="n">
        <v>433</v>
      </c>
      <c r="D52" s="2" t="n">
        <v>0</v>
      </c>
      <c r="E52" s="2" t="n">
        <v>0</v>
      </c>
      <c r="F52" s="2" t="n">
        <v>2</v>
      </c>
      <c r="G52" s="2" t="n">
        <v>153.7</v>
      </c>
    </row>
    <row r="53">
      <c r="A53" s="7" t="n">
        <v>46294.95333178241</v>
      </c>
      <c r="B53" s="7" t="n">
        <v>46294.95208333333</v>
      </c>
      <c r="C53" s="2" t="n">
        <v>433</v>
      </c>
      <c r="D53" s="2" t="n">
        <v>0</v>
      </c>
      <c r="E53" s="2" t="n">
        <v>0</v>
      </c>
      <c r="F53" s="2" t="n">
        <v>2</v>
      </c>
      <c r="G53" s="2" t="n">
        <v>177.4</v>
      </c>
    </row>
    <row r="54">
      <c r="A54" s="7" t="n">
        <v>46294.87612561342</v>
      </c>
      <c r="B54" s="7" t="n">
        <v>46294.875</v>
      </c>
      <c r="C54" s="2" t="n">
        <v>433</v>
      </c>
      <c r="D54" s="2" t="n">
        <v>0</v>
      </c>
      <c r="E54" s="2" t="n">
        <v>0</v>
      </c>
      <c r="F54" s="2" t="n">
        <v>2</v>
      </c>
      <c r="G54" s="2" t="n">
        <v>196.6</v>
      </c>
    </row>
    <row r="55">
      <c r="A55" s="7" t="n">
        <v>46294.76526767361</v>
      </c>
      <c r="B55" s="7" t="n">
        <v>46294.76388888889</v>
      </c>
      <c r="C55" s="2" t="n">
        <v>433</v>
      </c>
      <c r="D55" s="2" t="n">
        <v>0</v>
      </c>
      <c r="E55" s="2" t="n">
        <v>0</v>
      </c>
      <c r="F55" s="2" t="n">
        <v>2</v>
      </c>
      <c r="G55" s="2" t="n">
        <v>182.5</v>
      </c>
    </row>
    <row r="56">
      <c r="A56" s="7" t="n">
        <v>46294.66075324074</v>
      </c>
      <c r="B56" s="7" t="n">
        <v>46294.65972222222</v>
      </c>
      <c r="C56" s="2" t="n">
        <v>433</v>
      </c>
      <c r="D56" s="2" t="n">
        <v>0</v>
      </c>
      <c r="E56" s="2" t="n">
        <v>0</v>
      </c>
      <c r="F56" s="2" t="n">
        <v>3</v>
      </c>
      <c r="G56" s="2" t="n">
        <v>174</v>
      </c>
    </row>
    <row r="57">
      <c r="A57" s="7" t="n">
        <v>46294.57647584491</v>
      </c>
      <c r="B57" s="7" t="n">
        <v>46294.57569444444</v>
      </c>
      <c r="C57" s="2" t="n">
        <v>432</v>
      </c>
      <c r="D57" s="2" t="n">
        <v>0</v>
      </c>
      <c r="E57" s="2" t="n">
        <v>0</v>
      </c>
      <c r="F57" s="2" t="n">
        <v>0</v>
      </c>
      <c r="G57" s="2" t="n">
        <v>147.5</v>
      </c>
    </row>
    <row r="58">
      <c r="A58" s="7" t="n">
        <v>46294.46163141204</v>
      </c>
      <c r="B58" s="7" t="n">
        <v>46294.46041666667</v>
      </c>
      <c r="C58" s="2" t="n">
        <v>432</v>
      </c>
      <c r="D58" s="2" t="n">
        <v>1</v>
      </c>
      <c r="E58" s="2" t="n">
        <v>1</v>
      </c>
      <c r="F58" s="2" t="n">
        <v>0</v>
      </c>
      <c r="G58" s="2" t="n">
        <v>193.3</v>
      </c>
    </row>
    <row r="59">
      <c r="A59" s="7" t="n">
        <v>46294.30606211806</v>
      </c>
      <c r="B59" s="7" t="n">
        <v>46294.30486111111</v>
      </c>
      <c r="C59" s="2" t="n">
        <v>432</v>
      </c>
      <c r="D59" s="2" t="n">
        <v>0</v>
      </c>
      <c r="E59" s="2" t="n">
        <v>0</v>
      </c>
      <c r="F59" s="2" t="n">
        <v>0</v>
      </c>
      <c r="G59" s="2" t="n">
        <v>165.6</v>
      </c>
    </row>
    <row r="60">
      <c r="A60" s="7" t="n">
        <v>46294.07080519676</v>
      </c>
      <c r="B60" s="7" t="n">
        <v>46294.06944444445</v>
      </c>
      <c r="C60" s="2" t="n">
        <v>432</v>
      </c>
      <c r="D60" s="2" t="n">
        <v>1</v>
      </c>
      <c r="E60" s="2" t="n">
        <v>1</v>
      </c>
      <c r="F60" s="2" t="n">
        <v>0</v>
      </c>
      <c r="G60" s="2" t="n">
        <v>193.3</v>
      </c>
    </row>
    <row r="61">
      <c r="A61" s="7" t="n">
        <v>46293.99403509259</v>
      </c>
      <c r="B61" s="7" t="n">
        <v>46293.99305555555</v>
      </c>
      <c r="C61" s="2" t="n">
        <v>432</v>
      </c>
      <c r="D61" s="2" t="n">
        <v>0</v>
      </c>
      <c r="E61" s="2" t="n">
        <v>1</v>
      </c>
      <c r="F61" s="2" t="n">
        <v>0</v>
      </c>
      <c r="G61" s="2" t="n">
        <v>153.6</v>
      </c>
    </row>
    <row r="62">
      <c r="A62" s="7" t="n">
        <v>46293.9460828588</v>
      </c>
      <c r="B62" s="7" t="n">
        <v>46293.94513888889</v>
      </c>
      <c r="C62" s="2" t="n">
        <v>432</v>
      </c>
      <c r="D62" s="2" t="n">
        <v>1</v>
      </c>
      <c r="E62" s="2" t="n">
        <v>0</v>
      </c>
      <c r="F62" s="2" t="n">
        <v>0</v>
      </c>
      <c r="G62" s="2" t="n">
        <v>197.9</v>
      </c>
    </row>
    <row r="63">
      <c r="A63" s="7" t="n">
        <v>46293.85933717593</v>
      </c>
      <c r="B63" s="7" t="n">
        <v>46293.85833333333</v>
      </c>
      <c r="C63" s="2" t="n">
        <v>432</v>
      </c>
      <c r="D63" s="2" t="n">
        <v>1</v>
      </c>
      <c r="E63" s="2" t="n">
        <v>1</v>
      </c>
      <c r="F63" s="2" t="n">
        <v>0</v>
      </c>
      <c r="G63" s="2" t="n">
        <v>185</v>
      </c>
    </row>
    <row r="64">
      <c r="A64" s="7" t="n">
        <v>46293.69837709491</v>
      </c>
      <c r="B64" s="7" t="n">
        <v>46293.69722222222</v>
      </c>
      <c r="C64" s="2" t="n">
        <v>432</v>
      </c>
      <c r="D64" s="2" t="n">
        <v>0</v>
      </c>
      <c r="E64" s="2" t="n">
        <v>1</v>
      </c>
      <c r="F64" s="2" t="n">
        <v>0</v>
      </c>
      <c r="G64" s="2" t="n">
        <v>144.9</v>
      </c>
    </row>
    <row r="65">
      <c r="A65" s="7" t="n">
        <v>46293.67139270833</v>
      </c>
      <c r="B65" s="7" t="n">
        <v>46293.67013888889</v>
      </c>
      <c r="C65" s="2" t="n">
        <v>432</v>
      </c>
      <c r="D65" s="2" t="n">
        <v>1</v>
      </c>
      <c r="E65" s="2" t="n">
        <v>0</v>
      </c>
      <c r="F65" s="2" t="n">
        <v>0</v>
      </c>
      <c r="G65" s="2" t="n">
        <v>186.3</v>
      </c>
    </row>
    <row r="66">
      <c r="A66" s="7" t="n">
        <v>46293.54465268519</v>
      </c>
      <c r="B66" s="7" t="n">
        <v>46293.54375</v>
      </c>
      <c r="C66" s="2" t="n">
        <v>432</v>
      </c>
      <c r="D66" s="2" t="n">
        <v>0</v>
      </c>
      <c r="E66" s="2" t="n">
        <v>0</v>
      </c>
      <c r="F66" s="2" t="n">
        <v>0</v>
      </c>
      <c r="G66" s="2" t="n">
        <v>150</v>
      </c>
    </row>
    <row r="67">
      <c r="A67" s="7" t="n">
        <v>46293.46449744213</v>
      </c>
      <c r="B67" s="7" t="n">
        <v>46293.46319444444</v>
      </c>
      <c r="C67" s="2" t="n">
        <v>432</v>
      </c>
      <c r="D67" s="2" t="n">
        <v>0</v>
      </c>
      <c r="E67" s="2" t="n">
        <v>1</v>
      </c>
      <c r="F67" s="2" t="n">
        <v>0</v>
      </c>
      <c r="G67" s="2" t="n">
        <v>193.4</v>
      </c>
    </row>
    <row r="68">
      <c r="A68" s="7" t="n">
        <v>46293.40532865741</v>
      </c>
      <c r="B68" s="7" t="n">
        <v>46293.40416666667</v>
      </c>
      <c r="C68" s="2" t="n">
        <v>433</v>
      </c>
      <c r="D68" s="2" t="n">
        <v>1</v>
      </c>
      <c r="E68" s="2" t="n">
        <v>0</v>
      </c>
      <c r="F68" s="2" t="n">
        <v>0</v>
      </c>
      <c r="G68" s="2" t="n">
        <v>194.7</v>
      </c>
    </row>
    <row r="69">
      <c r="A69" s="7" t="n">
        <v>46293.26205886574</v>
      </c>
      <c r="B69" s="7" t="n">
        <v>46293.26111111111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178</v>
      </c>
    </row>
    <row r="70">
      <c r="A70" s="7" t="n">
        <v>46293.12570534722</v>
      </c>
      <c r="B70" s="7" t="n">
        <v>46293.125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193.1</v>
      </c>
    </row>
    <row r="71">
      <c r="A71" s="7" t="n">
        <v>46293.08172232639</v>
      </c>
      <c r="B71" s="7" t="n">
        <v>46293.08055555556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148.9</v>
      </c>
    </row>
    <row r="72">
      <c r="A72" s="7" t="n">
        <v>46292.9814453588</v>
      </c>
      <c r="B72" s="7" t="n">
        <v>46292.98055555556</v>
      </c>
      <c r="C72" s="2" t="n">
        <v>433</v>
      </c>
      <c r="D72" s="2" t="n">
        <v>0</v>
      </c>
      <c r="E72" s="2" t="n">
        <v>1</v>
      </c>
      <c r="F72" s="2" t="n">
        <v>0</v>
      </c>
      <c r="G72" s="2" t="n">
        <v>186</v>
      </c>
    </row>
    <row r="73">
      <c r="A73" s="7" t="n">
        <v>46292.9472603125</v>
      </c>
      <c r="B73" s="7" t="n">
        <v>46292.94652777778</v>
      </c>
      <c r="C73" s="2" t="n">
        <v>433</v>
      </c>
      <c r="D73" s="2" t="n">
        <v>1</v>
      </c>
      <c r="E73" s="2" t="n">
        <v>0</v>
      </c>
      <c r="F73" s="2" t="n">
        <v>0</v>
      </c>
      <c r="G73" s="2" t="n">
        <v>192.1</v>
      </c>
    </row>
    <row r="74">
      <c r="A74" s="7" t="n">
        <v>46292.919814375</v>
      </c>
      <c r="B74" s="7" t="n">
        <v>46292.91875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192.5</v>
      </c>
    </row>
    <row r="75">
      <c r="A75" s="7" t="n">
        <v>46292.81065981482</v>
      </c>
      <c r="B75" s="7" t="n">
        <v>46292.80972222222</v>
      </c>
      <c r="C75" s="2" t="n">
        <v>433</v>
      </c>
      <c r="D75" s="2" t="n">
        <v>1</v>
      </c>
      <c r="E75" s="2" t="n">
        <v>0</v>
      </c>
      <c r="F75" s="2" t="n">
        <v>0</v>
      </c>
      <c r="G75" s="2" t="n">
        <v>177.2</v>
      </c>
    </row>
    <row r="76">
      <c r="A76" s="7" t="n">
        <v>46292.73704342593</v>
      </c>
      <c r="B76" s="7" t="n">
        <v>46292.73611111111</v>
      </c>
      <c r="C76" s="2" t="n">
        <v>433</v>
      </c>
      <c r="D76" s="2" t="n">
        <v>0</v>
      </c>
      <c r="E76" s="2" t="n">
        <v>0</v>
      </c>
      <c r="F76" s="2" t="n">
        <v>0</v>
      </c>
      <c r="G76" s="2" t="n">
        <v>147.3</v>
      </c>
    </row>
    <row r="77">
      <c r="A77" s="7" t="n">
        <v>46292.67926077546</v>
      </c>
      <c r="B77" s="7" t="n">
        <v>46292.67847222222</v>
      </c>
      <c r="C77" s="2" t="n">
        <v>433</v>
      </c>
      <c r="D77" s="2" t="n">
        <v>0</v>
      </c>
      <c r="E77" s="2" t="n">
        <v>0</v>
      </c>
      <c r="F77" s="2" t="n">
        <v>0</v>
      </c>
      <c r="G77" s="2" t="n">
        <v>197.6</v>
      </c>
    </row>
    <row r="78">
      <c r="A78" s="7" t="n">
        <v>46292.6274472338</v>
      </c>
      <c r="B78" s="7" t="n">
        <v>46292.62638888889</v>
      </c>
      <c r="C78" s="2" t="n">
        <v>433</v>
      </c>
      <c r="D78" s="2" t="n">
        <v>0</v>
      </c>
      <c r="E78" s="2" t="n">
        <v>0</v>
      </c>
      <c r="F78" s="2" t="n">
        <v>0</v>
      </c>
      <c r="G78" s="2" t="n">
        <v>192.4</v>
      </c>
    </row>
    <row r="79">
      <c r="A79" s="7" t="n">
        <v>46292.50599667824</v>
      </c>
      <c r="B79" s="7" t="n">
        <v>46292.50486111111</v>
      </c>
      <c r="C79" s="2" t="n">
        <v>433</v>
      </c>
      <c r="D79" s="2" t="n">
        <v>1</v>
      </c>
      <c r="E79" s="2" t="n">
        <v>1</v>
      </c>
      <c r="F79" s="2" t="n">
        <v>0</v>
      </c>
      <c r="G79" s="2" t="n">
        <v>191.3</v>
      </c>
    </row>
    <row r="80">
      <c r="A80" s="7" t="n">
        <v>46292.39740747685</v>
      </c>
      <c r="B80" s="7" t="n">
        <v>46292.39652777778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150.9</v>
      </c>
    </row>
    <row r="81">
      <c r="A81" s="7" t="n">
        <v>46292.28951247685</v>
      </c>
      <c r="B81" s="7" t="n">
        <v>46292.28819444445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163.9</v>
      </c>
    </row>
    <row r="82">
      <c r="A82" s="7" t="n">
        <v>46292.28563091435</v>
      </c>
      <c r="B82" s="7" t="n">
        <v>46292.28472222222</v>
      </c>
      <c r="C82" s="2" t="n">
        <v>433</v>
      </c>
      <c r="D82" s="2" t="n">
        <v>0</v>
      </c>
      <c r="E82" s="2" t="n">
        <v>0</v>
      </c>
      <c r="F82" s="2" t="n">
        <v>0</v>
      </c>
      <c r="G82" s="2" t="n">
        <v>186.1</v>
      </c>
    </row>
    <row r="83">
      <c r="A83" s="7" t="n">
        <v>46292.16453692129</v>
      </c>
      <c r="B83" s="7" t="n">
        <v>46292.16319444445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183.8</v>
      </c>
    </row>
    <row r="84">
      <c r="A84" s="7" t="n">
        <v>46292.05207142361</v>
      </c>
      <c r="B84" s="7" t="n">
        <v>46292.05069444444</v>
      </c>
      <c r="C84" s="2" t="n">
        <v>433</v>
      </c>
      <c r="D84" s="2" t="n">
        <v>1</v>
      </c>
      <c r="E84" s="2" t="n">
        <v>2</v>
      </c>
      <c r="F84" s="2" t="n">
        <v>0</v>
      </c>
      <c r="G84" s="2" t="n">
        <v>160.8</v>
      </c>
    </row>
    <row r="85">
      <c r="A85" s="7" t="n">
        <v>46291.98017201389</v>
      </c>
      <c r="B85" s="7" t="n">
        <v>46291.97916666666</v>
      </c>
      <c r="C85" s="2" t="n">
        <v>433</v>
      </c>
      <c r="D85" s="2" t="n">
        <v>1</v>
      </c>
      <c r="E85" s="2" t="n">
        <v>0</v>
      </c>
      <c r="F85" s="2" t="n">
        <v>0</v>
      </c>
      <c r="G85" s="2" t="n">
        <v>148.2</v>
      </c>
    </row>
    <row r="86">
      <c r="A86" s="7" t="n">
        <v>46291.93749069444</v>
      </c>
      <c r="B86" s="7" t="n">
        <v>46291.93611111111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163.1</v>
      </c>
    </row>
    <row r="87">
      <c r="A87" s="7" t="n">
        <v>46291.88266193287</v>
      </c>
      <c r="B87" s="7" t="n">
        <v>46291.88194444445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140.5</v>
      </c>
    </row>
    <row r="88">
      <c r="A88" s="7" t="n">
        <v>46291.83751681713</v>
      </c>
      <c r="B88" s="7" t="n">
        <v>46291.83680555555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186.6</v>
      </c>
    </row>
    <row r="89">
      <c r="A89" s="7" t="n">
        <v>46291.78589450232</v>
      </c>
      <c r="B89" s="7" t="n">
        <v>46291.78472222222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157.8</v>
      </c>
    </row>
    <row r="90">
      <c r="A90" s="7" t="n">
        <v>46291.65882908565</v>
      </c>
      <c r="B90" s="7" t="n">
        <v>46291.65763888889</v>
      </c>
      <c r="C90" s="2" t="n">
        <v>433</v>
      </c>
      <c r="D90" s="2" t="n">
        <v>0</v>
      </c>
      <c r="E90" s="2" t="n">
        <v>1</v>
      </c>
      <c r="F90" s="2" t="n">
        <v>0</v>
      </c>
      <c r="G90" s="2" t="n">
        <v>175.7</v>
      </c>
    </row>
    <row r="91">
      <c r="A91" s="7" t="n">
        <v>46291.63896155093</v>
      </c>
      <c r="B91" s="7" t="n">
        <v>46291.63819444444</v>
      </c>
      <c r="C91" s="2" t="n">
        <v>433</v>
      </c>
      <c r="D91" s="2" t="n">
        <v>1</v>
      </c>
      <c r="E91" s="2" t="n">
        <v>0</v>
      </c>
      <c r="F91" s="2" t="n">
        <v>0</v>
      </c>
      <c r="G91" s="2" t="n">
        <v>177.9</v>
      </c>
    </row>
    <row r="92">
      <c r="A92" s="7" t="n">
        <v>46291.63155474537</v>
      </c>
      <c r="B92" s="7" t="n">
        <v>46291.63055555556</v>
      </c>
      <c r="C92" s="2" t="n">
        <v>433</v>
      </c>
      <c r="D92" s="2" t="n">
        <v>1</v>
      </c>
      <c r="E92" s="2" t="n">
        <v>1</v>
      </c>
      <c r="F92" s="2" t="n">
        <v>0</v>
      </c>
      <c r="G92" s="2" t="n">
        <v>172.6</v>
      </c>
    </row>
    <row r="93">
      <c r="A93" s="7" t="n">
        <v>46291.58748165509</v>
      </c>
      <c r="B93" s="7" t="n">
        <v>46291.58611111111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148</v>
      </c>
    </row>
    <row r="94">
      <c r="A94" s="7" t="n">
        <v>46291.52177836806</v>
      </c>
      <c r="B94" s="7" t="n">
        <v>46291.52083333334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187.5</v>
      </c>
    </row>
    <row r="95">
      <c r="A95" s="7" t="n">
        <v>46291.40186751157</v>
      </c>
      <c r="B95" s="7" t="n">
        <v>46291.40069444444</v>
      </c>
      <c r="C95" s="2" t="n">
        <v>433</v>
      </c>
      <c r="D95" s="2" t="n">
        <v>0</v>
      </c>
      <c r="E95" s="2" t="n">
        <v>0</v>
      </c>
      <c r="F95" s="2" t="n">
        <v>0</v>
      </c>
      <c r="G95" s="2" t="n">
        <v>188.1</v>
      </c>
    </row>
    <row r="96">
      <c r="A96" s="7" t="n">
        <v>46291.36540915509</v>
      </c>
      <c r="B96" s="7" t="n">
        <v>46291.36458333334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163.5</v>
      </c>
    </row>
    <row r="97">
      <c r="A97" s="7" t="n">
        <v>46291.26887001158</v>
      </c>
      <c r="B97" s="7" t="n">
        <v>46291.26805555556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184.5</v>
      </c>
    </row>
    <row r="98">
      <c r="A98" s="7" t="n">
        <v>46291.2560487963</v>
      </c>
      <c r="B98" s="7" t="n">
        <v>46291.25486111111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191.6</v>
      </c>
    </row>
    <row r="99">
      <c r="A99" s="7" t="n">
        <v>46291.11246790509</v>
      </c>
      <c r="B99" s="7" t="n">
        <v>46291.11111111111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182.3</v>
      </c>
    </row>
    <row r="100">
      <c r="A100" s="7" t="n">
        <v>46291.02308788194</v>
      </c>
      <c r="B100" s="7" t="n">
        <v>46291.02222222222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140.5</v>
      </c>
    </row>
    <row r="101">
      <c r="A101" s="7" t="n">
        <v>46290.9990443287</v>
      </c>
      <c r="B101" s="7" t="n">
        <v>46290.99791666667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197.5</v>
      </c>
    </row>
    <row r="102">
      <c r="A102" s="7" t="n">
        <v>46290.91267655093</v>
      </c>
      <c r="B102" s="7" t="n">
        <v>46290.91180555556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193.4</v>
      </c>
    </row>
    <row r="103">
      <c r="A103" s="7" t="n">
        <v>46290.82088560185</v>
      </c>
      <c r="B103" s="7" t="n">
        <v>46290.82013888889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174.9</v>
      </c>
    </row>
    <row r="104">
      <c r="A104" s="7" t="n">
        <v>46290.76820827546</v>
      </c>
      <c r="B104" s="7" t="n">
        <v>46290.76736111111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187</v>
      </c>
    </row>
    <row r="105">
      <c r="A105" s="7" t="n">
        <v>46290.709303125</v>
      </c>
      <c r="B105" s="7" t="n">
        <v>46290.70833333334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187.6</v>
      </c>
    </row>
    <row r="106">
      <c r="A106" s="7" t="n">
        <v>46290.66382769676</v>
      </c>
      <c r="B106" s="7" t="n">
        <v>46290.6625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185.1</v>
      </c>
    </row>
    <row r="107">
      <c r="A107" s="7" t="n">
        <v>46290.61757802084</v>
      </c>
      <c r="B107" s="7" t="n">
        <v>46290.61666666667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178.9</v>
      </c>
    </row>
    <row r="108">
      <c r="A108" s="7" t="n">
        <v>46290.55632820602</v>
      </c>
      <c r="B108" s="7" t="n">
        <v>46290.55555555555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179.4</v>
      </c>
    </row>
    <row r="109">
      <c r="A109" s="7" t="n">
        <v>46290.50409561343</v>
      </c>
      <c r="B109" s="7" t="n">
        <v>46290.50277777778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174.5</v>
      </c>
    </row>
    <row r="110">
      <c r="A110" s="7" t="n">
        <v>46290.39966920139</v>
      </c>
      <c r="B110" s="7" t="n">
        <v>46290.39861111111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189.8</v>
      </c>
    </row>
    <row r="111">
      <c r="A111" s="7" t="n">
        <v>46290.3483633912</v>
      </c>
      <c r="B111" s="7" t="n">
        <v>46290.34722222222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163.4</v>
      </c>
    </row>
    <row r="112">
      <c r="A112" s="7" t="n">
        <v>46290.27195019676</v>
      </c>
      <c r="B112" s="7" t="n">
        <v>46290.27083333334</v>
      </c>
      <c r="C112" s="2" t="n">
        <v>433</v>
      </c>
      <c r="D112" s="2" t="n">
        <v>0</v>
      </c>
      <c r="E112" s="2" t="n">
        <v>0</v>
      </c>
      <c r="F112" s="2" t="n">
        <v>1</v>
      </c>
      <c r="G112" s="2" t="n">
        <v>182.9</v>
      </c>
    </row>
    <row r="113">
      <c r="A113" s="7" t="n">
        <v>46290.13587655093</v>
      </c>
      <c r="B113" s="7" t="n">
        <v>46290.13472222222</v>
      </c>
      <c r="C113" s="2" t="n">
        <v>433</v>
      </c>
      <c r="D113" s="2" t="n">
        <v>1</v>
      </c>
      <c r="E113" s="2" t="n">
        <v>1</v>
      </c>
      <c r="F113" s="2" t="n">
        <v>1</v>
      </c>
      <c r="G113" s="2" t="n">
        <v>191.6</v>
      </c>
    </row>
    <row r="114">
      <c r="A114" s="7" t="n">
        <v>46290.02908936342</v>
      </c>
      <c r="B114" s="7" t="n">
        <v>46290.02777777778</v>
      </c>
      <c r="C114" s="2" t="n">
        <v>433</v>
      </c>
      <c r="D114" s="2" t="n">
        <v>1</v>
      </c>
      <c r="E114" s="2" t="n">
        <v>1</v>
      </c>
      <c r="F114" s="2" t="n">
        <v>1</v>
      </c>
      <c r="G114" s="2" t="n">
        <v>166.2</v>
      </c>
    </row>
    <row r="115">
      <c r="A115" s="7" t="n">
        <v>46289.96715996528</v>
      </c>
      <c r="B115" s="7" t="n">
        <v>46289.96597222222</v>
      </c>
      <c r="C115" s="2" t="n">
        <v>433</v>
      </c>
      <c r="D115" s="2" t="n">
        <v>0</v>
      </c>
      <c r="E115" s="2" t="n">
        <v>0</v>
      </c>
      <c r="F115" s="2" t="n">
        <v>1</v>
      </c>
      <c r="G115" s="2" t="n">
        <v>190.1</v>
      </c>
    </row>
    <row r="116">
      <c r="A116" s="7" t="n">
        <v>46289.95004011574</v>
      </c>
      <c r="B116" s="7" t="n">
        <v>46289.94930555556</v>
      </c>
      <c r="C116" s="2" t="n">
        <v>433</v>
      </c>
      <c r="D116" s="2" t="n">
        <v>0</v>
      </c>
      <c r="E116" s="2" t="n">
        <v>0</v>
      </c>
      <c r="F116" s="2" t="n">
        <v>1</v>
      </c>
      <c r="G116" s="2" t="n">
        <v>178.4</v>
      </c>
    </row>
    <row r="117">
      <c r="A117" s="7" t="n">
        <v>46289.94135959491</v>
      </c>
      <c r="B117" s="7" t="n">
        <v>46289.94027777778</v>
      </c>
      <c r="C117" s="2" t="n">
        <v>433</v>
      </c>
      <c r="D117" s="2" t="n">
        <v>0</v>
      </c>
      <c r="E117" s="2" t="n">
        <v>0</v>
      </c>
      <c r="F117" s="2" t="n">
        <v>1</v>
      </c>
      <c r="G117" s="2" t="n">
        <v>183.8</v>
      </c>
    </row>
    <row r="118">
      <c r="A118" s="7" t="n">
        <v>46289.92565313658</v>
      </c>
      <c r="B118" s="7" t="n">
        <v>46289.92430555556</v>
      </c>
      <c r="C118" s="2" t="n">
        <v>433</v>
      </c>
      <c r="D118" s="2" t="n">
        <v>0</v>
      </c>
      <c r="E118" s="2" t="n">
        <v>0</v>
      </c>
      <c r="F118" s="2" t="n">
        <v>1</v>
      </c>
      <c r="G118" s="2" t="n">
        <v>226.2</v>
      </c>
    </row>
    <row r="119">
      <c r="A119" s="7" t="n">
        <v>46289.84896370371</v>
      </c>
      <c r="B119" s="7" t="n">
        <v>46289.84791666667</v>
      </c>
      <c r="C119" s="2" t="n">
        <v>433</v>
      </c>
      <c r="D119" s="2" t="n">
        <v>1</v>
      </c>
      <c r="E119" s="2" t="n">
        <v>2</v>
      </c>
      <c r="F119" s="2" t="n">
        <v>1</v>
      </c>
      <c r="G119" s="2" t="n">
        <v>147.5</v>
      </c>
    </row>
    <row r="120">
      <c r="A120" s="7" t="n">
        <v>46289.78526427083</v>
      </c>
      <c r="B120" s="7" t="n">
        <v>46289.78402777778</v>
      </c>
      <c r="C120" s="2" t="n">
        <v>433</v>
      </c>
      <c r="D120" s="2" t="n">
        <v>1</v>
      </c>
      <c r="E120" s="2" t="n">
        <v>0</v>
      </c>
      <c r="F120" s="2" t="n">
        <v>1</v>
      </c>
      <c r="G120" s="2" t="n">
        <v>186.8</v>
      </c>
    </row>
    <row r="121">
      <c r="A121" s="7" t="n">
        <v>46289.75543116898</v>
      </c>
      <c r="B121" s="7" t="n">
        <v>46289.75</v>
      </c>
      <c r="C121" s="2" t="n">
        <v>433</v>
      </c>
      <c r="D121" s="2" t="n">
        <v>0</v>
      </c>
      <c r="E121" s="2" t="n">
        <v>0</v>
      </c>
      <c r="F121" s="2" t="n">
        <v>1</v>
      </c>
      <c r="G121" s="2" t="n">
        <v>109.8</v>
      </c>
    </row>
    <row r="122">
      <c r="A122" s="7" t="n">
        <v>46289.54138961805</v>
      </c>
      <c r="B122" s="7" t="n">
        <v>46289.53472222222</v>
      </c>
      <c r="C122" s="2" t="n">
        <v>433</v>
      </c>
      <c r="D122" s="2" t="n">
        <v>1</v>
      </c>
      <c r="E122" s="2" t="n">
        <v>1</v>
      </c>
      <c r="F122" s="2" t="n">
        <v>1</v>
      </c>
      <c r="G122" s="2" t="n">
        <v>125.8</v>
      </c>
    </row>
    <row r="123">
      <c r="A123" s="7" t="n">
        <v>46289.32358565972</v>
      </c>
      <c r="B123" s="7" t="n">
        <v>46289.31944444445</v>
      </c>
      <c r="C123" s="2" t="n">
        <v>433</v>
      </c>
      <c r="D123" s="2" t="n">
        <v>1</v>
      </c>
      <c r="E123" s="2" t="n">
        <v>1</v>
      </c>
      <c r="F123" s="2" t="n">
        <v>1</v>
      </c>
      <c r="G123" s="2" t="n">
        <v>130.2</v>
      </c>
    </row>
    <row r="124">
      <c r="A124" s="7" t="n">
        <v>46289.18599210648</v>
      </c>
      <c r="B124" s="7" t="n">
        <v>46289.18055555555</v>
      </c>
      <c r="C124" s="2" t="n">
        <v>433</v>
      </c>
      <c r="D124" s="2" t="n">
        <v>0</v>
      </c>
      <c r="E124" s="2" t="n">
        <v>0</v>
      </c>
      <c r="F124" s="2" t="n">
        <v>1</v>
      </c>
      <c r="G124" s="2" t="n">
        <v>129.3</v>
      </c>
    </row>
    <row r="125">
      <c r="A125" s="7" t="n">
        <v>46289.04908521991</v>
      </c>
      <c r="B125" s="7" t="n">
        <v>46289.04513888889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96.90000000000001</v>
      </c>
    </row>
    <row r="126">
      <c r="A126" s="7" t="n">
        <v>46289.00944646991</v>
      </c>
      <c r="B126" s="7" t="n">
        <v>46289.00347222222</v>
      </c>
      <c r="C126" s="2" t="n">
        <v>433</v>
      </c>
      <c r="D126" s="2" t="n">
        <v>1</v>
      </c>
      <c r="E126" s="2" t="n">
        <v>1</v>
      </c>
      <c r="F126" s="2" t="n">
        <v>1</v>
      </c>
      <c r="G126" s="2" t="n">
        <v>127</v>
      </c>
    </row>
    <row r="127">
      <c r="A127" s="7" t="n">
        <v>46288.82408041666</v>
      </c>
      <c r="B127" s="7" t="n">
        <v>46288.81944444445</v>
      </c>
      <c r="C127" s="2" t="n">
        <v>433</v>
      </c>
      <c r="D127" s="2" t="n">
        <v>0</v>
      </c>
      <c r="E127" s="2" t="n">
        <v>0</v>
      </c>
      <c r="F127" s="2" t="n">
        <v>2</v>
      </c>
      <c r="G127" s="2" t="n">
        <v>118.2</v>
      </c>
    </row>
    <row r="128">
      <c r="A128" s="7" t="n">
        <v>46288.75275025463</v>
      </c>
      <c r="B128" s="7" t="n">
        <v>46288.74652777778</v>
      </c>
      <c r="C128" s="2" t="n">
        <v>433</v>
      </c>
      <c r="D128" s="2" t="n">
        <v>1</v>
      </c>
      <c r="E128" s="2" t="n">
        <v>1</v>
      </c>
      <c r="F128" s="2" t="n">
        <v>2</v>
      </c>
      <c r="G128" s="2" t="n">
        <v>125.5</v>
      </c>
    </row>
    <row r="129">
      <c r="A129" s="7" t="n">
        <v>46288.58577883102</v>
      </c>
      <c r="B129" s="7" t="n">
        <v>46288.57986111111</v>
      </c>
      <c r="C129" s="2" t="n">
        <v>433</v>
      </c>
      <c r="D129" s="2" t="n">
        <v>0</v>
      </c>
      <c r="E129" s="2" t="n">
        <v>0</v>
      </c>
      <c r="F129" s="2" t="n">
        <v>2</v>
      </c>
      <c r="G129" s="2" t="n">
        <v>112.8</v>
      </c>
    </row>
    <row r="130">
      <c r="A130" s="7" t="n">
        <v>46288.57218969907</v>
      </c>
      <c r="B130" s="7" t="n">
        <v>46288.56597222222</v>
      </c>
      <c r="C130" s="2" t="n">
        <v>433</v>
      </c>
      <c r="D130" s="2" t="n">
        <v>1</v>
      </c>
      <c r="E130" s="2" t="n">
        <v>1</v>
      </c>
      <c r="F130" s="2" t="n">
        <v>2</v>
      </c>
      <c r="G130" s="2" t="n">
        <v>99.7</v>
      </c>
    </row>
    <row r="131">
      <c r="A131" s="7" t="n">
        <v>46288.36332482639</v>
      </c>
      <c r="B131" s="7" t="n">
        <v>46288.35763888889</v>
      </c>
      <c r="C131" s="2" t="n">
        <v>441</v>
      </c>
      <c r="D131" s="2" t="n">
        <v>1</v>
      </c>
      <c r="E131" s="2" t="n">
        <v>1</v>
      </c>
      <c r="F131" s="2" t="n">
        <v>2</v>
      </c>
      <c r="G131" s="2" t="n">
        <v>94.40000000000001</v>
      </c>
    </row>
    <row r="132">
      <c r="A132" s="7" t="n">
        <v>46288.26120461806</v>
      </c>
      <c r="B132" s="7" t="n">
        <v>46288.25694444445</v>
      </c>
      <c r="C132" s="2" t="n">
        <v>441</v>
      </c>
      <c r="D132" s="2" t="n">
        <v>2</v>
      </c>
      <c r="E132" s="2" t="n">
        <v>5</v>
      </c>
      <c r="F132" s="2" t="n">
        <v>2</v>
      </c>
      <c r="G132" s="2" t="n">
        <v>103.1</v>
      </c>
    </row>
    <row r="133">
      <c r="A133" s="7" t="n">
        <v>46288.12397528935</v>
      </c>
      <c r="B133" s="7" t="n">
        <v>46288.11805555555</v>
      </c>
      <c r="C133" s="2" t="n">
        <v>441</v>
      </c>
      <c r="D133" s="2" t="n">
        <v>4</v>
      </c>
      <c r="E133" s="2" t="n">
        <v>1</v>
      </c>
      <c r="F133" s="2" t="n">
        <v>2</v>
      </c>
      <c r="G133" s="2" t="n">
        <v>114.4</v>
      </c>
    </row>
    <row r="134">
      <c r="A134" s="7" t="n">
        <v>46287.95840076389</v>
      </c>
      <c r="B134" s="7" t="n">
        <v>46287.95486111111</v>
      </c>
      <c r="C134" s="2" t="n">
        <v>441</v>
      </c>
      <c r="D134" s="2" t="n">
        <v>1</v>
      </c>
      <c r="E134" s="2" t="n">
        <v>1</v>
      </c>
      <c r="F134" s="2" t="n">
        <v>2</v>
      </c>
      <c r="G134" s="2" t="n">
        <v>135.1</v>
      </c>
    </row>
    <row r="135">
      <c r="A135" s="7" t="n">
        <v>46287.75277884259</v>
      </c>
      <c r="B135" s="7" t="n">
        <v>46287.74652777778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130.3</v>
      </c>
    </row>
    <row r="136">
      <c r="A136" s="7" t="n">
        <v>46287.6758560301</v>
      </c>
      <c r="B136" s="7" t="n">
        <v>46287.67013888889</v>
      </c>
      <c r="C136" s="2" t="n">
        <v>440</v>
      </c>
      <c r="D136" s="2" t="n">
        <v>1</v>
      </c>
      <c r="E136" s="2" t="n">
        <v>2</v>
      </c>
      <c r="F136" s="2" t="n">
        <v>0</v>
      </c>
      <c r="G136" s="2" t="n">
        <v>91.7</v>
      </c>
    </row>
    <row r="137">
      <c r="A137" s="7" t="n">
        <v>46287.54602564815</v>
      </c>
      <c r="B137" s="7" t="n">
        <v>46287.54166666666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125.4</v>
      </c>
    </row>
    <row r="138">
      <c r="A138" s="7" t="n">
        <v>46287.51247143518</v>
      </c>
      <c r="B138" s="7" t="n">
        <v>46287.50694444445</v>
      </c>
      <c r="C138" s="2" t="n">
        <v>440</v>
      </c>
      <c r="D138" s="2" t="n">
        <v>3</v>
      </c>
      <c r="E138" s="2" t="n">
        <v>3</v>
      </c>
      <c r="F138" s="2" t="n">
        <v>0</v>
      </c>
      <c r="G138" s="2" t="n">
        <v>102.8</v>
      </c>
    </row>
    <row r="139">
      <c r="A139" s="7" t="n">
        <v>46287.30635083334</v>
      </c>
      <c r="B139" s="7" t="n">
        <v>46287.30208333334</v>
      </c>
      <c r="C139" s="2" t="n">
        <v>440</v>
      </c>
      <c r="D139" s="2" t="n">
        <v>3</v>
      </c>
      <c r="E139" s="2" t="n">
        <v>2</v>
      </c>
      <c r="F139" s="2" t="n">
        <v>0</v>
      </c>
      <c r="G139" s="2" t="n">
        <v>135.9</v>
      </c>
    </row>
    <row r="140">
      <c r="A140" s="7" t="n">
        <v>46287.14961865741</v>
      </c>
      <c r="B140" s="7" t="n">
        <v>46287.14583333334</v>
      </c>
      <c r="C140" s="2" t="n">
        <v>440</v>
      </c>
      <c r="D140" s="2" t="n">
        <v>1</v>
      </c>
      <c r="E140" s="2" t="n">
        <v>1</v>
      </c>
      <c r="F140" s="2" t="n">
        <v>0</v>
      </c>
      <c r="G140" s="2" t="n">
        <v>130.5</v>
      </c>
    </row>
    <row r="141">
      <c r="A141" s="7" t="n">
        <v>46286.92852005787</v>
      </c>
      <c r="B141" s="7" t="n">
        <v>46286.92361111111</v>
      </c>
      <c r="C141" s="2" t="n">
        <v>440</v>
      </c>
      <c r="D141" s="2" t="n">
        <v>1</v>
      </c>
      <c r="E141" s="2" t="n">
        <v>2</v>
      </c>
      <c r="F141" s="2" t="n">
        <v>0</v>
      </c>
      <c r="G141" s="2" t="n">
        <v>112.2</v>
      </c>
    </row>
    <row r="142">
      <c r="A142" s="7" t="n">
        <v>46286.83222814815</v>
      </c>
      <c r="B142" s="7" t="n">
        <v>46286.82638888889</v>
      </c>
      <c r="C142" s="2" t="n">
        <v>440</v>
      </c>
      <c r="D142" s="2" t="n">
        <v>3</v>
      </c>
      <c r="E142" s="2" t="n">
        <v>3</v>
      </c>
      <c r="F142" s="2" t="n">
        <v>0</v>
      </c>
      <c r="G142" s="2" t="n">
        <v>126.4</v>
      </c>
    </row>
    <row r="143">
      <c r="A143" s="7" t="n">
        <v>46286.60261268519</v>
      </c>
      <c r="B143" s="7" t="n">
        <v>46286.59722222222</v>
      </c>
      <c r="C143" s="2" t="n">
        <v>440</v>
      </c>
      <c r="D143" s="2" t="n">
        <v>2</v>
      </c>
      <c r="E143" s="2" t="n">
        <v>1</v>
      </c>
      <c r="F143" s="2" t="n">
        <v>0</v>
      </c>
      <c r="G143" s="2" t="n">
        <v>111.5</v>
      </c>
    </row>
    <row r="144">
      <c r="A144" s="7" t="n">
        <v>46286.38294268519</v>
      </c>
      <c r="B144" s="7" t="n">
        <v>46286.37847222222</v>
      </c>
      <c r="C144" s="2" t="n">
        <v>440</v>
      </c>
      <c r="D144" s="2" t="n">
        <v>0</v>
      </c>
      <c r="E144" s="2" t="n">
        <v>1</v>
      </c>
      <c r="F144" s="2" t="n">
        <v>0</v>
      </c>
      <c r="G144" s="2" t="n">
        <v>102.4</v>
      </c>
    </row>
    <row r="145">
      <c r="A145" s="7" t="n">
        <v>46286.27148542824</v>
      </c>
      <c r="B145" s="7" t="n">
        <v>46286.26736111111</v>
      </c>
      <c r="C145" s="2" t="n">
        <v>440</v>
      </c>
      <c r="D145" s="2" t="n">
        <v>0</v>
      </c>
      <c r="E145" s="2" t="n">
        <v>1</v>
      </c>
      <c r="F145" s="2" t="n">
        <v>0</v>
      </c>
      <c r="G145" s="2" t="n">
        <v>126.7</v>
      </c>
    </row>
    <row r="146">
      <c r="A146" s="7" t="n">
        <v>46286.14641391204</v>
      </c>
      <c r="B146" s="7" t="n">
        <v>46286.14236111111</v>
      </c>
      <c r="C146" s="2" t="n">
        <v>440</v>
      </c>
      <c r="D146" s="2" t="n">
        <v>3</v>
      </c>
      <c r="E146" s="2" t="n">
        <v>1</v>
      </c>
      <c r="F146" s="2" t="n">
        <v>0</v>
      </c>
      <c r="G146" s="2" t="n">
        <v>131.3</v>
      </c>
    </row>
    <row r="147">
      <c r="A147" s="7" t="n">
        <v>46286.03573545139</v>
      </c>
      <c r="B147" s="7" t="n">
        <v>46286.03125</v>
      </c>
      <c r="C147" s="2" t="n">
        <v>440</v>
      </c>
      <c r="D147" s="2" t="n">
        <v>1</v>
      </c>
      <c r="E147" s="2" t="n">
        <v>1</v>
      </c>
      <c r="F147" s="2" t="n">
        <v>0</v>
      </c>
      <c r="G147" s="2" t="n">
        <v>127.3</v>
      </c>
    </row>
    <row r="148">
      <c r="A148" s="7" t="n">
        <v>46286.00283136574</v>
      </c>
      <c r="B148" s="7" t="n">
        <v>46285.99652777778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101.9</v>
      </c>
    </row>
    <row r="149">
      <c r="A149" s="7" t="n">
        <v>46285.85245594908</v>
      </c>
      <c r="B149" s="7" t="n">
        <v>46285.84722222222</v>
      </c>
      <c r="C149" s="2" t="n">
        <v>440</v>
      </c>
      <c r="D149" s="2" t="n">
        <v>4</v>
      </c>
      <c r="E149" s="2" t="n">
        <v>4</v>
      </c>
      <c r="F149" s="2" t="n">
        <v>0</v>
      </c>
      <c r="G149" s="2" t="n">
        <v>100.6</v>
      </c>
    </row>
    <row r="150">
      <c r="A150" s="7" t="n">
        <v>46285.60105145833</v>
      </c>
      <c r="B150" s="7" t="n">
        <v>46285.59722222222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129.1</v>
      </c>
    </row>
    <row r="151">
      <c r="A151" s="7" t="n">
        <v>46285.38559789352</v>
      </c>
      <c r="B151" s="7" t="n">
        <v>46285.38194444445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112.5</v>
      </c>
    </row>
    <row r="152">
      <c r="A152" s="7" t="n">
        <v>46285.29994834491</v>
      </c>
      <c r="B152" s="7" t="n">
        <v>46285.29513888889</v>
      </c>
      <c r="C152" s="2" t="n">
        <v>440</v>
      </c>
      <c r="D152" s="2" t="n">
        <v>1</v>
      </c>
      <c r="E152" s="2" t="n">
        <v>2</v>
      </c>
      <c r="F152" s="2" t="n">
        <v>0</v>
      </c>
      <c r="G152" s="2" t="n">
        <v>128.1</v>
      </c>
    </row>
    <row r="153">
      <c r="A153" s="7" t="n">
        <v>46285.19964518519</v>
      </c>
      <c r="B153" s="7" t="n">
        <v>46285.19444444445</v>
      </c>
      <c r="C153" s="2" t="n">
        <v>440</v>
      </c>
      <c r="D153" s="2" t="n">
        <v>1</v>
      </c>
      <c r="E153" s="2" t="n">
        <v>1</v>
      </c>
      <c r="F153" s="2" t="n">
        <v>0</v>
      </c>
      <c r="G153" s="2" t="n">
        <v>110.6</v>
      </c>
    </row>
    <row r="154">
      <c r="A154" s="7" t="n">
        <v>46285.08704527777</v>
      </c>
      <c r="B154" s="7" t="n">
        <v>46285.08333333334</v>
      </c>
      <c r="C154" s="2" t="n">
        <v>440</v>
      </c>
      <c r="D154" s="2" t="n">
        <v>3</v>
      </c>
      <c r="E154" s="2" t="n">
        <v>2</v>
      </c>
      <c r="F154" s="2" t="n">
        <v>0</v>
      </c>
      <c r="G154" s="2" t="n">
        <v>95.09999999999999</v>
      </c>
    </row>
    <row r="155">
      <c r="A155" s="7" t="n">
        <v>46284.93748335648</v>
      </c>
      <c r="B155" s="7" t="n">
        <v>46284.93055555555</v>
      </c>
      <c r="C155" s="2" t="n">
        <v>440</v>
      </c>
      <c r="D155" s="2" t="n">
        <v>1</v>
      </c>
      <c r="E155" s="2" t="n">
        <v>1</v>
      </c>
      <c r="F155" s="2" t="n">
        <v>0</v>
      </c>
      <c r="G155" s="2" t="n">
        <v>128.7</v>
      </c>
    </row>
    <row r="156">
      <c r="A156" s="7" t="n">
        <v>46284.79727659722</v>
      </c>
      <c r="B156" s="7" t="n">
        <v>46284.79166666666</v>
      </c>
      <c r="C156" s="2" t="n">
        <v>440</v>
      </c>
      <c r="D156" s="2" t="n">
        <v>1</v>
      </c>
      <c r="E156" s="2" t="n">
        <v>1</v>
      </c>
      <c r="F156" s="2" t="n">
        <v>0</v>
      </c>
      <c r="G156" s="2" t="n">
        <v>109.7</v>
      </c>
    </row>
    <row r="157">
      <c r="A157" s="7" t="n">
        <v>46284.58365538195</v>
      </c>
      <c r="B157" s="7" t="n">
        <v>46284.57986111111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101.8</v>
      </c>
    </row>
    <row r="158">
      <c r="A158" s="7" t="n">
        <v>46284.38530752315</v>
      </c>
      <c r="B158" s="7" t="n">
        <v>46284.37847222222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130.8</v>
      </c>
    </row>
    <row r="159">
      <c r="A159" s="7" t="n">
        <v>46284.27664920139</v>
      </c>
      <c r="B159" s="7" t="n">
        <v>46284.27083333334</v>
      </c>
      <c r="C159" s="2" t="n">
        <v>440</v>
      </c>
      <c r="D159" s="2" t="n">
        <v>1</v>
      </c>
      <c r="E159" s="2" t="n">
        <v>1</v>
      </c>
      <c r="F159" s="2" t="n">
        <v>0</v>
      </c>
      <c r="G159" s="2" t="n">
        <v>127.8</v>
      </c>
    </row>
    <row r="160">
      <c r="A160" s="7" t="n">
        <v>46284.15392047453</v>
      </c>
      <c r="B160" s="7" t="n">
        <v>46284.14930555555</v>
      </c>
      <c r="C160" s="2" t="n">
        <v>440</v>
      </c>
      <c r="D160" s="2" t="n">
        <v>1</v>
      </c>
      <c r="E160" s="2" t="n">
        <v>1</v>
      </c>
      <c r="F160" s="2" t="n">
        <v>0</v>
      </c>
      <c r="G160" s="2" t="n">
        <v>135.6</v>
      </c>
    </row>
    <row r="161">
      <c r="A161" s="7" t="n">
        <v>46284.02123533565</v>
      </c>
      <c r="B161" s="7" t="n">
        <v>46284.01736111111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102.8</v>
      </c>
    </row>
    <row r="162">
      <c r="A162" s="7" t="n">
        <v>46283.99753837963</v>
      </c>
      <c r="B162" s="7" t="n">
        <v>46283.99305555555</v>
      </c>
      <c r="C162" s="2" t="n">
        <v>440</v>
      </c>
      <c r="D162" s="2" t="n">
        <v>3</v>
      </c>
      <c r="E162" s="2" t="n">
        <v>3</v>
      </c>
      <c r="F162" s="2" t="n">
        <v>0</v>
      </c>
      <c r="G162" s="2" t="n">
        <v>129.8</v>
      </c>
    </row>
    <row r="163">
      <c r="A163" s="7" t="n">
        <v>46283.80859936342</v>
      </c>
      <c r="B163" s="7" t="n">
        <v>46283.80208333334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127.7</v>
      </c>
    </row>
    <row r="164">
      <c r="A164" s="7" t="n">
        <v>46283.78916202546</v>
      </c>
      <c r="B164" s="7" t="n">
        <v>46283.78472222222</v>
      </c>
      <c r="C164" s="2" t="n">
        <v>440</v>
      </c>
      <c r="D164" s="2" t="n">
        <v>2</v>
      </c>
      <c r="E164" s="2" t="n">
        <v>2</v>
      </c>
      <c r="F164" s="2" t="n">
        <v>0</v>
      </c>
      <c r="G164" s="2" t="n">
        <v>119.1</v>
      </c>
    </row>
    <row r="165">
      <c r="A165" s="7" t="n">
        <v>46283.58323265046</v>
      </c>
      <c r="B165" s="7" t="n">
        <v>46283.57638888889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126.7</v>
      </c>
    </row>
    <row r="166">
      <c r="A166" s="7" t="n">
        <v>46283.57323743056</v>
      </c>
      <c r="B166" s="7" t="n">
        <v>46283.56944444445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94.3</v>
      </c>
    </row>
    <row r="167">
      <c r="A167" s="7" t="n">
        <v>46283.45181144676</v>
      </c>
      <c r="B167" s="7" t="n">
        <v>46283.44791666666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132.3</v>
      </c>
    </row>
    <row r="168">
      <c r="A168" s="7" t="n">
        <v>46283.44134394676</v>
      </c>
      <c r="B168" s="7" t="n">
        <v>46283.4375</v>
      </c>
      <c r="C168" s="2" t="n">
        <v>440</v>
      </c>
      <c r="D168" s="2" t="n">
        <v>96</v>
      </c>
      <c r="E168" s="2" t="n">
        <v>96</v>
      </c>
      <c r="F168" s="2" t="n">
        <v>0</v>
      </c>
      <c r="G168" s="2" t="n">
        <v>373.5</v>
      </c>
    </row>
    <row r="169">
      <c r="A169" s="7" t="n">
        <v>46283.35273409722</v>
      </c>
      <c r="B169" s="7" t="n">
        <v>46283.34722222222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132.3</v>
      </c>
    </row>
    <row r="170">
      <c r="A170" s="7" t="n">
        <v>46283.26014016203</v>
      </c>
      <c r="B170" s="7" t="n">
        <v>46283.25347222222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129.5</v>
      </c>
    </row>
    <row r="171">
      <c r="A171" s="7" t="n">
        <v>46283.09637409722</v>
      </c>
      <c r="B171" s="7" t="n">
        <v>46283.09027777778</v>
      </c>
      <c r="C171" s="2" t="n">
        <v>440</v>
      </c>
      <c r="D171" s="2" t="n">
        <v>1</v>
      </c>
      <c r="E171" s="2" t="n">
        <v>1</v>
      </c>
      <c r="F171" s="2" t="n">
        <v>0</v>
      </c>
      <c r="G171" s="2" t="n">
        <v>131.2</v>
      </c>
    </row>
    <row r="172">
      <c r="A172" s="7" t="n">
        <v>46282.89824439815</v>
      </c>
      <c r="B172" s="7" t="n">
        <v>46282.89236111111</v>
      </c>
      <c r="C172" s="2" t="n">
        <v>440</v>
      </c>
      <c r="D172" s="2" t="n">
        <v>1</v>
      </c>
      <c r="E172" s="2" t="n">
        <v>1</v>
      </c>
      <c r="F172" s="2" t="n">
        <v>0</v>
      </c>
      <c r="G172" s="2" t="n">
        <v>137</v>
      </c>
    </row>
    <row r="173">
      <c r="A173" s="7" t="n">
        <v>46282.65711792824</v>
      </c>
      <c r="B173" s="7" t="n">
        <v>46282.65277777778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126.6</v>
      </c>
    </row>
    <row r="174">
      <c r="A174" s="7" t="n">
        <v>46282.40350203704</v>
      </c>
      <c r="B174" s="7" t="n">
        <v>46282.39930555555</v>
      </c>
      <c r="C174" s="2" t="n">
        <v>440</v>
      </c>
      <c r="D174" s="2" t="n">
        <v>69</v>
      </c>
      <c r="E174" s="2" t="n">
        <v>69</v>
      </c>
      <c r="F174" s="2" t="n">
        <v>0</v>
      </c>
      <c r="G174" s="2" t="n">
        <v>323.7</v>
      </c>
    </row>
    <row r="175">
      <c r="A175" s="7" t="n">
        <v>46282.39577758102</v>
      </c>
      <c r="B175" s="7" t="n">
        <v>46282.33333333334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50.5</v>
      </c>
    </row>
    <row r="176">
      <c r="A176" s="7" t="n">
        <v>46282.29222982639</v>
      </c>
      <c r="B176" s="7" t="n">
        <v>46282.25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66.2</v>
      </c>
    </row>
    <row r="177">
      <c r="A177" s="7" t="n">
        <v>46282.17576607639</v>
      </c>
      <c r="B177" s="7" t="n">
        <v>46282.125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67</v>
      </c>
    </row>
    <row r="178">
      <c r="A178" s="7" t="n">
        <v>46282.04552453704</v>
      </c>
      <c r="B178" s="7" t="n">
        <v>46282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52.9</v>
      </c>
    </row>
    <row r="179">
      <c r="A179" s="7" t="n">
        <v>46281.82298537037</v>
      </c>
      <c r="B179" s="7" t="n">
        <v>46281.75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65.7</v>
      </c>
    </row>
    <row r="180">
      <c r="A180" s="7" t="n">
        <v>46281.58829054398</v>
      </c>
      <c r="B180" s="7" t="n">
        <v>46281.54166666666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54.5</v>
      </c>
    </row>
    <row r="181">
      <c r="A181" s="7" t="n">
        <v>46281.35205523148</v>
      </c>
      <c r="B181" s="7" t="n">
        <v>46281.29166666666</v>
      </c>
      <c r="C181" s="2" t="n">
        <v>442</v>
      </c>
      <c r="D181" s="2" t="n">
        <v>0</v>
      </c>
      <c r="E181" s="2" t="n">
        <v>0</v>
      </c>
      <c r="F181" s="2" t="n">
        <v>0</v>
      </c>
      <c r="G181" s="2" t="n">
        <v>66.90000000000001</v>
      </c>
    </row>
    <row r="182">
      <c r="A182" s="7" t="n">
        <v>46281.22963460648</v>
      </c>
      <c r="B182" s="7" t="n">
        <v>46281.16666666666</v>
      </c>
      <c r="C182" s="2" t="n">
        <v>442</v>
      </c>
      <c r="D182" s="2" t="n">
        <v>0</v>
      </c>
      <c r="E182" s="2" t="n">
        <v>0</v>
      </c>
      <c r="F182" s="2" t="n">
        <v>0</v>
      </c>
      <c r="G182" s="2" t="n">
        <v>61.9</v>
      </c>
    </row>
    <row r="183">
      <c r="A183" s="7" t="n">
        <v>46281.094529375</v>
      </c>
      <c r="B183" s="7" t="n">
        <v>46281.04166666666</v>
      </c>
      <c r="C183" s="2" t="n">
        <v>442</v>
      </c>
      <c r="D183" s="2" t="n">
        <v>0</v>
      </c>
      <c r="E183" s="2" t="n">
        <v>0</v>
      </c>
      <c r="F183" s="2" t="n">
        <v>0</v>
      </c>
      <c r="G183" s="2" t="n">
        <v>46.5</v>
      </c>
    </row>
    <row r="184">
      <c r="A184" s="7" t="n">
        <v>46280.9017994676</v>
      </c>
      <c r="B184" s="7" t="n">
        <v>46280.83333333334</v>
      </c>
      <c r="C184" s="2" t="n">
        <v>442</v>
      </c>
      <c r="D184" s="2" t="n">
        <v>0</v>
      </c>
      <c r="E184" s="2" t="n">
        <v>0</v>
      </c>
      <c r="F184" s="2" t="n">
        <v>0</v>
      </c>
      <c r="G184" s="2" t="n">
        <v>56.7</v>
      </c>
    </row>
    <row r="185">
      <c r="A185" s="7" t="n">
        <v>46280.66002480324</v>
      </c>
      <c r="B185" s="7" t="n">
        <v>46280.58333333334</v>
      </c>
      <c r="C185" s="2" t="n">
        <v>442</v>
      </c>
      <c r="D185" s="2" t="n">
        <v>0</v>
      </c>
      <c r="E185" s="2" t="n">
        <v>0</v>
      </c>
      <c r="F185" s="2" t="n">
        <v>0</v>
      </c>
      <c r="G185" s="2" t="n">
        <v>67.40000000000001</v>
      </c>
    </row>
    <row r="186">
      <c r="A186" s="7" t="n">
        <v>46280.4778358449</v>
      </c>
      <c r="B186" s="7" t="n">
        <v>46280.41666666666</v>
      </c>
      <c r="C186" s="2" t="n">
        <v>442</v>
      </c>
      <c r="D186" s="2" t="n">
        <v>0</v>
      </c>
      <c r="E186" s="2" t="n">
        <v>0</v>
      </c>
      <c r="F186" s="2" t="n">
        <v>0</v>
      </c>
      <c r="G186" s="2" t="n">
        <v>61.2</v>
      </c>
    </row>
    <row r="187">
      <c r="A187" s="7" t="n">
        <v>46280.39795681713</v>
      </c>
      <c r="B187" s="7" t="n">
        <v>46280.33333333334</v>
      </c>
      <c r="C187" s="2" t="n">
        <v>442</v>
      </c>
      <c r="D187" s="2" t="n">
        <v>0</v>
      </c>
      <c r="E187" s="2" t="n">
        <v>0</v>
      </c>
      <c r="F187" s="2" t="n">
        <v>0</v>
      </c>
      <c r="G187" s="2" t="n">
        <v>66.90000000000001</v>
      </c>
    </row>
    <row r="188">
      <c r="A188" s="7" t="n">
        <v>46280.29983445602</v>
      </c>
      <c r="B188" s="7" t="n">
        <v>46280.25</v>
      </c>
      <c r="C188" s="2" t="n">
        <v>442</v>
      </c>
      <c r="D188" s="2" t="n">
        <v>0</v>
      </c>
      <c r="E188" s="2" t="n">
        <v>0</v>
      </c>
      <c r="F188" s="2" t="n">
        <v>0</v>
      </c>
      <c r="G188" s="2" t="n">
        <v>51.6</v>
      </c>
    </row>
    <row r="189">
      <c r="A189" s="7" t="n">
        <v>46280.14350143519</v>
      </c>
      <c r="B189" s="7" t="n">
        <v>46280.08333333334</v>
      </c>
      <c r="C189" s="2" t="n">
        <v>442</v>
      </c>
      <c r="D189" s="2" t="n">
        <v>0</v>
      </c>
      <c r="E189" s="2" t="n">
        <v>0</v>
      </c>
      <c r="F189" s="2" t="n">
        <v>0</v>
      </c>
      <c r="G189" s="2" t="n">
        <v>57.3</v>
      </c>
    </row>
    <row r="190">
      <c r="A190" s="7" t="n">
        <v>46279.92418226852</v>
      </c>
      <c r="B190" s="7" t="n">
        <v>46279.875</v>
      </c>
      <c r="C190" s="2" t="n">
        <v>442</v>
      </c>
      <c r="D190" s="2" t="n">
        <v>0</v>
      </c>
      <c r="E190" s="2" t="n">
        <v>0</v>
      </c>
      <c r="F190" s="2" t="n">
        <v>0</v>
      </c>
      <c r="G190" s="2" t="n">
        <v>48.1</v>
      </c>
    </row>
    <row r="191">
      <c r="A191" s="7" t="n">
        <v>46279.59996445602</v>
      </c>
      <c r="B191" s="7" t="n">
        <v>46279.54166666666</v>
      </c>
      <c r="C191" s="2" t="n">
        <v>442</v>
      </c>
      <c r="D191" s="2" t="n">
        <v>0</v>
      </c>
      <c r="E191" s="2" t="n">
        <v>0</v>
      </c>
      <c r="F191" s="2" t="n">
        <v>0</v>
      </c>
      <c r="G191" s="2" t="n">
        <v>61</v>
      </c>
    </row>
    <row r="192">
      <c r="A192" s="7" t="n">
        <v>46279.38316741898</v>
      </c>
      <c r="B192" s="7" t="n">
        <v>46279.33333333334</v>
      </c>
      <c r="C192" s="2" t="n">
        <v>442</v>
      </c>
      <c r="D192" s="2" t="n">
        <v>0</v>
      </c>
      <c r="E192" s="2" t="n">
        <v>0</v>
      </c>
      <c r="F192" s="2" t="n">
        <v>0</v>
      </c>
      <c r="G192" s="2" t="n">
        <v>59.9</v>
      </c>
    </row>
    <row r="193">
      <c r="A193" s="7" t="n">
        <v>46279.26932584491</v>
      </c>
      <c r="B193" s="7" t="n">
        <v>46279.20833333334</v>
      </c>
      <c r="C193" s="2" t="n">
        <v>442</v>
      </c>
      <c r="D193" s="2" t="n">
        <v>0</v>
      </c>
      <c r="E193" s="2" t="n">
        <v>0</v>
      </c>
      <c r="F193" s="2" t="n">
        <v>0</v>
      </c>
      <c r="G193" s="2" t="n">
        <v>61.1</v>
      </c>
    </row>
    <row r="194">
      <c r="A194" s="7" t="n">
        <v>46279.14665413195</v>
      </c>
      <c r="B194" s="7" t="n">
        <v>46279.08333333334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55.1</v>
      </c>
    </row>
    <row r="195">
      <c r="A195" s="7" t="n">
        <v>46279.01733591435</v>
      </c>
      <c r="B195" s="7" t="n">
        <v>46278.95833333334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59.7</v>
      </c>
    </row>
    <row r="196">
      <c r="A196" s="7" t="n">
        <v>46278.83725055555</v>
      </c>
      <c r="B196" s="7" t="n">
        <v>46278.79166666666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65.40000000000001</v>
      </c>
    </row>
    <row r="197">
      <c r="A197" s="7" t="n">
        <v>46278.71111972223</v>
      </c>
      <c r="B197" s="7" t="n">
        <v>46278.66666666666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63.6</v>
      </c>
    </row>
    <row r="198">
      <c r="A198" s="7" t="n">
        <v>46278.68053923611</v>
      </c>
      <c r="B198" s="7" t="n">
        <v>46278.625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63.6</v>
      </c>
    </row>
    <row r="199">
      <c r="A199" s="7" t="n">
        <v>46278.07354997685</v>
      </c>
      <c r="B199" s="7" t="n">
        <v>46278</v>
      </c>
      <c r="C199" s="2" t="n">
        <v>442</v>
      </c>
      <c r="D199" s="2" t="n">
        <v>0</v>
      </c>
      <c r="E199" s="2" t="n">
        <v>0</v>
      </c>
      <c r="F199" s="2" t="n">
        <v>0</v>
      </c>
      <c r="G199" s="2" t="n">
        <v>50.2</v>
      </c>
    </row>
    <row r="200">
      <c r="A200" s="7" t="n">
        <v>46277.94390239583</v>
      </c>
      <c r="B200" s="7" t="n">
        <v>46277.875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資金明細!R348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MAX(資金明細!$R$2:$R$348)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MIN(資金明細!$R$2:$R$348)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MIN(資金明細!$X$2:$X$348)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COUNTIFS(資金明細!$C$2:$C$348,"進場",資金明細!$N$2:$N$348,"已下單")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COUNTIFS(資金明細!$C$2:$C$348,"進場",資金明細!$N$2:$N$348,"資金不足略過")</f>
        <v/>
      </c>
    </row>
    <row r="11">
      <c r="D11" s="2" t="inlineStr">
        <is>
          <t>止盈筆數</t>
        </is>
      </c>
      <c r="E11" s="15">
        <f>COUNTIFS(資金明細!$C$2:$C$348,"出場",資金明細!$N$2:$N$348,"已下單",資金明細!$K$2:$K$348,"止盈")</f>
        <v/>
      </c>
    </row>
    <row r="12">
      <c r="A12" s="2" t="inlineStr">
        <is>
          <t>每筆止損約虧本金</t>
        </is>
      </c>
      <c r="B12" s="4">
        <f>B5*B7*IFERROR(AVERAGE(交易明細!$AB$2:$AB$174),參數!B6)</f>
        <v/>
      </c>
      <c r="D12" s="2" t="inlineStr">
        <is>
          <t>止損筆數</t>
        </is>
      </c>
      <c r="E12" s="15">
        <f>COUNTIFS(資金明細!$C$2:$C$348,"出場",資金明細!$N$2:$N$348,"已下單",資金明細!$K$2:$K$348,"止損")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IFERROR(E11/COUNTIFS(資金明細!$C$2:$C$348,"出場",資金明細!$N$2:$N$348,"已下單"),0)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MAX(資金明細!$U$2:$U$348)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MAX(資金明細!$S$2:$S$348)</f>
        <v/>
      </c>
    </row>
    <row r="16">
      <c r="D16" s="2" t="inlineStr">
        <is>
          <t>期末下單金額</t>
        </is>
      </c>
      <c r="E16" s="16">
        <f>B5*資金明細!V348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MAX(資金明細!$Y$2:$Y$348)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IFERROR(INDEX(資金明細!$B$2:$B$348,MATCH(1,資金明細!$Z$2:$Z$348,0)),"未觸發")</f>
        <v/>
      </c>
    </row>
    <row r="21">
      <c r="D21" s="2" t="inlineStr">
        <is>
          <t>停止後略過筆數</t>
        </is>
      </c>
      <c r="E21" s="15">
        <f>COUNTIFS(資金明細!$C$2:$C$348,"進場",資金明細!$N$2:$N$348,"已停止")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n"/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  <row r="304">
      <c r="A304" s="2" t="n">
        <v>302</v>
      </c>
      <c r="B304" s="7" t="n">
        <v>46291.64236111111</v>
      </c>
      <c r="C304" s="2" t="inlineStr">
        <is>
          <t>出場</t>
        </is>
      </c>
      <c r="D304" s="2" t="n">
        <v>151</v>
      </c>
      <c r="E304" s="2" t="inlineStr">
        <is>
          <t>Q_USDT_PERP</t>
        </is>
      </c>
      <c r="F304" s="2" t="inlineStr">
        <is>
          <t>做空</t>
        </is>
      </c>
      <c r="G304" s="17" t="n">
        <v>0.029962</v>
      </c>
      <c r="H304" s="17" t="n">
        <v>0.02876352</v>
      </c>
      <c r="I304" s="17" t="n">
        <v>0.0314601</v>
      </c>
      <c r="J304" s="17" t="n">
        <v>0.0314601</v>
      </c>
      <c r="K304" s="2" t="inlineStr">
        <is>
          <t>止損</t>
        </is>
      </c>
      <c r="L304" s="5">
        <f>交易明細!K152</f>
        <v/>
      </c>
      <c r="M304" s="16">
        <f>M303</f>
        <v/>
      </c>
      <c r="N304" s="2">
        <f>N303</f>
        <v/>
      </c>
      <c r="O304" s="16">
        <f>O303</f>
        <v/>
      </c>
      <c r="P304" s="4">
        <f>交易明細!L152</f>
        <v/>
      </c>
      <c r="Q304" s="10">
        <f>IF(N304="已下單",O304*P304,0)</f>
        <v/>
      </c>
      <c r="R304" s="10">
        <f>R303+Q304</f>
        <v/>
      </c>
      <c r="S304" s="16">
        <f>S303-IF(N304="已下單",M304,0)</f>
        <v/>
      </c>
      <c r="T304" s="16">
        <f>R304-S304</f>
        <v/>
      </c>
      <c r="U304" s="2">
        <f>U303-IF(N304="已下單",1,0)</f>
        <v/>
      </c>
      <c r="V304" s="16">
        <f>IF(資金模擬!$B$9=2,MAX(R304,0),MAX(V303,FLOOR(MAX(R304,0),資金模擬!$B$6)))</f>
        <v/>
      </c>
      <c r="W304" s="10">
        <f>MAX(W303,R304)</f>
        <v/>
      </c>
      <c r="X304" s="4">
        <f>IF(W304&gt;0,R304/W304-1,-1)</f>
        <v/>
      </c>
      <c r="Y304" s="16">
        <f>IF(R304&gt;0,S304*資金模擬!$B$7/R304,0)</f>
        <v/>
      </c>
      <c r="Z304" s="2">
        <f>IF(OR(Z303=1,R304&lt;=資金模擬!$B$10),1,0)</f>
        <v/>
      </c>
    </row>
    <row r="305">
      <c r="A305" s="2" t="n">
        <v>303</v>
      </c>
      <c r="B305" s="7" t="n">
        <v>46291.96180555555</v>
      </c>
      <c r="C305" s="2" t="inlineStr">
        <is>
          <t>進場</t>
        </is>
      </c>
      <c r="D305" s="2" t="n">
        <v>152</v>
      </c>
      <c r="E305" s="2" t="inlineStr">
        <is>
          <t>US_USDT_PERP</t>
        </is>
      </c>
      <c r="F305" s="2" t="inlineStr">
        <is>
          <t>做空</t>
        </is>
      </c>
      <c r="G305" s="17" t="n">
        <v>0.02612</v>
      </c>
      <c r="H305" s="17" t="n">
        <v>0.0250752</v>
      </c>
      <c r="I305" s="17" t="n">
        <v>0.027426</v>
      </c>
      <c r="J305" s="17" t="n"/>
      <c r="K305" s="2" t="n"/>
      <c r="L305" s="5" t="n"/>
      <c r="M305" s="16">
        <f>資金模擬!$B$5*V304</f>
        <v/>
      </c>
      <c r="N305" s="2">
        <f>IF(Z304=1,"已停止",IF(T304&gt;=M305,"已下單","資金不足略過"))</f>
        <v/>
      </c>
      <c r="O305" s="16">
        <f>IF(N305="已下單",M305*資金模擬!$B$7,0)</f>
        <v/>
      </c>
      <c r="P305" s="4" t="n"/>
      <c r="Q305" s="10" t="n">
        <v>0</v>
      </c>
      <c r="R305" s="10">
        <f>R304+Q305</f>
        <v/>
      </c>
      <c r="S305" s="16">
        <f>S304+IF(N305="已下單",M305,0)</f>
        <v/>
      </c>
      <c r="T305" s="16">
        <f>R305-S305</f>
        <v/>
      </c>
      <c r="U305" s="2">
        <f>U304+IF(N305="已下單",1,0)</f>
        <v/>
      </c>
      <c r="V305" s="16">
        <f>IF(資金模擬!$B$9=2,MAX(R305,0),MAX(V304,FLOOR(MAX(R305,0),資金模擬!$B$6)))</f>
        <v/>
      </c>
      <c r="W305" s="10">
        <f>MAX(W304,R305)</f>
        <v/>
      </c>
      <c r="X305" s="4">
        <f>IF(W305&gt;0,R305/W305-1,-1)</f>
        <v/>
      </c>
      <c r="Y305" s="16">
        <f>IF(R305&gt;0,S305*資金模擬!$B$7/R305,0)</f>
        <v/>
      </c>
      <c r="Z305" s="2">
        <f>IF(OR(Z304=1,R305&lt;=資金模擬!$B$10),1,0)</f>
        <v/>
      </c>
    </row>
    <row r="306">
      <c r="A306" s="2" t="n">
        <v>304</v>
      </c>
      <c r="B306" s="7" t="n">
        <v>46291.98263888889</v>
      </c>
      <c r="C306" s="2" t="inlineStr">
        <is>
          <t>出場</t>
        </is>
      </c>
      <c r="D306" s="2" t="n">
        <v>152</v>
      </c>
      <c r="E306" s="2" t="inlineStr">
        <is>
          <t>US_USDT_PERP</t>
        </is>
      </c>
      <c r="F306" s="2" t="inlineStr">
        <is>
          <t>做空</t>
        </is>
      </c>
      <c r="G306" s="17" t="n">
        <v>0.02612</v>
      </c>
      <c r="H306" s="17" t="n">
        <v>0.0250752</v>
      </c>
      <c r="I306" s="17" t="n">
        <v>0.027426</v>
      </c>
      <c r="J306" s="17" t="n">
        <v>0.027426</v>
      </c>
      <c r="K306" s="2" t="inlineStr">
        <is>
          <t>止損</t>
        </is>
      </c>
      <c r="L306" s="5">
        <f>交易明細!K153</f>
        <v/>
      </c>
      <c r="M306" s="16">
        <f>M305</f>
        <v/>
      </c>
      <c r="N306" s="2">
        <f>N305</f>
        <v/>
      </c>
      <c r="O306" s="16">
        <f>O305</f>
        <v/>
      </c>
      <c r="P306" s="4">
        <f>交易明細!L153</f>
        <v/>
      </c>
      <c r="Q306" s="10">
        <f>IF(N306="已下單",O306*P306,0)</f>
        <v/>
      </c>
      <c r="R306" s="10">
        <f>R305+Q306</f>
        <v/>
      </c>
      <c r="S306" s="16">
        <f>S305-IF(N306="已下單",M306,0)</f>
        <v/>
      </c>
      <c r="T306" s="16">
        <f>R306-S306</f>
        <v/>
      </c>
      <c r="U306" s="2">
        <f>U305-IF(N306="已下單",1,0)</f>
        <v/>
      </c>
      <c r="V306" s="16">
        <f>IF(資金模擬!$B$9=2,MAX(R306,0),MAX(V305,FLOOR(MAX(R306,0),資金模擬!$B$6)))</f>
        <v/>
      </c>
      <c r="W306" s="10">
        <f>MAX(W305,R306)</f>
        <v/>
      </c>
      <c r="X306" s="4">
        <f>IF(W306&gt;0,R306/W306-1,-1)</f>
        <v/>
      </c>
      <c r="Y306" s="16">
        <f>IF(R306&gt;0,S306*資金模擬!$B$7/R306,0)</f>
        <v/>
      </c>
      <c r="Z306" s="2">
        <f>IF(OR(Z305=1,R306&lt;=資金模擬!$B$10),1,0)</f>
        <v/>
      </c>
    </row>
    <row r="307">
      <c r="A307" s="2" t="n">
        <v>305</v>
      </c>
      <c r="B307" s="7" t="n">
        <v>46292.02083333334</v>
      </c>
      <c r="C307" s="2" t="inlineStr">
        <is>
          <t>進場</t>
        </is>
      </c>
      <c r="D307" s="2" t="n">
        <v>153</v>
      </c>
      <c r="E307" s="2" t="inlineStr">
        <is>
          <t>CLANKER_USDT_PERP</t>
        </is>
      </c>
      <c r="F307" s="2" t="inlineStr">
        <is>
          <t>做空</t>
        </is>
      </c>
      <c r="G307" s="17" t="n">
        <v>16.55</v>
      </c>
      <c r="H307" s="17" t="n">
        <v>15.888</v>
      </c>
      <c r="I307" s="17" t="n">
        <v>17.3775</v>
      </c>
      <c r="J307" s="17" t="n"/>
      <c r="K307" s="2" t="n"/>
      <c r="L307" s="5" t="n"/>
      <c r="M307" s="16">
        <f>資金模擬!$B$5*V306</f>
        <v/>
      </c>
      <c r="N307" s="2">
        <f>IF(Z306=1,"已停止",IF(T306&gt;=M307,"已下單","資金不足略過"))</f>
        <v/>
      </c>
      <c r="O307" s="16">
        <f>IF(N307="已下單",M307*資金模擬!$B$7,0)</f>
        <v/>
      </c>
      <c r="P307" s="4" t="n"/>
      <c r="Q307" s="10" t="n">
        <v>0</v>
      </c>
      <c r="R307" s="10">
        <f>R306+Q307</f>
        <v/>
      </c>
      <c r="S307" s="16">
        <f>S306+IF(N307="已下單",M307,0)</f>
        <v/>
      </c>
      <c r="T307" s="16">
        <f>R307-S307</f>
        <v/>
      </c>
      <c r="U307" s="2">
        <f>U306+IF(N307="已下單",1,0)</f>
        <v/>
      </c>
      <c r="V307" s="16">
        <f>IF(資金模擬!$B$9=2,MAX(R307,0),MAX(V306,FLOOR(MAX(R307,0),資金模擬!$B$6)))</f>
        <v/>
      </c>
      <c r="W307" s="10">
        <f>MAX(W306,R307)</f>
        <v/>
      </c>
      <c r="X307" s="4">
        <f>IF(W307&gt;0,R307/W307-1,-1)</f>
        <v/>
      </c>
      <c r="Y307" s="16">
        <f>IF(R307&gt;0,S307*資金模擬!$B$7/R307,0)</f>
        <v/>
      </c>
      <c r="Z307" s="2">
        <f>IF(OR(Z306=1,R307&lt;=資金模擬!$B$10),1,0)</f>
        <v/>
      </c>
    </row>
    <row r="308">
      <c r="A308" s="2" t="n">
        <v>306</v>
      </c>
      <c r="B308" s="7" t="n">
        <v>46292.02430555555</v>
      </c>
      <c r="C308" s="2" t="inlineStr">
        <is>
          <t>出場</t>
        </is>
      </c>
      <c r="D308" s="2" t="n">
        <v>153</v>
      </c>
      <c r="E308" s="2" t="inlineStr">
        <is>
          <t>CLANKER_USDT_PERP</t>
        </is>
      </c>
      <c r="F308" s="2" t="inlineStr">
        <is>
          <t>做空</t>
        </is>
      </c>
      <c r="G308" s="17" t="n">
        <v>16.55</v>
      </c>
      <c r="H308" s="17" t="n">
        <v>15.888</v>
      </c>
      <c r="I308" s="17" t="n">
        <v>17.3775</v>
      </c>
      <c r="J308" s="17" t="n">
        <v>15.888</v>
      </c>
      <c r="K308" s="2" t="inlineStr">
        <is>
          <t>止盈</t>
        </is>
      </c>
      <c r="L308" s="5">
        <f>交易明細!K154</f>
        <v/>
      </c>
      <c r="M308" s="16">
        <f>M307</f>
        <v/>
      </c>
      <c r="N308" s="2">
        <f>N307</f>
        <v/>
      </c>
      <c r="O308" s="16">
        <f>O307</f>
        <v/>
      </c>
      <c r="P308" s="4">
        <f>交易明細!L154</f>
        <v/>
      </c>
      <c r="Q308" s="10">
        <f>IF(N308="已下單",O308*P308,0)</f>
        <v/>
      </c>
      <c r="R308" s="10">
        <f>R307+Q308</f>
        <v/>
      </c>
      <c r="S308" s="16">
        <f>S307-IF(N308="已下單",M308,0)</f>
        <v/>
      </c>
      <c r="T308" s="16">
        <f>R308-S308</f>
        <v/>
      </c>
      <c r="U308" s="2">
        <f>U307-IF(N308="已下單",1,0)</f>
        <v/>
      </c>
      <c r="V308" s="16">
        <f>IF(資金模擬!$B$9=2,MAX(R308,0),MAX(V307,FLOOR(MAX(R308,0),資金模擬!$B$6)))</f>
        <v/>
      </c>
      <c r="W308" s="10">
        <f>MAX(W307,R308)</f>
        <v/>
      </c>
      <c r="X308" s="4">
        <f>IF(W308&gt;0,R308/W308-1,-1)</f>
        <v/>
      </c>
      <c r="Y308" s="16">
        <f>IF(R308&gt;0,S308*資金模擬!$B$7/R308,0)</f>
        <v/>
      </c>
      <c r="Z308" s="2">
        <f>IF(OR(Z307=1,R308&lt;=資金模擬!$B$10),1,0)</f>
        <v/>
      </c>
    </row>
    <row r="309">
      <c r="A309" s="2" t="n">
        <v>307</v>
      </c>
      <c r="B309" s="7" t="n">
        <v>46292.44791666666</v>
      </c>
      <c r="C309" s="2" t="inlineStr">
        <is>
          <t>進場</t>
        </is>
      </c>
      <c r="D309" s="2" t="n">
        <v>154</v>
      </c>
      <c r="E309" s="2" t="inlineStr">
        <is>
          <t>SOON_USDT_PERP</t>
        </is>
      </c>
      <c r="F309" s="2" t="inlineStr">
        <is>
          <t>做空</t>
        </is>
      </c>
      <c r="G309" s="17" t="n">
        <v>0.2743</v>
      </c>
      <c r="H309" s="17" t="n">
        <v>0.263328</v>
      </c>
      <c r="I309" s="17" t="n">
        <v>0.288015</v>
      </c>
      <c r="J309" s="17" t="n"/>
      <c r="K309" s="2" t="n"/>
      <c r="L309" s="5" t="n"/>
      <c r="M309" s="16">
        <f>資金模擬!$B$5*V308</f>
        <v/>
      </c>
      <c r="N309" s="2">
        <f>IF(Z308=1,"已停止",IF(T308&gt;=M309,"已下單","資金不足略過"))</f>
        <v/>
      </c>
      <c r="O309" s="16">
        <f>IF(N309="已下單",M309*資金模擬!$B$7,0)</f>
        <v/>
      </c>
      <c r="P309" s="4" t="n"/>
      <c r="Q309" s="10" t="n">
        <v>0</v>
      </c>
      <c r="R309" s="10">
        <f>R308+Q309</f>
        <v/>
      </c>
      <c r="S309" s="16">
        <f>S308+IF(N309="已下單",M309,0)</f>
        <v/>
      </c>
      <c r="T309" s="16">
        <f>R309-S309</f>
        <v/>
      </c>
      <c r="U309" s="2">
        <f>U308+IF(N309="已下單",1,0)</f>
        <v/>
      </c>
      <c r="V309" s="16">
        <f>IF(資金模擬!$B$9=2,MAX(R309,0),MAX(V308,FLOOR(MAX(R309,0),資金模擬!$B$6)))</f>
        <v/>
      </c>
      <c r="W309" s="10">
        <f>MAX(W308,R309)</f>
        <v/>
      </c>
      <c r="X309" s="4">
        <f>IF(W309&gt;0,R309/W309-1,-1)</f>
        <v/>
      </c>
      <c r="Y309" s="16">
        <f>IF(R309&gt;0,S309*資金模擬!$B$7/R309,0)</f>
        <v/>
      </c>
      <c r="Z309" s="2">
        <f>IF(OR(Z308=1,R309&lt;=資金模擬!$B$10),1,0)</f>
        <v/>
      </c>
    </row>
    <row r="310">
      <c r="A310" s="2" t="n">
        <v>308</v>
      </c>
      <c r="B310" s="7" t="n">
        <v>46292.48263888889</v>
      </c>
      <c r="C310" s="2" t="inlineStr">
        <is>
          <t>出場</t>
        </is>
      </c>
      <c r="D310" s="2" t="n">
        <v>154</v>
      </c>
      <c r="E310" s="2" t="inlineStr">
        <is>
          <t>SOON_USDT_PERP</t>
        </is>
      </c>
      <c r="F310" s="2" t="inlineStr">
        <is>
          <t>做空</t>
        </is>
      </c>
      <c r="G310" s="17" t="n">
        <v>0.2743</v>
      </c>
      <c r="H310" s="17" t="n">
        <v>0.263328</v>
      </c>
      <c r="I310" s="17" t="n">
        <v>0.288015</v>
      </c>
      <c r="J310" s="17" t="n">
        <v>0.288015</v>
      </c>
      <c r="K310" s="2" t="inlineStr">
        <is>
          <t>止損</t>
        </is>
      </c>
      <c r="L310" s="5">
        <f>交易明細!K155</f>
        <v/>
      </c>
      <c r="M310" s="16">
        <f>M309</f>
        <v/>
      </c>
      <c r="N310" s="2">
        <f>N309</f>
        <v/>
      </c>
      <c r="O310" s="16">
        <f>O309</f>
        <v/>
      </c>
      <c r="P310" s="4">
        <f>交易明細!L155</f>
        <v/>
      </c>
      <c r="Q310" s="10">
        <f>IF(N310="已下單",O310*P310,0)</f>
        <v/>
      </c>
      <c r="R310" s="10">
        <f>R309+Q310</f>
        <v/>
      </c>
      <c r="S310" s="16">
        <f>S309-IF(N310="已下單",M310,0)</f>
        <v/>
      </c>
      <c r="T310" s="16">
        <f>R310-S310</f>
        <v/>
      </c>
      <c r="U310" s="2">
        <f>U309-IF(N310="已下單",1,0)</f>
        <v/>
      </c>
      <c r="V310" s="16">
        <f>IF(資金模擬!$B$9=2,MAX(R310,0),MAX(V309,FLOOR(MAX(R310,0),資金模擬!$B$6)))</f>
        <v/>
      </c>
      <c r="W310" s="10">
        <f>MAX(W309,R310)</f>
        <v/>
      </c>
      <c r="X310" s="4">
        <f>IF(W310&gt;0,R310/W310-1,-1)</f>
        <v/>
      </c>
      <c r="Y310" s="16">
        <f>IF(R310&gt;0,S310*資金模擬!$B$7/R310,0)</f>
        <v/>
      </c>
      <c r="Z310" s="2">
        <f>IF(OR(Z309=1,R310&lt;=資金模擬!$B$10),1,0)</f>
        <v/>
      </c>
    </row>
    <row r="311">
      <c r="A311" s="2" t="n">
        <v>309</v>
      </c>
      <c r="B311" s="7" t="n">
        <v>46292.75347222222</v>
      </c>
      <c r="C311" s="2" t="inlineStr">
        <is>
          <t>進場</t>
        </is>
      </c>
      <c r="D311" s="2" t="n">
        <v>155</v>
      </c>
      <c r="E311" s="2" t="inlineStr">
        <is>
          <t>ARX_USDT_PERP</t>
        </is>
      </c>
      <c r="F311" s="2" t="inlineStr">
        <is>
          <t>做空</t>
        </is>
      </c>
      <c r="G311" s="17" t="n">
        <v>0.2565</v>
      </c>
      <c r="H311" s="17" t="n">
        <v>0.24624</v>
      </c>
      <c r="I311" s="17" t="n">
        <v>0.269325</v>
      </c>
      <c r="J311" s="17" t="n"/>
      <c r="K311" s="2" t="n"/>
      <c r="L311" s="5" t="n"/>
      <c r="M311" s="16">
        <f>資金模擬!$B$5*V310</f>
        <v/>
      </c>
      <c r="N311" s="2">
        <f>IF(Z310=1,"已停止",IF(T310&gt;=M311,"已下單","資金不足略過"))</f>
        <v/>
      </c>
      <c r="O311" s="16">
        <f>IF(N311="已下單",M311*資金模擬!$B$7,0)</f>
        <v/>
      </c>
      <c r="P311" s="4" t="n"/>
      <c r="Q311" s="10" t="n">
        <v>0</v>
      </c>
      <c r="R311" s="10">
        <f>R310+Q311</f>
        <v/>
      </c>
      <c r="S311" s="16">
        <f>S310+IF(N311="已下單",M311,0)</f>
        <v/>
      </c>
      <c r="T311" s="16">
        <f>R311-S311</f>
        <v/>
      </c>
      <c r="U311" s="2">
        <f>U310+IF(N311="已下單",1,0)</f>
        <v/>
      </c>
      <c r="V311" s="16">
        <f>IF(資金模擬!$B$9=2,MAX(R311,0),MAX(V310,FLOOR(MAX(R311,0),資金模擬!$B$6)))</f>
        <v/>
      </c>
      <c r="W311" s="10">
        <f>MAX(W310,R311)</f>
        <v/>
      </c>
      <c r="X311" s="4">
        <f>IF(W311&gt;0,R311/W311-1,-1)</f>
        <v/>
      </c>
      <c r="Y311" s="16">
        <f>IF(R311&gt;0,S311*資金模擬!$B$7/R311,0)</f>
        <v/>
      </c>
      <c r="Z311" s="2">
        <f>IF(OR(Z310=1,R311&lt;=資金模擬!$B$10),1,0)</f>
        <v/>
      </c>
    </row>
    <row r="312">
      <c r="A312" s="2" t="n">
        <v>310</v>
      </c>
      <c r="B312" s="7" t="n">
        <v>46292.8125</v>
      </c>
      <c r="C312" s="2" t="inlineStr">
        <is>
          <t>出場</t>
        </is>
      </c>
      <c r="D312" s="2" t="n">
        <v>155</v>
      </c>
      <c r="E312" s="2" t="inlineStr">
        <is>
          <t>ARX_USDT_PERP</t>
        </is>
      </c>
      <c r="F312" s="2" t="inlineStr">
        <is>
          <t>做空</t>
        </is>
      </c>
      <c r="G312" s="17" t="n">
        <v>0.2565</v>
      </c>
      <c r="H312" s="17" t="n">
        <v>0.24624</v>
      </c>
      <c r="I312" s="17" t="n">
        <v>0.269325</v>
      </c>
      <c r="J312" s="17" t="n">
        <v>0.269325</v>
      </c>
      <c r="K312" s="2" t="inlineStr">
        <is>
          <t>止損</t>
        </is>
      </c>
      <c r="L312" s="5">
        <f>交易明細!K156</f>
        <v/>
      </c>
      <c r="M312" s="16">
        <f>M311</f>
        <v/>
      </c>
      <c r="N312" s="2">
        <f>N311</f>
        <v/>
      </c>
      <c r="O312" s="16">
        <f>O311</f>
        <v/>
      </c>
      <c r="P312" s="4">
        <f>交易明細!L156</f>
        <v/>
      </c>
      <c r="Q312" s="10">
        <f>IF(N312="已下單",O312*P312,0)</f>
        <v/>
      </c>
      <c r="R312" s="10">
        <f>R311+Q312</f>
        <v/>
      </c>
      <c r="S312" s="16">
        <f>S311-IF(N312="已下單",M312,0)</f>
        <v/>
      </c>
      <c r="T312" s="16">
        <f>R312-S312</f>
        <v/>
      </c>
      <c r="U312" s="2">
        <f>U311-IF(N312="已下單",1,0)</f>
        <v/>
      </c>
      <c r="V312" s="16">
        <f>IF(資金模擬!$B$9=2,MAX(R312,0),MAX(V311,FLOOR(MAX(R312,0),資金模擬!$B$6)))</f>
        <v/>
      </c>
      <c r="W312" s="10">
        <f>MAX(W311,R312)</f>
        <v/>
      </c>
      <c r="X312" s="4">
        <f>IF(W312&gt;0,R312/W312-1,-1)</f>
        <v/>
      </c>
      <c r="Y312" s="16">
        <f>IF(R312&gt;0,S312*資金模擬!$B$7/R312,0)</f>
        <v/>
      </c>
      <c r="Z312" s="2">
        <f>IF(OR(Z311=1,R312&lt;=資金模擬!$B$10),1,0)</f>
        <v/>
      </c>
    </row>
    <row r="313">
      <c r="A313" s="2" t="n">
        <v>311</v>
      </c>
      <c r="B313" s="7" t="n">
        <v>46292.9375</v>
      </c>
      <c r="C313" s="2" t="inlineStr">
        <is>
          <t>進場</t>
        </is>
      </c>
      <c r="D313" s="2" t="n">
        <v>156</v>
      </c>
      <c r="E313" s="2" t="inlineStr">
        <is>
          <t>MAGIC_USDT_PERP</t>
        </is>
      </c>
      <c r="F313" s="2" t="inlineStr">
        <is>
          <t>做空</t>
        </is>
      </c>
      <c r="G313" s="17" t="n">
        <v>0.0602</v>
      </c>
      <c r="H313" s="17" t="n">
        <v>0.057792</v>
      </c>
      <c r="I313" s="17" t="n">
        <v>0.06321</v>
      </c>
      <c r="J313" s="17" t="n"/>
      <c r="K313" s="2" t="n"/>
      <c r="L313" s="5" t="n"/>
      <c r="M313" s="16">
        <f>資金模擬!$B$5*V312</f>
        <v/>
      </c>
      <c r="N313" s="2">
        <f>IF(Z312=1,"已停止",IF(T312&gt;=M313,"已下單","資金不足略過"))</f>
        <v/>
      </c>
      <c r="O313" s="16">
        <f>IF(N313="已下單",M313*資金模擬!$B$7,0)</f>
        <v/>
      </c>
      <c r="P313" s="4" t="n"/>
      <c r="Q313" s="10" t="n">
        <v>0</v>
      </c>
      <c r="R313" s="10">
        <f>R312+Q313</f>
        <v/>
      </c>
      <c r="S313" s="16">
        <f>S312+IF(N313="已下單",M313,0)</f>
        <v/>
      </c>
      <c r="T313" s="16">
        <f>R313-S313</f>
        <v/>
      </c>
      <c r="U313" s="2">
        <f>U312+IF(N313="已下單",1,0)</f>
        <v/>
      </c>
      <c r="V313" s="16">
        <f>IF(資金模擬!$B$9=2,MAX(R313,0),MAX(V312,FLOOR(MAX(R313,0),資金模擬!$B$6)))</f>
        <v/>
      </c>
      <c r="W313" s="10">
        <f>MAX(W312,R313)</f>
        <v/>
      </c>
      <c r="X313" s="4">
        <f>IF(W313&gt;0,R313/W313-1,-1)</f>
        <v/>
      </c>
      <c r="Y313" s="16">
        <f>IF(R313&gt;0,S313*資金模擬!$B$7/R313,0)</f>
        <v/>
      </c>
      <c r="Z313" s="2">
        <f>IF(OR(Z312=1,R313&lt;=資金模擬!$B$10),1,0)</f>
        <v/>
      </c>
    </row>
    <row r="314">
      <c r="A314" s="2" t="n">
        <v>312</v>
      </c>
      <c r="B314" s="7" t="n">
        <v>46292.95138888889</v>
      </c>
      <c r="C314" s="2" t="inlineStr">
        <is>
          <t>出場</t>
        </is>
      </c>
      <c r="D314" s="2" t="n">
        <v>156</v>
      </c>
      <c r="E314" s="2" t="inlineStr">
        <is>
          <t>MAGIC_USDT_PERP</t>
        </is>
      </c>
      <c r="F314" s="2" t="inlineStr">
        <is>
          <t>做空</t>
        </is>
      </c>
      <c r="G314" s="17" t="n">
        <v>0.0602</v>
      </c>
      <c r="H314" s="17" t="n">
        <v>0.057792</v>
      </c>
      <c r="I314" s="17" t="n">
        <v>0.06321</v>
      </c>
      <c r="J314" s="17" t="n">
        <v>0.057792</v>
      </c>
      <c r="K314" s="2" t="inlineStr">
        <is>
          <t>止盈</t>
        </is>
      </c>
      <c r="L314" s="5">
        <f>交易明細!K157</f>
        <v/>
      </c>
      <c r="M314" s="16">
        <f>M313</f>
        <v/>
      </c>
      <c r="N314" s="2">
        <f>N313</f>
        <v/>
      </c>
      <c r="O314" s="16">
        <f>O313</f>
        <v/>
      </c>
      <c r="P314" s="4">
        <f>交易明細!L157</f>
        <v/>
      </c>
      <c r="Q314" s="10">
        <f>IF(N314="已下單",O314*P314,0)</f>
        <v/>
      </c>
      <c r="R314" s="10">
        <f>R313+Q314</f>
        <v/>
      </c>
      <c r="S314" s="16">
        <f>S313-IF(N314="已下單",M314,0)</f>
        <v/>
      </c>
      <c r="T314" s="16">
        <f>R314-S314</f>
        <v/>
      </c>
      <c r="U314" s="2">
        <f>U313-IF(N314="已下單",1,0)</f>
        <v/>
      </c>
      <c r="V314" s="16">
        <f>IF(資金模擬!$B$9=2,MAX(R314,0),MAX(V313,FLOOR(MAX(R314,0),資金模擬!$B$6)))</f>
        <v/>
      </c>
      <c r="W314" s="10">
        <f>MAX(W313,R314)</f>
        <v/>
      </c>
      <c r="X314" s="4">
        <f>IF(W314&gt;0,R314/W314-1,-1)</f>
        <v/>
      </c>
      <c r="Y314" s="16">
        <f>IF(R314&gt;0,S314*資金模擬!$B$7/R314,0)</f>
        <v/>
      </c>
      <c r="Z314" s="2">
        <f>IF(OR(Z313=1,R314&lt;=資金模擬!$B$10),1,0)</f>
        <v/>
      </c>
    </row>
    <row r="315">
      <c r="A315" s="2" t="n">
        <v>313</v>
      </c>
      <c r="B315" s="7" t="n">
        <v>46293.37847222222</v>
      </c>
      <c r="C315" s="2" t="inlineStr">
        <is>
          <t>進場</t>
        </is>
      </c>
      <c r="D315" s="2" t="n">
        <v>157</v>
      </c>
      <c r="E315" s="2" t="inlineStr">
        <is>
          <t>IRYS_USDT_PERP</t>
        </is>
      </c>
      <c r="F315" s="2" t="inlineStr">
        <is>
          <t>做空</t>
        </is>
      </c>
      <c r="G315" s="17" t="n">
        <v>0.01986</v>
      </c>
      <c r="H315" s="17" t="n">
        <v>0.0190656</v>
      </c>
      <c r="I315" s="17" t="n">
        <v>0.020853</v>
      </c>
      <c r="J315" s="17" t="n"/>
      <c r="K315" s="2" t="n"/>
      <c r="L315" s="5" t="n"/>
      <c r="M315" s="16">
        <f>資金模擬!$B$5*V314</f>
        <v/>
      </c>
      <c r="N315" s="2">
        <f>IF(Z314=1,"已停止",IF(T314&gt;=M315,"已下單","資金不足略過"))</f>
        <v/>
      </c>
      <c r="O315" s="16">
        <f>IF(N315="已下單",M315*資金模擬!$B$7,0)</f>
        <v/>
      </c>
      <c r="P315" s="4" t="n"/>
      <c r="Q315" s="10" t="n">
        <v>0</v>
      </c>
      <c r="R315" s="10">
        <f>R314+Q315</f>
        <v/>
      </c>
      <c r="S315" s="16">
        <f>S314+IF(N315="已下單",M315,0)</f>
        <v/>
      </c>
      <c r="T315" s="16">
        <f>R315-S315</f>
        <v/>
      </c>
      <c r="U315" s="2">
        <f>U314+IF(N315="已下單",1,0)</f>
        <v/>
      </c>
      <c r="V315" s="16">
        <f>IF(資金模擬!$B$9=2,MAX(R315,0),MAX(V314,FLOOR(MAX(R315,0),資金模擬!$B$6)))</f>
        <v/>
      </c>
      <c r="W315" s="10">
        <f>MAX(W314,R315)</f>
        <v/>
      </c>
      <c r="X315" s="4">
        <f>IF(W315&gt;0,R315/W315-1,-1)</f>
        <v/>
      </c>
      <c r="Y315" s="16">
        <f>IF(R315&gt;0,S315*資金模擬!$B$7/R315,0)</f>
        <v/>
      </c>
      <c r="Z315" s="2">
        <f>IF(OR(Z314=1,R315&lt;=資金模擬!$B$10),1,0)</f>
        <v/>
      </c>
    </row>
    <row r="316">
      <c r="A316" s="2" t="n">
        <v>314</v>
      </c>
      <c r="B316" s="7" t="n">
        <v>46293.42361111111</v>
      </c>
      <c r="C316" s="2" t="inlineStr">
        <is>
          <t>出場</t>
        </is>
      </c>
      <c r="D316" s="2" t="n">
        <v>157</v>
      </c>
      <c r="E316" s="2" t="inlineStr">
        <is>
          <t>IRYS_USDT_PERP</t>
        </is>
      </c>
      <c r="F316" s="2" t="inlineStr">
        <is>
          <t>做空</t>
        </is>
      </c>
      <c r="G316" s="17" t="n">
        <v>0.01986</v>
      </c>
      <c r="H316" s="17" t="n">
        <v>0.0190656</v>
      </c>
      <c r="I316" s="17" t="n">
        <v>0.020853</v>
      </c>
      <c r="J316" s="17" t="n">
        <v>0.020853</v>
      </c>
      <c r="K316" s="2" t="inlineStr">
        <is>
          <t>止損</t>
        </is>
      </c>
      <c r="L316" s="5">
        <f>交易明細!K158</f>
        <v/>
      </c>
      <c r="M316" s="16">
        <f>M315</f>
        <v/>
      </c>
      <c r="N316" s="2">
        <f>N315</f>
        <v/>
      </c>
      <c r="O316" s="16">
        <f>O315</f>
        <v/>
      </c>
      <c r="P316" s="4">
        <f>交易明細!L158</f>
        <v/>
      </c>
      <c r="Q316" s="10">
        <f>IF(N316="已下單",O316*P316,0)</f>
        <v/>
      </c>
      <c r="R316" s="10">
        <f>R315+Q316</f>
        <v/>
      </c>
      <c r="S316" s="16">
        <f>S315-IF(N316="已下單",M316,0)</f>
        <v/>
      </c>
      <c r="T316" s="16">
        <f>R316-S316</f>
        <v/>
      </c>
      <c r="U316" s="2">
        <f>U315-IF(N316="已下單",1,0)</f>
        <v/>
      </c>
      <c r="V316" s="16">
        <f>IF(資金模擬!$B$9=2,MAX(R316,0),MAX(V315,FLOOR(MAX(R316,0),資金模擬!$B$6)))</f>
        <v/>
      </c>
      <c r="W316" s="10">
        <f>MAX(W315,R316)</f>
        <v/>
      </c>
      <c r="X316" s="4">
        <f>IF(W316&gt;0,R316/W316-1,-1)</f>
        <v/>
      </c>
      <c r="Y316" s="16">
        <f>IF(R316&gt;0,S316*資金模擬!$B$7/R316,0)</f>
        <v/>
      </c>
      <c r="Z316" s="2">
        <f>IF(OR(Z315=1,R316&lt;=資金模擬!$B$10),1,0)</f>
        <v/>
      </c>
    </row>
    <row r="317">
      <c r="A317" s="2" t="n">
        <v>315</v>
      </c>
      <c r="B317" s="7" t="n">
        <v>46293.56597222222</v>
      </c>
      <c r="C317" s="2" t="inlineStr">
        <is>
          <t>進場</t>
        </is>
      </c>
      <c r="D317" s="2" t="n">
        <v>158</v>
      </c>
      <c r="E317" s="2" t="inlineStr">
        <is>
          <t>CASHCAT_USDT_PERP</t>
        </is>
      </c>
      <c r="F317" s="2" t="inlineStr">
        <is>
          <t>做空</t>
        </is>
      </c>
      <c r="G317" s="17" t="n">
        <v>0.1856</v>
      </c>
      <c r="H317" s="17" t="n">
        <v>0.178176</v>
      </c>
      <c r="I317" s="17" t="n">
        <v>0.19488</v>
      </c>
      <c r="J317" s="17" t="n"/>
      <c r="K317" s="2" t="n"/>
      <c r="L317" s="5" t="n"/>
      <c r="M317" s="16">
        <f>資金模擬!$B$5*V316</f>
        <v/>
      </c>
      <c r="N317" s="2">
        <f>IF(Z316=1,"已停止",IF(T316&gt;=M317,"已下單","資金不足略過"))</f>
        <v/>
      </c>
      <c r="O317" s="16">
        <f>IF(N317="已下單",M317*資金模擬!$B$7,0)</f>
        <v/>
      </c>
      <c r="P317" s="4" t="n"/>
      <c r="Q317" s="10" t="n">
        <v>0</v>
      </c>
      <c r="R317" s="10">
        <f>R316+Q317</f>
        <v/>
      </c>
      <c r="S317" s="16">
        <f>S316+IF(N317="已下單",M317,0)</f>
        <v/>
      </c>
      <c r="T317" s="16">
        <f>R317-S317</f>
        <v/>
      </c>
      <c r="U317" s="2">
        <f>U316+IF(N317="已下單",1,0)</f>
        <v/>
      </c>
      <c r="V317" s="16">
        <f>IF(資金模擬!$B$9=2,MAX(R317,0),MAX(V316,FLOOR(MAX(R317,0),資金模擬!$B$6)))</f>
        <v/>
      </c>
      <c r="W317" s="10">
        <f>MAX(W316,R317)</f>
        <v/>
      </c>
      <c r="X317" s="4">
        <f>IF(W317&gt;0,R317/W317-1,-1)</f>
        <v/>
      </c>
      <c r="Y317" s="16">
        <f>IF(R317&gt;0,S317*資金模擬!$B$7/R317,0)</f>
        <v/>
      </c>
      <c r="Z317" s="2">
        <f>IF(OR(Z316=1,R317&lt;=資金模擬!$B$10),1,0)</f>
        <v/>
      </c>
    </row>
    <row r="318">
      <c r="A318" s="2" t="n">
        <v>316</v>
      </c>
      <c r="B318" s="7" t="n">
        <v>46293.67361111111</v>
      </c>
      <c r="C318" s="2" t="inlineStr">
        <is>
          <t>出場</t>
        </is>
      </c>
      <c r="D318" s="2" t="n">
        <v>158</v>
      </c>
      <c r="E318" s="2" t="inlineStr">
        <is>
          <t>CASHCAT_USDT_PERP</t>
        </is>
      </c>
      <c r="F318" s="2" t="inlineStr">
        <is>
          <t>做空</t>
        </is>
      </c>
      <c r="G318" s="17" t="n">
        <v>0.1856</v>
      </c>
      <c r="H318" s="17" t="n">
        <v>0.178176</v>
      </c>
      <c r="I318" s="17" t="n">
        <v>0.19488</v>
      </c>
      <c r="J318" s="17" t="n">
        <v>0.19488</v>
      </c>
      <c r="K318" s="2" t="inlineStr">
        <is>
          <t>止損</t>
        </is>
      </c>
      <c r="L318" s="5">
        <f>交易明細!K159</f>
        <v/>
      </c>
      <c r="M318" s="16">
        <f>M317</f>
        <v/>
      </c>
      <c r="N318" s="2">
        <f>N317</f>
        <v/>
      </c>
      <c r="O318" s="16">
        <f>O317</f>
        <v/>
      </c>
      <c r="P318" s="4">
        <f>交易明細!L159</f>
        <v/>
      </c>
      <c r="Q318" s="10">
        <f>IF(N318="已下單",O318*P318,0)</f>
        <v/>
      </c>
      <c r="R318" s="10">
        <f>R317+Q318</f>
        <v/>
      </c>
      <c r="S318" s="16">
        <f>S317-IF(N318="已下單",M318,0)</f>
        <v/>
      </c>
      <c r="T318" s="16">
        <f>R318-S318</f>
        <v/>
      </c>
      <c r="U318" s="2">
        <f>U317-IF(N318="已下單",1,0)</f>
        <v/>
      </c>
      <c r="V318" s="16">
        <f>IF(資金模擬!$B$9=2,MAX(R318,0),MAX(V317,FLOOR(MAX(R318,0),資金模擬!$B$6)))</f>
        <v/>
      </c>
      <c r="W318" s="10">
        <f>MAX(W317,R318)</f>
        <v/>
      </c>
      <c r="X318" s="4">
        <f>IF(W318&gt;0,R318/W318-1,-1)</f>
        <v/>
      </c>
      <c r="Y318" s="16">
        <f>IF(R318&gt;0,S318*資金模擬!$B$7/R318,0)</f>
        <v/>
      </c>
      <c r="Z318" s="2">
        <f>IF(OR(Z317=1,R318&lt;=資金模擬!$B$10),1,0)</f>
        <v/>
      </c>
    </row>
    <row r="319">
      <c r="A319" s="2" t="n">
        <v>317</v>
      </c>
      <c r="B319" s="7" t="n">
        <v>46293.81944444445</v>
      </c>
      <c r="C319" s="2" t="inlineStr">
        <is>
          <t>進場</t>
        </is>
      </c>
      <c r="D319" s="2" t="n">
        <v>159</v>
      </c>
      <c r="E319" s="2" t="inlineStr">
        <is>
          <t>NMR_USDT_PERP</t>
        </is>
      </c>
      <c r="F319" s="2" t="inlineStr">
        <is>
          <t>做空</t>
        </is>
      </c>
      <c r="G319" s="17" t="n">
        <v>11.308</v>
      </c>
      <c r="H319" s="17" t="n">
        <v>10.85568</v>
      </c>
      <c r="I319" s="17" t="n">
        <v>11.8734</v>
      </c>
      <c r="J319" s="17" t="n"/>
      <c r="K319" s="2" t="n"/>
      <c r="L319" s="5" t="n"/>
      <c r="M319" s="16">
        <f>資金模擬!$B$5*V318</f>
        <v/>
      </c>
      <c r="N319" s="2">
        <f>IF(Z318=1,"已停止",IF(T318&gt;=M319,"已下單","資金不足略過"))</f>
        <v/>
      </c>
      <c r="O319" s="16">
        <f>IF(N319="已下單",M319*資金模擬!$B$7,0)</f>
        <v/>
      </c>
      <c r="P319" s="4" t="n"/>
      <c r="Q319" s="10" t="n">
        <v>0</v>
      </c>
      <c r="R319" s="10">
        <f>R318+Q319</f>
        <v/>
      </c>
      <c r="S319" s="16">
        <f>S318+IF(N319="已下單",M319,0)</f>
        <v/>
      </c>
      <c r="T319" s="16">
        <f>R319-S319</f>
        <v/>
      </c>
      <c r="U319" s="2">
        <f>U318+IF(N319="已下單",1,0)</f>
        <v/>
      </c>
      <c r="V319" s="16">
        <f>IF(資金模擬!$B$9=2,MAX(R319,0),MAX(V318,FLOOR(MAX(R319,0),資金模擬!$B$6)))</f>
        <v/>
      </c>
      <c r="W319" s="10">
        <f>MAX(W318,R319)</f>
        <v/>
      </c>
      <c r="X319" s="4">
        <f>IF(W319&gt;0,R319/W319-1,-1)</f>
        <v/>
      </c>
      <c r="Y319" s="16">
        <f>IF(R319&gt;0,S319*資金模擬!$B$7/R319,0)</f>
        <v/>
      </c>
      <c r="Z319" s="2">
        <f>IF(OR(Z318=1,R319&lt;=資金模擬!$B$10),1,0)</f>
        <v/>
      </c>
    </row>
    <row r="320">
      <c r="A320" s="2" t="n">
        <v>318</v>
      </c>
      <c r="B320" s="7" t="n">
        <v>46293.85416666666</v>
      </c>
      <c r="C320" s="2" t="inlineStr">
        <is>
          <t>出場</t>
        </is>
      </c>
      <c r="D320" s="2" t="n">
        <v>159</v>
      </c>
      <c r="E320" s="2" t="inlineStr">
        <is>
          <t>NMR_USDT_PERP</t>
        </is>
      </c>
      <c r="F320" s="2" t="inlineStr">
        <is>
          <t>做空</t>
        </is>
      </c>
      <c r="G320" s="17" t="n">
        <v>11.308</v>
      </c>
      <c r="H320" s="17" t="n">
        <v>10.85568</v>
      </c>
      <c r="I320" s="17" t="n">
        <v>11.8734</v>
      </c>
      <c r="J320" s="17" t="n">
        <v>10.85568</v>
      </c>
      <c r="K320" s="2" t="inlineStr">
        <is>
          <t>止盈</t>
        </is>
      </c>
      <c r="L320" s="5">
        <f>交易明細!K160</f>
        <v/>
      </c>
      <c r="M320" s="16">
        <f>M319</f>
        <v/>
      </c>
      <c r="N320" s="2">
        <f>N319</f>
        <v/>
      </c>
      <c r="O320" s="16">
        <f>O319</f>
        <v/>
      </c>
      <c r="P320" s="4">
        <f>交易明細!L160</f>
        <v/>
      </c>
      <c r="Q320" s="10">
        <f>IF(N320="已下單",O320*P320,0)</f>
        <v/>
      </c>
      <c r="R320" s="10">
        <f>R319+Q320</f>
        <v/>
      </c>
      <c r="S320" s="16">
        <f>S319-IF(N320="已下單",M320,0)</f>
        <v/>
      </c>
      <c r="T320" s="16">
        <f>R320-S320</f>
        <v/>
      </c>
      <c r="U320" s="2">
        <f>U319-IF(N320="已下單",1,0)</f>
        <v/>
      </c>
      <c r="V320" s="16">
        <f>IF(資金模擬!$B$9=2,MAX(R320,0),MAX(V319,FLOOR(MAX(R320,0),資金模擬!$B$6)))</f>
        <v/>
      </c>
      <c r="W320" s="10">
        <f>MAX(W319,R320)</f>
        <v/>
      </c>
      <c r="X320" s="4">
        <f>IF(W320&gt;0,R320/W320-1,-1)</f>
        <v/>
      </c>
      <c r="Y320" s="16">
        <f>IF(R320&gt;0,S320*資金模擬!$B$7/R320,0)</f>
        <v/>
      </c>
      <c r="Z320" s="2">
        <f>IF(OR(Z319=1,R320&lt;=資金模擬!$B$10),1,0)</f>
        <v/>
      </c>
    </row>
    <row r="321">
      <c r="A321" s="2" t="n">
        <v>319</v>
      </c>
      <c r="B321" s="7" t="n">
        <v>46293.92708333334</v>
      </c>
      <c r="C321" s="2" t="inlineStr">
        <is>
          <t>進場</t>
        </is>
      </c>
      <c r="D321" s="2" t="n">
        <v>160</v>
      </c>
      <c r="E321" s="2" t="inlineStr">
        <is>
          <t>ZEST_USDT_PERP</t>
        </is>
      </c>
      <c r="F321" s="2" t="inlineStr">
        <is>
          <t>做空</t>
        </is>
      </c>
      <c r="G321" s="17" t="n">
        <v>0.18979</v>
      </c>
      <c r="H321" s="17" t="n">
        <v>0.1821984</v>
      </c>
      <c r="I321" s="17" t="n">
        <v>0.1992795</v>
      </c>
      <c r="J321" s="17" t="n"/>
      <c r="K321" s="2" t="n"/>
      <c r="L321" s="5" t="n"/>
      <c r="M321" s="16">
        <f>資金模擬!$B$5*V320</f>
        <v/>
      </c>
      <c r="N321" s="2">
        <f>IF(Z320=1,"已停止",IF(T320&gt;=M321,"已下單","資金不足略過"))</f>
        <v/>
      </c>
      <c r="O321" s="16">
        <f>IF(N321="已下單",M321*資金模擬!$B$7,0)</f>
        <v/>
      </c>
      <c r="P321" s="4" t="n"/>
      <c r="Q321" s="10" t="n">
        <v>0</v>
      </c>
      <c r="R321" s="10">
        <f>R320+Q321</f>
        <v/>
      </c>
      <c r="S321" s="16">
        <f>S320+IF(N321="已下單",M321,0)</f>
        <v/>
      </c>
      <c r="T321" s="16">
        <f>R321-S321</f>
        <v/>
      </c>
      <c r="U321" s="2">
        <f>U320+IF(N321="已下單",1,0)</f>
        <v/>
      </c>
      <c r="V321" s="16">
        <f>IF(資金模擬!$B$9=2,MAX(R321,0),MAX(V320,FLOOR(MAX(R321,0),資金模擬!$B$6)))</f>
        <v/>
      </c>
      <c r="W321" s="10">
        <f>MAX(W320,R321)</f>
        <v/>
      </c>
      <c r="X321" s="4">
        <f>IF(W321&gt;0,R321/W321-1,-1)</f>
        <v/>
      </c>
      <c r="Y321" s="16">
        <f>IF(R321&gt;0,S321*資金模擬!$B$7/R321,0)</f>
        <v/>
      </c>
      <c r="Z321" s="2">
        <f>IF(OR(Z320=1,R321&lt;=資金模擬!$B$10),1,0)</f>
        <v/>
      </c>
    </row>
    <row r="322">
      <c r="A322" s="2" t="n">
        <v>320</v>
      </c>
      <c r="B322" s="7" t="n">
        <v>46293.99305555555</v>
      </c>
      <c r="C322" s="2" t="inlineStr">
        <is>
          <t>出場</t>
        </is>
      </c>
      <c r="D322" s="2" t="n">
        <v>160</v>
      </c>
      <c r="E322" s="2" t="inlineStr">
        <is>
          <t>ZEST_USDT_PERP</t>
        </is>
      </c>
      <c r="F322" s="2" t="inlineStr">
        <is>
          <t>做空</t>
        </is>
      </c>
      <c r="G322" s="17" t="n">
        <v>0.18979</v>
      </c>
      <c r="H322" s="17" t="n">
        <v>0.1821984</v>
      </c>
      <c r="I322" s="17" t="n">
        <v>0.1992795</v>
      </c>
      <c r="J322" s="17" t="n">
        <v>0.1821984</v>
      </c>
      <c r="K322" s="2" t="inlineStr">
        <is>
          <t>止盈</t>
        </is>
      </c>
      <c r="L322" s="5">
        <f>交易明細!K161</f>
        <v/>
      </c>
      <c r="M322" s="16">
        <f>M321</f>
        <v/>
      </c>
      <c r="N322" s="2">
        <f>N321</f>
        <v/>
      </c>
      <c r="O322" s="16">
        <f>O321</f>
        <v/>
      </c>
      <c r="P322" s="4">
        <f>交易明細!L161</f>
        <v/>
      </c>
      <c r="Q322" s="10">
        <f>IF(N322="已下單",O322*P322,0)</f>
        <v/>
      </c>
      <c r="R322" s="10">
        <f>R321+Q322</f>
        <v/>
      </c>
      <c r="S322" s="16">
        <f>S321-IF(N322="已下單",M322,0)</f>
        <v/>
      </c>
      <c r="T322" s="16">
        <f>R322-S322</f>
        <v/>
      </c>
      <c r="U322" s="2">
        <f>U321-IF(N322="已下單",1,0)</f>
        <v/>
      </c>
      <c r="V322" s="16">
        <f>IF(資金模擬!$B$9=2,MAX(R322,0),MAX(V321,FLOOR(MAX(R322,0),資金模擬!$B$6)))</f>
        <v/>
      </c>
      <c r="W322" s="10">
        <f>MAX(W321,R322)</f>
        <v/>
      </c>
      <c r="X322" s="4">
        <f>IF(W322&gt;0,R322/W322-1,-1)</f>
        <v/>
      </c>
      <c r="Y322" s="16">
        <f>IF(R322&gt;0,S322*資金模擬!$B$7/R322,0)</f>
        <v/>
      </c>
      <c r="Z322" s="2">
        <f>IF(OR(Z321=1,R322&lt;=資金模擬!$B$10),1,0)</f>
        <v/>
      </c>
    </row>
    <row r="323">
      <c r="A323" s="2" t="n">
        <v>321</v>
      </c>
      <c r="B323" s="7" t="n">
        <v>46294.03472222222</v>
      </c>
      <c r="C323" s="2" t="inlineStr">
        <is>
          <t>進場</t>
        </is>
      </c>
      <c r="D323" s="2" t="n">
        <v>161</v>
      </c>
      <c r="E323" s="2" t="inlineStr">
        <is>
          <t>US_USDT_PERP</t>
        </is>
      </c>
      <c r="F323" s="2" t="inlineStr">
        <is>
          <t>做空</t>
        </is>
      </c>
      <c r="G323" s="17" t="n">
        <v>0.03071</v>
      </c>
      <c r="H323" s="17" t="n">
        <v>0.0294816</v>
      </c>
      <c r="I323" s="17" t="n">
        <v>0.0322455</v>
      </c>
      <c r="J323" s="17" t="n"/>
      <c r="K323" s="2" t="n"/>
      <c r="L323" s="5" t="n"/>
      <c r="M323" s="16">
        <f>資金模擬!$B$5*V322</f>
        <v/>
      </c>
      <c r="N323" s="2">
        <f>IF(Z322=1,"已停止",IF(T322&gt;=M323,"已下單","資金不足略過"))</f>
        <v/>
      </c>
      <c r="O323" s="16">
        <f>IF(N323="已下單",M323*資金模擬!$B$7,0)</f>
        <v/>
      </c>
      <c r="P323" s="4" t="n"/>
      <c r="Q323" s="10" t="n">
        <v>0</v>
      </c>
      <c r="R323" s="10">
        <f>R322+Q323</f>
        <v/>
      </c>
      <c r="S323" s="16">
        <f>S322+IF(N323="已下單",M323,0)</f>
        <v/>
      </c>
      <c r="T323" s="16">
        <f>R323-S323</f>
        <v/>
      </c>
      <c r="U323" s="2">
        <f>U322+IF(N323="已下單",1,0)</f>
        <v/>
      </c>
      <c r="V323" s="16">
        <f>IF(資金模擬!$B$9=2,MAX(R323,0),MAX(V322,FLOOR(MAX(R323,0),資金模擬!$B$6)))</f>
        <v/>
      </c>
      <c r="W323" s="10">
        <f>MAX(W322,R323)</f>
        <v/>
      </c>
      <c r="X323" s="4">
        <f>IF(W323&gt;0,R323/W323-1,-1)</f>
        <v/>
      </c>
      <c r="Y323" s="16">
        <f>IF(R323&gt;0,S323*資金模擬!$B$7/R323,0)</f>
        <v/>
      </c>
      <c r="Z323" s="2">
        <f>IF(OR(Z322=1,R323&lt;=資金模擬!$B$10),1,0)</f>
        <v/>
      </c>
    </row>
    <row r="324">
      <c r="A324" s="2" t="n">
        <v>322</v>
      </c>
      <c r="B324" s="7" t="n">
        <v>46294.03819444445</v>
      </c>
      <c r="C324" s="2" t="inlineStr">
        <is>
          <t>出場</t>
        </is>
      </c>
      <c r="D324" s="2" t="n">
        <v>161</v>
      </c>
      <c r="E324" s="2" t="inlineStr">
        <is>
          <t>US_USDT_PERP</t>
        </is>
      </c>
      <c r="F324" s="2" t="inlineStr">
        <is>
          <t>做空</t>
        </is>
      </c>
      <c r="G324" s="17" t="n">
        <v>0.03071</v>
      </c>
      <c r="H324" s="17" t="n">
        <v>0.0294816</v>
      </c>
      <c r="I324" s="17" t="n">
        <v>0.0322455</v>
      </c>
      <c r="J324" s="17" t="n">
        <v>0.0294816</v>
      </c>
      <c r="K324" s="2" t="inlineStr">
        <is>
          <t>止盈</t>
        </is>
      </c>
      <c r="L324" s="5">
        <f>交易明細!K162</f>
        <v/>
      </c>
      <c r="M324" s="16">
        <f>M323</f>
        <v/>
      </c>
      <c r="N324" s="2">
        <f>N323</f>
        <v/>
      </c>
      <c r="O324" s="16">
        <f>O323</f>
        <v/>
      </c>
      <c r="P324" s="4">
        <f>交易明細!L162</f>
        <v/>
      </c>
      <c r="Q324" s="10">
        <f>IF(N324="已下單",O324*P324,0)</f>
        <v/>
      </c>
      <c r="R324" s="10">
        <f>R323+Q324</f>
        <v/>
      </c>
      <c r="S324" s="16">
        <f>S323-IF(N324="已下單",M324,0)</f>
        <v/>
      </c>
      <c r="T324" s="16">
        <f>R324-S324</f>
        <v/>
      </c>
      <c r="U324" s="2">
        <f>U323-IF(N324="已下單",1,0)</f>
        <v/>
      </c>
      <c r="V324" s="16">
        <f>IF(資金模擬!$B$9=2,MAX(R324,0),MAX(V323,FLOOR(MAX(R324,0),資金模擬!$B$6)))</f>
        <v/>
      </c>
      <c r="W324" s="10">
        <f>MAX(W323,R324)</f>
        <v/>
      </c>
      <c r="X324" s="4">
        <f>IF(W324&gt;0,R324/W324-1,-1)</f>
        <v/>
      </c>
      <c r="Y324" s="16">
        <f>IF(R324&gt;0,S324*資金模擬!$B$7/R324,0)</f>
        <v/>
      </c>
      <c r="Z324" s="2">
        <f>IF(OR(Z323=1,R324&lt;=資金模擬!$B$10),1,0)</f>
        <v/>
      </c>
    </row>
    <row r="325">
      <c r="A325" s="2" t="n">
        <v>323</v>
      </c>
      <c r="B325" s="7" t="n">
        <v>46294.45138888889</v>
      </c>
      <c r="C325" s="2" t="inlineStr">
        <is>
          <t>進場</t>
        </is>
      </c>
      <c r="D325" s="2" t="n">
        <v>162</v>
      </c>
      <c r="E325" s="2" t="inlineStr">
        <is>
          <t>US_USDT_PERP</t>
        </is>
      </c>
      <c r="F325" s="2" t="inlineStr">
        <is>
          <t>做空</t>
        </is>
      </c>
      <c r="G325" s="17" t="n">
        <v>0.0348</v>
      </c>
      <c r="H325" s="17" t="n">
        <v>0.03340799999999999</v>
      </c>
      <c r="I325" s="17" t="n">
        <v>0.03654</v>
      </c>
      <c r="J325" s="17" t="n"/>
      <c r="K325" s="2" t="n"/>
      <c r="L325" s="5" t="n"/>
      <c r="M325" s="16">
        <f>資金模擬!$B$5*V324</f>
        <v/>
      </c>
      <c r="N325" s="2">
        <f>IF(Z324=1,"已停止",IF(T324&gt;=M325,"已下單","資金不足略過"))</f>
        <v/>
      </c>
      <c r="O325" s="16">
        <f>IF(N325="已下單",M325*資金模擬!$B$7,0)</f>
        <v/>
      </c>
      <c r="P325" s="4" t="n"/>
      <c r="Q325" s="10" t="n">
        <v>0</v>
      </c>
      <c r="R325" s="10">
        <f>R324+Q325</f>
        <v/>
      </c>
      <c r="S325" s="16">
        <f>S324+IF(N325="已下單",M325,0)</f>
        <v/>
      </c>
      <c r="T325" s="16">
        <f>R325-S325</f>
        <v/>
      </c>
      <c r="U325" s="2">
        <f>U324+IF(N325="已下單",1,0)</f>
        <v/>
      </c>
      <c r="V325" s="16">
        <f>IF(資金模擬!$B$9=2,MAX(R325,0),MAX(V324,FLOOR(MAX(R325,0),資金模擬!$B$6)))</f>
        <v/>
      </c>
      <c r="W325" s="10">
        <f>MAX(W324,R325)</f>
        <v/>
      </c>
      <c r="X325" s="4">
        <f>IF(W325&gt;0,R325/W325-1,-1)</f>
        <v/>
      </c>
      <c r="Y325" s="16">
        <f>IF(R325&gt;0,S325*資金模擬!$B$7/R325,0)</f>
        <v/>
      </c>
      <c r="Z325" s="2">
        <f>IF(OR(Z324=1,R325&lt;=資金模擬!$B$10),1,0)</f>
        <v/>
      </c>
    </row>
    <row r="326">
      <c r="A326" s="2" t="n">
        <v>324</v>
      </c>
      <c r="B326" s="7" t="n">
        <v>46294.45486111111</v>
      </c>
      <c r="C326" s="2" t="inlineStr">
        <is>
          <t>出場</t>
        </is>
      </c>
      <c r="D326" s="2" t="n">
        <v>162</v>
      </c>
      <c r="E326" s="2" t="inlineStr">
        <is>
          <t>US_USDT_PERP</t>
        </is>
      </c>
      <c r="F326" s="2" t="inlineStr">
        <is>
          <t>做空</t>
        </is>
      </c>
      <c r="G326" s="17" t="n">
        <v>0.0348</v>
      </c>
      <c r="H326" s="17" t="n">
        <v>0.03340799999999999</v>
      </c>
      <c r="I326" s="17" t="n">
        <v>0.03654</v>
      </c>
      <c r="J326" s="17" t="n">
        <v>0.03340799999999999</v>
      </c>
      <c r="K326" s="2" t="inlineStr">
        <is>
          <t>止盈</t>
        </is>
      </c>
      <c r="L326" s="5">
        <f>交易明細!K163</f>
        <v/>
      </c>
      <c r="M326" s="16">
        <f>M325</f>
        <v/>
      </c>
      <c r="N326" s="2">
        <f>N325</f>
        <v/>
      </c>
      <c r="O326" s="16">
        <f>O325</f>
        <v/>
      </c>
      <c r="P326" s="4">
        <f>交易明細!L163</f>
        <v/>
      </c>
      <c r="Q326" s="10">
        <f>IF(N326="已下單",O326*P326,0)</f>
        <v/>
      </c>
      <c r="R326" s="10">
        <f>R325+Q326</f>
        <v/>
      </c>
      <c r="S326" s="16">
        <f>S325-IF(N326="已下單",M326,0)</f>
        <v/>
      </c>
      <c r="T326" s="16">
        <f>R326-S326</f>
        <v/>
      </c>
      <c r="U326" s="2">
        <f>U325-IF(N326="已下單",1,0)</f>
        <v/>
      </c>
      <c r="V326" s="16">
        <f>IF(資金模擬!$B$9=2,MAX(R326,0),MAX(V325,FLOOR(MAX(R326,0),資金模擬!$B$6)))</f>
        <v/>
      </c>
      <c r="W326" s="10">
        <f>MAX(W325,R326)</f>
        <v/>
      </c>
      <c r="X326" s="4">
        <f>IF(W326&gt;0,R326/W326-1,-1)</f>
        <v/>
      </c>
      <c r="Y326" s="16">
        <f>IF(R326&gt;0,S326*資金模擬!$B$7/R326,0)</f>
        <v/>
      </c>
      <c r="Z326" s="2">
        <f>IF(OR(Z325=1,R326&lt;=資金模擬!$B$10),1,0)</f>
        <v/>
      </c>
    </row>
    <row r="327">
      <c r="A327" s="2" t="n">
        <v>325</v>
      </c>
      <c r="B327" s="7" t="n">
        <v>46295.73611111111</v>
      </c>
      <c r="C327" s="2" t="inlineStr">
        <is>
          <t>進場</t>
        </is>
      </c>
      <c r="D327" s="2" t="n">
        <v>163</v>
      </c>
      <c r="E327" s="2" t="inlineStr">
        <is>
          <t>AGT_USDT_PERP</t>
        </is>
      </c>
      <c r="F327" s="2" t="inlineStr">
        <is>
          <t>做空</t>
        </is>
      </c>
      <c r="G327" s="17" t="n">
        <v>0.020647</v>
      </c>
      <c r="H327" s="17" t="n">
        <v>0.01982112</v>
      </c>
      <c r="I327" s="17" t="n">
        <v>0.02167935</v>
      </c>
      <c r="J327" s="17" t="n"/>
      <c r="K327" s="2" t="n"/>
      <c r="L327" s="5" t="n"/>
      <c r="M327" s="16">
        <f>資金模擬!$B$5*V326</f>
        <v/>
      </c>
      <c r="N327" s="2">
        <f>IF(Z326=1,"已停止",IF(T326&gt;=M327,"已下單","資金不足略過"))</f>
        <v/>
      </c>
      <c r="O327" s="16">
        <f>IF(N327="已下單",M327*資金模擬!$B$7,0)</f>
        <v/>
      </c>
      <c r="P327" s="4" t="n"/>
      <c r="Q327" s="10" t="n">
        <v>0</v>
      </c>
      <c r="R327" s="10">
        <f>R326+Q327</f>
        <v/>
      </c>
      <c r="S327" s="16">
        <f>S326+IF(N327="已下單",M327,0)</f>
        <v/>
      </c>
      <c r="T327" s="16">
        <f>R327-S327</f>
        <v/>
      </c>
      <c r="U327" s="2">
        <f>U326+IF(N327="已下單",1,0)</f>
        <v/>
      </c>
      <c r="V327" s="16">
        <f>IF(資金模擬!$B$9=2,MAX(R327,0),MAX(V326,FLOOR(MAX(R327,0),資金模擬!$B$6)))</f>
        <v/>
      </c>
      <c r="W327" s="10">
        <f>MAX(W326,R327)</f>
        <v/>
      </c>
      <c r="X327" s="4">
        <f>IF(W327&gt;0,R327/W327-1,-1)</f>
        <v/>
      </c>
      <c r="Y327" s="16">
        <f>IF(R327&gt;0,S327*資金模擬!$B$7/R327,0)</f>
        <v/>
      </c>
      <c r="Z327" s="2">
        <f>IF(OR(Z326=1,R327&lt;=資金模擬!$B$10),1,0)</f>
        <v/>
      </c>
    </row>
    <row r="328">
      <c r="A328" s="2" t="n">
        <v>326</v>
      </c>
      <c r="B328" s="7" t="n">
        <v>46295.75694444445</v>
      </c>
      <c r="C328" s="2" t="inlineStr">
        <is>
          <t>出場</t>
        </is>
      </c>
      <c r="D328" s="2" t="n">
        <v>163</v>
      </c>
      <c r="E328" s="2" t="inlineStr">
        <is>
          <t>AGT_USDT_PERP</t>
        </is>
      </c>
      <c r="F328" s="2" t="inlineStr">
        <is>
          <t>做空</t>
        </is>
      </c>
      <c r="G328" s="17" t="n">
        <v>0.020647</v>
      </c>
      <c r="H328" s="17" t="n">
        <v>0.01982112</v>
      </c>
      <c r="I328" s="17" t="n">
        <v>0.02167935</v>
      </c>
      <c r="J328" s="17" t="n">
        <v>0.02167935</v>
      </c>
      <c r="K328" s="2" t="inlineStr">
        <is>
          <t>止損</t>
        </is>
      </c>
      <c r="L328" s="5">
        <f>交易明細!K164</f>
        <v/>
      </c>
      <c r="M328" s="16">
        <f>M327</f>
        <v/>
      </c>
      <c r="N328" s="2">
        <f>N327</f>
        <v/>
      </c>
      <c r="O328" s="16">
        <f>O327</f>
        <v/>
      </c>
      <c r="P328" s="4">
        <f>交易明細!L164</f>
        <v/>
      </c>
      <c r="Q328" s="10">
        <f>IF(N328="已下單",O328*P328,0)</f>
        <v/>
      </c>
      <c r="R328" s="10">
        <f>R327+Q328</f>
        <v/>
      </c>
      <c r="S328" s="16">
        <f>S327-IF(N328="已下單",M328,0)</f>
        <v/>
      </c>
      <c r="T328" s="16">
        <f>R328-S328</f>
        <v/>
      </c>
      <c r="U328" s="2">
        <f>U327-IF(N328="已下單",1,0)</f>
        <v/>
      </c>
      <c r="V328" s="16">
        <f>IF(資金模擬!$B$9=2,MAX(R328,0),MAX(V327,FLOOR(MAX(R328,0),資金模擬!$B$6)))</f>
        <v/>
      </c>
      <c r="W328" s="10">
        <f>MAX(W327,R328)</f>
        <v/>
      </c>
      <c r="X328" s="4">
        <f>IF(W328&gt;0,R328/W328-1,-1)</f>
        <v/>
      </c>
      <c r="Y328" s="16">
        <f>IF(R328&gt;0,S328*資金模擬!$B$7/R328,0)</f>
        <v/>
      </c>
      <c r="Z328" s="2">
        <f>IF(OR(Z327=1,R328&lt;=資金模擬!$B$10),1,0)</f>
        <v/>
      </c>
    </row>
    <row r="329">
      <c r="A329" s="2" t="n">
        <v>327</v>
      </c>
      <c r="B329" s="7" t="n">
        <v>46295.79861111111</v>
      </c>
      <c r="C329" s="2" t="inlineStr">
        <is>
          <t>進場</t>
        </is>
      </c>
      <c r="D329" s="2" t="n">
        <v>164</v>
      </c>
      <c r="E329" s="2" t="inlineStr">
        <is>
          <t>AGT_USDT_PERP</t>
        </is>
      </c>
      <c r="F329" s="2" t="inlineStr">
        <is>
          <t>做空</t>
        </is>
      </c>
      <c r="G329" s="17" t="n">
        <v>0.022032</v>
      </c>
      <c r="H329" s="17" t="n">
        <v>0.02115072</v>
      </c>
      <c r="I329" s="17" t="n">
        <v>0.0231336</v>
      </c>
      <c r="J329" s="17" t="n"/>
      <c r="K329" s="2" t="n"/>
      <c r="L329" s="5" t="n"/>
      <c r="M329" s="16">
        <f>資金模擬!$B$5*V328</f>
        <v/>
      </c>
      <c r="N329" s="2">
        <f>IF(Z328=1,"已停止",IF(T328&gt;=M329,"已下單","資金不足略過"))</f>
        <v/>
      </c>
      <c r="O329" s="16">
        <f>IF(N329="已下單",M329*資金模擬!$B$7,0)</f>
        <v/>
      </c>
      <c r="P329" s="4" t="n"/>
      <c r="Q329" s="10" t="n">
        <v>0</v>
      </c>
      <c r="R329" s="10">
        <f>R328+Q329</f>
        <v/>
      </c>
      <c r="S329" s="16">
        <f>S328+IF(N329="已下單",M329,0)</f>
        <v/>
      </c>
      <c r="T329" s="16">
        <f>R329-S329</f>
        <v/>
      </c>
      <c r="U329" s="2">
        <f>U328+IF(N329="已下單",1,0)</f>
        <v/>
      </c>
      <c r="V329" s="16">
        <f>IF(資金模擬!$B$9=2,MAX(R329,0),MAX(V328,FLOOR(MAX(R329,0),資金模擬!$B$6)))</f>
        <v/>
      </c>
      <c r="W329" s="10">
        <f>MAX(W328,R329)</f>
        <v/>
      </c>
      <c r="X329" s="4">
        <f>IF(W329&gt;0,R329/W329-1,-1)</f>
        <v/>
      </c>
      <c r="Y329" s="16">
        <f>IF(R329&gt;0,S329*資金模擬!$B$7/R329,0)</f>
        <v/>
      </c>
      <c r="Z329" s="2">
        <f>IF(OR(Z328=1,R329&lt;=資金模擬!$B$10),1,0)</f>
        <v/>
      </c>
    </row>
    <row r="330">
      <c r="A330" s="2" t="n">
        <v>328</v>
      </c>
      <c r="B330" s="7" t="n">
        <v>46295.80902777778</v>
      </c>
      <c r="C330" s="2" t="inlineStr">
        <is>
          <t>出場</t>
        </is>
      </c>
      <c r="D330" s="2" t="n">
        <v>164</v>
      </c>
      <c r="E330" s="2" t="inlineStr">
        <is>
          <t>AGT_USDT_PERP</t>
        </is>
      </c>
      <c r="F330" s="2" t="inlineStr">
        <is>
          <t>做空</t>
        </is>
      </c>
      <c r="G330" s="17" t="n">
        <v>0.022032</v>
      </c>
      <c r="H330" s="17" t="n">
        <v>0.02115072</v>
      </c>
      <c r="I330" s="17" t="n">
        <v>0.0231336</v>
      </c>
      <c r="J330" s="17" t="n">
        <v>0.02115072</v>
      </c>
      <c r="K330" s="2" t="inlineStr">
        <is>
          <t>止盈</t>
        </is>
      </c>
      <c r="L330" s="5">
        <f>交易明細!K165</f>
        <v/>
      </c>
      <c r="M330" s="16">
        <f>M329</f>
        <v/>
      </c>
      <c r="N330" s="2">
        <f>N329</f>
        <v/>
      </c>
      <c r="O330" s="16">
        <f>O329</f>
        <v/>
      </c>
      <c r="P330" s="4">
        <f>交易明細!L165</f>
        <v/>
      </c>
      <c r="Q330" s="10">
        <f>IF(N330="已下單",O330*P330,0)</f>
        <v/>
      </c>
      <c r="R330" s="10">
        <f>R329+Q330</f>
        <v/>
      </c>
      <c r="S330" s="16">
        <f>S329-IF(N330="已下單",M330,0)</f>
        <v/>
      </c>
      <c r="T330" s="16">
        <f>R330-S330</f>
        <v/>
      </c>
      <c r="U330" s="2">
        <f>U329-IF(N330="已下單",1,0)</f>
        <v/>
      </c>
      <c r="V330" s="16">
        <f>IF(資金模擬!$B$9=2,MAX(R330,0),MAX(V329,FLOOR(MAX(R330,0),資金模擬!$B$6)))</f>
        <v/>
      </c>
      <c r="W330" s="10">
        <f>MAX(W329,R330)</f>
        <v/>
      </c>
      <c r="X330" s="4">
        <f>IF(W330&gt;0,R330/W330-1,-1)</f>
        <v/>
      </c>
      <c r="Y330" s="16">
        <f>IF(R330&gt;0,S330*資金模擬!$B$7/R330,0)</f>
        <v/>
      </c>
      <c r="Z330" s="2">
        <f>IF(OR(Z329=1,R330&lt;=資金模擬!$B$10),1,0)</f>
        <v/>
      </c>
    </row>
    <row r="331">
      <c r="A331" s="2" t="n">
        <v>329</v>
      </c>
      <c r="B331" s="7" t="n">
        <v>46295.87152777778</v>
      </c>
      <c r="C331" s="2" t="inlineStr">
        <is>
          <t>進場</t>
        </is>
      </c>
      <c r="D331" s="2" t="n">
        <v>165</v>
      </c>
      <c r="E331" s="2" t="inlineStr">
        <is>
          <t>SOMI_USDT_PERP</t>
        </is>
      </c>
      <c r="F331" s="2" t="inlineStr">
        <is>
          <t>做空</t>
        </is>
      </c>
      <c r="G331" s="17" t="n">
        <v>0.2434</v>
      </c>
      <c r="H331" s="17" t="n">
        <v>0.233664</v>
      </c>
      <c r="I331" s="17" t="n">
        <v>0.25557</v>
      </c>
      <c r="J331" s="17" t="n"/>
      <c r="K331" s="2" t="n"/>
      <c r="L331" s="5" t="n"/>
      <c r="M331" s="16">
        <f>資金模擬!$B$5*V330</f>
        <v/>
      </c>
      <c r="N331" s="2">
        <f>IF(Z330=1,"已停止",IF(T330&gt;=M331,"已下單","資金不足略過"))</f>
        <v/>
      </c>
      <c r="O331" s="16">
        <f>IF(N331="已下單",M331*資金模擬!$B$7,0)</f>
        <v/>
      </c>
      <c r="P331" s="4" t="n"/>
      <c r="Q331" s="10" t="n">
        <v>0</v>
      </c>
      <c r="R331" s="10">
        <f>R330+Q331</f>
        <v/>
      </c>
      <c r="S331" s="16">
        <f>S330+IF(N331="已下單",M331,0)</f>
        <v/>
      </c>
      <c r="T331" s="16">
        <f>R331-S331</f>
        <v/>
      </c>
      <c r="U331" s="2">
        <f>U330+IF(N331="已下單",1,0)</f>
        <v/>
      </c>
      <c r="V331" s="16">
        <f>IF(資金模擬!$B$9=2,MAX(R331,0),MAX(V330,FLOOR(MAX(R331,0),資金模擬!$B$6)))</f>
        <v/>
      </c>
      <c r="W331" s="10">
        <f>MAX(W330,R331)</f>
        <v/>
      </c>
      <c r="X331" s="4">
        <f>IF(W331&gt;0,R331/W331-1,-1)</f>
        <v/>
      </c>
      <c r="Y331" s="16">
        <f>IF(R331&gt;0,S331*資金模擬!$B$7/R331,0)</f>
        <v/>
      </c>
      <c r="Z331" s="2">
        <f>IF(OR(Z330=1,R331&lt;=資金模擬!$B$10),1,0)</f>
        <v/>
      </c>
    </row>
    <row r="332">
      <c r="A332" s="2" t="n">
        <v>330</v>
      </c>
      <c r="B332" s="7" t="n">
        <v>46295.88888888889</v>
      </c>
      <c r="C332" s="2" t="inlineStr">
        <is>
          <t>出場</t>
        </is>
      </c>
      <c r="D332" s="2" t="n">
        <v>165</v>
      </c>
      <c r="E332" s="2" t="inlineStr">
        <is>
          <t>SOMI_USDT_PERP</t>
        </is>
      </c>
      <c r="F332" s="2" t="inlineStr">
        <is>
          <t>做空</t>
        </is>
      </c>
      <c r="G332" s="17" t="n">
        <v>0.2434</v>
      </c>
      <c r="H332" s="17" t="n">
        <v>0.233664</v>
      </c>
      <c r="I332" s="17" t="n">
        <v>0.25557</v>
      </c>
      <c r="J332" s="17" t="n">
        <v>0.233664</v>
      </c>
      <c r="K332" s="2" t="inlineStr">
        <is>
          <t>止盈</t>
        </is>
      </c>
      <c r="L332" s="5">
        <f>交易明細!K166</f>
        <v/>
      </c>
      <c r="M332" s="16">
        <f>M331</f>
        <v/>
      </c>
      <c r="N332" s="2">
        <f>N331</f>
        <v/>
      </c>
      <c r="O332" s="16">
        <f>O331</f>
        <v/>
      </c>
      <c r="P332" s="4">
        <f>交易明細!L166</f>
        <v/>
      </c>
      <c r="Q332" s="10">
        <f>IF(N332="已下單",O332*P332,0)</f>
        <v/>
      </c>
      <c r="R332" s="10">
        <f>R331+Q332</f>
        <v/>
      </c>
      <c r="S332" s="16">
        <f>S331-IF(N332="已下單",M332,0)</f>
        <v/>
      </c>
      <c r="T332" s="16">
        <f>R332-S332</f>
        <v/>
      </c>
      <c r="U332" s="2">
        <f>U331-IF(N332="已下單",1,0)</f>
        <v/>
      </c>
      <c r="V332" s="16">
        <f>IF(資金模擬!$B$9=2,MAX(R332,0),MAX(V331,FLOOR(MAX(R332,0),資金模擬!$B$6)))</f>
        <v/>
      </c>
      <c r="W332" s="10">
        <f>MAX(W331,R332)</f>
        <v/>
      </c>
      <c r="X332" s="4">
        <f>IF(W332&gt;0,R332/W332-1,-1)</f>
        <v/>
      </c>
      <c r="Y332" s="16">
        <f>IF(R332&gt;0,S332*資金模擬!$B$7/R332,0)</f>
        <v/>
      </c>
      <c r="Z332" s="2">
        <f>IF(OR(Z331=1,R332&lt;=資金模擬!$B$10),1,0)</f>
        <v/>
      </c>
    </row>
    <row r="333">
      <c r="A333" s="2" t="n">
        <v>331</v>
      </c>
      <c r="B333" s="7" t="n">
        <v>46296.01041666666</v>
      </c>
      <c r="C333" s="2" t="inlineStr">
        <is>
          <t>進場</t>
        </is>
      </c>
      <c r="D333" s="2" t="n">
        <v>166</v>
      </c>
      <c r="E333" s="2" t="inlineStr">
        <is>
          <t>APR_USDT_PERP</t>
        </is>
      </c>
      <c r="F333" s="2" t="inlineStr">
        <is>
          <t>做空</t>
        </is>
      </c>
      <c r="G333" s="17" t="n">
        <v>0.14461</v>
      </c>
      <c r="H333" s="17" t="n">
        <v>0.1388256</v>
      </c>
      <c r="I333" s="17" t="n">
        <v>0.1518405</v>
      </c>
      <c r="J333" s="17" t="n"/>
      <c r="K333" s="2" t="n"/>
      <c r="L333" s="5" t="n"/>
      <c r="M333" s="16">
        <f>資金模擬!$B$5*V332</f>
        <v/>
      </c>
      <c r="N333" s="2">
        <f>IF(Z332=1,"已停止",IF(T332&gt;=M333,"已下單","資金不足略過"))</f>
        <v/>
      </c>
      <c r="O333" s="16">
        <f>IF(N333="已下單",M333*資金模擬!$B$7,0)</f>
        <v/>
      </c>
      <c r="P333" s="4" t="n"/>
      <c r="Q333" s="10" t="n">
        <v>0</v>
      </c>
      <c r="R333" s="10">
        <f>R332+Q333</f>
        <v/>
      </c>
      <c r="S333" s="16">
        <f>S332+IF(N333="已下單",M333,0)</f>
        <v/>
      </c>
      <c r="T333" s="16">
        <f>R333-S333</f>
        <v/>
      </c>
      <c r="U333" s="2">
        <f>U332+IF(N333="已下單",1,0)</f>
        <v/>
      </c>
      <c r="V333" s="16">
        <f>IF(資金模擬!$B$9=2,MAX(R333,0),MAX(V332,FLOOR(MAX(R333,0),資金模擬!$B$6)))</f>
        <v/>
      </c>
      <c r="W333" s="10">
        <f>MAX(W332,R333)</f>
        <v/>
      </c>
      <c r="X333" s="4">
        <f>IF(W333&gt;0,R333/W333-1,-1)</f>
        <v/>
      </c>
      <c r="Y333" s="16">
        <f>IF(R333&gt;0,S333*資金模擬!$B$7/R333,0)</f>
        <v/>
      </c>
      <c r="Z333" s="2">
        <f>IF(OR(Z332=1,R333&lt;=資金模擬!$B$10),1,0)</f>
        <v/>
      </c>
    </row>
    <row r="334">
      <c r="A334" s="2" t="n">
        <v>332</v>
      </c>
      <c r="B334" s="7" t="n">
        <v>46296.01388888889</v>
      </c>
      <c r="C334" s="2" t="inlineStr">
        <is>
          <t>出場</t>
        </is>
      </c>
      <c r="D334" s="2" t="n">
        <v>166</v>
      </c>
      <c r="E334" s="2" t="inlineStr">
        <is>
          <t>APR_USDT_PERP</t>
        </is>
      </c>
      <c r="F334" s="2" t="inlineStr">
        <is>
          <t>做空</t>
        </is>
      </c>
      <c r="G334" s="17" t="n">
        <v>0.14461</v>
      </c>
      <c r="H334" s="17" t="n">
        <v>0.1388256</v>
      </c>
      <c r="I334" s="17" t="n">
        <v>0.1518405</v>
      </c>
      <c r="J334" s="17" t="n">
        <v>0.1388256</v>
      </c>
      <c r="K334" s="2" t="inlineStr">
        <is>
          <t>止盈</t>
        </is>
      </c>
      <c r="L334" s="5">
        <f>交易明細!K167</f>
        <v/>
      </c>
      <c r="M334" s="16">
        <f>M333</f>
        <v/>
      </c>
      <c r="N334" s="2">
        <f>N333</f>
        <v/>
      </c>
      <c r="O334" s="16">
        <f>O333</f>
        <v/>
      </c>
      <c r="P334" s="4">
        <f>交易明細!L167</f>
        <v/>
      </c>
      <c r="Q334" s="10">
        <f>IF(N334="已下單",O334*P334,0)</f>
        <v/>
      </c>
      <c r="R334" s="10">
        <f>R333+Q334</f>
        <v/>
      </c>
      <c r="S334" s="16">
        <f>S333-IF(N334="已下單",M334,0)</f>
        <v/>
      </c>
      <c r="T334" s="16">
        <f>R334-S334</f>
        <v/>
      </c>
      <c r="U334" s="2">
        <f>U333-IF(N334="已下單",1,0)</f>
        <v/>
      </c>
      <c r="V334" s="16">
        <f>IF(資金模擬!$B$9=2,MAX(R334,0),MAX(V333,FLOOR(MAX(R334,0),資金模擬!$B$6)))</f>
        <v/>
      </c>
      <c r="W334" s="10">
        <f>MAX(W333,R334)</f>
        <v/>
      </c>
      <c r="X334" s="4">
        <f>IF(W334&gt;0,R334/W334-1,-1)</f>
        <v/>
      </c>
      <c r="Y334" s="16">
        <f>IF(R334&gt;0,S334*資金模擬!$B$7/R334,0)</f>
        <v/>
      </c>
      <c r="Z334" s="2">
        <f>IF(OR(Z333=1,R334&lt;=資金模擬!$B$10),1,0)</f>
        <v/>
      </c>
    </row>
    <row r="335">
      <c r="A335" s="2" t="n">
        <v>333</v>
      </c>
      <c r="B335" s="7" t="n">
        <v>46297.05902777778</v>
      </c>
      <c r="C335" s="2" t="inlineStr">
        <is>
          <t>進場</t>
        </is>
      </c>
      <c r="D335" s="2" t="n">
        <v>167</v>
      </c>
      <c r="E335" s="2" t="inlineStr">
        <is>
          <t>MAGMA_USDT_PERP</t>
        </is>
      </c>
      <c r="F335" s="2" t="inlineStr">
        <is>
          <t>做空</t>
        </is>
      </c>
      <c r="G335" s="17" t="n">
        <v>0.231</v>
      </c>
      <c r="H335" s="17" t="n">
        <v>0.22176</v>
      </c>
      <c r="I335" s="17" t="n">
        <v>0.24255</v>
      </c>
      <c r="J335" s="17" t="n"/>
      <c r="K335" s="2" t="n"/>
      <c r="L335" s="5" t="n"/>
      <c r="M335" s="16">
        <f>資金模擬!$B$5*V334</f>
        <v/>
      </c>
      <c r="N335" s="2">
        <f>IF(Z334=1,"已停止",IF(T334&gt;=M335,"已下單","資金不足略過"))</f>
        <v/>
      </c>
      <c r="O335" s="16">
        <f>IF(N335="已下單",M335*資金模擬!$B$7,0)</f>
        <v/>
      </c>
      <c r="P335" s="4" t="n"/>
      <c r="Q335" s="10" t="n">
        <v>0</v>
      </c>
      <c r="R335" s="10">
        <f>R334+Q335</f>
        <v/>
      </c>
      <c r="S335" s="16">
        <f>S334+IF(N335="已下單",M335,0)</f>
        <v/>
      </c>
      <c r="T335" s="16">
        <f>R335-S335</f>
        <v/>
      </c>
      <c r="U335" s="2">
        <f>U334+IF(N335="已下單",1,0)</f>
        <v/>
      </c>
      <c r="V335" s="16">
        <f>IF(資金模擬!$B$9=2,MAX(R335,0),MAX(V334,FLOOR(MAX(R335,0),資金模擬!$B$6)))</f>
        <v/>
      </c>
      <c r="W335" s="10">
        <f>MAX(W334,R335)</f>
        <v/>
      </c>
      <c r="X335" s="4">
        <f>IF(W335&gt;0,R335/W335-1,-1)</f>
        <v/>
      </c>
      <c r="Y335" s="16">
        <f>IF(R335&gt;0,S335*資金模擬!$B$7/R335,0)</f>
        <v/>
      </c>
      <c r="Z335" s="2">
        <f>IF(OR(Z334=1,R335&lt;=資金模擬!$B$10),1,0)</f>
        <v/>
      </c>
    </row>
    <row r="336">
      <c r="A336" s="2" t="n">
        <v>334</v>
      </c>
      <c r="B336" s="7" t="n">
        <v>46297.06944444445</v>
      </c>
      <c r="C336" s="2" t="inlineStr">
        <is>
          <t>出場</t>
        </is>
      </c>
      <c r="D336" s="2" t="n">
        <v>167</v>
      </c>
      <c r="E336" s="2" t="inlineStr">
        <is>
          <t>MAGMA_USDT_PERP</t>
        </is>
      </c>
      <c r="F336" s="2" t="inlineStr">
        <is>
          <t>做空</t>
        </is>
      </c>
      <c r="G336" s="17" t="n">
        <v>0.231</v>
      </c>
      <c r="H336" s="17" t="n">
        <v>0.22176</v>
      </c>
      <c r="I336" s="17" t="n">
        <v>0.24255</v>
      </c>
      <c r="J336" s="17" t="n">
        <v>0.24255</v>
      </c>
      <c r="K336" s="2" t="inlineStr">
        <is>
          <t>止損</t>
        </is>
      </c>
      <c r="L336" s="5">
        <f>交易明細!K168</f>
        <v/>
      </c>
      <c r="M336" s="16">
        <f>M335</f>
        <v/>
      </c>
      <c r="N336" s="2">
        <f>N335</f>
        <v/>
      </c>
      <c r="O336" s="16">
        <f>O335</f>
        <v/>
      </c>
      <c r="P336" s="4">
        <f>交易明細!L168</f>
        <v/>
      </c>
      <c r="Q336" s="10">
        <f>IF(N336="已下單",O336*P336,0)</f>
        <v/>
      </c>
      <c r="R336" s="10">
        <f>R335+Q336</f>
        <v/>
      </c>
      <c r="S336" s="16">
        <f>S335-IF(N336="已下單",M336,0)</f>
        <v/>
      </c>
      <c r="T336" s="16">
        <f>R336-S336</f>
        <v/>
      </c>
      <c r="U336" s="2">
        <f>U335-IF(N336="已下單",1,0)</f>
        <v/>
      </c>
      <c r="V336" s="16">
        <f>IF(資金模擬!$B$9=2,MAX(R336,0),MAX(V335,FLOOR(MAX(R336,0),資金模擬!$B$6)))</f>
        <v/>
      </c>
      <c r="W336" s="10">
        <f>MAX(W335,R336)</f>
        <v/>
      </c>
      <c r="X336" s="4">
        <f>IF(W336&gt;0,R336/W336-1,-1)</f>
        <v/>
      </c>
      <c r="Y336" s="16">
        <f>IF(R336&gt;0,S336*資金模擬!$B$7/R336,0)</f>
        <v/>
      </c>
      <c r="Z336" s="2">
        <f>IF(OR(Z335=1,R336&lt;=資金模擬!$B$10),1,0)</f>
        <v/>
      </c>
    </row>
    <row r="337">
      <c r="A337" s="2" t="n">
        <v>335</v>
      </c>
      <c r="B337" s="7" t="n">
        <v>46297.64583333334</v>
      </c>
      <c r="C337" s="2" t="inlineStr">
        <is>
          <t>進場</t>
        </is>
      </c>
      <c r="D337" s="2" t="n">
        <v>168</v>
      </c>
      <c r="E337" s="2" t="inlineStr">
        <is>
          <t>SAND_USDT_PERP</t>
        </is>
      </c>
      <c r="F337" s="2" t="inlineStr">
        <is>
          <t>做空</t>
        </is>
      </c>
      <c r="G337" s="17" t="n">
        <v>0.05581</v>
      </c>
      <c r="H337" s="17" t="n">
        <v>0.0535776</v>
      </c>
      <c r="I337" s="17" t="n">
        <v>0.0586005</v>
      </c>
      <c r="J337" s="17" t="n"/>
      <c r="K337" s="2" t="n"/>
      <c r="L337" s="5" t="n"/>
      <c r="M337" s="16">
        <f>資金模擬!$B$5*V336</f>
        <v/>
      </c>
      <c r="N337" s="2">
        <f>IF(Z336=1,"已停止",IF(T336&gt;=M337,"已下單","資金不足略過"))</f>
        <v/>
      </c>
      <c r="O337" s="16">
        <f>IF(N337="已下單",M337*資金模擬!$B$7,0)</f>
        <v/>
      </c>
      <c r="P337" s="4" t="n"/>
      <c r="Q337" s="10" t="n">
        <v>0</v>
      </c>
      <c r="R337" s="10">
        <f>R336+Q337</f>
        <v/>
      </c>
      <c r="S337" s="16">
        <f>S336+IF(N337="已下單",M337,0)</f>
        <v/>
      </c>
      <c r="T337" s="16">
        <f>R337-S337</f>
        <v/>
      </c>
      <c r="U337" s="2">
        <f>U336+IF(N337="已下單",1,0)</f>
        <v/>
      </c>
      <c r="V337" s="16">
        <f>IF(資金模擬!$B$9=2,MAX(R337,0),MAX(V336,FLOOR(MAX(R337,0),資金模擬!$B$6)))</f>
        <v/>
      </c>
      <c r="W337" s="10">
        <f>MAX(W336,R337)</f>
        <v/>
      </c>
      <c r="X337" s="4">
        <f>IF(W337&gt;0,R337/W337-1,-1)</f>
        <v/>
      </c>
      <c r="Y337" s="16">
        <f>IF(R337&gt;0,S337*資金模擬!$B$7/R337,0)</f>
        <v/>
      </c>
      <c r="Z337" s="2">
        <f>IF(OR(Z336=1,R337&lt;=資金模擬!$B$10),1,0)</f>
        <v/>
      </c>
    </row>
    <row r="338">
      <c r="A338" s="2" t="n">
        <v>336</v>
      </c>
      <c r="B338" s="7" t="n">
        <v>46297.66666666666</v>
      </c>
      <c r="C338" s="2" t="inlineStr">
        <is>
          <t>出場</t>
        </is>
      </c>
      <c r="D338" s="2" t="n">
        <v>168</v>
      </c>
      <c r="E338" s="2" t="inlineStr">
        <is>
          <t>SAND_USDT_PERP</t>
        </is>
      </c>
      <c r="F338" s="2" t="inlineStr">
        <is>
          <t>做空</t>
        </is>
      </c>
      <c r="G338" s="17" t="n">
        <v>0.05581</v>
      </c>
      <c r="H338" s="17" t="n">
        <v>0.0535776</v>
      </c>
      <c r="I338" s="17" t="n">
        <v>0.0586005</v>
      </c>
      <c r="J338" s="17" t="n">
        <v>0.0586005</v>
      </c>
      <c r="K338" s="2" t="inlineStr">
        <is>
          <t>止損</t>
        </is>
      </c>
      <c r="L338" s="5">
        <f>交易明細!K169</f>
        <v/>
      </c>
      <c r="M338" s="16">
        <f>M337</f>
        <v/>
      </c>
      <c r="N338" s="2">
        <f>N337</f>
        <v/>
      </c>
      <c r="O338" s="16">
        <f>O337</f>
        <v/>
      </c>
      <c r="P338" s="4">
        <f>交易明細!L169</f>
        <v/>
      </c>
      <c r="Q338" s="10">
        <f>IF(N338="已下單",O338*P338,0)</f>
        <v/>
      </c>
      <c r="R338" s="10">
        <f>R337+Q338</f>
        <v/>
      </c>
      <c r="S338" s="16">
        <f>S337-IF(N338="已下單",M338,0)</f>
        <v/>
      </c>
      <c r="T338" s="16">
        <f>R338-S338</f>
        <v/>
      </c>
      <c r="U338" s="2">
        <f>U337-IF(N338="已下單",1,0)</f>
        <v/>
      </c>
      <c r="V338" s="16">
        <f>IF(資金模擬!$B$9=2,MAX(R338,0),MAX(V337,FLOOR(MAX(R338,0),資金模擬!$B$6)))</f>
        <v/>
      </c>
      <c r="W338" s="10">
        <f>MAX(W337,R338)</f>
        <v/>
      </c>
      <c r="X338" s="4">
        <f>IF(W338&gt;0,R338/W338-1,-1)</f>
        <v/>
      </c>
      <c r="Y338" s="16">
        <f>IF(R338&gt;0,S338*資金模擬!$B$7/R338,0)</f>
        <v/>
      </c>
      <c r="Z338" s="2">
        <f>IF(OR(Z337=1,R338&lt;=資金模擬!$B$10),1,0)</f>
        <v/>
      </c>
    </row>
    <row r="339">
      <c r="A339" s="2" t="n">
        <v>337</v>
      </c>
      <c r="B339" s="7" t="n">
        <v>46298.94097222222</v>
      </c>
      <c r="C339" s="2" t="inlineStr">
        <is>
          <t>進場</t>
        </is>
      </c>
      <c r="D339" s="2" t="n">
        <v>169</v>
      </c>
      <c r="E339" s="2" t="inlineStr">
        <is>
          <t>AIN_USDT_PERP</t>
        </is>
      </c>
      <c r="F339" s="2" t="inlineStr">
        <is>
          <t>做空</t>
        </is>
      </c>
      <c r="G339" s="17" t="n">
        <v>0.02948</v>
      </c>
      <c r="H339" s="17" t="n">
        <v>0.0283008</v>
      </c>
      <c r="I339" s="17" t="n">
        <v>0.030954</v>
      </c>
      <c r="J339" s="17" t="n"/>
      <c r="K339" s="2" t="n"/>
      <c r="L339" s="5" t="n"/>
      <c r="M339" s="16">
        <f>資金模擬!$B$5*V338</f>
        <v/>
      </c>
      <c r="N339" s="2">
        <f>IF(Z338=1,"已停止",IF(T338&gt;=M339,"已下單","資金不足略過"))</f>
        <v/>
      </c>
      <c r="O339" s="16">
        <f>IF(N339="已下單",M339*資金模擬!$B$7,0)</f>
        <v/>
      </c>
      <c r="P339" s="4" t="n"/>
      <c r="Q339" s="10" t="n">
        <v>0</v>
      </c>
      <c r="R339" s="10">
        <f>R338+Q339</f>
        <v/>
      </c>
      <c r="S339" s="16">
        <f>S338+IF(N339="已下單",M339,0)</f>
        <v/>
      </c>
      <c r="T339" s="16">
        <f>R339-S339</f>
        <v/>
      </c>
      <c r="U339" s="2">
        <f>U338+IF(N339="已下單",1,0)</f>
        <v/>
      </c>
      <c r="V339" s="16">
        <f>IF(資金模擬!$B$9=2,MAX(R339,0),MAX(V338,FLOOR(MAX(R339,0),資金模擬!$B$6)))</f>
        <v/>
      </c>
      <c r="W339" s="10">
        <f>MAX(W338,R339)</f>
        <v/>
      </c>
      <c r="X339" s="4">
        <f>IF(W339&gt;0,R339/W339-1,-1)</f>
        <v/>
      </c>
      <c r="Y339" s="16">
        <f>IF(R339&gt;0,S339*資金模擬!$B$7/R339,0)</f>
        <v/>
      </c>
      <c r="Z339" s="2">
        <f>IF(OR(Z338=1,R339&lt;=資金模擬!$B$10),1,0)</f>
        <v/>
      </c>
    </row>
    <row r="340">
      <c r="A340" s="2" t="n">
        <v>338</v>
      </c>
      <c r="B340" s="7" t="n">
        <v>46298.94444444445</v>
      </c>
      <c r="C340" s="2" t="inlineStr">
        <is>
          <t>出場</t>
        </is>
      </c>
      <c r="D340" s="2" t="n">
        <v>169</v>
      </c>
      <c r="E340" s="2" t="inlineStr">
        <is>
          <t>AIN_USDT_PERP</t>
        </is>
      </c>
      <c r="F340" s="2" t="inlineStr">
        <is>
          <t>做空</t>
        </is>
      </c>
      <c r="G340" s="17" t="n">
        <v>0.02948</v>
      </c>
      <c r="H340" s="17" t="n">
        <v>0.0283008</v>
      </c>
      <c r="I340" s="17" t="n">
        <v>0.030954</v>
      </c>
      <c r="J340" s="17" t="n">
        <v>0.0283008</v>
      </c>
      <c r="K340" s="2" t="inlineStr">
        <is>
          <t>止盈</t>
        </is>
      </c>
      <c r="L340" s="5">
        <f>交易明細!K170</f>
        <v/>
      </c>
      <c r="M340" s="16">
        <f>M339</f>
        <v/>
      </c>
      <c r="N340" s="2">
        <f>N339</f>
        <v/>
      </c>
      <c r="O340" s="16">
        <f>O339</f>
        <v/>
      </c>
      <c r="P340" s="4">
        <f>交易明細!L170</f>
        <v/>
      </c>
      <c r="Q340" s="10">
        <f>IF(N340="已下單",O340*P340,0)</f>
        <v/>
      </c>
      <c r="R340" s="10">
        <f>R339+Q340</f>
        <v/>
      </c>
      <c r="S340" s="16">
        <f>S339-IF(N340="已下單",M340,0)</f>
        <v/>
      </c>
      <c r="T340" s="16">
        <f>R340-S340</f>
        <v/>
      </c>
      <c r="U340" s="2">
        <f>U339-IF(N340="已下單",1,0)</f>
        <v/>
      </c>
      <c r="V340" s="16">
        <f>IF(資金模擬!$B$9=2,MAX(R340,0),MAX(V339,FLOOR(MAX(R340,0),資金模擬!$B$6)))</f>
        <v/>
      </c>
      <c r="W340" s="10">
        <f>MAX(W339,R340)</f>
        <v/>
      </c>
      <c r="X340" s="4">
        <f>IF(W340&gt;0,R340/W340-1,-1)</f>
        <v/>
      </c>
      <c r="Y340" s="16">
        <f>IF(R340&gt;0,S340*資金模擬!$B$7/R340,0)</f>
        <v/>
      </c>
      <c r="Z340" s="2">
        <f>IF(OR(Z339=1,R340&lt;=資金模擬!$B$10),1,0)</f>
        <v/>
      </c>
    </row>
    <row r="341">
      <c r="A341" s="2" t="n">
        <v>339</v>
      </c>
      <c r="B341" s="7" t="n">
        <v>46299.01041666666</v>
      </c>
      <c r="C341" s="2" t="inlineStr">
        <is>
          <t>進場</t>
        </is>
      </c>
      <c r="D341" s="2" t="n">
        <v>170</v>
      </c>
      <c r="E341" s="2" t="inlineStr">
        <is>
          <t>SPORTFUN_USDT_PERP</t>
        </is>
      </c>
      <c r="F341" s="2" t="inlineStr">
        <is>
          <t>做空</t>
        </is>
      </c>
      <c r="G341" s="17" t="n">
        <v>0.02024</v>
      </c>
      <c r="H341" s="17" t="n">
        <v>0.0194304</v>
      </c>
      <c r="I341" s="17" t="n">
        <v>0.021252</v>
      </c>
      <c r="J341" s="17" t="n"/>
      <c r="K341" s="2" t="n"/>
      <c r="L341" s="5" t="n"/>
      <c r="M341" s="16">
        <f>資金模擬!$B$5*V340</f>
        <v/>
      </c>
      <c r="N341" s="2">
        <f>IF(Z340=1,"已停止",IF(T340&gt;=M341,"已下單","資金不足略過"))</f>
        <v/>
      </c>
      <c r="O341" s="16">
        <f>IF(N341="已下單",M341*資金模擬!$B$7,0)</f>
        <v/>
      </c>
      <c r="P341" s="4" t="n"/>
      <c r="Q341" s="10" t="n">
        <v>0</v>
      </c>
      <c r="R341" s="10">
        <f>R340+Q341</f>
        <v/>
      </c>
      <c r="S341" s="16">
        <f>S340+IF(N341="已下單",M341,0)</f>
        <v/>
      </c>
      <c r="T341" s="16">
        <f>R341-S341</f>
        <v/>
      </c>
      <c r="U341" s="2">
        <f>U340+IF(N341="已下單",1,0)</f>
        <v/>
      </c>
      <c r="V341" s="16">
        <f>IF(資金模擬!$B$9=2,MAX(R341,0),MAX(V340,FLOOR(MAX(R341,0),資金模擬!$B$6)))</f>
        <v/>
      </c>
      <c r="W341" s="10">
        <f>MAX(W340,R341)</f>
        <v/>
      </c>
      <c r="X341" s="4">
        <f>IF(W341&gt;0,R341/W341-1,-1)</f>
        <v/>
      </c>
      <c r="Y341" s="16">
        <f>IF(R341&gt;0,S341*資金模擬!$B$7/R341,0)</f>
        <v/>
      </c>
      <c r="Z341" s="2">
        <f>IF(OR(Z340=1,R341&lt;=資金模擬!$B$10),1,0)</f>
        <v/>
      </c>
    </row>
    <row r="342">
      <c r="A342" s="2" t="n">
        <v>340</v>
      </c>
      <c r="B342" s="7" t="n">
        <v>46299.07638888889</v>
      </c>
      <c r="C342" s="2" t="inlineStr">
        <is>
          <t>出場</t>
        </is>
      </c>
      <c r="D342" s="2" t="n">
        <v>170</v>
      </c>
      <c r="E342" s="2" t="inlineStr">
        <is>
          <t>SPORTFUN_USDT_PERP</t>
        </is>
      </c>
      <c r="F342" s="2" t="inlineStr">
        <is>
          <t>做空</t>
        </is>
      </c>
      <c r="G342" s="17" t="n">
        <v>0.02024</v>
      </c>
      <c r="H342" s="17" t="n">
        <v>0.0194304</v>
      </c>
      <c r="I342" s="17" t="n">
        <v>0.021252</v>
      </c>
      <c r="J342" s="17" t="n">
        <v>0.021252</v>
      </c>
      <c r="K342" s="2" t="inlineStr">
        <is>
          <t>止損</t>
        </is>
      </c>
      <c r="L342" s="5">
        <f>交易明細!K171</f>
        <v/>
      </c>
      <c r="M342" s="16">
        <f>M341</f>
        <v/>
      </c>
      <c r="N342" s="2">
        <f>N341</f>
        <v/>
      </c>
      <c r="O342" s="16">
        <f>O341</f>
        <v/>
      </c>
      <c r="P342" s="4">
        <f>交易明細!L171</f>
        <v/>
      </c>
      <c r="Q342" s="10">
        <f>IF(N342="已下單",O342*P342,0)</f>
        <v/>
      </c>
      <c r="R342" s="10">
        <f>R341+Q342</f>
        <v/>
      </c>
      <c r="S342" s="16">
        <f>S341-IF(N342="已下單",M342,0)</f>
        <v/>
      </c>
      <c r="T342" s="16">
        <f>R342-S342</f>
        <v/>
      </c>
      <c r="U342" s="2">
        <f>U341-IF(N342="已下單",1,0)</f>
        <v/>
      </c>
      <c r="V342" s="16">
        <f>IF(資金模擬!$B$9=2,MAX(R342,0),MAX(V341,FLOOR(MAX(R342,0),資金模擬!$B$6)))</f>
        <v/>
      </c>
      <c r="W342" s="10">
        <f>MAX(W341,R342)</f>
        <v/>
      </c>
      <c r="X342" s="4">
        <f>IF(W342&gt;0,R342/W342-1,-1)</f>
        <v/>
      </c>
      <c r="Y342" s="16">
        <f>IF(R342&gt;0,S342*資金模擬!$B$7/R342,0)</f>
        <v/>
      </c>
      <c r="Z342" s="2">
        <f>IF(OR(Z341=1,R342&lt;=資金模擬!$B$10),1,0)</f>
        <v/>
      </c>
    </row>
    <row r="343">
      <c r="A343" s="2" t="n">
        <v>341</v>
      </c>
      <c r="B343" s="7" t="n">
        <v>46299.625</v>
      </c>
      <c r="C343" s="2" t="inlineStr">
        <is>
          <t>進場</t>
        </is>
      </c>
      <c r="D343" s="2" t="n">
        <v>171</v>
      </c>
      <c r="E343" s="2" t="inlineStr">
        <is>
          <t>COLLECT_USDT_PERP</t>
        </is>
      </c>
      <c r="F343" s="2" t="inlineStr">
        <is>
          <t>做空</t>
        </is>
      </c>
      <c r="G343" s="17" t="n">
        <v>0.02372</v>
      </c>
      <c r="H343" s="17" t="n">
        <v>0.0227712</v>
      </c>
      <c r="I343" s="17" t="n">
        <v>0.024906</v>
      </c>
      <c r="J343" s="17" t="n"/>
      <c r="K343" s="2" t="n"/>
      <c r="L343" s="5" t="n"/>
      <c r="M343" s="16">
        <f>資金模擬!$B$5*V342</f>
        <v/>
      </c>
      <c r="N343" s="2">
        <f>IF(Z342=1,"已停止",IF(T342&gt;=M343,"已下單","資金不足略過"))</f>
        <v/>
      </c>
      <c r="O343" s="16">
        <f>IF(N343="已下單",M343*資金模擬!$B$7,0)</f>
        <v/>
      </c>
      <c r="P343" s="4" t="n"/>
      <c r="Q343" s="10" t="n">
        <v>0</v>
      </c>
      <c r="R343" s="10">
        <f>R342+Q343</f>
        <v/>
      </c>
      <c r="S343" s="16">
        <f>S342+IF(N343="已下單",M343,0)</f>
        <v/>
      </c>
      <c r="T343" s="16">
        <f>R343-S343</f>
        <v/>
      </c>
      <c r="U343" s="2">
        <f>U342+IF(N343="已下單",1,0)</f>
        <v/>
      </c>
      <c r="V343" s="16">
        <f>IF(資金模擬!$B$9=2,MAX(R343,0),MAX(V342,FLOOR(MAX(R343,0),資金模擬!$B$6)))</f>
        <v/>
      </c>
      <c r="W343" s="10">
        <f>MAX(W342,R343)</f>
        <v/>
      </c>
      <c r="X343" s="4">
        <f>IF(W343&gt;0,R343/W343-1,-1)</f>
        <v/>
      </c>
      <c r="Y343" s="16">
        <f>IF(R343&gt;0,S343*資金模擬!$B$7/R343,0)</f>
        <v/>
      </c>
      <c r="Z343" s="2">
        <f>IF(OR(Z342=1,R343&lt;=資金模擬!$B$10),1,0)</f>
        <v/>
      </c>
    </row>
    <row r="344">
      <c r="A344" s="2" t="n">
        <v>342</v>
      </c>
      <c r="B344" s="7" t="n">
        <v>46299.63888888889</v>
      </c>
      <c r="C344" s="2" t="inlineStr">
        <is>
          <t>出場</t>
        </is>
      </c>
      <c r="D344" s="2" t="n">
        <v>171</v>
      </c>
      <c r="E344" s="2" t="inlineStr">
        <is>
          <t>COLLECT_USDT_PERP</t>
        </is>
      </c>
      <c r="F344" s="2" t="inlineStr">
        <is>
          <t>做空</t>
        </is>
      </c>
      <c r="G344" s="17" t="n">
        <v>0.02372</v>
      </c>
      <c r="H344" s="17" t="n">
        <v>0.0227712</v>
      </c>
      <c r="I344" s="17" t="n">
        <v>0.024906</v>
      </c>
      <c r="J344" s="17" t="n">
        <v>0.0227712</v>
      </c>
      <c r="K344" s="2" t="inlineStr">
        <is>
          <t>止盈</t>
        </is>
      </c>
      <c r="L344" s="5">
        <f>交易明細!K172</f>
        <v/>
      </c>
      <c r="M344" s="16">
        <f>M343</f>
        <v/>
      </c>
      <c r="N344" s="2">
        <f>N343</f>
        <v/>
      </c>
      <c r="O344" s="16">
        <f>O343</f>
        <v/>
      </c>
      <c r="P344" s="4">
        <f>交易明細!L172</f>
        <v/>
      </c>
      <c r="Q344" s="10">
        <f>IF(N344="已下單",O344*P344,0)</f>
        <v/>
      </c>
      <c r="R344" s="10">
        <f>R343+Q344</f>
        <v/>
      </c>
      <c r="S344" s="16">
        <f>S343-IF(N344="已下單",M344,0)</f>
        <v/>
      </c>
      <c r="T344" s="16">
        <f>R344-S344</f>
        <v/>
      </c>
      <c r="U344" s="2">
        <f>U343-IF(N344="已下單",1,0)</f>
        <v/>
      </c>
      <c r="V344" s="16">
        <f>IF(資金模擬!$B$9=2,MAX(R344,0),MAX(V343,FLOOR(MAX(R344,0),資金模擬!$B$6)))</f>
        <v/>
      </c>
      <c r="W344" s="10">
        <f>MAX(W343,R344)</f>
        <v/>
      </c>
      <c r="X344" s="4">
        <f>IF(W344&gt;0,R344/W344-1,-1)</f>
        <v/>
      </c>
      <c r="Y344" s="16">
        <f>IF(R344&gt;0,S344*資金模擬!$B$7/R344,0)</f>
        <v/>
      </c>
      <c r="Z344" s="2">
        <f>IF(OR(Z343=1,R344&lt;=資金模擬!$B$10),1,0)</f>
        <v/>
      </c>
    </row>
    <row r="345">
      <c r="A345" s="2" t="n">
        <v>343</v>
      </c>
      <c r="B345" s="7" t="n">
        <v>46299.68402777778</v>
      </c>
      <c r="C345" s="2" t="inlineStr">
        <is>
          <t>進場</t>
        </is>
      </c>
      <c r="D345" s="2" t="n">
        <v>172</v>
      </c>
      <c r="E345" s="2" t="inlineStr">
        <is>
          <t>BEAMX_USDT_PERP</t>
        </is>
      </c>
      <c r="F345" s="2" t="inlineStr">
        <is>
          <t>做空</t>
        </is>
      </c>
      <c r="G345" s="17" t="n">
        <v>0.002788</v>
      </c>
      <c r="H345" s="17" t="n">
        <v>0.00267648</v>
      </c>
      <c r="I345" s="17" t="n">
        <v>0.0029274</v>
      </c>
      <c r="J345" s="17" t="n"/>
      <c r="K345" s="2" t="n"/>
      <c r="L345" s="5" t="n"/>
      <c r="M345" s="16">
        <f>資金模擬!$B$5*V344</f>
        <v/>
      </c>
      <c r="N345" s="2">
        <f>IF(Z344=1,"已停止",IF(T344&gt;=M345,"已下單","資金不足略過"))</f>
        <v/>
      </c>
      <c r="O345" s="16">
        <f>IF(N345="已下單",M345*資金模擬!$B$7,0)</f>
        <v/>
      </c>
      <c r="P345" s="4" t="n"/>
      <c r="Q345" s="10" t="n">
        <v>0</v>
      </c>
      <c r="R345" s="10">
        <f>R344+Q345</f>
        <v/>
      </c>
      <c r="S345" s="16">
        <f>S344+IF(N345="已下單",M345,0)</f>
        <v/>
      </c>
      <c r="T345" s="16">
        <f>R345-S345</f>
        <v/>
      </c>
      <c r="U345" s="2">
        <f>U344+IF(N345="已下單",1,0)</f>
        <v/>
      </c>
      <c r="V345" s="16">
        <f>IF(資金模擬!$B$9=2,MAX(R345,0),MAX(V344,FLOOR(MAX(R345,0),資金模擬!$B$6)))</f>
        <v/>
      </c>
      <c r="W345" s="10">
        <f>MAX(W344,R345)</f>
        <v/>
      </c>
      <c r="X345" s="4">
        <f>IF(W345&gt;0,R345/W345-1,-1)</f>
        <v/>
      </c>
      <c r="Y345" s="16">
        <f>IF(R345&gt;0,S345*資金模擬!$B$7/R345,0)</f>
        <v/>
      </c>
      <c r="Z345" s="2">
        <f>IF(OR(Z344=1,R345&lt;=資金模擬!$B$10),1,0)</f>
        <v/>
      </c>
    </row>
    <row r="346">
      <c r="A346" s="2" t="n">
        <v>344</v>
      </c>
      <c r="B346" s="7" t="n">
        <v>46299.69444444445</v>
      </c>
      <c r="C346" s="2" t="inlineStr">
        <is>
          <t>出場</t>
        </is>
      </c>
      <c r="D346" s="2" t="n">
        <v>172</v>
      </c>
      <c r="E346" s="2" t="inlineStr">
        <is>
          <t>BEAMX_USDT_PERP</t>
        </is>
      </c>
      <c r="F346" s="2" t="inlineStr">
        <is>
          <t>做空</t>
        </is>
      </c>
      <c r="G346" s="17" t="n">
        <v>0.002788</v>
      </c>
      <c r="H346" s="17" t="n">
        <v>0.00267648</v>
      </c>
      <c r="I346" s="17" t="n">
        <v>0.0029274</v>
      </c>
      <c r="J346" s="17" t="n">
        <v>0.0029274</v>
      </c>
      <c r="K346" s="2" t="inlineStr">
        <is>
          <t>止損</t>
        </is>
      </c>
      <c r="L346" s="5">
        <f>交易明細!K173</f>
        <v/>
      </c>
      <c r="M346" s="16">
        <f>M345</f>
        <v/>
      </c>
      <c r="N346" s="2">
        <f>N345</f>
        <v/>
      </c>
      <c r="O346" s="16">
        <f>O345</f>
        <v/>
      </c>
      <c r="P346" s="4">
        <f>交易明細!L173</f>
        <v/>
      </c>
      <c r="Q346" s="10">
        <f>IF(N346="已下單",O346*P346,0)</f>
        <v/>
      </c>
      <c r="R346" s="10">
        <f>R345+Q346</f>
        <v/>
      </c>
      <c r="S346" s="16">
        <f>S345-IF(N346="已下單",M346,0)</f>
        <v/>
      </c>
      <c r="T346" s="16">
        <f>R346-S346</f>
        <v/>
      </c>
      <c r="U346" s="2">
        <f>U345-IF(N346="已下單",1,0)</f>
        <v/>
      </c>
      <c r="V346" s="16">
        <f>IF(資金模擬!$B$9=2,MAX(R346,0),MAX(V345,FLOOR(MAX(R346,0),資金模擬!$B$6)))</f>
        <v/>
      </c>
      <c r="W346" s="10">
        <f>MAX(W345,R346)</f>
        <v/>
      </c>
      <c r="X346" s="4">
        <f>IF(W346&gt;0,R346/W346-1,-1)</f>
        <v/>
      </c>
      <c r="Y346" s="16">
        <f>IF(R346&gt;0,S346*資金模擬!$B$7/R346,0)</f>
        <v/>
      </c>
      <c r="Z346" s="2">
        <f>IF(OR(Z345=1,R346&lt;=資金模擬!$B$10),1,0)</f>
        <v/>
      </c>
    </row>
    <row r="347">
      <c r="A347" s="2" t="n">
        <v>345</v>
      </c>
      <c r="B347" s="7" t="n">
        <v>46299.94097222222</v>
      </c>
      <c r="C347" s="2" t="inlineStr">
        <is>
          <t>進場</t>
        </is>
      </c>
      <c r="D347" s="2" t="n">
        <v>173</v>
      </c>
      <c r="E347" s="2" t="inlineStr">
        <is>
          <t>HAEDAL_USDT_PERP</t>
        </is>
      </c>
      <c r="F347" s="2" t="inlineStr">
        <is>
          <t>做空</t>
        </is>
      </c>
      <c r="G347" s="17" t="n">
        <v>0.02245</v>
      </c>
      <c r="H347" s="17" t="n">
        <v>0.021552</v>
      </c>
      <c r="I347" s="17" t="n">
        <v>0.0235725</v>
      </c>
      <c r="J347" s="17" t="n"/>
      <c r="K347" s="2" t="n"/>
      <c r="L347" s="5" t="n"/>
      <c r="M347" s="16">
        <f>資金模擬!$B$5*V346</f>
        <v/>
      </c>
      <c r="N347" s="2">
        <f>IF(Z346=1,"已停止",IF(T346&gt;=M347,"已下單","資金不足略過"))</f>
        <v/>
      </c>
      <c r="O347" s="16">
        <f>IF(N347="已下單",M347*資金模擬!$B$7,0)</f>
        <v/>
      </c>
      <c r="P347" s="4" t="n"/>
      <c r="Q347" s="10" t="n">
        <v>0</v>
      </c>
      <c r="R347" s="10">
        <f>R346+Q347</f>
        <v/>
      </c>
      <c r="S347" s="16">
        <f>S346+IF(N347="已下單",M347,0)</f>
        <v/>
      </c>
      <c r="T347" s="16">
        <f>R347-S347</f>
        <v/>
      </c>
      <c r="U347" s="2">
        <f>U346+IF(N347="已下單",1,0)</f>
        <v/>
      </c>
      <c r="V347" s="16">
        <f>IF(資金模擬!$B$9=2,MAX(R347,0),MAX(V346,FLOOR(MAX(R347,0),資金模擬!$B$6)))</f>
        <v/>
      </c>
      <c r="W347" s="10">
        <f>MAX(W346,R347)</f>
        <v/>
      </c>
      <c r="X347" s="4">
        <f>IF(W347&gt;0,R347/W347-1,-1)</f>
        <v/>
      </c>
      <c r="Y347" s="16">
        <f>IF(R347&gt;0,S347*資金模擬!$B$7/R347,0)</f>
        <v/>
      </c>
      <c r="Z347" s="2">
        <f>IF(OR(Z346=1,R347&lt;=資金模擬!$B$10),1,0)</f>
        <v/>
      </c>
    </row>
    <row r="348">
      <c r="A348" s="2" t="n">
        <v>346</v>
      </c>
      <c r="B348" s="7" t="n">
        <v>46299.94444444445</v>
      </c>
      <c r="C348" s="2" t="inlineStr">
        <is>
          <t>出場</t>
        </is>
      </c>
      <c r="D348" s="2" t="n">
        <v>173</v>
      </c>
      <c r="E348" s="2" t="inlineStr">
        <is>
          <t>HAEDAL_USDT_PERP</t>
        </is>
      </c>
      <c r="F348" s="2" t="inlineStr">
        <is>
          <t>做空</t>
        </is>
      </c>
      <c r="G348" s="17" t="n">
        <v>0.02245</v>
      </c>
      <c r="H348" s="17" t="n">
        <v>0.021552</v>
      </c>
      <c r="I348" s="17" t="n">
        <v>0.0235725</v>
      </c>
      <c r="J348" s="17" t="n">
        <v>0.0235725</v>
      </c>
      <c r="K348" s="2" t="inlineStr">
        <is>
          <t>止損</t>
        </is>
      </c>
      <c r="L348" s="5">
        <f>交易明細!K174</f>
        <v/>
      </c>
      <c r="M348" s="16">
        <f>M347</f>
        <v/>
      </c>
      <c r="N348" s="2">
        <f>N347</f>
        <v/>
      </c>
      <c r="O348" s="16">
        <f>O347</f>
        <v/>
      </c>
      <c r="P348" s="4">
        <f>交易明細!L174</f>
        <v/>
      </c>
      <c r="Q348" s="10">
        <f>IF(N348="已下單",O348*P348,0)</f>
        <v/>
      </c>
      <c r="R348" s="10">
        <f>R347+Q348</f>
        <v/>
      </c>
      <c r="S348" s="16">
        <f>S347-IF(N348="已下單",M348,0)</f>
        <v/>
      </c>
      <c r="T348" s="16">
        <f>R348-S348</f>
        <v/>
      </c>
      <c r="U348" s="2">
        <f>U347-IF(N348="已下單",1,0)</f>
        <v/>
      </c>
      <c r="V348" s="16">
        <f>IF(資金模擬!$B$9=2,MAX(R348,0),MAX(V347,FLOOR(MAX(R348,0),資金模擬!$B$6)))</f>
        <v/>
      </c>
      <c r="W348" s="10">
        <f>MAX(W347,R348)</f>
        <v/>
      </c>
      <c r="X348" s="4">
        <f>IF(W348&gt;0,R348/W348-1,-1)</f>
        <v/>
      </c>
      <c r="Y348" s="16">
        <f>IF(R348&gt;0,S348*資金模擬!$B$7/R348,0)</f>
        <v/>
      </c>
      <c r="Z348" s="2">
        <f>IF(OR(Z347=1,R348&lt;=資金模擬!$B$10),1,0)</f>
        <v/>
      </c>
    </row>
  </sheetData>
  <autoFilter ref="A1:Z348"/>
  <conditionalFormatting sqref="K2:K34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4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4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2026-10-05 03:41（Dry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IFERROR(AVERAGE(交易明細!$AC$2:$AC$174),(B6+2*B7)/(B5+B6))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7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46291.64236111111</v>
      </c>
      <c r="I152" s="17" t="n">
        <v>0.0314601</v>
      </c>
      <c r="J152" s="2" t="inlineStr">
        <is>
          <t>止損</t>
        </is>
      </c>
      <c r="K152" s="5">
        <f>(H152-D152)*24</f>
        <v/>
      </c>
      <c r="L152" s="4">
        <f>IF(C152="做多",I152/E152-1,1-I152/E152)-2*參數!$B$7</f>
        <v/>
      </c>
      <c r="M152" s="2" t="inlineStr"/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0.05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  <row r="153">
      <c r="A153" s="2" t="n">
        <v>152</v>
      </c>
      <c r="B153" s="2" t="inlineStr">
        <is>
          <t>US_USDT_PERP</t>
        </is>
      </c>
      <c r="C153" s="2" t="inlineStr">
        <is>
          <t>做空</t>
        </is>
      </c>
      <c r="D153" s="7" t="n">
        <v>46291.96180555555</v>
      </c>
      <c r="E153" s="17" t="n">
        <v>0.02612</v>
      </c>
      <c r="F153" s="17" t="n">
        <v>0.0250752</v>
      </c>
      <c r="G153" s="17" t="n">
        <v>0.027426</v>
      </c>
      <c r="H153" s="7" t="n">
        <v>46291.98263888889</v>
      </c>
      <c r="I153" s="17" t="n">
        <v>0.027426</v>
      </c>
      <c r="J153" s="2" t="inlineStr">
        <is>
          <t>止損</t>
        </is>
      </c>
      <c r="K153" s="5">
        <f>(H153-D153)*24</f>
        <v/>
      </c>
      <c r="L153" s="4">
        <f>IF(C153="做多",I153/E153-1,1-I153/E153)-2*參數!$B$7</f>
        <v/>
      </c>
      <c r="M153" s="2" t="inlineStr"/>
      <c r="N153" s="4" t="n">
        <v>0.01515740380878361</v>
      </c>
      <c r="O153" s="4" t="n">
        <v>0.01665147000597482</v>
      </c>
      <c r="P153" s="4" t="n">
        <v>0.1940184794016191</v>
      </c>
      <c r="Q153" s="19" t="n">
        <v>-266624</v>
      </c>
      <c r="R153" s="19" t="n">
        <v>125900.39178</v>
      </c>
      <c r="S153" s="4" t="n">
        <v>0.009188361408882129</v>
      </c>
      <c r="T153" s="4" t="n">
        <v>0.05</v>
      </c>
      <c r="U153" s="16" t="n">
        <v>7.424920783945547</v>
      </c>
      <c r="V153" s="16" t="n">
        <v>0.4732142857142853</v>
      </c>
      <c r="W153" s="4" t="n">
        <v>-0.1652703052365783</v>
      </c>
      <c r="X153" s="4" t="n">
        <v>-0.2154490460679388</v>
      </c>
      <c r="Y153" s="4" t="n"/>
      <c r="Z153" s="4" t="n"/>
      <c r="AA153" s="4" t="n">
        <v>0.04</v>
      </c>
      <c r="AB153" s="4" t="n">
        <v>0.05</v>
      </c>
      <c r="AC153" s="4">
        <f>(AB153+2*參數!$B$7)/(AA153+AB153)</f>
        <v/>
      </c>
      <c r="AD153" s="2" t="n">
        <v>0.1491421029476463</v>
      </c>
      <c r="AE153" s="2" t="n">
        <v>0.05877584110255363</v>
      </c>
      <c r="AF153" s="2" t="n">
        <v>7.424920783945547</v>
      </c>
      <c r="AG153" s="2" t="n">
        <v>0.5267857142857147</v>
      </c>
      <c r="AH153" s="2" t="n">
        <v>0.1589533128699103</v>
      </c>
      <c r="AI153" s="2" t="n">
        <v>10</v>
      </c>
      <c r="AJ153" s="2" t="n">
        <v>0.1940184794016191</v>
      </c>
      <c r="AK153" s="2" t="n">
        <v>77.85211187978011</v>
      </c>
      <c r="AL153" s="2" t="n">
        <v>0.05768238414211523</v>
      </c>
      <c r="AM153" s="2" t="n">
        <v>125900.39178</v>
      </c>
    </row>
    <row r="154">
      <c r="A154" s="2" t="n">
        <v>153</v>
      </c>
      <c r="B154" s="2" t="inlineStr">
        <is>
          <t>CLANKER_USDT_PERP</t>
        </is>
      </c>
      <c r="C154" s="2" t="inlineStr">
        <is>
          <t>做空</t>
        </is>
      </c>
      <c r="D154" s="7" t="n">
        <v>46292.02083333334</v>
      </c>
      <c r="E154" s="17" t="n">
        <v>16.55</v>
      </c>
      <c r="F154" s="17" t="n">
        <v>15.888</v>
      </c>
      <c r="G154" s="17" t="n">
        <v>17.3775</v>
      </c>
      <c r="H154" s="7" t="n">
        <v>46292.02430555555</v>
      </c>
      <c r="I154" s="17" t="n">
        <v>15.888</v>
      </c>
      <c r="J154" s="2" t="inlineStr">
        <is>
          <t>止盈</t>
        </is>
      </c>
      <c r="K154" s="5">
        <f>(H154-D154)*24</f>
        <v/>
      </c>
      <c r="L154" s="4">
        <f>IF(C154="做多",I154/E154-1,1-I154/E154)-2*參數!$B$7</f>
        <v/>
      </c>
      <c r="M154" s="2" t="inlineStr"/>
      <c r="N154" s="4" t="n">
        <v>-0.02647058823529402</v>
      </c>
      <c r="O154" s="4" t="n">
        <v>0.02506188814746942</v>
      </c>
      <c r="P154" s="4" t="n">
        <v>0.1827060505002382</v>
      </c>
      <c r="Q154" s="19" t="n">
        <v>-245.17</v>
      </c>
      <c r="R154" s="19" t="n">
        <v>34140.9857</v>
      </c>
      <c r="S154" s="4" t="n">
        <v>0.04</v>
      </c>
      <c r="T154" s="4" t="n">
        <v>0</v>
      </c>
      <c r="U154" s="16" t="n">
        <v>87.33099209833188</v>
      </c>
      <c r="V154" s="16" t="n">
        <v>0.7702702702702686</v>
      </c>
      <c r="W154" s="4" t="n">
        <v>-0.1459869682932065</v>
      </c>
      <c r="X154" s="4" t="n">
        <v>-0.2359970126960418</v>
      </c>
      <c r="Y154" s="4" t="n"/>
      <c r="Z154" s="4" t="n"/>
      <c r="AA154" s="4" t="n">
        <v>0.04</v>
      </c>
      <c r="AB154" s="4" t="n">
        <v>0.05</v>
      </c>
      <c r="AC154" s="4">
        <f>(AB154+2*參數!$B$7)/(AA154+AB154)</f>
        <v/>
      </c>
      <c r="AD154" s="2" t="n">
        <v>0.1638537271448663</v>
      </c>
      <c r="AE154" s="2" t="n">
        <v>0.1461218836565097</v>
      </c>
      <c r="AF154" s="2" t="n">
        <v>87.33099209833188</v>
      </c>
      <c r="AG154" s="2" t="n">
        <v>0.2297297297297314</v>
      </c>
      <c r="AH154" s="2" t="n">
        <v>1</v>
      </c>
      <c r="AI154" s="2" t="n">
        <v>6</v>
      </c>
      <c r="AJ154" s="2" t="n">
        <v>0.1827060505002382</v>
      </c>
      <c r="AK154" s="2" t="n">
        <v>68.23596971879573</v>
      </c>
      <c r="AL154" s="2" t="n">
        <v>0.08681692721005055</v>
      </c>
      <c r="AM154" s="2" t="n">
        <v>34140.9857</v>
      </c>
    </row>
    <row r="155">
      <c r="A155" s="2" t="n">
        <v>154</v>
      </c>
      <c r="B155" s="2" t="inlineStr">
        <is>
          <t>SOON_USDT_PERP</t>
        </is>
      </c>
      <c r="C155" s="2" t="inlineStr">
        <is>
          <t>做空</t>
        </is>
      </c>
      <c r="D155" s="7" t="n">
        <v>46292.44791666666</v>
      </c>
      <c r="E155" s="17" t="n">
        <v>0.2743</v>
      </c>
      <c r="F155" s="17" t="n">
        <v>0.263328</v>
      </c>
      <c r="G155" s="17" t="n">
        <v>0.288015</v>
      </c>
      <c r="H155" s="7" t="n">
        <v>46292.48263888889</v>
      </c>
      <c r="I155" s="17" t="n">
        <v>0.288015</v>
      </c>
      <c r="J155" s="2" t="inlineStr">
        <is>
          <t>止損</t>
        </is>
      </c>
      <c r="K155" s="5">
        <f>(H155-D155)*24</f>
        <v/>
      </c>
      <c r="L155" s="4">
        <f>IF(C155="做多",I155/E155-1,1-I155/E155)-2*參數!$B$7</f>
        <v/>
      </c>
      <c r="M155" s="2" t="inlineStr"/>
      <c r="N155" s="4" t="n">
        <v>0.009941089837997019</v>
      </c>
      <c r="O155" s="4" t="n">
        <v>0.0180315730581906</v>
      </c>
      <c r="P155" s="4" t="n">
        <v>0.2311236864890944</v>
      </c>
      <c r="Q155" s="19" t="n">
        <v>275918</v>
      </c>
      <c r="R155" s="19" t="n">
        <v>175658.226</v>
      </c>
      <c r="S155" s="4" t="n">
        <v>0.03062340503098782</v>
      </c>
      <c r="T155" s="4" t="n">
        <v>0.05</v>
      </c>
      <c r="U155" s="16" t="n">
        <v>16.16863904468761</v>
      </c>
      <c r="V155" s="16" t="n">
        <v>0.4252873563218412</v>
      </c>
      <c r="W155" s="4" t="n">
        <v>-0.1849375132295703</v>
      </c>
      <c r="X155" s="4" t="n">
        <v>-0.3532313764183523</v>
      </c>
      <c r="Y155" s="4" t="n"/>
      <c r="Z155" s="4" t="n"/>
      <c r="AA155" s="4" t="n">
        <v>0.04</v>
      </c>
      <c r="AB155" s="4" t="n">
        <v>0.05</v>
      </c>
      <c r="AC155" s="4">
        <f>(AB155+2*參數!$B$7)/(AA155+AB155)</f>
        <v/>
      </c>
      <c r="AD155" s="2" t="n">
        <v>0.1895056374674762</v>
      </c>
      <c r="AE155" s="2" t="n">
        <v>0.1672340425531915</v>
      </c>
      <c r="AF155" s="2" t="n">
        <v>16.16863904468761</v>
      </c>
      <c r="AG155" s="2" t="n">
        <v>0.5747126436781588</v>
      </c>
      <c r="AH155" s="2" t="n">
        <v>0.2764296611015269</v>
      </c>
      <c r="AI155" s="2" t="n">
        <v>8</v>
      </c>
      <c r="AJ155" s="2" t="n">
        <v>0.2311236864890944</v>
      </c>
      <c r="AK155" s="2" t="n">
        <v>83.96511889348402</v>
      </c>
      <c r="AL155" s="2" t="n">
        <v>0.06246320135435249</v>
      </c>
      <c r="AM155" s="2" t="n">
        <v>175658.226</v>
      </c>
    </row>
    <row r="156">
      <c r="A156" s="2" t="n">
        <v>155</v>
      </c>
      <c r="B156" s="2" t="inlineStr">
        <is>
          <t>ARX_USDT_PERP</t>
        </is>
      </c>
      <c r="C156" s="2" t="inlineStr">
        <is>
          <t>做空</t>
        </is>
      </c>
      <c r="D156" s="7" t="n">
        <v>46292.75347222222</v>
      </c>
      <c r="E156" s="17" t="n">
        <v>0.2565</v>
      </c>
      <c r="F156" s="17" t="n">
        <v>0.24624</v>
      </c>
      <c r="G156" s="17" t="n">
        <v>0.269325</v>
      </c>
      <c r="H156" s="7" t="n">
        <v>46292.8125</v>
      </c>
      <c r="I156" s="17" t="n">
        <v>0.269325</v>
      </c>
      <c r="J156" s="2" t="inlineStr">
        <is>
          <t>止損</t>
        </is>
      </c>
      <c r="K156" s="5">
        <f>(H156-D156)*24</f>
        <v/>
      </c>
      <c r="L156" s="4">
        <f>IF(C156="做多",I156/E156-1,1-I156/E156)-2*參數!$B$7</f>
        <v/>
      </c>
      <c r="M156" s="2" t="inlineStr"/>
      <c r="N156" s="4" t="n">
        <v>0.001170960187353742</v>
      </c>
      <c r="O156" s="4" t="n">
        <v>0.01474387014973112</v>
      </c>
      <c r="P156" s="4" t="n">
        <v>0.1238847415667566</v>
      </c>
      <c r="Q156" s="19" t="n">
        <v>129994</v>
      </c>
      <c r="R156" s="19" t="n">
        <v>72316.7129</v>
      </c>
      <c r="S156" s="4" t="n">
        <v>0.007797270955165692</v>
      </c>
      <c r="T156" s="4" t="n">
        <v>0.05</v>
      </c>
      <c r="U156" s="16" t="n">
        <v>6.860725614257447</v>
      </c>
      <c r="V156" s="16" t="n">
        <v>0.5142857142857129</v>
      </c>
      <c r="W156" s="4" t="n">
        <v>-0.1259481668773705</v>
      </c>
      <c r="X156" s="4" t="n">
        <v>-0.0772784544309113</v>
      </c>
      <c r="Y156" s="4" t="n"/>
      <c r="Z156" s="4" t="n"/>
      <c r="AA156" s="4" t="n">
        <v>0.04</v>
      </c>
      <c r="AB156" s="4" t="n">
        <v>0.05</v>
      </c>
      <c r="AC156" s="4">
        <f>(AB156+2*參數!$B$7)/(AA156+AB156)</f>
        <v/>
      </c>
      <c r="AD156" s="2" t="n">
        <v>0.1471377459749554</v>
      </c>
      <c r="AE156" s="2" t="n">
        <v>0.04865085854456241</v>
      </c>
      <c r="AF156" s="2" t="n">
        <v>6.860725614257447</v>
      </c>
      <c r="AG156" s="2" t="n">
        <v>0.4857142857142871</v>
      </c>
      <c r="AH156" s="2" t="n">
        <v>0.1208922797954052</v>
      </c>
      <c r="AI156" s="2" t="n">
        <v>11</v>
      </c>
      <c r="AJ156" s="2" t="n">
        <v>0.1238847415667566</v>
      </c>
      <c r="AK156" s="2" t="n">
        <v>68.8874156815971</v>
      </c>
      <c r="AL156" s="2" t="n">
        <v>0.05107426439906491</v>
      </c>
      <c r="AM156" s="2" t="n">
        <v>72316.7129</v>
      </c>
    </row>
    <row r="157">
      <c r="A157" s="2" t="n">
        <v>156</v>
      </c>
      <c r="B157" s="2" t="inlineStr">
        <is>
          <t>MAGIC_USDT_PERP</t>
        </is>
      </c>
      <c r="C157" s="2" t="inlineStr">
        <is>
          <t>做空</t>
        </is>
      </c>
      <c r="D157" s="7" t="n">
        <v>46292.9375</v>
      </c>
      <c r="E157" s="17" t="n">
        <v>0.0602</v>
      </c>
      <c r="F157" s="17" t="n">
        <v>0.057792</v>
      </c>
      <c r="G157" s="17" t="n">
        <v>0.06321</v>
      </c>
      <c r="H157" s="7" t="n">
        <v>46292.95138888889</v>
      </c>
      <c r="I157" s="17" t="n">
        <v>0.057792</v>
      </c>
      <c r="J157" s="2" t="inlineStr">
        <is>
          <t>止盈</t>
        </is>
      </c>
      <c r="K157" s="5">
        <f>(H157-D157)*24</f>
        <v/>
      </c>
      <c r="L157" s="4">
        <f>IF(C157="做多",I157/E157-1,1-I157/E157)-2*參數!$B$7</f>
        <v/>
      </c>
      <c r="M157" s="2" t="inlineStr"/>
      <c r="N157" s="4" t="n">
        <v>-0.04292527821939585</v>
      </c>
      <c r="O157" s="4" t="n">
        <v>0.02407774740040173</v>
      </c>
      <c r="P157" s="4" t="n">
        <v>0.1609015306737374</v>
      </c>
      <c r="Q157" s="19" t="n">
        <v>899163.2</v>
      </c>
      <c r="R157" s="19" t="n">
        <v>106276.32449</v>
      </c>
      <c r="S157" s="4" t="n">
        <v>0.04</v>
      </c>
      <c r="T157" s="4" t="n">
        <v>0.04152823920265791</v>
      </c>
      <c r="U157" s="16" t="n">
        <v>50.17107641903915</v>
      </c>
      <c r="V157" s="16" t="n">
        <v>0.8378378378378386</v>
      </c>
      <c r="W157" s="4" t="n">
        <v>-0.1490084553280018</v>
      </c>
      <c r="X157" s="4" t="n">
        <v>-0.1644100580270791</v>
      </c>
      <c r="Y157" s="4" t="n"/>
      <c r="Z157" s="4" t="n"/>
      <c r="AA157" s="4" t="n">
        <v>0.04</v>
      </c>
      <c r="AB157" s="4" t="n">
        <v>0.05</v>
      </c>
      <c r="AC157" s="4">
        <f>(AB157+2*參數!$B$7)/(AA157+AB157)</f>
        <v/>
      </c>
      <c r="AD157" s="2" t="n">
        <v>0.1532567049808429</v>
      </c>
      <c r="AE157" s="2" t="n">
        <v>0.144486692015209</v>
      </c>
      <c r="AF157" s="2" t="n">
        <v>50.17107641903915</v>
      </c>
      <c r="AG157" s="2" t="n">
        <v>0.1621621621621614</v>
      </c>
      <c r="AH157" s="2" t="n">
        <v>0.4382527863282323</v>
      </c>
      <c r="AI157" s="2" t="n">
        <v>10</v>
      </c>
      <c r="AJ157" s="2" t="n">
        <v>0.1609015306737374</v>
      </c>
      <c r="AK157" s="2" t="n">
        <v>90.63978802379856</v>
      </c>
      <c r="AL157" s="2" t="n">
        <v>0.08340776365861051</v>
      </c>
      <c r="AM157" s="2" t="n">
        <v>106276.32449</v>
      </c>
    </row>
    <row r="158">
      <c r="A158" s="2" t="n">
        <v>157</v>
      </c>
      <c r="B158" s="2" t="inlineStr">
        <is>
          <t>IRYS_USDT_PERP</t>
        </is>
      </c>
      <c r="C158" s="2" t="inlineStr">
        <is>
          <t>做空</t>
        </is>
      </c>
      <c r="D158" s="7" t="n">
        <v>46293.37847222222</v>
      </c>
      <c r="E158" s="17" t="n">
        <v>0.01986</v>
      </c>
      <c r="F158" s="17" t="n">
        <v>0.0190656</v>
      </c>
      <c r="G158" s="17" t="n">
        <v>0.020853</v>
      </c>
      <c r="H158" s="7" t="n">
        <v>46293.42361111111</v>
      </c>
      <c r="I158" s="17" t="n">
        <v>0.020853</v>
      </c>
      <c r="J158" s="2" t="inlineStr">
        <is>
          <t>止損</t>
        </is>
      </c>
      <c r="K158" s="5">
        <f>(H158-D158)*24</f>
        <v/>
      </c>
      <c r="L158" s="4">
        <f>IF(C158="做多",I158/E158-1,1-I158/E158)-2*參數!$B$7</f>
        <v/>
      </c>
      <c r="M158" s="2" t="inlineStr"/>
      <c r="N158" s="4" t="n">
        <v>-0.01144848183175717</v>
      </c>
      <c r="O158" s="4" t="n">
        <v>0.02096443823417835</v>
      </c>
      <c r="P158" s="4" t="n">
        <v>0.1719291689000131</v>
      </c>
      <c r="Q158" s="19" t="n">
        <v>548866</v>
      </c>
      <c r="R158" s="19" t="n">
        <v>20388.17636</v>
      </c>
      <c r="S158" s="4" t="n">
        <v>0.02014098690835842</v>
      </c>
      <c r="T158" s="4" t="n">
        <v>0.05</v>
      </c>
      <c r="U158" s="16" t="n">
        <v>12.03664373888282</v>
      </c>
      <c r="V158" s="16" t="n">
        <v>0.6595744680851068</v>
      </c>
      <c r="W158" s="4" t="n">
        <v>-0.1666774365993644</v>
      </c>
      <c r="X158" s="4" t="n">
        <v>-0.1821428571428572</v>
      </c>
      <c r="Y158" s="4" t="n"/>
      <c r="Z158" s="4" t="n"/>
      <c r="AA158" s="4" t="n">
        <v>0.04</v>
      </c>
      <c r="AB158" s="4" t="n">
        <v>0.05</v>
      </c>
      <c r="AC158" s="4">
        <f>(AB158+2*參數!$B$7)/(AA158+AB158)</f>
        <v/>
      </c>
      <c r="AD158" s="2" t="n">
        <v>0.1906474820143884</v>
      </c>
      <c r="AE158" s="2" t="n">
        <v>0.09120879120879111</v>
      </c>
      <c r="AF158" s="2" t="n">
        <v>12.03664373888282</v>
      </c>
      <c r="AG158" s="2" t="n">
        <v>0.3404255319148933</v>
      </c>
      <c r="AH158" s="2" t="n">
        <v>0.2627373346531089</v>
      </c>
      <c r="AI158" s="2" t="n">
        <v>12</v>
      </c>
      <c r="AJ158" s="2" t="n">
        <v>0.1719291689000131</v>
      </c>
      <c r="AK158" s="2" t="n">
        <v>85.89403756099074</v>
      </c>
      <c r="AL158" s="2" t="n">
        <v>0.07262294434747291</v>
      </c>
      <c r="AM158" s="2" t="n">
        <v>20388.17636</v>
      </c>
    </row>
    <row r="159">
      <c r="A159" s="2" t="n">
        <v>158</v>
      </c>
      <c r="B159" s="2" t="inlineStr">
        <is>
          <t>CASHCAT_USDT_PERP</t>
        </is>
      </c>
      <c r="C159" s="2" t="inlineStr">
        <is>
          <t>做空</t>
        </is>
      </c>
      <c r="D159" s="7" t="n">
        <v>46293.56597222222</v>
      </c>
      <c r="E159" s="17" t="n">
        <v>0.1856</v>
      </c>
      <c r="F159" s="17" t="n">
        <v>0.178176</v>
      </c>
      <c r="G159" s="17" t="n">
        <v>0.19488</v>
      </c>
      <c r="H159" s="7" t="n">
        <v>46293.67361111111</v>
      </c>
      <c r="I159" s="17" t="n">
        <v>0.19488</v>
      </c>
      <c r="J159" s="2" t="inlineStr">
        <is>
          <t>止損</t>
        </is>
      </c>
      <c r="K159" s="5">
        <f>(H159-D159)*24</f>
        <v/>
      </c>
      <c r="L159" s="4">
        <f>IF(C159="做多",I159/E159-1,1-I159/E159)-2*參數!$B$7</f>
        <v/>
      </c>
      <c r="M159" s="2" t="inlineStr"/>
      <c r="N159" s="4" t="n">
        <v>-0.01902748414376332</v>
      </c>
      <c r="O159" s="4" t="n">
        <v>0.02250131396617812</v>
      </c>
      <c r="P159" s="4" t="n">
        <v>0.07475823730383935</v>
      </c>
      <c r="Q159" s="19" t="n">
        <v>221159</v>
      </c>
      <c r="R159" s="19" t="n">
        <v>367566.1584</v>
      </c>
      <c r="S159" s="4" t="n">
        <v>0.02586206896551724</v>
      </c>
      <c r="T159" s="4" t="n">
        <v>0.05</v>
      </c>
      <c r="U159" s="16" t="n">
        <v>24.49772963299929</v>
      </c>
      <c r="V159" s="16" t="n">
        <v>0.8378378378378405</v>
      </c>
      <c r="W159" s="4" t="n">
        <v>-0.1007781362687417</v>
      </c>
      <c r="X159" s="4" t="n">
        <v>-0.05275099262620508</v>
      </c>
      <c r="Y159" s="4" t="n"/>
      <c r="Z159" s="4" t="n"/>
      <c r="AA159" s="4" t="n">
        <v>0.04</v>
      </c>
      <c r="AB159" s="4" t="n">
        <v>0.05</v>
      </c>
      <c r="AC159" s="4">
        <f>(AB159+2*參數!$B$7)/(AA159+AB159)</f>
        <v/>
      </c>
      <c r="AD159" s="2" t="n">
        <v>0.1435613062230436</v>
      </c>
      <c r="AE159" s="2" t="n">
        <v>0.1080597014925371</v>
      </c>
      <c r="AF159" s="2" t="n">
        <v>24.49772963299929</v>
      </c>
      <c r="AG159" s="2" t="n">
        <v>0.1621621621621595</v>
      </c>
      <c r="AH159" s="2" t="n">
        <v>0.6049527170181823</v>
      </c>
      <c r="AI159" s="2" t="n">
        <v>3</v>
      </c>
      <c r="AJ159" s="2" t="n">
        <v>0.07475823730383935</v>
      </c>
      <c r="AK159" s="2" t="n">
        <v>45.10574234530786</v>
      </c>
      <c r="AL159" s="2" t="n">
        <v>0.07794683805295935</v>
      </c>
      <c r="AM159" s="2" t="n">
        <v>367566.1584</v>
      </c>
    </row>
    <row r="160">
      <c r="A160" s="2" t="n">
        <v>159</v>
      </c>
      <c r="B160" s="2" t="inlineStr">
        <is>
          <t>NMR_USDT_PERP</t>
        </is>
      </c>
      <c r="C160" s="2" t="inlineStr">
        <is>
          <t>做空</t>
        </is>
      </c>
      <c r="D160" s="7" t="n">
        <v>46293.81944444445</v>
      </c>
      <c r="E160" s="17" t="n">
        <v>11.308</v>
      </c>
      <c r="F160" s="17" t="n">
        <v>10.85568</v>
      </c>
      <c r="G160" s="17" t="n">
        <v>11.8734</v>
      </c>
      <c r="H160" s="7" t="n">
        <v>46293.85416666666</v>
      </c>
      <c r="I160" s="17" t="n">
        <v>10.85568</v>
      </c>
      <c r="J160" s="2" t="inlineStr">
        <is>
          <t>止盈</t>
        </is>
      </c>
      <c r="K160" s="5">
        <f>(H160-D160)*24</f>
        <v/>
      </c>
      <c r="L160" s="4">
        <f>IF(C160="做多",I160/E160-1,1-I160/E160)-2*參數!$B$7</f>
        <v/>
      </c>
      <c r="M160" s="2" t="inlineStr"/>
      <c r="N160" s="4" t="n">
        <v>0.005870841487279677</v>
      </c>
      <c r="O160" s="4" t="n">
        <v>0.01740957007854799</v>
      </c>
      <c r="P160" s="4" t="n">
        <v>0.1194603332658226</v>
      </c>
      <c r="Q160" s="19" t="n">
        <v>697.1000000000001</v>
      </c>
      <c r="R160" s="19" t="n">
        <v>273872.7412</v>
      </c>
      <c r="S160" s="4" t="n">
        <v>0.04</v>
      </c>
      <c r="T160" s="4" t="n">
        <v>0.0385567739653343</v>
      </c>
      <c r="U160" s="16" t="n">
        <v>9.639437597639299</v>
      </c>
      <c r="V160" s="16" t="n">
        <v>0.5103244837758107</v>
      </c>
      <c r="W160" s="4" t="n">
        <v>-0.1223364607494881</v>
      </c>
      <c r="X160" s="4" t="n">
        <v>-0.1668558456299658</v>
      </c>
      <c r="Y160" s="4" t="n"/>
      <c r="Z160" s="4" t="n"/>
      <c r="AA160" s="4" t="n">
        <v>0.04</v>
      </c>
      <c r="AB160" s="4" t="n">
        <v>0.05</v>
      </c>
      <c r="AC160" s="4">
        <f>(AB160+2*參數!$B$7)/(AA160+AB160)</f>
        <v/>
      </c>
      <c r="AD160" s="2" t="n">
        <v>0.1467396815738768</v>
      </c>
      <c r="AE160" s="2" t="n">
        <v>0.08117410842336747</v>
      </c>
      <c r="AF160" s="2" t="n">
        <v>9.639437597639299</v>
      </c>
      <c r="AG160" s="2" t="n">
        <v>0.4896755162241893</v>
      </c>
      <c r="AH160" s="2" t="n">
        <v>0.7010584148016482</v>
      </c>
      <c r="AI160" s="2" t="n">
        <v>9</v>
      </c>
      <c r="AJ160" s="2" t="n">
        <v>0.1194603332658226</v>
      </c>
      <c r="AK160" s="2" t="n">
        <v>69.17778517660877</v>
      </c>
      <c r="AL160" s="2" t="n">
        <v>0.060308519827952</v>
      </c>
      <c r="AM160" s="2" t="n">
        <v>273872.7412</v>
      </c>
    </row>
    <row r="161">
      <c r="A161" s="2" t="n">
        <v>160</v>
      </c>
      <c r="B161" s="2" t="inlineStr">
        <is>
          <t>ZEST_USDT_PERP</t>
        </is>
      </c>
      <c r="C161" s="2" t="inlineStr">
        <is>
          <t>做空</t>
        </is>
      </c>
      <c r="D161" s="7" t="n">
        <v>46293.92708333334</v>
      </c>
      <c r="E161" s="17" t="n">
        <v>0.18979</v>
      </c>
      <c r="F161" s="17" t="n">
        <v>0.1821984</v>
      </c>
      <c r="G161" s="17" t="n">
        <v>0.1992795</v>
      </c>
      <c r="H161" s="7" t="n">
        <v>46293.99305555555</v>
      </c>
      <c r="I161" s="17" t="n">
        <v>0.1821984</v>
      </c>
      <c r="J161" s="2" t="inlineStr">
        <is>
          <t>止盈</t>
        </is>
      </c>
      <c r="K161" s="5">
        <f>(H161-D161)*24</f>
        <v/>
      </c>
      <c r="L161" s="4">
        <f>IF(C161="做多",I161/E161-1,1-I161/E161)-2*參數!$B$7</f>
        <v/>
      </c>
      <c r="M161" s="2" t="inlineStr"/>
      <c r="N161" s="4" t="n">
        <v>-0.0120249869859449</v>
      </c>
      <c r="O161" s="4" t="n">
        <v>0.02255934746575167</v>
      </c>
      <c r="P161" s="4" t="n">
        <v>0.08961393837778386</v>
      </c>
      <c r="Q161" s="19" t="n">
        <v>9441</v>
      </c>
      <c r="R161" s="19" t="n">
        <v>23624.89166</v>
      </c>
      <c r="S161" s="4" t="n">
        <v>0.04</v>
      </c>
      <c r="T161" s="4" t="n">
        <v>0.02692449549502074</v>
      </c>
      <c r="U161" s="16" t="n">
        <v>8.976249278707444</v>
      </c>
      <c r="V161" s="16" t="n">
        <v>0.9152892561983486</v>
      </c>
      <c r="W161" s="4" t="n">
        <v>-0.1093705247283419</v>
      </c>
      <c r="X161" s="4" t="n">
        <v>-0.07183599706330823</v>
      </c>
      <c r="Y161" s="4" t="n"/>
      <c r="Z161" s="4" t="n"/>
      <c r="AA161" s="4" t="n">
        <v>0.04</v>
      </c>
      <c r="AB161" s="4" t="n">
        <v>0.05</v>
      </c>
      <c r="AC161" s="4">
        <f>(AB161+2*參數!$B$7)/(AA161+AB161)</f>
        <v/>
      </c>
      <c r="AD161" s="2" t="n">
        <v>0.1478076806773509</v>
      </c>
      <c r="AE161" s="2" t="n">
        <v>0.1399483452459607</v>
      </c>
      <c r="AF161" s="2" t="n">
        <v>8.976249278707444</v>
      </c>
      <c r="AG161" s="2" t="n">
        <v>0.0847107438016514</v>
      </c>
      <c r="AH161" s="2" t="n">
        <v>0.2828713078695622</v>
      </c>
      <c r="AI161" s="2" t="n">
        <v>12</v>
      </c>
      <c r="AJ161" s="2" t="n">
        <v>0.08961393837778386</v>
      </c>
      <c r="AK161" s="2" t="n">
        <v>55.90303238880595</v>
      </c>
      <c r="AL161" s="2" t="n">
        <v>0.07814787199256415</v>
      </c>
      <c r="AM161" s="2" t="n">
        <v>23624.89166</v>
      </c>
    </row>
    <row r="162">
      <c r="A162" s="2" t="n">
        <v>161</v>
      </c>
      <c r="B162" s="2" t="inlineStr">
        <is>
          <t>US_USDT_PERP</t>
        </is>
      </c>
      <c r="C162" s="2" t="inlineStr">
        <is>
          <t>做空</t>
        </is>
      </c>
      <c r="D162" s="7" t="n">
        <v>46294.03472222222</v>
      </c>
      <c r="E162" s="17" t="n">
        <v>0.03071</v>
      </c>
      <c r="F162" s="17" t="n">
        <v>0.0294816</v>
      </c>
      <c r="G162" s="17" t="n">
        <v>0.0322455</v>
      </c>
      <c r="H162" s="7" t="n">
        <v>46294.03819444445</v>
      </c>
      <c r="I162" s="17" t="n">
        <v>0.0294816</v>
      </c>
      <c r="J162" s="2" t="inlineStr">
        <is>
          <t>止盈</t>
        </is>
      </c>
      <c r="K162" s="5">
        <f>(H162-D162)*24</f>
        <v/>
      </c>
      <c r="L162" s="4">
        <f>IF(C162="做多",I162/E162-1,1-I162/E162)-2*參數!$B$7</f>
        <v/>
      </c>
      <c r="M162" s="2" t="inlineStr"/>
      <c r="N162" s="4" t="n">
        <v>-0.050695517774343</v>
      </c>
      <c r="O162" s="4" t="n">
        <v>0.02280364210566211</v>
      </c>
      <c r="P162" s="4" t="n">
        <v>0.1288210509871672</v>
      </c>
      <c r="Q162" s="19" t="n">
        <v>741896</v>
      </c>
      <c r="R162" s="19" t="n">
        <v>430672.12145</v>
      </c>
      <c r="S162" s="4" t="n">
        <v>0.04</v>
      </c>
      <c r="T162" s="4" t="n">
        <v>0</v>
      </c>
      <c r="U162" s="16" t="n">
        <v>10.74713459323335</v>
      </c>
      <c r="V162" s="16" t="n">
        <v>0.7420814479638</v>
      </c>
      <c r="W162" s="4" t="n">
        <v>-0.1246859595537879</v>
      </c>
      <c r="X162" s="4" t="n">
        <v>-0.0681739130434782</v>
      </c>
      <c r="Y162" s="4" t="n"/>
      <c r="Z162" s="4" t="n"/>
      <c r="AA162" s="4" t="n">
        <v>0.04</v>
      </c>
      <c r="AB162" s="4" t="n">
        <v>0.05</v>
      </c>
      <c r="AC162" s="4">
        <f>(AB162+2*參數!$B$7)/(AA162+AB162)</f>
        <v/>
      </c>
      <c r="AD162" s="2" t="n">
        <v>0.145041014168531</v>
      </c>
      <c r="AE162" s="2" t="n">
        <v>0.1269724770642202</v>
      </c>
      <c r="AF162" s="2" t="n">
        <v>10.74713459323335</v>
      </c>
      <c r="AG162" s="2" t="n">
        <v>0.2579185520362</v>
      </c>
      <c r="AH162" s="2" t="n">
        <v>0.4346549718752979</v>
      </c>
      <c r="AI162" s="2" t="n">
        <v>4</v>
      </c>
      <c r="AJ162" s="2" t="n">
        <v>0.1288210509871672</v>
      </c>
      <c r="AK162" s="2" t="n">
        <v>64.20383359346664</v>
      </c>
      <c r="AL162" s="2" t="n">
        <v>0.07899413344924741</v>
      </c>
      <c r="AM162" s="2" t="n">
        <v>430672.12145</v>
      </c>
    </row>
    <row r="163">
      <c r="A163" s="2" t="n">
        <v>162</v>
      </c>
      <c r="B163" s="2" t="inlineStr">
        <is>
          <t>US_USDT_PERP</t>
        </is>
      </c>
      <c r="C163" s="2" t="inlineStr">
        <is>
          <t>做空</t>
        </is>
      </c>
      <c r="D163" s="7" t="n">
        <v>46294.45138888889</v>
      </c>
      <c r="E163" s="17" t="n">
        <v>0.0348</v>
      </c>
      <c r="F163" s="17" t="n">
        <v>0.03340799999999999</v>
      </c>
      <c r="G163" s="17" t="n">
        <v>0.03654</v>
      </c>
      <c r="H163" s="7" t="n">
        <v>46294.45486111111</v>
      </c>
      <c r="I163" s="17" t="n">
        <v>0.03340799999999999</v>
      </c>
      <c r="J163" s="2" t="inlineStr">
        <is>
          <t>止盈</t>
        </is>
      </c>
      <c r="K163" s="5">
        <f>(H163-D163)*24</f>
        <v/>
      </c>
      <c r="L163" s="4">
        <f>IF(C163="做多",I163/E163-1,1-I163/E163)-2*參數!$B$7</f>
        <v/>
      </c>
      <c r="M163" s="2" t="inlineStr"/>
      <c r="N163" s="4" t="n">
        <v>0.002881844380403287</v>
      </c>
      <c r="O163" s="4" t="n">
        <v>0.01656952708752272</v>
      </c>
      <c r="P163" s="4" t="n">
        <v>0.2080501965685126</v>
      </c>
      <c r="Q163" s="19" t="n">
        <v>2102877</v>
      </c>
      <c r="R163" s="19" t="n">
        <v>469968.38071</v>
      </c>
      <c r="S163" s="4" t="n">
        <v>0.04</v>
      </c>
      <c r="T163" s="4" t="n">
        <v>0</v>
      </c>
      <c r="U163" s="16" t="n">
        <v>2.22155126520262</v>
      </c>
      <c r="V163" s="16" t="n">
        <v>0.4130434782608735</v>
      </c>
      <c r="W163" s="4" t="n">
        <v>-0.1426244902515743</v>
      </c>
      <c r="X163" s="4" t="n">
        <v>-0.2176347095871238</v>
      </c>
      <c r="Y163" s="4" t="n"/>
      <c r="Z163" s="4" t="n"/>
      <c r="AA163" s="4" t="n">
        <v>0.04</v>
      </c>
      <c r="AB163" s="4" t="n">
        <v>0.05</v>
      </c>
      <c r="AC163" s="4">
        <f>(AB163+2*參數!$B$7)/(AA163+AB163)</f>
        <v/>
      </c>
      <c r="AD163" s="2" t="n">
        <v>0.1439842209072977</v>
      </c>
      <c r="AE163" s="2" t="n">
        <v>0.1447368421052631</v>
      </c>
      <c r="AF163" s="2" t="n">
        <v>2.22155126520262</v>
      </c>
      <c r="AG163" s="2" t="n">
        <v>0.5869565217391265</v>
      </c>
      <c r="AH163" s="2" t="n">
        <v>0.1675792453532983</v>
      </c>
      <c r="AI163" s="2" t="n">
        <v>3</v>
      </c>
      <c r="AJ163" s="2" t="n">
        <v>0.2080501965685126</v>
      </c>
      <c r="AK163" s="2" t="n">
        <v>73.11943335834181</v>
      </c>
      <c r="AL163" s="2" t="n">
        <v>0.05739852554595622</v>
      </c>
      <c r="AM163" s="2" t="n">
        <v>469968.38071</v>
      </c>
    </row>
    <row r="164">
      <c r="A164" s="2" t="n">
        <v>163</v>
      </c>
      <c r="B164" s="2" t="inlineStr">
        <is>
          <t>AGT_USDT_PERP</t>
        </is>
      </c>
      <c r="C164" s="2" t="inlineStr">
        <is>
          <t>做空</t>
        </is>
      </c>
      <c r="D164" s="7" t="n">
        <v>46295.73611111111</v>
      </c>
      <c r="E164" s="17" t="n">
        <v>0.020647</v>
      </c>
      <c r="F164" s="17" t="n">
        <v>0.01982112</v>
      </c>
      <c r="G164" s="17" t="n">
        <v>0.02167935</v>
      </c>
      <c r="H164" s="7" t="n">
        <v>46295.75694444445</v>
      </c>
      <c r="I164" s="17" t="n">
        <v>0.02167935</v>
      </c>
      <c r="J164" s="2" t="inlineStr">
        <is>
          <t>止損</t>
        </is>
      </c>
      <c r="K164" s="5">
        <f>(H164-D164)*24</f>
        <v/>
      </c>
      <c r="L164" s="4">
        <f>IF(C164="做多",I164/E164-1,1-I164/E164)-2*參數!$B$7</f>
        <v/>
      </c>
      <c r="M164" s="2" t="inlineStr"/>
      <c r="N164" s="4" t="n">
        <v>-0.008404572087215567</v>
      </c>
      <c r="O164" s="4" t="n">
        <v>0.02372374583544481</v>
      </c>
      <c r="P164" s="4" t="n">
        <v>0.1620505809338322</v>
      </c>
      <c r="Q164" s="19" t="n">
        <v>182290</v>
      </c>
      <c r="R164" s="19" t="n">
        <v>100091.514312</v>
      </c>
      <c r="S164" s="4" t="n">
        <v>0.007846176199932109</v>
      </c>
      <c r="T164" s="4" t="n">
        <v>0.05</v>
      </c>
      <c r="U164" s="16" t="n">
        <v>4.335916275938513</v>
      </c>
      <c r="V164" s="16" t="n">
        <v>0.8853974121996311</v>
      </c>
      <c r="W164" s="4" t="n">
        <v>-0.1553910601707653</v>
      </c>
      <c r="X164" s="4" t="n">
        <v>-0.1506353098528754</v>
      </c>
      <c r="Y164" s="4" t="n"/>
      <c r="Z164" s="4" t="n"/>
      <c r="AA164" s="4" t="n">
        <v>0.04</v>
      </c>
      <c r="AB164" s="4" t="n">
        <v>0.05</v>
      </c>
      <c r="AC164" s="4">
        <f>(AB164+2*參數!$B$7)/(AA164+AB164)</f>
        <v/>
      </c>
      <c r="AD164" s="2" t="n">
        <v>0.161640598627208</v>
      </c>
      <c r="AE164" s="2" t="n">
        <v>0.1659701829681499</v>
      </c>
      <c r="AF164" s="2" t="n">
        <v>4.335916275938513</v>
      </c>
      <c r="AG164" s="2" t="n">
        <v>0.1146025878003689</v>
      </c>
      <c r="AH164" s="2" t="n">
        <v>0.1122457458239856</v>
      </c>
      <c r="AI164" s="2" t="n">
        <v>9</v>
      </c>
      <c r="AJ164" s="2" t="n">
        <v>0.1620505809338322</v>
      </c>
      <c r="AK164" s="2" t="n">
        <v>44.30082773861005</v>
      </c>
      <c r="AL164" s="2" t="n">
        <v>0.08218146626568196</v>
      </c>
      <c r="AM164" s="2" t="n">
        <v>100091.514312</v>
      </c>
    </row>
    <row r="165">
      <c r="A165" s="2" t="n">
        <v>164</v>
      </c>
      <c r="B165" s="2" t="inlineStr">
        <is>
          <t>AGT_USDT_PERP</t>
        </is>
      </c>
      <c r="C165" s="2" t="inlineStr">
        <is>
          <t>做空</t>
        </is>
      </c>
      <c r="D165" s="7" t="n">
        <v>46295.79861111111</v>
      </c>
      <c r="E165" s="17" t="n">
        <v>0.022032</v>
      </c>
      <c r="F165" s="17" t="n">
        <v>0.02115072</v>
      </c>
      <c r="G165" s="17" t="n">
        <v>0.0231336</v>
      </c>
      <c r="H165" s="7" t="n">
        <v>46295.80902777778</v>
      </c>
      <c r="I165" s="17" t="n">
        <v>0.02115072</v>
      </c>
      <c r="J165" s="2" t="inlineStr">
        <is>
          <t>止盈</t>
        </is>
      </c>
      <c r="K165" s="5">
        <f>(H165-D165)*24</f>
        <v/>
      </c>
      <c r="L165" s="4">
        <f>IF(C165="做多",I165/E165-1,1-I165/E165)-2*參數!$B$7</f>
        <v/>
      </c>
      <c r="M165" s="2" t="inlineStr"/>
      <c r="N165" s="4" t="n">
        <v>-0.006762239653773316</v>
      </c>
      <c r="O165" s="4" t="n">
        <v>0.02675847130794034</v>
      </c>
      <c r="P165" s="4" t="n">
        <v>0.2178319069158983</v>
      </c>
      <c r="Q165" s="19" t="n">
        <v>-326534</v>
      </c>
      <c r="R165" s="19" t="n">
        <v>171118.340646</v>
      </c>
      <c r="S165" s="4" t="n">
        <v>0.04</v>
      </c>
      <c r="T165" s="4" t="n">
        <v>0.006263616557734109</v>
      </c>
      <c r="U165" s="16" t="n">
        <v>10.54440558164147</v>
      </c>
      <c r="V165" s="16" t="n">
        <v>1</v>
      </c>
      <c r="W165" s="4" t="n">
        <v>-0.1835775393169394</v>
      </c>
      <c r="X165" s="4" t="n">
        <v>-0.2283675289919713</v>
      </c>
      <c r="Y165" s="4" t="n"/>
      <c r="Z165" s="4" t="n"/>
      <c r="AA165" s="4" t="n">
        <v>0.04</v>
      </c>
      <c r="AB165" s="4" t="n">
        <v>0.05</v>
      </c>
      <c r="AC165" s="4">
        <f>(AB165+2*參數!$B$7)/(AA165+AB165)</f>
        <v/>
      </c>
      <c r="AD165" s="2" t="n">
        <v>0.2406103947294329</v>
      </c>
      <c r="AE165" s="2" t="n">
        <v>-0.03546099290780147</v>
      </c>
      <c r="AF165" s="2" t="n">
        <v>10.54440558164147</v>
      </c>
      <c r="AG165" s="2" t="n">
        <v>0</v>
      </c>
      <c r="AH165" s="2" t="n">
        <v>0.4279722899388367</v>
      </c>
      <c r="AI165" s="2" t="n">
        <v>6</v>
      </c>
      <c r="AJ165" s="2" t="n">
        <v>0.2178319069158983</v>
      </c>
      <c r="AK165" s="2" t="n">
        <v>87.98267906354671</v>
      </c>
      <c r="AL165" s="2" t="n">
        <v>0.09269406367645339</v>
      </c>
      <c r="AM165" s="2" t="n">
        <v>171118.340646</v>
      </c>
    </row>
    <row r="166">
      <c r="A166" s="2" t="n">
        <v>165</v>
      </c>
      <c r="B166" s="2" t="inlineStr">
        <is>
          <t>SOMI_USDT_PERP</t>
        </is>
      </c>
      <c r="C166" s="2" t="inlineStr">
        <is>
          <t>做空</t>
        </is>
      </c>
      <c r="D166" s="7" t="n">
        <v>46295.87152777778</v>
      </c>
      <c r="E166" s="17" t="n">
        <v>0.2434</v>
      </c>
      <c r="F166" s="17" t="n">
        <v>0.233664</v>
      </c>
      <c r="G166" s="17" t="n">
        <v>0.25557</v>
      </c>
      <c r="H166" s="7" t="n">
        <v>46295.88888888889</v>
      </c>
      <c r="I166" s="17" t="n">
        <v>0.233664</v>
      </c>
      <c r="J166" s="2" t="inlineStr">
        <is>
          <t>止盈</t>
        </is>
      </c>
      <c r="K166" s="5">
        <f>(H166-D166)*24</f>
        <v/>
      </c>
      <c r="L166" s="4">
        <f>IF(C166="做多",I166/E166-1,1-I166/E166)-2*參數!$B$7</f>
        <v/>
      </c>
      <c r="M166" s="2" t="inlineStr"/>
      <c r="N166" s="4" t="n">
        <v>-0.01177425903369866</v>
      </c>
      <c r="O166" s="4" t="n">
        <v>0.016881071370712</v>
      </c>
      <c r="P166" s="4" t="n">
        <v>0.1794754790811497</v>
      </c>
      <c r="Q166" s="19" t="n">
        <v>43107</v>
      </c>
      <c r="R166" s="19" t="n">
        <v>48143.3046</v>
      </c>
      <c r="S166" s="4" t="n">
        <v>0.04</v>
      </c>
      <c r="T166" s="4" t="n">
        <v>0.02259654889071494</v>
      </c>
      <c r="U166" s="16" t="n">
        <v>4.543271030196613</v>
      </c>
      <c r="V166" s="16" t="n">
        <v>0.8857142857142826</v>
      </c>
      <c r="W166" s="4" t="n">
        <v>-0.1352135404763792</v>
      </c>
      <c r="X166" s="4" t="n">
        <v>-0.2019753086419753</v>
      </c>
      <c r="Y166" s="4" t="n"/>
      <c r="Z166" s="4" t="n"/>
      <c r="AA166" s="4" t="n">
        <v>0.04</v>
      </c>
      <c r="AB166" s="4" t="n">
        <v>0.05</v>
      </c>
      <c r="AC166" s="4">
        <f>(AB166+2*參數!$B$7)/(AA166+AB166)</f>
        <v/>
      </c>
      <c r="AD166" s="2" t="n">
        <v>0.1464908148845974</v>
      </c>
      <c r="AE166" s="2" t="n">
        <v>0.1124314442413163</v>
      </c>
      <c r="AF166" s="2" t="n">
        <v>4.543271030196613</v>
      </c>
      <c r="AG166" s="2" t="n">
        <v>0.1142857142857175</v>
      </c>
      <c r="AH166" s="2" t="n">
        <v>0.2101569713758079</v>
      </c>
      <c r="AI166" s="2" t="n">
        <v>11</v>
      </c>
      <c r="AJ166" s="2" t="n">
        <v>0.1794754790811497</v>
      </c>
      <c r="AK166" s="2" t="n">
        <v>85.1960059927043</v>
      </c>
      <c r="AL166" s="2" t="n">
        <v>0.05847774660053916</v>
      </c>
      <c r="AM166" s="2" t="n">
        <v>48143.3046</v>
      </c>
    </row>
    <row r="167">
      <c r="A167" s="2" t="n">
        <v>166</v>
      </c>
      <c r="B167" s="2" t="inlineStr">
        <is>
          <t>APR_USDT_PERP</t>
        </is>
      </c>
      <c r="C167" s="2" t="inlineStr">
        <is>
          <t>做空</t>
        </is>
      </c>
      <c r="D167" s="7" t="n">
        <v>46296.01041666666</v>
      </c>
      <c r="E167" s="17" t="n">
        <v>0.14461</v>
      </c>
      <c r="F167" s="17" t="n">
        <v>0.1388256</v>
      </c>
      <c r="G167" s="17" t="n">
        <v>0.1518405</v>
      </c>
      <c r="H167" s="7" t="n">
        <v>46296.01388888889</v>
      </c>
      <c r="I167" s="17" t="n">
        <v>0.1388256</v>
      </c>
      <c r="J167" s="2" t="inlineStr">
        <is>
          <t>止盈</t>
        </is>
      </c>
      <c r="K167" s="5">
        <f>(H167-D167)*24</f>
        <v/>
      </c>
      <c r="L167" s="4">
        <f>IF(C167="做多",I167/E167-1,1-I167/E167)-2*參數!$B$7</f>
        <v/>
      </c>
      <c r="M167" s="2" t="inlineStr"/>
      <c r="N167" s="4" t="n">
        <v>0.06081279342723001</v>
      </c>
      <c r="O167" s="4" t="n">
        <v>0.02804552791492367</v>
      </c>
      <c r="P167" s="4" t="n">
        <v>0.1443410734116046</v>
      </c>
      <c r="Q167" s="19" t="n">
        <v>26892</v>
      </c>
      <c r="R167" s="19" t="n">
        <v>129302.68683</v>
      </c>
      <c r="S167" s="4" t="n">
        <v>0.04</v>
      </c>
      <c r="T167" s="4" t="n">
        <v>0</v>
      </c>
      <c r="U167" s="16" t="n">
        <v>8.532230355771691</v>
      </c>
      <c r="V167" s="16" t="n">
        <v>0.4047452896022335</v>
      </c>
      <c r="W167" s="4" t="n">
        <v>-0.1748371508838291</v>
      </c>
      <c r="X167" s="4" t="n">
        <v>-0.07934020002985531</v>
      </c>
      <c r="Y167" s="4" t="n"/>
      <c r="Z167" s="4" t="n"/>
      <c r="AA167" s="4" t="n">
        <v>0.04</v>
      </c>
      <c r="AB167" s="4" t="n">
        <v>0.05</v>
      </c>
      <c r="AC167" s="4">
        <f>(AB167+2*參數!$B$7)/(AA167+AB167)</f>
        <v/>
      </c>
      <c r="AD167" s="2" t="n">
        <v>0.141177398989899</v>
      </c>
      <c r="AE167" s="2" t="n">
        <v>0.133840363807433</v>
      </c>
      <c r="AF167" s="2" t="n">
        <v>8.532230355771691</v>
      </c>
      <c r="AG167" s="2" t="n">
        <v>0.5952547103977665</v>
      </c>
      <c r="AH167" s="2" t="n">
        <v>0.5047004447545129</v>
      </c>
      <c r="AI167" s="2" t="n">
        <v>5</v>
      </c>
      <c r="AJ167" s="2" t="n">
        <v>0.1443410734116046</v>
      </c>
      <c r="AK167" s="2" t="n">
        <v>54.09846724826559</v>
      </c>
      <c r="AL167" s="2" t="n">
        <v>0.09715255854747808</v>
      </c>
      <c r="AM167" s="2" t="n">
        <v>129302.68683</v>
      </c>
    </row>
    <row r="168">
      <c r="A168" s="2" t="n">
        <v>167</v>
      </c>
      <c r="B168" s="2" t="inlineStr">
        <is>
          <t>MAGMA_USDT_PERP</t>
        </is>
      </c>
      <c r="C168" s="2" t="inlineStr">
        <is>
          <t>做空</t>
        </is>
      </c>
      <c r="D168" s="7" t="n">
        <v>46297.05902777778</v>
      </c>
      <c r="E168" s="17" t="n">
        <v>0.231</v>
      </c>
      <c r="F168" s="17" t="n">
        <v>0.22176</v>
      </c>
      <c r="G168" s="17" t="n">
        <v>0.24255</v>
      </c>
      <c r="H168" s="7" t="n">
        <v>46297.06944444445</v>
      </c>
      <c r="I168" s="17" t="n">
        <v>0.24255</v>
      </c>
      <c r="J168" s="2" t="inlineStr">
        <is>
          <t>止損</t>
        </is>
      </c>
      <c r="K168" s="5">
        <f>(H168-D168)*24</f>
        <v/>
      </c>
      <c r="L168" s="4">
        <f>IF(C168="做多",I168/E168-1,1-I168/E168)-2*參數!$B$7</f>
        <v/>
      </c>
      <c r="M168" s="2" t="inlineStr"/>
      <c r="N168" s="4" t="n">
        <v>-0.003537227159002621</v>
      </c>
      <c r="O168" s="4" t="n">
        <v>0.01367200837994315</v>
      </c>
      <c r="P168" s="4" t="n">
        <v>0.1888694032107197</v>
      </c>
      <c r="Q168" s="19" t="n">
        <v>-12641</v>
      </c>
      <c r="R168" s="19" t="n">
        <v>106939.5294</v>
      </c>
      <c r="S168" s="4" t="n">
        <v>0</v>
      </c>
      <c r="T168" s="4" t="n">
        <v>0.05</v>
      </c>
      <c r="U168" s="16" t="n">
        <v>60.09097892915435</v>
      </c>
      <c r="V168" s="16" t="n">
        <v>0.7977528089887633</v>
      </c>
      <c r="W168" s="4" t="n">
        <v>-0.1565486186003058</v>
      </c>
      <c r="X168" s="4" t="n">
        <v>-0.2005613013876619</v>
      </c>
      <c r="Y168" s="4" t="n"/>
      <c r="Z168" s="4" t="n"/>
      <c r="AA168" s="4" t="n">
        <v>0.04</v>
      </c>
      <c r="AB168" s="4" t="n">
        <v>0.05</v>
      </c>
      <c r="AC168" s="4">
        <f>(AB168+2*參數!$B$7)/(AA168+AB168)</f>
        <v/>
      </c>
      <c r="AD168" s="2" t="n">
        <v>0.1453788179293931</v>
      </c>
      <c r="AE168" s="2" t="n">
        <v>0.1001571653093301</v>
      </c>
      <c r="AF168" s="2" t="n">
        <v>60.09097892915435</v>
      </c>
      <c r="AG168" s="2" t="n">
        <v>0.2022471910112366</v>
      </c>
      <c r="AH168" s="2" t="n">
        <v>1</v>
      </c>
      <c r="AI168" s="2" t="n">
        <v>12</v>
      </c>
      <c r="AJ168" s="2" t="n">
        <v>0.1888694032107197</v>
      </c>
      <c r="AK168" s="2" t="n">
        <v>88.46626638400051</v>
      </c>
      <c r="AL168" s="2" t="n">
        <v>0.04736122631113798</v>
      </c>
      <c r="AM168" s="2" t="n">
        <v>106939.5294</v>
      </c>
    </row>
    <row r="169">
      <c r="A169" s="2" t="n">
        <v>168</v>
      </c>
      <c r="B169" s="2" t="inlineStr">
        <is>
          <t>SAND_USDT_PERP</t>
        </is>
      </c>
      <c r="C169" s="2" t="inlineStr">
        <is>
          <t>做空</t>
        </is>
      </c>
      <c r="D169" s="7" t="n">
        <v>46297.64583333334</v>
      </c>
      <c r="E169" s="17" t="n">
        <v>0.05581</v>
      </c>
      <c r="F169" s="17" t="n">
        <v>0.0535776</v>
      </c>
      <c r="G169" s="17" t="n">
        <v>0.0586005</v>
      </c>
      <c r="H169" s="7" t="n">
        <v>46297.66666666666</v>
      </c>
      <c r="I169" s="17" t="n">
        <v>0.0586005</v>
      </c>
      <c r="J169" s="2" t="inlineStr">
        <is>
          <t>止損</t>
        </is>
      </c>
      <c r="K169" s="5">
        <f>(H169-D169)*24</f>
        <v/>
      </c>
      <c r="L169" s="4">
        <f>IF(C169="做多",I169/E169-1,1-I169/E169)-2*參數!$B$7</f>
        <v/>
      </c>
      <c r="M169" s="2" t="inlineStr"/>
      <c r="N169" s="4" t="n">
        <v>-0.01378335394946106</v>
      </c>
      <c r="O169" s="4" t="n">
        <v>0.01706972178066048</v>
      </c>
      <c r="P169" s="4" t="n">
        <v>0.251278659488424</v>
      </c>
      <c r="Q169" s="19" t="n">
        <v>1567511</v>
      </c>
      <c r="R169" s="19" t="n">
        <v>231321.04151</v>
      </c>
      <c r="S169" s="4" t="n">
        <v>0.02114316430747176</v>
      </c>
      <c r="T169" s="4" t="n">
        <v>0.05</v>
      </c>
      <c r="U169" s="16" t="n">
        <v>32.5571300765626</v>
      </c>
      <c r="V169" s="16" t="n">
        <v>0.7671232876712333</v>
      </c>
      <c r="W169" s="4" t="n">
        <v>-0.2172991271042632</v>
      </c>
      <c r="X169" s="4" t="n">
        <v>-0.2815154994259472</v>
      </c>
      <c r="Y169" s="4" t="n"/>
      <c r="Z169" s="4" t="n"/>
      <c r="AA169" s="4" t="n">
        <v>0.04</v>
      </c>
      <c r="AB169" s="4" t="n">
        <v>0.05</v>
      </c>
      <c r="AC169" s="4">
        <f>(AB169+2*參數!$B$7)/(AA169+AB169)</f>
        <v/>
      </c>
      <c r="AD169" s="2" t="n">
        <v>0.208008658008658</v>
      </c>
      <c r="AE169" s="2" t="n">
        <v>0.1784206081081081</v>
      </c>
      <c r="AF169" s="2" t="n">
        <v>32.5571300765626</v>
      </c>
      <c r="AG169" s="2" t="n">
        <v>0.2328767123287667</v>
      </c>
      <c r="AH169" s="2" t="n">
        <v>0.9221078345838423</v>
      </c>
      <c r="AI169" s="2" t="n">
        <v>9</v>
      </c>
      <c r="AJ169" s="2" t="n">
        <v>0.251278659488424</v>
      </c>
      <c r="AK169" s="2" t="n">
        <v>76.84843532843726</v>
      </c>
      <c r="AL169" s="2" t="n">
        <v>0.05913125079033808</v>
      </c>
      <c r="AM169" s="2" t="n">
        <v>231321.04151</v>
      </c>
    </row>
    <row r="170">
      <c r="A170" s="2" t="n">
        <v>169</v>
      </c>
      <c r="B170" s="2" t="inlineStr">
        <is>
          <t>AIN_USDT_PERP</t>
        </is>
      </c>
      <c r="C170" s="2" t="inlineStr">
        <is>
          <t>做空</t>
        </is>
      </c>
      <c r="D170" s="7" t="n">
        <v>46298.94097222222</v>
      </c>
      <c r="E170" s="17" t="n">
        <v>0.02948</v>
      </c>
      <c r="F170" s="17" t="n">
        <v>0.0283008</v>
      </c>
      <c r="G170" s="17" t="n">
        <v>0.030954</v>
      </c>
      <c r="H170" s="7" t="n">
        <v>46298.94444444445</v>
      </c>
      <c r="I170" s="17" t="n">
        <v>0.0283008</v>
      </c>
      <c r="J170" s="2" t="inlineStr">
        <is>
          <t>止盈</t>
        </is>
      </c>
      <c r="K170" s="5">
        <f>(H170-D170)*24</f>
        <v/>
      </c>
      <c r="L170" s="4">
        <f>IF(C170="做多",I170/E170-1,1-I170/E170)-2*參數!$B$7</f>
        <v/>
      </c>
      <c r="M170" s="2" t="inlineStr"/>
      <c r="N170" s="4" t="n">
        <v>-0.01272605492297396</v>
      </c>
      <c r="O170" s="4" t="n">
        <v>0.02308930894981142</v>
      </c>
      <c r="P170" s="4" t="n">
        <v>0.2400340013845923</v>
      </c>
      <c r="Q170" s="19" t="n">
        <v>1015452</v>
      </c>
      <c r="R170" s="19" t="n">
        <v>246270.84271</v>
      </c>
      <c r="S170" s="4" t="n">
        <v>0.04</v>
      </c>
      <c r="T170" s="4" t="n">
        <v>0</v>
      </c>
      <c r="U170" s="16" t="n">
        <v>113.8097538787726</v>
      </c>
      <c r="V170" s="16" t="n">
        <v>0.6950354609929082</v>
      </c>
      <c r="W170" s="4" t="n">
        <v>-0.2465696078887389</v>
      </c>
      <c r="X170" s="4" t="n">
        <v>-0.2518046709129511</v>
      </c>
      <c r="Y170" s="4" t="n"/>
      <c r="Z170" s="4" t="n"/>
      <c r="AA170" s="4" t="n">
        <v>0.04</v>
      </c>
      <c r="AB170" s="4" t="n">
        <v>0.05</v>
      </c>
      <c r="AC170" s="4">
        <f>(AB170+2*參數!$B$7)/(AA170+AB170)</f>
        <v/>
      </c>
      <c r="AD170" s="2" t="n">
        <v>0.2728842832469776</v>
      </c>
      <c r="AE170" s="2" t="n">
        <v>0.2717860224331321</v>
      </c>
      <c r="AF170" s="2" t="n">
        <v>113.8097538787726</v>
      </c>
      <c r="AG170" s="2" t="n">
        <v>0.3049645390070918</v>
      </c>
      <c r="AH170" s="2" t="n">
        <v>1</v>
      </c>
      <c r="AI170" s="2" t="n">
        <v>7</v>
      </c>
      <c r="AJ170" s="2" t="n">
        <v>0.2400340013845923</v>
      </c>
      <c r="AK170" s="2" t="n">
        <v>67.47606552334679</v>
      </c>
      <c r="AL170" s="2" t="n">
        <v>0.07998371242545635</v>
      </c>
      <c r="AM170" s="2" t="n">
        <v>246270.84271</v>
      </c>
    </row>
    <row r="171">
      <c r="A171" s="2" t="n">
        <v>170</v>
      </c>
      <c r="B171" s="2" t="inlineStr">
        <is>
          <t>SPORTFUN_USDT_PERP</t>
        </is>
      </c>
      <c r="C171" s="2" t="inlineStr">
        <is>
          <t>做空</t>
        </is>
      </c>
      <c r="D171" s="7" t="n">
        <v>46299.01041666666</v>
      </c>
      <c r="E171" s="17" t="n">
        <v>0.02024</v>
      </c>
      <c r="F171" s="17" t="n">
        <v>0.0194304</v>
      </c>
      <c r="G171" s="17" t="n">
        <v>0.021252</v>
      </c>
      <c r="H171" s="7" t="n">
        <v>46299.07638888889</v>
      </c>
      <c r="I171" s="17" t="n">
        <v>0.021252</v>
      </c>
      <c r="J171" s="2" t="inlineStr">
        <is>
          <t>止損</t>
        </is>
      </c>
      <c r="K171" s="5">
        <f>(H171-D171)*24</f>
        <v/>
      </c>
      <c r="L171" s="4">
        <f>IF(C171="做多",I171/E171-1,1-I171/E171)-2*參數!$B$7</f>
        <v/>
      </c>
      <c r="M171" s="2" t="inlineStr"/>
      <c r="N171" s="4" t="n">
        <v>-0.04030346135609297</v>
      </c>
      <c r="O171" s="4" t="n">
        <v>0.02233302011022267</v>
      </c>
      <c r="P171" s="4" t="n">
        <v>0.1489881070648009</v>
      </c>
      <c r="Q171" s="19" t="n">
        <v>-807528</v>
      </c>
      <c r="R171" s="19" t="n">
        <v>96432.97881</v>
      </c>
      <c r="S171" s="4" t="n">
        <v>0.03507905138339928</v>
      </c>
      <c r="T171" s="4" t="n">
        <v>0.05</v>
      </c>
      <c r="U171" s="16" t="n">
        <v>389.8732278214662</v>
      </c>
      <c r="V171" s="16" t="n">
        <v>0.6296296296296294</v>
      </c>
      <c r="W171" s="4" t="n">
        <v>-0.1504510290966345</v>
      </c>
      <c r="X171" s="4" t="n">
        <v>-0.1282051282051282</v>
      </c>
      <c r="Y171" s="4" t="n"/>
      <c r="Z171" s="4" t="n"/>
      <c r="AA171" s="4" t="n">
        <v>0.04</v>
      </c>
      <c r="AB171" s="4" t="n">
        <v>0.05</v>
      </c>
      <c r="AC171" s="4">
        <f>(AB171+2*參數!$B$7)/(AA171+AB171)</f>
        <v/>
      </c>
      <c r="AD171" s="2" t="n">
        <v>0.1618828932261767</v>
      </c>
      <c r="AE171" s="2" t="n">
        <v>0.148694665153235</v>
      </c>
      <c r="AF171" s="2" t="n">
        <v>389.8732278214662</v>
      </c>
      <c r="AG171" s="2" t="n">
        <v>0.3703703703703706</v>
      </c>
      <c r="AH171" s="2" t="n">
        <v>1</v>
      </c>
      <c r="AI171" s="2" t="n">
        <v>9</v>
      </c>
      <c r="AJ171" s="2" t="n">
        <v>0.1489881070648009</v>
      </c>
      <c r="AK171" s="2" t="n">
        <v>85.53807941840179</v>
      </c>
      <c r="AL171" s="2" t="n">
        <v>0.0773638510347263</v>
      </c>
      <c r="AM171" s="2" t="n">
        <v>96432.97881</v>
      </c>
    </row>
    <row r="172">
      <c r="A172" s="2" t="n">
        <v>171</v>
      </c>
      <c r="B172" s="2" t="inlineStr">
        <is>
          <t>COLLECT_USDT_PERP</t>
        </is>
      </c>
      <c r="C172" s="2" t="inlineStr">
        <is>
          <t>做空</t>
        </is>
      </c>
      <c r="D172" s="7" t="n">
        <v>46299.625</v>
      </c>
      <c r="E172" s="17" t="n">
        <v>0.02372</v>
      </c>
      <c r="F172" s="17" t="n">
        <v>0.0227712</v>
      </c>
      <c r="G172" s="17" t="n">
        <v>0.024906</v>
      </c>
      <c r="H172" s="7" t="n">
        <v>46299.63888888889</v>
      </c>
      <c r="I172" s="17" t="n">
        <v>0.0227712</v>
      </c>
      <c r="J172" s="2" t="inlineStr">
        <is>
          <t>止盈</t>
        </is>
      </c>
      <c r="K172" s="5">
        <f>(H172-D172)*24</f>
        <v/>
      </c>
      <c r="L172" s="4">
        <f>IF(C172="做多",I172/E172-1,1-I172/E172)-2*參數!$B$7</f>
        <v/>
      </c>
      <c r="M172" s="2" t="inlineStr"/>
      <c r="N172" s="4" t="n">
        <v>-0.02266172229089403</v>
      </c>
      <c r="O172" s="4" t="n">
        <v>0.02251105639798465</v>
      </c>
      <c r="P172" s="4" t="n">
        <v>0.1988249291904018</v>
      </c>
      <c r="Q172" s="19" t="n">
        <v>509831</v>
      </c>
      <c r="R172" s="19" t="n">
        <v>129719.16828</v>
      </c>
      <c r="S172" s="4" t="n">
        <v>0.04</v>
      </c>
      <c r="T172" s="4" t="n">
        <v>0.02655986509274877</v>
      </c>
      <c r="U172" s="16" t="n">
        <v>17.76314901225147</v>
      </c>
      <c r="V172" s="16" t="n">
        <v>0.4621848739495784</v>
      </c>
      <c r="W172" s="4" t="n">
        <v>-0.1583614947356085</v>
      </c>
      <c r="X172" s="4" t="n">
        <v>-0.3163152053274141</v>
      </c>
      <c r="Y172" s="4" t="n"/>
      <c r="Z172" s="4" t="n"/>
      <c r="AA172" s="4" t="n">
        <v>0.04</v>
      </c>
      <c r="AB172" s="4" t="n">
        <v>0.05</v>
      </c>
      <c r="AC172" s="4">
        <f>(AB172+2*參數!$B$7)/(AA172+AB172)</f>
        <v/>
      </c>
      <c r="AD172" s="2" t="n">
        <v>0.1661750245821043</v>
      </c>
      <c r="AE172" s="2" t="n">
        <v>0.1638861629048087</v>
      </c>
      <c r="AF172" s="2" t="n">
        <v>17.76314901225147</v>
      </c>
      <c r="AG172" s="2" t="n">
        <v>0.5378151260504216</v>
      </c>
      <c r="AH172" s="2" t="n">
        <v>1</v>
      </c>
      <c r="AI172" s="2" t="n">
        <v>8</v>
      </c>
      <c r="AJ172" s="2" t="n">
        <v>0.1988249291904018</v>
      </c>
      <c r="AK172" s="2" t="n">
        <v>76.5248653520909</v>
      </c>
      <c r="AL172" s="2" t="n">
        <v>0.07798058682671571</v>
      </c>
      <c r="AM172" s="2" t="n">
        <v>129719.16828</v>
      </c>
    </row>
    <row r="173">
      <c r="A173" s="2" t="n">
        <v>172</v>
      </c>
      <c r="B173" s="2" t="inlineStr">
        <is>
          <t>BEAMX_USDT_PERP</t>
        </is>
      </c>
      <c r="C173" s="2" t="inlineStr">
        <is>
          <t>做空</t>
        </is>
      </c>
      <c r="D173" s="7" t="n">
        <v>46299.68402777778</v>
      </c>
      <c r="E173" s="17" t="n">
        <v>0.002788</v>
      </c>
      <c r="F173" s="17" t="n">
        <v>0.00267648</v>
      </c>
      <c r="G173" s="17" t="n">
        <v>0.0029274</v>
      </c>
      <c r="H173" s="7" t="n">
        <v>46299.69444444445</v>
      </c>
      <c r="I173" s="17" t="n">
        <v>0.0029274</v>
      </c>
      <c r="J173" s="2" t="inlineStr">
        <is>
          <t>止損</t>
        </is>
      </c>
      <c r="K173" s="5">
        <f>(H173-D173)*24</f>
        <v/>
      </c>
      <c r="L173" s="4">
        <f>IF(C173="做多",I173/E173-1,1-I173/E173)-2*參數!$B$7</f>
        <v/>
      </c>
      <c r="M173" s="2" t="inlineStr"/>
      <c r="N173" s="4" t="n">
        <v>-0.008182141586624003</v>
      </c>
      <c r="O173" s="4" t="n">
        <v>0.02052299686616087</v>
      </c>
      <c r="P173" s="4" t="n">
        <v>0.2814904757709591</v>
      </c>
      <c r="Q173" s="19" t="n">
        <v>30869873</v>
      </c>
      <c r="R173" s="19" t="n">
        <v>194151.370506</v>
      </c>
      <c r="S173" s="4" t="n">
        <v>0.005738880918220945</v>
      </c>
      <c r="T173" s="4" t="n">
        <v>0.05</v>
      </c>
      <c r="U173" s="16" t="n">
        <v>74.71134781217164</v>
      </c>
      <c r="V173" s="16" t="n">
        <v>1</v>
      </c>
      <c r="W173" s="4" t="n">
        <v>-0.2384891143559016</v>
      </c>
      <c r="X173" s="4" t="n">
        <v>-0.3200757575757576</v>
      </c>
      <c r="Y173" s="4" t="n"/>
      <c r="Z173" s="4" t="n"/>
      <c r="AA173" s="4" t="n">
        <v>0.04</v>
      </c>
      <c r="AB173" s="4" t="n">
        <v>0.05</v>
      </c>
      <c r="AC173" s="4">
        <f>(AB173+2*參數!$B$7)/(AA173+AB173)</f>
        <v/>
      </c>
      <c r="AD173" s="2" t="n">
        <v>0.2265728112626486</v>
      </c>
      <c r="AE173" s="2" t="n">
        <v>0.1753794266441822</v>
      </c>
      <c r="AF173" s="2" t="n">
        <v>74.71134781217164</v>
      </c>
      <c r="AG173" s="2" t="n">
        <v>0</v>
      </c>
      <c r="AH173" s="2" t="n">
        <v>0.3920999609656939</v>
      </c>
      <c r="AI173" s="2" t="n">
        <v>10</v>
      </c>
      <c r="AJ173" s="2" t="n">
        <v>0.2814904757709591</v>
      </c>
      <c r="AK173" s="2" t="n">
        <v>80.71071246287245</v>
      </c>
      <c r="AL173" s="2" t="n">
        <v>0.07109374659153493</v>
      </c>
      <c r="AM173" s="2" t="n">
        <v>194151.370506</v>
      </c>
    </row>
    <row r="174">
      <c r="A174" s="2" t="n">
        <v>173</v>
      </c>
      <c r="B174" s="2" t="inlineStr">
        <is>
          <t>HAEDAL_USDT_PERP</t>
        </is>
      </c>
      <c r="C174" s="2" t="inlineStr">
        <is>
          <t>做空</t>
        </is>
      </c>
      <c r="D174" s="7" t="n">
        <v>46299.94097222222</v>
      </c>
      <c r="E174" s="17" t="n">
        <v>0.02245</v>
      </c>
      <c r="F174" s="17" t="n">
        <v>0.021552</v>
      </c>
      <c r="G174" s="17" t="n">
        <v>0.0235725</v>
      </c>
      <c r="H174" s="7" t="n">
        <v>46299.94444444445</v>
      </c>
      <c r="I174" s="17" t="n">
        <v>0.0235725</v>
      </c>
      <c r="J174" s="2" t="inlineStr">
        <is>
          <t>止損</t>
        </is>
      </c>
      <c r="K174" s="5">
        <f>(H174-D174)*24</f>
        <v/>
      </c>
      <c r="L174" s="4">
        <f>IF(C174="做多",I174/E174-1,1-I174/E174)-2*參數!$B$7</f>
        <v/>
      </c>
      <c r="M174" s="2" t="inlineStr"/>
      <c r="N174" s="4" t="n">
        <v>-0.01750547045951845</v>
      </c>
      <c r="O174" s="4" t="n">
        <v>0.02049864281853662</v>
      </c>
      <c r="P174" s="4" t="n">
        <v>0.1660192388846209</v>
      </c>
      <c r="Q174" s="19" t="n">
        <v>-178745</v>
      </c>
      <c r="R174" s="19" t="n">
        <v>29464.37119</v>
      </c>
      <c r="S174" s="4" t="n">
        <v>0</v>
      </c>
      <c r="T174" s="4" t="n">
        <v>0.05</v>
      </c>
      <c r="U174" s="16" t="n">
        <v>307.1617274769422</v>
      </c>
      <c r="V174" s="16" t="n">
        <v>0.8690476190476183</v>
      </c>
      <c r="W174" s="4" t="n">
        <v>-0.1618880033122867</v>
      </c>
      <c r="X174" s="4" t="n">
        <v>-0.1753926701570683</v>
      </c>
      <c r="Y174" s="4" t="n"/>
      <c r="Z174" s="4" t="n"/>
      <c r="AA174" s="4" t="n">
        <v>0.04</v>
      </c>
      <c r="AB174" s="4" t="n">
        <v>0.05</v>
      </c>
      <c r="AC174" s="4">
        <f>(AB174+2*參數!$B$7)/(AA174+AB174)</f>
        <v/>
      </c>
      <c r="AD174" s="2" t="n">
        <v>0.1729362591431558</v>
      </c>
      <c r="AE174" s="2" t="n">
        <v>0.1711006781429318</v>
      </c>
      <c r="AF174" s="2" t="n">
        <v>307.1617274769422</v>
      </c>
      <c r="AG174" s="2" t="n">
        <v>0.1309523809523817</v>
      </c>
      <c r="AH174" s="2" t="n">
        <v>1</v>
      </c>
      <c r="AI174" s="2" t="n">
        <v>7</v>
      </c>
      <c r="AJ174" s="2" t="n">
        <v>0.1660192388846209</v>
      </c>
      <c r="AK174" s="2" t="n">
        <v>82.49418028839864</v>
      </c>
      <c r="AL174" s="2" t="n">
        <v>0.07100938169582464</v>
      </c>
      <c r="AM174" s="2" t="n">
        <v>29464.37119</v>
      </c>
    </row>
  </sheetData>
  <autoFilter ref="A1:AM174"/>
  <conditionalFormatting sqref="J2:J17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COUNTIFS(交易明細!$B$2:$B$174,$A2)</f>
        <v/>
      </c>
      <c r="C2" s="2">
        <f>COUNTIFS(交易明細!$B$2:$B$174,$A2,交易明細!$C$2:$C$174,"做多")</f>
        <v/>
      </c>
      <c r="D2" s="2">
        <f>COUNTIFS(交易明細!$B$2:$B$174,$A2,交易明細!$C$2:$C$174,"做空")</f>
        <v/>
      </c>
      <c r="E2" s="2">
        <f>F2+G2+COUNTIFS(交易明細!$B$2:$B$174,$A2,交易明細!$J$2:$J$174,"時間出場")</f>
        <v/>
      </c>
      <c r="F2" s="2">
        <f>COUNTIFS(交易明細!$B$2:$B$174,$A2,交易明細!$J$2:$J$174,"止盈")</f>
        <v/>
      </c>
      <c r="G2" s="2">
        <f>COUNTIFS(交易明細!$B$2:$B$174,$A2,交易明細!$J$2:$J$174,"止損")</f>
        <v/>
      </c>
      <c r="H2" s="4">
        <f>IFERROR(F2/E2,0)</f>
        <v/>
      </c>
      <c r="I2" s="4">
        <f>IFERROR(AVERAGEIFS(交易明細!$L$2:$L$174,交易明細!$B$2:$B$174,$A2,交易明細!$J$2:$J$174,"&lt;&gt;未平倉"),0)</f>
        <v/>
      </c>
      <c r="J2" s="4">
        <f>SUMIFS(交易明細!$L$2:$L$174,交易明細!$B$2:$B$174,$A2,交易明細!$J$2:$J$174,"&lt;&gt;未平倉")</f>
        <v/>
      </c>
      <c r="K2" s="5">
        <f>IFERROR(AVERAGEIFS(交易明細!$K$2:$K$174,交易明細!$B$2:$B$174,$A2,交易明細!$J$2:$J$174,"&lt;&gt;未平倉"),0)</f>
        <v/>
      </c>
      <c r="L2" s="2">
        <f>COUNTIFS(交易明細!$B$2:$B$174,$A2,交易明細!$J$2:$J$174,"未平倉")</f>
        <v/>
      </c>
    </row>
    <row r="3">
      <c r="A3" s="2" t="inlineStr">
        <is>
          <t>4_USDT_PERP</t>
        </is>
      </c>
      <c r="B3" s="2">
        <f>COUNTIFS(交易明細!$B$2:$B$174,$A3)</f>
        <v/>
      </c>
      <c r="C3" s="2">
        <f>COUNTIFS(交易明細!$B$2:$B$174,$A3,交易明細!$C$2:$C$174,"做多")</f>
        <v/>
      </c>
      <c r="D3" s="2">
        <f>COUNTIFS(交易明細!$B$2:$B$174,$A3,交易明細!$C$2:$C$174,"做空")</f>
        <v/>
      </c>
      <c r="E3" s="2">
        <f>F3+G3+COUNTIFS(交易明細!$B$2:$B$174,$A3,交易明細!$J$2:$J$174,"時間出場")</f>
        <v/>
      </c>
      <c r="F3" s="2">
        <f>COUNTIFS(交易明細!$B$2:$B$174,$A3,交易明細!$J$2:$J$174,"止盈")</f>
        <v/>
      </c>
      <c r="G3" s="2">
        <f>COUNTIFS(交易明細!$B$2:$B$174,$A3,交易明細!$J$2:$J$174,"止損")</f>
        <v/>
      </c>
      <c r="H3" s="4">
        <f>IFERROR(F3/E3,0)</f>
        <v/>
      </c>
      <c r="I3" s="4">
        <f>IFERROR(AVERAGEIFS(交易明細!$L$2:$L$174,交易明細!$B$2:$B$174,$A3,交易明細!$J$2:$J$174,"&lt;&gt;未平倉"),0)</f>
        <v/>
      </c>
      <c r="J3" s="4">
        <f>SUMIFS(交易明細!$L$2:$L$174,交易明細!$B$2:$B$174,$A3,交易明細!$J$2:$J$174,"&lt;&gt;未平倉")</f>
        <v/>
      </c>
      <c r="K3" s="5">
        <f>IFERROR(AVERAGEIFS(交易明細!$K$2:$K$174,交易明細!$B$2:$B$174,$A3,交易明細!$J$2:$J$174,"&lt;&gt;未平倉"),0)</f>
        <v/>
      </c>
      <c r="L3" s="2">
        <f>COUNTIFS(交易明細!$B$2:$B$174,$A3,交易明細!$J$2:$J$174,"未平倉")</f>
        <v/>
      </c>
    </row>
    <row r="4">
      <c r="A4" s="2" t="inlineStr">
        <is>
          <t>APR_USDT_PERP</t>
        </is>
      </c>
      <c r="B4" s="2">
        <f>COUNTIFS(交易明細!$B$2:$B$174,$A4)</f>
        <v/>
      </c>
      <c r="C4" s="2">
        <f>COUNTIFS(交易明細!$B$2:$B$174,$A4,交易明細!$C$2:$C$174,"做多")</f>
        <v/>
      </c>
      <c r="D4" s="2">
        <f>COUNTIFS(交易明細!$B$2:$B$174,$A4,交易明細!$C$2:$C$174,"做空")</f>
        <v/>
      </c>
      <c r="E4" s="2">
        <f>F4+G4+COUNTIFS(交易明細!$B$2:$B$174,$A4,交易明細!$J$2:$J$174,"時間出場")</f>
        <v/>
      </c>
      <c r="F4" s="2">
        <f>COUNTIFS(交易明細!$B$2:$B$174,$A4,交易明細!$J$2:$J$174,"止盈")</f>
        <v/>
      </c>
      <c r="G4" s="2">
        <f>COUNTIFS(交易明細!$B$2:$B$174,$A4,交易明細!$J$2:$J$174,"止損")</f>
        <v/>
      </c>
      <c r="H4" s="4">
        <f>IFERROR(F4/E4,0)</f>
        <v/>
      </c>
      <c r="I4" s="4">
        <f>IFERROR(AVERAGEIFS(交易明細!$L$2:$L$174,交易明細!$B$2:$B$174,$A4,交易明細!$J$2:$J$174,"&lt;&gt;未平倉"),0)</f>
        <v/>
      </c>
      <c r="J4" s="4">
        <f>SUMIFS(交易明細!$L$2:$L$174,交易明細!$B$2:$B$174,$A4,交易明細!$J$2:$J$174,"&lt;&gt;未平倉")</f>
        <v/>
      </c>
      <c r="K4" s="5">
        <f>IFERROR(AVERAGEIFS(交易明細!$K$2:$K$174,交易明細!$B$2:$B$174,$A4,交易明細!$J$2:$J$174,"&lt;&gt;未平倉"),0)</f>
        <v/>
      </c>
      <c r="L4" s="2">
        <f>COUNTIFS(交易明細!$B$2:$B$174,$A4,交易明細!$J$2:$J$174,"未平倉")</f>
        <v/>
      </c>
    </row>
    <row r="5">
      <c r="A5" s="2" t="inlineStr">
        <is>
          <t>CAP_USDT_PERP</t>
        </is>
      </c>
      <c r="B5" s="2">
        <f>COUNTIFS(交易明細!$B$2:$B$174,$A5)</f>
        <v/>
      </c>
      <c r="C5" s="2">
        <f>COUNTIFS(交易明細!$B$2:$B$174,$A5,交易明細!$C$2:$C$174,"做多")</f>
        <v/>
      </c>
      <c r="D5" s="2">
        <f>COUNTIFS(交易明細!$B$2:$B$174,$A5,交易明細!$C$2:$C$174,"做空")</f>
        <v/>
      </c>
      <c r="E5" s="2">
        <f>F5+G5+COUNTIFS(交易明細!$B$2:$B$174,$A5,交易明細!$J$2:$J$174,"時間出場")</f>
        <v/>
      </c>
      <c r="F5" s="2">
        <f>COUNTIFS(交易明細!$B$2:$B$174,$A5,交易明細!$J$2:$J$174,"止盈")</f>
        <v/>
      </c>
      <c r="G5" s="2">
        <f>COUNTIFS(交易明細!$B$2:$B$174,$A5,交易明細!$J$2:$J$174,"止損")</f>
        <v/>
      </c>
      <c r="H5" s="4">
        <f>IFERROR(F5/E5,0)</f>
        <v/>
      </c>
      <c r="I5" s="4">
        <f>IFERROR(AVERAGEIFS(交易明細!$L$2:$L$174,交易明細!$B$2:$B$174,$A5,交易明細!$J$2:$J$174,"&lt;&gt;未平倉"),0)</f>
        <v/>
      </c>
      <c r="J5" s="4">
        <f>SUMIFS(交易明細!$L$2:$L$174,交易明細!$B$2:$B$174,$A5,交易明細!$J$2:$J$174,"&lt;&gt;未平倉")</f>
        <v/>
      </c>
      <c r="K5" s="5">
        <f>IFERROR(AVERAGEIFS(交易明細!$K$2:$K$174,交易明細!$B$2:$B$174,$A5,交易明細!$J$2:$J$174,"&lt;&gt;未平倉"),0)</f>
        <v/>
      </c>
      <c r="L5" s="2">
        <f>COUNTIFS(交易明細!$B$2:$B$174,$A5,交易明細!$J$2:$J$174,"未平倉")</f>
        <v/>
      </c>
    </row>
    <row r="6">
      <c r="A6" s="2" t="inlineStr">
        <is>
          <t>NOM_USDT_PERP</t>
        </is>
      </c>
      <c r="B6" s="2">
        <f>COUNTIFS(交易明細!$B$2:$B$174,$A6)</f>
        <v/>
      </c>
      <c r="C6" s="2">
        <f>COUNTIFS(交易明細!$B$2:$B$174,$A6,交易明細!$C$2:$C$174,"做多")</f>
        <v/>
      </c>
      <c r="D6" s="2">
        <f>COUNTIFS(交易明細!$B$2:$B$174,$A6,交易明細!$C$2:$C$174,"做空")</f>
        <v/>
      </c>
      <c r="E6" s="2">
        <f>F6+G6+COUNTIFS(交易明細!$B$2:$B$174,$A6,交易明細!$J$2:$J$174,"時間出場")</f>
        <v/>
      </c>
      <c r="F6" s="2">
        <f>COUNTIFS(交易明細!$B$2:$B$174,$A6,交易明細!$J$2:$J$174,"止盈")</f>
        <v/>
      </c>
      <c r="G6" s="2">
        <f>COUNTIFS(交易明細!$B$2:$B$174,$A6,交易明細!$J$2:$J$174,"止損")</f>
        <v/>
      </c>
      <c r="H6" s="4">
        <f>IFERROR(F6/E6,0)</f>
        <v/>
      </c>
      <c r="I6" s="4">
        <f>IFERROR(AVERAGEIFS(交易明細!$L$2:$L$174,交易明細!$B$2:$B$174,$A6,交易明細!$J$2:$J$174,"&lt;&gt;未平倉"),0)</f>
        <v/>
      </c>
      <c r="J6" s="4">
        <f>SUMIFS(交易明細!$L$2:$L$174,交易明細!$B$2:$B$174,$A6,交易明細!$J$2:$J$174,"&lt;&gt;未平倉")</f>
        <v/>
      </c>
      <c r="K6" s="5">
        <f>IFERROR(AVERAGEIFS(交易明細!$K$2:$K$174,交易明細!$B$2:$B$174,$A6,交易明細!$J$2:$J$174,"&lt;&gt;未平倉"),0)</f>
        <v/>
      </c>
      <c r="L6" s="2">
        <f>COUNTIFS(交易明細!$B$2:$B$174,$A6,交易明細!$J$2:$J$174,"未平倉")</f>
        <v/>
      </c>
    </row>
    <row r="7">
      <c r="A7" s="2" t="inlineStr">
        <is>
          <t>哈基米_USDT_PERP</t>
        </is>
      </c>
      <c r="B7" s="2">
        <f>COUNTIFS(交易明細!$B$2:$B$174,$A7)</f>
        <v/>
      </c>
      <c r="C7" s="2">
        <f>COUNTIFS(交易明細!$B$2:$B$174,$A7,交易明細!$C$2:$C$174,"做多")</f>
        <v/>
      </c>
      <c r="D7" s="2">
        <f>COUNTIFS(交易明細!$B$2:$B$174,$A7,交易明細!$C$2:$C$174,"做空")</f>
        <v/>
      </c>
      <c r="E7" s="2">
        <f>F7+G7+COUNTIFS(交易明細!$B$2:$B$174,$A7,交易明細!$J$2:$J$174,"時間出場")</f>
        <v/>
      </c>
      <c r="F7" s="2">
        <f>COUNTIFS(交易明細!$B$2:$B$174,$A7,交易明細!$J$2:$J$174,"止盈")</f>
        <v/>
      </c>
      <c r="G7" s="2">
        <f>COUNTIFS(交易明細!$B$2:$B$174,$A7,交易明細!$J$2:$J$174,"止損")</f>
        <v/>
      </c>
      <c r="H7" s="4">
        <f>IFERROR(F7/E7,0)</f>
        <v/>
      </c>
      <c r="I7" s="4">
        <f>IFERROR(AVERAGEIFS(交易明細!$L$2:$L$174,交易明細!$B$2:$B$174,$A7,交易明細!$J$2:$J$174,"&lt;&gt;未平倉"),0)</f>
        <v/>
      </c>
      <c r="J7" s="4">
        <f>SUMIFS(交易明細!$L$2:$L$174,交易明細!$B$2:$B$174,$A7,交易明細!$J$2:$J$174,"&lt;&gt;未平倉")</f>
        <v/>
      </c>
      <c r="K7" s="5">
        <f>IFERROR(AVERAGEIFS(交易明細!$K$2:$K$174,交易明細!$B$2:$B$174,$A7,交易明細!$J$2:$J$174,"&lt;&gt;未平倉"),0)</f>
        <v/>
      </c>
      <c r="L7" s="2">
        <f>COUNTIFS(交易明細!$B$2:$B$174,$A7,交易明細!$J$2:$J$174,"未平倉")</f>
        <v/>
      </c>
    </row>
    <row r="8">
      <c r="A8" s="2" t="inlineStr">
        <is>
          <t>DRIFT_USDT_PERP</t>
        </is>
      </c>
      <c r="B8" s="2">
        <f>COUNTIFS(交易明細!$B$2:$B$174,$A8)</f>
        <v/>
      </c>
      <c r="C8" s="2">
        <f>COUNTIFS(交易明細!$B$2:$B$174,$A8,交易明細!$C$2:$C$174,"做多")</f>
        <v/>
      </c>
      <c r="D8" s="2">
        <f>COUNTIFS(交易明細!$B$2:$B$174,$A8,交易明細!$C$2:$C$174,"做空")</f>
        <v/>
      </c>
      <c r="E8" s="2">
        <f>F8+G8+COUNTIFS(交易明細!$B$2:$B$174,$A8,交易明細!$J$2:$J$174,"時間出場")</f>
        <v/>
      </c>
      <c r="F8" s="2">
        <f>COUNTIFS(交易明細!$B$2:$B$174,$A8,交易明細!$J$2:$J$174,"止盈")</f>
        <v/>
      </c>
      <c r="G8" s="2">
        <f>COUNTIFS(交易明細!$B$2:$B$174,$A8,交易明細!$J$2:$J$174,"止損")</f>
        <v/>
      </c>
      <c r="H8" s="4">
        <f>IFERROR(F8/E8,0)</f>
        <v/>
      </c>
      <c r="I8" s="4">
        <f>IFERROR(AVERAGEIFS(交易明細!$L$2:$L$174,交易明細!$B$2:$B$174,$A8,交易明細!$J$2:$J$174,"&lt;&gt;未平倉"),0)</f>
        <v/>
      </c>
      <c r="J8" s="4">
        <f>SUMIFS(交易明細!$L$2:$L$174,交易明細!$B$2:$B$174,$A8,交易明細!$J$2:$J$174,"&lt;&gt;未平倉")</f>
        <v/>
      </c>
      <c r="K8" s="5">
        <f>IFERROR(AVERAGEIFS(交易明細!$K$2:$K$174,交易明細!$B$2:$B$174,$A8,交易明細!$J$2:$J$174,"&lt;&gt;未平倉"),0)</f>
        <v/>
      </c>
      <c r="L8" s="2">
        <f>COUNTIFS(交易明細!$B$2:$B$174,$A8,交易明細!$J$2:$J$174,"未平倉")</f>
        <v/>
      </c>
    </row>
    <row r="9">
      <c r="A9" s="2" t="inlineStr">
        <is>
          <t>FF_USDT_PERP</t>
        </is>
      </c>
      <c r="B9" s="2">
        <f>COUNTIFS(交易明細!$B$2:$B$174,$A9)</f>
        <v/>
      </c>
      <c r="C9" s="2">
        <f>COUNTIFS(交易明細!$B$2:$B$174,$A9,交易明細!$C$2:$C$174,"做多")</f>
        <v/>
      </c>
      <c r="D9" s="2">
        <f>COUNTIFS(交易明細!$B$2:$B$174,$A9,交易明細!$C$2:$C$174,"做空")</f>
        <v/>
      </c>
      <c r="E9" s="2">
        <f>F9+G9+COUNTIFS(交易明細!$B$2:$B$174,$A9,交易明細!$J$2:$J$174,"時間出場")</f>
        <v/>
      </c>
      <c r="F9" s="2">
        <f>COUNTIFS(交易明細!$B$2:$B$174,$A9,交易明細!$J$2:$J$174,"止盈")</f>
        <v/>
      </c>
      <c r="G9" s="2">
        <f>COUNTIFS(交易明細!$B$2:$B$174,$A9,交易明細!$J$2:$J$174,"止損")</f>
        <v/>
      </c>
      <c r="H9" s="4">
        <f>IFERROR(F9/E9,0)</f>
        <v/>
      </c>
      <c r="I9" s="4">
        <f>IFERROR(AVERAGEIFS(交易明細!$L$2:$L$174,交易明細!$B$2:$B$174,$A9,交易明細!$J$2:$J$174,"&lt;&gt;未平倉"),0)</f>
        <v/>
      </c>
      <c r="J9" s="4">
        <f>SUMIFS(交易明細!$L$2:$L$174,交易明細!$B$2:$B$174,$A9,交易明細!$J$2:$J$174,"&lt;&gt;未平倉")</f>
        <v/>
      </c>
      <c r="K9" s="5">
        <f>IFERROR(AVERAGEIFS(交易明細!$K$2:$K$174,交易明細!$B$2:$B$174,$A9,交易明細!$J$2:$J$174,"&lt;&gt;未平倉"),0)</f>
        <v/>
      </c>
      <c r="L9" s="2">
        <f>COUNTIFS(交易明細!$B$2:$B$174,$A9,交易明細!$J$2:$J$174,"未平倉")</f>
        <v/>
      </c>
    </row>
    <row r="10">
      <c r="A10" s="2" t="inlineStr">
        <is>
          <t>MUBARAK_USDT_PERP</t>
        </is>
      </c>
      <c r="B10" s="2">
        <f>COUNTIFS(交易明細!$B$2:$B$174,$A10)</f>
        <v/>
      </c>
      <c r="C10" s="2">
        <f>COUNTIFS(交易明細!$B$2:$B$174,$A10,交易明細!$C$2:$C$174,"做多")</f>
        <v/>
      </c>
      <c r="D10" s="2">
        <f>COUNTIFS(交易明細!$B$2:$B$174,$A10,交易明細!$C$2:$C$174,"做空")</f>
        <v/>
      </c>
      <c r="E10" s="2">
        <f>F10+G10+COUNTIFS(交易明細!$B$2:$B$174,$A10,交易明細!$J$2:$J$174,"時間出場")</f>
        <v/>
      </c>
      <c r="F10" s="2">
        <f>COUNTIFS(交易明細!$B$2:$B$174,$A10,交易明細!$J$2:$J$174,"止盈")</f>
        <v/>
      </c>
      <c r="G10" s="2">
        <f>COUNTIFS(交易明細!$B$2:$B$174,$A10,交易明細!$J$2:$J$174,"止損")</f>
        <v/>
      </c>
      <c r="H10" s="4">
        <f>IFERROR(F10/E10,0)</f>
        <v/>
      </c>
      <c r="I10" s="4">
        <f>IFERROR(AVERAGEIFS(交易明細!$L$2:$L$174,交易明細!$B$2:$B$174,$A10,交易明細!$J$2:$J$174,"&lt;&gt;未平倉"),0)</f>
        <v/>
      </c>
      <c r="J10" s="4">
        <f>SUMIFS(交易明細!$L$2:$L$174,交易明細!$B$2:$B$174,$A10,交易明細!$J$2:$J$174,"&lt;&gt;未平倉")</f>
        <v/>
      </c>
      <c r="K10" s="5">
        <f>IFERROR(AVERAGEIFS(交易明細!$K$2:$K$174,交易明細!$B$2:$B$174,$A10,交易明細!$J$2:$J$174,"&lt;&gt;未平倉"),0)</f>
        <v/>
      </c>
      <c r="L10" s="2">
        <f>COUNTIFS(交易明細!$B$2:$B$174,$A10,交易明細!$J$2:$J$174,"未平倉")</f>
        <v/>
      </c>
    </row>
    <row r="11">
      <c r="A11" s="2" t="inlineStr">
        <is>
          <t>ZEST_USDT_PERP</t>
        </is>
      </c>
      <c r="B11" s="2">
        <f>COUNTIFS(交易明細!$B$2:$B$174,$A11)</f>
        <v/>
      </c>
      <c r="C11" s="2">
        <f>COUNTIFS(交易明細!$B$2:$B$174,$A11,交易明細!$C$2:$C$174,"做多")</f>
        <v/>
      </c>
      <c r="D11" s="2">
        <f>COUNTIFS(交易明細!$B$2:$B$174,$A11,交易明細!$C$2:$C$174,"做空")</f>
        <v/>
      </c>
      <c r="E11" s="2">
        <f>F11+G11+COUNTIFS(交易明細!$B$2:$B$174,$A11,交易明細!$J$2:$J$174,"時間出場")</f>
        <v/>
      </c>
      <c r="F11" s="2">
        <f>COUNTIFS(交易明細!$B$2:$B$174,$A11,交易明細!$J$2:$J$174,"止盈")</f>
        <v/>
      </c>
      <c r="G11" s="2">
        <f>COUNTIFS(交易明細!$B$2:$B$174,$A11,交易明細!$J$2:$J$174,"止損")</f>
        <v/>
      </c>
      <c r="H11" s="4">
        <f>IFERROR(F11/E11,0)</f>
        <v/>
      </c>
      <c r="I11" s="4">
        <f>IFERROR(AVERAGEIFS(交易明細!$L$2:$L$174,交易明細!$B$2:$B$174,$A11,交易明細!$J$2:$J$174,"&lt;&gt;未平倉"),0)</f>
        <v/>
      </c>
      <c r="J11" s="4">
        <f>SUMIFS(交易明細!$L$2:$L$174,交易明細!$B$2:$B$174,$A11,交易明細!$J$2:$J$174,"&lt;&gt;未平倉")</f>
        <v/>
      </c>
      <c r="K11" s="5">
        <f>IFERROR(AVERAGEIFS(交易明細!$K$2:$K$174,交易明細!$B$2:$B$174,$A11,交易明細!$J$2:$J$174,"&lt;&gt;未平倉"),0)</f>
        <v/>
      </c>
      <c r="L11" s="2">
        <f>COUNTIFS(交易明細!$B$2:$B$174,$A11,交易明細!$J$2:$J$174,"未平倉")</f>
        <v/>
      </c>
    </row>
    <row r="12">
      <c r="A12" s="2" t="inlineStr">
        <is>
          <t>PTB_USDT_PERP</t>
        </is>
      </c>
      <c r="B12" s="2">
        <f>COUNTIFS(交易明細!$B$2:$B$174,$A12)</f>
        <v/>
      </c>
      <c r="C12" s="2">
        <f>COUNTIFS(交易明細!$B$2:$B$174,$A12,交易明細!$C$2:$C$174,"做多")</f>
        <v/>
      </c>
      <c r="D12" s="2">
        <f>COUNTIFS(交易明細!$B$2:$B$174,$A12,交易明細!$C$2:$C$174,"做空")</f>
        <v/>
      </c>
      <c r="E12" s="2">
        <f>F12+G12+COUNTIFS(交易明細!$B$2:$B$174,$A12,交易明細!$J$2:$J$174,"時間出場")</f>
        <v/>
      </c>
      <c r="F12" s="2">
        <f>COUNTIFS(交易明細!$B$2:$B$174,$A12,交易明細!$J$2:$J$174,"止盈")</f>
        <v/>
      </c>
      <c r="G12" s="2">
        <f>COUNTIFS(交易明細!$B$2:$B$174,$A12,交易明細!$J$2:$J$174,"止損")</f>
        <v/>
      </c>
      <c r="H12" s="4">
        <f>IFERROR(F12/E12,0)</f>
        <v/>
      </c>
      <c r="I12" s="4">
        <f>IFERROR(AVERAGEIFS(交易明細!$L$2:$L$174,交易明細!$B$2:$B$174,$A12,交易明細!$J$2:$J$174,"&lt;&gt;未平倉"),0)</f>
        <v/>
      </c>
      <c r="J12" s="4">
        <f>SUMIFS(交易明細!$L$2:$L$174,交易明細!$B$2:$B$174,$A12,交易明細!$J$2:$J$174,"&lt;&gt;未平倉")</f>
        <v/>
      </c>
      <c r="K12" s="5">
        <f>IFERROR(AVERAGEIFS(交易明細!$K$2:$K$174,交易明細!$B$2:$B$174,$A12,交易明細!$J$2:$J$174,"&lt;&gt;未平倉"),0)</f>
        <v/>
      </c>
      <c r="L12" s="2">
        <f>COUNTIFS(交易明細!$B$2:$B$174,$A12,交易明細!$J$2:$J$174,"未平倉")</f>
        <v/>
      </c>
    </row>
    <row r="13">
      <c r="A13" s="2" t="inlineStr">
        <is>
          <t>POWR_USDT_PERP</t>
        </is>
      </c>
      <c r="B13" s="2">
        <f>COUNTIFS(交易明細!$B$2:$B$174,$A13)</f>
        <v/>
      </c>
      <c r="C13" s="2">
        <f>COUNTIFS(交易明細!$B$2:$B$174,$A13,交易明細!$C$2:$C$174,"做多")</f>
        <v/>
      </c>
      <c r="D13" s="2">
        <f>COUNTIFS(交易明細!$B$2:$B$174,$A13,交易明細!$C$2:$C$174,"做空")</f>
        <v/>
      </c>
      <c r="E13" s="2">
        <f>F13+G13+COUNTIFS(交易明細!$B$2:$B$174,$A13,交易明細!$J$2:$J$174,"時間出場")</f>
        <v/>
      </c>
      <c r="F13" s="2">
        <f>COUNTIFS(交易明細!$B$2:$B$174,$A13,交易明細!$J$2:$J$174,"止盈")</f>
        <v/>
      </c>
      <c r="G13" s="2">
        <f>COUNTIFS(交易明細!$B$2:$B$174,$A13,交易明細!$J$2:$J$174,"止損")</f>
        <v/>
      </c>
      <c r="H13" s="4">
        <f>IFERROR(F13/E13,0)</f>
        <v/>
      </c>
      <c r="I13" s="4">
        <f>IFERROR(AVERAGEIFS(交易明細!$L$2:$L$174,交易明細!$B$2:$B$174,$A13,交易明細!$J$2:$J$174,"&lt;&gt;未平倉"),0)</f>
        <v/>
      </c>
      <c r="J13" s="4">
        <f>SUMIFS(交易明細!$L$2:$L$174,交易明細!$B$2:$B$174,$A13,交易明細!$J$2:$J$174,"&lt;&gt;未平倉")</f>
        <v/>
      </c>
      <c r="K13" s="5">
        <f>IFERROR(AVERAGEIFS(交易明細!$K$2:$K$174,交易明細!$B$2:$B$174,$A13,交易明細!$J$2:$J$174,"&lt;&gt;未平倉"),0)</f>
        <v/>
      </c>
      <c r="L13" s="2">
        <f>COUNTIFS(交易明細!$B$2:$B$174,$A13,交易明細!$J$2:$J$174,"未平倉")</f>
        <v/>
      </c>
    </row>
    <row r="14">
      <c r="A14" s="2" t="inlineStr">
        <is>
          <t>MAGMA_USDT_PERP</t>
        </is>
      </c>
      <c r="B14" s="2">
        <f>COUNTIFS(交易明細!$B$2:$B$174,$A14)</f>
        <v/>
      </c>
      <c r="C14" s="2">
        <f>COUNTIFS(交易明細!$B$2:$B$174,$A14,交易明細!$C$2:$C$174,"做多")</f>
        <v/>
      </c>
      <c r="D14" s="2">
        <f>COUNTIFS(交易明細!$B$2:$B$174,$A14,交易明細!$C$2:$C$174,"做空")</f>
        <v/>
      </c>
      <c r="E14" s="2">
        <f>F14+G14+COUNTIFS(交易明細!$B$2:$B$174,$A14,交易明細!$J$2:$J$174,"時間出場")</f>
        <v/>
      </c>
      <c r="F14" s="2">
        <f>COUNTIFS(交易明細!$B$2:$B$174,$A14,交易明細!$J$2:$J$174,"止盈")</f>
        <v/>
      </c>
      <c r="G14" s="2">
        <f>COUNTIFS(交易明細!$B$2:$B$174,$A14,交易明細!$J$2:$J$174,"止損")</f>
        <v/>
      </c>
      <c r="H14" s="4">
        <f>IFERROR(F14/E14,0)</f>
        <v/>
      </c>
      <c r="I14" s="4">
        <f>IFERROR(AVERAGEIFS(交易明細!$L$2:$L$174,交易明細!$B$2:$B$174,$A14,交易明細!$J$2:$J$174,"&lt;&gt;未平倉"),0)</f>
        <v/>
      </c>
      <c r="J14" s="4">
        <f>SUMIFS(交易明細!$L$2:$L$174,交易明細!$B$2:$B$174,$A14,交易明細!$J$2:$J$174,"&lt;&gt;未平倉")</f>
        <v/>
      </c>
      <c r="K14" s="5">
        <f>IFERROR(AVERAGEIFS(交易明細!$K$2:$K$174,交易明細!$B$2:$B$174,$A14,交易明細!$J$2:$J$174,"&lt;&gt;未平倉"),0)</f>
        <v/>
      </c>
      <c r="L14" s="2">
        <f>COUNTIFS(交易明細!$B$2:$B$174,$A14,交易明細!$J$2:$J$174,"未平倉")</f>
        <v/>
      </c>
    </row>
    <row r="15">
      <c r="A15" s="2" t="inlineStr">
        <is>
          <t>AIN_USDT_PERP</t>
        </is>
      </c>
      <c r="B15" s="2">
        <f>COUNTIFS(交易明細!$B$2:$B$174,$A15)</f>
        <v/>
      </c>
      <c r="C15" s="2">
        <f>COUNTIFS(交易明細!$B$2:$B$174,$A15,交易明細!$C$2:$C$174,"做多")</f>
        <v/>
      </c>
      <c r="D15" s="2">
        <f>COUNTIFS(交易明細!$B$2:$B$174,$A15,交易明細!$C$2:$C$174,"做空")</f>
        <v/>
      </c>
      <c r="E15" s="2">
        <f>F15+G15+COUNTIFS(交易明細!$B$2:$B$174,$A15,交易明細!$J$2:$J$174,"時間出場")</f>
        <v/>
      </c>
      <c r="F15" s="2">
        <f>COUNTIFS(交易明細!$B$2:$B$174,$A15,交易明細!$J$2:$J$174,"止盈")</f>
        <v/>
      </c>
      <c r="G15" s="2">
        <f>COUNTIFS(交易明細!$B$2:$B$174,$A15,交易明細!$J$2:$J$174,"止損")</f>
        <v/>
      </c>
      <c r="H15" s="4">
        <f>IFERROR(F15/E15,0)</f>
        <v/>
      </c>
      <c r="I15" s="4">
        <f>IFERROR(AVERAGEIFS(交易明細!$L$2:$L$174,交易明細!$B$2:$B$174,$A15,交易明細!$J$2:$J$174,"&lt;&gt;未平倉"),0)</f>
        <v/>
      </c>
      <c r="J15" s="4">
        <f>SUMIFS(交易明細!$L$2:$L$174,交易明細!$B$2:$B$174,$A15,交易明細!$J$2:$J$174,"&lt;&gt;未平倉")</f>
        <v/>
      </c>
      <c r="K15" s="5">
        <f>IFERROR(AVERAGEIFS(交易明細!$K$2:$K$174,交易明細!$B$2:$B$174,$A15,交易明細!$J$2:$J$174,"&lt;&gt;未平倉"),0)</f>
        <v/>
      </c>
      <c r="L15" s="2">
        <f>COUNTIFS(交易明細!$B$2:$B$174,$A15,交易明細!$J$2:$J$174,"未平倉")</f>
        <v/>
      </c>
    </row>
    <row r="16">
      <c r="A16" s="2" t="inlineStr">
        <is>
          <t>KERNEL_USDT_PERP</t>
        </is>
      </c>
      <c r="B16" s="2">
        <f>COUNTIFS(交易明細!$B$2:$B$174,$A16)</f>
        <v/>
      </c>
      <c r="C16" s="2">
        <f>COUNTIFS(交易明細!$B$2:$B$174,$A16,交易明細!$C$2:$C$174,"做多")</f>
        <v/>
      </c>
      <c r="D16" s="2">
        <f>COUNTIFS(交易明細!$B$2:$B$174,$A16,交易明細!$C$2:$C$174,"做空")</f>
        <v/>
      </c>
      <c r="E16" s="2">
        <f>F16+G16+COUNTIFS(交易明細!$B$2:$B$174,$A16,交易明細!$J$2:$J$174,"時間出場")</f>
        <v/>
      </c>
      <c r="F16" s="2">
        <f>COUNTIFS(交易明細!$B$2:$B$174,$A16,交易明細!$J$2:$J$174,"止盈")</f>
        <v/>
      </c>
      <c r="G16" s="2">
        <f>COUNTIFS(交易明細!$B$2:$B$174,$A16,交易明細!$J$2:$J$174,"止損")</f>
        <v/>
      </c>
      <c r="H16" s="4">
        <f>IFERROR(F16/E16,0)</f>
        <v/>
      </c>
      <c r="I16" s="4">
        <f>IFERROR(AVERAGEIFS(交易明細!$L$2:$L$174,交易明細!$B$2:$B$174,$A16,交易明細!$J$2:$J$174,"&lt;&gt;未平倉"),0)</f>
        <v/>
      </c>
      <c r="J16" s="4">
        <f>SUMIFS(交易明細!$L$2:$L$174,交易明細!$B$2:$B$174,$A16,交易明細!$J$2:$J$174,"&lt;&gt;未平倉")</f>
        <v/>
      </c>
      <c r="K16" s="5">
        <f>IFERROR(AVERAGEIFS(交易明細!$K$2:$K$174,交易明細!$B$2:$B$174,$A16,交易明細!$J$2:$J$174,"&lt;&gt;未平倉"),0)</f>
        <v/>
      </c>
      <c r="L16" s="2">
        <f>COUNTIFS(交易明細!$B$2:$B$174,$A16,交易明細!$J$2:$J$174,"未平倉")</f>
        <v/>
      </c>
    </row>
    <row r="17">
      <c r="A17" s="2" t="inlineStr">
        <is>
          <t>US_USDT_PERP</t>
        </is>
      </c>
      <c r="B17" s="2">
        <f>COUNTIFS(交易明細!$B$2:$B$174,$A17)</f>
        <v/>
      </c>
      <c r="C17" s="2">
        <f>COUNTIFS(交易明細!$B$2:$B$174,$A17,交易明細!$C$2:$C$174,"做多")</f>
        <v/>
      </c>
      <c r="D17" s="2">
        <f>COUNTIFS(交易明細!$B$2:$B$174,$A17,交易明細!$C$2:$C$174,"做空")</f>
        <v/>
      </c>
      <c r="E17" s="2">
        <f>F17+G17+COUNTIFS(交易明細!$B$2:$B$174,$A17,交易明細!$J$2:$J$174,"時間出場")</f>
        <v/>
      </c>
      <c r="F17" s="2">
        <f>COUNTIFS(交易明細!$B$2:$B$174,$A17,交易明細!$J$2:$J$174,"止盈")</f>
        <v/>
      </c>
      <c r="G17" s="2">
        <f>COUNTIFS(交易明細!$B$2:$B$174,$A17,交易明細!$J$2:$J$174,"止損")</f>
        <v/>
      </c>
      <c r="H17" s="4">
        <f>IFERROR(F17/E17,0)</f>
        <v/>
      </c>
      <c r="I17" s="4">
        <f>IFERROR(AVERAGEIFS(交易明細!$L$2:$L$174,交易明細!$B$2:$B$174,$A17,交易明細!$J$2:$J$174,"&lt;&gt;未平倉"),0)</f>
        <v/>
      </c>
      <c r="J17" s="4">
        <f>SUMIFS(交易明細!$L$2:$L$174,交易明細!$B$2:$B$174,$A17,交易明細!$J$2:$J$174,"&lt;&gt;未平倉")</f>
        <v/>
      </c>
      <c r="K17" s="5">
        <f>IFERROR(AVERAGEIFS(交易明細!$K$2:$K$174,交易明細!$B$2:$B$174,$A17,交易明細!$J$2:$J$174,"&lt;&gt;未平倉"),0)</f>
        <v/>
      </c>
      <c r="L17" s="2">
        <f>COUNTIFS(交易明細!$B$2:$B$174,$A17,交易明細!$J$2:$J$174,"未平倉")</f>
        <v/>
      </c>
    </row>
    <row r="18">
      <c r="A18" s="2" t="inlineStr">
        <is>
          <t>TRIA_USDT_PERP</t>
        </is>
      </c>
      <c r="B18" s="2">
        <f>COUNTIFS(交易明細!$B$2:$B$174,$A18)</f>
        <v/>
      </c>
      <c r="C18" s="2">
        <f>COUNTIFS(交易明細!$B$2:$B$174,$A18,交易明細!$C$2:$C$174,"做多")</f>
        <v/>
      </c>
      <c r="D18" s="2">
        <f>COUNTIFS(交易明細!$B$2:$B$174,$A18,交易明細!$C$2:$C$174,"做空")</f>
        <v/>
      </c>
      <c r="E18" s="2">
        <f>F18+G18+COUNTIFS(交易明細!$B$2:$B$174,$A18,交易明細!$J$2:$J$174,"時間出場")</f>
        <v/>
      </c>
      <c r="F18" s="2">
        <f>COUNTIFS(交易明細!$B$2:$B$174,$A18,交易明細!$J$2:$J$174,"止盈")</f>
        <v/>
      </c>
      <c r="G18" s="2">
        <f>COUNTIFS(交易明細!$B$2:$B$174,$A18,交易明細!$J$2:$J$174,"止損")</f>
        <v/>
      </c>
      <c r="H18" s="4">
        <f>IFERROR(F18/E18,0)</f>
        <v/>
      </c>
      <c r="I18" s="4">
        <f>IFERROR(AVERAGEIFS(交易明細!$L$2:$L$174,交易明細!$B$2:$B$174,$A18,交易明細!$J$2:$J$174,"&lt;&gt;未平倉"),0)</f>
        <v/>
      </c>
      <c r="J18" s="4">
        <f>SUMIFS(交易明細!$L$2:$L$174,交易明細!$B$2:$B$174,$A18,交易明細!$J$2:$J$174,"&lt;&gt;未平倉")</f>
        <v/>
      </c>
      <c r="K18" s="5">
        <f>IFERROR(AVERAGEIFS(交易明細!$K$2:$K$174,交易明細!$B$2:$B$174,$A18,交易明細!$J$2:$J$174,"&lt;&gt;未平倉"),0)</f>
        <v/>
      </c>
      <c r="L18" s="2">
        <f>COUNTIFS(交易明細!$B$2:$B$174,$A18,交易明細!$J$2:$J$174,"未平倉")</f>
        <v/>
      </c>
    </row>
    <row r="19">
      <c r="A19" s="2" t="inlineStr">
        <is>
          <t>Q_USDT_PERP</t>
        </is>
      </c>
      <c r="B19" s="2">
        <f>COUNTIFS(交易明細!$B$2:$B$174,$A19)</f>
        <v/>
      </c>
      <c r="C19" s="2">
        <f>COUNTIFS(交易明細!$B$2:$B$174,$A19,交易明細!$C$2:$C$174,"做多")</f>
        <v/>
      </c>
      <c r="D19" s="2">
        <f>COUNTIFS(交易明細!$B$2:$B$174,$A19,交易明細!$C$2:$C$174,"做空")</f>
        <v/>
      </c>
      <c r="E19" s="2">
        <f>F19+G19+COUNTIFS(交易明細!$B$2:$B$174,$A19,交易明細!$J$2:$J$174,"時間出場")</f>
        <v/>
      </c>
      <c r="F19" s="2">
        <f>COUNTIFS(交易明細!$B$2:$B$174,$A19,交易明細!$J$2:$J$174,"止盈")</f>
        <v/>
      </c>
      <c r="G19" s="2">
        <f>COUNTIFS(交易明細!$B$2:$B$174,$A19,交易明細!$J$2:$J$174,"止損")</f>
        <v/>
      </c>
      <c r="H19" s="4">
        <f>IFERROR(F19/E19,0)</f>
        <v/>
      </c>
      <c r="I19" s="4">
        <f>IFERROR(AVERAGEIFS(交易明細!$L$2:$L$174,交易明細!$B$2:$B$174,$A19,交易明細!$J$2:$J$174,"&lt;&gt;未平倉"),0)</f>
        <v/>
      </c>
      <c r="J19" s="4">
        <f>SUMIFS(交易明細!$L$2:$L$174,交易明細!$B$2:$B$174,$A19,交易明細!$J$2:$J$174,"&lt;&gt;未平倉")</f>
        <v/>
      </c>
      <c r="K19" s="5">
        <f>IFERROR(AVERAGEIFS(交易明細!$K$2:$K$174,交易明細!$B$2:$B$174,$A19,交易明細!$J$2:$J$174,"&lt;&gt;未平倉"),0)</f>
        <v/>
      </c>
      <c r="L19" s="2">
        <f>COUNTIFS(交易明細!$B$2:$B$174,$A19,交易明細!$J$2:$J$174,"未平倉")</f>
        <v/>
      </c>
    </row>
    <row r="20">
      <c r="A20" s="2" t="inlineStr">
        <is>
          <t>B_USDT_PERP</t>
        </is>
      </c>
      <c r="B20" s="2">
        <f>COUNTIFS(交易明細!$B$2:$B$174,$A20)</f>
        <v/>
      </c>
      <c r="C20" s="2">
        <f>COUNTIFS(交易明細!$B$2:$B$174,$A20,交易明細!$C$2:$C$174,"做多")</f>
        <v/>
      </c>
      <c r="D20" s="2">
        <f>COUNTIFS(交易明細!$B$2:$B$174,$A20,交易明細!$C$2:$C$174,"做空")</f>
        <v/>
      </c>
      <c r="E20" s="2">
        <f>F20+G20+COUNTIFS(交易明細!$B$2:$B$174,$A20,交易明細!$J$2:$J$174,"時間出場")</f>
        <v/>
      </c>
      <c r="F20" s="2">
        <f>COUNTIFS(交易明細!$B$2:$B$174,$A20,交易明細!$J$2:$J$174,"止盈")</f>
        <v/>
      </c>
      <c r="G20" s="2">
        <f>COUNTIFS(交易明細!$B$2:$B$174,$A20,交易明細!$J$2:$J$174,"止損")</f>
        <v/>
      </c>
      <c r="H20" s="4">
        <f>IFERROR(F20/E20,0)</f>
        <v/>
      </c>
      <c r="I20" s="4">
        <f>IFERROR(AVERAGEIFS(交易明細!$L$2:$L$174,交易明細!$B$2:$B$174,$A20,交易明細!$J$2:$J$174,"&lt;&gt;未平倉"),0)</f>
        <v/>
      </c>
      <c r="J20" s="4">
        <f>SUMIFS(交易明細!$L$2:$L$174,交易明細!$B$2:$B$174,$A20,交易明細!$J$2:$J$174,"&lt;&gt;未平倉")</f>
        <v/>
      </c>
      <c r="K20" s="5">
        <f>IFERROR(AVERAGEIFS(交易明細!$K$2:$K$174,交易明細!$B$2:$B$174,$A20,交易明細!$J$2:$J$174,"&lt;&gt;未平倉"),0)</f>
        <v/>
      </c>
      <c r="L20" s="2">
        <f>COUNTIFS(交易明細!$B$2:$B$174,$A20,交易明細!$J$2:$J$174,"未平倉")</f>
        <v/>
      </c>
    </row>
    <row r="21">
      <c r="A21" s="2" t="inlineStr">
        <is>
          <t>NAORIS_USDT_PERP</t>
        </is>
      </c>
      <c r="B21" s="2">
        <f>COUNTIFS(交易明細!$B$2:$B$174,$A21)</f>
        <v/>
      </c>
      <c r="C21" s="2">
        <f>COUNTIFS(交易明細!$B$2:$B$174,$A21,交易明細!$C$2:$C$174,"做多")</f>
        <v/>
      </c>
      <c r="D21" s="2">
        <f>COUNTIFS(交易明細!$B$2:$B$174,$A21,交易明細!$C$2:$C$174,"做空")</f>
        <v/>
      </c>
      <c r="E21" s="2">
        <f>F21+G21+COUNTIFS(交易明細!$B$2:$B$174,$A21,交易明細!$J$2:$J$174,"時間出場")</f>
        <v/>
      </c>
      <c r="F21" s="2">
        <f>COUNTIFS(交易明細!$B$2:$B$174,$A21,交易明細!$J$2:$J$174,"止盈")</f>
        <v/>
      </c>
      <c r="G21" s="2">
        <f>COUNTIFS(交易明細!$B$2:$B$174,$A21,交易明細!$J$2:$J$174,"止損")</f>
        <v/>
      </c>
      <c r="H21" s="4">
        <f>IFERROR(F21/E21,0)</f>
        <v/>
      </c>
      <c r="I21" s="4">
        <f>IFERROR(AVERAGEIFS(交易明細!$L$2:$L$174,交易明細!$B$2:$B$174,$A21,交易明細!$J$2:$J$174,"&lt;&gt;未平倉"),0)</f>
        <v/>
      </c>
      <c r="J21" s="4">
        <f>SUMIFS(交易明細!$L$2:$L$174,交易明細!$B$2:$B$174,$A21,交易明細!$J$2:$J$174,"&lt;&gt;未平倉")</f>
        <v/>
      </c>
      <c r="K21" s="5">
        <f>IFERROR(AVERAGEIFS(交易明細!$K$2:$K$174,交易明細!$B$2:$B$174,$A21,交易明細!$J$2:$J$174,"&lt;&gt;未平倉"),0)</f>
        <v/>
      </c>
      <c r="L21" s="2">
        <f>COUNTIFS(交易明細!$B$2:$B$174,$A21,交易明細!$J$2:$J$174,"未平倉")</f>
        <v/>
      </c>
    </row>
    <row r="22">
      <c r="A22" s="2" t="inlineStr">
        <is>
          <t>COLLECT_USDT_PERP</t>
        </is>
      </c>
      <c r="B22" s="2">
        <f>COUNTIFS(交易明細!$B$2:$B$174,$A22)</f>
        <v/>
      </c>
      <c r="C22" s="2">
        <f>COUNTIFS(交易明細!$B$2:$B$174,$A22,交易明細!$C$2:$C$174,"做多")</f>
        <v/>
      </c>
      <c r="D22" s="2">
        <f>COUNTIFS(交易明細!$B$2:$B$174,$A22,交易明細!$C$2:$C$174,"做空")</f>
        <v/>
      </c>
      <c r="E22" s="2">
        <f>F22+G22+COUNTIFS(交易明細!$B$2:$B$174,$A22,交易明細!$J$2:$J$174,"時間出場")</f>
        <v/>
      </c>
      <c r="F22" s="2">
        <f>COUNTIFS(交易明細!$B$2:$B$174,$A22,交易明細!$J$2:$J$174,"止盈")</f>
        <v/>
      </c>
      <c r="G22" s="2">
        <f>COUNTIFS(交易明細!$B$2:$B$174,$A22,交易明細!$J$2:$J$174,"止損")</f>
        <v/>
      </c>
      <c r="H22" s="4">
        <f>IFERROR(F22/E22,0)</f>
        <v/>
      </c>
      <c r="I22" s="4">
        <f>IFERROR(AVERAGEIFS(交易明細!$L$2:$L$174,交易明細!$B$2:$B$174,$A22,交易明細!$J$2:$J$174,"&lt;&gt;未平倉"),0)</f>
        <v/>
      </c>
      <c r="J22" s="4">
        <f>SUMIFS(交易明細!$L$2:$L$174,交易明細!$B$2:$B$174,$A22,交易明細!$J$2:$J$174,"&lt;&gt;未平倉")</f>
        <v/>
      </c>
      <c r="K22" s="5">
        <f>IFERROR(AVERAGEIFS(交易明細!$K$2:$K$174,交易明細!$B$2:$B$174,$A22,交易明細!$J$2:$J$174,"&lt;&gt;未平倉"),0)</f>
        <v/>
      </c>
      <c r="L22" s="2">
        <f>COUNTIFS(交易明細!$B$2:$B$174,$A22,交易明細!$J$2:$J$174,"未平倉")</f>
        <v/>
      </c>
    </row>
    <row r="23">
      <c r="A23" s="2" t="inlineStr">
        <is>
          <t>MOODENG_USDT_PERP</t>
        </is>
      </c>
      <c r="B23" s="2">
        <f>COUNTIFS(交易明細!$B$2:$B$174,$A23)</f>
        <v/>
      </c>
      <c r="C23" s="2">
        <f>COUNTIFS(交易明細!$B$2:$B$174,$A23,交易明細!$C$2:$C$174,"做多")</f>
        <v/>
      </c>
      <c r="D23" s="2">
        <f>COUNTIFS(交易明細!$B$2:$B$174,$A23,交易明細!$C$2:$C$174,"做空")</f>
        <v/>
      </c>
      <c r="E23" s="2">
        <f>F23+G23+COUNTIFS(交易明細!$B$2:$B$174,$A23,交易明細!$J$2:$J$174,"時間出場")</f>
        <v/>
      </c>
      <c r="F23" s="2">
        <f>COUNTIFS(交易明細!$B$2:$B$174,$A23,交易明細!$J$2:$J$174,"止盈")</f>
        <v/>
      </c>
      <c r="G23" s="2">
        <f>COUNTIFS(交易明細!$B$2:$B$174,$A23,交易明細!$J$2:$J$174,"止損")</f>
        <v/>
      </c>
      <c r="H23" s="4">
        <f>IFERROR(F23/E23,0)</f>
        <v/>
      </c>
      <c r="I23" s="4">
        <f>IFERROR(AVERAGEIFS(交易明細!$L$2:$L$174,交易明細!$B$2:$B$174,$A23,交易明細!$J$2:$J$174,"&lt;&gt;未平倉"),0)</f>
        <v/>
      </c>
      <c r="J23" s="4">
        <f>SUMIFS(交易明細!$L$2:$L$174,交易明細!$B$2:$B$174,$A23,交易明細!$J$2:$J$174,"&lt;&gt;未平倉")</f>
        <v/>
      </c>
      <c r="K23" s="5">
        <f>IFERROR(AVERAGEIFS(交易明細!$K$2:$K$174,交易明細!$B$2:$B$174,$A23,交易明細!$J$2:$J$174,"&lt;&gt;未平倉"),0)</f>
        <v/>
      </c>
      <c r="L23" s="2">
        <f>COUNTIFS(交易明細!$B$2:$B$174,$A23,交易明細!$J$2:$J$174,"未平倉")</f>
        <v/>
      </c>
    </row>
    <row r="24">
      <c r="A24" s="2" t="inlineStr">
        <is>
          <t>SUSHI_USDT_PERP</t>
        </is>
      </c>
      <c r="B24" s="2">
        <f>COUNTIFS(交易明細!$B$2:$B$174,$A24)</f>
        <v/>
      </c>
      <c r="C24" s="2">
        <f>COUNTIFS(交易明細!$B$2:$B$174,$A24,交易明細!$C$2:$C$174,"做多")</f>
        <v/>
      </c>
      <c r="D24" s="2">
        <f>COUNTIFS(交易明細!$B$2:$B$174,$A24,交易明細!$C$2:$C$174,"做空")</f>
        <v/>
      </c>
      <c r="E24" s="2">
        <f>F24+G24+COUNTIFS(交易明細!$B$2:$B$174,$A24,交易明細!$J$2:$J$174,"時間出場")</f>
        <v/>
      </c>
      <c r="F24" s="2">
        <f>COUNTIFS(交易明細!$B$2:$B$174,$A24,交易明細!$J$2:$J$174,"止盈")</f>
        <v/>
      </c>
      <c r="G24" s="2">
        <f>COUNTIFS(交易明細!$B$2:$B$174,$A24,交易明細!$J$2:$J$174,"止損")</f>
        <v/>
      </c>
      <c r="H24" s="4">
        <f>IFERROR(F24/E24,0)</f>
        <v/>
      </c>
      <c r="I24" s="4">
        <f>IFERROR(AVERAGEIFS(交易明細!$L$2:$L$174,交易明細!$B$2:$B$174,$A24,交易明細!$J$2:$J$174,"&lt;&gt;未平倉"),0)</f>
        <v/>
      </c>
      <c r="J24" s="4">
        <f>SUMIFS(交易明細!$L$2:$L$174,交易明細!$B$2:$B$174,$A24,交易明細!$J$2:$J$174,"&lt;&gt;未平倉")</f>
        <v/>
      </c>
      <c r="K24" s="5">
        <f>IFERROR(AVERAGEIFS(交易明細!$K$2:$K$174,交易明細!$B$2:$B$174,$A24,交易明細!$J$2:$J$174,"&lt;&gt;未平倉"),0)</f>
        <v/>
      </c>
      <c r="L24" s="2">
        <f>COUNTIFS(交易明細!$B$2:$B$174,$A24,交易明細!$J$2:$J$174,"未平倉")</f>
        <v/>
      </c>
    </row>
    <row r="25">
      <c r="A25" s="2" t="inlineStr">
        <is>
          <t>RAY_USDT_PERP</t>
        </is>
      </c>
      <c r="B25" s="2">
        <f>COUNTIFS(交易明細!$B$2:$B$174,$A25)</f>
        <v/>
      </c>
      <c r="C25" s="2">
        <f>COUNTIFS(交易明細!$B$2:$B$174,$A25,交易明細!$C$2:$C$174,"做多")</f>
        <v/>
      </c>
      <c r="D25" s="2">
        <f>COUNTIFS(交易明細!$B$2:$B$174,$A25,交易明細!$C$2:$C$174,"做空")</f>
        <v/>
      </c>
      <c r="E25" s="2">
        <f>F25+G25+COUNTIFS(交易明細!$B$2:$B$174,$A25,交易明細!$J$2:$J$174,"時間出場")</f>
        <v/>
      </c>
      <c r="F25" s="2">
        <f>COUNTIFS(交易明細!$B$2:$B$174,$A25,交易明細!$J$2:$J$174,"止盈")</f>
        <v/>
      </c>
      <c r="G25" s="2">
        <f>COUNTIFS(交易明細!$B$2:$B$174,$A25,交易明細!$J$2:$J$174,"止損")</f>
        <v/>
      </c>
      <c r="H25" s="4">
        <f>IFERROR(F25/E25,0)</f>
        <v/>
      </c>
      <c r="I25" s="4">
        <f>IFERROR(AVERAGEIFS(交易明細!$L$2:$L$174,交易明細!$B$2:$B$174,$A25,交易明細!$J$2:$J$174,"&lt;&gt;未平倉"),0)</f>
        <v/>
      </c>
      <c r="J25" s="4">
        <f>SUMIFS(交易明細!$L$2:$L$174,交易明細!$B$2:$B$174,$A25,交易明細!$J$2:$J$174,"&lt;&gt;未平倉")</f>
        <v/>
      </c>
      <c r="K25" s="5">
        <f>IFERROR(AVERAGEIFS(交易明細!$K$2:$K$174,交易明細!$B$2:$B$174,$A25,交易明細!$J$2:$J$174,"&lt;&gt;未平倉"),0)</f>
        <v/>
      </c>
      <c r="L25" s="2">
        <f>COUNTIFS(交易明細!$B$2:$B$174,$A25,交易明細!$J$2:$J$174,"未平倉")</f>
        <v/>
      </c>
    </row>
    <row r="26">
      <c r="A26" s="2" t="inlineStr">
        <is>
          <t>LUNA2_USDT_PERP</t>
        </is>
      </c>
      <c r="B26" s="2">
        <f>COUNTIFS(交易明細!$B$2:$B$174,$A26)</f>
        <v/>
      </c>
      <c r="C26" s="2">
        <f>COUNTIFS(交易明細!$B$2:$B$174,$A26,交易明細!$C$2:$C$174,"做多")</f>
        <v/>
      </c>
      <c r="D26" s="2">
        <f>COUNTIFS(交易明細!$B$2:$B$174,$A26,交易明細!$C$2:$C$174,"做空")</f>
        <v/>
      </c>
      <c r="E26" s="2">
        <f>F26+G26+COUNTIFS(交易明細!$B$2:$B$174,$A26,交易明細!$J$2:$J$174,"時間出場")</f>
        <v/>
      </c>
      <c r="F26" s="2">
        <f>COUNTIFS(交易明細!$B$2:$B$174,$A26,交易明細!$J$2:$J$174,"止盈")</f>
        <v/>
      </c>
      <c r="G26" s="2">
        <f>COUNTIFS(交易明細!$B$2:$B$174,$A26,交易明細!$J$2:$J$174,"止損")</f>
        <v/>
      </c>
      <c r="H26" s="4">
        <f>IFERROR(F26/E26,0)</f>
        <v/>
      </c>
      <c r="I26" s="4">
        <f>IFERROR(AVERAGEIFS(交易明細!$L$2:$L$174,交易明細!$B$2:$B$174,$A26,交易明細!$J$2:$J$174,"&lt;&gt;未平倉"),0)</f>
        <v/>
      </c>
      <c r="J26" s="4">
        <f>SUMIFS(交易明細!$L$2:$L$174,交易明細!$B$2:$B$174,$A26,交易明細!$J$2:$J$174,"&lt;&gt;未平倉")</f>
        <v/>
      </c>
      <c r="K26" s="5">
        <f>IFERROR(AVERAGEIFS(交易明細!$K$2:$K$174,交易明細!$B$2:$B$174,$A26,交易明細!$J$2:$J$174,"&lt;&gt;未平倉"),0)</f>
        <v/>
      </c>
      <c r="L26" s="2">
        <f>COUNTIFS(交易明細!$B$2:$B$174,$A26,交易明細!$J$2:$J$174,"未平倉")</f>
        <v/>
      </c>
    </row>
    <row r="27">
      <c r="A27" s="2" t="inlineStr">
        <is>
          <t>HAEDAL_USDT_PERP</t>
        </is>
      </c>
      <c r="B27" s="2">
        <f>COUNTIFS(交易明細!$B$2:$B$174,$A27)</f>
        <v/>
      </c>
      <c r="C27" s="2">
        <f>COUNTIFS(交易明細!$B$2:$B$174,$A27,交易明細!$C$2:$C$174,"做多")</f>
        <v/>
      </c>
      <c r="D27" s="2">
        <f>COUNTIFS(交易明細!$B$2:$B$174,$A27,交易明細!$C$2:$C$174,"做空")</f>
        <v/>
      </c>
      <c r="E27" s="2">
        <f>F27+G27+COUNTIFS(交易明細!$B$2:$B$174,$A27,交易明細!$J$2:$J$174,"時間出場")</f>
        <v/>
      </c>
      <c r="F27" s="2">
        <f>COUNTIFS(交易明細!$B$2:$B$174,$A27,交易明細!$J$2:$J$174,"止盈")</f>
        <v/>
      </c>
      <c r="G27" s="2">
        <f>COUNTIFS(交易明細!$B$2:$B$174,$A27,交易明細!$J$2:$J$174,"止損")</f>
        <v/>
      </c>
      <c r="H27" s="4">
        <f>IFERROR(F27/E27,0)</f>
        <v/>
      </c>
      <c r="I27" s="4">
        <f>IFERROR(AVERAGEIFS(交易明細!$L$2:$L$174,交易明細!$B$2:$B$174,$A27,交易明細!$J$2:$J$174,"&lt;&gt;未平倉"),0)</f>
        <v/>
      </c>
      <c r="J27" s="4">
        <f>SUMIFS(交易明細!$L$2:$L$174,交易明細!$B$2:$B$174,$A27,交易明細!$J$2:$J$174,"&lt;&gt;未平倉")</f>
        <v/>
      </c>
      <c r="K27" s="5">
        <f>IFERROR(AVERAGEIFS(交易明細!$K$2:$K$174,交易明細!$B$2:$B$174,$A27,交易明細!$J$2:$J$174,"&lt;&gt;未平倉"),0)</f>
        <v/>
      </c>
      <c r="L27" s="2">
        <f>COUNTIFS(交易明細!$B$2:$B$174,$A27,交易明細!$J$2:$J$174,"未平倉")</f>
        <v/>
      </c>
    </row>
    <row r="28">
      <c r="A28" s="2" t="inlineStr">
        <is>
          <t>ON_USDT_PERP</t>
        </is>
      </c>
      <c r="B28" s="2">
        <f>COUNTIFS(交易明細!$B$2:$B$174,$A28)</f>
        <v/>
      </c>
      <c r="C28" s="2">
        <f>COUNTIFS(交易明細!$B$2:$B$174,$A28,交易明細!$C$2:$C$174,"做多")</f>
        <v/>
      </c>
      <c r="D28" s="2">
        <f>COUNTIFS(交易明細!$B$2:$B$174,$A28,交易明細!$C$2:$C$174,"做空")</f>
        <v/>
      </c>
      <c r="E28" s="2">
        <f>F28+G28+COUNTIFS(交易明細!$B$2:$B$174,$A28,交易明細!$J$2:$J$174,"時間出場")</f>
        <v/>
      </c>
      <c r="F28" s="2">
        <f>COUNTIFS(交易明細!$B$2:$B$174,$A28,交易明細!$J$2:$J$174,"止盈")</f>
        <v/>
      </c>
      <c r="G28" s="2">
        <f>COUNTIFS(交易明細!$B$2:$B$174,$A28,交易明細!$J$2:$J$174,"止損")</f>
        <v/>
      </c>
      <c r="H28" s="4">
        <f>IFERROR(F28/E28,0)</f>
        <v/>
      </c>
      <c r="I28" s="4">
        <f>IFERROR(AVERAGEIFS(交易明細!$L$2:$L$174,交易明細!$B$2:$B$174,$A28,交易明細!$J$2:$J$174,"&lt;&gt;未平倉"),0)</f>
        <v/>
      </c>
      <c r="J28" s="4">
        <f>SUMIFS(交易明細!$L$2:$L$174,交易明細!$B$2:$B$174,$A28,交易明細!$J$2:$J$174,"&lt;&gt;未平倉")</f>
        <v/>
      </c>
      <c r="K28" s="5">
        <f>IFERROR(AVERAGEIFS(交易明細!$K$2:$K$174,交易明細!$B$2:$B$174,$A28,交易明細!$J$2:$J$174,"&lt;&gt;未平倉"),0)</f>
        <v/>
      </c>
      <c r="L28" s="2">
        <f>COUNTIFS(交易明細!$B$2:$B$174,$A28,交易明細!$J$2:$J$174,"未平倉")</f>
        <v/>
      </c>
    </row>
    <row r="29">
      <c r="A29" s="2" t="inlineStr">
        <is>
          <t>PHA_USDT_PERP</t>
        </is>
      </c>
      <c r="B29" s="2">
        <f>COUNTIFS(交易明細!$B$2:$B$174,$A29)</f>
        <v/>
      </c>
      <c r="C29" s="2">
        <f>COUNTIFS(交易明細!$B$2:$B$174,$A29,交易明細!$C$2:$C$174,"做多")</f>
        <v/>
      </c>
      <c r="D29" s="2">
        <f>COUNTIFS(交易明細!$B$2:$B$174,$A29,交易明細!$C$2:$C$174,"做空")</f>
        <v/>
      </c>
      <c r="E29" s="2">
        <f>F29+G29+COUNTIFS(交易明細!$B$2:$B$174,$A29,交易明細!$J$2:$J$174,"時間出場")</f>
        <v/>
      </c>
      <c r="F29" s="2">
        <f>COUNTIFS(交易明細!$B$2:$B$174,$A29,交易明細!$J$2:$J$174,"止盈")</f>
        <v/>
      </c>
      <c r="G29" s="2">
        <f>COUNTIFS(交易明細!$B$2:$B$174,$A29,交易明細!$J$2:$J$174,"止損")</f>
        <v/>
      </c>
      <c r="H29" s="4">
        <f>IFERROR(F29/E29,0)</f>
        <v/>
      </c>
      <c r="I29" s="4">
        <f>IFERROR(AVERAGEIFS(交易明細!$L$2:$L$174,交易明細!$B$2:$B$174,$A29,交易明細!$J$2:$J$174,"&lt;&gt;未平倉"),0)</f>
        <v/>
      </c>
      <c r="J29" s="4">
        <f>SUMIFS(交易明細!$L$2:$L$174,交易明細!$B$2:$B$174,$A29,交易明細!$J$2:$J$174,"&lt;&gt;未平倉")</f>
        <v/>
      </c>
      <c r="K29" s="5">
        <f>IFERROR(AVERAGEIFS(交易明細!$K$2:$K$174,交易明細!$B$2:$B$174,$A29,交易明細!$J$2:$J$174,"&lt;&gt;未平倉"),0)</f>
        <v/>
      </c>
      <c r="L29" s="2">
        <f>COUNTIFS(交易明細!$B$2:$B$174,$A29,交易明細!$J$2:$J$174,"未平倉")</f>
        <v/>
      </c>
    </row>
    <row r="30">
      <c r="A30" s="2" t="inlineStr">
        <is>
          <t>REZ_USDT_PERP</t>
        </is>
      </c>
      <c r="B30" s="2">
        <f>COUNTIFS(交易明細!$B$2:$B$174,$A30)</f>
        <v/>
      </c>
      <c r="C30" s="2">
        <f>COUNTIFS(交易明細!$B$2:$B$174,$A30,交易明細!$C$2:$C$174,"做多")</f>
        <v/>
      </c>
      <c r="D30" s="2">
        <f>COUNTIFS(交易明細!$B$2:$B$174,$A30,交易明細!$C$2:$C$174,"做空")</f>
        <v/>
      </c>
      <c r="E30" s="2">
        <f>F30+G30+COUNTIFS(交易明細!$B$2:$B$174,$A30,交易明細!$J$2:$J$174,"時間出場")</f>
        <v/>
      </c>
      <c r="F30" s="2">
        <f>COUNTIFS(交易明細!$B$2:$B$174,$A30,交易明細!$J$2:$J$174,"止盈")</f>
        <v/>
      </c>
      <c r="G30" s="2">
        <f>COUNTIFS(交易明細!$B$2:$B$174,$A30,交易明細!$J$2:$J$174,"止損")</f>
        <v/>
      </c>
      <c r="H30" s="4">
        <f>IFERROR(F30/E30,0)</f>
        <v/>
      </c>
      <c r="I30" s="4">
        <f>IFERROR(AVERAGEIFS(交易明細!$L$2:$L$174,交易明細!$B$2:$B$174,$A30,交易明細!$J$2:$J$174,"&lt;&gt;未平倉"),0)</f>
        <v/>
      </c>
      <c r="J30" s="4">
        <f>SUMIFS(交易明細!$L$2:$L$174,交易明細!$B$2:$B$174,$A30,交易明細!$J$2:$J$174,"&lt;&gt;未平倉")</f>
        <v/>
      </c>
      <c r="K30" s="5">
        <f>IFERROR(AVERAGEIFS(交易明細!$K$2:$K$174,交易明細!$B$2:$B$174,$A30,交易明細!$J$2:$J$174,"&lt;&gt;未平倉"),0)</f>
        <v/>
      </c>
      <c r="L30" s="2">
        <f>COUNTIFS(交易明細!$B$2:$B$174,$A30,交易明細!$J$2:$J$174,"未平倉")</f>
        <v/>
      </c>
    </row>
    <row r="31">
      <c r="A31" s="2" t="inlineStr">
        <is>
          <t>我踏马来了_USDT_PERP</t>
        </is>
      </c>
      <c r="B31" s="2">
        <f>COUNTIFS(交易明細!$B$2:$B$174,$A31)</f>
        <v/>
      </c>
      <c r="C31" s="2">
        <f>COUNTIFS(交易明細!$B$2:$B$174,$A31,交易明細!$C$2:$C$174,"做多")</f>
        <v/>
      </c>
      <c r="D31" s="2">
        <f>COUNTIFS(交易明細!$B$2:$B$174,$A31,交易明細!$C$2:$C$174,"做空")</f>
        <v/>
      </c>
      <c r="E31" s="2">
        <f>F31+G31+COUNTIFS(交易明細!$B$2:$B$174,$A31,交易明細!$J$2:$J$174,"時間出場")</f>
        <v/>
      </c>
      <c r="F31" s="2">
        <f>COUNTIFS(交易明細!$B$2:$B$174,$A31,交易明細!$J$2:$J$174,"止盈")</f>
        <v/>
      </c>
      <c r="G31" s="2">
        <f>COUNTIFS(交易明細!$B$2:$B$174,$A31,交易明細!$J$2:$J$174,"止損")</f>
        <v/>
      </c>
      <c r="H31" s="4">
        <f>IFERROR(F31/E31,0)</f>
        <v/>
      </c>
      <c r="I31" s="4">
        <f>IFERROR(AVERAGEIFS(交易明細!$L$2:$L$174,交易明細!$B$2:$B$174,$A31,交易明細!$J$2:$J$174,"&lt;&gt;未平倉"),0)</f>
        <v/>
      </c>
      <c r="J31" s="4">
        <f>SUMIFS(交易明細!$L$2:$L$174,交易明細!$B$2:$B$174,$A31,交易明細!$J$2:$J$174,"&lt;&gt;未平倉")</f>
        <v/>
      </c>
      <c r="K31" s="5">
        <f>IFERROR(AVERAGEIFS(交易明細!$K$2:$K$174,交易明細!$B$2:$B$174,$A31,交易明細!$J$2:$J$174,"&lt;&gt;未平倉"),0)</f>
        <v/>
      </c>
      <c r="L31" s="2">
        <f>COUNTIFS(交易明細!$B$2:$B$174,$A31,交易明細!$J$2:$J$174,"未平倉")</f>
        <v/>
      </c>
    </row>
    <row r="32">
      <c r="A32" s="2" t="inlineStr">
        <is>
          <t>CASHCAT_USDT_PERP</t>
        </is>
      </c>
      <c r="B32" s="2">
        <f>COUNTIFS(交易明細!$B$2:$B$174,$A32)</f>
        <v/>
      </c>
      <c r="C32" s="2">
        <f>COUNTIFS(交易明細!$B$2:$B$174,$A32,交易明細!$C$2:$C$174,"做多")</f>
        <v/>
      </c>
      <c r="D32" s="2">
        <f>COUNTIFS(交易明細!$B$2:$B$174,$A32,交易明細!$C$2:$C$174,"做空")</f>
        <v/>
      </c>
      <c r="E32" s="2">
        <f>F32+G32+COUNTIFS(交易明細!$B$2:$B$174,$A32,交易明細!$J$2:$J$174,"時間出場")</f>
        <v/>
      </c>
      <c r="F32" s="2">
        <f>COUNTIFS(交易明細!$B$2:$B$174,$A32,交易明細!$J$2:$J$174,"止盈")</f>
        <v/>
      </c>
      <c r="G32" s="2">
        <f>COUNTIFS(交易明細!$B$2:$B$174,$A32,交易明細!$J$2:$J$174,"止損")</f>
        <v/>
      </c>
      <c r="H32" s="4">
        <f>IFERROR(F32/E32,0)</f>
        <v/>
      </c>
      <c r="I32" s="4">
        <f>IFERROR(AVERAGEIFS(交易明細!$L$2:$L$174,交易明細!$B$2:$B$174,$A32,交易明細!$J$2:$J$174,"&lt;&gt;未平倉"),0)</f>
        <v/>
      </c>
      <c r="J32" s="4">
        <f>SUMIFS(交易明細!$L$2:$L$174,交易明細!$B$2:$B$174,$A32,交易明細!$J$2:$J$174,"&lt;&gt;未平倉")</f>
        <v/>
      </c>
      <c r="K32" s="5">
        <f>IFERROR(AVERAGEIFS(交易明細!$K$2:$K$174,交易明細!$B$2:$B$174,$A32,交易明細!$J$2:$J$174,"&lt;&gt;未平倉"),0)</f>
        <v/>
      </c>
      <c r="L32" s="2">
        <f>COUNTIFS(交易明細!$B$2:$B$174,$A32,交易明細!$J$2:$J$174,"未平倉")</f>
        <v/>
      </c>
    </row>
    <row r="33">
      <c r="A33" s="2" t="inlineStr">
        <is>
          <t>CTR_USDT_PERP</t>
        </is>
      </c>
      <c r="B33" s="2">
        <f>COUNTIFS(交易明細!$B$2:$B$174,$A33)</f>
        <v/>
      </c>
      <c r="C33" s="2">
        <f>COUNTIFS(交易明細!$B$2:$B$174,$A33,交易明細!$C$2:$C$174,"做多")</f>
        <v/>
      </c>
      <c r="D33" s="2">
        <f>COUNTIFS(交易明細!$B$2:$B$174,$A33,交易明細!$C$2:$C$174,"做空")</f>
        <v/>
      </c>
      <c r="E33" s="2">
        <f>F33+G33+COUNTIFS(交易明細!$B$2:$B$174,$A33,交易明細!$J$2:$J$174,"時間出場")</f>
        <v/>
      </c>
      <c r="F33" s="2">
        <f>COUNTIFS(交易明細!$B$2:$B$174,$A33,交易明細!$J$2:$J$174,"止盈")</f>
        <v/>
      </c>
      <c r="G33" s="2">
        <f>COUNTIFS(交易明細!$B$2:$B$174,$A33,交易明細!$J$2:$J$174,"止損")</f>
        <v/>
      </c>
      <c r="H33" s="4">
        <f>IFERROR(F33/E33,0)</f>
        <v/>
      </c>
      <c r="I33" s="4">
        <f>IFERROR(AVERAGEIFS(交易明細!$L$2:$L$174,交易明細!$B$2:$B$174,$A33,交易明細!$J$2:$J$174,"&lt;&gt;未平倉"),0)</f>
        <v/>
      </c>
      <c r="J33" s="4">
        <f>SUMIFS(交易明細!$L$2:$L$174,交易明細!$B$2:$B$174,$A33,交易明細!$J$2:$J$174,"&lt;&gt;未平倉")</f>
        <v/>
      </c>
      <c r="K33" s="5">
        <f>IFERROR(AVERAGEIFS(交易明細!$K$2:$K$174,交易明細!$B$2:$B$174,$A33,交易明細!$J$2:$J$174,"&lt;&gt;未平倉"),0)</f>
        <v/>
      </c>
      <c r="L33" s="2">
        <f>COUNTIFS(交易明細!$B$2:$B$174,$A33,交易明細!$J$2:$J$174,"未平倉")</f>
        <v/>
      </c>
    </row>
    <row r="34">
      <c r="A34" s="2" t="inlineStr">
        <is>
          <t>BTW_USDT_PERP</t>
        </is>
      </c>
      <c r="B34" s="2">
        <f>COUNTIFS(交易明細!$B$2:$B$174,$A34)</f>
        <v/>
      </c>
      <c r="C34" s="2">
        <f>COUNTIFS(交易明細!$B$2:$B$174,$A34,交易明細!$C$2:$C$174,"做多")</f>
        <v/>
      </c>
      <c r="D34" s="2">
        <f>COUNTIFS(交易明細!$B$2:$B$174,$A34,交易明細!$C$2:$C$174,"做空")</f>
        <v/>
      </c>
      <c r="E34" s="2">
        <f>F34+G34+COUNTIFS(交易明細!$B$2:$B$174,$A34,交易明細!$J$2:$J$174,"時間出場")</f>
        <v/>
      </c>
      <c r="F34" s="2">
        <f>COUNTIFS(交易明細!$B$2:$B$174,$A34,交易明細!$J$2:$J$174,"止盈")</f>
        <v/>
      </c>
      <c r="G34" s="2">
        <f>COUNTIFS(交易明細!$B$2:$B$174,$A34,交易明細!$J$2:$J$174,"止損")</f>
        <v/>
      </c>
      <c r="H34" s="4">
        <f>IFERROR(F34/E34,0)</f>
        <v/>
      </c>
      <c r="I34" s="4">
        <f>IFERROR(AVERAGEIFS(交易明細!$L$2:$L$174,交易明細!$B$2:$B$174,$A34,交易明細!$J$2:$J$174,"&lt;&gt;未平倉"),0)</f>
        <v/>
      </c>
      <c r="J34" s="4">
        <f>SUMIFS(交易明細!$L$2:$L$174,交易明細!$B$2:$B$174,$A34,交易明細!$J$2:$J$174,"&lt;&gt;未平倉")</f>
        <v/>
      </c>
      <c r="K34" s="5">
        <f>IFERROR(AVERAGEIFS(交易明細!$K$2:$K$174,交易明細!$B$2:$B$174,$A34,交易明細!$J$2:$J$174,"&lt;&gt;未平倉"),0)</f>
        <v/>
      </c>
      <c r="L34" s="2">
        <f>COUNTIFS(交易明細!$B$2:$B$174,$A34,交易明細!$J$2:$J$174,"未平倉")</f>
        <v/>
      </c>
    </row>
    <row r="35">
      <c r="A35" s="2" t="inlineStr">
        <is>
          <t>ASTR_USDT_PERP</t>
        </is>
      </c>
      <c r="B35" s="2">
        <f>COUNTIFS(交易明細!$B$2:$B$174,$A35)</f>
        <v/>
      </c>
      <c r="C35" s="2">
        <f>COUNTIFS(交易明細!$B$2:$B$174,$A35,交易明細!$C$2:$C$174,"做多")</f>
        <v/>
      </c>
      <c r="D35" s="2">
        <f>COUNTIFS(交易明細!$B$2:$B$174,$A35,交易明細!$C$2:$C$174,"做空")</f>
        <v/>
      </c>
      <c r="E35" s="2">
        <f>F35+G35+COUNTIFS(交易明細!$B$2:$B$174,$A35,交易明細!$J$2:$J$174,"時間出場")</f>
        <v/>
      </c>
      <c r="F35" s="2">
        <f>COUNTIFS(交易明細!$B$2:$B$174,$A35,交易明細!$J$2:$J$174,"止盈")</f>
        <v/>
      </c>
      <c r="G35" s="2">
        <f>COUNTIFS(交易明細!$B$2:$B$174,$A35,交易明細!$J$2:$J$174,"止損")</f>
        <v/>
      </c>
      <c r="H35" s="4">
        <f>IFERROR(F35/E35,0)</f>
        <v/>
      </c>
      <c r="I35" s="4">
        <f>IFERROR(AVERAGEIFS(交易明細!$L$2:$L$174,交易明細!$B$2:$B$174,$A35,交易明細!$J$2:$J$174,"&lt;&gt;未平倉"),0)</f>
        <v/>
      </c>
      <c r="J35" s="4">
        <f>SUMIFS(交易明細!$L$2:$L$174,交易明細!$B$2:$B$174,$A35,交易明細!$J$2:$J$174,"&lt;&gt;未平倉")</f>
        <v/>
      </c>
      <c r="K35" s="5">
        <f>IFERROR(AVERAGEIFS(交易明細!$K$2:$K$174,交易明細!$B$2:$B$174,$A35,交易明細!$J$2:$J$174,"&lt;&gt;未平倉"),0)</f>
        <v/>
      </c>
      <c r="L35" s="2">
        <f>COUNTIFS(交易明細!$B$2:$B$174,$A35,交易明細!$J$2:$J$174,"未平倉")</f>
        <v/>
      </c>
    </row>
    <row r="36">
      <c r="A36" s="2" t="inlineStr">
        <is>
          <t>IDOL_USDT_PERP</t>
        </is>
      </c>
      <c r="B36" s="2">
        <f>COUNTIFS(交易明細!$B$2:$B$174,$A36)</f>
        <v/>
      </c>
      <c r="C36" s="2">
        <f>COUNTIFS(交易明細!$B$2:$B$174,$A36,交易明細!$C$2:$C$174,"做多")</f>
        <v/>
      </c>
      <c r="D36" s="2">
        <f>COUNTIFS(交易明細!$B$2:$B$174,$A36,交易明細!$C$2:$C$174,"做空")</f>
        <v/>
      </c>
      <c r="E36" s="2">
        <f>F36+G36+COUNTIFS(交易明細!$B$2:$B$174,$A36,交易明細!$J$2:$J$174,"時間出場")</f>
        <v/>
      </c>
      <c r="F36" s="2">
        <f>COUNTIFS(交易明細!$B$2:$B$174,$A36,交易明細!$J$2:$J$174,"止盈")</f>
        <v/>
      </c>
      <c r="G36" s="2">
        <f>COUNTIFS(交易明細!$B$2:$B$174,$A36,交易明細!$J$2:$J$174,"止損")</f>
        <v/>
      </c>
      <c r="H36" s="4">
        <f>IFERROR(F36/E36,0)</f>
        <v/>
      </c>
      <c r="I36" s="4">
        <f>IFERROR(AVERAGEIFS(交易明細!$L$2:$L$174,交易明細!$B$2:$B$174,$A36,交易明細!$J$2:$J$174,"&lt;&gt;未平倉"),0)</f>
        <v/>
      </c>
      <c r="J36" s="4">
        <f>SUMIFS(交易明細!$L$2:$L$174,交易明細!$B$2:$B$174,$A36,交易明細!$J$2:$J$174,"&lt;&gt;未平倉")</f>
        <v/>
      </c>
      <c r="K36" s="5">
        <f>IFERROR(AVERAGEIFS(交易明細!$K$2:$K$174,交易明細!$B$2:$B$174,$A36,交易明細!$J$2:$J$174,"&lt;&gt;未平倉"),0)</f>
        <v/>
      </c>
      <c r="L36" s="2">
        <f>COUNTIFS(交易明細!$B$2:$B$174,$A36,交易明細!$J$2:$J$174,"未平倉")</f>
        <v/>
      </c>
    </row>
    <row r="37">
      <c r="A37" s="2" t="inlineStr">
        <is>
          <t>STRK_USDT_PERP</t>
        </is>
      </c>
      <c r="B37" s="2">
        <f>COUNTIFS(交易明細!$B$2:$B$174,$A37)</f>
        <v/>
      </c>
      <c r="C37" s="2">
        <f>COUNTIFS(交易明細!$B$2:$B$174,$A37,交易明細!$C$2:$C$174,"做多")</f>
        <v/>
      </c>
      <c r="D37" s="2">
        <f>COUNTIFS(交易明細!$B$2:$B$174,$A37,交易明細!$C$2:$C$174,"做空")</f>
        <v/>
      </c>
      <c r="E37" s="2">
        <f>F37+G37+COUNTIFS(交易明細!$B$2:$B$174,$A37,交易明細!$J$2:$J$174,"時間出場")</f>
        <v/>
      </c>
      <c r="F37" s="2">
        <f>COUNTIFS(交易明細!$B$2:$B$174,$A37,交易明細!$J$2:$J$174,"止盈")</f>
        <v/>
      </c>
      <c r="G37" s="2">
        <f>COUNTIFS(交易明細!$B$2:$B$174,$A37,交易明細!$J$2:$J$174,"止損")</f>
        <v/>
      </c>
      <c r="H37" s="4">
        <f>IFERROR(F37/E37,0)</f>
        <v/>
      </c>
      <c r="I37" s="4">
        <f>IFERROR(AVERAGEIFS(交易明細!$L$2:$L$174,交易明細!$B$2:$B$174,$A37,交易明細!$J$2:$J$174,"&lt;&gt;未平倉"),0)</f>
        <v/>
      </c>
      <c r="J37" s="4">
        <f>SUMIFS(交易明細!$L$2:$L$174,交易明細!$B$2:$B$174,$A37,交易明細!$J$2:$J$174,"&lt;&gt;未平倉")</f>
        <v/>
      </c>
      <c r="K37" s="5">
        <f>IFERROR(AVERAGEIFS(交易明細!$K$2:$K$174,交易明細!$B$2:$B$174,$A37,交易明細!$J$2:$J$174,"&lt;&gt;未平倉"),0)</f>
        <v/>
      </c>
      <c r="L37" s="2">
        <f>COUNTIFS(交易明細!$B$2:$B$174,$A37,交易明細!$J$2:$J$174,"未平倉")</f>
        <v/>
      </c>
    </row>
    <row r="38">
      <c r="A38" s="2" t="inlineStr">
        <is>
          <t>ENSO_USDT_PERP</t>
        </is>
      </c>
      <c r="B38" s="2">
        <f>COUNTIFS(交易明細!$B$2:$B$174,$A38)</f>
        <v/>
      </c>
      <c r="C38" s="2">
        <f>COUNTIFS(交易明細!$B$2:$B$174,$A38,交易明細!$C$2:$C$174,"做多")</f>
        <v/>
      </c>
      <c r="D38" s="2">
        <f>COUNTIFS(交易明細!$B$2:$B$174,$A38,交易明細!$C$2:$C$174,"做空")</f>
        <v/>
      </c>
      <c r="E38" s="2">
        <f>F38+G38+COUNTIFS(交易明細!$B$2:$B$174,$A38,交易明細!$J$2:$J$174,"時間出場")</f>
        <v/>
      </c>
      <c r="F38" s="2">
        <f>COUNTIFS(交易明細!$B$2:$B$174,$A38,交易明細!$J$2:$J$174,"止盈")</f>
        <v/>
      </c>
      <c r="G38" s="2">
        <f>COUNTIFS(交易明細!$B$2:$B$174,$A38,交易明細!$J$2:$J$174,"止損")</f>
        <v/>
      </c>
      <c r="H38" s="4">
        <f>IFERROR(F38/E38,0)</f>
        <v/>
      </c>
      <c r="I38" s="4">
        <f>IFERROR(AVERAGEIFS(交易明細!$L$2:$L$174,交易明細!$B$2:$B$174,$A38,交易明細!$J$2:$J$174,"&lt;&gt;未平倉"),0)</f>
        <v/>
      </c>
      <c r="J38" s="4">
        <f>SUMIFS(交易明細!$L$2:$L$174,交易明細!$B$2:$B$174,$A38,交易明細!$J$2:$J$174,"&lt;&gt;未平倉")</f>
        <v/>
      </c>
      <c r="K38" s="5">
        <f>IFERROR(AVERAGEIFS(交易明細!$K$2:$K$174,交易明細!$B$2:$B$174,$A38,交易明細!$J$2:$J$174,"&lt;&gt;未平倉"),0)</f>
        <v/>
      </c>
      <c r="L38" s="2">
        <f>COUNTIFS(交易明細!$B$2:$B$174,$A38,交易明細!$J$2:$J$174,"未平倉")</f>
        <v/>
      </c>
    </row>
    <row r="39">
      <c r="A39" s="2" t="inlineStr">
        <is>
          <t>OFC_USDT_PERP</t>
        </is>
      </c>
      <c r="B39" s="2">
        <f>COUNTIFS(交易明細!$B$2:$B$174,$A39)</f>
        <v/>
      </c>
      <c r="C39" s="2">
        <f>COUNTIFS(交易明細!$B$2:$B$174,$A39,交易明細!$C$2:$C$174,"做多")</f>
        <v/>
      </c>
      <c r="D39" s="2">
        <f>COUNTIFS(交易明細!$B$2:$B$174,$A39,交易明細!$C$2:$C$174,"做空")</f>
        <v/>
      </c>
      <c r="E39" s="2">
        <f>F39+G39+COUNTIFS(交易明細!$B$2:$B$174,$A39,交易明細!$J$2:$J$174,"時間出場")</f>
        <v/>
      </c>
      <c r="F39" s="2">
        <f>COUNTIFS(交易明細!$B$2:$B$174,$A39,交易明細!$J$2:$J$174,"止盈")</f>
        <v/>
      </c>
      <c r="G39" s="2">
        <f>COUNTIFS(交易明細!$B$2:$B$174,$A39,交易明細!$J$2:$J$174,"止損")</f>
        <v/>
      </c>
      <c r="H39" s="4">
        <f>IFERROR(F39/E39,0)</f>
        <v/>
      </c>
      <c r="I39" s="4">
        <f>IFERROR(AVERAGEIFS(交易明細!$L$2:$L$174,交易明細!$B$2:$B$174,$A39,交易明細!$J$2:$J$174,"&lt;&gt;未平倉"),0)</f>
        <v/>
      </c>
      <c r="J39" s="4">
        <f>SUMIFS(交易明細!$L$2:$L$174,交易明細!$B$2:$B$174,$A39,交易明細!$J$2:$J$174,"&lt;&gt;未平倉")</f>
        <v/>
      </c>
      <c r="K39" s="5">
        <f>IFERROR(AVERAGEIFS(交易明細!$K$2:$K$174,交易明細!$B$2:$B$174,$A39,交易明細!$J$2:$J$174,"&lt;&gt;未平倉"),0)</f>
        <v/>
      </c>
      <c r="L39" s="2">
        <f>COUNTIFS(交易明細!$B$2:$B$174,$A39,交易明細!$J$2:$J$174,"未平倉")</f>
        <v/>
      </c>
    </row>
    <row r="40">
      <c r="A40" s="2" t="inlineStr">
        <is>
          <t>SKL_USDT_PERP</t>
        </is>
      </c>
      <c r="B40" s="2">
        <f>COUNTIFS(交易明細!$B$2:$B$174,$A40)</f>
        <v/>
      </c>
      <c r="C40" s="2">
        <f>COUNTIFS(交易明細!$B$2:$B$174,$A40,交易明細!$C$2:$C$174,"做多")</f>
        <v/>
      </c>
      <c r="D40" s="2">
        <f>COUNTIFS(交易明細!$B$2:$B$174,$A40,交易明細!$C$2:$C$174,"做空")</f>
        <v/>
      </c>
      <c r="E40" s="2">
        <f>F40+G40+COUNTIFS(交易明細!$B$2:$B$174,$A40,交易明細!$J$2:$J$174,"時間出場")</f>
        <v/>
      </c>
      <c r="F40" s="2">
        <f>COUNTIFS(交易明細!$B$2:$B$174,$A40,交易明細!$J$2:$J$174,"止盈")</f>
        <v/>
      </c>
      <c r="G40" s="2">
        <f>COUNTIFS(交易明細!$B$2:$B$174,$A40,交易明細!$J$2:$J$174,"止損")</f>
        <v/>
      </c>
      <c r="H40" s="4">
        <f>IFERROR(F40/E40,0)</f>
        <v/>
      </c>
      <c r="I40" s="4">
        <f>IFERROR(AVERAGEIFS(交易明細!$L$2:$L$174,交易明細!$B$2:$B$174,$A40,交易明細!$J$2:$J$174,"&lt;&gt;未平倉"),0)</f>
        <v/>
      </c>
      <c r="J40" s="4">
        <f>SUMIFS(交易明細!$L$2:$L$174,交易明細!$B$2:$B$174,$A40,交易明細!$J$2:$J$174,"&lt;&gt;未平倉")</f>
        <v/>
      </c>
      <c r="K40" s="5">
        <f>IFERROR(AVERAGEIFS(交易明細!$K$2:$K$174,交易明細!$B$2:$B$174,$A40,交易明細!$J$2:$J$174,"&lt;&gt;未平倉"),0)</f>
        <v/>
      </c>
      <c r="L40" s="2">
        <f>COUNTIFS(交易明細!$B$2:$B$174,$A40,交易明細!$J$2:$J$174,"未平倉")</f>
        <v/>
      </c>
    </row>
    <row r="41">
      <c r="A41" s="2" t="inlineStr">
        <is>
          <t>ALCH_USDT_PERP</t>
        </is>
      </c>
      <c r="B41" s="2">
        <f>COUNTIFS(交易明細!$B$2:$B$174,$A41)</f>
        <v/>
      </c>
      <c r="C41" s="2">
        <f>COUNTIFS(交易明細!$B$2:$B$174,$A41,交易明細!$C$2:$C$174,"做多")</f>
        <v/>
      </c>
      <c r="D41" s="2">
        <f>COUNTIFS(交易明細!$B$2:$B$174,$A41,交易明細!$C$2:$C$174,"做空")</f>
        <v/>
      </c>
      <c r="E41" s="2">
        <f>F41+G41+COUNTIFS(交易明細!$B$2:$B$174,$A41,交易明細!$J$2:$J$174,"時間出場")</f>
        <v/>
      </c>
      <c r="F41" s="2">
        <f>COUNTIFS(交易明細!$B$2:$B$174,$A41,交易明細!$J$2:$J$174,"止盈")</f>
        <v/>
      </c>
      <c r="G41" s="2">
        <f>COUNTIFS(交易明細!$B$2:$B$174,$A41,交易明細!$J$2:$J$174,"止損")</f>
        <v/>
      </c>
      <c r="H41" s="4">
        <f>IFERROR(F41/E41,0)</f>
        <v/>
      </c>
      <c r="I41" s="4">
        <f>IFERROR(AVERAGEIFS(交易明細!$L$2:$L$174,交易明細!$B$2:$B$174,$A41,交易明細!$J$2:$J$174,"&lt;&gt;未平倉"),0)</f>
        <v/>
      </c>
      <c r="J41" s="4">
        <f>SUMIFS(交易明細!$L$2:$L$174,交易明細!$B$2:$B$174,$A41,交易明細!$J$2:$J$174,"&lt;&gt;未平倉")</f>
        <v/>
      </c>
      <c r="K41" s="5">
        <f>IFERROR(AVERAGEIFS(交易明細!$K$2:$K$174,交易明細!$B$2:$B$174,$A41,交易明細!$J$2:$J$174,"&lt;&gt;未平倉"),0)</f>
        <v/>
      </c>
      <c r="L41" s="2">
        <f>COUNTIFS(交易明細!$B$2:$B$174,$A41,交易明細!$J$2:$J$174,"未平倉")</f>
        <v/>
      </c>
    </row>
    <row r="42">
      <c r="A42" s="2" t="inlineStr">
        <is>
          <t>FOLKS_USDT_PERP</t>
        </is>
      </c>
      <c r="B42" s="2">
        <f>COUNTIFS(交易明細!$B$2:$B$174,$A42)</f>
        <v/>
      </c>
      <c r="C42" s="2">
        <f>COUNTIFS(交易明細!$B$2:$B$174,$A42,交易明細!$C$2:$C$174,"做多")</f>
        <v/>
      </c>
      <c r="D42" s="2">
        <f>COUNTIFS(交易明細!$B$2:$B$174,$A42,交易明細!$C$2:$C$174,"做空")</f>
        <v/>
      </c>
      <c r="E42" s="2">
        <f>F42+G42+COUNTIFS(交易明細!$B$2:$B$174,$A42,交易明細!$J$2:$J$174,"時間出場")</f>
        <v/>
      </c>
      <c r="F42" s="2">
        <f>COUNTIFS(交易明細!$B$2:$B$174,$A42,交易明細!$J$2:$J$174,"止盈")</f>
        <v/>
      </c>
      <c r="G42" s="2">
        <f>COUNTIFS(交易明細!$B$2:$B$174,$A42,交易明細!$J$2:$J$174,"止損")</f>
        <v/>
      </c>
      <c r="H42" s="4">
        <f>IFERROR(F42/E42,0)</f>
        <v/>
      </c>
      <c r="I42" s="4">
        <f>IFERROR(AVERAGEIFS(交易明細!$L$2:$L$174,交易明細!$B$2:$B$174,$A42,交易明細!$J$2:$J$174,"&lt;&gt;未平倉"),0)</f>
        <v/>
      </c>
      <c r="J42" s="4">
        <f>SUMIFS(交易明細!$L$2:$L$174,交易明細!$B$2:$B$174,$A42,交易明細!$J$2:$J$174,"&lt;&gt;未平倉")</f>
        <v/>
      </c>
      <c r="K42" s="5">
        <f>IFERROR(AVERAGEIFS(交易明細!$K$2:$K$174,交易明細!$B$2:$B$174,$A42,交易明細!$J$2:$J$174,"&lt;&gt;未平倉"),0)</f>
        <v/>
      </c>
      <c r="L42" s="2">
        <f>COUNTIFS(交易明細!$B$2:$B$174,$A42,交易明細!$J$2:$J$174,"未平倉")</f>
        <v/>
      </c>
    </row>
    <row r="43">
      <c r="A43" s="2" t="inlineStr">
        <is>
          <t>DOGS_USDT_PERP</t>
        </is>
      </c>
      <c r="B43" s="2">
        <f>COUNTIFS(交易明細!$B$2:$B$174,$A43)</f>
        <v/>
      </c>
      <c r="C43" s="2">
        <f>COUNTIFS(交易明細!$B$2:$B$174,$A43,交易明細!$C$2:$C$174,"做多")</f>
        <v/>
      </c>
      <c r="D43" s="2">
        <f>COUNTIFS(交易明細!$B$2:$B$174,$A43,交易明細!$C$2:$C$174,"做空")</f>
        <v/>
      </c>
      <c r="E43" s="2">
        <f>F43+G43+COUNTIFS(交易明細!$B$2:$B$174,$A43,交易明細!$J$2:$J$174,"時間出場")</f>
        <v/>
      </c>
      <c r="F43" s="2">
        <f>COUNTIFS(交易明細!$B$2:$B$174,$A43,交易明細!$J$2:$J$174,"止盈")</f>
        <v/>
      </c>
      <c r="G43" s="2">
        <f>COUNTIFS(交易明細!$B$2:$B$174,$A43,交易明細!$J$2:$J$174,"止損")</f>
        <v/>
      </c>
      <c r="H43" s="4">
        <f>IFERROR(F43/E43,0)</f>
        <v/>
      </c>
      <c r="I43" s="4">
        <f>IFERROR(AVERAGEIFS(交易明細!$L$2:$L$174,交易明細!$B$2:$B$174,$A43,交易明細!$J$2:$J$174,"&lt;&gt;未平倉"),0)</f>
        <v/>
      </c>
      <c r="J43" s="4">
        <f>SUMIFS(交易明細!$L$2:$L$174,交易明細!$B$2:$B$174,$A43,交易明細!$J$2:$J$174,"&lt;&gt;未平倉")</f>
        <v/>
      </c>
      <c r="K43" s="5">
        <f>IFERROR(AVERAGEIFS(交易明細!$K$2:$K$174,交易明細!$B$2:$B$174,$A43,交易明細!$J$2:$J$174,"&lt;&gt;未平倉"),0)</f>
        <v/>
      </c>
      <c r="L43" s="2">
        <f>COUNTIFS(交易明細!$B$2:$B$174,$A43,交易明細!$J$2:$J$174,"未平倉")</f>
        <v/>
      </c>
    </row>
    <row r="44">
      <c r="A44" s="2" t="inlineStr">
        <is>
          <t>ACE_USDT_PERP</t>
        </is>
      </c>
      <c r="B44" s="2">
        <f>COUNTIFS(交易明細!$B$2:$B$174,$A44)</f>
        <v/>
      </c>
      <c r="C44" s="2">
        <f>COUNTIFS(交易明細!$B$2:$B$174,$A44,交易明細!$C$2:$C$174,"做多")</f>
        <v/>
      </c>
      <c r="D44" s="2">
        <f>COUNTIFS(交易明細!$B$2:$B$174,$A44,交易明細!$C$2:$C$174,"做空")</f>
        <v/>
      </c>
      <c r="E44" s="2">
        <f>F44+G44+COUNTIFS(交易明細!$B$2:$B$174,$A44,交易明細!$J$2:$J$174,"時間出場")</f>
        <v/>
      </c>
      <c r="F44" s="2">
        <f>COUNTIFS(交易明細!$B$2:$B$174,$A44,交易明細!$J$2:$J$174,"止盈")</f>
        <v/>
      </c>
      <c r="G44" s="2">
        <f>COUNTIFS(交易明細!$B$2:$B$174,$A44,交易明細!$J$2:$J$174,"止損")</f>
        <v/>
      </c>
      <c r="H44" s="4">
        <f>IFERROR(F44/E44,0)</f>
        <v/>
      </c>
      <c r="I44" s="4">
        <f>IFERROR(AVERAGEIFS(交易明細!$L$2:$L$174,交易明細!$B$2:$B$174,$A44,交易明細!$J$2:$J$174,"&lt;&gt;未平倉"),0)</f>
        <v/>
      </c>
      <c r="J44" s="4">
        <f>SUMIFS(交易明細!$L$2:$L$174,交易明細!$B$2:$B$174,$A44,交易明細!$J$2:$J$174,"&lt;&gt;未平倉")</f>
        <v/>
      </c>
      <c r="K44" s="5">
        <f>IFERROR(AVERAGEIFS(交易明細!$K$2:$K$174,交易明細!$B$2:$B$174,$A44,交易明細!$J$2:$J$174,"&lt;&gt;未平倉"),0)</f>
        <v/>
      </c>
      <c r="L44" s="2">
        <f>COUNTIFS(交易明細!$B$2:$B$174,$A44,交易明細!$J$2:$J$174,"未平倉")</f>
        <v/>
      </c>
    </row>
    <row r="45">
      <c r="A45" s="2" t="inlineStr">
        <is>
          <t>LA_USDT_PERP</t>
        </is>
      </c>
      <c r="B45" s="2">
        <f>COUNTIFS(交易明細!$B$2:$B$174,$A45)</f>
        <v/>
      </c>
      <c r="C45" s="2">
        <f>COUNTIFS(交易明細!$B$2:$B$174,$A45,交易明細!$C$2:$C$174,"做多")</f>
        <v/>
      </c>
      <c r="D45" s="2">
        <f>COUNTIFS(交易明細!$B$2:$B$174,$A45,交易明細!$C$2:$C$174,"做空")</f>
        <v/>
      </c>
      <c r="E45" s="2">
        <f>F45+G45+COUNTIFS(交易明細!$B$2:$B$174,$A45,交易明細!$J$2:$J$174,"時間出場")</f>
        <v/>
      </c>
      <c r="F45" s="2">
        <f>COUNTIFS(交易明細!$B$2:$B$174,$A45,交易明細!$J$2:$J$174,"止盈")</f>
        <v/>
      </c>
      <c r="G45" s="2">
        <f>COUNTIFS(交易明細!$B$2:$B$174,$A45,交易明細!$J$2:$J$174,"止損")</f>
        <v/>
      </c>
      <c r="H45" s="4">
        <f>IFERROR(F45/E45,0)</f>
        <v/>
      </c>
      <c r="I45" s="4">
        <f>IFERROR(AVERAGEIFS(交易明細!$L$2:$L$174,交易明細!$B$2:$B$174,$A45,交易明細!$J$2:$J$174,"&lt;&gt;未平倉"),0)</f>
        <v/>
      </c>
      <c r="J45" s="4">
        <f>SUMIFS(交易明細!$L$2:$L$174,交易明細!$B$2:$B$174,$A45,交易明細!$J$2:$J$174,"&lt;&gt;未平倉")</f>
        <v/>
      </c>
      <c r="K45" s="5">
        <f>IFERROR(AVERAGEIFS(交易明細!$K$2:$K$174,交易明細!$B$2:$B$174,$A45,交易明細!$J$2:$J$174,"&lt;&gt;未平倉"),0)</f>
        <v/>
      </c>
      <c r="L45" s="2">
        <f>COUNTIFS(交易明細!$B$2:$B$174,$A45,交易明細!$J$2:$J$174,"未平倉")</f>
        <v/>
      </c>
    </row>
    <row r="46">
      <c r="A46" s="2" t="inlineStr">
        <is>
          <t>CLO_USDT_PERP</t>
        </is>
      </c>
      <c r="B46" s="2">
        <f>COUNTIFS(交易明細!$B$2:$B$174,$A46)</f>
        <v/>
      </c>
      <c r="C46" s="2">
        <f>COUNTIFS(交易明細!$B$2:$B$174,$A46,交易明細!$C$2:$C$174,"做多")</f>
        <v/>
      </c>
      <c r="D46" s="2">
        <f>COUNTIFS(交易明細!$B$2:$B$174,$A46,交易明細!$C$2:$C$174,"做空")</f>
        <v/>
      </c>
      <c r="E46" s="2">
        <f>F46+G46+COUNTIFS(交易明細!$B$2:$B$174,$A46,交易明細!$J$2:$J$174,"時間出場")</f>
        <v/>
      </c>
      <c r="F46" s="2">
        <f>COUNTIFS(交易明細!$B$2:$B$174,$A46,交易明細!$J$2:$J$174,"止盈")</f>
        <v/>
      </c>
      <c r="G46" s="2">
        <f>COUNTIFS(交易明細!$B$2:$B$174,$A46,交易明細!$J$2:$J$174,"止損")</f>
        <v/>
      </c>
      <c r="H46" s="4">
        <f>IFERROR(F46/E46,0)</f>
        <v/>
      </c>
      <c r="I46" s="4">
        <f>IFERROR(AVERAGEIFS(交易明細!$L$2:$L$174,交易明細!$B$2:$B$174,$A46,交易明細!$J$2:$J$174,"&lt;&gt;未平倉"),0)</f>
        <v/>
      </c>
      <c r="J46" s="4">
        <f>SUMIFS(交易明細!$L$2:$L$174,交易明細!$B$2:$B$174,$A46,交易明細!$J$2:$J$174,"&lt;&gt;未平倉")</f>
        <v/>
      </c>
      <c r="K46" s="5">
        <f>IFERROR(AVERAGEIFS(交易明細!$K$2:$K$174,交易明細!$B$2:$B$174,$A46,交易明細!$J$2:$J$174,"&lt;&gt;未平倉"),0)</f>
        <v/>
      </c>
      <c r="L46" s="2">
        <f>COUNTIFS(交易明細!$B$2:$B$174,$A46,交易明細!$J$2:$J$174,"未平倉")</f>
        <v/>
      </c>
    </row>
    <row r="47">
      <c r="A47" s="2" t="inlineStr">
        <is>
          <t>CHIP_USDT_PERP</t>
        </is>
      </c>
      <c r="B47" s="2">
        <f>COUNTIFS(交易明細!$B$2:$B$174,$A47)</f>
        <v/>
      </c>
      <c r="C47" s="2">
        <f>COUNTIFS(交易明細!$B$2:$B$174,$A47,交易明細!$C$2:$C$174,"做多")</f>
        <v/>
      </c>
      <c r="D47" s="2">
        <f>COUNTIFS(交易明細!$B$2:$B$174,$A47,交易明細!$C$2:$C$174,"做空")</f>
        <v/>
      </c>
      <c r="E47" s="2">
        <f>F47+G47+COUNTIFS(交易明細!$B$2:$B$174,$A47,交易明細!$J$2:$J$174,"時間出場")</f>
        <v/>
      </c>
      <c r="F47" s="2">
        <f>COUNTIFS(交易明細!$B$2:$B$174,$A47,交易明細!$J$2:$J$174,"止盈")</f>
        <v/>
      </c>
      <c r="G47" s="2">
        <f>COUNTIFS(交易明細!$B$2:$B$174,$A47,交易明細!$J$2:$J$174,"止損")</f>
        <v/>
      </c>
      <c r="H47" s="4">
        <f>IFERROR(F47/E47,0)</f>
        <v/>
      </c>
      <c r="I47" s="4">
        <f>IFERROR(AVERAGEIFS(交易明細!$L$2:$L$174,交易明細!$B$2:$B$174,$A47,交易明細!$J$2:$J$174,"&lt;&gt;未平倉"),0)</f>
        <v/>
      </c>
      <c r="J47" s="4">
        <f>SUMIFS(交易明細!$L$2:$L$174,交易明細!$B$2:$B$174,$A47,交易明細!$J$2:$J$174,"&lt;&gt;未平倉")</f>
        <v/>
      </c>
      <c r="K47" s="5">
        <f>IFERROR(AVERAGEIFS(交易明細!$K$2:$K$174,交易明細!$B$2:$B$174,$A47,交易明細!$J$2:$J$174,"&lt;&gt;未平倉"),0)</f>
        <v/>
      </c>
      <c r="L47" s="2">
        <f>COUNTIFS(交易明細!$B$2:$B$174,$A47,交易明細!$J$2:$J$174,"未平倉")</f>
        <v/>
      </c>
    </row>
    <row r="48">
      <c r="A48" s="2" t="inlineStr">
        <is>
          <t>PORTAL_USDT_PERP</t>
        </is>
      </c>
      <c r="B48" s="2">
        <f>COUNTIFS(交易明細!$B$2:$B$174,$A48)</f>
        <v/>
      </c>
      <c r="C48" s="2">
        <f>COUNTIFS(交易明細!$B$2:$B$174,$A48,交易明細!$C$2:$C$174,"做多")</f>
        <v/>
      </c>
      <c r="D48" s="2">
        <f>COUNTIFS(交易明細!$B$2:$B$174,$A48,交易明細!$C$2:$C$174,"做空")</f>
        <v/>
      </c>
      <c r="E48" s="2">
        <f>F48+G48+COUNTIFS(交易明細!$B$2:$B$174,$A48,交易明細!$J$2:$J$174,"時間出場")</f>
        <v/>
      </c>
      <c r="F48" s="2">
        <f>COUNTIFS(交易明細!$B$2:$B$174,$A48,交易明細!$J$2:$J$174,"止盈")</f>
        <v/>
      </c>
      <c r="G48" s="2">
        <f>COUNTIFS(交易明細!$B$2:$B$174,$A48,交易明細!$J$2:$J$174,"止損")</f>
        <v/>
      </c>
      <c r="H48" s="4">
        <f>IFERROR(F48/E48,0)</f>
        <v/>
      </c>
      <c r="I48" s="4">
        <f>IFERROR(AVERAGEIFS(交易明細!$L$2:$L$174,交易明細!$B$2:$B$174,$A48,交易明細!$J$2:$J$174,"&lt;&gt;未平倉"),0)</f>
        <v/>
      </c>
      <c r="J48" s="4">
        <f>SUMIFS(交易明細!$L$2:$L$174,交易明細!$B$2:$B$174,$A48,交易明細!$J$2:$J$174,"&lt;&gt;未平倉")</f>
        <v/>
      </c>
      <c r="K48" s="5">
        <f>IFERROR(AVERAGEIFS(交易明細!$K$2:$K$174,交易明細!$B$2:$B$174,$A48,交易明細!$J$2:$J$174,"&lt;&gt;未平倉"),0)</f>
        <v/>
      </c>
      <c r="L48" s="2">
        <f>COUNTIFS(交易明細!$B$2:$B$174,$A48,交易明細!$J$2:$J$174,"未平倉")</f>
        <v/>
      </c>
    </row>
    <row r="49">
      <c r="A49" s="2" t="inlineStr">
        <is>
          <t>CATI_USDT_PERP</t>
        </is>
      </c>
      <c r="B49" s="2">
        <f>COUNTIFS(交易明細!$B$2:$B$174,$A49)</f>
        <v/>
      </c>
      <c r="C49" s="2">
        <f>COUNTIFS(交易明細!$B$2:$B$174,$A49,交易明細!$C$2:$C$174,"做多")</f>
        <v/>
      </c>
      <c r="D49" s="2">
        <f>COUNTIFS(交易明細!$B$2:$B$174,$A49,交易明細!$C$2:$C$174,"做空")</f>
        <v/>
      </c>
      <c r="E49" s="2">
        <f>F49+G49+COUNTIFS(交易明細!$B$2:$B$174,$A49,交易明細!$J$2:$J$174,"時間出場")</f>
        <v/>
      </c>
      <c r="F49" s="2">
        <f>COUNTIFS(交易明細!$B$2:$B$174,$A49,交易明細!$J$2:$J$174,"止盈")</f>
        <v/>
      </c>
      <c r="G49" s="2">
        <f>COUNTIFS(交易明細!$B$2:$B$174,$A49,交易明細!$J$2:$J$174,"止損")</f>
        <v/>
      </c>
      <c r="H49" s="4">
        <f>IFERROR(F49/E49,0)</f>
        <v/>
      </c>
      <c r="I49" s="4">
        <f>IFERROR(AVERAGEIFS(交易明細!$L$2:$L$174,交易明細!$B$2:$B$174,$A49,交易明細!$J$2:$J$174,"&lt;&gt;未平倉"),0)</f>
        <v/>
      </c>
      <c r="J49" s="4">
        <f>SUMIFS(交易明細!$L$2:$L$174,交易明細!$B$2:$B$174,$A49,交易明細!$J$2:$J$174,"&lt;&gt;未平倉")</f>
        <v/>
      </c>
      <c r="K49" s="5">
        <f>IFERROR(AVERAGEIFS(交易明細!$K$2:$K$174,交易明細!$B$2:$B$174,$A49,交易明細!$J$2:$J$174,"&lt;&gt;未平倉"),0)</f>
        <v/>
      </c>
      <c r="L49" s="2">
        <f>COUNTIFS(交易明細!$B$2:$B$174,$A49,交易明細!$J$2:$J$174,"未平倉")</f>
        <v/>
      </c>
    </row>
    <row r="50">
      <c r="A50" s="2" t="inlineStr">
        <is>
          <t>ELSA_USDT_PERP</t>
        </is>
      </c>
      <c r="B50" s="2">
        <f>COUNTIFS(交易明細!$B$2:$B$174,$A50)</f>
        <v/>
      </c>
      <c r="C50" s="2">
        <f>COUNTIFS(交易明細!$B$2:$B$174,$A50,交易明細!$C$2:$C$174,"做多")</f>
        <v/>
      </c>
      <c r="D50" s="2">
        <f>COUNTIFS(交易明細!$B$2:$B$174,$A50,交易明細!$C$2:$C$174,"做空")</f>
        <v/>
      </c>
      <c r="E50" s="2">
        <f>F50+G50+COUNTIFS(交易明細!$B$2:$B$174,$A50,交易明細!$J$2:$J$174,"時間出場")</f>
        <v/>
      </c>
      <c r="F50" s="2">
        <f>COUNTIFS(交易明細!$B$2:$B$174,$A50,交易明細!$J$2:$J$174,"止盈")</f>
        <v/>
      </c>
      <c r="G50" s="2">
        <f>COUNTIFS(交易明細!$B$2:$B$174,$A50,交易明細!$J$2:$J$174,"止損")</f>
        <v/>
      </c>
      <c r="H50" s="4">
        <f>IFERROR(F50/E50,0)</f>
        <v/>
      </c>
      <c r="I50" s="4">
        <f>IFERROR(AVERAGEIFS(交易明細!$L$2:$L$174,交易明細!$B$2:$B$174,$A50,交易明細!$J$2:$J$174,"&lt;&gt;未平倉"),0)</f>
        <v/>
      </c>
      <c r="J50" s="4">
        <f>SUMIFS(交易明細!$L$2:$L$174,交易明細!$B$2:$B$174,$A50,交易明細!$J$2:$J$174,"&lt;&gt;未平倉")</f>
        <v/>
      </c>
      <c r="K50" s="5">
        <f>IFERROR(AVERAGEIFS(交易明細!$K$2:$K$174,交易明細!$B$2:$B$174,$A50,交易明細!$J$2:$J$174,"&lt;&gt;未平倉"),0)</f>
        <v/>
      </c>
      <c r="L50" s="2">
        <f>COUNTIFS(交易明細!$B$2:$B$174,$A50,交易明細!$J$2:$J$174,"未平倉")</f>
        <v/>
      </c>
    </row>
    <row r="51">
      <c r="A51" s="2" t="inlineStr">
        <is>
          <t>TRADOOR_USDT_PERP</t>
        </is>
      </c>
      <c r="B51" s="2">
        <f>COUNTIFS(交易明細!$B$2:$B$174,$A51)</f>
        <v/>
      </c>
      <c r="C51" s="2">
        <f>COUNTIFS(交易明細!$B$2:$B$174,$A51,交易明細!$C$2:$C$174,"做多")</f>
        <v/>
      </c>
      <c r="D51" s="2">
        <f>COUNTIFS(交易明細!$B$2:$B$174,$A51,交易明細!$C$2:$C$174,"做空")</f>
        <v/>
      </c>
      <c r="E51" s="2">
        <f>F51+G51+COUNTIFS(交易明細!$B$2:$B$174,$A51,交易明細!$J$2:$J$174,"時間出場")</f>
        <v/>
      </c>
      <c r="F51" s="2">
        <f>COUNTIFS(交易明細!$B$2:$B$174,$A51,交易明細!$J$2:$J$174,"止盈")</f>
        <v/>
      </c>
      <c r="G51" s="2">
        <f>COUNTIFS(交易明細!$B$2:$B$174,$A51,交易明細!$J$2:$J$174,"止損")</f>
        <v/>
      </c>
      <c r="H51" s="4">
        <f>IFERROR(F51/E51,0)</f>
        <v/>
      </c>
      <c r="I51" s="4">
        <f>IFERROR(AVERAGEIFS(交易明細!$L$2:$L$174,交易明細!$B$2:$B$174,$A51,交易明細!$J$2:$J$174,"&lt;&gt;未平倉"),0)</f>
        <v/>
      </c>
      <c r="J51" s="4">
        <f>SUMIFS(交易明細!$L$2:$L$174,交易明細!$B$2:$B$174,$A51,交易明細!$J$2:$J$174,"&lt;&gt;未平倉")</f>
        <v/>
      </c>
      <c r="K51" s="5">
        <f>IFERROR(AVERAGEIFS(交易明細!$K$2:$K$174,交易明細!$B$2:$B$174,$A51,交易明細!$J$2:$J$174,"&lt;&gt;未平倉"),0)</f>
        <v/>
      </c>
      <c r="L51" s="2">
        <f>COUNTIFS(交易明細!$B$2:$B$174,$A51,交易明細!$J$2:$J$174,"未平倉")</f>
        <v/>
      </c>
    </row>
    <row r="52">
      <c r="A52" s="2" t="inlineStr">
        <is>
          <t>SOLV_USDT_PERP</t>
        </is>
      </c>
      <c r="B52" s="2">
        <f>COUNTIFS(交易明細!$B$2:$B$174,$A52)</f>
        <v/>
      </c>
      <c r="C52" s="2">
        <f>COUNTIFS(交易明細!$B$2:$B$174,$A52,交易明細!$C$2:$C$174,"做多")</f>
        <v/>
      </c>
      <c r="D52" s="2">
        <f>COUNTIFS(交易明細!$B$2:$B$174,$A52,交易明細!$C$2:$C$174,"做空")</f>
        <v/>
      </c>
      <c r="E52" s="2">
        <f>F52+G52+COUNTIFS(交易明細!$B$2:$B$174,$A52,交易明細!$J$2:$J$174,"時間出場")</f>
        <v/>
      </c>
      <c r="F52" s="2">
        <f>COUNTIFS(交易明細!$B$2:$B$174,$A52,交易明細!$J$2:$J$174,"止盈")</f>
        <v/>
      </c>
      <c r="G52" s="2">
        <f>COUNTIFS(交易明細!$B$2:$B$174,$A52,交易明細!$J$2:$J$174,"止損")</f>
        <v/>
      </c>
      <c r="H52" s="4">
        <f>IFERROR(F52/E52,0)</f>
        <v/>
      </c>
      <c r="I52" s="4">
        <f>IFERROR(AVERAGEIFS(交易明細!$L$2:$L$174,交易明細!$B$2:$B$174,$A52,交易明細!$J$2:$J$174,"&lt;&gt;未平倉"),0)</f>
        <v/>
      </c>
      <c r="J52" s="4">
        <f>SUMIFS(交易明細!$L$2:$L$174,交易明細!$B$2:$B$174,$A52,交易明細!$J$2:$J$174,"&lt;&gt;未平倉")</f>
        <v/>
      </c>
      <c r="K52" s="5">
        <f>IFERROR(AVERAGEIFS(交易明細!$K$2:$K$174,交易明細!$B$2:$B$174,$A52,交易明細!$J$2:$J$174,"&lt;&gt;未平倉"),0)</f>
        <v/>
      </c>
      <c r="L52" s="2">
        <f>COUNTIFS(交易明細!$B$2:$B$174,$A52,交易明細!$J$2:$J$174,"未平倉")</f>
        <v/>
      </c>
    </row>
    <row r="53">
      <c r="A53" s="2" t="inlineStr">
        <is>
          <t>COTI_USDT_PERP</t>
        </is>
      </c>
      <c r="B53" s="2">
        <f>COUNTIFS(交易明細!$B$2:$B$174,$A53)</f>
        <v/>
      </c>
      <c r="C53" s="2">
        <f>COUNTIFS(交易明細!$B$2:$B$174,$A53,交易明細!$C$2:$C$174,"做多")</f>
        <v/>
      </c>
      <c r="D53" s="2">
        <f>COUNTIFS(交易明細!$B$2:$B$174,$A53,交易明細!$C$2:$C$174,"做空")</f>
        <v/>
      </c>
      <c r="E53" s="2">
        <f>F53+G53+COUNTIFS(交易明細!$B$2:$B$174,$A53,交易明細!$J$2:$J$174,"時間出場")</f>
        <v/>
      </c>
      <c r="F53" s="2">
        <f>COUNTIFS(交易明細!$B$2:$B$174,$A53,交易明細!$J$2:$J$174,"止盈")</f>
        <v/>
      </c>
      <c r="G53" s="2">
        <f>COUNTIFS(交易明細!$B$2:$B$174,$A53,交易明細!$J$2:$J$174,"止損")</f>
        <v/>
      </c>
      <c r="H53" s="4">
        <f>IFERROR(F53/E53,0)</f>
        <v/>
      </c>
      <c r="I53" s="4">
        <f>IFERROR(AVERAGEIFS(交易明細!$L$2:$L$174,交易明細!$B$2:$B$174,$A53,交易明細!$J$2:$J$174,"&lt;&gt;未平倉"),0)</f>
        <v/>
      </c>
      <c r="J53" s="4">
        <f>SUMIFS(交易明細!$L$2:$L$174,交易明細!$B$2:$B$174,$A53,交易明細!$J$2:$J$174,"&lt;&gt;未平倉")</f>
        <v/>
      </c>
      <c r="K53" s="5">
        <f>IFERROR(AVERAGEIFS(交易明細!$K$2:$K$174,交易明細!$B$2:$B$174,$A53,交易明細!$J$2:$J$174,"&lt;&gt;未平倉"),0)</f>
        <v/>
      </c>
      <c r="L53" s="2">
        <f>COUNTIFS(交易明細!$B$2:$B$174,$A53,交易明細!$J$2:$J$174,"未平倉")</f>
        <v/>
      </c>
    </row>
    <row r="54">
      <c r="A54" s="2" t="inlineStr">
        <is>
          <t>LAYER_USDT_PERP</t>
        </is>
      </c>
      <c r="B54" s="2">
        <f>COUNTIFS(交易明細!$B$2:$B$174,$A54)</f>
        <v/>
      </c>
      <c r="C54" s="2">
        <f>COUNTIFS(交易明細!$B$2:$B$174,$A54,交易明細!$C$2:$C$174,"做多")</f>
        <v/>
      </c>
      <c r="D54" s="2">
        <f>COUNTIFS(交易明細!$B$2:$B$174,$A54,交易明細!$C$2:$C$174,"做空")</f>
        <v/>
      </c>
      <c r="E54" s="2">
        <f>F54+G54+COUNTIFS(交易明細!$B$2:$B$174,$A54,交易明細!$J$2:$J$174,"時間出場")</f>
        <v/>
      </c>
      <c r="F54" s="2">
        <f>COUNTIFS(交易明細!$B$2:$B$174,$A54,交易明細!$J$2:$J$174,"止盈")</f>
        <v/>
      </c>
      <c r="G54" s="2">
        <f>COUNTIFS(交易明細!$B$2:$B$174,$A54,交易明細!$J$2:$J$174,"止損")</f>
        <v/>
      </c>
      <c r="H54" s="4">
        <f>IFERROR(F54/E54,0)</f>
        <v/>
      </c>
      <c r="I54" s="4">
        <f>IFERROR(AVERAGEIFS(交易明細!$L$2:$L$174,交易明細!$B$2:$B$174,$A54,交易明細!$J$2:$J$174,"&lt;&gt;未平倉"),0)</f>
        <v/>
      </c>
      <c r="J54" s="4">
        <f>SUMIFS(交易明細!$L$2:$L$174,交易明細!$B$2:$B$174,$A54,交易明細!$J$2:$J$174,"&lt;&gt;未平倉")</f>
        <v/>
      </c>
      <c r="K54" s="5">
        <f>IFERROR(AVERAGEIFS(交易明細!$K$2:$K$174,交易明細!$B$2:$B$174,$A54,交易明細!$J$2:$J$174,"&lt;&gt;未平倉"),0)</f>
        <v/>
      </c>
      <c r="L54" s="2">
        <f>COUNTIFS(交易明細!$B$2:$B$174,$A54,交易明細!$J$2:$J$174,"未平倉")</f>
        <v/>
      </c>
    </row>
    <row r="55">
      <c r="A55" s="2" t="inlineStr">
        <is>
          <t>ORCA_USDT_PERP</t>
        </is>
      </c>
      <c r="B55" s="2">
        <f>COUNTIFS(交易明細!$B$2:$B$174,$A55)</f>
        <v/>
      </c>
      <c r="C55" s="2">
        <f>COUNTIFS(交易明細!$B$2:$B$174,$A55,交易明細!$C$2:$C$174,"做多")</f>
        <v/>
      </c>
      <c r="D55" s="2">
        <f>COUNTIFS(交易明細!$B$2:$B$174,$A55,交易明細!$C$2:$C$174,"做空")</f>
        <v/>
      </c>
      <c r="E55" s="2">
        <f>F55+G55+COUNTIFS(交易明細!$B$2:$B$174,$A55,交易明細!$J$2:$J$174,"時間出場")</f>
        <v/>
      </c>
      <c r="F55" s="2">
        <f>COUNTIFS(交易明細!$B$2:$B$174,$A55,交易明細!$J$2:$J$174,"止盈")</f>
        <v/>
      </c>
      <c r="G55" s="2">
        <f>COUNTIFS(交易明細!$B$2:$B$174,$A55,交易明細!$J$2:$J$174,"止損")</f>
        <v/>
      </c>
      <c r="H55" s="4">
        <f>IFERROR(F55/E55,0)</f>
        <v/>
      </c>
      <c r="I55" s="4">
        <f>IFERROR(AVERAGEIFS(交易明細!$L$2:$L$174,交易明細!$B$2:$B$174,$A55,交易明細!$J$2:$J$174,"&lt;&gt;未平倉"),0)</f>
        <v/>
      </c>
      <c r="J55" s="4">
        <f>SUMIFS(交易明細!$L$2:$L$174,交易明細!$B$2:$B$174,$A55,交易明細!$J$2:$J$174,"&lt;&gt;未平倉")</f>
        <v/>
      </c>
      <c r="K55" s="5">
        <f>IFERROR(AVERAGEIFS(交易明細!$K$2:$K$174,交易明細!$B$2:$B$174,$A55,交易明細!$J$2:$J$174,"&lt;&gt;未平倉"),0)</f>
        <v/>
      </c>
      <c r="L55" s="2">
        <f>COUNTIFS(交易明細!$B$2:$B$174,$A55,交易明細!$J$2:$J$174,"未平倉")</f>
        <v/>
      </c>
    </row>
    <row r="56">
      <c r="A56" s="2" t="inlineStr">
        <is>
          <t>CFG_USDT_PERP</t>
        </is>
      </c>
      <c r="B56" s="2">
        <f>COUNTIFS(交易明細!$B$2:$B$174,$A56)</f>
        <v/>
      </c>
      <c r="C56" s="2">
        <f>COUNTIFS(交易明細!$B$2:$B$174,$A56,交易明細!$C$2:$C$174,"做多")</f>
        <v/>
      </c>
      <c r="D56" s="2">
        <f>COUNTIFS(交易明細!$B$2:$B$174,$A56,交易明細!$C$2:$C$174,"做空")</f>
        <v/>
      </c>
      <c r="E56" s="2">
        <f>F56+G56+COUNTIFS(交易明細!$B$2:$B$174,$A56,交易明細!$J$2:$J$174,"時間出場")</f>
        <v/>
      </c>
      <c r="F56" s="2">
        <f>COUNTIFS(交易明細!$B$2:$B$174,$A56,交易明細!$J$2:$J$174,"止盈")</f>
        <v/>
      </c>
      <c r="G56" s="2">
        <f>COUNTIFS(交易明細!$B$2:$B$174,$A56,交易明細!$J$2:$J$174,"止損")</f>
        <v/>
      </c>
      <c r="H56" s="4">
        <f>IFERROR(F56/E56,0)</f>
        <v/>
      </c>
      <c r="I56" s="4">
        <f>IFERROR(AVERAGEIFS(交易明細!$L$2:$L$174,交易明細!$B$2:$B$174,$A56,交易明細!$J$2:$J$174,"&lt;&gt;未平倉"),0)</f>
        <v/>
      </c>
      <c r="J56" s="4">
        <f>SUMIFS(交易明細!$L$2:$L$174,交易明細!$B$2:$B$174,$A56,交易明細!$J$2:$J$174,"&lt;&gt;未平倉")</f>
        <v/>
      </c>
      <c r="K56" s="5">
        <f>IFERROR(AVERAGEIFS(交易明細!$K$2:$K$174,交易明細!$B$2:$B$174,$A56,交易明細!$J$2:$J$174,"&lt;&gt;未平倉"),0)</f>
        <v/>
      </c>
      <c r="L56" s="2">
        <f>COUNTIFS(交易明細!$B$2:$B$174,$A56,交易明細!$J$2:$J$174,"未平倉")</f>
        <v/>
      </c>
    </row>
    <row r="57">
      <c r="A57" s="2" t="inlineStr">
        <is>
          <t>IOST_USDT_PERP</t>
        </is>
      </c>
      <c r="B57" s="2">
        <f>COUNTIFS(交易明細!$B$2:$B$174,$A57)</f>
        <v/>
      </c>
      <c r="C57" s="2">
        <f>COUNTIFS(交易明細!$B$2:$B$174,$A57,交易明細!$C$2:$C$174,"做多")</f>
        <v/>
      </c>
      <c r="D57" s="2">
        <f>COUNTIFS(交易明細!$B$2:$B$174,$A57,交易明細!$C$2:$C$174,"做空")</f>
        <v/>
      </c>
      <c r="E57" s="2">
        <f>F57+G57+COUNTIFS(交易明細!$B$2:$B$174,$A57,交易明細!$J$2:$J$174,"時間出場")</f>
        <v/>
      </c>
      <c r="F57" s="2">
        <f>COUNTIFS(交易明細!$B$2:$B$174,$A57,交易明細!$J$2:$J$174,"止盈")</f>
        <v/>
      </c>
      <c r="G57" s="2">
        <f>COUNTIFS(交易明細!$B$2:$B$174,$A57,交易明細!$J$2:$J$174,"止損")</f>
        <v/>
      </c>
      <c r="H57" s="4">
        <f>IFERROR(F57/E57,0)</f>
        <v/>
      </c>
      <c r="I57" s="4">
        <f>IFERROR(AVERAGEIFS(交易明細!$L$2:$L$174,交易明細!$B$2:$B$174,$A57,交易明細!$J$2:$J$174,"&lt;&gt;未平倉"),0)</f>
        <v/>
      </c>
      <c r="J57" s="4">
        <f>SUMIFS(交易明細!$L$2:$L$174,交易明細!$B$2:$B$174,$A57,交易明細!$J$2:$J$174,"&lt;&gt;未平倉")</f>
        <v/>
      </c>
      <c r="K57" s="5">
        <f>IFERROR(AVERAGEIFS(交易明細!$K$2:$K$174,交易明細!$B$2:$B$174,$A57,交易明細!$J$2:$J$174,"&lt;&gt;未平倉"),0)</f>
        <v/>
      </c>
      <c r="L57" s="2">
        <f>COUNTIFS(交易明細!$B$2:$B$174,$A57,交易明細!$J$2:$J$174,"未平倉")</f>
        <v/>
      </c>
    </row>
    <row r="58">
      <c r="A58" s="2" t="inlineStr">
        <is>
          <t>PIEVERSE_USDT_PERP</t>
        </is>
      </c>
      <c r="B58" s="2">
        <f>COUNTIFS(交易明細!$B$2:$B$174,$A58)</f>
        <v/>
      </c>
      <c r="C58" s="2">
        <f>COUNTIFS(交易明細!$B$2:$B$174,$A58,交易明細!$C$2:$C$174,"做多")</f>
        <v/>
      </c>
      <c r="D58" s="2">
        <f>COUNTIFS(交易明細!$B$2:$B$174,$A58,交易明細!$C$2:$C$174,"做空")</f>
        <v/>
      </c>
      <c r="E58" s="2">
        <f>F58+G58+COUNTIFS(交易明細!$B$2:$B$174,$A58,交易明細!$J$2:$J$174,"時間出場")</f>
        <v/>
      </c>
      <c r="F58" s="2">
        <f>COUNTIFS(交易明細!$B$2:$B$174,$A58,交易明細!$J$2:$J$174,"止盈")</f>
        <v/>
      </c>
      <c r="G58" s="2">
        <f>COUNTIFS(交易明細!$B$2:$B$174,$A58,交易明細!$J$2:$J$174,"止損")</f>
        <v/>
      </c>
      <c r="H58" s="4">
        <f>IFERROR(F58/E58,0)</f>
        <v/>
      </c>
      <c r="I58" s="4">
        <f>IFERROR(AVERAGEIFS(交易明細!$L$2:$L$174,交易明細!$B$2:$B$174,$A58,交易明細!$J$2:$J$174,"&lt;&gt;未平倉"),0)</f>
        <v/>
      </c>
      <c r="J58" s="4">
        <f>SUMIFS(交易明細!$L$2:$L$174,交易明細!$B$2:$B$174,$A58,交易明細!$J$2:$J$174,"&lt;&gt;未平倉")</f>
        <v/>
      </c>
      <c r="K58" s="5">
        <f>IFERROR(AVERAGEIFS(交易明細!$K$2:$K$174,交易明細!$B$2:$B$174,$A58,交易明細!$J$2:$J$174,"&lt;&gt;未平倉"),0)</f>
        <v/>
      </c>
      <c r="L58" s="2">
        <f>COUNTIFS(交易明細!$B$2:$B$174,$A58,交易明細!$J$2:$J$174,"未平倉")</f>
        <v/>
      </c>
    </row>
    <row r="59">
      <c r="A59" s="2" t="inlineStr">
        <is>
          <t>KAT_USDT_PERP</t>
        </is>
      </c>
      <c r="B59" s="2">
        <f>COUNTIFS(交易明細!$B$2:$B$174,$A59)</f>
        <v/>
      </c>
      <c r="C59" s="2">
        <f>COUNTIFS(交易明細!$B$2:$B$174,$A59,交易明細!$C$2:$C$174,"做多")</f>
        <v/>
      </c>
      <c r="D59" s="2">
        <f>COUNTIFS(交易明細!$B$2:$B$174,$A59,交易明細!$C$2:$C$174,"做空")</f>
        <v/>
      </c>
      <c r="E59" s="2">
        <f>F59+G59+COUNTIFS(交易明細!$B$2:$B$174,$A59,交易明細!$J$2:$J$174,"時間出場")</f>
        <v/>
      </c>
      <c r="F59" s="2">
        <f>COUNTIFS(交易明細!$B$2:$B$174,$A59,交易明細!$J$2:$J$174,"止盈")</f>
        <v/>
      </c>
      <c r="G59" s="2">
        <f>COUNTIFS(交易明細!$B$2:$B$174,$A59,交易明細!$J$2:$J$174,"止損")</f>
        <v/>
      </c>
      <c r="H59" s="4">
        <f>IFERROR(F59/E59,0)</f>
        <v/>
      </c>
      <c r="I59" s="4">
        <f>IFERROR(AVERAGEIFS(交易明細!$L$2:$L$174,交易明細!$B$2:$B$174,$A59,交易明細!$J$2:$J$174,"&lt;&gt;未平倉"),0)</f>
        <v/>
      </c>
      <c r="J59" s="4">
        <f>SUMIFS(交易明細!$L$2:$L$174,交易明細!$B$2:$B$174,$A59,交易明細!$J$2:$J$174,"&lt;&gt;未平倉")</f>
        <v/>
      </c>
      <c r="K59" s="5">
        <f>IFERROR(AVERAGEIFS(交易明細!$K$2:$K$174,交易明細!$B$2:$B$174,$A59,交易明細!$J$2:$J$174,"&lt;&gt;未平倉"),0)</f>
        <v/>
      </c>
      <c r="L59" s="2">
        <f>COUNTIFS(交易明細!$B$2:$B$174,$A59,交易明細!$J$2:$J$174,"未平倉")</f>
        <v/>
      </c>
    </row>
    <row r="60">
      <c r="A60" s="2" t="inlineStr">
        <is>
          <t>PROS_USDT_PERP</t>
        </is>
      </c>
      <c r="B60" s="2">
        <f>COUNTIFS(交易明細!$B$2:$B$174,$A60)</f>
        <v/>
      </c>
      <c r="C60" s="2">
        <f>COUNTIFS(交易明細!$B$2:$B$174,$A60,交易明細!$C$2:$C$174,"做多")</f>
        <v/>
      </c>
      <c r="D60" s="2">
        <f>COUNTIFS(交易明細!$B$2:$B$174,$A60,交易明細!$C$2:$C$174,"做空")</f>
        <v/>
      </c>
      <c r="E60" s="2">
        <f>F60+G60+COUNTIFS(交易明細!$B$2:$B$174,$A60,交易明細!$J$2:$J$174,"時間出場")</f>
        <v/>
      </c>
      <c r="F60" s="2">
        <f>COUNTIFS(交易明細!$B$2:$B$174,$A60,交易明細!$J$2:$J$174,"止盈")</f>
        <v/>
      </c>
      <c r="G60" s="2">
        <f>COUNTIFS(交易明細!$B$2:$B$174,$A60,交易明細!$J$2:$J$174,"止損")</f>
        <v/>
      </c>
      <c r="H60" s="4">
        <f>IFERROR(F60/E60,0)</f>
        <v/>
      </c>
      <c r="I60" s="4">
        <f>IFERROR(AVERAGEIFS(交易明細!$L$2:$L$174,交易明細!$B$2:$B$174,$A60,交易明細!$J$2:$J$174,"&lt;&gt;未平倉"),0)</f>
        <v/>
      </c>
      <c r="J60" s="4">
        <f>SUMIFS(交易明細!$L$2:$L$174,交易明細!$B$2:$B$174,$A60,交易明細!$J$2:$J$174,"&lt;&gt;未平倉")</f>
        <v/>
      </c>
      <c r="K60" s="5">
        <f>IFERROR(AVERAGEIFS(交易明細!$K$2:$K$174,交易明細!$B$2:$B$174,$A60,交易明細!$J$2:$J$174,"&lt;&gt;未平倉"),0)</f>
        <v/>
      </c>
      <c r="L60" s="2">
        <f>COUNTIFS(交易明細!$B$2:$B$174,$A60,交易明細!$J$2:$J$174,"未平倉")</f>
        <v/>
      </c>
    </row>
    <row r="61">
      <c r="A61" s="2" t="inlineStr">
        <is>
          <t>ANIME_USDT_PERP</t>
        </is>
      </c>
      <c r="B61" s="2">
        <f>COUNTIFS(交易明細!$B$2:$B$174,$A61)</f>
        <v/>
      </c>
      <c r="C61" s="2">
        <f>COUNTIFS(交易明細!$B$2:$B$174,$A61,交易明細!$C$2:$C$174,"做多")</f>
        <v/>
      </c>
      <c r="D61" s="2">
        <f>COUNTIFS(交易明細!$B$2:$B$174,$A61,交易明細!$C$2:$C$174,"做空")</f>
        <v/>
      </c>
      <c r="E61" s="2">
        <f>F61+G61+COUNTIFS(交易明細!$B$2:$B$174,$A61,交易明細!$J$2:$J$174,"時間出場")</f>
        <v/>
      </c>
      <c r="F61" s="2">
        <f>COUNTIFS(交易明細!$B$2:$B$174,$A61,交易明細!$J$2:$J$174,"止盈")</f>
        <v/>
      </c>
      <c r="G61" s="2">
        <f>COUNTIFS(交易明細!$B$2:$B$174,$A61,交易明細!$J$2:$J$174,"止損")</f>
        <v/>
      </c>
      <c r="H61" s="4">
        <f>IFERROR(F61/E61,0)</f>
        <v/>
      </c>
      <c r="I61" s="4">
        <f>IFERROR(AVERAGEIFS(交易明細!$L$2:$L$174,交易明細!$B$2:$B$174,$A61,交易明細!$J$2:$J$174,"&lt;&gt;未平倉"),0)</f>
        <v/>
      </c>
      <c r="J61" s="4">
        <f>SUMIFS(交易明細!$L$2:$L$174,交易明細!$B$2:$B$174,$A61,交易明細!$J$2:$J$174,"&lt;&gt;未平倉")</f>
        <v/>
      </c>
      <c r="K61" s="5">
        <f>IFERROR(AVERAGEIFS(交易明細!$K$2:$K$174,交易明細!$B$2:$B$174,$A61,交易明細!$J$2:$J$174,"&lt;&gt;未平倉"),0)</f>
        <v/>
      </c>
      <c r="L61" s="2">
        <f>COUNTIFS(交易明細!$B$2:$B$174,$A61,交易明細!$J$2:$J$174,"未平倉")</f>
        <v/>
      </c>
    </row>
    <row r="62">
      <c r="A62" s="2" t="inlineStr">
        <is>
          <t>SAGA_USDT_PERP</t>
        </is>
      </c>
      <c r="B62" s="2">
        <f>COUNTIFS(交易明細!$B$2:$B$174,$A62)</f>
        <v/>
      </c>
      <c r="C62" s="2">
        <f>COUNTIFS(交易明細!$B$2:$B$174,$A62,交易明細!$C$2:$C$174,"做多")</f>
        <v/>
      </c>
      <c r="D62" s="2">
        <f>COUNTIFS(交易明細!$B$2:$B$174,$A62,交易明細!$C$2:$C$174,"做空")</f>
        <v/>
      </c>
      <c r="E62" s="2">
        <f>F62+G62+COUNTIFS(交易明細!$B$2:$B$174,$A62,交易明細!$J$2:$J$174,"時間出場")</f>
        <v/>
      </c>
      <c r="F62" s="2">
        <f>COUNTIFS(交易明細!$B$2:$B$174,$A62,交易明細!$J$2:$J$174,"止盈")</f>
        <v/>
      </c>
      <c r="G62" s="2">
        <f>COUNTIFS(交易明細!$B$2:$B$174,$A62,交易明細!$J$2:$J$174,"止損")</f>
        <v/>
      </c>
      <c r="H62" s="4">
        <f>IFERROR(F62/E62,0)</f>
        <v/>
      </c>
      <c r="I62" s="4">
        <f>IFERROR(AVERAGEIFS(交易明細!$L$2:$L$174,交易明細!$B$2:$B$174,$A62,交易明細!$J$2:$J$174,"&lt;&gt;未平倉"),0)</f>
        <v/>
      </c>
      <c r="J62" s="4">
        <f>SUMIFS(交易明細!$L$2:$L$174,交易明細!$B$2:$B$174,$A62,交易明細!$J$2:$J$174,"&lt;&gt;未平倉")</f>
        <v/>
      </c>
      <c r="K62" s="5">
        <f>IFERROR(AVERAGEIFS(交易明細!$K$2:$K$174,交易明細!$B$2:$B$174,$A62,交易明細!$J$2:$J$174,"&lt;&gt;未平倉"),0)</f>
        <v/>
      </c>
      <c r="L62" s="2">
        <f>COUNTIFS(交易明細!$B$2:$B$174,$A62,交易明細!$J$2:$J$174,"未平倉")</f>
        <v/>
      </c>
    </row>
    <row r="63">
      <c r="A63" s="2" t="inlineStr">
        <is>
          <t>LAB_USDT_PERP</t>
        </is>
      </c>
      <c r="B63" s="2">
        <f>COUNTIFS(交易明細!$B$2:$B$174,$A63)</f>
        <v/>
      </c>
      <c r="C63" s="2">
        <f>COUNTIFS(交易明細!$B$2:$B$174,$A63,交易明細!$C$2:$C$174,"做多")</f>
        <v/>
      </c>
      <c r="D63" s="2">
        <f>COUNTIFS(交易明細!$B$2:$B$174,$A63,交易明細!$C$2:$C$174,"做空")</f>
        <v/>
      </c>
      <c r="E63" s="2">
        <f>F63+G63+COUNTIFS(交易明細!$B$2:$B$174,$A63,交易明細!$J$2:$J$174,"時間出場")</f>
        <v/>
      </c>
      <c r="F63" s="2">
        <f>COUNTIFS(交易明細!$B$2:$B$174,$A63,交易明細!$J$2:$J$174,"止盈")</f>
        <v/>
      </c>
      <c r="G63" s="2">
        <f>COUNTIFS(交易明細!$B$2:$B$174,$A63,交易明細!$J$2:$J$174,"止損")</f>
        <v/>
      </c>
      <c r="H63" s="4">
        <f>IFERROR(F63/E63,0)</f>
        <v/>
      </c>
      <c r="I63" s="4">
        <f>IFERROR(AVERAGEIFS(交易明細!$L$2:$L$174,交易明細!$B$2:$B$174,$A63,交易明細!$J$2:$J$174,"&lt;&gt;未平倉"),0)</f>
        <v/>
      </c>
      <c r="J63" s="4">
        <f>SUMIFS(交易明細!$L$2:$L$174,交易明細!$B$2:$B$174,$A63,交易明細!$J$2:$J$174,"&lt;&gt;未平倉")</f>
        <v/>
      </c>
      <c r="K63" s="5">
        <f>IFERROR(AVERAGEIFS(交易明細!$K$2:$K$174,交易明細!$B$2:$B$174,$A63,交易明細!$J$2:$J$174,"&lt;&gt;未平倉"),0)</f>
        <v/>
      </c>
      <c r="L63" s="2">
        <f>COUNTIFS(交易明細!$B$2:$B$174,$A63,交易明細!$J$2:$J$174,"未平倉")</f>
        <v/>
      </c>
    </row>
    <row r="64">
      <c r="A64" s="2" t="inlineStr">
        <is>
          <t>BLUR_USDT_PERP</t>
        </is>
      </c>
      <c r="B64" s="2">
        <f>COUNTIFS(交易明細!$B$2:$B$174,$A64)</f>
        <v/>
      </c>
      <c r="C64" s="2">
        <f>COUNTIFS(交易明細!$B$2:$B$174,$A64,交易明細!$C$2:$C$174,"做多")</f>
        <v/>
      </c>
      <c r="D64" s="2">
        <f>COUNTIFS(交易明細!$B$2:$B$174,$A64,交易明細!$C$2:$C$174,"做空")</f>
        <v/>
      </c>
      <c r="E64" s="2">
        <f>F64+G64+COUNTIFS(交易明細!$B$2:$B$174,$A64,交易明細!$J$2:$J$174,"時間出場")</f>
        <v/>
      </c>
      <c r="F64" s="2">
        <f>COUNTIFS(交易明細!$B$2:$B$174,$A64,交易明細!$J$2:$J$174,"止盈")</f>
        <v/>
      </c>
      <c r="G64" s="2">
        <f>COUNTIFS(交易明細!$B$2:$B$174,$A64,交易明細!$J$2:$J$174,"止損")</f>
        <v/>
      </c>
      <c r="H64" s="4">
        <f>IFERROR(F64/E64,0)</f>
        <v/>
      </c>
      <c r="I64" s="4">
        <f>IFERROR(AVERAGEIFS(交易明細!$L$2:$L$174,交易明細!$B$2:$B$174,$A64,交易明細!$J$2:$J$174,"&lt;&gt;未平倉"),0)</f>
        <v/>
      </c>
      <c r="J64" s="4">
        <f>SUMIFS(交易明細!$L$2:$L$174,交易明細!$B$2:$B$174,$A64,交易明細!$J$2:$J$174,"&lt;&gt;未平倉")</f>
        <v/>
      </c>
      <c r="K64" s="5">
        <f>IFERROR(AVERAGEIFS(交易明細!$K$2:$K$174,交易明細!$B$2:$B$174,$A64,交易明細!$J$2:$J$174,"&lt;&gt;未平倉"),0)</f>
        <v/>
      </c>
      <c r="L64" s="2">
        <f>COUNTIFS(交易明細!$B$2:$B$174,$A64,交易明細!$J$2:$J$174,"未平倉")</f>
        <v/>
      </c>
    </row>
    <row r="65">
      <c r="A65" s="2" t="inlineStr">
        <is>
          <t>CYS_USDT_PERP</t>
        </is>
      </c>
      <c r="B65" s="2">
        <f>COUNTIFS(交易明細!$B$2:$B$174,$A65)</f>
        <v/>
      </c>
      <c r="C65" s="2">
        <f>COUNTIFS(交易明細!$B$2:$B$174,$A65,交易明細!$C$2:$C$174,"做多")</f>
        <v/>
      </c>
      <c r="D65" s="2">
        <f>COUNTIFS(交易明細!$B$2:$B$174,$A65,交易明細!$C$2:$C$174,"做空")</f>
        <v/>
      </c>
      <c r="E65" s="2">
        <f>F65+G65+COUNTIFS(交易明細!$B$2:$B$174,$A65,交易明細!$J$2:$J$174,"時間出場")</f>
        <v/>
      </c>
      <c r="F65" s="2">
        <f>COUNTIFS(交易明細!$B$2:$B$174,$A65,交易明細!$J$2:$J$174,"止盈")</f>
        <v/>
      </c>
      <c r="G65" s="2">
        <f>COUNTIFS(交易明細!$B$2:$B$174,$A65,交易明細!$J$2:$J$174,"止損")</f>
        <v/>
      </c>
      <c r="H65" s="4">
        <f>IFERROR(F65/E65,0)</f>
        <v/>
      </c>
      <c r="I65" s="4">
        <f>IFERROR(AVERAGEIFS(交易明細!$L$2:$L$174,交易明細!$B$2:$B$174,$A65,交易明細!$J$2:$J$174,"&lt;&gt;未平倉"),0)</f>
        <v/>
      </c>
      <c r="J65" s="4">
        <f>SUMIFS(交易明細!$L$2:$L$174,交易明細!$B$2:$B$174,$A65,交易明細!$J$2:$J$174,"&lt;&gt;未平倉")</f>
        <v/>
      </c>
      <c r="K65" s="5">
        <f>IFERROR(AVERAGEIFS(交易明細!$K$2:$K$174,交易明細!$B$2:$B$174,$A65,交易明細!$J$2:$J$174,"&lt;&gt;未平倉"),0)</f>
        <v/>
      </c>
      <c r="L65" s="2">
        <f>COUNTIFS(交易明細!$B$2:$B$174,$A65,交易明細!$J$2:$J$174,"未平倉")</f>
        <v/>
      </c>
    </row>
    <row r="66">
      <c r="A66" s="2" t="inlineStr">
        <is>
          <t>TREE_USDT_PERP</t>
        </is>
      </c>
      <c r="B66" s="2">
        <f>COUNTIFS(交易明細!$B$2:$B$174,$A66)</f>
        <v/>
      </c>
      <c r="C66" s="2">
        <f>COUNTIFS(交易明細!$B$2:$B$174,$A66,交易明細!$C$2:$C$174,"做多")</f>
        <v/>
      </c>
      <c r="D66" s="2">
        <f>COUNTIFS(交易明細!$B$2:$B$174,$A66,交易明細!$C$2:$C$174,"做空")</f>
        <v/>
      </c>
      <c r="E66" s="2">
        <f>F66+G66+COUNTIFS(交易明細!$B$2:$B$174,$A66,交易明細!$J$2:$J$174,"時間出場")</f>
        <v/>
      </c>
      <c r="F66" s="2">
        <f>COUNTIFS(交易明細!$B$2:$B$174,$A66,交易明細!$J$2:$J$174,"止盈")</f>
        <v/>
      </c>
      <c r="G66" s="2">
        <f>COUNTIFS(交易明細!$B$2:$B$174,$A66,交易明細!$J$2:$J$174,"止損")</f>
        <v/>
      </c>
      <c r="H66" s="4">
        <f>IFERROR(F66/E66,0)</f>
        <v/>
      </c>
      <c r="I66" s="4">
        <f>IFERROR(AVERAGEIFS(交易明細!$L$2:$L$174,交易明細!$B$2:$B$174,$A66,交易明細!$J$2:$J$174,"&lt;&gt;未平倉"),0)</f>
        <v/>
      </c>
      <c r="J66" s="4">
        <f>SUMIFS(交易明細!$L$2:$L$174,交易明細!$B$2:$B$174,$A66,交易明細!$J$2:$J$174,"&lt;&gt;未平倉")</f>
        <v/>
      </c>
      <c r="K66" s="5">
        <f>IFERROR(AVERAGEIFS(交易明細!$K$2:$K$174,交易明細!$B$2:$B$174,$A66,交易明細!$J$2:$J$174,"&lt;&gt;未平倉"),0)</f>
        <v/>
      </c>
      <c r="L66" s="2">
        <f>COUNTIFS(交易明細!$B$2:$B$174,$A66,交易明細!$J$2:$J$174,"未平倉")</f>
        <v/>
      </c>
    </row>
    <row r="67">
      <c r="A67" s="2" t="inlineStr">
        <is>
          <t>GRIFFAIN_USDT_PERP</t>
        </is>
      </c>
      <c r="B67" s="2">
        <f>COUNTIFS(交易明細!$B$2:$B$174,$A67)</f>
        <v/>
      </c>
      <c r="C67" s="2">
        <f>COUNTIFS(交易明細!$B$2:$B$174,$A67,交易明細!$C$2:$C$174,"做多")</f>
        <v/>
      </c>
      <c r="D67" s="2">
        <f>COUNTIFS(交易明細!$B$2:$B$174,$A67,交易明細!$C$2:$C$174,"做空")</f>
        <v/>
      </c>
      <c r="E67" s="2">
        <f>F67+G67+COUNTIFS(交易明細!$B$2:$B$174,$A67,交易明細!$J$2:$J$174,"時間出場")</f>
        <v/>
      </c>
      <c r="F67" s="2">
        <f>COUNTIFS(交易明細!$B$2:$B$174,$A67,交易明細!$J$2:$J$174,"止盈")</f>
        <v/>
      </c>
      <c r="G67" s="2">
        <f>COUNTIFS(交易明細!$B$2:$B$174,$A67,交易明細!$J$2:$J$174,"止損")</f>
        <v/>
      </c>
      <c r="H67" s="4">
        <f>IFERROR(F67/E67,0)</f>
        <v/>
      </c>
      <c r="I67" s="4">
        <f>IFERROR(AVERAGEIFS(交易明細!$L$2:$L$174,交易明細!$B$2:$B$174,$A67,交易明細!$J$2:$J$174,"&lt;&gt;未平倉"),0)</f>
        <v/>
      </c>
      <c r="J67" s="4">
        <f>SUMIFS(交易明細!$L$2:$L$174,交易明細!$B$2:$B$174,$A67,交易明細!$J$2:$J$174,"&lt;&gt;未平倉")</f>
        <v/>
      </c>
      <c r="K67" s="5">
        <f>IFERROR(AVERAGEIFS(交易明細!$K$2:$K$174,交易明細!$B$2:$B$174,$A67,交易明細!$J$2:$J$174,"&lt;&gt;未平倉"),0)</f>
        <v/>
      </c>
      <c r="L67" s="2">
        <f>COUNTIFS(交易明細!$B$2:$B$174,$A67,交易明細!$J$2:$J$174,"未平倉")</f>
        <v/>
      </c>
    </row>
    <row r="68">
      <c r="A68" s="2" t="inlineStr">
        <is>
          <t>TA_USDT_PERP</t>
        </is>
      </c>
      <c r="B68" s="2">
        <f>COUNTIFS(交易明細!$B$2:$B$174,$A68)</f>
        <v/>
      </c>
      <c r="C68" s="2">
        <f>COUNTIFS(交易明細!$B$2:$B$174,$A68,交易明細!$C$2:$C$174,"做多")</f>
        <v/>
      </c>
      <c r="D68" s="2">
        <f>COUNTIFS(交易明細!$B$2:$B$174,$A68,交易明細!$C$2:$C$174,"做空")</f>
        <v/>
      </c>
      <c r="E68" s="2">
        <f>F68+G68+COUNTIFS(交易明細!$B$2:$B$174,$A68,交易明細!$J$2:$J$174,"時間出場")</f>
        <v/>
      </c>
      <c r="F68" s="2">
        <f>COUNTIFS(交易明細!$B$2:$B$174,$A68,交易明細!$J$2:$J$174,"止盈")</f>
        <v/>
      </c>
      <c r="G68" s="2">
        <f>COUNTIFS(交易明細!$B$2:$B$174,$A68,交易明細!$J$2:$J$174,"止損")</f>
        <v/>
      </c>
      <c r="H68" s="4">
        <f>IFERROR(F68/E68,0)</f>
        <v/>
      </c>
      <c r="I68" s="4">
        <f>IFERROR(AVERAGEIFS(交易明細!$L$2:$L$174,交易明細!$B$2:$B$174,$A68,交易明細!$J$2:$J$174,"&lt;&gt;未平倉"),0)</f>
        <v/>
      </c>
      <c r="J68" s="4">
        <f>SUMIFS(交易明細!$L$2:$L$174,交易明細!$B$2:$B$174,$A68,交易明細!$J$2:$J$174,"&lt;&gt;未平倉")</f>
        <v/>
      </c>
      <c r="K68" s="5">
        <f>IFERROR(AVERAGEIFS(交易明細!$K$2:$K$174,交易明細!$B$2:$B$174,$A68,交易明細!$J$2:$J$174,"&lt;&gt;未平倉"),0)</f>
        <v/>
      </c>
      <c r="L68" s="2">
        <f>COUNTIFS(交易明細!$B$2:$B$174,$A68,交易明細!$J$2:$J$174,"未平倉")</f>
        <v/>
      </c>
    </row>
    <row r="69">
      <c r="A69" s="2" t="inlineStr">
        <is>
          <t>BR_USDT_PERP</t>
        </is>
      </c>
      <c r="B69" s="2">
        <f>COUNTIFS(交易明細!$B$2:$B$174,$A69)</f>
        <v/>
      </c>
      <c r="C69" s="2">
        <f>COUNTIFS(交易明細!$B$2:$B$174,$A69,交易明細!$C$2:$C$174,"做多")</f>
        <v/>
      </c>
      <c r="D69" s="2">
        <f>COUNTIFS(交易明細!$B$2:$B$174,$A69,交易明細!$C$2:$C$174,"做空")</f>
        <v/>
      </c>
      <c r="E69" s="2">
        <f>F69+G69+COUNTIFS(交易明細!$B$2:$B$174,$A69,交易明細!$J$2:$J$174,"時間出場")</f>
        <v/>
      </c>
      <c r="F69" s="2">
        <f>COUNTIFS(交易明細!$B$2:$B$174,$A69,交易明細!$J$2:$J$174,"止盈")</f>
        <v/>
      </c>
      <c r="G69" s="2">
        <f>COUNTIFS(交易明細!$B$2:$B$174,$A69,交易明細!$J$2:$J$174,"止損")</f>
        <v/>
      </c>
      <c r="H69" s="4">
        <f>IFERROR(F69/E69,0)</f>
        <v/>
      </c>
      <c r="I69" s="4">
        <f>IFERROR(AVERAGEIFS(交易明細!$L$2:$L$174,交易明細!$B$2:$B$174,$A69,交易明細!$J$2:$J$174,"&lt;&gt;未平倉"),0)</f>
        <v/>
      </c>
      <c r="J69" s="4">
        <f>SUMIFS(交易明細!$L$2:$L$174,交易明細!$B$2:$B$174,$A69,交易明細!$J$2:$J$174,"&lt;&gt;未平倉")</f>
        <v/>
      </c>
      <c r="K69" s="5">
        <f>IFERROR(AVERAGEIFS(交易明細!$K$2:$K$174,交易明細!$B$2:$B$174,$A69,交易明細!$J$2:$J$174,"&lt;&gt;未平倉"),0)</f>
        <v/>
      </c>
      <c r="L69" s="2">
        <f>COUNTIFS(交易明細!$B$2:$B$174,$A69,交易明細!$J$2:$J$174,"未平倉")</f>
        <v/>
      </c>
    </row>
    <row r="70">
      <c r="A70" s="2" t="inlineStr">
        <is>
          <t>XPIN_USDT_PERP</t>
        </is>
      </c>
      <c r="B70" s="2">
        <f>COUNTIFS(交易明細!$B$2:$B$174,$A70)</f>
        <v/>
      </c>
      <c r="C70" s="2">
        <f>COUNTIFS(交易明細!$B$2:$B$174,$A70,交易明細!$C$2:$C$174,"做多")</f>
        <v/>
      </c>
      <c r="D70" s="2">
        <f>COUNTIFS(交易明細!$B$2:$B$174,$A70,交易明細!$C$2:$C$174,"做空")</f>
        <v/>
      </c>
      <c r="E70" s="2">
        <f>F70+G70+COUNTIFS(交易明細!$B$2:$B$174,$A70,交易明細!$J$2:$J$174,"時間出場")</f>
        <v/>
      </c>
      <c r="F70" s="2">
        <f>COUNTIFS(交易明細!$B$2:$B$174,$A70,交易明細!$J$2:$J$174,"止盈")</f>
        <v/>
      </c>
      <c r="G70" s="2">
        <f>COUNTIFS(交易明細!$B$2:$B$174,$A70,交易明細!$J$2:$J$174,"止損")</f>
        <v/>
      </c>
      <c r="H70" s="4">
        <f>IFERROR(F70/E70,0)</f>
        <v/>
      </c>
      <c r="I70" s="4">
        <f>IFERROR(AVERAGEIFS(交易明細!$L$2:$L$174,交易明細!$B$2:$B$174,$A70,交易明細!$J$2:$J$174,"&lt;&gt;未平倉"),0)</f>
        <v/>
      </c>
      <c r="J70" s="4">
        <f>SUMIFS(交易明細!$L$2:$L$174,交易明細!$B$2:$B$174,$A70,交易明細!$J$2:$J$174,"&lt;&gt;未平倉")</f>
        <v/>
      </c>
      <c r="K70" s="5">
        <f>IFERROR(AVERAGEIFS(交易明細!$K$2:$K$174,交易明細!$B$2:$B$174,$A70,交易明細!$J$2:$J$174,"&lt;&gt;未平倉"),0)</f>
        <v/>
      </c>
      <c r="L70" s="2">
        <f>COUNTIFS(交易明細!$B$2:$B$174,$A70,交易明細!$J$2:$J$174,"未平倉")</f>
        <v/>
      </c>
    </row>
    <row r="71">
      <c r="A71" s="2" t="inlineStr">
        <is>
          <t>HEMI_USDT_PERP</t>
        </is>
      </c>
      <c r="B71" s="2">
        <f>COUNTIFS(交易明細!$B$2:$B$174,$A71)</f>
        <v/>
      </c>
      <c r="C71" s="2">
        <f>COUNTIFS(交易明細!$B$2:$B$174,$A71,交易明細!$C$2:$C$174,"做多")</f>
        <v/>
      </c>
      <c r="D71" s="2">
        <f>COUNTIFS(交易明細!$B$2:$B$174,$A71,交易明細!$C$2:$C$174,"做空")</f>
        <v/>
      </c>
      <c r="E71" s="2">
        <f>F71+G71+COUNTIFS(交易明細!$B$2:$B$174,$A71,交易明細!$J$2:$J$174,"時間出場")</f>
        <v/>
      </c>
      <c r="F71" s="2">
        <f>COUNTIFS(交易明細!$B$2:$B$174,$A71,交易明細!$J$2:$J$174,"止盈")</f>
        <v/>
      </c>
      <c r="G71" s="2">
        <f>COUNTIFS(交易明細!$B$2:$B$174,$A71,交易明細!$J$2:$J$174,"止損")</f>
        <v/>
      </c>
      <c r="H71" s="4">
        <f>IFERROR(F71/E71,0)</f>
        <v/>
      </c>
      <c r="I71" s="4">
        <f>IFERROR(AVERAGEIFS(交易明細!$L$2:$L$174,交易明細!$B$2:$B$174,$A71,交易明細!$J$2:$J$174,"&lt;&gt;未平倉"),0)</f>
        <v/>
      </c>
      <c r="J71" s="4">
        <f>SUMIFS(交易明細!$L$2:$L$174,交易明細!$B$2:$B$174,$A71,交易明細!$J$2:$J$174,"&lt;&gt;未平倉")</f>
        <v/>
      </c>
      <c r="K71" s="5">
        <f>IFERROR(AVERAGEIFS(交易明細!$K$2:$K$174,交易明細!$B$2:$B$174,$A71,交易明細!$J$2:$J$174,"&lt;&gt;未平倉"),0)</f>
        <v/>
      </c>
      <c r="L71" s="2">
        <f>COUNTIFS(交易明細!$B$2:$B$174,$A71,交易明細!$J$2:$J$174,"未平倉")</f>
        <v/>
      </c>
    </row>
    <row r="72">
      <c r="A72" s="2" t="inlineStr">
        <is>
          <t>AXL_USDT_PERP</t>
        </is>
      </c>
      <c r="B72" s="2">
        <f>COUNTIFS(交易明細!$B$2:$B$174,$A72)</f>
        <v/>
      </c>
      <c r="C72" s="2">
        <f>COUNTIFS(交易明細!$B$2:$B$174,$A72,交易明細!$C$2:$C$174,"做多")</f>
        <v/>
      </c>
      <c r="D72" s="2">
        <f>COUNTIFS(交易明細!$B$2:$B$174,$A72,交易明細!$C$2:$C$174,"做空")</f>
        <v/>
      </c>
      <c r="E72" s="2">
        <f>F72+G72+COUNTIFS(交易明細!$B$2:$B$174,$A72,交易明細!$J$2:$J$174,"時間出場")</f>
        <v/>
      </c>
      <c r="F72" s="2">
        <f>COUNTIFS(交易明細!$B$2:$B$174,$A72,交易明細!$J$2:$J$174,"止盈")</f>
        <v/>
      </c>
      <c r="G72" s="2">
        <f>COUNTIFS(交易明細!$B$2:$B$174,$A72,交易明細!$J$2:$J$174,"止損")</f>
        <v/>
      </c>
      <c r="H72" s="4">
        <f>IFERROR(F72/E72,0)</f>
        <v/>
      </c>
      <c r="I72" s="4">
        <f>IFERROR(AVERAGEIFS(交易明細!$L$2:$L$174,交易明細!$B$2:$B$174,$A72,交易明細!$J$2:$J$174,"&lt;&gt;未平倉"),0)</f>
        <v/>
      </c>
      <c r="J72" s="4">
        <f>SUMIFS(交易明細!$L$2:$L$174,交易明細!$B$2:$B$174,$A72,交易明細!$J$2:$J$174,"&lt;&gt;未平倉")</f>
        <v/>
      </c>
      <c r="K72" s="5">
        <f>IFERROR(AVERAGEIFS(交易明細!$K$2:$K$174,交易明細!$B$2:$B$174,$A72,交易明細!$J$2:$J$174,"&lt;&gt;未平倉"),0)</f>
        <v/>
      </c>
      <c r="L72" s="2">
        <f>COUNTIFS(交易明細!$B$2:$B$174,$A72,交易明細!$J$2:$J$174,"未平倉")</f>
        <v/>
      </c>
    </row>
    <row r="73">
      <c r="A73" s="2" t="inlineStr">
        <is>
          <t>GENIUS_USDT_PERP</t>
        </is>
      </c>
      <c r="B73" s="2">
        <f>COUNTIFS(交易明細!$B$2:$B$174,$A73)</f>
        <v/>
      </c>
      <c r="C73" s="2">
        <f>COUNTIFS(交易明細!$B$2:$B$174,$A73,交易明細!$C$2:$C$174,"做多")</f>
        <v/>
      </c>
      <c r="D73" s="2">
        <f>COUNTIFS(交易明細!$B$2:$B$174,$A73,交易明細!$C$2:$C$174,"做空")</f>
        <v/>
      </c>
      <c r="E73" s="2">
        <f>F73+G73+COUNTIFS(交易明細!$B$2:$B$174,$A73,交易明細!$J$2:$J$174,"時間出場")</f>
        <v/>
      </c>
      <c r="F73" s="2">
        <f>COUNTIFS(交易明細!$B$2:$B$174,$A73,交易明細!$J$2:$J$174,"止盈")</f>
        <v/>
      </c>
      <c r="G73" s="2">
        <f>COUNTIFS(交易明細!$B$2:$B$174,$A73,交易明細!$J$2:$J$174,"止損")</f>
        <v/>
      </c>
      <c r="H73" s="4">
        <f>IFERROR(F73/E73,0)</f>
        <v/>
      </c>
      <c r="I73" s="4">
        <f>IFERROR(AVERAGEIFS(交易明細!$L$2:$L$174,交易明細!$B$2:$B$174,$A73,交易明細!$J$2:$J$174,"&lt;&gt;未平倉"),0)</f>
        <v/>
      </c>
      <c r="J73" s="4">
        <f>SUMIFS(交易明細!$L$2:$L$174,交易明細!$B$2:$B$174,$A73,交易明細!$J$2:$J$174,"&lt;&gt;未平倉")</f>
        <v/>
      </c>
      <c r="K73" s="5">
        <f>IFERROR(AVERAGEIFS(交易明細!$K$2:$K$174,交易明細!$B$2:$B$174,$A73,交易明細!$J$2:$J$174,"&lt;&gt;未平倉"),0)</f>
        <v/>
      </c>
      <c r="L73" s="2">
        <f>COUNTIFS(交易明細!$B$2:$B$174,$A73,交易明細!$J$2:$J$174,"未平倉")</f>
        <v/>
      </c>
    </row>
    <row r="74">
      <c r="A74" s="2" t="inlineStr">
        <is>
          <t>CROSS_USDT_PERP</t>
        </is>
      </c>
      <c r="B74" s="2">
        <f>COUNTIFS(交易明細!$B$2:$B$174,$A74)</f>
        <v/>
      </c>
      <c r="C74" s="2">
        <f>COUNTIFS(交易明細!$B$2:$B$174,$A74,交易明細!$C$2:$C$174,"做多")</f>
        <v/>
      </c>
      <c r="D74" s="2">
        <f>COUNTIFS(交易明細!$B$2:$B$174,$A74,交易明細!$C$2:$C$174,"做空")</f>
        <v/>
      </c>
      <c r="E74" s="2">
        <f>F74+G74+COUNTIFS(交易明細!$B$2:$B$174,$A74,交易明細!$J$2:$J$174,"時間出場")</f>
        <v/>
      </c>
      <c r="F74" s="2">
        <f>COUNTIFS(交易明細!$B$2:$B$174,$A74,交易明細!$J$2:$J$174,"止盈")</f>
        <v/>
      </c>
      <c r="G74" s="2">
        <f>COUNTIFS(交易明細!$B$2:$B$174,$A74,交易明細!$J$2:$J$174,"止損")</f>
        <v/>
      </c>
      <c r="H74" s="4">
        <f>IFERROR(F74/E74,0)</f>
        <v/>
      </c>
      <c r="I74" s="4">
        <f>IFERROR(AVERAGEIFS(交易明細!$L$2:$L$174,交易明細!$B$2:$B$174,$A74,交易明細!$J$2:$J$174,"&lt;&gt;未平倉"),0)</f>
        <v/>
      </c>
      <c r="J74" s="4">
        <f>SUMIFS(交易明細!$L$2:$L$174,交易明細!$B$2:$B$174,$A74,交易明細!$J$2:$J$174,"&lt;&gt;未平倉")</f>
        <v/>
      </c>
      <c r="K74" s="5">
        <f>IFERROR(AVERAGEIFS(交易明細!$K$2:$K$174,交易明細!$B$2:$B$174,$A74,交易明細!$J$2:$J$174,"&lt;&gt;未平倉"),0)</f>
        <v/>
      </c>
      <c r="L74" s="2">
        <f>COUNTIFS(交易明細!$B$2:$B$174,$A74,交易明細!$J$2:$J$174,"未平倉")</f>
        <v/>
      </c>
    </row>
    <row r="75">
      <c r="A75" s="2" t="inlineStr">
        <is>
          <t>BABY_USDT_PERP</t>
        </is>
      </c>
      <c r="B75" s="2">
        <f>COUNTIFS(交易明細!$B$2:$B$174,$A75)</f>
        <v/>
      </c>
      <c r="C75" s="2">
        <f>COUNTIFS(交易明細!$B$2:$B$174,$A75,交易明細!$C$2:$C$174,"做多")</f>
        <v/>
      </c>
      <c r="D75" s="2">
        <f>COUNTIFS(交易明細!$B$2:$B$174,$A75,交易明細!$C$2:$C$174,"做空")</f>
        <v/>
      </c>
      <c r="E75" s="2">
        <f>F75+G75+COUNTIFS(交易明細!$B$2:$B$174,$A75,交易明細!$J$2:$J$174,"時間出場")</f>
        <v/>
      </c>
      <c r="F75" s="2">
        <f>COUNTIFS(交易明細!$B$2:$B$174,$A75,交易明細!$J$2:$J$174,"止盈")</f>
        <v/>
      </c>
      <c r="G75" s="2">
        <f>COUNTIFS(交易明細!$B$2:$B$174,$A75,交易明細!$J$2:$J$174,"止損")</f>
        <v/>
      </c>
      <c r="H75" s="4">
        <f>IFERROR(F75/E75,0)</f>
        <v/>
      </c>
      <c r="I75" s="4">
        <f>IFERROR(AVERAGEIFS(交易明細!$L$2:$L$174,交易明細!$B$2:$B$174,$A75,交易明細!$J$2:$J$174,"&lt;&gt;未平倉"),0)</f>
        <v/>
      </c>
      <c r="J75" s="4">
        <f>SUMIFS(交易明細!$L$2:$L$174,交易明細!$B$2:$B$174,$A75,交易明細!$J$2:$J$174,"&lt;&gt;未平倉")</f>
        <v/>
      </c>
      <c r="K75" s="5">
        <f>IFERROR(AVERAGEIFS(交易明細!$K$2:$K$174,交易明細!$B$2:$B$174,$A75,交易明細!$J$2:$J$174,"&lt;&gt;未平倉"),0)</f>
        <v/>
      </c>
      <c r="L75" s="2">
        <f>COUNTIFS(交易明細!$B$2:$B$174,$A75,交易明細!$J$2:$J$174,"未平倉")</f>
        <v/>
      </c>
    </row>
    <row r="76">
      <c r="A76" s="2" t="inlineStr">
        <is>
          <t>MYX_USDT_PERP</t>
        </is>
      </c>
      <c r="B76" s="2">
        <f>COUNTIFS(交易明細!$B$2:$B$174,$A76)</f>
        <v/>
      </c>
      <c r="C76" s="2">
        <f>COUNTIFS(交易明細!$B$2:$B$174,$A76,交易明細!$C$2:$C$174,"做多")</f>
        <v/>
      </c>
      <c r="D76" s="2">
        <f>COUNTIFS(交易明細!$B$2:$B$174,$A76,交易明細!$C$2:$C$174,"做空")</f>
        <v/>
      </c>
      <c r="E76" s="2">
        <f>F76+G76+COUNTIFS(交易明細!$B$2:$B$174,$A76,交易明細!$J$2:$J$174,"時間出場")</f>
        <v/>
      </c>
      <c r="F76" s="2">
        <f>COUNTIFS(交易明細!$B$2:$B$174,$A76,交易明細!$J$2:$J$174,"止盈")</f>
        <v/>
      </c>
      <c r="G76" s="2">
        <f>COUNTIFS(交易明細!$B$2:$B$174,$A76,交易明細!$J$2:$J$174,"止損")</f>
        <v/>
      </c>
      <c r="H76" s="4">
        <f>IFERROR(F76/E76,0)</f>
        <v/>
      </c>
      <c r="I76" s="4">
        <f>IFERROR(AVERAGEIFS(交易明細!$L$2:$L$174,交易明細!$B$2:$B$174,$A76,交易明細!$J$2:$J$174,"&lt;&gt;未平倉"),0)</f>
        <v/>
      </c>
      <c r="J76" s="4">
        <f>SUMIFS(交易明細!$L$2:$L$174,交易明細!$B$2:$B$174,$A76,交易明細!$J$2:$J$174,"&lt;&gt;未平倉")</f>
        <v/>
      </c>
      <c r="K76" s="5">
        <f>IFERROR(AVERAGEIFS(交易明細!$K$2:$K$174,交易明細!$B$2:$B$174,$A76,交易明細!$J$2:$J$174,"&lt;&gt;未平倉"),0)</f>
        <v/>
      </c>
      <c r="L76" s="2">
        <f>COUNTIFS(交易明細!$B$2:$B$174,$A76,交易明細!$J$2:$J$174,"未平倉")</f>
        <v/>
      </c>
    </row>
    <row r="77">
      <c r="A77" s="2" t="inlineStr">
        <is>
          <t>AIA_USDT_PERP</t>
        </is>
      </c>
      <c r="B77" s="2">
        <f>COUNTIFS(交易明細!$B$2:$B$174,$A77)</f>
        <v/>
      </c>
      <c r="C77" s="2">
        <f>COUNTIFS(交易明細!$B$2:$B$174,$A77,交易明細!$C$2:$C$174,"做多")</f>
        <v/>
      </c>
      <c r="D77" s="2">
        <f>COUNTIFS(交易明細!$B$2:$B$174,$A77,交易明細!$C$2:$C$174,"做空")</f>
        <v/>
      </c>
      <c r="E77" s="2">
        <f>F77+G77+COUNTIFS(交易明細!$B$2:$B$174,$A77,交易明細!$J$2:$J$174,"時間出場")</f>
        <v/>
      </c>
      <c r="F77" s="2">
        <f>COUNTIFS(交易明細!$B$2:$B$174,$A77,交易明細!$J$2:$J$174,"止盈")</f>
        <v/>
      </c>
      <c r="G77" s="2">
        <f>COUNTIFS(交易明細!$B$2:$B$174,$A77,交易明細!$J$2:$J$174,"止損")</f>
        <v/>
      </c>
      <c r="H77" s="4">
        <f>IFERROR(F77/E77,0)</f>
        <v/>
      </c>
      <c r="I77" s="4">
        <f>IFERROR(AVERAGEIFS(交易明細!$L$2:$L$174,交易明細!$B$2:$B$174,$A77,交易明細!$J$2:$J$174,"&lt;&gt;未平倉"),0)</f>
        <v/>
      </c>
      <c r="J77" s="4">
        <f>SUMIFS(交易明細!$L$2:$L$174,交易明細!$B$2:$B$174,$A77,交易明細!$J$2:$J$174,"&lt;&gt;未平倉")</f>
        <v/>
      </c>
      <c r="K77" s="5">
        <f>IFERROR(AVERAGEIFS(交易明細!$K$2:$K$174,交易明細!$B$2:$B$174,$A77,交易明細!$J$2:$J$174,"&lt;&gt;未平倉"),0)</f>
        <v/>
      </c>
      <c r="L77" s="2">
        <f>COUNTIFS(交易明細!$B$2:$B$174,$A77,交易明細!$J$2:$J$174,"未平倉")</f>
        <v/>
      </c>
    </row>
    <row r="78">
      <c r="A78" s="2" t="inlineStr">
        <is>
          <t>EVAA_USDT_PERP</t>
        </is>
      </c>
      <c r="B78" s="2">
        <f>COUNTIFS(交易明細!$B$2:$B$174,$A78)</f>
        <v/>
      </c>
      <c r="C78" s="2">
        <f>COUNTIFS(交易明細!$B$2:$B$174,$A78,交易明細!$C$2:$C$174,"做多")</f>
        <v/>
      </c>
      <c r="D78" s="2">
        <f>COUNTIFS(交易明細!$B$2:$B$174,$A78,交易明細!$C$2:$C$174,"做空")</f>
        <v/>
      </c>
      <c r="E78" s="2">
        <f>F78+G78+COUNTIFS(交易明細!$B$2:$B$174,$A78,交易明細!$J$2:$J$174,"時間出場")</f>
        <v/>
      </c>
      <c r="F78" s="2">
        <f>COUNTIFS(交易明細!$B$2:$B$174,$A78,交易明細!$J$2:$J$174,"止盈")</f>
        <v/>
      </c>
      <c r="G78" s="2">
        <f>COUNTIFS(交易明細!$B$2:$B$174,$A78,交易明細!$J$2:$J$174,"止損")</f>
        <v/>
      </c>
      <c r="H78" s="4">
        <f>IFERROR(F78/E78,0)</f>
        <v/>
      </c>
      <c r="I78" s="4">
        <f>IFERROR(AVERAGEIFS(交易明細!$L$2:$L$174,交易明細!$B$2:$B$174,$A78,交易明細!$J$2:$J$174,"&lt;&gt;未平倉"),0)</f>
        <v/>
      </c>
      <c r="J78" s="4">
        <f>SUMIFS(交易明細!$L$2:$L$174,交易明細!$B$2:$B$174,$A78,交易明細!$J$2:$J$174,"&lt;&gt;未平倉")</f>
        <v/>
      </c>
      <c r="K78" s="5">
        <f>IFERROR(AVERAGEIFS(交易明細!$K$2:$K$174,交易明細!$B$2:$B$174,$A78,交易明細!$J$2:$J$174,"&lt;&gt;未平倉"),0)</f>
        <v/>
      </c>
      <c r="L78" s="2">
        <f>COUNTIFS(交易明細!$B$2:$B$174,$A78,交易明細!$J$2:$J$174,"未平倉")</f>
        <v/>
      </c>
    </row>
    <row r="79">
      <c r="A79" s="2" t="inlineStr">
        <is>
          <t>ESP_USDT_PERP</t>
        </is>
      </c>
      <c r="B79" s="2">
        <f>COUNTIFS(交易明細!$B$2:$B$174,$A79)</f>
        <v/>
      </c>
      <c r="C79" s="2">
        <f>COUNTIFS(交易明細!$B$2:$B$174,$A79,交易明細!$C$2:$C$174,"做多")</f>
        <v/>
      </c>
      <c r="D79" s="2">
        <f>COUNTIFS(交易明細!$B$2:$B$174,$A79,交易明細!$C$2:$C$174,"做空")</f>
        <v/>
      </c>
      <c r="E79" s="2">
        <f>F79+G79+COUNTIFS(交易明細!$B$2:$B$174,$A79,交易明細!$J$2:$J$174,"時間出場")</f>
        <v/>
      </c>
      <c r="F79" s="2">
        <f>COUNTIFS(交易明細!$B$2:$B$174,$A79,交易明細!$J$2:$J$174,"止盈")</f>
        <v/>
      </c>
      <c r="G79" s="2">
        <f>COUNTIFS(交易明細!$B$2:$B$174,$A79,交易明細!$J$2:$J$174,"止損")</f>
        <v/>
      </c>
      <c r="H79" s="4">
        <f>IFERROR(F79/E79,0)</f>
        <v/>
      </c>
      <c r="I79" s="4">
        <f>IFERROR(AVERAGEIFS(交易明細!$L$2:$L$174,交易明細!$B$2:$B$174,$A79,交易明細!$J$2:$J$174,"&lt;&gt;未平倉"),0)</f>
        <v/>
      </c>
      <c r="J79" s="4">
        <f>SUMIFS(交易明細!$L$2:$L$174,交易明細!$B$2:$B$174,$A79,交易明細!$J$2:$J$174,"&lt;&gt;未平倉")</f>
        <v/>
      </c>
      <c r="K79" s="5">
        <f>IFERROR(AVERAGEIFS(交易明細!$K$2:$K$174,交易明細!$B$2:$B$174,$A79,交易明細!$J$2:$J$174,"&lt;&gt;未平倉"),0)</f>
        <v/>
      </c>
      <c r="L79" s="2">
        <f>COUNTIFS(交易明細!$B$2:$B$174,$A79,交易明細!$J$2:$J$174,"未平倉")</f>
        <v/>
      </c>
    </row>
    <row r="80">
      <c r="A80" s="2" t="inlineStr">
        <is>
          <t>BANK_USDT_PERP</t>
        </is>
      </c>
      <c r="B80" s="2">
        <f>COUNTIFS(交易明細!$B$2:$B$174,$A80)</f>
        <v/>
      </c>
      <c r="C80" s="2">
        <f>COUNTIFS(交易明細!$B$2:$B$174,$A80,交易明細!$C$2:$C$174,"做多")</f>
        <v/>
      </c>
      <c r="D80" s="2">
        <f>COUNTIFS(交易明細!$B$2:$B$174,$A80,交易明細!$C$2:$C$174,"做空")</f>
        <v/>
      </c>
      <c r="E80" s="2">
        <f>F80+G80+COUNTIFS(交易明細!$B$2:$B$174,$A80,交易明細!$J$2:$J$174,"時間出場")</f>
        <v/>
      </c>
      <c r="F80" s="2">
        <f>COUNTIFS(交易明細!$B$2:$B$174,$A80,交易明細!$J$2:$J$174,"止盈")</f>
        <v/>
      </c>
      <c r="G80" s="2">
        <f>COUNTIFS(交易明細!$B$2:$B$174,$A80,交易明細!$J$2:$J$174,"止損")</f>
        <v/>
      </c>
      <c r="H80" s="4">
        <f>IFERROR(F80/E80,0)</f>
        <v/>
      </c>
      <c r="I80" s="4">
        <f>IFERROR(AVERAGEIFS(交易明細!$L$2:$L$174,交易明細!$B$2:$B$174,$A80,交易明細!$J$2:$J$174,"&lt;&gt;未平倉"),0)</f>
        <v/>
      </c>
      <c r="J80" s="4">
        <f>SUMIFS(交易明細!$L$2:$L$174,交易明細!$B$2:$B$174,$A80,交易明細!$J$2:$J$174,"&lt;&gt;未平倉")</f>
        <v/>
      </c>
      <c r="K80" s="5">
        <f>IFERROR(AVERAGEIFS(交易明細!$K$2:$K$174,交易明細!$B$2:$B$174,$A80,交易明細!$J$2:$J$174,"&lt;&gt;未平倉"),0)</f>
        <v/>
      </c>
      <c r="L80" s="2">
        <f>COUNTIFS(交易明細!$B$2:$B$174,$A80,交易明細!$J$2:$J$174,"未平倉")</f>
        <v/>
      </c>
    </row>
    <row r="81">
      <c r="A81" s="2" t="inlineStr">
        <is>
          <t>GUN_USDT_PERP</t>
        </is>
      </c>
      <c r="B81" s="2">
        <f>COUNTIFS(交易明細!$B$2:$B$174,$A81)</f>
        <v/>
      </c>
      <c r="C81" s="2">
        <f>COUNTIFS(交易明細!$B$2:$B$174,$A81,交易明細!$C$2:$C$174,"做多")</f>
        <v/>
      </c>
      <c r="D81" s="2">
        <f>COUNTIFS(交易明細!$B$2:$B$174,$A81,交易明細!$C$2:$C$174,"做空")</f>
        <v/>
      </c>
      <c r="E81" s="2">
        <f>F81+G81+COUNTIFS(交易明細!$B$2:$B$174,$A81,交易明細!$J$2:$J$174,"時間出場")</f>
        <v/>
      </c>
      <c r="F81" s="2">
        <f>COUNTIFS(交易明細!$B$2:$B$174,$A81,交易明細!$J$2:$J$174,"止盈")</f>
        <v/>
      </c>
      <c r="G81" s="2">
        <f>COUNTIFS(交易明細!$B$2:$B$174,$A81,交易明細!$J$2:$J$174,"止損")</f>
        <v/>
      </c>
      <c r="H81" s="4">
        <f>IFERROR(F81/E81,0)</f>
        <v/>
      </c>
      <c r="I81" s="4">
        <f>IFERROR(AVERAGEIFS(交易明細!$L$2:$L$174,交易明細!$B$2:$B$174,$A81,交易明細!$J$2:$J$174,"&lt;&gt;未平倉"),0)</f>
        <v/>
      </c>
      <c r="J81" s="4">
        <f>SUMIFS(交易明細!$L$2:$L$174,交易明細!$B$2:$B$174,$A81,交易明細!$J$2:$J$174,"&lt;&gt;未平倉")</f>
        <v/>
      </c>
      <c r="K81" s="5">
        <f>IFERROR(AVERAGEIFS(交易明細!$K$2:$K$174,交易明細!$B$2:$B$174,$A81,交易明細!$J$2:$J$174,"&lt;&gt;未平倉"),0)</f>
        <v/>
      </c>
      <c r="L81" s="2">
        <f>COUNTIFS(交易明細!$B$2:$B$174,$A81,交易明細!$J$2:$J$174,"未平倉")</f>
        <v/>
      </c>
    </row>
    <row r="82">
      <c r="A82" s="2" t="inlineStr">
        <is>
          <t>KMNO_USDT_PERP</t>
        </is>
      </c>
      <c r="B82" s="2">
        <f>COUNTIFS(交易明細!$B$2:$B$174,$A82)</f>
        <v/>
      </c>
      <c r="C82" s="2">
        <f>COUNTIFS(交易明細!$B$2:$B$174,$A82,交易明細!$C$2:$C$174,"做多")</f>
        <v/>
      </c>
      <c r="D82" s="2">
        <f>COUNTIFS(交易明細!$B$2:$B$174,$A82,交易明細!$C$2:$C$174,"做空")</f>
        <v/>
      </c>
      <c r="E82" s="2">
        <f>F82+G82+COUNTIFS(交易明細!$B$2:$B$174,$A82,交易明細!$J$2:$J$174,"時間出場")</f>
        <v/>
      </c>
      <c r="F82" s="2">
        <f>COUNTIFS(交易明細!$B$2:$B$174,$A82,交易明細!$J$2:$J$174,"止盈")</f>
        <v/>
      </c>
      <c r="G82" s="2">
        <f>COUNTIFS(交易明細!$B$2:$B$174,$A82,交易明細!$J$2:$J$174,"止損")</f>
        <v/>
      </c>
      <c r="H82" s="4">
        <f>IFERROR(F82/E82,0)</f>
        <v/>
      </c>
      <c r="I82" s="4">
        <f>IFERROR(AVERAGEIFS(交易明細!$L$2:$L$174,交易明細!$B$2:$B$174,$A82,交易明細!$J$2:$J$174,"&lt;&gt;未平倉"),0)</f>
        <v/>
      </c>
      <c r="J82" s="4">
        <f>SUMIFS(交易明細!$L$2:$L$174,交易明細!$B$2:$B$174,$A82,交易明細!$J$2:$J$174,"&lt;&gt;未平倉")</f>
        <v/>
      </c>
      <c r="K82" s="5">
        <f>IFERROR(AVERAGEIFS(交易明細!$K$2:$K$174,交易明細!$B$2:$B$174,$A82,交易明細!$J$2:$J$174,"&lt;&gt;未平倉"),0)</f>
        <v/>
      </c>
      <c r="L82" s="2">
        <f>COUNTIFS(交易明細!$B$2:$B$174,$A82,交易明細!$J$2:$J$174,"未平倉")</f>
        <v/>
      </c>
    </row>
    <row r="83">
      <c r="A83" s="2" t="inlineStr">
        <is>
          <t>NIL_USDT_PERP</t>
        </is>
      </c>
      <c r="B83" s="2">
        <f>COUNTIFS(交易明細!$B$2:$B$174,$A83)</f>
        <v/>
      </c>
      <c r="C83" s="2">
        <f>COUNTIFS(交易明細!$B$2:$B$174,$A83,交易明細!$C$2:$C$174,"做多")</f>
        <v/>
      </c>
      <c r="D83" s="2">
        <f>COUNTIFS(交易明細!$B$2:$B$174,$A83,交易明細!$C$2:$C$174,"做空")</f>
        <v/>
      </c>
      <c r="E83" s="2">
        <f>F83+G83+COUNTIFS(交易明細!$B$2:$B$174,$A83,交易明細!$J$2:$J$174,"時間出場")</f>
        <v/>
      </c>
      <c r="F83" s="2">
        <f>COUNTIFS(交易明細!$B$2:$B$174,$A83,交易明細!$J$2:$J$174,"止盈")</f>
        <v/>
      </c>
      <c r="G83" s="2">
        <f>COUNTIFS(交易明細!$B$2:$B$174,$A83,交易明細!$J$2:$J$174,"止損")</f>
        <v/>
      </c>
      <c r="H83" s="4">
        <f>IFERROR(F83/E83,0)</f>
        <v/>
      </c>
      <c r="I83" s="4">
        <f>IFERROR(AVERAGEIFS(交易明細!$L$2:$L$174,交易明細!$B$2:$B$174,$A83,交易明細!$J$2:$J$174,"&lt;&gt;未平倉"),0)</f>
        <v/>
      </c>
      <c r="J83" s="4">
        <f>SUMIFS(交易明細!$L$2:$L$174,交易明細!$B$2:$B$174,$A83,交易明細!$J$2:$J$174,"&lt;&gt;未平倉")</f>
        <v/>
      </c>
      <c r="K83" s="5">
        <f>IFERROR(AVERAGEIFS(交易明細!$K$2:$K$174,交易明細!$B$2:$B$174,$A83,交易明細!$J$2:$J$174,"&lt;&gt;未平倉"),0)</f>
        <v/>
      </c>
      <c r="L83" s="2">
        <f>COUNTIFS(交易明細!$B$2:$B$174,$A83,交易明細!$J$2:$J$174,"未平倉")</f>
        <v/>
      </c>
    </row>
    <row r="84">
      <c r="A84" s="2" t="inlineStr">
        <is>
          <t>ZETA_USDT_PERP</t>
        </is>
      </c>
      <c r="B84" s="2">
        <f>COUNTIFS(交易明細!$B$2:$B$174,$A84)</f>
        <v/>
      </c>
      <c r="C84" s="2">
        <f>COUNTIFS(交易明細!$B$2:$B$174,$A84,交易明細!$C$2:$C$174,"做多")</f>
        <v/>
      </c>
      <c r="D84" s="2">
        <f>COUNTIFS(交易明細!$B$2:$B$174,$A84,交易明細!$C$2:$C$174,"做空")</f>
        <v/>
      </c>
      <c r="E84" s="2">
        <f>F84+G84+COUNTIFS(交易明細!$B$2:$B$174,$A84,交易明細!$J$2:$J$174,"時間出場")</f>
        <v/>
      </c>
      <c r="F84" s="2">
        <f>COUNTIFS(交易明細!$B$2:$B$174,$A84,交易明細!$J$2:$J$174,"止盈")</f>
        <v/>
      </c>
      <c r="G84" s="2">
        <f>COUNTIFS(交易明細!$B$2:$B$174,$A84,交易明細!$J$2:$J$174,"止損")</f>
        <v/>
      </c>
      <c r="H84" s="4">
        <f>IFERROR(F84/E84,0)</f>
        <v/>
      </c>
      <c r="I84" s="4">
        <f>IFERROR(AVERAGEIFS(交易明細!$L$2:$L$174,交易明細!$B$2:$B$174,$A84,交易明細!$J$2:$J$174,"&lt;&gt;未平倉"),0)</f>
        <v/>
      </c>
      <c r="J84" s="4">
        <f>SUMIFS(交易明細!$L$2:$L$174,交易明細!$B$2:$B$174,$A84,交易明細!$J$2:$J$174,"&lt;&gt;未平倉")</f>
        <v/>
      </c>
      <c r="K84" s="5">
        <f>IFERROR(AVERAGEIFS(交易明細!$K$2:$K$174,交易明細!$B$2:$B$174,$A84,交易明細!$J$2:$J$174,"&lt;&gt;未平倉"),0)</f>
        <v/>
      </c>
      <c r="L84" s="2">
        <f>COUNTIFS(交易明細!$B$2:$B$174,$A84,交易明細!$J$2:$J$174,"未平倉")</f>
        <v/>
      </c>
    </row>
    <row r="85">
      <c r="A85" s="2" t="inlineStr">
        <is>
          <t>PROVE_USDT_PERP</t>
        </is>
      </c>
      <c r="B85" s="2">
        <f>COUNTIFS(交易明細!$B$2:$B$174,$A85)</f>
        <v/>
      </c>
      <c r="C85" s="2">
        <f>COUNTIFS(交易明細!$B$2:$B$174,$A85,交易明細!$C$2:$C$174,"做多")</f>
        <v/>
      </c>
      <c r="D85" s="2">
        <f>COUNTIFS(交易明細!$B$2:$B$174,$A85,交易明細!$C$2:$C$174,"做空")</f>
        <v/>
      </c>
      <c r="E85" s="2">
        <f>F85+G85+COUNTIFS(交易明細!$B$2:$B$174,$A85,交易明細!$J$2:$J$174,"時間出場")</f>
        <v/>
      </c>
      <c r="F85" s="2">
        <f>COUNTIFS(交易明細!$B$2:$B$174,$A85,交易明細!$J$2:$J$174,"止盈")</f>
        <v/>
      </c>
      <c r="G85" s="2">
        <f>COUNTIFS(交易明細!$B$2:$B$174,$A85,交易明細!$J$2:$J$174,"止損")</f>
        <v/>
      </c>
      <c r="H85" s="4">
        <f>IFERROR(F85/E85,0)</f>
        <v/>
      </c>
      <c r="I85" s="4">
        <f>IFERROR(AVERAGEIFS(交易明細!$L$2:$L$174,交易明細!$B$2:$B$174,$A85,交易明細!$J$2:$J$174,"&lt;&gt;未平倉"),0)</f>
        <v/>
      </c>
      <c r="J85" s="4">
        <f>SUMIFS(交易明細!$L$2:$L$174,交易明細!$B$2:$B$174,$A85,交易明細!$J$2:$J$174,"&lt;&gt;未平倉")</f>
        <v/>
      </c>
      <c r="K85" s="5">
        <f>IFERROR(AVERAGEIFS(交易明細!$K$2:$K$174,交易明細!$B$2:$B$174,$A85,交易明細!$J$2:$J$174,"&lt;&gt;未平倉"),0)</f>
        <v/>
      </c>
      <c r="L85" s="2">
        <f>COUNTIFS(交易明細!$B$2:$B$174,$A85,交易明細!$J$2:$J$174,"未平倉")</f>
        <v/>
      </c>
    </row>
    <row r="86">
      <c r="A86" s="2" t="inlineStr">
        <is>
          <t>SKR_USDT_PERP</t>
        </is>
      </c>
      <c r="B86" s="2">
        <f>COUNTIFS(交易明細!$B$2:$B$174,$A86)</f>
        <v/>
      </c>
      <c r="C86" s="2">
        <f>COUNTIFS(交易明細!$B$2:$B$174,$A86,交易明細!$C$2:$C$174,"做多")</f>
        <v/>
      </c>
      <c r="D86" s="2">
        <f>COUNTIFS(交易明細!$B$2:$B$174,$A86,交易明細!$C$2:$C$174,"做空")</f>
        <v/>
      </c>
      <c r="E86" s="2">
        <f>F86+G86+COUNTIFS(交易明細!$B$2:$B$174,$A86,交易明細!$J$2:$J$174,"時間出場")</f>
        <v/>
      </c>
      <c r="F86" s="2">
        <f>COUNTIFS(交易明細!$B$2:$B$174,$A86,交易明細!$J$2:$J$174,"止盈")</f>
        <v/>
      </c>
      <c r="G86" s="2">
        <f>COUNTIFS(交易明細!$B$2:$B$174,$A86,交易明細!$J$2:$J$174,"止損")</f>
        <v/>
      </c>
      <c r="H86" s="4">
        <f>IFERROR(F86/E86,0)</f>
        <v/>
      </c>
      <c r="I86" s="4">
        <f>IFERROR(AVERAGEIFS(交易明細!$L$2:$L$174,交易明細!$B$2:$B$174,$A86,交易明細!$J$2:$J$174,"&lt;&gt;未平倉"),0)</f>
        <v/>
      </c>
      <c r="J86" s="4">
        <f>SUMIFS(交易明細!$L$2:$L$174,交易明細!$B$2:$B$174,$A86,交易明細!$J$2:$J$174,"&lt;&gt;未平倉")</f>
        <v/>
      </c>
      <c r="K86" s="5">
        <f>IFERROR(AVERAGEIFS(交易明細!$K$2:$K$174,交易明細!$B$2:$B$174,$A86,交易明細!$J$2:$J$174,"&lt;&gt;未平倉"),0)</f>
        <v/>
      </c>
      <c r="L86" s="2">
        <f>COUNTIFS(交易明細!$B$2:$B$174,$A86,交易明細!$J$2:$J$174,"未平倉")</f>
        <v/>
      </c>
    </row>
    <row r="87">
      <c r="A87" s="2" t="inlineStr">
        <is>
          <t>GRASS_USDT_PERP</t>
        </is>
      </c>
      <c r="B87" s="2">
        <f>COUNTIFS(交易明細!$B$2:$B$174,$A87)</f>
        <v/>
      </c>
      <c r="C87" s="2">
        <f>COUNTIFS(交易明細!$B$2:$B$174,$A87,交易明細!$C$2:$C$174,"做多")</f>
        <v/>
      </c>
      <c r="D87" s="2">
        <f>COUNTIFS(交易明細!$B$2:$B$174,$A87,交易明細!$C$2:$C$174,"做空")</f>
        <v/>
      </c>
      <c r="E87" s="2">
        <f>F87+G87+COUNTIFS(交易明細!$B$2:$B$174,$A87,交易明細!$J$2:$J$174,"時間出場")</f>
        <v/>
      </c>
      <c r="F87" s="2">
        <f>COUNTIFS(交易明細!$B$2:$B$174,$A87,交易明細!$J$2:$J$174,"止盈")</f>
        <v/>
      </c>
      <c r="G87" s="2">
        <f>COUNTIFS(交易明細!$B$2:$B$174,$A87,交易明細!$J$2:$J$174,"止損")</f>
        <v/>
      </c>
      <c r="H87" s="4">
        <f>IFERROR(F87/E87,0)</f>
        <v/>
      </c>
      <c r="I87" s="4">
        <f>IFERROR(AVERAGEIFS(交易明細!$L$2:$L$174,交易明細!$B$2:$B$174,$A87,交易明細!$J$2:$J$174,"&lt;&gt;未平倉"),0)</f>
        <v/>
      </c>
      <c r="J87" s="4">
        <f>SUMIFS(交易明細!$L$2:$L$174,交易明細!$B$2:$B$174,$A87,交易明細!$J$2:$J$174,"&lt;&gt;未平倉")</f>
        <v/>
      </c>
      <c r="K87" s="5">
        <f>IFERROR(AVERAGEIFS(交易明細!$K$2:$K$174,交易明細!$B$2:$B$174,$A87,交易明細!$J$2:$J$174,"&lt;&gt;未平倉"),0)</f>
        <v/>
      </c>
      <c r="L87" s="2">
        <f>COUNTIFS(交易明細!$B$2:$B$174,$A87,交易明細!$J$2:$J$174,"未平倉")</f>
        <v/>
      </c>
    </row>
    <row r="88">
      <c r="A88" s="2" t="inlineStr">
        <is>
          <t>SXT_USDT_PERP</t>
        </is>
      </c>
      <c r="B88" s="2">
        <f>COUNTIFS(交易明細!$B$2:$B$174,$A88)</f>
        <v/>
      </c>
      <c r="C88" s="2">
        <f>COUNTIFS(交易明細!$B$2:$B$174,$A88,交易明細!$C$2:$C$174,"做多")</f>
        <v/>
      </c>
      <c r="D88" s="2">
        <f>COUNTIFS(交易明細!$B$2:$B$174,$A88,交易明細!$C$2:$C$174,"做空")</f>
        <v/>
      </c>
      <c r="E88" s="2">
        <f>F88+G88+COUNTIFS(交易明細!$B$2:$B$174,$A88,交易明細!$J$2:$J$174,"時間出場")</f>
        <v/>
      </c>
      <c r="F88" s="2">
        <f>COUNTIFS(交易明細!$B$2:$B$174,$A88,交易明細!$J$2:$J$174,"止盈")</f>
        <v/>
      </c>
      <c r="G88" s="2">
        <f>COUNTIFS(交易明細!$B$2:$B$174,$A88,交易明細!$J$2:$J$174,"止損")</f>
        <v/>
      </c>
      <c r="H88" s="4">
        <f>IFERROR(F88/E88,0)</f>
        <v/>
      </c>
      <c r="I88" s="4">
        <f>IFERROR(AVERAGEIFS(交易明細!$L$2:$L$174,交易明細!$B$2:$B$174,$A88,交易明細!$J$2:$J$174,"&lt;&gt;未平倉"),0)</f>
        <v/>
      </c>
      <c r="J88" s="4">
        <f>SUMIFS(交易明細!$L$2:$L$174,交易明細!$B$2:$B$174,$A88,交易明細!$J$2:$J$174,"&lt;&gt;未平倉")</f>
        <v/>
      </c>
      <c r="K88" s="5">
        <f>IFERROR(AVERAGEIFS(交易明細!$K$2:$K$174,交易明細!$B$2:$B$174,$A88,交易明細!$J$2:$J$174,"&lt;&gt;未平倉"),0)</f>
        <v/>
      </c>
      <c r="L88" s="2">
        <f>COUNTIFS(交易明細!$B$2:$B$174,$A88,交易明細!$J$2:$J$174,"未平倉")</f>
        <v/>
      </c>
    </row>
    <row r="89">
      <c r="A89" s="2" t="inlineStr">
        <is>
          <t>BSV_USDT_PERP</t>
        </is>
      </c>
      <c r="B89" s="2">
        <f>COUNTIFS(交易明細!$B$2:$B$174,$A89)</f>
        <v/>
      </c>
      <c r="C89" s="2">
        <f>COUNTIFS(交易明細!$B$2:$B$174,$A89,交易明細!$C$2:$C$174,"做多")</f>
        <v/>
      </c>
      <c r="D89" s="2">
        <f>COUNTIFS(交易明細!$B$2:$B$174,$A89,交易明細!$C$2:$C$174,"做空")</f>
        <v/>
      </c>
      <c r="E89" s="2">
        <f>F89+G89+COUNTIFS(交易明細!$B$2:$B$174,$A89,交易明細!$J$2:$J$174,"時間出場")</f>
        <v/>
      </c>
      <c r="F89" s="2">
        <f>COUNTIFS(交易明細!$B$2:$B$174,$A89,交易明細!$J$2:$J$174,"止盈")</f>
        <v/>
      </c>
      <c r="G89" s="2">
        <f>COUNTIFS(交易明細!$B$2:$B$174,$A89,交易明細!$J$2:$J$174,"止損")</f>
        <v/>
      </c>
      <c r="H89" s="4">
        <f>IFERROR(F89/E89,0)</f>
        <v/>
      </c>
      <c r="I89" s="4">
        <f>IFERROR(AVERAGEIFS(交易明細!$L$2:$L$174,交易明細!$B$2:$B$174,$A89,交易明細!$J$2:$J$174,"&lt;&gt;未平倉"),0)</f>
        <v/>
      </c>
      <c r="J89" s="4">
        <f>SUMIFS(交易明細!$L$2:$L$174,交易明細!$B$2:$B$174,$A89,交易明細!$J$2:$J$174,"&lt;&gt;未平倉")</f>
        <v/>
      </c>
      <c r="K89" s="5">
        <f>IFERROR(AVERAGEIFS(交易明細!$K$2:$K$174,交易明細!$B$2:$B$174,$A89,交易明細!$J$2:$J$174,"&lt;&gt;未平倉"),0)</f>
        <v/>
      </c>
      <c r="L89" s="2">
        <f>COUNTIFS(交易明細!$B$2:$B$174,$A89,交易明細!$J$2:$J$174,"未平倉")</f>
        <v/>
      </c>
    </row>
    <row r="90">
      <c r="A90" s="2" t="inlineStr">
        <is>
          <t>TAKE_USDT_PERP</t>
        </is>
      </c>
      <c r="B90" s="2">
        <f>COUNTIFS(交易明細!$B$2:$B$174,$A90)</f>
        <v/>
      </c>
      <c r="C90" s="2">
        <f>COUNTIFS(交易明細!$B$2:$B$174,$A90,交易明細!$C$2:$C$174,"做多")</f>
        <v/>
      </c>
      <c r="D90" s="2">
        <f>COUNTIFS(交易明細!$B$2:$B$174,$A90,交易明細!$C$2:$C$174,"做空")</f>
        <v/>
      </c>
      <c r="E90" s="2">
        <f>F90+G90+COUNTIFS(交易明細!$B$2:$B$174,$A90,交易明細!$J$2:$J$174,"時間出場")</f>
        <v/>
      </c>
      <c r="F90" s="2">
        <f>COUNTIFS(交易明細!$B$2:$B$174,$A90,交易明細!$J$2:$J$174,"止盈")</f>
        <v/>
      </c>
      <c r="G90" s="2">
        <f>COUNTIFS(交易明細!$B$2:$B$174,$A90,交易明細!$J$2:$J$174,"止損")</f>
        <v/>
      </c>
      <c r="H90" s="4">
        <f>IFERROR(F90/E90,0)</f>
        <v/>
      </c>
      <c r="I90" s="4">
        <f>IFERROR(AVERAGEIFS(交易明細!$L$2:$L$174,交易明細!$B$2:$B$174,$A90,交易明細!$J$2:$J$174,"&lt;&gt;未平倉"),0)</f>
        <v/>
      </c>
      <c r="J90" s="4">
        <f>SUMIFS(交易明細!$L$2:$L$174,交易明細!$B$2:$B$174,$A90,交易明細!$J$2:$J$174,"&lt;&gt;未平倉")</f>
        <v/>
      </c>
      <c r="K90" s="5">
        <f>IFERROR(AVERAGEIFS(交易明細!$K$2:$K$174,交易明細!$B$2:$B$174,$A90,交易明細!$J$2:$J$174,"&lt;&gt;未平倉"),0)</f>
        <v/>
      </c>
      <c r="L90" s="2">
        <f>COUNTIFS(交易明細!$B$2:$B$174,$A90,交易明細!$J$2:$J$174,"未平倉")</f>
        <v/>
      </c>
    </row>
    <row r="91">
      <c r="A91" s="2" t="inlineStr">
        <is>
          <t>XNY_USDT_PERP</t>
        </is>
      </c>
      <c r="B91" s="2">
        <f>COUNTIFS(交易明細!$B$2:$B$174,$A91)</f>
        <v/>
      </c>
      <c r="C91" s="2">
        <f>COUNTIFS(交易明細!$B$2:$B$174,$A91,交易明細!$C$2:$C$174,"做多")</f>
        <v/>
      </c>
      <c r="D91" s="2">
        <f>COUNTIFS(交易明細!$B$2:$B$174,$A91,交易明細!$C$2:$C$174,"做空")</f>
        <v/>
      </c>
      <c r="E91" s="2">
        <f>F91+G91+COUNTIFS(交易明細!$B$2:$B$174,$A91,交易明細!$J$2:$J$174,"時間出場")</f>
        <v/>
      </c>
      <c r="F91" s="2">
        <f>COUNTIFS(交易明細!$B$2:$B$174,$A91,交易明細!$J$2:$J$174,"止盈")</f>
        <v/>
      </c>
      <c r="G91" s="2">
        <f>COUNTIFS(交易明細!$B$2:$B$174,$A91,交易明細!$J$2:$J$174,"止損")</f>
        <v/>
      </c>
      <c r="H91" s="4">
        <f>IFERROR(F91/E91,0)</f>
        <v/>
      </c>
      <c r="I91" s="4">
        <f>IFERROR(AVERAGEIFS(交易明細!$L$2:$L$174,交易明細!$B$2:$B$174,$A91,交易明細!$J$2:$J$174,"&lt;&gt;未平倉"),0)</f>
        <v/>
      </c>
      <c r="J91" s="4">
        <f>SUMIFS(交易明細!$L$2:$L$174,交易明細!$B$2:$B$174,$A91,交易明細!$J$2:$J$174,"&lt;&gt;未平倉")</f>
        <v/>
      </c>
      <c r="K91" s="5">
        <f>IFERROR(AVERAGEIFS(交易明細!$K$2:$K$174,交易明細!$B$2:$B$174,$A91,交易明細!$J$2:$J$174,"&lt;&gt;未平倉"),0)</f>
        <v/>
      </c>
      <c r="L91" s="2">
        <f>COUNTIFS(交易明細!$B$2:$B$174,$A91,交易明細!$J$2:$J$174,"未平倉")</f>
        <v/>
      </c>
    </row>
    <row r="92">
      <c r="A92" s="2" t="inlineStr">
        <is>
          <t>TUT_USDT_PERP</t>
        </is>
      </c>
      <c r="B92" s="2">
        <f>COUNTIFS(交易明細!$B$2:$B$174,$A92)</f>
        <v/>
      </c>
      <c r="C92" s="2">
        <f>COUNTIFS(交易明細!$B$2:$B$174,$A92,交易明細!$C$2:$C$174,"做多")</f>
        <v/>
      </c>
      <c r="D92" s="2">
        <f>COUNTIFS(交易明細!$B$2:$B$174,$A92,交易明細!$C$2:$C$174,"做空")</f>
        <v/>
      </c>
      <c r="E92" s="2">
        <f>F92+G92+COUNTIFS(交易明細!$B$2:$B$174,$A92,交易明細!$J$2:$J$174,"時間出場")</f>
        <v/>
      </c>
      <c r="F92" s="2">
        <f>COUNTIFS(交易明細!$B$2:$B$174,$A92,交易明細!$J$2:$J$174,"止盈")</f>
        <v/>
      </c>
      <c r="G92" s="2">
        <f>COUNTIFS(交易明細!$B$2:$B$174,$A92,交易明細!$J$2:$J$174,"止損")</f>
        <v/>
      </c>
      <c r="H92" s="4">
        <f>IFERROR(F92/E92,0)</f>
        <v/>
      </c>
      <c r="I92" s="4">
        <f>IFERROR(AVERAGEIFS(交易明細!$L$2:$L$174,交易明細!$B$2:$B$174,$A92,交易明細!$J$2:$J$174,"&lt;&gt;未平倉"),0)</f>
        <v/>
      </c>
      <c r="J92" s="4">
        <f>SUMIFS(交易明細!$L$2:$L$174,交易明細!$B$2:$B$174,$A92,交易明細!$J$2:$J$174,"&lt;&gt;未平倉")</f>
        <v/>
      </c>
      <c r="K92" s="5">
        <f>IFERROR(AVERAGEIFS(交易明細!$K$2:$K$174,交易明細!$B$2:$B$174,$A92,交易明細!$J$2:$J$174,"&lt;&gt;未平倉"),0)</f>
        <v/>
      </c>
      <c r="L92" s="2">
        <f>COUNTIFS(交易明細!$B$2:$B$174,$A92,交易明細!$J$2:$J$174,"未平倉")</f>
        <v/>
      </c>
    </row>
    <row r="93">
      <c r="A93" s="2" t="inlineStr">
        <is>
          <t>BROCCOLI_USDT_PERP</t>
        </is>
      </c>
      <c r="B93" s="2">
        <f>COUNTIFS(交易明細!$B$2:$B$174,$A93)</f>
        <v/>
      </c>
      <c r="C93" s="2">
        <f>COUNTIFS(交易明細!$B$2:$B$174,$A93,交易明細!$C$2:$C$174,"做多")</f>
        <v/>
      </c>
      <c r="D93" s="2">
        <f>COUNTIFS(交易明細!$B$2:$B$174,$A93,交易明細!$C$2:$C$174,"做空")</f>
        <v/>
      </c>
      <c r="E93" s="2">
        <f>F93+G93+COUNTIFS(交易明細!$B$2:$B$174,$A93,交易明細!$J$2:$J$174,"時間出場")</f>
        <v/>
      </c>
      <c r="F93" s="2">
        <f>COUNTIFS(交易明細!$B$2:$B$174,$A93,交易明細!$J$2:$J$174,"止盈")</f>
        <v/>
      </c>
      <c r="G93" s="2">
        <f>COUNTIFS(交易明細!$B$2:$B$174,$A93,交易明細!$J$2:$J$174,"止損")</f>
        <v/>
      </c>
      <c r="H93" s="4">
        <f>IFERROR(F93/E93,0)</f>
        <v/>
      </c>
      <c r="I93" s="4">
        <f>IFERROR(AVERAGEIFS(交易明細!$L$2:$L$174,交易明細!$B$2:$B$174,$A93,交易明細!$J$2:$J$174,"&lt;&gt;未平倉"),0)</f>
        <v/>
      </c>
      <c r="J93" s="4">
        <f>SUMIFS(交易明細!$L$2:$L$174,交易明細!$B$2:$B$174,$A93,交易明細!$J$2:$J$174,"&lt;&gt;未平倉")</f>
        <v/>
      </c>
      <c r="K93" s="5">
        <f>IFERROR(AVERAGEIFS(交易明細!$K$2:$K$174,交易明細!$B$2:$B$174,$A93,交易明細!$J$2:$J$174,"&lt;&gt;未平倉"),0)</f>
        <v/>
      </c>
      <c r="L93" s="2">
        <f>COUNTIFS(交易明細!$B$2:$B$174,$A93,交易明細!$J$2:$J$174,"未平倉")</f>
        <v/>
      </c>
    </row>
    <row r="94">
      <c r="A94" s="2" t="inlineStr">
        <is>
          <t>BULLA_USDT_PERP</t>
        </is>
      </c>
      <c r="B94" s="2">
        <f>COUNTIFS(交易明細!$B$2:$B$174,$A94)</f>
        <v/>
      </c>
      <c r="C94" s="2">
        <f>COUNTIFS(交易明細!$B$2:$B$174,$A94,交易明細!$C$2:$C$174,"做多")</f>
        <v/>
      </c>
      <c r="D94" s="2">
        <f>COUNTIFS(交易明細!$B$2:$B$174,$A94,交易明細!$C$2:$C$174,"做空")</f>
        <v/>
      </c>
      <c r="E94" s="2">
        <f>F94+G94+COUNTIFS(交易明細!$B$2:$B$174,$A94,交易明細!$J$2:$J$174,"時間出場")</f>
        <v/>
      </c>
      <c r="F94" s="2">
        <f>COUNTIFS(交易明細!$B$2:$B$174,$A94,交易明細!$J$2:$J$174,"止盈")</f>
        <v/>
      </c>
      <c r="G94" s="2">
        <f>COUNTIFS(交易明細!$B$2:$B$174,$A94,交易明細!$J$2:$J$174,"止損")</f>
        <v/>
      </c>
      <c r="H94" s="4">
        <f>IFERROR(F94/E94,0)</f>
        <v/>
      </c>
      <c r="I94" s="4">
        <f>IFERROR(AVERAGEIFS(交易明細!$L$2:$L$174,交易明細!$B$2:$B$174,$A94,交易明細!$J$2:$J$174,"&lt;&gt;未平倉"),0)</f>
        <v/>
      </c>
      <c r="J94" s="4">
        <f>SUMIFS(交易明細!$L$2:$L$174,交易明細!$B$2:$B$174,$A94,交易明細!$J$2:$J$174,"&lt;&gt;未平倉")</f>
        <v/>
      </c>
      <c r="K94" s="5">
        <f>IFERROR(AVERAGEIFS(交易明細!$K$2:$K$174,交易明細!$B$2:$B$174,$A94,交易明細!$J$2:$J$174,"&lt;&gt;未平倉"),0)</f>
        <v/>
      </c>
      <c r="L94" s="2">
        <f>COUNTIFS(交易明細!$B$2:$B$174,$A94,交易明細!$J$2:$J$174,"未平倉")</f>
        <v/>
      </c>
    </row>
    <row r="95">
      <c r="A95" s="2" t="inlineStr">
        <is>
          <t>XAI_USDT_PERP</t>
        </is>
      </c>
      <c r="B95" s="2">
        <f>COUNTIFS(交易明細!$B$2:$B$174,$A95)</f>
        <v/>
      </c>
      <c r="C95" s="2">
        <f>COUNTIFS(交易明細!$B$2:$B$174,$A95,交易明細!$C$2:$C$174,"做多")</f>
        <v/>
      </c>
      <c r="D95" s="2">
        <f>COUNTIFS(交易明細!$B$2:$B$174,$A95,交易明細!$C$2:$C$174,"做空")</f>
        <v/>
      </c>
      <c r="E95" s="2">
        <f>F95+G95+COUNTIFS(交易明細!$B$2:$B$174,$A95,交易明細!$J$2:$J$174,"時間出場")</f>
        <v/>
      </c>
      <c r="F95" s="2">
        <f>COUNTIFS(交易明細!$B$2:$B$174,$A95,交易明細!$J$2:$J$174,"止盈")</f>
        <v/>
      </c>
      <c r="G95" s="2">
        <f>COUNTIFS(交易明細!$B$2:$B$174,$A95,交易明細!$J$2:$J$174,"止損")</f>
        <v/>
      </c>
      <c r="H95" s="4">
        <f>IFERROR(F95/E95,0)</f>
        <v/>
      </c>
      <c r="I95" s="4">
        <f>IFERROR(AVERAGEIFS(交易明細!$L$2:$L$174,交易明細!$B$2:$B$174,$A95,交易明細!$J$2:$J$174,"&lt;&gt;未平倉"),0)</f>
        <v/>
      </c>
      <c r="J95" s="4">
        <f>SUMIFS(交易明細!$L$2:$L$174,交易明細!$B$2:$B$174,$A95,交易明細!$J$2:$J$174,"&lt;&gt;未平倉")</f>
        <v/>
      </c>
      <c r="K95" s="5">
        <f>IFERROR(AVERAGEIFS(交易明細!$K$2:$K$174,交易明細!$B$2:$B$174,$A95,交易明細!$J$2:$J$174,"&lt;&gt;未平倉"),0)</f>
        <v/>
      </c>
      <c r="L95" s="2">
        <f>COUNTIFS(交易明細!$B$2:$B$174,$A95,交易明細!$J$2:$J$174,"未平倉")</f>
        <v/>
      </c>
    </row>
    <row r="96">
      <c r="A96" s="2" t="inlineStr">
        <is>
          <t>2Z_USDT_PERP</t>
        </is>
      </c>
      <c r="B96" s="2">
        <f>COUNTIFS(交易明細!$B$2:$B$174,$A96)</f>
        <v/>
      </c>
      <c r="C96" s="2">
        <f>COUNTIFS(交易明細!$B$2:$B$174,$A96,交易明細!$C$2:$C$174,"做多")</f>
        <v/>
      </c>
      <c r="D96" s="2">
        <f>COUNTIFS(交易明細!$B$2:$B$174,$A96,交易明細!$C$2:$C$174,"做空")</f>
        <v/>
      </c>
      <c r="E96" s="2">
        <f>F96+G96+COUNTIFS(交易明細!$B$2:$B$174,$A96,交易明細!$J$2:$J$174,"時間出場")</f>
        <v/>
      </c>
      <c r="F96" s="2">
        <f>COUNTIFS(交易明細!$B$2:$B$174,$A96,交易明細!$J$2:$J$174,"止盈")</f>
        <v/>
      </c>
      <c r="G96" s="2">
        <f>COUNTIFS(交易明細!$B$2:$B$174,$A96,交易明細!$J$2:$J$174,"止損")</f>
        <v/>
      </c>
      <c r="H96" s="4">
        <f>IFERROR(F96/E96,0)</f>
        <v/>
      </c>
      <c r="I96" s="4">
        <f>IFERROR(AVERAGEIFS(交易明細!$L$2:$L$174,交易明細!$B$2:$B$174,$A96,交易明細!$J$2:$J$174,"&lt;&gt;未平倉"),0)</f>
        <v/>
      </c>
      <c r="J96" s="4">
        <f>SUMIFS(交易明細!$L$2:$L$174,交易明細!$B$2:$B$174,$A96,交易明細!$J$2:$J$174,"&lt;&gt;未平倉")</f>
        <v/>
      </c>
      <c r="K96" s="5">
        <f>IFERROR(AVERAGEIFS(交易明細!$K$2:$K$174,交易明細!$B$2:$B$174,$A96,交易明細!$J$2:$J$174,"&lt;&gt;未平倉"),0)</f>
        <v/>
      </c>
      <c r="L96" s="2">
        <f>COUNTIFS(交易明細!$B$2:$B$174,$A96,交易明細!$J$2:$J$174,"未平倉")</f>
        <v/>
      </c>
    </row>
    <row r="97">
      <c r="A97" s="2" t="inlineStr">
        <is>
          <t>CLANKER_USDT_PERP</t>
        </is>
      </c>
      <c r="B97" s="2">
        <f>COUNTIFS(交易明細!$B$2:$B$174,$A97)</f>
        <v/>
      </c>
      <c r="C97" s="2">
        <f>COUNTIFS(交易明細!$B$2:$B$174,$A97,交易明細!$C$2:$C$174,"做多")</f>
        <v/>
      </c>
      <c r="D97" s="2">
        <f>COUNTIFS(交易明細!$B$2:$B$174,$A97,交易明細!$C$2:$C$174,"做空")</f>
        <v/>
      </c>
      <c r="E97" s="2">
        <f>F97+G97+COUNTIFS(交易明細!$B$2:$B$174,$A97,交易明細!$J$2:$J$174,"時間出場")</f>
        <v/>
      </c>
      <c r="F97" s="2">
        <f>COUNTIFS(交易明細!$B$2:$B$174,$A97,交易明細!$J$2:$J$174,"止盈")</f>
        <v/>
      </c>
      <c r="G97" s="2">
        <f>COUNTIFS(交易明細!$B$2:$B$174,$A97,交易明細!$J$2:$J$174,"止損")</f>
        <v/>
      </c>
      <c r="H97" s="4">
        <f>IFERROR(F97/E97,0)</f>
        <v/>
      </c>
      <c r="I97" s="4">
        <f>IFERROR(AVERAGEIFS(交易明細!$L$2:$L$174,交易明細!$B$2:$B$174,$A97,交易明細!$J$2:$J$174,"&lt;&gt;未平倉"),0)</f>
        <v/>
      </c>
      <c r="J97" s="4">
        <f>SUMIFS(交易明細!$L$2:$L$174,交易明細!$B$2:$B$174,$A97,交易明細!$J$2:$J$174,"&lt;&gt;未平倉")</f>
        <v/>
      </c>
      <c r="K97" s="5">
        <f>IFERROR(AVERAGEIFS(交易明細!$K$2:$K$174,交易明細!$B$2:$B$174,$A97,交易明細!$J$2:$J$174,"&lt;&gt;未平倉"),0)</f>
        <v/>
      </c>
      <c r="L97" s="2">
        <f>COUNTIFS(交易明細!$B$2:$B$174,$A97,交易明細!$J$2:$J$174,"未平倉")</f>
        <v/>
      </c>
    </row>
    <row r="98">
      <c r="A98" s="2" t="inlineStr">
        <is>
          <t>SOON_USDT_PERP</t>
        </is>
      </c>
      <c r="B98" s="2">
        <f>COUNTIFS(交易明細!$B$2:$B$174,$A98)</f>
        <v/>
      </c>
      <c r="C98" s="2">
        <f>COUNTIFS(交易明細!$B$2:$B$174,$A98,交易明細!$C$2:$C$174,"做多")</f>
        <v/>
      </c>
      <c r="D98" s="2">
        <f>COUNTIFS(交易明細!$B$2:$B$174,$A98,交易明細!$C$2:$C$174,"做空")</f>
        <v/>
      </c>
      <c r="E98" s="2">
        <f>F98+G98+COUNTIFS(交易明細!$B$2:$B$174,$A98,交易明細!$J$2:$J$174,"時間出場")</f>
        <v/>
      </c>
      <c r="F98" s="2">
        <f>COUNTIFS(交易明細!$B$2:$B$174,$A98,交易明細!$J$2:$J$174,"止盈")</f>
        <v/>
      </c>
      <c r="G98" s="2">
        <f>COUNTIFS(交易明細!$B$2:$B$174,$A98,交易明細!$J$2:$J$174,"止損")</f>
        <v/>
      </c>
      <c r="H98" s="4">
        <f>IFERROR(F98/E98,0)</f>
        <v/>
      </c>
      <c r="I98" s="4">
        <f>IFERROR(AVERAGEIFS(交易明細!$L$2:$L$174,交易明細!$B$2:$B$174,$A98,交易明細!$J$2:$J$174,"&lt;&gt;未平倉"),0)</f>
        <v/>
      </c>
      <c r="J98" s="4">
        <f>SUMIFS(交易明細!$L$2:$L$174,交易明細!$B$2:$B$174,$A98,交易明細!$J$2:$J$174,"&lt;&gt;未平倉")</f>
        <v/>
      </c>
      <c r="K98" s="5">
        <f>IFERROR(AVERAGEIFS(交易明細!$K$2:$K$174,交易明細!$B$2:$B$174,$A98,交易明細!$J$2:$J$174,"&lt;&gt;未平倉"),0)</f>
        <v/>
      </c>
      <c r="L98" s="2">
        <f>COUNTIFS(交易明細!$B$2:$B$174,$A98,交易明細!$J$2:$J$174,"未平倉")</f>
        <v/>
      </c>
    </row>
    <row r="99">
      <c r="A99" s="2" t="inlineStr">
        <is>
          <t>ARX_USDT_PERP</t>
        </is>
      </c>
      <c r="B99" s="2">
        <f>COUNTIFS(交易明細!$B$2:$B$174,$A99)</f>
        <v/>
      </c>
      <c r="C99" s="2">
        <f>COUNTIFS(交易明細!$B$2:$B$174,$A99,交易明細!$C$2:$C$174,"做多")</f>
        <v/>
      </c>
      <c r="D99" s="2">
        <f>COUNTIFS(交易明細!$B$2:$B$174,$A99,交易明細!$C$2:$C$174,"做空")</f>
        <v/>
      </c>
      <c r="E99" s="2">
        <f>F99+G99+COUNTIFS(交易明細!$B$2:$B$174,$A99,交易明細!$J$2:$J$174,"時間出場")</f>
        <v/>
      </c>
      <c r="F99" s="2">
        <f>COUNTIFS(交易明細!$B$2:$B$174,$A99,交易明細!$J$2:$J$174,"止盈")</f>
        <v/>
      </c>
      <c r="G99" s="2">
        <f>COUNTIFS(交易明細!$B$2:$B$174,$A99,交易明細!$J$2:$J$174,"止損")</f>
        <v/>
      </c>
      <c r="H99" s="4">
        <f>IFERROR(F99/E99,0)</f>
        <v/>
      </c>
      <c r="I99" s="4">
        <f>IFERROR(AVERAGEIFS(交易明細!$L$2:$L$174,交易明細!$B$2:$B$174,$A99,交易明細!$J$2:$J$174,"&lt;&gt;未平倉"),0)</f>
        <v/>
      </c>
      <c r="J99" s="4">
        <f>SUMIFS(交易明細!$L$2:$L$174,交易明細!$B$2:$B$174,$A99,交易明細!$J$2:$J$174,"&lt;&gt;未平倉")</f>
        <v/>
      </c>
      <c r="K99" s="5">
        <f>IFERROR(AVERAGEIFS(交易明細!$K$2:$K$174,交易明細!$B$2:$B$174,$A99,交易明細!$J$2:$J$174,"&lt;&gt;未平倉"),0)</f>
        <v/>
      </c>
      <c r="L99" s="2">
        <f>COUNTIFS(交易明細!$B$2:$B$174,$A99,交易明細!$J$2:$J$174,"未平倉")</f>
        <v/>
      </c>
    </row>
    <row r="100">
      <c r="A100" s="2" t="inlineStr">
        <is>
          <t>MAGIC_USDT_PERP</t>
        </is>
      </c>
      <c r="B100" s="2">
        <f>COUNTIFS(交易明細!$B$2:$B$174,$A100)</f>
        <v/>
      </c>
      <c r="C100" s="2">
        <f>COUNTIFS(交易明細!$B$2:$B$174,$A100,交易明細!$C$2:$C$174,"做多")</f>
        <v/>
      </c>
      <c r="D100" s="2">
        <f>COUNTIFS(交易明細!$B$2:$B$174,$A100,交易明細!$C$2:$C$174,"做空")</f>
        <v/>
      </c>
      <c r="E100" s="2">
        <f>F100+G100+COUNTIFS(交易明細!$B$2:$B$174,$A100,交易明細!$J$2:$J$174,"時間出場")</f>
        <v/>
      </c>
      <c r="F100" s="2">
        <f>COUNTIFS(交易明細!$B$2:$B$174,$A100,交易明細!$J$2:$J$174,"止盈")</f>
        <v/>
      </c>
      <c r="G100" s="2">
        <f>COUNTIFS(交易明細!$B$2:$B$174,$A100,交易明細!$J$2:$J$174,"止損")</f>
        <v/>
      </c>
      <c r="H100" s="4">
        <f>IFERROR(F100/E100,0)</f>
        <v/>
      </c>
      <c r="I100" s="4">
        <f>IFERROR(AVERAGEIFS(交易明細!$L$2:$L$174,交易明細!$B$2:$B$174,$A100,交易明細!$J$2:$J$174,"&lt;&gt;未平倉"),0)</f>
        <v/>
      </c>
      <c r="J100" s="4">
        <f>SUMIFS(交易明細!$L$2:$L$174,交易明細!$B$2:$B$174,$A100,交易明細!$J$2:$J$174,"&lt;&gt;未平倉")</f>
        <v/>
      </c>
      <c r="K100" s="5">
        <f>IFERROR(AVERAGEIFS(交易明細!$K$2:$K$174,交易明細!$B$2:$B$174,$A100,交易明細!$J$2:$J$174,"&lt;&gt;未平倉"),0)</f>
        <v/>
      </c>
      <c r="L100" s="2">
        <f>COUNTIFS(交易明細!$B$2:$B$174,$A100,交易明細!$J$2:$J$174,"未平倉")</f>
        <v/>
      </c>
    </row>
    <row r="101">
      <c r="A101" s="2" t="inlineStr">
        <is>
          <t>IRYS_USDT_PERP</t>
        </is>
      </c>
      <c r="B101" s="2">
        <f>COUNTIFS(交易明細!$B$2:$B$174,$A101)</f>
        <v/>
      </c>
      <c r="C101" s="2">
        <f>COUNTIFS(交易明細!$B$2:$B$174,$A101,交易明細!$C$2:$C$174,"做多")</f>
        <v/>
      </c>
      <c r="D101" s="2">
        <f>COUNTIFS(交易明細!$B$2:$B$174,$A101,交易明細!$C$2:$C$174,"做空")</f>
        <v/>
      </c>
      <c r="E101" s="2">
        <f>F101+G101+COUNTIFS(交易明細!$B$2:$B$174,$A101,交易明細!$J$2:$J$174,"時間出場")</f>
        <v/>
      </c>
      <c r="F101" s="2">
        <f>COUNTIFS(交易明細!$B$2:$B$174,$A101,交易明細!$J$2:$J$174,"止盈")</f>
        <v/>
      </c>
      <c r="G101" s="2">
        <f>COUNTIFS(交易明細!$B$2:$B$174,$A101,交易明細!$J$2:$J$174,"止損")</f>
        <v/>
      </c>
      <c r="H101" s="4">
        <f>IFERROR(F101/E101,0)</f>
        <v/>
      </c>
      <c r="I101" s="4">
        <f>IFERROR(AVERAGEIFS(交易明細!$L$2:$L$174,交易明細!$B$2:$B$174,$A101,交易明細!$J$2:$J$174,"&lt;&gt;未平倉"),0)</f>
        <v/>
      </c>
      <c r="J101" s="4">
        <f>SUMIFS(交易明細!$L$2:$L$174,交易明細!$B$2:$B$174,$A101,交易明細!$J$2:$J$174,"&lt;&gt;未平倉")</f>
        <v/>
      </c>
      <c r="K101" s="5">
        <f>IFERROR(AVERAGEIFS(交易明細!$K$2:$K$174,交易明細!$B$2:$B$174,$A101,交易明細!$J$2:$J$174,"&lt;&gt;未平倉"),0)</f>
        <v/>
      </c>
      <c r="L101" s="2">
        <f>COUNTIFS(交易明細!$B$2:$B$174,$A101,交易明細!$J$2:$J$174,"未平倉")</f>
        <v/>
      </c>
    </row>
    <row r="102">
      <c r="A102" s="2" t="inlineStr">
        <is>
          <t>NMR_USDT_PERP</t>
        </is>
      </c>
      <c r="B102" s="2">
        <f>COUNTIFS(交易明細!$B$2:$B$174,$A102)</f>
        <v/>
      </c>
      <c r="C102" s="2">
        <f>COUNTIFS(交易明細!$B$2:$B$174,$A102,交易明細!$C$2:$C$174,"做多")</f>
        <v/>
      </c>
      <c r="D102" s="2">
        <f>COUNTIFS(交易明細!$B$2:$B$174,$A102,交易明細!$C$2:$C$174,"做空")</f>
        <v/>
      </c>
      <c r="E102" s="2">
        <f>F102+G102+COUNTIFS(交易明細!$B$2:$B$174,$A102,交易明細!$J$2:$J$174,"時間出場")</f>
        <v/>
      </c>
      <c r="F102" s="2">
        <f>COUNTIFS(交易明細!$B$2:$B$174,$A102,交易明細!$J$2:$J$174,"止盈")</f>
        <v/>
      </c>
      <c r="G102" s="2">
        <f>COUNTIFS(交易明細!$B$2:$B$174,$A102,交易明細!$J$2:$J$174,"止損")</f>
        <v/>
      </c>
      <c r="H102" s="4">
        <f>IFERROR(F102/E102,0)</f>
        <v/>
      </c>
      <c r="I102" s="4">
        <f>IFERROR(AVERAGEIFS(交易明細!$L$2:$L$174,交易明細!$B$2:$B$174,$A102,交易明細!$J$2:$J$174,"&lt;&gt;未平倉"),0)</f>
        <v/>
      </c>
      <c r="J102" s="4">
        <f>SUMIFS(交易明細!$L$2:$L$174,交易明細!$B$2:$B$174,$A102,交易明細!$J$2:$J$174,"&lt;&gt;未平倉")</f>
        <v/>
      </c>
      <c r="K102" s="5">
        <f>IFERROR(AVERAGEIFS(交易明細!$K$2:$K$174,交易明細!$B$2:$B$174,$A102,交易明細!$J$2:$J$174,"&lt;&gt;未平倉"),0)</f>
        <v/>
      </c>
      <c r="L102" s="2">
        <f>COUNTIFS(交易明細!$B$2:$B$174,$A102,交易明細!$J$2:$J$174,"未平倉")</f>
        <v/>
      </c>
    </row>
    <row r="103">
      <c r="A103" s="2" t="inlineStr">
        <is>
          <t>SOMI_USDT_PERP</t>
        </is>
      </c>
      <c r="B103" s="2">
        <f>COUNTIFS(交易明細!$B$2:$B$174,$A103)</f>
        <v/>
      </c>
      <c r="C103" s="2">
        <f>COUNTIFS(交易明細!$B$2:$B$174,$A103,交易明細!$C$2:$C$174,"做多")</f>
        <v/>
      </c>
      <c r="D103" s="2">
        <f>COUNTIFS(交易明細!$B$2:$B$174,$A103,交易明細!$C$2:$C$174,"做空")</f>
        <v/>
      </c>
      <c r="E103" s="2">
        <f>F103+G103+COUNTIFS(交易明細!$B$2:$B$174,$A103,交易明細!$J$2:$J$174,"時間出場")</f>
        <v/>
      </c>
      <c r="F103" s="2">
        <f>COUNTIFS(交易明細!$B$2:$B$174,$A103,交易明細!$J$2:$J$174,"止盈")</f>
        <v/>
      </c>
      <c r="G103" s="2">
        <f>COUNTIFS(交易明細!$B$2:$B$174,$A103,交易明細!$J$2:$J$174,"止損")</f>
        <v/>
      </c>
      <c r="H103" s="4">
        <f>IFERROR(F103/E103,0)</f>
        <v/>
      </c>
      <c r="I103" s="4">
        <f>IFERROR(AVERAGEIFS(交易明細!$L$2:$L$174,交易明細!$B$2:$B$174,$A103,交易明細!$J$2:$J$174,"&lt;&gt;未平倉"),0)</f>
        <v/>
      </c>
      <c r="J103" s="4">
        <f>SUMIFS(交易明細!$L$2:$L$174,交易明細!$B$2:$B$174,$A103,交易明細!$J$2:$J$174,"&lt;&gt;未平倉")</f>
        <v/>
      </c>
      <c r="K103" s="5">
        <f>IFERROR(AVERAGEIFS(交易明細!$K$2:$K$174,交易明細!$B$2:$B$174,$A103,交易明細!$J$2:$J$174,"&lt;&gt;未平倉"),0)</f>
        <v/>
      </c>
      <c r="L103" s="2">
        <f>COUNTIFS(交易明細!$B$2:$B$174,$A103,交易明細!$J$2:$J$174,"未平倉")</f>
        <v/>
      </c>
    </row>
    <row r="104">
      <c r="A104" s="2" t="inlineStr">
        <is>
          <t>SAND_USDT_PERP</t>
        </is>
      </c>
      <c r="B104" s="2">
        <f>COUNTIFS(交易明細!$B$2:$B$174,$A104)</f>
        <v/>
      </c>
      <c r="C104" s="2">
        <f>COUNTIFS(交易明細!$B$2:$B$174,$A104,交易明細!$C$2:$C$174,"做多")</f>
        <v/>
      </c>
      <c r="D104" s="2">
        <f>COUNTIFS(交易明細!$B$2:$B$174,$A104,交易明細!$C$2:$C$174,"做空")</f>
        <v/>
      </c>
      <c r="E104" s="2">
        <f>F104+G104+COUNTIFS(交易明細!$B$2:$B$174,$A104,交易明細!$J$2:$J$174,"時間出場")</f>
        <v/>
      </c>
      <c r="F104" s="2">
        <f>COUNTIFS(交易明細!$B$2:$B$174,$A104,交易明細!$J$2:$J$174,"止盈")</f>
        <v/>
      </c>
      <c r="G104" s="2">
        <f>COUNTIFS(交易明細!$B$2:$B$174,$A104,交易明細!$J$2:$J$174,"止損")</f>
        <v/>
      </c>
      <c r="H104" s="4">
        <f>IFERROR(F104/E104,0)</f>
        <v/>
      </c>
      <c r="I104" s="4">
        <f>IFERROR(AVERAGEIFS(交易明細!$L$2:$L$174,交易明細!$B$2:$B$174,$A104,交易明細!$J$2:$J$174,"&lt;&gt;未平倉"),0)</f>
        <v/>
      </c>
      <c r="J104" s="4">
        <f>SUMIFS(交易明細!$L$2:$L$174,交易明細!$B$2:$B$174,$A104,交易明細!$J$2:$J$174,"&lt;&gt;未平倉")</f>
        <v/>
      </c>
      <c r="K104" s="5">
        <f>IFERROR(AVERAGEIFS(交易明細!$K$2:$K$174,交易明細!$B$2:$B$174,$A104,交易明細!$J$2:$J$174,"&lt;&gt;未平倉"),0)</f>
        <v/>
      </c>
      <c r="L104" s="2">
        <f>COUNTIFS(交易明細!$B$2:$B$174,$A104,交易明細!$J$2:$J$174,"未平倉")</f>
        <v/>
      </c>
    </row>
    <row r="105">
      <c r="A105" s="2" t="inlineStr">
        <is>
          <t>SPORTFUN_USDT_PERP</t>
        </is>
      </c>
      <c r="B105" s="2">
        <f>COUNTIFS(交易明細!$B$2:$B$174,$A105)</f>
        <v/>
      </c>
      <c r="C105" s="2">
        <f>COUNTIFS(交易明細!$B$2:$B$174,$A105,交易明細!$C$2:$C$174,"做多")</f>
        <v/>
      </c>
      <c r="D105" s="2">
        <f>COUNTIFS(交易明細!$B$2:$B$174,$A105,交易明細!$C$2:$C$174,"做空")</f>
        <v/>
      </c>
      <c r="E105" s="2">
        <f>F105+G105+COUNTIFS(交易明細!$B$2:$B$174,$A105,交易明細!$J$2:$J$174,"時間出場")</f>
        <v/>
      </c>
      <c r="F105" s="2">
        <f>COUNTIFS(交易明細!$B$2:$B$174,$A105,交易明細!$J$2:$J$174,"止盈")</f>
        <v/>
      </c>
      <c r="G105" s="2">
        <f>COUNTIFS(交易明細!$B$2:$B$174,$A105,交易明細!$J$2:$J$174,"止損")</f>
        <v/>
      </c>
      <c r="H105" s="4">
        <f>IFERROR(F105/E105,0)</f>
        <v/>
      </c>
      <c r="I105" s="4">
        <f>IFERROR(AVERAGEIFS(交易明細!$L$2:$L$174,交易明細!$B$2:$B$174,$A105,交易明細!$J$2:$J$174,"&lt;&gt;未平倉"),0)</f>
        <v/>
      </c>
      <c r="J105" s="4">
        <f>SUMIFS(交易明細!$L$2:$L$174,交易明細!$B$2:$B$174,$A105,交易明細!$J$2:$J$174,"&lt;&gt;未平倉")</f>
        <v/>
      </c>
      <c r="K105" s="5">
        <f>IFERROR(AVERAGEIFS(交易明細!$K$2:$K$174,交易明細!$B$2:$B$174,$A105,交易明細!$J$2:$J$174,"&lt;&gt;未平倉"),0)</f>
        <v/>
      </c>
      <c r="L105" s="2">
        <f>COUNTIFS(交易明細!$B$2:$B$174,$A105,交易明細!$J$2:$J$174,"未平倉")</f>
        <v/>
      </c>
    </row>
    <row r="106">
      <c r="A106" s="2" t="inlineStr">
        <is>
          <t>BEAMX_USDT_PERP</t>
        </is>
      </c>
      <c r="B106" s="2">
        <f>COUNTIFS(交易明細!$B$2:$B$174,$A106)</f>
        <v/>
      </c>
      <c r="C106" s="2">
        <f>COUNTIFS(交易明細!$B$2:$B$174,$A106,交易明細!$C$2:$C$174,"做多")</f>
        <v/>
      </c>
      <c r="D106" s="2">
        <f>COUNTIFS(交易明細!$B$2:$B$174,$A106,交易明細!$C$2:$C$174,"做空")</f>
        <v/>
      </c>
      <c r="E106" s="2">
        <f>F106+G106+COUNTIFS(交易明細!$B$2:$B$174,$A106,交易明細!$J$2:$J$174,"時間出場")</f>
        <v/>
      </c>
      <c r="F106" s="2">
        <f>COUNTIFS(交易明細!$B$2:$B$174,$A106,交易明細!$J$2:$J$174,"止盈")</f>
        <v/>
      </c>
      <c r="G106" s="2">
        <f>COUNTIFS(交易明細!$B$2:$B$174,$A106,交易明細!$J$2:$J$174,"止損")</f>
        <v/>
      </c>
      <c r="H106" s="4">
        <f>IFERROR(F106/E106,0)</f>
        <v/>
      </c>
      <c r="I106" s="4">
        <f>IFERROR(AVERAGEIFS(交易明細!$L$2:$L$174,交易明細!$B$2:$B$174,$A106,交易明細!$J$2:$J$174,"&lt;&gt;未平倉"),0)</f>
        <v/>
      </c>
      <c r="J106" s="4">
        <f>SUMIFS(交易明細!$L$2:$L$174,交易明細!$B$2:$B$174,$A106,交易明細!$J$2:$J$174,"&lt;&gt;未平倉")</f>
        <v/>
      </c>
      <c r="K106" s="5">
        <f>IFERROR(AVERAGEIFS(交易明細!$K$2:$K$174,交易明細!$B$2:$B$174,$A106,交易明細!$J$2:$J$174,"&lt;&gt;未平倉"),0)</f>
        <v/>
      </c>
      <c r="L106" s="2">
        <f>COUNTIFS(交易明細!$B$2:$B$174,$A106,交易明細!$J$2:$J$174,"未平倉")</f>
        <v/>
      </c>
    </row>
  </sheetData>
  <autoFilter ref="A1:L10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IOST_USDT_PERP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IOTA_USDT_PERP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IRYS_USDT_PERP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JASMY_USDT_PERP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JELLYJELLY_USDT_PERP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JUP_USDT_PERP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KAIA_USDT_PERP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KAITO_USDT_PERP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KAS_USDT_PERP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KAT_USDT_PERP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KAVA_USDT_PERP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KERNEL_USDT_PERP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KGEN_USDT_PERP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KII_USDT_PERP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XDP_USDT_PERP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XEC_USDT_PERP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XLM_USDT_PERP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XMR_USDT_PERP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XNY_USDT_PERP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XPIN_USDT_PERP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XPL_USDT_PERP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XRP_USDT_PERP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XTZ_USDT_PERP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XVG_USDT_PERP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XYZX_USDT_PERP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YB_USDT_PERP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YFI_USDT_PERP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YGG_USDT_PERP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ZAMA_USDT_PERP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ZBT_USDT_PERP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ZEN_USDT_PERP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ZEREBRO_USDT_PERP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ZEST_USDT_PERP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ZETA_USDT_PERP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ZIL_USDT_PERP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ZKC_USDT_PERP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ZKP_USDT_PERP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ZKSYNC_USDT_PERP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ZORA_USDT_PERP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ZRO_USDT_PERP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ZRX_USDT_PERP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哈基米_USDT_PERP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币安人生_USDT_PERP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我踏马来了_USDT_PERP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牛来_USDT_PERP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</sheetData>
  <autoFilter ref="A1:H4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2026-10-04T19:43:50Z</dcterms:created>
  <dcterms:modified xsi:type="dcterms:W3CDTF">2026-10-04T19:43:50Z</dcterms:modified>
</cp:coreProperties>
</file>