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'資金明細'!$A$1:$Z$66</definedName>
    <definedName name="_xlnm._FilterDatabase" localSheetId="5" hidden="1">'交易明細'!$A$1:$AP$33</definedName>
    <definedName name="_xlnm._FilterDatabase" localSheetId="6" hidden="1">'幣種統計'!$A$1:$L$25</definedName>
    <definedName name="_xlnm._FilterDatabase" localSheetId="7" hidden="1">'掃描清單'!$A$1:$H$446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2026-10-04 03:58（Dry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COUNTIFS(交易明細!$B$2:$B$33,"&lt;&gt;")</f>
        <v/>
      </c>
      <c r="C5" s="2">
        <f>D5+E5+F5</f>
        <v/>
      </c>
      <c r="D5" s="2">
        <f>COUNTIFS(交易明細!$J$2:$J$33,"止盈")</f>
        <v/>
      </c>
      <c r="E5" s="2">
        <f>COUNTIFS(交易明細!$J$2:$J$33,"止損")</f>
        <v/>
      </c>
      <c r="F5" s="2">
        <f>COUNTIFS(交易明細!$J$2:$J$33,"時間出場")</f>
        <v/>
      </c>
      <c r="G5" s="2">
        <f>COUNTIFS(交易明細!$J$2:$J$33,"未平倉")</f>
        <v/>
      </c>
      <c r="H5" s="4">
        <f>IFERROR(D5/C5,0)</f>
        <v/>
      </c>
      <c r="I5" s="4">
        <f>IFERROR(AVERAGEIFS(交易明細!$AC$2:$AC$33,交易明細!$J$2:$J$33,"&lt;&gt;未平倉"),參數!$B$16)</f>
        <v/>
      </c>
      <c r="J5" s="4">
        <f>IFERROR(AVERAGEIFS(交易明細!$L$2:$L$33,交易明細!$J$2:$J$33,"&lt;&gt;未平倉"),0)</f>
        <v/>
      </c>
      <c r="K5" s="4">
        <f>SUMIFS(交易明細!$L$2:$L$33,交易明細!$J$2:$J$33,"&lt;&gt;未平倉")</f>
        <v/>
      </c>
      <c r="L5" s="5">
        <f>IFERROR(AVERAGEIFS(交易明細!$K$2:$K$33,交易明細!$J$2:$J$33,"&lt;&gt;未平倉"),0)</f>
        <v/>
      </c>
      <c r="M5" s="5">
        <f>IFERROR(AVERAGEIFS(交易明細!$K$2:$K$33,交易明細!$J$2:$J$33,"止盈"),0)</f>
        <v/>
      </c>
      <c r="N5" s="5">
        <f>IFERROR(AVERAGEIFS(交易明細!$K$2:$K$33,交易明細!$J$2:$J$33,"止損"),0)</f>
        <v/>
      </c>
      <c r="O5" s="4">
        <f>IFERROR(AVERAGEIFS(交易明細!$L$2:$L$33,交易明細!$J$2:$J$33,"時間出場"),0)</f>
        <v/>
      </c>
      <c r="P5" s="4">
        <f>IFERROR(COUNTIFS(交易明細!$J$2:$J$33,"&lt;&gt;未平倉",交易明細!$L$2:$L$33,"&gt;0")/C5,0)</f>
        <v/>
      </c>
    </row>
    <row r="6">
      <c r="A6" s="2" t="inlineStr">
        <is>
          <t>做多</t>
        </is>
      </c>
      <c r="B6" s="2">
        <f>COUNTIFS(交易明細!$C$2:$C$33,"做多",交易明細!$B$2:$B$33,"&lt;&gt;")</f>
        <v/>
      </c>
      <c r="C6" s="2">
        <f>D6+E6+F6</f>
        <v/>
      </c>
      <c r="D6" s="2">
        <f>COUNTIFS(交易明細!$C$2:$C$33,"做多",交易明細!$J$2:$J$33,"止盈")</f>
        <v/>
      </c>
      <c r="E6" s="2">
        <f>COUNTIFS(交易明細!$C$2:$C$33,"做多",交易明細!$J$2:$J$33,"止損")</f>
        <v/>
      </c>
      <c r="F6" s="2">
        <f>COUNTIFS(交易明細!$C$2:$C$33,"做多",交易明細!$J$2:$J$33,"時間出場")</f>
        <v/>
      </c>
      <c r="G6" s="2">
        <f>COUNTIFS(交易明細!$C$2:$C$33,"做多",交易明細!$J$2:$J$33,"未平倉")</f>
        <v/>
      </c>
      <c r="H6" s="4">
        <f>IFERROR(D6/C6,0)</f>
        <v/>
      </c>
      <c r="I6" s="4">
        <f>IFERROR(AVERAGEIFS(交易明細!$AC$2:$AC$33,交易明細!$C$2:$C$33,"做多",交易明細!$J$2:$J$33,"&lt;&gt;未平倉"),參數!$B$16)</f>
        <v/>
      </c>
      <c r="J6" s="4">
        <f>IFERROR(AVERAGEIFS(交易明細!$L$2:$L$33,交易明細!$C$2:$C$33,"做多",交易明細!$J$2:$J$33,"&lt;&gt;未平倉"),0)</f>
        <v/>
      </c>
      <c r="K6" s="4">
        <f>SUMIFS(交易明細!$L$2:$L$33,交易明細!$C$2:$C$33,"做多",交易明細!$J$2:$J$33,"&lt;&gt;未平倉")</f>
        <v/>
      </c>
      <c r="L6" s="5">
        <f>IFERROR(AVERAGEIFS(交易明細!$K$2:$K$33,交易明細!$C$2:$C$33,"做多",交易明細!$J$2:$J$33,"&lt;&gt;未平倉"),0)</f>
        <v/>
      </c>
      <c r="M6" s="5">
        <f>IFERROR(AVERAGEIFS(交易明細!$K$2:$K$33,交易明細!$C$2:$C$33,"做多",交易明細!$J$2:$J$33,"止盈"),0)</f>
        <v/>
      </c>
      <c r="N6" s="5">
        <f>IFERROR(AVERAGEIFS(交易明細!$K$2:$K$33,交易明細!$C$2:$C$33,"做多",交易明細!$J$2:$J$33,"止損"),0)</f>
        <v/>
      </c>
      <c r="O6" s="4">
        <f>IFERROR(AVERAGEIFS(交易明細!$L$2:$L$33,交易明細!$C$2:$C$33,"做多",交易明細!$J$2:$J$33,"時間出場"),0)</f>
        <v/>
      </c>
      <c r="P6" s="4">
        <f>IFERROR(COUNTIFS(交易明細!$C$2:$C$33,"做多",交易明細!$J$2:$J$33,"&lt;&gt;未平倉",交易明細!$L$2:$L$33,"&gt;0")/C6,0)</f>
        <v/>
      </c>
    </row>
    <row r="7">
      <c r="A7" s="2" t="inlineStr">
        <is>
          <t>做空</t>
        </is>
      </c>
      <c r="B7" s="2">
        <f>COUNTIFS(交易明細!$C$2:$C$33,"做空",交易明細!$B$2:$B$33,"&lt;&gt;")</f>
        <v/>
      </c>
      <c r="C7" s="2">
        <f>D7+E7+F7</f>
        <v/>
      </c>
      <c r="D7" s="2">
        <f>COUNTIFS(交易明細!$C$2:$C$33,"做空",交易明細!$J$2:$J$33,"止盈")</f>
        <v/>
      </c>
      <c r="E7" s="2">
        <f>COUNTIFS(交易明細!$C$2:$C$33,"做空",交易明細!$J$2:$J$33,"止損")</f>
        <v/>
      </c>
      <c r="F7" s="2">
        <f>COUNTIFS(交易明細!$C$2:$C$33,"做空",交易明細!$J$2:$J$33,"時間出場")</f>
        <v/>
      </c>
      <c r="G7" s="2">
        <f>COUNTIFS(交易明細!$C$2:$C$33,"做空",交易明細!$J$2:$J$33,"未平倉")</f>
        <v/>
      </c>
      <c r="H7" s="4">
        <f>IFERROR(D7/C7,0)</f>
        <v/>
      </c>
      <c r="I7" s="4">
        <f>IFERROR(AVERAGEIFS(交易明細!$AC$2:$AC$33,交易明細!$C$2:$C$33,"做空",交易明細!$J$2:$J$33,"&lt;&gt;未平倉"),參數!$B$16)</f>
        <v/>
      </c>
      <c r="J7" s="4">
        <f>IFERROR(AVERAGEIFS(交易明細!$L$2:$L$33,交易明細!$C$2:$C$33,"做空",交易明細!$J$2:$J$33,"&lt;&gt;未平倉"),0)</f>
        <v/>
      </c>
      <c r="K7" s="4">
        <f>SUMIFS(交易明細!$L$2:$L$33,交易明細!$C$2:$C$33,"做空",交易明細!$J$2:$J$33,"&lt;&gt;未平倉")</f>
        <v/>
      </c>
      <c r="L7" s="5">
        <f>IFERROR(AVERAGEIFS(交易明細!$K$2:$K$33,交易明細!$C$2:$C$33,"做空",交易明細!$J$2:$J$33,"&lt;&gt;未平倉"),0)</f>
        <v/>
      </c>
      <c r="M7" s="5">
        <f>IFERROR(AVERAGEIFS(交易明細!$K$2:$K$33,交易明細!$C$2:$C$33,"做空",交易明細!$J$2:$J$33,"止盈"),0)</f>
        <v/>
      </c>
      <c r="N7" s="5">
        <f>IFERROR(AVERAGEIFS(交易明細!$K$2:$K$33,交易明細!$C$2:$C$33,"做空",交易明細!$J$2:$J$33,"止損"),0)</f>
        <v/>
      </c>
      <c r="O7" s="4">
        <f>IFERROR(AVERAGEIFS(交易明細!$L$2:$L$33,交易明細!$C$2:$C$33,"做空",交易明細!$J$2:$J$33,"時間出場"),0)</f>
        <v/>
      </c>
      <c r="P7" s="4">
        <f>IFERROR(COUNTIFS(交易明細!$C$2:$C$33,"做空",交易明細!$J$2:$J$33,"&lt;&gt;未平倉",交易明細!$L$2:$L$33,"&gt;0")/C7,0)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46299.16534118055</v>
      </c>
      <c r="B2" s="7" t="n">
        <v>46299.16458333333</v>
      </c>
      <c r="C2" s="2" t="n">
        <v>435</v>
      </c>
      <c r="D2" s="2" t="n">
        <v>0</v>
      </c>
      <c r="E2" s="2" t="n">
        <v>0</v>
      </c>
      <c r="F2" s="2" t="n">
        <v>1</v>
      </c>
      <c r="G2" s="2" t="n">
        <v>160.2</v>
      </c>
    </row>
    <row r="3">
      <c r="A3" s="7" t="n">
        <v>46299.01924309028</v>
      </c>
      <c r="B3" s="7" t="n">
        <v>46299.01805555556</v>
      </c>
      <c r="C3" s="2" t="n">
        <v>435</v>
      </c>
      <c r="D3" s="2" t="n">
        <v>0</v>
      </c>
      <c r="E3" s="2" t="n">
        <v>0</v>
      </c>
      <c r="F3" s="2" t="n">
        <v>1</v>
      </c>
      <c r="G3" s="2" t="n">
        <v>194</v>
      </c>
    </row>
    <row r="4">
      <c r="A4" s="7" t="n">
        <v>46298.82413289352</v>
      </c>
      <c r="B4" s="7" t="n">
        <v>46298.82291666666</v>
      </c>
      <c r="C4" s="2" t="n">
        <v>435</v>
      </c>
      <c r="D4" s="2" t="n">
        <v>0</v>
      </c>
      <c r="E4" s="2" t="n">
        <v>0</v>
      </c>
      <c r="F4" s="2" t="n">
        <v>1</v>
      </c>
      <c r="G4" s="2" t="n">
        <v>180.1</v>
      </c>
    </row>
    <row r="5">
      <c r="A5" s="7" t="n">
        <v>46298.64104893518</v>
      </c>
      <c r="B5" s="7" t="n">
        <v>46298.64027777778</v>
      </c>
      <c r="C5" s="2" t="n">
        <v>435</v>
      </c>
      <c r="D5" s="2" t="n">
        <v>0</v>
      </c>
      <c r="E5" s="2" t="n">
        <v>0</v>
      </c>
      <c r="F5" s="2" t="n">
        <v>1</v>
      </c>
      <c r="G5" s="2" t="n">
        <v>180.1</v>
      </c>
    </row>
    <row r="6">
      <c r="A6" s="7" t="n">
        <v>46298.55905060185</v>
      </c>
      <c r="B6" s="7" t="n">
        <v>46298.55833333333</v>
      </c>
      <c r="C6" s="2" t="n">
        <v>435</v>
      </c>
      <c r="D6" s="2" t="n">
        <v>0</v>
      </c>
      <c r="E6" s="2" t="n">
        <v>0</v>
      </c>
      <c r="F6" s="2" t="n">
        <v>1</v>
      </c>
      <c r="G6" s="2" t="n">
        <v>159.7</v>
      </c>
    </row>
    <row r="7">
      <c r="A7" s="7" t="n">
        <v>46298.32651334491</v>
      </c>
      <c r="B7" s="7" t="n">
        <v>46298.32569444444</v>
      </c>
      <c r="C7" s="2" t="n">
        <v>435</v>
      </c>
      <c r="D7" s="2" t="n">
        <v>0</v>
      </c>
      <c r="E7" s="2" t="n">
        <v>0</v>
      </c>
      <c r="F7" s="2" t="n">
        <v>2</v>
      </c>
      <c r="G7" s="2" t="n">
        <v>189.1</v>
      </c>
    </row>
    <row r="8">
      <c r="A8" s="7" t="n">
        <v>46298.14088650463</v>
      </c>
      <c r="B8" s="7" t="n">
        <v>46298.13958333333</v>
      </c>
      <c r="C8" s="2" t="n">
        <v>435</v>
      </c>
      <c r="D8" s="2" t="n">
        <v>0</v>
      </c>
      <c r="E8" s="2" t="n">
        <v>0</v>
      </c>
      <c r="F8" s="2" t="n">
        <v>2</v>
      </c>
      <c r="G8" s="2" t="n">
        <v>195.5</v>
      </c>
    </row>
    <row r="9">
      <c r="A9" s="7" t="n">
        <v>46298.00826386574</v>
      </c>
      <c r="B9" s="7" t="n">
        <v>46298.00694444445</v>
      </c>
      <c r="C9" s="2" t="n">
        <v>435</v>
      </c>
      <c r="D9" s="2" t="n">
        <v>0</v>
      </c>
      <c r="E9" s="2" t="n">
        <v>0</v>
      </c>
      <c r="F9" s="2" t="n">
        <v>2</v>
      </c>
      <c r="G9" s="2" t="n">
        <v>190.7</v>
      </c>
    </row>
    <row r="10">
      <c r="A10" s="7" t="n">
        <v>46297.91349550926</v>
      </c>
      <c r="B10" s="7" t="n">
        <v>46297.9125</v>
      </c>
      <c r="C10" s="2" t="n">
        <v>435</v>
      </c>
      <c r="D10" s="2" t="n">
        <v>0</v>
      </c>
      <c r="E10" s="2" t="n">
        <v>0</v>
      </c>
      <c r="F10" s="2" t="n">
        <v>3</v>
      </c>
      <c r="G10" s="2" t="n">
        <v>179.2</v>
      </c>
    </row>
    <row r="11">
      <c r="A11" s="7" t="n">
        <v>46297.90064986111</v>
      </c>
      <c r="B11" s="7" t="n">
        <v>46297.89930555555</v>
      </c>
      <c r="C11" s="2" t="n">
        <v>435</v>
      </c>
      <c r="D11" s="2" t="n">
        <v>0</v>
      </c>
      <c r="E11" s="2" t="n">
        <v>0</v>
      </c>
      <c r="F11" s="2" t="n">
        <v>3</v>
      </c>
      <c r="G11" s="2" t="n">
        <v>180.1</v>
      </c>
    </row>
    <row r="12">
      <c r="A12" s="7" t="n">
        <v>46297.75623421296</v>
      </c>
      <c r="B12" s="7" t="n">
        <v>46297.75486111111</v>
      </c>
      <c r="C12" s="2" t="n">
        <v>435</v>
      </c>
      <c r="D12" s="2" t="n">
        <v>0</v>
      </c>
      <c r="E12" s="2" t="n">
        <v>0</v>
      </c>
      <c r="F12" s="2" t="n">
        <v>3</v>
      </c>
      <c r="G12" s="2" t="n">
        <v>199.1</v>
      </c>
    </row>
    <row r="13">
      <c r="A13" s="7" t="n">
        <v>46297.70907445602</v>
      </c>
      <c r="B13" s="7" t="n">
        <v>46297.70833333334</v>
      </c>
      <c r="C13" s="2" t="n">
        <v>435</v>
      </c>
      <c r="D13" s="2" t="n">
        <v>0</v>
      </c>
      <c r="E13" s="2" t="n">
        <v>0</v>
      </c>
      <c r="F13" s="2" t="n">
        <v>3</v>
      </c>
      <c r="G13" s="2" t="n">
        <v>148.2</v>
      </c>
    </row>
    <row r="14">
      <c r="A14" s="7" t="n">
        <v>46297.62748648148</v>
      </c>
      <c r="B14" s="7" t="n">
        <v>46297.62638888889</v>
      </c>
      <c r="C14" s="2" t="n">
        <v>435</v>
      </c>
      <c r="D14" s="2" t="n">
        <v>0</v>
      </c>
      <c r="E14" s="2" t="n">
        <v>0</v>
      </c>
      <c r="F14" s="2" t="n">
        <v>3</v>
      </c>
      <c r="G14" s="2" t="n">
        <v>188.8</v>
      </c>
    </row>
    <row r="15">
      <c r="A15" s="7" t="n">
        <v>46297.59146636574</v>
      </c>
      <c r="B15" s="7" t="n">
        <v>46297.59027777778</v>
      </c>
      <c r="C15" s="2" t="n">
        <v>435</v>
      </c>
      <c r="D15" s="2" t="n">
        <v>0</v>
      </c>
      <c r="E15" s="2" t="n">
        <v>0</v>
      </c>
      <c r="F15" s="2" t="n">
        <v>3</v>
      </c>
      <c r="G15" s="2" t="n">
        <v>188.7</v>
      </c>
    </row>
    <row r="16">
      <c r="A16" s="7" t="n">
        <v>46297.47377153935</v>
      </c>
      <c r="B16" s="7" t="n">
        <v>46297.47291666667</v>
      </c>
      <c r="C16" s="2" t="n">
        <v>435</v>
      </c>
      <c r="D16" s="2" t="n">
        <v>0</v>
      </c>
      <c r="E16" s="2" t="n">
        <v>0</v>
      </c>
      <c r="F16" s="2" t="n">
        <v>4</v>
      </c>
      <c r="G16" s="2" t="n">
        <v>159.9</v>
      </c>
    </row>
    <row r="17">
      <c r="A17" s="7" t="n">
        <v>46297.43863659722</v>
      </c>
      <c r="B17" s="7" t="n">
        <v>46297.4375</v>
      </c>
      <c r="C17" s="2" t="n">
        <v>435</v>
      </c>
      <c r="D17" s="2" t="n">
        <v>0</v>
      </c>
      <c r="E17" s="2" t="n">
        <v>0</v>
      </c>
      <c r="F17" s="2" t="n">
        <v>4</v>
      </c>
      <c r="G17" s="2" t="n">
        <v>181.3</v>
      </c>
    </row>
    <row r="18">
      <c r="A18" s="7" t="n">
        <v>46297.36902693287</v>
      </c>
      <c r="B18" s="7" t="n">
        <v>46297.36805555555</v>
      </c>
      <c r="C18" s="2" t="n">
        <v>434</v>
      </c>
      <c r="D18" s="2" t="n">
        <v>0</v>
      </c>
      <c r="E18" s="2" t="n">
        <v>0</v>
      </c>
      <c r="F18" s="2" t="n">
        <v>1</v>
      </c>
      <c r="G18" s="2" t="n">
        <v>191.7</v>
      </c>
    </row>
    <row r="19">
      <c r="A19" s="7" t="n">
        <v>46297.34984872685</v>
      </c>
      <c r="B19" s="7" t="n">
        <v>46297.34861111111</v>
      </c>
      <c r="C19" s="2" t="n">
        <v>434</v>
      </c>
      <c r="D19" s="2" t="n">
        <v>0</v>
      </c>
      <c r="E19" s="2" t="n">
        <v>1</v>
      </c>
      <c r="F19" s="2" t="n">
        <v>1</v>
      </c>
      <c r="G19" s="2" t="n">
        <v>185.3</v>
      </c>
    </row>
    <row r="20">
      <c r="A20" s="7" t="n">
        <v>46297.18230064815</v>
      </c>
      <c r="B20" s="7" t="n">
        <v>46297.18125</v>
      </c>
      <c r="C20" s="2" t="n">
        <v>434</v>
      </c>
      <c r="D20" s="2" t="n">
        <v>1</v>
      </c>
      <c r="E20" s="2" t="n">
        <v>0</v>
      </c>
      <c r="F20" s="2" t="n">
        <v>1</v>
      </c>
      <c r="G20" s="2" t="n">
        <v>159.5</v>
      </c>
    </row>
    <row r="21">
      <c r="A21" s="7" t="n">
        <v>46297.01546863426</v>
      </c>
      <c r="B21" s="7" t="n">
        <v>46297.01458333333</v>
      </c>
      <c r="C21" s="2" t="n">
        <v>434</v>
      </c>
      <c r="D21" s="2" t="n">
        <v>0</v>
      </c>
      <c r="E21" s="2" t="n">
        <v>0</v>
      </c>
      <c r="F21" s="2" t="n">
        <v>2</v>
      </c>
      <c r="G21" s="2" t="n">
        <v>179.4</v>
      </c>
    </row>
    <row r="22">
      <c r="A22" s="7" t="n">
        <v>46296.99918069445</v>
      </c>
      <c r="B22" s="7" t="n">
        <v>46296.99791666667</v>
      </c>
      <c r="C22" s="2" t="n">
        <v>434</v>
      </c>
      <c r="D22" s="2" t="n">
        <v>0</v>
      </c>
      <c r="E22" s="2" t="n">
        <v>1</v>
      </c>
      <c r="F22" s="2" t="n">
        <v>2</v>
      </c>
      <c r="G22" s="2" t="n">
        <v>167.2</v>
      </c>
    </row>
    <row r="23">
      <c r="A23" s="7" t="n">
        <v>46296.94003458333</v>
      </c>
      <c r="B23" s="7" t="n">
        <v>46296.93888888889</v>
      </c>
      <c r="C23" s="2" t="n">
        <v>434</v>
      </c>
      <c r="D23" s="2" t="n">
        <v>1</v>
      </c>
      <c r="E23" s="2" t="n">
        <v>0</v>
      </c>
      <c r="F23" s="2" t="n">
        <v>2</v>
      </c>
      <c r="G23" s="2" t="n">
        <v>189.5</v>
      </c>
    </row>
    <row r="24">
      <c r="A24" s="7" t="n">
        <v>46296.7419153125</v>
      </c>
      <c r="B24" s="7" t="n">
        <v>46296.74097222222</v>
      </c>
      <c r="C24" s="2" t="n">
        <v>434</v>
      </c>
      <c r="D24" s="2" t="n">
        <v>0</v>
      </c>
      <c r="E24" s="2" t="n">
        <v>0</v>
      </c>
      <c r="F24" s="2" t="n">
        <v>2</v>
      </c>
      <c r="G24" s="2" t="n">
        <v>150</v>
      </c>
    </row>
    <row r="25">
      <c r="A25" s="7" t="n">
        <v>46296.63539230324</v>
      </c>
      <c r="B25" s="7" t="n">
        <v>46296.63402777778</v>
      </c>
      <c r="C25" s="2" t="n">
        <v>434</v>
      </c>
      <c r="D25" s="2" t="n">
        <v>0</v>
      </c>
      <c r="E25" s="2" t="n">
        <v>0</v>
      </c>
      <c r="F25" s="2" t="n">
        <v>2</v>
      </c>
      <c r="G25" s="2" t="n">
        <v>195</v>
      </c>
    </row>
    <row r="26">
      <c r="A26" s="7" t="n">
        <v>46296.6196469213</v>
      </c>
      <c r="B26" s="7" t="n">
        <v>46296.61875</v>
      </c>
      <c r="C26" s="2" t="n">
        <v>434</v>
      </c>
      <c r="D26" s="2" t="n">
        <v>0</v>
      </c>
      <c r="E26" s="2" t="n">
        <v>0</v>
      </c>
      <c r="F26" s="2" t="n">
        <v>2</v>
      </c>
      <c r="G26" s="2" t="n">
        <v>190.6</v>
      </c>
    </row>
    <row r="27">
      <c r="A27" s="7" t="n">
        <v>46296.55481784722</v>
      </c>
      <c r="B27" s="7" t="n">
        <v>46296.55347222222</v>
      </c>
      <c r="C27" s="2" t="n">
        <v>434</v>
      </c>
      <c r="D27" s="2" t="n">
        <v>0</v>
      </c>
      <c r="E27" s="2" t="n">
        <v>0</v>
      </c>
      <c r="F27" s="2" t="n">
        <v>2</v>
      </c>
      <c r="G27" s="2" t="n">
        <v>189.9</v>
      </c>
    </row>
    <row r="28">
      <c r="A28" s="7" t="n">
        <v>46296.49238505787</v>
      </c>
      <c r="B28" s="7" t="n">
        <v>46296.49166666667</v>
      </c>
      <c r="C28" s="2" t="n">
        <v>434</v>
      </c>
      <c r="D28" s="2" t="n">
        <v>0</v>
      </c>
      <c r="E28" s="2" t="n">
        <v>0</v>
      </c>
      <c r="F28" s="2" t="n">
        <v>3</v>
      </c>
      <c r="G28" s="2" t="n">
        <v>189.7</v>
      </c>
    </row>
    <row r="29">
      <c r="A29" s="7" t="n">
        <v>46296.35809899306</v>
      </c>
      <c r="B29" s="7" t="n">
        <v>46296.35694444444</v>
      </c>
      <c r="C29" s="2" t="n">
        <v>434</v>
      </c>
      <c r="D29" s="2" t="n">
        <v>0</v>
      </c>
      <c r="E29" s="2" t="n">
        <v>0</v>
      </c>
      <c r="F29" s="2" t="n">
        <v>3</v>
      </c>
      <c r="G29" s="2" t="n">
        <v>152.4</v>
      </c>
    </row>
    <row r="30">
      <c r="A30" s="7" t="n">
        <v>46296.20216918981</v>
      </c>
      <c r="B30" s="7" t="n">
        <v>46296.20138888889</v>
      </c>
      <c r="C30" s="2" t="n">
        <v>434</v>
      </c>
      <c r="D30" s="2" t="n">
        <v>0</v>
      </c>
      <c r="E30" s="2" t="n">
        <v>0</v>
      </c>
      <c r="F30" s="2" t="n">
        <v>3</v>
      </c>
      <c r="G30" s="2" t="n">
        <v>180</v>
      </c>
    </row>
    <row r="31">
      <c r="A31" s="7" t="n">
        <v>46295.99840958334</v>
      </c>
      <c r="B31" s="7" t="n">
        <v>46295.99722222222</v>
      </c>
      <c r="C31" s="2" t="n">
        <v>434</v>
      </c>
      <c r="D31" s="2" t="n">
        <v>0</v>
      </c>
      <c r="E31" s="2" t="n">
        <v>0</v>
      </c>
      <c r="F31" s="2" t="n">
        <v>3</v>
      </c>
      <c r="G31" s="2" t="n">
        <v>187.6</v>
      </c>
    </row>
    <row r="32">
      <c r="A32" s="7" t="n">
        <v>46295.94423819445</v>
      </c>
      <c r="B32" s="7" t="n">
        <v>46295.94305555556</v>
      </c>
      <c r="C32" s="2" t="n">
        <v>434</v>
      </c>
      <c r="D32" s="2" t="n">
        <v>0</v>
      </c>
      <c r="E32" s="2" t="n">
        <v>0</v>
      </c>
      <c r="F32" s="2" t="n">
        <v>3</v>
      </c>
      <c r="G32" s="2" t="n">
        <v>150.7</v>
      </c>
    </row>
    <row r="33">
      <c r="A33" s="7" t="n">
        <v>46295.91675143519</v>
      </c>
      <c r="B33" s="7" t="n">
        <v>46295.91597222222</v>
      </c>
      <c r="C33" s="2" t="n">
        <v>434</v>
      </c>
      <c r="D33" s="2" t="n">
        <v>0</v>
      </c>
      <c r="E33" s="2" t="n">
        <v>0</v>
      </c>
      <c r="F33" s="2" t="n">
        <v>3</v>
      </c>
      <c r="G33" s="2" t="n">
        <v>189.9</v>
      </c>
    </row>
    <row r="34">
      <c r="A34" s="7" t="n">
        <v>46295.87897131944</v>
      </c>
      <c r="B34" s="7" t="n">
        <v>46295.87777777778</v>
      </c>
      <c r="C34" s="2" t="n">
        <v>434</v>
      </c>
      <c r="D34" s="2" t="n">
        <v>0</v>
      </c>
      <c r="E34" s="2" t="n">
        <v>0</v>
      </c>
      <c r="F34" s="2" t="n">
        <v>3</v>
      </c>
      <c r="G34" s="2" t="n">
        <v>187.8</v>
      </c>
    </row>
    <row r="35">
      <c r="A35" s="7" t="n">
        <v>46295.84232043981</v>
      </c>
      <c r="B35" s="7" t="n">
        <v>46295.84097222222</v>
      </c>
      <c r="C35" s="2" t="n">
        <v>434</v>
      </c>
      <c r="D35" s="2" t="n">
        <v>0</v>
      </c>
      <c r="E35" s="2" t="n">
        <v>0</v>
      </c>
      <c r="F35" s="2" t="n">
        <v>3</v>
      </c>
      <c r="G35" s="2" t="n">
        <v>147.8</v>
      </c>
    </row>
    <row r="36">
      <c r="A36" s="7" t="n">
        <v>46295.76311292824</v>
      </c>
      <c r="B36" s="7" t="n">
        <v>46295.76180555556</v>
      </c>
      <c r="C36" s="2" t="n">
        <v>434</v>
      </c>
      <c r="D36" s="2" t="n">
        <v>0</v>
      </c>
      <c r="E36" s="2" t="n">
        <v>0</v>
      </c>
      <c r="F36" s="2" t="n">
        <v>3</v>
      </c>
      <c r="G36" s="2" t="n">
        <v>188</v>
      </c>
    </row>
    <row r="37">
      <c r="A37" s="7" t="n">
        <v>46295.71942712963</v>
      </c>
      <c r="B37" s="7" t="n">
        <v>46295.71805555555</v>
      </c>
      <c r="C37" s="2" t="n">
        <v>434</v>
      </c>
      <c r="D37" s="2" t="n">
        <v>0</v>
      </c>
      <c r="E37" s="2" t="n">
        <v>0</v>
      </c>
      <c r="F37" s="2" t="n">
        <v>3</v>
      </c>
      <c r="G37" s="2" t="n">
        <v>163.9</v>
      </c>
    </row>
    <row r="38">
      <c r="A38" s="7" t="n">
        <v>46295.69435030092</v>
      </c>
      <c r="B38" s="7" t="n">
        <v>46295.69305555556</v>
      </c>
      <c r="C38" s="2" t="n">
        <v>434</v>
      </c>
      <c r="D38" s="2" t="n">
        <v>0</v>
      </c>
      <c r="E38" s="2" t="n">
        <v>0</v>
      </c>
      <c r="F38" s="2" t="n">
        <v>3</v>
      </c>
      <c r="G38" s="2" t="n">
        <v>141.1</v>
      </c>
    </row>
    <row r="39">
      <c r="A39" s="7" t="n">
        <v>46295.5782999537</v>
      </c>
      <c r="B39" s="7" t="n">
        <v>46295.57708333333</v>
      </c>
      <c r="C39" s="2" t="n">
        <v>434</v>
      </c>
      <c r="D39" s="2" t="n">
        <v>0</v>
      </c>
      <c r="E39" s="2" t="n">
        <v>0</v>
      </c>
      <c r="F39" s="2" t="n">
        <v>5</v>
      </c>
      <c r="G39" s="2" t="n">
        <v>191.3</v>
      </c>
    </row>
    <row r="40">
      <c r="A40" s="7" t="n">
        <v>46295.51228863426</v>
      </c>
      <c r="B40" s="7" t="n">
        <v>46295.51111111111</v>
      </c>
      <c r="C40" s="2" t="n">
        <v>434</v>
      </c>
      <c r="D40" s="2" t="n">
        <v>0</v>
      </c>
      <c r="E40" s="2" t="n">
        <v>0</v>
      </c>
      <c r="F40" s="2" t="n">
        <v>5</v>
      </c>
      <c r="G40" s="2" t="n">
        <v>188.8</v>
      </c>
    </row>
    <row r="41">
      <c r="A41" s="7" t="n">
        <v>46295.44308225694</v>
      </c>
      <c r="B41" s="7" t="n">
        <v>46295.44236111111</v>
      </c>
      <c r="C41" s="2" t="n">
        <v>433</v>
      </c>
      <c r="D41" s="2" t="n">
        <v>0</v>
      </c>
      <c r="E41" s="2" t="n">
        <v>0</v>
      </c>
      <c r="F41" s="2" t="n">
        <v>2</v>
      </c>
      <c r="G41" s="2" t="n">
        <v>167.1</v>
      </c>
    </row>
    <row r="42">
      <c r="A42" s="7" t="n">
        <v>46295.42368403935</v>
      </c>
      <c r="B42" s="7" t="n">
        <v>46295.42291666667</v>
      </c>
      <c r="C42" s="2" t="n">
        <v>433</v>
      </c>
      <c r="D42" s="2" t="n">
        <v>0</v>
      </c>
      <c r="E42" s="2" t="n">
        <v>1</v>
      </c>
      <c r="F42" s="2" t="n">
        <v>2</v>
      </c>
      <c r="G42" s="2" t="n">
        <v>150.9</v>
      </c>
    </row>
    <row r="43">
      <c r="A43" s="7" t="n">
        <v>46295.29174006944</v>
      </c>
      <c r="B43" s="7" t="n">
        <v>46295.29097222222</v>
      </c>
      <c r="C43" s="2" t="n">
        <v>433</v>
      </c>
      <c r="D43" s="2" t="n">
        <v>1</v>
      </c>
      <c r="E43" s="2" t="n">
        <v>0</v>
      </c>
      <c r="F43" s="2" t="n">
        <v>2</v>
      </c>
      <c r="G43" s="2" t="n">
        <v>191.4</v>
      </c>
    </row>
    <row r="44">
      <c r="A44" s="7" t="n">
        <v>46295.11156024306</v>
      </c>
      <c r="B44" s="7" t="n">
        <v>46295.11041666667</v>
      </c>
      <c r="C44" s="2" t="n">
        <v>433</v>
      </c>
      <c r="D44" s="2" t="n">
        <v>0</v>
      </c>
      <c r="E44" s="2" t="n">
        <v>0</v>
      </c>
      <c r="F44" s="2" t="n">
        <v>2</v>
      </c>
      <c r="G44" s="2" t="n">
        <v>185.8</v>
      </c>
    </row>
    <row r="45">
      <c r="A45" s="7" t="n">
        <v>46294.99800613426</v>
      </c>
      <c r="B45" s="7" t="n">
        <v>46294.99722222222</v>
      </c>
      <c r="C45" s="2" t="n">
        <v>433</v>
      </c>
      <c r="D45" s="2" t="n">
        <v>0</v>
      </c>
      <c r="E45" s="2" t="n">
        <v>0</v>
      </c>
      <c r="F45" s="2" t="n">
        <v>2</v>
      </c>
      <c r="G45" s="2" t="n">
        <v>153.7</v>
      </c>
    </row>
    <row r="46">
      <c r="A46" s="7" t="n">
        <v>46294.95333178241</v>
      </c>
      <c r="B46" s="7" t="n">
        <v>46294.95208333333</v>
      </c>
      <c r="C46" s="2" t="n">
        <v>433</v>
      </c>
      <c r="D46" s="2" t="n">
        <v>0</v>
      </c>
      <c r="E46" s="2" t="n">
        <v>0</v>
      </c>
      <c r="F46" s="2" t="n">
        <v>2</v>
      </c>
      <c r="G46" s="2" t="n">
        <v>177.4</v>
      </c>
    </row>
    <row r="47">
      <c r="A47" s="7" t="n">
        <v>46294.87612561342</v>
      </c>
      <c r="B47" s="7" t="n">
        <v>46294.875</v>
      </c>
      <c r="C47" s="2" t="n">
        <v>433</v>
      </c>
      <c r="D47" s="2" t="n">
        <v>0</v>
      </c>
      <c r="E47" s="2" t="n">
        <v>0</v>
      </c>
      <c r="F47" s="2" t="n">
        <v>2</v>
      </c>
      <c r="G47" s="2" t="n">
        <v>196.6</v>
      </c>
    </row>
    <row r="48">
      <c r="A48" s="7" t="n">
        <v>46294.76526767361</v>
      </c>
      <c r="B48" s="7" t="n">
        <v>46294.76388888889</v>
      </c>
      <c r="C48" s="2" t="n">
        <v>433</v>
      </c>
      <c r="D48" s="2" t="n">
        <v>0</v>
      </c>
      <c r="E48" s="2" t="n">
        <v>0</v>
      </c>
      <c r="F48" s="2" t="n">
        <v>2</v>
      </c>
      <c r="G48" s="2" t="n">
        <v>182.5</v>
      </c>
    </row>
    <row r="49">
      <c r="A49" s="7" t="n">
        <v>46294.66075324074</v>
      </c>
      <c r="B49" s="7" t="n">
        <v>46294.65972222222</v>
      </c>
      <c r="C49" s="2" t="n">
        <v>433</v>
      </c>
      <c r="D49" s="2" t="n">
        <v>0</v>
      </c>
      <c r="E49" s="2" t="n">
        <v>0</v>
      </c>
      <c r="F49" s="2" t="n">
        <v>3</v>
      </c>
      <c r="G49" s="2" t="n">
        <v>174</v>
      </c>
    </row>
    <row r="50">
      <c r="A50" s="7" t="n">
        <v>46294.57647584491</v>
      </c>
      <c r="B50" s="7" t="n">
        <v>46294.57569444444</v>
      </c>
      <c r="C50" s="2" t="n">
        <v>432</v>
      </c>
      <c r="D50" s="2" t="n">
        <v>0</v>
      </c>
      <c r="E50" s="2" t="n">
        <v>0</v>
      </c>
      <c r="F50" s="2" t="n">
        <v>0</v>
      </c>
      <c r="G50" s="2" t="n">
        <v>147.5</v>
      </c>
    </row>
    <row r="51">
      <c r="A51" s="7" t="n">
        <v>46294.46163141204</v>
      </c>
      <c r="B51" s="7" t="n">
        <v>46294.46041666667</v>
      </c>
      <c r="C51" s="2" t="n">
        <v>432</v>
      </c>
      <c r="D51" s="2" t="n">
        <v>0</v>
      </c>
      <c r="E51" s="2" t="n">
        <v>1</v>
      </c>
      <c r="F51" s="2" t="n">
        <v>0</v>
      </c>
      <c r="G51" s="2" t="n">
        <v>193.3</v>
      </c>
    </row>
    <row r="52">
      <c r="A52" s="7" t="n">
        <v>46294.30606211806</v>
      </c>
      <c r="B52" s="7" t="n">
        <v>46294.30486111111</v>
      </c>
      <c r="C52" s="2" t="n">
        <v>432</v>
      </c>
      <c r="D52" s="2" t="n">
        <v>1</v>
      </c>
      <c r="E52" s="2" t="n">
        <v>0</v>
      </c>
      <c r="F52" s="2" t="n">
        <v>0</v>
      </c>
      <c r="G52" s="2" t="n">
        <v>165.6</v>
      </c>
    </row>
    <row r="53">
      <c r="A53" s="7" t="n">
        <v>46294.07080519676</v>
      </c>
      <c r="B53" s="7" t="n">
        <v>46294.06944444445</v>
      </c>
      <c r="C53" s="2" t="n">
        <v>432</v>
      </c>
      <c r="D53" s="2" t="n">
        <v>0</v>
      </c>
      <c r="E53" s="2" t="n">
        <v>0</v>
      </c>
      <c r="F53" s="2" t="n">
        <v>0</v>
      </c>
      <c r="G53" s="2" t="n">
        <v>193.3</v>
      </c>
    </row>
    <row r="54">
      <c r="A54" s="7" t="n">
        <v>46293.99403509259</v>
      </c>
      <c r="B54" s="7" t="n">
        <v>46293.99305555555</v>
      </c>
      <c r="C54" s="2" t="n">
        <v>432</v>
      </c>
      <c r="D54" s="2" t="n">
        <v>0</v>
      </c>
      <c r="E54" s="2" t="n">
        <v>0</v>
      </c>
      <c r="F54" s="2" t="n">
        <v>0</v>
      </c>
      <c r="G54" s="2" t="n">
        <v>153.6</v>
      </c>
    </row>
    <row r="55">
      <c r="A55" s="7" t="n">
        <v>46293.9460828588</v>
      </c>
      <c r="B55" s="7" t="n">
        <v>46293.94513888889</v>
      </c>
      <c r="C55" s="2" t="n">
        <v>432</v>
      </c>
      <c r="D55" s="2" t="n">
        <v>0</v>
      </c>
      <c r="E55" s="2" t="n">
        <v>0</v>
      </c>
      <c r="F55" s="2" t="n">
        <v>0</v>
      </c>
      <c r="G55" s="2" t="n">
        <v>197.9</v>
      </c>
    </row>
    <row r="56">
      <c r="A56" s="7" t="n">
        <v>46293.85933717593</v>
      </c>
      <c r="B56" s="7" t="n">
        <v>46293.85833333333</v>
      </c>
      <c r="C56" s="2" t="n">
        <v>432</v>
      </c>
      <c r="D56" s="2" t="n">
        <v>0</v>
      </c>
      <c r="E56" s="2" t="n">
        <v>0</v>
      </c>
      <c r="F56" s="2" t="n">
        <v>0</v>
      </c>
      <c r="G56" s="2" t="n">
        <v>185</v>
      </c>
    </row>
    <row r="57">
      <c r="A57" s="7" t="n">
        <v>46293.69837709491</v>
      </c>
      <c r="B57" s="7" t="n">
        <v>46293.69722222222</v>
      </c>
      <c r="C57" s="2" t="n">
        <v>432</v>
      </c>
      <c r="D57" s="2" t="n">
        <v>0</v>
      </c>
      <c r="E57" s="2" t="n">
        <v>0</v>
      </c>
      <c r="F57" s="2" t="n">
        <v>0</v>
      </c>
      <c r="G57" s="2" t="n">
        <v>144.9</v>
      </c>
    </row>
    <row r="58">
      <c r="A58" s="7" t="n">
        <v>46293.67139270833</v>
      </c>
      <c r="B58" s="7" t="n">
        <v>46293.67013888889</v>
      </c>
      <c r="C58" s="2" t="n">
        <v>432</v>
      </c>
      <c r="D58" s="2" t="n">
        <v>0</v>
      </c>
      <c r="E58" s="2" t="n">
        <v>1</v>
      </c>
      <c r="F58" s="2" t="n">
        <v>0</v>
      </c>
      <c r="G58" s="2" t="n">
        <v>186.3</v>
      </c>
    </row>
    <row r="59">
      <c r="A59" s="7" t="n">
        <v>46293.54465268519</v>
      </c>
      <c r="B59" s="7" t="n">
        <v>46293.54375</v>
      </c>
      <c r="C59" s="2" t="n">
        <v>432</v>
      </c>
      <c r="D59" s="2" t="n">
        <v>0</v>
      </c>
      <c r="E59" s="2" t="n">
        <v>0</v>
      </c>
      <c r="F59" s="2" t="n">
        <v>0</v>
      </c>
      <c r="G59" s="2" t="n">
        <v>150</v>
      </c>
    </row>
    <row r="60">
      <c r="A60" s="7" t="n">
        <v>46293.46449744213</v>
      </c>
      <c r="B60" s="7" t="n">
        <v>46293.46319444444</v>
      </c>
      <c r="C60" s="2" t="n">
        <v>432</v>
      </c>
      <c r="D60" s="2" t="n">
        <v>0</v>
      </c>
      <c r="E60" s="2" t="n">
        <v>0</v>
      </c>
      <c r="F60" s="2" t="n">
        <v>0</v>
      </c>
      <c r="G60" s="2" t="n">
        <v>193.4</v>
      </c>
    </row>
    <row r="61">
      <c r="A61" s="7" t="n">
        <v>46293.40532865741</v>
      </c>
      <c r="B61" s="7" t="n">
        <v>46293.40416666667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194.7</v>
      </c>
    </row>
    <row r="62">
      <c r="A62" s="7" t="n">
        <v>46293.26205886574</v>
      </c>
      <c r="B62" s="7" t="n">
        <v>46293.26111111111</v>
      </c>
      <c r="C62" s="2" t="n">
        <v>433</v>
      </c>
      <c r="D62" s="2" t="n">
        <v>1</v>
      </c>
      <c r="E62" s="2" t="n">
        <v>1</v>
      </c>
      <c r="F62" s="2" t="n">
        <v>0</v>
      </c>
      <c r="G62" s="2" t="n">
        <v>178</v>
      </c>
    </row>
    <row r="63">
      <c r="A63" s="7" t="n">
        <v>46293.12570534722</v>
      </c>
      <c r="B63" s="7" t="n">
        <v>46293.125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193.1</v>
      </c>
    </row>
    <row r="64">
      <c r="A64" s="7" t="n">
        <v>46293.08172232639</v>
      </c>
      <c r="B64" s="7" t="n">
        <v>46293.08055555556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148.9</v>
      </c>
    </row>
    <row r="65">
      <c r="A65" s="7" t="n">
        <v>46292.9814453588</v>
      </c>
      <c r="B65" s="7" t="n">
        <v>46292.98055555556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186</v>
      </c>
    </row>
    <row r="66">
      <c r="A66" s="7" t="n">
        <v>46292.9472603125</v>
      </c>
      <c r="B66" s="7" t="n">
        <v>46292.94652777778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192.1</v>
      </c>
    </row>
    <row r="67">
      <c r="A67" s="7" t="n">
        <v>46292.919814375</v>
      </c>
      <c r="B67" s="7" t="n">
        <v>46292.91875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192.5</v>
      </c>
    </row>
    <row r="68">
      <c r="A68" s="7" t="n">
        <v>46292.81065981482</v>
      </c>
      <c r="B68" s="7" t="n">
        <v>46292.80972222222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177.2</v>
      </c>
    </row>
    <row r="69">
      <c r="A69" s="7" t="n">
        <v>46292.73704342593</v>
      </c>
      <c r="B69" s="7" t="n">
        <v>46292.73611111111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147.3</v>
      </c>
    </row>
    <row r="70">
      <c r="A70" s="7" t="n">
        <v>46292.67926077546</v>
      </c>
      <c r="B70" s="7" t="n">
        <v>46292.67847222222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197.6</v>
      </c>
    </row>
    <row r="71">
      <c r="A71" s="7" t="n">
        <v>46292.6274472338</v>
      </c>
      <c r="B71" s="7" t="n">
        <v>46292.62638888889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192.4</v>
      </c>
    </row>
    <row r="72">
      <c r="A72" s="7" t="n">
        <v>46292.50599667824</v>
      </c>
      <c r="B72" s="7" t="n">
        <v>46292.50486111111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191.3</v>
      </c>
    </row>
    <row r="73">
      <c r="A73" s="7" t="n">
        <v>46292.39740747685</v>
      </c>
      <c r="B73" s="7" t="n">
        <v>46292.39652777778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150.9</v>
      </c>
    </row>
    <row r="74">
      <c r="A74" s="7" t="n">
        <v>46292.28951247685</v>
      </c>
      <c r="B74" s="7" t="n">
        <v>46292.28819444445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163.9</v>
      </c>
    </row>
    <row r="75">
      <c r="A75" s="7" t="n">
        <v>46292.28563091435</v>
      </c>
      <c r="B75" s="7" t="n">
        <v>46292.28472222222</v>
      </c>
      <c r="C75" s="2" t="n">
        <v>433</v>
      </c>
      <c r="D75" s="2" t="n">
        <v>1</v>
      </c>
      <c r="E75" s="2" t="n">
        <v>1</v>
      </c>
      <c r="F75" s="2" t="n">
        <v>0</v>
      </c>
      <c r="G75" s="2" t="n">
        <v>186.1</v>
      </c>
    </row>
    <row r="76">
      <c r="A76" s="7" t="n">
        <v>46292.16453692129</v>
      </c>
      <c r="B76" s="7" t="n">
        <v>46292.16319444445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183.8</v>
      </c>
    </row>
    <row r="77">
      <c r="A77" s="7" t="n">
        <v>46292.05207142361</v>
      </c>
      <c r="B77" s="7" t="n">
        <v>46292.05069444444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160.8</v>
      </c>
    </row>
    <row r="78">
      <c r="A78" s="7" t="n">
        <v>46291.98017201389</v>
      </c>
      <c r="B78" s="7" t="n">
        <v>46291.97916666666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148.2</v>
      </c>
    </row>
    <row r="79">
      <c r="A79" s="7" t="n">
        <v>46291.93749069444</v>
      </c>
      <c r="B79" s="7" t="n">
        <v>46291.93611111111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163.1</v>
      </c>
    </row>
    <row r="80">
      <c r="A80" s="7" t="n">
        <v>46291.88266193287</v>
      </c>
      <c r="B80" s="7" t="n">
        <v>46291.88194444445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140.5</v>
      </c>
    </row>
    <row r="81">
      <c r="A81" s="7" t="n">
        <v>46291.83751681713</v>
      </c>
      <c r="B81" s="7" t="n">
        <v>46291.83680555555</v>
      </c>
      <c r="C81" s="2" t="n">
        <v>433</v>
      </c>
      <c r="D81" s="2" t="n">
        <v>0</v>
      </c>
      <c r="E81" s="2" t="n">
        <v>1</v>
      </c>
      <c r="F81" s="2" t="n">
        <v>0</v>
      </c>
      <c r="G81" s="2" t="n">
        <v>186.6</v>
      </c>
    </row>
    <row r="82">
      <c r="A82" s="7" t="n">
        <v>46291.78589450232</v>
      </c>
      <c r="B82" s="7" t="n">
        <v>46291.78472222222</v>
      </c>
      <c r="C82" s="2" t="n">
        <v>433</v>
      </c>
      <c r="D82" s="2" t="n">
        <v>1</v>
      </c>
      <c r="E82" s="2" t="n">
        <v>0</v>
      </c>
      <c r="F82" s="2" t="n">
        <v>0</v>
      </c>
      <c r="G82" s="2" t="n">
        <v>157.8</v>
      </c>
    </row>
    <row r="83">
      <c r="A83" s="7" t="n">
        <v>46291.65882908565</v>
      </c>
      <c r="B83" s="7" t="n">
        <v>46291.65763888889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175.7</v>
      </c>
    </row>
    <row r="84">
      <c r="A84" s="7" t="n">
        <v>46291.63896155093</v>
      </c>
      <c r="B84" s="7" t="n">
        <v>46291.63819444444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177.9</v>
      </c>
    </row>
    <row r="85">
      <c r="A85" s="7" t="n">
        <v>46291.63155474537</v>
      </c>
      <c r="B85" s="7" t="n">
        <v>46291.63055555556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172.6</v>
      </c>
    </row>
    <row r="86">
      <c r="A86" s="7" t="n">
        <v>46291.58748165509</v>
      </c>
      <c r="B86" s="7" t="n">
        <v>46291.58611111111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148</v>
      </c>
    </row>
    <row r="87">
      <c r="A87" s="7" t="n">
        <v>46291.52177836806</v>
      </c>
      <c r="B87" s="7" t="n">
        <v>46291.52083333334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187.5</v>
      </c>
    </row>
    <row r="88">
      <c r="A88" s="7" t="n">
        <v>46291.40186751157</v>
      </c>
      <c r="B88" s="7" t="n">
        <v>46291.40069444444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188.1</v>
      </c>
    </row>
    <row r="89">
      <c r="A89" s="7" t="n">
        <v>46291.36540915509</v>
      </c>
      <c r="B89" s="7" t="n">
        <v>46291.36458333334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163.5</v>
      </c>
    </row>
    <row r="90">
      <c r="A90" s="7" t="n">
        <v>46291.26887001158</v>
      </c>
      <c r="B90" s="7" t="n">
        <v>46291.26805555556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184.5</v>
      </c>
    </row>
    <row r="91">
      <c r="A91" s="7" t="n">
        <v>46291.2560487963</v>
      </c>
      <c r="B91" s="7" t="n">
        <v>46291.25486111111</v>
      </c>
      <c r="C91" s="2" t="n">
        <v>433</v>
      </c>
      <c r="D91" s="2" t="n">
        <v>1</v>
      </c>
      <c r="E91" s="2" t="n">
        <v>0</v>
      </c>
      <c r="F91" s="2" t="n">
        <v>0</v>
      </c>
      <c r="G91" s="2" t="n">
        <v>191.6</v>
      </c>
    </row>
    <row r="92">
      <c r="A92" s="7" t="n">
        <v>46291.11246790509</v>
      </c>
      <c r="B92" s="7" t="n">
        <v>46291.11111111111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182.3</v>
      </c>
    </row>
    <row r="93">
      <c r="A93" s="7" t="n">
        <v>46291.02308788194</v>
      </c>
      <c r="B93" s="7" t="n">
        <v>46291.02222222222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140.5</v>
      </c>
    </row>
    <row r="94">
      <c r="A94" s="7" t="n">
        <v>46290.9990443287</v>
      </c>
      <c r="B94" s="7" t="n">
        <v>46290.99791666667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197.5</v>
      </c>
    </row>
    <row r="95">
      <c r="A95" s="7" t="n">
        <v>46290.91267655093</v>
      </c>
      <c r="B95" s="7" t="n">
        <v>46290.91180555556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193.4</v>
      </c>
    </row>
    <row r="96">
      <c r="A96" s="7" t="n">
        <v>46290.82088560185</v>
      </c>
      <c r="B96" s="7" t="n">
        <v>46290.82013888889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174.9</v>
      </c>
    </row>
    <row r="97">
      <c r="A97" s="7" t="n">
        <v>46290.76820827546</v>
      </c>
      <c r="B97" s="7" t="n">
        <v>46290.76736111111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187</v>
      </c>
    </row>
    <row r="98">
      <c r="A98" s="7" t="n">
        <v>46290.709303125</v>
      </c>
      <c r="B98" s="7" t="n">
        <v>46290.70833333334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187.6</v>
      </c>
    </row>
    <row r="99">
      <c r="A99" s="7" t="n">
        <v>46290.66382769676</v>
      </c>
      <c r="B99" s="7" t="n">
        <v>46290.6625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185.1</v>
      </c>
    </row>
    <row r="100">
      <c r="A100" s="7" t="n">
        <v>46290.61757802084</v>
      </c>
      <c r="B100" s="7" t="n">
        <v>46290.61666666667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178.9</v>
      </c>
    </row>
    <row r="101">
      <c r="A101" s="7" t="n">
        <v>46290.55632820602</v>
      </c>
      <c r="B101" s="7" t="n">
        <v>46290.55555555555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179.4</v>
      </c>
    </row>
    <row r="102">
      <c r="A102" s="7" t="n">
        <v>46290.50409561343</v>
      </c>
      <c r="B102" s="7" t="n">
        <v>46290.50277777778</v>
      </c>
      <c r="C102" s="2" t="n">
        <v>433</v>
      </c>
      <c r="D102" s="2" t="n">
        <v>0</v>
      </c>
      <c r="E102" s="2" t="n">
        <v>1</v>
      </c>
      <c r="F102" s="2" t="n">
        <v>0</v>
      </c>
      <c r="G102" s="2" t="n">
        <v>174.5</v>
      </c>
    </row>
    <row r="103">
      <c r="A103" s="7" t="n">
        <v>46290.39966920139</v>
      </c>
      <c r="B103" s="7" t="n">
        <v>46290.39861111111</v>
      </c>
      <c r="C103" s="2" t="n">
        <v>433</v>
      </c>
      <c r="D103" s="2" t="n">
        <v>0</v>
      </c>
      <c r="E103" s="2" t="n">
        <v>0</v>
      </c>
      <c r="F103" s="2" t="n">
        <v>0</v>
      </c>
      <c r="G103" s="2" t="n">
        <v>189.8</v>
      </c>
    </row>
    <row r="104">
      <c r="A104" s="7" t="n">
        <v>46290.3483633912</v>
      </c>
      <c r="B104" s="7" t="n">
        <v>46290.34722222222</v>
      </c>
      <c r="C104" s="2" t="n">
        <v>433</v>
      </c>
      <c r="D104" s="2" t="n">
        <v>0</v>
      </c>
      <c r="E104" s="2" t="n">
        <v>0</v>
      </c>
      <c r="F104" s="2" t="n">
        <v>0</v>
      </c>
      <c r="G104" s="2" t="n">
        <v>163.4</v>
      </c>
    </row>
    <row r="105">
      <c r="A105" s="7" t="n">
        <v>46290.27195019676</v>
      </c>
      <c r="B105" s="7" t="n">
        <v>46290.27083333334</v>
      </c>
      <c r="C105" s="2" t="n">
        <v>433</v>
      </c>
      <c r="D105" s="2" t="n">
        <v>0</v>
      </c>
      <c r="E105" s="2" t="n">
        <v>0</v>
      </c>
      <c r="F105" s="2" t="n">
        <v>1</v>
      </c>
      <c r="G105" s="2" t="n">
        <v>182.9</v>
      </c>
    </row>
    <row r="106">
      <c r="A106" s="7" t="n">
        <v>46290.13587655093</v>
      </c>
      <c r="B106" s="7" t="n">
        <v>46290.13472222222</v>
      </c>
      <c r="C106" s="2" t="n">
        <v>433</v>
      </c>
      <c r="D106" s="2" t="n">
        <v>1</v>
      </c>
      <c r="E106" s="2" t="n">
        <v>0</v>
      </c>
      <c r="F106" s="2" t="n">
        <v>1</v>
      </c>
      <c r="G106" s="2" t="n">
        <v>191.6</v>
      </c>
    </row>
    <row r="107">
      <c r="A107" s="7" t="n">
        <v>46290.02908936342</v>
      </c>
      <c r="B107" s="7" t="n">
        <v>46290.02777777778</v>
      </c>
      <c r="C107" s="2" t="n">
        <v>433</v>
      </c>
      <c r="D107" s="2" t="n">
        <v>0</v>
      </c>
      <c r="E107" s="2" t="n">
        <v>0</v>
      </c>
      <c r="F107" s="2" t="n">
        <v>1</v>
      </c>
      <c r="G107" s="2" t="n">
        <v>166.2</v>
      </c>
    </row>
    <row r="108">
      <c r="A108" s="7" t="n">
        <v>46289.96715996528</v>
      </c>
      <c r="B108" s="7" t="n">
        <v>46289.96597222222</v>
      </c>
      <c r="C108" s="2" t="n">
        <v>433</v>
      </c>
      <c r="D108" s="2" t="n">
        <v>0</v>
      </c>
      <c r="E108" s="2" t="n">
        <v>0</v>
      </c>
      <c r="F108" s="2" t="n">
        <v>1</v>
      </c>
      <c r="G108" s="2" t="n">
        <v>190.1</v>
      </c>
    </row>
    <row r="109">
      <c r="A109" s="7" t="n">
        <v>46289.95004011574</v>
      </c>
      <c r="B109" s="7" t="n">
        <v>46289.94930555556</v>
      </c>
      <c r="C109" s="2" t="n">
        <v>433</v>
      </c>
      <c r="D109" s="2" t="n">
        <v>0</v>
      </c>
      <c r="E109" s="2" t="n">
        <v>0</v>
      </c>
      <c r="F109" s="2" t="n">
        <v>1</v>
      </c>
      <c r="G109" s="2" t="n">
        <v>178.4</v>
      </c>
    </row>
    <row r="110">
      <c r="A110" s="7" t="n">
        <v>46289.94135959491</v>
      </c>
      <c r="B110" s="7" t="n">
        <v>46289.94027777778</v>
      </c>
      <c r="C110" s="2" t="n">
        <v>433</v>
      </c>
      <c r="D110" s="2" t="n">
        <v>0</v>
      </c>
      <c r="E110" s="2" t="n">
        <v>0</v>
      </c>
      <c r="F110" s="2" t="n">
        <v>1</v>
      </c>
      <c r="G110" s="2" t="n">
        <v>183.8</v>
      </c>
    </row>
    <row r="111">
      <c r="A111" s="7" t="n">
        <v>46289.92565313658</v>
      </c>
      <c r="B111" s="7" t="n">
        <v>46289.92430555556</v>
      </c>
      <c r="C111" s="2" t="n">
        <v>433</v>
      </c>
      <c r="D111" s="2" t="n">
        <v>0</v>
      </c>
      <c r="E111" s="2" t="n">
        <v>0</v>
      </c>
      <c r="F111" s="2" t="n">
        <v>1</v>
      </c>
      <c r="G111" s="2" t="n">
        <v>226.2</v>
      </c>
    </row>
    <row r="112">
      <c r="A112" s="7" t="n">
        <v>46289.84896370371</v>
      </c>
      <c r="B112" s="7" t="n">
        <v>46289.84791666667</v>
      </c>
      <c r="C112" s="2" t="n">
        <v>433</v>
      </c>
      <c r="D112" s="2" t="n">
        <v>0</v>
      </c>
      <c r="E112" s="2" t="n">
        <v>0</v>
      </c>
      <c r="F112" s="2" t="n">
        <v>1</v>
      </c>
      <c r="G112" s="2" t="n">
        <v>147.5</v>
      </c>
    </row>
    <row r="113">
      <c r="A113" s="7" t="n">
        <v>46289.78526427083</v>
      </c>
      <c r="B113" s="7" t="n">
        <v>46289.78402777778</v>
      </c>
      <c r="C113" s="2" t="n">
        <v>433</v>
      </c>
      <c r="D113" s="2" t="n">
        <v>0</v>
      </c>
      <c r="E113" s="2" t="n">
        <v>0</v>
      </c>
      <c r="F113" s="2" t="n">
        <v>1</v>
      </c>
      <c r="G113" s="2" t="n">
        <v>186.8</v>
      </c>
    </row>
    <row r="114">
      <c r="A114" s="7" t="n">
        <v>46289.75543116898</v>
      </c>
      <c r="B114" s="7" t="n">
        <v>46289.75</v>
      </c>
      <c r="C114" s="2" t="n">
        <v>433</v>
      </c>
      <c r="D114" s="2" t="n">
        <v>0</v>
      </c>
      <c r="E114" s="2" t="n">
        <v>0</v>
      </c>
      <c r="F114" s="2" t="n">
        <v>1</v>
      </c>
      <c r="G114" s="2" t="n">
        <v>109.8</v>
      </c>
    </row>
    <row r="115">
      <c r="A115" s="7" t="n">
        <v>46289.54138961805</v>
      </c>
      <c r="B115" s="7" t="n">
        <v>46289.53472222222</v>
      </c>
      <c r="C115" s="2" t="n">
        <v>433</v>
      </c>
      <c r="D115" s="2" t="n">
        <v>0</v>
      </c>
      <c r="E115" s="2" t="n">
        <v>0</v>
      </c>
      <c r="F115" s="2" t="n">
        <v>1</v>
      </c>
      <c r="G115" s="2" t="n">
        <v>125.8</v>
      </c>
    </row>
    <row r="116">
      <c r="A116" s="7" t="n">
        <v>46289.32358565972</v>
      </c>
      <c r="B116" s="7" t="n">
        <v>46289.31944444445</v>
      </c>
      <c r="C116" s="2" t="n">
        <v>433</v>
      </c>
      <c r="D116" s="2" t="n">
        <v>0</v>
      </c>
      <c r="E116" s="2" t="n">
        <v>0</v>
      </c>
      <c r="F116" s="2" t="n">
        <v>1</v>
      </c>
      <c r="G116" s="2" t="n">
        <v>130.2</v>
      </c>
    </row>
    <row r="117">
      <c r="A117" s="7" t="n">
        <v>46289.18599210648</v>
      </c>
      <c r="B117" s="7" t="n">
        <v>46289.18055555555</v>
      </c>
      <c r="C117" s="2" t="n">
        <v>433</v>
      </c>
      <c r="D117" s="2" t="n">
        <v>0</v>
      </c>
      <c r="E117" s="2" t="n">
        <v>0</v>
      </c>
      <c r="F117" s="2" t="n">
        <v>1</v>
      </c>
      <c r="G117" s="2" t="n">
        <v>129.3</v>
      </c>
    </row>
    <row r="118">
      <c r="A118" s="7" t="n">
        <v>46289.04908521991</v>
      </c>
      <c r="B118" s="7" t="n">
        <v>46289.04513888889</v>
      </c>
      <c r="C118" s="2" t="n">
        <v>433</v>
      </c>
      <c r="D118" s="2" t="n">
        <v>0</v>
      </c>
      <c r="E118" s="2" t="n">
        <v>0</v>
      </c>
      <c r="F118" s="2" t="n">
        <v>1</v>
      </c>
      <c r="G118" s="2" t="n">
        <v>96.90000000000001</v>
      </c>
    </row>
    <row r="119">
      <c r="A119" s="7" t="n">
        <v>46289.00944646991</v>
      </c>
      <c r="B119" s="7" t="n">
        <v>46289.00347222222</v>
      </c>
      <c r="C119" s="2" t="n">
        <v>433</v>
      </c>
      <c r="D119" s="2" t="n">
        <v>1</v>
      </c>
      <c r="E119" s="2" t="n">
        <v>2</v>
      </c>
      <c r="F119" s="2" t="n">
        <v>1</v>
      </c>
      <c r="G119" s="2" t="n">
        <v>127</v>
      </c>
    </row>
    <row r="120">
      <c r="A120" s="7" t="n">
        <v>46288.82408041666</v>
      </c>
      <c r="B120" s="7" t="n">
        <v>46288.81944444445</v>
      </c>
      <c r="C120" s="2" t="n">
        <v>433</v>
      </c>
      <c r="D120" s="2" t="n">
        <v>0</v>
      </c>
      <c r="E120" s="2" t="n">
        <v>0</v>
      </c>
      <c r="F120" s="2" t="n">
        <v>2</v>
      </c>
      <c r="G120" s="2" t="n">
        <v>118.2</v>
      </c>
    </row>
    <row r="121">
      <c r="A121" s="7" t="n">
        <v>46288.75275025463</v>
      </c>
      <c r="B121" s="7" t="n">
        <v>46288.74652777778</v>
      </c>
      <c r="C121" s="2" t="n">
        <v>433</v>
      </c>
      <c r="D121" s="2" t="n">
        <v>0</v>
      </c>
      <c r="E121" s="2" t="n">
        <v>0</v>
      </c>
      <c r="F121" s="2" t="n">
        <v>2</v>
      </c>
      <c r="G121" s="2" t="n">
        <v>125.5</v>
      </c>
    </row>
    <row r="122">
      <c r="A122" s="7" t="n">
        <v>46288.58577883102</v>
      </c>
      <c r="B122" s="7" t="n">
        <v>46288.57986111111</v>
      </c>
      <c r="C122" s="2" t="n">
        <v>433</v>
      </c>
      <c r="D122" s="2" t="n">
        <v>0</v>
      </c>
      <c r="E122" s="2" t="n">
        <v>0</v>
      </c>
      <c r="F122" s="2" t="n">
        <v>2</v>
      </c>
      <c r="G122" s="2" t="n">
        <v>112.8</v>
      </c>
    </row>
    <row r="123">
      <c r="A123" s="7" t="n">
        <v>46288.57218969907</v>
      </c>
      <c r="B123" s="7" t="n">
        <v>46288.56597222222</v>
      </c>
      <c r="C123" s="2" t="n">
        <v>433</v>
      </c>
      <c r="D123" s="2" t="n">
        <v>1</v>
      </c>
      <c r="E123" s="2" t="n">
        <v>3</v>
      </c>
      <c r="F123" s="2" t="n">
        <v>2</v>
      </c>
      <c r="G123" s="2" t="n">
        <v>99.7</v>
      </c>
    </row>
    <row r="124">
      <c r="A124" s="7" t="n">
        <v>46288.36332482639</v>
      </c>
      <c r="B124" s="7" t="n">
        <v>46288.35763888889</v>
      </c>
      <c r="C124" s="2" t="n">
        <v>441</v>
      </c>
      <c r="D124" s="2" t="n">
        <v>1</v>
      </c>
      <c r="E124" s="2" t="n">
        <v>0</v>
      </c>
      <c r="F124" s="2" t="n">
        <v>2</v>
      </c>
      <c r="G124" s="2" t="n">
        <v>94.40000000000001</v>
      </c>
    </row>
    <row r="125">
      <c r="A125" s="7" t="n">
        <v>46288.26120461806</v>
      </c>
      <c r="B125" s="7" t="n">
        <v>46288.25694444445</v>
      </c>
      <c r="C125" s="2" t="n">
        <v>441</v>
      </c>
      <c r="D125" s="2" t="n">
        <v>2</v>
      </c>
      <c r="E125" s="2" t="n">
        <v>0</v>
      </c>
      <c r="F125" s="2" t="n">
        <v>2</v>
      </c>
      <c r="G125" s="2" t="n">
        <v>103.1</v>
      </c>
    </row>
    <row r="126">
      <c r="A126" s="7" t="n">
        <v>46288.12397528935</v>
      </c>
      <c r="B126" s="7" t="n">
        <v>46288.11805555555</v>
      </c>
      <c r="C126" s="2" t="n">
        <v>441</v>
      </c>
      <c r="D126" s="2" t="n">
        <v>0</v>
      </c>
      <c r="E126" s="2" t="n">
        <v>0</v>
      </c>
      <c r="F126" s="2" t="n">
        <v>2</v>
      </c>
      <c r="G126" s="2" t="n">
        <v>114.4</v>
      </c>
    </row>
    <row r="127">
      <c r="A127" s="7" t="n">
        <v>46287.95840076389</v>
      </c>
      <c r="B127" s="7" t="n">
        <v>46287.95486111111</v>
      </c>
      <c r="C127" s="2" t="n">
        <v>441</v>
      </c>
      <c r="D127" s="2" t="n">
        <v>0</v>
      </c>
      <c r="E127" s="2" t="n">
        <v>0</v>
      </c>
      <c r="F127" s="2" t="n">
        <v>2</v>
      </c>
      <c r="G127" s="2" t="n">
        <v>135.1</v>
      </c>
    </row>
    <row r="128">
      <c r="A128" s="7" t="n">
        <v>46287.75277884259</v>
      </c>
      <c r="B128" s="7" t="n">
        <v>46287.74652777778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130.3</v>
      </c>
    </row>
    <row r="129">
      <c r="A129" s="7" t="n">
        <v>46287.6758560301</v>
      </c>
      <c r="B129" s="7" t="n">
        <v>46287.67013888889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91.7</v>
      </c>
    </row>
    <row r="130">
      <c r="A130" s="7" t="n">
        <v>46287.54602564815</v>
      </c>
      <c r="B130" s="7" t="n">
        <v>46287.54166666666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125.4</v>
      </c>
    </row>
    <row r="131">
      <c r="A131" s="7" t="n">
        <v>46287.51247143518</v>
      </c>
      <c r="B131" s="7" t="n">
        <v>46287.50694444445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102.8</v>
      </c>
    </row>
    <row r="132">
      <c r="A132" s="7" t="n">
        <v>46287.30635083334</v>
      </c>
      <c r="B132" s="7" t="n">
        <v>46287.30208333334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135.9</v>
      </c>
    </row>
    <row r="133">
      <c r="A133" s="7" t="n">
        <v>46287.14961865741</v>
      </c>
      <c r="B133" s="7" t="n">
        <v>46287.14583333334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130.5</v>
      </c>
    </row>
    <row r="134">
      <c r="A134" s="7" t="n">
        <v>46286.92852005787</v>
      </c>
      <c r="B134" s="7" t="n">
        <v>46286.92361111111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112.2</v>
      </c>
    </row>
    <row r="135">
      <c r="A135" s="7" t="n">
        <v>46286.83222814815</v>
      </c>
      <c r="B135" s="7" t="n">
        <v>46286.82638888889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126.4</v>
      </c>
    </row>
    <row r="136">
      <c r="A136" s="7" t="n">
        <v>46286.60261268519</v>
      </c>
      <c r="B136" s="7" t="n">
        <v>46286.59722222222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111.5</v>
      </c>
    </row>
    <row r="137">
      <c r="A137" s="7" t="n">
        <v>46286.38294268519</v>
      </c>
      <c r="B137" s="7" t="n">
        <v>46286.37847222222</v>
      </c>
      <c r="C137" s="2" t="n">
        <v>440</v>
      </c>
      <c r="D137" s="2" t="n">
        <v>1</v>
      </c>
      <c r="E137" s="2" t="n">
        <v>1</v>
      </c>
      <c r="F137" s="2" t="n">
        <v>0</v>
      </c>
      <c r="G137" s="2" t="n">
        <v>102.4</v>
      </c>
    </row>
    <row r="138">
      <c r="A138" s="7" t="n">
        <v>46286.27148542824</v>
      </c>
      <c r="B138" s="7" t="n">
        <v>46286.26736111111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126.7</v>
      </c>
    </row>
    <row r="139">
      <c r="A139" s="7" t="n">
        <v>46286.14641391204</v>
      </c>
      <c r="B139" s="7" t="n">
        <v>46286.14236111111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131.3</v>
      </c>
    </row>
    <row r="140">
      <c r="A140" s="7" t="n">
        <v>46286.03573545139</v>
      </c>
      <c r="B140" s="7" t="n">
        <v>46286.03125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127.3</v>
      </c>
    </row>
    <row r="141">
      <c r="A141" s="7" t="n">
        <v>46286.00283136574</v>
      </c>
      <c r="B141" s="7" t="n">
        <v>46285.99652777778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101.9</v>
      </c>
    </row>
    <row r="142">
      <c r="A142" s="7" t="n">
        <v>46285.85245594908</v>
      </c>
      <c r="B142" s="7" t="n">
        <v>46285.84722222222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100.6</v>
      </c>
    </row>
    <row r="143">
      <c r="A143" s="7" t="n">
        <v>46285.60105145833</v>
      </c>
      <c r="B143" s="7" t="n">
        <v>46285.59722222222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129.1</v>
      </c>
    </row>
    <row r="144">
      <c r="A144" s="7" t="n">
        <v>46285.38559789352</v>
      </c>
      <c r="B144" s="7" t="n">
        <v>46285.38194444445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112.5</v>
      </c>
    </row>
    <row r="145">
      <c r="A145" s="7" t="n">
        <v>46285.29994834491</v>
      </c>
      <c r="B145" s="7" t="n">
        <v>46285.29513888889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128.1</v>
      </c>
    </row>
    <row r="146">
      <c r="A146" s="7" t="n">
        <v>46285.19964518519</v>
      </c>
      <c r="B146" s="7" t="n">
        <v>46285.19444444445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110.6</v>
      </c>
    </row>
    <row r="147">
      <c r="A147" s="7" t="n">
        <v>46285.08704527777</v>
      </c>
      <c r="B147" s="7" t="n">
        <v>46285.08333333334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95.09999999999999</v>
      </c>
    </row>
    <row r="148">
      <c r="A148" s="7" t="n">
        <v>46284.93748335648</v>
      </c>
      <c r="B148" s="7" t="n">
        <v>46284.93055555555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128.7</v>
      </c>
    </row>
    <row r="149">
      <c r="A149" s="7" t="n">
        <v>46284.79727659722</v>
      </c>
      <c r="B149" s="7" t="n">
        <v>46284.79166666666</v>
      </c>
      <c r="C149" s="2" t="n">
        <v>440</v>
      </c>
      <c r="D149" s="2" t="n">
        <v>0</v>
      </c>
      <c r="E149" s="2" t="n">
        <v>1</v>
      </c>
      <c r="F149" s="2" t="n">
        <v>0</v>
      </c>
      <c r="G149" s="2" t="n">
        <v>109.7</v>
      </c>
    </row>
    <row r="150">
      <c r="A150" s="7" t="n">
        <v>46284.58365538195</v>
      </c>
      <c r="B150" s="7" t="n">
        <v>46284.57986111111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101.8</v>
      </c>
    </row>
    <row r="151">
      <c r="A151" s="7" t="n">
        <v>46284.38530752315</v>
      </c>
      <c r="B151" s="7" t="n">
        <v>46284.37847222222</v>
      </c>
      <c r="C151" s="2" t="n">
        <v>440</v>
      </c>
      <c r="D151" s="2" t="n">
        <v>1</v>
      </c>
      <c r="E151" s="2" t="n">
        <v>0</v>
      </c>
      <c r="F151" s="2" t="n">
        <v>0</v>
      </c>
      <c r="G151" s="2" t="n">
        <v>130.8</v>
      </c>
    </row>
    <row r="152">
      <c r="A152" s="7" t="n">
        <v>46284.27664920139</v>
      </c>
      <c r="B152" s="7" t="n">
        <v>46284.27083333334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127.8</v>
      </c>
    </row>
    <row r="153">
      <c r="A153" s="7" t="n">
        <v>46284.15392047453</v>
      </c>
      <c r="B153" s="7" t="n">
        <v>46284.14930555555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135.6</v>
      </c>
    </row>
    <row r="154">
      <c r="A154" s="7" t="n">
        <v>46284.02123533565</v>
      </c>
      <c r="B154" s="7" t="n">
        <v>46284.01736111111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102.8</v>
      </c>
    </row>
    <row r="155">
      <c r="A155" s="7" t="n">
        <v>46283.99753837963</v>
      </c>
      <c r="B155" s="7" t="n">
        <v>46283.99305555555</v>
      </c>
      <c r="C155" s="2" t="n">
        <v>440</v>
      </c>
      <c r="D155" s="2" t="n">
        <v>0</v>
      </c>
      <c r="E155" s="2" t="n">
        <v>2</v>
      </c>
      <c r="F155" s="2" t="n">
        <v>0</v>
      </c>
      <c r="G155" s="2" t="n">
        <v>129.8</v>
      </c>
    </row>
    <row r="156">
      <c r="A156" s="7" t="n">
        <v>46283.80859936342</v>
      </c>
      <c r="B156" s="7" t="n">
        <v>46283.80208333334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127.7</v>
      </c>
    </row>
    <row r="157">
      <c r="A157" s="7" t="n">
        <v>46283.78916202546</v>
      </c>
      <c r="B157" s="7" t="n">
        <v>46283.78472222222</v>
      </c>
      <c r="C157" s="2" t="n">
        <v>440</v>
      </c>
      <c r="D157" s="2" t="n">
        <v>2</v>
      </c>
      <c r="E157" s="2" t="n">
        <v>0</v>
      </c>
      <c r="F157" s="2" t="n">
        <v>0</v>
      </c>
      <c r="G157" s="2" t="n">
        <v>119.1</v>
      </c>
    </row>
    <row r="158">
      <c r="A158" s="7" t="n">
        <v>46283.58323265046</v>
      </c>
      <c r="B158" s="7" t="n">
        <v>46283.57638888889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126.7</v>
      </c>
    </row>
    <row r="159">
      <c r="A159" s="7" t="n">
        <v>46283.57323743056</v>
      </c>
      <c r="B159" s="7" t="n">
        <v>46283.56944444445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94.3</v>
      </c>
    </row>
    <row r="160">
      <c r="A160" s="7" t="n">
        <v>46283.45181144676</v>
      </c>
      <c r="B160" s="7" t="n">
        <v>46283.44791666666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132.3</v>
      </c>
    </row>
    <row r="161">
      <c r="A161" s="7" t="n">
        <v>46283.44134394676</v>
      </c>
      <c r="B161" s="7" t="n">
        <v>46283.4375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373.5</v>
      </c>
    </row>
    <row r="162">
      <c r="A162" s="7" t="n">
        <v>46283.35273409722</v>
      </c>
      <c r="B162" s="7" t="n">
        <v>46283.34722222222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132.3</v>
      </c>
    </row>
    <row r="163">
      <c r="A163" s="7" t="n">
        <v>46283.26014016203</v>
      </c>
      <c r="B163" s="7" t="n">
        <v>46283.25347222222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129.5</v>
      </c>
    </row>
    <row r="164">
      <c r="A164" s="7" t="n">
        <v>46283.09637409722</v>
      </c>
      <c r="B164" s="7" t="n">
        <v>46283.09027777778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131.2</v>
      </c>
    </row>
    <row r="165">
      <c r="A165" s="7" t="n">
        <v>46282.89824439815</v>
      </c>
      <c r="B165" s="7" t="n">
        <v>46282.89236111111</v>
      </c>
      <c r="C165" s="2" t="n">
        <v>440</v>
      </c>
      <c r="D165" s="2" t="n">
        <v>1</v>
      </c>
      <c r="E165" s="2" t="n">
        <v>1</v>
      </c>
      <c r="F165" s="2" t="n">
        <v>0</v>
      </c>
      <c r="G165" s="2" t="n">
        <v>137</v>
      </c>
    </row>
    <row r="166">
      <c r="A166" s="7" t="n">
        <v>46282.65711792824</v>
      </c>
      <c r="B166" s="7" t="n">
        <v>46282.65277777778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126.6</v>
      </c>
    </row>
    <row r="167">
      <c r="A167" s="7" t="n">
        <v>46282.40350203704</v>
      </c>
      <c r="B167" s="7" t="n">
        <v>46282.39930555555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323.7</v>
      </c>
    </row>
    <row r="168">
      <c r="A168" s="7" t="n">
        <v>46282.39577758102</v>
      </c>
      <c r="B168" s="7" t="n">
        <v>46282.33333333334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50.5</v>
      </c>
    </row>
    <row r="169">
      <c r="A169" s="7" t="n">
        <v>46282.29222982639</v>
      </c>
      <c r="B169" s="7" t="n">
        <v>46282.25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66.2</v>
      </c>
    </row>
    <row r="170">
      <c r="A170" s="7" t="n">
        <v>46282.17576607639</v>
      </c>
      <c r="B170" s="7" t="n">
        <v>46282.125</v>
      </c>
      <c r="C170" s="2" t="n">
        <v>440</v>
      </c>
      <c r="D170" s="2" t="n">
        <v>0</v>
      </c>
      <c r="E170" s="2" t="n">
        <v>1</v>
      </c>
      <c r="F170" s="2" t="n">
        <v>0</v>
      </c>
      <c r="G170" s="2" t="n">
        <v>67</v>
      </c>
    </row>
    <row r="171">
      <c r="A171" s="7" t="n">
        <v>46282.04552453704</v>
      </c>
      <c r="B171" s="7" t="n">
        <v>46282</v>
      </c>
      <c r="C171" s="2" t="n">
        <v>440</v>
      </c>
      <c r="D171" s="2" t="n">
        <v>2</v>
      </c>
      <c r="E171" s="2" t="n">
        <v>1</v>
      </c>
      <c r="F171" s="2" t="n">
        <v>0</v>
      </c>
      <c r="G171" s="2" t="n">
        <v>52.9</v>
      </c>
    </row>
    <row r="172">
      <c r="A172" s="7" t="n">
        <v>46281.82298537037</v>
      </c>
      <c r="B172" s="7" t="n">
        <v>46281.75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65.7</v>
      </c>
    </row>
    <row r="173">
      <c r="A173" s="7" t="n">
        <v>46281.58829054398</v>
      </c>
      <c r="B173" s="7" t="n">
        <v>46281.54166666666</v>
      </c>
      <c r="C173" s="2" t="n">
        <v>440</v>
      </c>
      <c r="D173" s="2" t="n">
        <v>0</v>
      </c>
      <c r="E173" s="2" t="n">
        <v>0</v>
      </c>
      <c r="F173" s="2" t="n">
        <v>0</v>
      </c>
      <c r="G173" s="2" t="n">
        <v>54.5</v>
      </c>
    </row>
    <row r="174">
      <c r="A174" s="7" t="n">
        <v>46281.35205523148</v>
      </c>
      <c r="B174" s="7" t="n">
        <v>46281.29166666666</v>
      </c>
      <c r="C174" s="2" t="n">
        <v>442</v>
      </c>
      <c r="D174" s="2" t="n">
        <v>0</v>
      </c>
      <c r="E174" s="2" t="n">
        <v>0</v>
      </c>
      <c r="F174" s="2" t="n">
        <v>0</v>
      </c>
      <c r="G174" s="2" t="n">
        <v>66.90000000000001</v>
      </c>
    </row>
    <row r="175">
      <c r="A175" s="7" t="n">
        <v>46281.22963460648</v>
      </c>
      <c r="B175" s="7" t="n">
        <v>46281.16666666666</v>
      </c>
      <c r="C175" s="2" t="n">
        <v>442</v>
      </c>
      <c r="D175" s="2" t="n">
        <v>0</v>
      </c>
      <c r="E175" s="2" t="n">
        <v>0</v>
      </c>
      <c r="F175" s="2" t="n">
        <v>0</v>
      </c>
      <c r="G175" s="2" t="n">
        <v>61.9</v>
      </c>
    </row>
    <row r="176">
      <c r="A176" s="7" t="n">
        <v>46281.094529375</v>
      </c>
      <c r="B176" s="7" t="n">
        <v>46281.04166666666</v>
      </c>
      <c r="C176" s="2" t="n">
        <v>442</v>
      </c>
      <c r="D176" s="2" t="n">
        <v>0</v>
      </c>
      <c r="E176" s="2" t="n">
        <v>0</v>
      </c>
      <c r="F176" s="2" t="n">
        <v>0</v>
      </c>
      <c r="G176" s="2" t="n">
        <v>46.5</v>
      </c>
    </row>
    <row r="177">
      <c r="A177" s="7" t="n">
        <v>46280.9017994676</v>
      </c>
      <c r="B177" s="7" t="n">
        <v>46280.83333333334</v>
      </c>
      <c r="C177" s="2" t="n">
        <v>442</v>
      </c>
      <c r="D177" s="2" t="n">
        <v>0</v>
      </c>
      <c r="E177" s="2" t="n">
        <v>0</v>
      </c>
      <c r="F177" s="2" t="n">
        <v>0</v>
      </c>
      <c r="G177" s="2" t="n">
        <v>56.7</v>
      </c>
    </row>
    <row r="178">
      <c r="A178" s="7" t="n">
        <v>46280.66002480324</v>
      </c>
      <c r="B178" s="7" t="n">
        <v>46280.58333333334</v>
      </c>
      <c r="C178" s="2" t="n">
        <v>442</v>
      </c>
      <c r="D178" s="2" t="n">
        <v>0</v>
      </c>
      <c r="E178" s="2" t="n">
        <v>0</v>
      </c>
      <c r="F178" s="2" t="n">
        <v>0</v>
      </c>
      <c r="G178" s="2" t="n">
        <v>67.40000000000001</v>
      </c>
    </row>
    <row r="179">
      <c r="A179" s="7" t="n">
        <v>46280.4778358449</v>
      </c>
      <c r="B179" s="7" t="n">
        <v>46280.41666666666</v>
      </c>
      <c r="C179" s="2" t="n">
        <v>442</v>
      </c>
      <c r="D179" s="2" t="n">
        <v>11</v>
      </c>
      <c r="E179" s="2" t="n">
        <v>11</v>
      </c>
      <c r="F179" s="2" t="n">
        <v>0</v>
      </c>
      <c r="G179" s="2" t="n">
        <v>61.2</v>
      </c>
    </row>
    <row r="180">
      <c r="A180" s="7" t="n">
        <v>46280.39795681713</v>
      </c>
      <c r="B180" s="7" t="n">
        <v>46280.33333333334</v>
      </c>
      <c r="C180" s="2" t="n">
        <v>442</v>
      </c>
      <c r="D180" s="2" t="n">
        <v>0</v>
      </c>
      <c r="E180" s="2" t="n">
        <v>0</v>
      </c>
      <c r="F180" s="2" t="n">
        <v>0</v>
      </c>
      <c r="G180" s="2" t="n">
        <v>66.90000000000001</v>
      </c>
    </row>
    <row r="181">
      <c r="A181" s="7" t="n">
        <v>46280.29983445602</v>
      </c>
      <c r="B181" s="7" t="n">
        <v>46280.25</v>
      </c>
      <c r="C181" s="2" t="n">
        <v>442</v>
      </c>
      <c r="D181" s="2" t="n">
        <v>0</v>
      </c>
      <c r="E181" s="2" t="n">
        <v>0</v>
      </c>
      <c r="F181" s="2" t="n">
        <v>0</v>
      </c>
      <c r="G181" s="2" t="n">
        <v>51.6</v>
      </c>
    </row>
    <row r="182">
      <c r="A182" s="7" t="n">
        <v>46280.14350143519</v>
      </c>
      <c r="B182" s="7" t="n">
        <v>46280.08333333334</v>
      </c>
      <c r="C182" s="2" t="n">
        <v>442</v>
      </c>
      <c r="D182" s="2" t="n">
        <v>0</v>
      </c>
      <c r="E182" s="2" t="n">
        <v>0</v>
      </c>
      <c r="F182" s="2" t="n">
        <v>0</v>
      </c>
      <c r="G182" s="2" t="n">
        <v>57.3</v>
      </c>
    </row>
    <row r="183">
      <c r="A183" s="7" t="n">
        <v>46279.92418226852</v>
      </c>
      <c r="B183" s="7" t="n">
        <v>46279.875</v>
      </c>
      <c r="C183" s="2" t="n">
        <v>442</v>
      </c>
      <c r="D183" s="2" t="n">
        <v>0</v>
      </c>
      <c r="E183" s="2" t="n">
        <v>0</v>
      </c>
      <c r="F183" s="2" t="n">
        <v>0</v>
      </c>
      <c r="G183" s="2" t="n">
        <v>48.1</v>
      </c>
    </row>
    <row r="184">
      <c r="A184" s="7" t="n">
        <v>46279.59996445602</v>
      </c>
      <c r="B184" s="7" t="n">
        <v>46279.54166666666</v>
      </c>
      <c r="C184" s="2" t="n">
        <v>442</v>
      </c>
      <c r="D184" s="2" t="n">
        <v>0</v>
      </c>
      <c r="E184" s="2" t="n">
        <v>0</v>
      </c>
      <c r="F184" s="2" t="n">
        <v>0</v>
      </c>
      <c r="G184" s="2" t="n">
        <v>61</v>
      </c>
    </row>
    <row r="185">
      <c r="A185" s="7" t="n">
        <v>46279.38316741898</v>
      </c>
      <c r="B185" s="7" t="n">
        <v>46279.33333333334</v>
      </c>
      <c r="C185" s="2" t="n">
        <v>442</v>
      </c>
      <c r="D185" s="2" t="n">
        <v>0</v>
      </c>
      <c r="E185" s="2" t="n">
        <v>0</v>
      </c>
      <c r="F185" s="2" t="n">
        <v>0</v>
      </c>
      <c r="G185" s="2" t="n">
        <v>59.9</v>
      </c>
    </row>
    <row r="186">
      <c r="A186" s="7" t="n">
        <v>46279.26932584491</v>
      </c>
      <c r="B186" s="7" t="n">
        <v>46279.20833333334</v>
      </c>
      <c r="C186" s="2" t="n">
        <v>442</v>
      </c>
      <c r="D186" s="2" t="n">
        <v>0</v>
      </c>
      <c r="E186" s="2" t="n">
        <v>0</v>
      </c>
      <c r="F186" s="2" t="n">
        <v>0</v>
      </c>
      <c r="G186" s="2" t="n">
        <v>61.1</v>
      </c>
    </row>
    <row r="187">
      <c r="A187" s="7" t="n">
        <v>46279.14665413195</v>
      </c>
      <c r="B187" s="7" t="n">
        <v>46279.08333333334</v>
      </c>
      <c r="C187" s="2" t="n">
        <v>442</v>
      </c>
      <c r="D187" s="2" t="n">
        <v>0</v>
      </c>
      <c r="E187" s="2" t="n">
        <v>0</v>
      </c>
      <c r="F187" s="2" t="n">
        <v>0</v>
      </c>
      <c r="G187" s="2" t="n">
        <v>55.1</v>
      </c>
    </row>
    <row r="188">
      <c r="A188" s="7" t="n">
        <v>46279.01733591435</v>
      </c>
      <c r="B188" s="7" t="n">
        <v>46278.95833333334</v>
      </c>
      <c r="C188" s="2" t="n">
        <v>442</v>
      </c>
      <c r="D188" s="2" t="n">
        <v>0</v>
      </c>
      <c r="E188" s="2" t="n">
        <v>0</v>
      </c>
      <c r="F188" s="2" t="n">
        <v>0</v>
      </c>
      <c r="G188" s="2" t="n">
        <v>59.7</v>
      </c>
    </row>
    <row r="189">
      <c r="A189" s="7" t="n">
        <v>46278.83725055555</v>
      </c>
      <c r="B189" s="7" t="n">
        <v>46278.79166666666</v>
      </c>
      <c r="C189" s="2" t="n">
        <v>442</v>
      </c>
      <c r="D189" s="2" t="n">
        <v>0</v>
      </c>
      <c r="E189" s="2" t="n">
        <v>0</v>
      </c>
      <c r="F189" s="2" t="n">
        <v>0</v>
      </c>
      <c r="G189" s="2" t="n">
        <v>65.40000000000001</v>
      </c>
    </row>
    <row r="190">
      <c r="A190" s="7" t="n">
        <v>46278.71111972223</v>
      </c>
      <c r="B190" s="7" t="n">
        <v>46278.66666666666</v>
      </c>
      <c r="C190" s="2" t="n">
        <v>442</v>
      </c>
      <c r="D190" s="2" t="n">
        <v>0</v>
      </c>
      <c r="E190" s="2" t="n">
        <v>0</v>
      </c>
      <c r="F190" s="2" t="n">
        <v>0</v>
      </c>
      <c r="G190" s="2" t="n">
        <v>63.6</v>
      </c>
    </row>
    <row r="191">
      <c r="A191" s="7" t="n">
        <v>46278.68053923611</v>
      </c>
      <c r="B191" s="7" t="n">
        <v>46278.625</v>
      </c>
      <c r="C191" s="2" t="n">
        <v>442</v>
      </c>
      <c r="D191" s="2" t="n">
        <v>0</v>
      </c>
      <c r="E191" s="2" t="n">
        <v>0</v>
      </c>
      <c r="F191" s="2" t="n">
        <v>0</v>
      </c>
      <c r="G191" s="2" t="n">
        <v>63.6</v>
      </c>
    </row>
    <row r="192">
      <c r="A192" s="7" t="n">
        <v>46278.07354997685</v>
      </c>
      <c r="B192" s="7" t="n">
        <v>46278</v>
      </c>
      <c r="C192" s="2" t="n">
        <v>442</v>
      </c>
      <c r="D192" s="2" t="n">
        <v>0</v>
      </c>
      <c r="E192" s="2" t="n">
        <v>0</v>
      </c>
      <c r="F192" s="2" t="n">
        <v>0</v>
      </c>
      <c r="G192" s="2" t="n">
        <v>50.2</v>
      </c>
    </row>
    <row r="193">
      <c r="A193" s="7" t="n">
        <v>46277.94390239583</v>
      </c>
      <c r="B193" s="7" t="n">
        <v>46277.875</v>
      </c>
      <c r="C193" s="2" t="n">
        <v>442</v>
      </c>
      <c r="D193" s="2" t="n">
        <v>0</v>
      </c>
      <c r="E193" s="2" t="n">
        <v>0</v>
      </c>
      <c r="F193" s="2" t="n">
        <v>0</v>
      </c>
      <c r="G193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資金明細!R66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MAX(資金明細!$R$2:$R$66)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MIN(資金明細!$R$2:$R$66)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MIN(資金明細!$X$2:$X$66)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COUNTIFS(資金明細!$C$2:$C$66,"進場",資金明細!$N$2:$N$66,"已下單")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COUNTIFS(資金明細!$C$2:$C$66,"進場",資金明細!$N$2:$N$66,"資金不足略過")</f>
        <v/>
      </c>
    </row>
    <row r="11">
      <c r="D11" s="2" t="inlineStr">
        <is>
          <t>止盈筆數</t>
        </is>
      </c>
      <c r="E11" s="15">
        <f>COUNTIFS(資金明細!$C$2:$C$66,"出場",資金明細!$N$2:$N$66,"已下單",資金明細!$K$2:$K$66,"止盈")</f>
        <v/>
      </c>
    </row>
    <row r="12">
      <c r="A12" s="2" t="inlineStr">
        <is>
          <t>每筆止損約虧本金</t>
        </is>
      </c>
      <c r="B12" s="4">
        <f>B5*B7*IFERROR(AVERAGE(交易明細!$AB$2:$AB$33),參數!B6)</f>
        <v/>
      </c>
      <c r="D12" s="2" t="inlineStr">
        <is>
          <t>止損筆數</t>
        </is>
      </c>
      <c r="E12" s="15">
        <f>COUNTIFS(資金明細!$C$2:$C$66,"出場",資金明細!$N$2:$N$66,"已下單",資金明細!$K$2:$K$66,"止損")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IFERROR(E11/COUNTIFS(資金明細!$C$2:$C$66,"出場",資金明細!$N$2:$N$66,"已下單"),0)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MAX(資金明細!$U$2:$U$66)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MAX(資金明細!$S$2:$S$66)</f>
        <v/>
      </c>
    </row>
    <row r="16">
      <c r="D16" s="2" t="inlineStr">
        <is>
          <t>期末下單金額</t>
        </is>
      </c>
      <c r="E16" s="16">
        <f>B5*資金明細!V66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MAX(資金明細!$Y$2:$Y$66)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IFERROR(INDEX(資金明細!$B$2:$B$66,MATCH(1,資金明細!$Z$2:$Z$66,0)),"未觸發")</f>
        <v/>
      </c>
    </row>
    <row r="21">
      <c r="D21" s="2" t="inlineStr">
        <is>
          <t>停止後略過筆數</t>
        </is>
      </c>
      <c r="E21" s="15">
        <f>COUNTIFS(資金明細!$C$2:$C$66,"進場",資金明細!$N$2:$N$66,"已停止")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46291.25</v>
      </c>
      <c r="C51" s="2" t="inlineStr">
        <is>
          <t>進場</t>
        </is>
      </c>
      <c r="D51" s="2" t="n">
        <v>25</v>
      </c>
      <c r="E51" s="2" t="inlineStr">
        <is>
          <t>LDO_USDT_PERP</t>
        </is>
      </c>
      <c r="F51" s="2" t="inlineStr">
        <is>
          <t>做空</t>
        </is>
      </c>
      <c r="G51" s="17" t="n">
        <v>0.4807</v>
      </c>
      <c r="H51" s="17" t="n">
        <v>0.466279</v>
      </c>
      <c r="I51" s="17" t="n">
        <v>0.504735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46291.66666666666</v>
      </c>
      <c r="C52" s="2" t="inlineStr">
        <is>
          <t>進場</t>
        </is>
      </c>
      <c r="D52" s="2" t="n">
        <v>26</v>
      </c>
      <c r="E52" s="2" t="inlineStr">
        <is>
          <t>AERO_USDT_PERP</t>
        </is>
      </c>
      <c r="F52" s="2" t="inlineStr">
        <is>
          <t>做空</t>
        </is>
      </c>
      <c r="G52" s="17" t="n">
        <v>0.8764999999999999</v>
      </c>
      <c r="H52" s="17" t="n">
        <v>0.8502049999999999</v>
      </c>
      <c r="I52" s="17" t="n">
        <v>0.9203249999999999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46291.79166666666</v>
      </c>
      <c r="C53" s="2" t="inlineStr">
        <is>
          <t>出場</t>
        </is>
      </c>
      <c r="D53" s="2" t="n">
        <v>26</v>
      </c>
      <c r="E53" s="2" t="inlineStr">
        <is>
          <t>AERO_USDT_PERP</t>
        </is>
      </c>
      <c r="F53" s="2" t="inlineStr">
        <is>
          <t>做空</t>
        </is>
      </c>
      <c r="G53" s="17" t="n">
        <v>0.8764999999999999</v>
      </c>
      <c r="H53" s="17" t="n">
        <v>0.8502049999999999</v>
      </c>
      <c r="I53" s="17" t="n">
        <v>0.9203249999999999</v>
      </c>
      <c r="J53" s="17" t="n">
        <v>0.9203249999999999</v>
      </c>
      <c r="K53" s="2" t="inlineStr">
        <is>
          <t>止損</t>
        </is>
      </c>
      <c r="L53" s="5">
        <f>交易明細!K27</f>
        <v/>
      </c>
      <c r="M53" s="16">
        <f>M52</f>
        <v/>
      </c>
      <c r="N53" s="2">
        <f>N52</f>
        <v/>
      </c>
      <c r="O53" s="16">
        <f>O52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46292.20833333334</v>
      </c>
      <c r="C54" s="2" t="inlineStr">
        <is>
          <t>進場</t>
        </is>
      </c>
      <c r="D54" s="2" t="n">
        <v>27</v>
      </c>
      <c r="E54" s="2" t="inlineStr">
        <is>
          <t>KAS_USDT_PERP</t>
        </is>
      </c>
      <c r="F54" s="2" t="inlineStr">
        <is>
          <t>做空</t>
        </is>
      </c>
      <c r="G54" s="17" t="n">
        <v>0.04813</v>
      </c>
      <c r="H54" s="17" t="n">
        <v>0.0466861</v>
      </c>
      <c r="I54" s="17" t="n">
        <v>0.0505365</v>
      </c>
      <c r="J54" s="17" t="n"/>
      <c r="K54" s="2" t="n"/>
      <c r="L54" s="5" t="n"/>
      <c r="M54" s="16">
        <f>資金模擬!$B$5*V53</f>
        <v/>
      </c>
      <c r="N54" s="2">
        <f>IF(Z53=1,"已停止",IF(T53&gt;=M54,"已下單","資金不足略過"))</f>
        <v/>
      </c>
      <c r="O54" s="16">
        <f>IF(N54="已下單",M54*資金模擬!$B$7,0)</f>
        <v/>
      </c>
      <c r="P54" s="4" t="n"/>
      <c r="Q54" s="10" t="n">
        <v>0</v>
      </c>
      <c r="R54" s="10">
        <f>R53+Q54</f>
        <v/>
      </c>
      <c r="S54" s="16">
        <f>S53+IF(N54="已下單",M54,0)</f>
        <v/>
      </c>
      <c r="T54" s="16">
        <f>R54-S54</f>
        <v/>
      </c>
      <c r="U54" s="2">
        <f>U53+IF(N54="已下單",1,0)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46292.25</v>
      </c>
      <c r="C55" s="2" t="inlineStr">
        <is>
          <t>出場</t>
        </is>
      </c>
      <c r="D55" s="2" t="n">
        <v>27</v>
      </c>
      <c r="E55" s="2" t="inlineStr">
        <is>
          <t>KAS_USDT_PERP</t>
        </is>
      </c>
      <c r="F55" s="2" t="inlineStr">
        <is>
          <t>做空</t>
        </is>
      </c>
      <c r="G55" s="17" t="n">
        <v>0.04813</v>
      </c>
      <c r="H55" s="17" t="n">
        <v>0.0466861</v>
      </c>
      <c r="I55" s="17" t="n">
        <v>0.0505365</v>
      </c>
      <c r="J55" s="17" t="n">
        <v>0.0466861</v>
      </c>
      <c r="K55" s="2" t="inlineStr">
        <is>
          <t>止盈</t>
        </is>
      </c>
      <c r="L55" s="5">
        <f>交易明細!K28</f>
        <v/>
      </c>
      <c r="M55" s="16">
        <f>M54</f>
        <v/>
      </c>
      <c r="N55" s="2">
        <f>N54</f>
        <v/>
      </c>
      <c r="O55" s="16">
        <f>O54</f>
        <v/>
      </c>
      <c r="P55" s="4">
        <f>交易明細!L28</f>
        <v/>
      </c>
      <c r="Q55" s="10">
        <f>IF(N55="已下單",O55*P55,0)</f>
        <v/>
      </c>
      <c r="R55" s="10">
        <f>R54+Q55</f>
        <v/>
      </c>
      <c r="S55" s="16">
        <f>S54-IF(N55="已下單",M55,0)</f>
        <v/>
      </c>
      <c r="T55" s="16">
        <f>R55-S55</f>
        <v/>
      </c>
      <c r="U55" s="2">
        <f>U54-IF(N55="已下單",1,0)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46293.16666666666</v>
      </c>
      <c r="C56" s="2" t="inlineStr">
        <is>
          <t>進場</t>
        </is>
      </c>
      <c r="D56" s="2" t="n">
        <v>28</v>
      </c>
      <c r="E56" s="2" t="inlineStr">
        <is>
          <t>PUMP_USDT_PERP</t>
        </is>
      </c>
      <c r="F56" s="2" t="inlineStr">
        <is>
          <t>做空</t>
        </is>
      </c>
      <c r="G56" s="17" t="n">
        <v>0.004904</v>
      </c>
      <c r="H56" s="17" t="n">
        <v>0.004756880000000001</v>
      </c>
      <c r="I56" s="17" t="n">
        <v>0.0051492</v>
      </c>
      <c r="J56" s="17" t="n"/>
      <c r="K56" s="2" t="n"/>
      <c r="L56" s="5" t="n"/>
      <c r="M56" s="16">
        <f>資金模擬!$B$5*V55</f>
        <v/>
      </c>
      <c r="N56" s="2">
        <f>IF(Z55=1,"已停止",IF(T55&gt;=M56,"已下單","資金不足略過"))</f>
        <v/>
      </c>
      <c r="O56" s="16">
        <f>IF(N56="已下單",M56*資金模擬!$B$7,0)</f>
        <v/>
      </c>
      <c r="P56" s="4" t="n"/>
      <c r="Q56" s="10" t="n">
        <v>0</v>
      </c>
      <c r="R56" s="10">
        <f>R55+Q56</f>
        <v/>
      </c>
      <c r="S56" s="16">
        <f>S55+IF(N56="已下單",M56,0)</f>
        <v/>
      </c>
      <c r="T56" s="16">
        <f>R56-S56</f>
        <v/>
      </c>
      <c r="U56" s="2">
        <f>U55+IF(N56="已下單",1,0)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46293.25</v>
      </c>
      <c r="C57" s="2" t="inlineStr">
        <is>
          <t>出場</t>
        </is>
      </c>
      <c r="D57" s="2" t="n">
        <v>28</v>
      </c>
      <c r="E57" s="2" t="inlineStr">
        <is>
          <t>PUMP_USDT_PERP</t>
        </is>
      </c>
      <c r="F57" s="2" t="inlineStr">
        <is>
          <t>做空</t>
        </is>
      </c>
      <c r="G57" s="17" t="n">
        <v>0.004904</v>
      </c>
      <c r="H57" s="17" t="n">
        <v>0.004756880000000001</v>
      </c>
      <c r="I57" s="17" t="n">
        <v>0.0051492</v>
      </c>
      <c r="J57" s="17" t="n">
        <v>0.0051492</v>
      </c>
      <c r="K57" s="2" t="inlineStr">
        <is>
          <t>止損</t>
        </is>
      </c>
      <c r="L57" s="5">
        <f>交易明細!K29</f>
        <v/>
      </c>
      <c r="M57" s="16">
        <f>M56</f>
        <v/>
      </c>
      <c r="N57" s="2">
        <f>N56</f>
        <v/>
      </c>
      <c r="O57" s="16">
        <f>O56</f>
        <v/>
      </c>
      <c r="P57" s="4">
        <f>交易明細!L29</f>
        <v/>
      </c>
      <c r="Q57" s="10">
        <f>IF(N57="已下單",O57*P57,0)</f>
        <v/>
      </c>
      <c r="R57" s="10">
        <f>R56+Q57</f>
        <v/>
      </c>
      <c r="S57" s="16">
        <f>S56-IF(N57="已下單",M57,0)</f>
        <v/>
      </c>
      <c r="T57" s="16">
        <f>R57-S57</f>
        <v/>
      </c>
      <c r="U57" s="2">
        <f>U56-IF(N57="已下單",1,0)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46293.58333333334</v>
      </c>
      <c r="C58" s="2" t="inlineStr">
        <is>
          <t>出場</t>
        </is>
      </c>
      <c r="D58" s="2" t="n">
        <v>25</v>
      </c>
      <c r="E58" s="2" t="inlineStr">
        <is>
          <t>LDO_USDT_PERP</t>
        </is>
      </c>
      <c r="F58" s="2" t="inlineStr">
        <is>
          <t>做空</t>
        </is>
      </c>
      <c r="G58" s="17" t="n">
        <v>0.4807</v>
      </c>
      <c r="H58" s="17" t="n">
        <v>0.466279</v>
      </c>
      <c r="I58" s="17" t="n">
        <v>0.504735</v>
      </c>
      <c r="J58" s="17" t="n">
        <v>0.466279</v>
      </c>
      <c r="K58" s="2" t="inlineStr">
        <is>
          <t>止盈</t>
        </is>
      </c>
      <c r="L58" s="5">
        <f>交易明細!K26</f>
        <v/>
      </c>
      <c r="M58" s="16">
        <f>M51</f>
        <v/>
      </c>
      <c r="N58" s="2">
        <f>N51</f>
        <v/>
      </c>
      <c r="O58" s="16">
        <f>O51</f>
        <v/>
      </c>
      <c r="P58" s="4">
        <f>交易明細!L26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46294.16666666666</v>
      </c>
      <c r="C59" s="2" t="inlineStr">
        <is>
          <t>進場</t>
        </is>
      </c>
      <c r="D59" s="2" t="n">
        <v>29</v>
      </c>
      <c r="E59" s="2" t="inlineStr">
        <is>
          <t>HBAR_USDT_PERP</t>
        </is>
      </c>
      <c r="F59" s="2" t="inlineStr">
        <is>
          <t>做空</t>
        </is>
      </c>
      <c r="G59" s="17" t="n">
        <v>0.12173</v>
      </c>
      <c r="H59" s="17" t="n">
        <v>0.1180781</v>
      </c>
      <c r="I59" s="17" t="n">
        <v>0.1278165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46294.45833333334</v>
      </c>
      <c r="C60" s="2" t="inlineStr">
        <is>
          <t>出場</t>
        </is>
      </c>
      <c r="D60" s="2" t="n">
        <v>29</v>
      </c>
      <c r="E60" s="2" t="inlineStr">
        <is>
          <t>HBAR_USDT_PERP</t>
        </is>
      </c>
      <c r="F60" s="2" t="inlineStr">
        <is>
          <t>做空</t>
        </is>
      </c>
      <c r="G60" s="17" t="n">
        <v>0.12173</v>
      </c>
      <c r="H60" s="17" t="n">
        <v>0.1180781</v>
      </c>
      <c r="I60" s="17" t="n">
        <v>0.1278165</v>
      </c>
      <c r="J60" s="17" t="n">
        <v>0.1180781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46295.20833333334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0.4022</v>
      </c>
      <c r="H61" s="17" t="n">
        <v>0.390134</v>
      </c>
      <c r="I61" s="17" t="n">
        <v>0.42231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46295.33333333334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0.4022</v>
      </c>
      <c r="H62" s="17" t="n">
        <v>0.390134</v>
      </c>
      <c r="I62" s="17" t="n">
        <v>0.42231</v>
      </c>
      <c r="J62" s="17" t="n">
        <v>0.42231</v>
      </c>
      <c r="K62" s="2" t="inlineStr">
        <is>
          <t>止損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46296.91666666666</v>
      </c>
      <c r="C63" s="2" t="inlineStr">
        <is>
          <t>進場</t>
        </is>
      </c>
      <c r="D63" s="2" t="n">
        <v>31</v>
      </c>
      <c r="E63" s="2" t="inlineStr">
        <is>
          <t>NIGHT_USDT_PERP</t>
        </is>
      </c>
      <c r="F63" s="2" t="inlineStr">
        <is>
          <t>做空</t>
        </is>
      </c>
      <c r="G63" s="17" t="n">
        <v>0.03921</v>
      </c>
      <c r="H63" s="17" t="n">
        <v>0.0380337</v>
      </c>
      <c r="I63" s="17" t="n">
        <v>0.04117050000000001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46296.95833333334</v>
      </c>
      <c r="C64" s="2" t="inlineStr">
        <is>
          <t>出場</t>
        </is>
      </c>
      <c r="D64" s="2" t="n">
        <v>31</v>
      </c>
      <c r="E64" s="2" t="inlineStr">
        <is>
          <t>NIGHT_USDT_PERP</t>
        </is>
      </c>
      <c r="F64" s="2" t="inlineStr">
        <is>
          <t>做空</t>
        </is>
      </c>
      <c r="G64" s="17" t="n">
        <v>0.03921</v>
      </c>
      <c r="H64" s="17" t="n">
        <v>0.0380337</v>
      </c>
      <c r="I64" s="17" t="n">
        <v>0.04117050000000001</v>
      </c>
      <c r="J64" s="17" t="n">
        <v>0.0380337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46297.16666666666</v>
      </c>
      <c r="C65" s="2" t="inlineStr">
        <is>
          <t>進場</t>
        </is>
      </c>
      <c r="D65" s="2" t="n">
        <v>32</v>
      </c>
      <c r="E65" s="2" t="inlineStr">
        <is>
          <t>CAP_USDT_PERP</t>
        </is>
      </c>
      <c r="F65" s="2" t="inlineStr">
        <is>
          <t>做空</t>
        </is>
      </c>
      <c r="G65" s="17" t="n">
        <v>0.08642</v>
      </c>
      <c r="H65" s="17" t="n">
        <v>0.0838274</v>
      </c>
      <c r="I65" s="17" t="n">
        <v>0.090741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46297.20833333334</v>
      </c>
      <c r="C66" s="2" t="inlineStr">
        <is>
          <t>出場</t>
        </is>
      </c>
      <c r="D66" s="2" t="n">
        <v>32</v>
      </c>
      <c r="E66" s="2" t="inlineStr">
        <is>
          <t>CAP_USDT_PERP</t>
        </is>
      </c>
      <c r="F66" s="2" t="inlineStr">
        <is>
          <t>做空</t>
        </is>
      </c>
      <c r="G66" s="17" t="n">
        <v>0.08642</v>
      </c>
      <c r="H66" s="17" t="n">
        <v>0.0838274</v>
      </c>
      <c r="I66" s="17" t="n">
        <v>0.090741</v>
      </c>
      <c r="J66" s="17" t="n">
        <v>0.0838274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</sheetData>
  <autoFilter ref="A1:Z66"/>
  <conditionalFormatting sqref="K2:K6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6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6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2026-10-04 03:58（Dry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IFERROR(AVERAGE(交易明細!$AC$2:$AC$33),(B6+2*B7)/(B5+B6))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  <row r="26">
      <c r="A26" s="2" t="n">
        <v>25</v>
      </c>
      <c r="B26" s="2" t="inlineStr">
        <is>
          <t>LDO_USDT_PERP</t>
        </is>
      </c>
      <c r="C26" s="2" t="inlineStr">
        <is>
          <t>做空</t>
        </is>
      </c>
      <c r="D26" s="7" t="n">
        <v>46291.25</v>
      </c>
      <c r="E26" s="17" t="n">
        <v>0.4807</v>
      </c>
      <c r="F26" s="17" t="n">
        <v>0.466279</v>
      </c>
      <c r="G26" s="17" t="n">
        <v>0.504735</v>
      </c>
      <c r="H26" s="7" t="n">
        <v>46293.58333333334</v>
      </c>
      <c r="I26" s="17" t="n">
        <v>0.466279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-0.0104981473857555</v>
      </c>
      <c r="O26" s="4" t="n">
        <v>0.02953505643673747</v>
      </c>
      <c r="P26" s="4" t="n">
        <v>0.05115841724888215</v>
      </c>
      <c r="Q26" s="19" t="n">
        <v>1463155</v>
      </c>
      <c r="R26" s="19" t="n">
        <v>1241812.1015</v>
      </c>
      <c r="S26" s="4" t="n">
        <v>0.03</v>
      </c>
      <c r="T26" s="4" t="n">
        <v>0.04805491990846678</v>
      </c>
      <c r="U26" s="16" t="n">
        <v>0.3503902438447912</v>
      </c>
      <c r="V26" s="16" t="n">
        <v>0.7289719626168208</v>
      </c>
      <c r="W26" s="4" t="n">
        <v>-0.1332693654210211</v>
      </c>
      <c r="X26" s="4" t="n">
        <v>-0.09598723210214333</v>
      </c>
      <c r="Y26" s="4" t="n">
        <v>0.001102103180235514</v>
      </c>
      <c r="Z26" s="4" t="n">
        <v>0.004090140418303911</v>
      </c>
      <c r="AA26" s="4" t="n">
        <v>0.03</v>
      </c>
      <c r="AB26" s="4" t="n">
        <v>0.05</v>
      </c>
      <c r="AC26" s="4">
        <f>(AB26+2*參數!$B$7)/(AA26+AB26)</f>
        <v/>
      </c>
      <c r="AD26" s="20" t="n">
        <v>46291.125</v>
      </c>
      <c r="AE26" s="2" t="n">
        <v>2</v>
      </c>
      <c r="AF26" s="2" t="n">
        <v>0.08721183123096998</v>
      </c>
      <c r="AG26" s="2" t="n">
        <v>0.05944700460829488</v>
      </c>
      <c r="AH26" s="2" t="n">
        <v>4.476273461149384</v>
      </c>
      <c r="AI26" s="2" t="n">
        <v>0.8227539867314982</v>
      </c>
      <c r="AJ26" s="2" t="n">
        <v>0.1793765829927026</v>
      </c>
      <c r="AK26" s="2" t="n">
        <v>0.007862903225806406</v>
      </c>
      <c r="AL26" s="2" t="n">
        <v>0.1041413583655439</v>
      </c>
      <c r="AM26" s="2" t="n">
        <v>77.03850825195553</v>
      </c>
      <c r="AN26" s="2" t="n">
        <v>0.8862559241706178</v>
      </c>
      <c r="AO26" s="2" t="n">
        <v>0.1518433179723502</v>
      </c>
      <c r="AP26" s="2" t="n">
        <v>-0.002392277276763943</v>
      </c>
    </row>
    <row r="27">
      <c r="A27" s="2" t="n">
        <v>26</v>
      </c>
      <c r="B27" s="2" t="inlineStr">
        <is>
          <t>AERO_USDT_PERP</t>
        </is>
      </c>
      <c r="C27" s="2" t="inlineStr">
        <is>
          <t>做空</t>
        </is>
      </c>
      <c r="D27" s="7" t="n">
        <v>46291.66666666666</v>
      </c>
      <c r="E27" s="17" t="n">
        <v>0.8764999999999999</v>
      </c>
      <c r="F27" s="17" t="n">
        <v>0.8502049999999999</v>
      </c>
      <c r="G27" s="17" t="n">
        <v>0.9203249999999999</v>
      </c>
      <c r="H27" s="7" t="n">
        <v>46291.79166666666</v>
      </c>
      <c r="I27" s="17" t="n">
        <v>0.9203249999999999</v>
      </c>
      <c r="J27" s="2" t="inlineStr">
        <is>
          <t>止損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-0.03532907770195903</v>
      </c>
      <c r="O27" s="4" t="n">
        <v>0.02813722442155105</v>
      </c>
      <c r="P27" s="4" t="n">
        <v>0.03314552441123064</v>
      </c>
      <c r="Q27" s="19" t="n">
        <v>557982.4000000008</v>
      </c>
      <c r="R27" s="19" t="n">
        <v>2232532.82062</v>
      </c>
      <c r="S27" s="4" t="n">
        <v>0.0007986309184254692</v>
      </c>
      <c r="T27" s="4" t="n">
        <v>0.05</v>
      </c>
      <c r="U27" s="16" t="n">
        <v>2.384389309408609</v>
      </c>
      <c r="V27" s="16" t="n">
        <v>0.8813186813186822</v>
      </c>
      <c r="W27" s="4" t="n">
        <v>-0.2046818347998427</v>
      </c>
      <c r="X27" s="4" t="n">
        <v>-0.2029920395278615</v>
      </c>
      <c r="Y27" s="4" t="n">
        <v>-0.00254825527388669</v>
      </c>
      <c r="Z27" s="4" t="n">
        <v>-0.001681383112599022</v>
      </c>
      <c r="AA27" s="4" t="n">
        <v>0.03</v>
      </c>
      <c r="AB27" s="4" t="n">
        <v>0.05</v>
      </c>
      <c r="AC27" s="4">
        <f>(AB27+2*參數!$B$7)/(AA27+AB27)</f>
        <v/>
      </c>
      <c r="AD27" s="20" t="n">
        <v>46291.58333333334</v>
      </c>
      <c r="AE27" s="2" t="n">
        <v>1</v>
      </c>
      <c r="AF27" s="2" t="n">
        <v>0.08710217755443894</v>
      </c>
      <c r="AG27" s="2" t="n">
        <v>0.1624478442280946</v>
      </c>
      <c r="AH27" s="2" t="n">
        <v>2.122876807407935</v>
      </c>
      <c r="AI27" s="2" t="n">
        <v>0.6382723458056958</v>
      </c>
      <c r="AJ27" s="2" t="n">
        <v>0.4247592731857481</v>
      </c>
      <c r="AK27" s="2" t="n">
        <v>0.006090133982947554</v>
      </c>
      <c r="AL27" s="2" t="n">
        <v>0.07680182982833506</v>
      </c>
      <c r="AM27" s="2" t="n">
        <v>73.37130588642313</v>
      </c>
      <c r="AN27" s="2" t="n">
        <v>0.7702127659574445</v>
      </c>
      <c r="AO27" s="2" t="n">
        <v>0.2636995827538247</v>
      </c>
      <c r="AP27" s="2" t="n">
        <v>-0.001137489756636745</v>
      </c>
    </row>
    <row r="28">
      <c r="A28" s="2" t="n">
        <v>27</v>
      </c>
      <c r="B28" s="2" t="inlineStr">
        <is>
          <t>KAS_USDT_PERP</t>
        </is>
      </c>
      <c r="C28" s="2" t="inlineStr">
        <is>
          <t>做空</t>
        </is>
      </c>
      <c r="D28" s="7" t="n">
        <v>46292.20833333334</v>
      </c>
      <c r="E28" s="17" t="n">
        <v>0.04813</v>
      </c>
      <c r="F28" s="17" t="n">
        <v>0.0466861</v>
      </c>
      <c r="G28" s="17" t="n">
        <v>0.0505365</v>
      </c>
      <c r="H28" s="7" t="n">
        <v>46292.25</v>
      </c>
      <c r="I28" s="17" t="n">
        <v>0.0466861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-0.01715335919950989</v>
      </c>
      <c r="O28" s="4" t="n">
        <v>0.02162657984690781</v>
      </c>
      <c r="P28" s="4" t="n">
        <v>0.05629320750576094</v>
      </c>
      <c r="Q28" s="19" t="n">
        <v>9236799</v>
      </c>
      <c r="R28" s="19" t="n">
        <v>2610443.30642</v>
      </c>
      <c r="S28" s="4" t="n">
        <v>0.03</v>
      </c>
      <c r="T28" s="4" t="n">
        <v>0</v>
      </c>
      <c r="U28" s="16" t="n">
        <v>2.054825782985826</v>
      </c>
      <c r="V28" s="16" t="n">
        <v>0.6999999999999995</v>
      </c>
      <c r="W28" s="4" t="n">
        <v>-0.1610431778762536</v>
      </c>
      <c r="X28" s="4" t="n">
        <v>-0.1597590361445782</v>
      </c>
      <c r="Y28" s="4" t="n">
        <v>-0.0001238313417126768</v>
      </c>
      <c r="Z28" s="4" t="n">
        <v>0.000208122341894712</v>
      </c>
      <c r="AA28" s="4" t="n">
        <v>0.03</v>
      </c>
      <c r="AB28" s="4" t="n">
        <v>0.05</v>
      </c>
      <c r="AC28" s="4">
        <f>(AB28+2*參數!$B$7)/(AA28+AB28)</f>
        <v/>
      </c>
      <c r="AD28" s="20" t="n">
        <v>46292.04166666666</v>
      </c>
      <c r="AE28" s="2" t="n">
        <v>3</v>
      </c>
      <c r="AF28" s="2" t="n">
        <v>0.1247731397459164</v>
      </c>
      <c r="AG28" s="2" t="n">
        <v>0.07016266084000988</v>
      </c>
      <c r="AH28" s="2" t="n">
        <v>2.540450149703108</v>
      </c>
      <c r="AI28" s="2" t="n">
        <v>0.5750143446561911</v>
      </c>
      <c r="AJ28" s="2" t="n">
        <v>0.6266980551881309</v>
      </c>
      <c r="AK28" s="2" t="n">
        <v>0.01018744906275471</v>
      </c>
      <c r="AL28" s="2" t="n">
        <v>0.1128943558433688</v>
      </c>
      <c r="AM28" s="2" t="n">
        <v>82.63140445659211</v>
      </c>
      <c r="AN28" s="2" t="n">
        <v>0.8475609756097562</v>
      </c>
      <c r="AO28" s="2" t="n">
        <v>0.2036902160718621</v>
      </c>
      <c r="AP28" s="2" t="n">
        <v>0.0009914465639224712</v>
      </c>
    </row>
    <row r="29">
      <c r="A29" s="2" t="n">
        <v>28</v>
      </c>
      <c r="B29" s="2" t="inlineStr">
        <is>
          <t>PUMP_USDT_PERP</t>
        </is>
      </c>
      <c r="C29" s="2" t="inlineStr">
        <is>
          <t>做空</t>
        </is>
      </c>
      <c r="D29" s="7" t="n">
        <v>46293.16666666666</v>
      </c>
      <c r="E29" s="17" t="n">
        <v>0.004904</v>
      </c>
      <c r="F29" s="17" t="n">
        <v>0.004756880000000001</v>
      </c>
      <c r="G29" s="17" t="n">
        <v>0.0051492</v>
      </c>
      <c r="H29" s="7" t="n">
        <v>46293.25</v>
      </c>
      <c r="I29" s="17" t="n">
        <v>0.0051492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-0.01466747036367277</v>
      </c>
      <c r="O29" s="4" t="n">
        <v>0.02146657833284862</v>
      </c>
      <c r="P29" s="4" t="n">
        <v>0.07066053904177627</v>
      </c>
      <c r="Q29" s="19" t="n">
        <v>555072541</v>
      </c>
      <c r="R29" s="19" t="n">
        <v>5850628.232371</v>
      </c>
      <c r="S29" s="4" t="n">
        <v>0.003466557911908752</v>
      </c>
      <c r="T29" s="4" t="n">
        <v>0.05</v>
      </c>
      <c r="U29" s="16" t="n">
        <v>1.127356726757073</v>
      </c>
      <c r="V29" s="16" t="n">
        <v>0.821782178217816</v>
      </c>
      <c r="W29" s="4" t="n">
        <v>-0.1663499477948995</v>
      </c>
      <c r="X29" s="4" t="n">
        <v>-0.1153058903798045</v>
      </c>
      <c r="Y29" s="4" t="n">
        <v>0.0009613309066117681</v>
      </c>
      <c r="Z29" s="4" t="n">
        <v>-0.001201960585906159</v>
      </c>
      <c r="AA29" s="4" t="n">
        <v>0.03</v>
      </c>
      <c r="AB29" s="4" t="n">
        <v>0.05</v>
      </c>
      <c r="AC29" s="4">
        <f>(AB29+2*參數!$B$7)/(AA29+AB29)</f>
        <v/>
      </c>
      <c r="AD29" s="20" t="n">
        <v>46293.04166666666</v>
      </c>
      <c r="AE29" s="2" t="n">
        <v>2</v>
      </c>
      <c r="AF29" s="2" t="n">
        <v>0.1164568345323742</v>
      </c>
      <c r="AG29" s="2" t="n">
        <v>-0.001347103726986987</v>
      </c>
      <c r="AH29" s="2" t="n">
        <v>2.133183106059923</v>
      </c>
      <c r="AI29" s="2" t="n">
        <v>0.7115940182998398</v>
      </c>
      <c r="AJ29" s="2" t="n">
        <v>0.3640100940551055</v>
      </c>
      <c r="AK29" s="2" t="n">
        <v>0.0004029008863819517</v>
      </c>
      <c r="AL29" s="2" t="n">
        <v>0.09779821381200793</v>
      </c>
      <c r="AM29" s="2" t="n">
        <v>81.62663412601977</v>
      </c>
      <c r="AN29" s="2" t="n">
        <v>0.9013157894736826</v>
      </c>
      <c r="AO29" s="2" t="n">
        <v>0.1149528513695555</v>
      </c>
      <c r="AP29" s="2" t="n">
        <v>-0.0002277241464053725</v>
      </c>
    </row>
    <row r="30">
      <c r="A30" s="2" t="n">
        <v>29</v>
      </c>
      <c r="B30" s="2" t="inlineStr">
        <is>
          <t>HBAR_USDT_PERP</t>
        </is>
      </c>
      <c r="C30" s="2" t="inlineStr">
        <is>
          <t>做空</t>
        </is>
      </c>
      <c r="D30" s="7" t="n">
        <v>46294.16666666666</v>
      </c>
      <c r="E30" s="17" t="n">
        <v>0.12173</v>
      </c>
      <c r="F30" s="17" t="n">
        <v>0.1180781</v>
      </c>
      <c r="G30" s="17" t="n">
        <v>0.1278165</v>
      </c>
      <c r="H30" s="7" t="n">
        <v>46294.45833333334</v>
      </c>
      <c r="I30" s="17" t="n">
        <v>0.1180781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-0.04488034523342488</v>
      </c>
      <c r="O30" s="4" t="n">
        <v>0.0409238122139661</v>
      </c>
      <c r="P30" s="4" t="n">
        <v>0.1009265581687704</v>
      </c>
      <c r="Q30" s="19" t="n">
        <v>52290876</v>
      </c>
      <c r="R30" s="19" t="n">
        <v>13458469.57816</v>
      </c>
      <c r="S30" s="4" t="n">
        <v>0.03</v>
      </c>
      <c r="T30" s="4" t="n">
        <v>0.02776636819190004</v>
      </c>
      <c r="U30" s="16" t="n">
        <v>0.8128442313027866</v>
      </c>
      <c r="V30" s="16" t="n">
        <v>0.9141791044776107</v>
      </c>
      <c r="W30" s="4" t="n">
        <v>-0.2531862412030919</v>
      </c>
      <c r="X30" s="4" t="n">
        <v>-0.2838008858890531</v>
      </c>
      <c r="Y30" s="4" t="n">
        <v>0.007726245663659537</v>
      </c>
      <c r="Z30" s="4" t="n">
        <v>-3.35342569228736e-05</v>
      </c>
      <c r="AA30" s="4" t="n">
        <v>0.03</v>
      </c>
      <c r="AB30" s="4" t="n">
        <v>0.05</v>
      </c>
      <c r="AC30" s="4">
        <f>(AB30+2*參數!$B$7)/(AA30+AB30)</f>
        <v/>
      </c>
      <c r="AD30" s="20" t="n">
        <v>46293.95833333334</v>
      </c>
      <c r="AE30" s="2" t="n">
        <v>4</v>
      </c>
      <c r="AF30" s="2" t="n">
        <v>0.2974480834796982</v>
      </c>
      <c r="AG30" s="2" t="n">
        <v>0.03718388341191603</v>
      </c>
      <c r="AH30" s="2" t="n">
        <v>14.03433931206106</v>
      </c>
      <c r="AI30" s="2" t="n">
        <v>0.8620735241916253</v>
      </c>
      <c r="AJ30" s="2" t="n">
        <v>0.2338868072551395</v>
      </c>
      <c r="AK30" s="2" t="n">
        <v>0.005685913349883887</v>
      </c>
      <c r="AL30" s="2" t="n">
        <v>0.204379037014659</v>
      </c>
      <c r="AM30" s="2" t="n">
        <v>86.78370258535975</v>
      </c>
      <c r="AN30" s="2" t="n">
        <v>0.9212454212454213</v>
      </c>
      <c r="AO30" s="2" t="n">
        <v>0.3456922417488213</v>
      </c>
      <c r="AP30" s="2" t="n">
        <v>-0.001910263717960659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46295.20833333334</v>
      </c>
      <c r="E31" s="17" t="n">
        <v>0.4022</v>
      </c>
      <c r="F31" s="17" t="n">
        <v>0.390134</v>
      </c>
      <c r="G31" s="17" t="n">
        <v>0.42231</v>
      </c>
      <c r="H31" s="7" t="n">
        <v>46295.33333333334</v>
      </c>
      <c r="I31" s="17" t="n">
        <v>0.42231</v>
      </c>
      <c r="J31" s="2" t="inlineStr">
        <is>
          <t>止損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-0.01276386843397148</v>
      </c>
      <c r="O31" s="4" t="n">
        <v>0.05209670835966842</v>
      </c>
      <c r="P31" s="4" t="n">
        <v>0.1586771145425214</v>
      </c>
      <c r="Q31" s="19" t="n">
        <v>2048881</v>
      </c>
      <c r="R31" s="19" t="n">
        <v>2801631.8001</v>
      </c>
      <c r="S31" s="4" t="n">
        <v>0.0009945300845350946</v>
      </c>
      <c r="T31" s="4" t="n">
        <v>0.05</v>
      </c>
      <c r="U31" s="16" t="n">
        <v>0.3244818868726695</v>
      </c>
      <c r="V31" s="16" t="n">
        <v>0.9166666666666643</v>
      </c>
      <c r="W31" s="4" t="n">
        <v>-0.3918014520136481</v>
      </c>
      <c r="X31" s="4" t="n">
        <v>-0.1836374337845792</v>
      </c>
      <c r="Y31" s="4" t="n">
        <v>-0.0003542759067249879</v>
      </c>
      <c r="Z31" s="4" t="n">
        <v>0.0001302170797077284</v>
      </c>
      <c r="AA31" s="4" t="n">
        <v>0.03</v>
      </c>
      <c r="AB31" s="4" t="n">
        <v>0.05</v>
      </c>
      <c r="AC31" s="4">
        <f>(AB31+2*參數!$B$7)/(AA31+AB31)</f>
        <v/>
      </c>
      <c r="AD31" s="20" t="n">
        <v>46295</v>
      </c>
      <c r="AE31" s="2" t="n">
        <v>4</v>
      </c>
      <c r="AF31" s="2" t="n">
        <v>0.1481687014428412</v>
      </c>
      <c r="AG31" s="2" t="n">
        <v>0.06880189798339265</v>
      </c>
      <c r="AH31" s="2" t="n">
        <v>2.989186729278511</v>
      </c>
      <c r="AI31" s="2" t="n">
        <v>0.37946741884415</v>
      </c>
      <c r="AJ31" s="2" t="n">
        <v>0.2277281503384256</v>
      </c>
      <c r="AK31" s="2" t="n">
        <v>0.02400395941598621</v>
      </c>
      <c r="AL31" s="2" t="n">
        <v>0.2509257999667467</v>
      </c>
      <c r="AM31" s="2" t="n">
        <v>72.90188594058664</v>
      </c>
      <c r="AN31" s="2" t="n">
        <v>0.9615384615384615</v>
      </c>
      <c r="AO31" s="2" t="n">
        <v>0.2271648873072361</v>
      </c>
      <c r="AP31" s="2" t="n">
        <v>-0.00650034685030354</v>
      </c>
    </row>
    <row r="32">
      <c r="A32" s="2" t="n">
        <v>31</v>
      </c>
      <c r="B32" s="2" t="inlineStr">
        <is>
          <t>NIGHT_USDT_PERP</t>
        </is>
      </c>
      <c r="C32" s="2" t="inlineStr">
        <is>
          <t>做空</t>
        </is>
      </c>
      <c r="D32" s="7" t="n">
        <v>46296.91666666666</v>
      </c>
      <c r="E32" s="17" t="n">
        <v>0.03921</v>
      </c>
      <c r="F32" s="17" t="n">
        <v>0.0380337</v>
      </c>
      <c r="G32" s="17" t="n">
        <v>0.04117050000000001</v>
      </c>
      <c r="H32" s="7" t="n">
        <v>46296.95833333334</v>
      </c>
      <c r="I32" s="17" t="n">
        <v>0.0380337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-0.1142986220917098</v>
      </c>
      <c r="O32" s="4" t="n">
        <v>0.0497734437979595</v>
      </c>
      <c r="P32" s="4" t="n">
        <v>-0.03473572782550904</v>
      </c>
      <c r="Q32" s="19" t="n">
        <v>5509455</v>
      </c>
      <c r="R32" s="19" t="n">
        <v>1514357.09246</v>
      </c>
      <c r="S32" s="4" t="n">
        <v>0.03</v>
      </c>
      <c r="T32" s="4" t="n">
        <v>0</v>
      </c>
      <c r="U32" s="16" t="n">
        <v>2.633905566115205</v>
      </c>
      <c r="V32" s="16" t="n">
        <v>0.8462809917355372</v>
      </c>
      <c r="W32" s="4" t="n">
        <v>-0.2276065898147166</v>
      </c>
      <c r="X32" s="4" t="n">
        <v>-0.05772862152684111</v>
      </c>
      <c r="Y32" s="4" t="n">
        <v>-0.002440659013773105</v>
      </c>
      <c r="Z32" s="4" t="n">
        <v>-0.002135433961969024</v>
      </c>
      <c r="AA32" s="4" t="n">
        <v>0.03</v>
      </c>
      <c r="AB32" s="4" t="n">
        <v>0.05</v>
      </c>
      <c r="AC32" s="4">
        <f>(AB32+2*參數!$B$7)/(AA32+AB32)</f>
        <v/>
      </c>
      <c r="AD32" s="20" t="n">
        <v>46296.75</v>
      </c>
      <c r="AE32" s="2" t="n">
        <v>3</v>
      </c>
      <c r="AF32" s="2" t="n">
        <v>0.1170719478566056</v>
      </c>
      <c r="AG32" s="2" t="n">
        <v>0.09168035030103994</v>
      </c>
      <c r="AH32" s="2" t="n">
        <v>2.340294343244558</v>
      </c>
      <c r="AI32" s="2" t="n">
        <v>0.6687270179241668</v>
      </c>
      <c r="AJ32" s="2" t="n">
        <v>0.8374554168624634</v>
      </c>
      <c r="AK32" s="2" t="n">
        <v>0.004961659900766913</v>
      </c>
      <c r="AL32" s="2" t="n">
        <v>0.1175342019135519</v>
      </c>
      <c r="AM32" s="2" t="n">
        <v>84.68636775252796</v>
      </c>
      <c r="AN32" s="2" t="n">
        <v>0.7455357142857145</v>
      </c>
      <c r="AO32" s="2" t="n">
        <v>0.2194854953475642</v>
      </c>
      <c r="AP32" s="2" t="n">
        <v>0.001810895655993017</v>
      </c>
    </row>
    <row r="33">
      <c r="A33" s="2" t="n">
        <v>32</v>
      </c>
      <c r="B33" s="2" t="inlineStr">
        <is>
          <t>CAP_USDT_PERP</t>
        </is>
      </c>
      <c r="C33" s="2" t="inlineStr">
        <is>
          <t>做空</t>
        </is>
      </c>
      <c r="D33" s="7" t="n">
        <v>46297.16666666666</v>
      </c>
      <c r="E33" s="17" t="n">
        <v>0.08642</v>
      </c>
      <c r="F33" s="17" t="n">
        <v>0.0838274</v>
      </c>
      <c r="G33" s="17" t="n">
        <v>0.090741</v>
      </c>
      <c r="H33" s="7" t="n">
        <v>46297.20833333334</v>
      </c>
      <c r="I33" s="17" t="n">
        <v>0.0838274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-0.006894966674327763</v>
      </c>
      <c r="O33" s="4" t="n">
        <v>0.03231274741684297</v>
      </c>
      <c r="P33" s="4" t="n">
        <v>0.1263970803871093</v>
      </c>
      <c r="Q33" s="19" t="n">
        <v>3781374</v>
      </c>
      <c r="R33" s="19" t="n">
        <v>1217480.55557</v>
      </c>
      <c r="S33" s="4" t="n">
        <v>0.03</v>
      </c>
      <c r="T33" s="4" t="n">
        <v>0</v>
      </c>
      <c r="U33" s="16" t="n">
        <v>0.7291278165143937</v>
      </c>
      <c r="V33" s="16" t="n">
        <v>0.5411764705882355</v>
      </c>
      <c r="W33" s="4" t="n">
        <v>-0.3922362129628434</v>
      </c>
      <c r="X33" s="4" t="n">
        <v>-0.261421690264195</v>
      </c>
      <c r="Y33" s="4" t="n">
        <v>0.001545449183035452</v>
      </c>
      <c r="Z33" s="4" t="n">
        <v>-0.008050744374498819</v>
      </c>
      <c r="AA33" s="4" t="n">
        <v>0.03</v>
      </c>
      <c r="AB33" s="4" t="n">
        <v>0.05</v>
      </c>
      <c r="AC33" s="4">
        <f>(AB33+2*參數!$B$7)/(AA33+AB33)</f>
        <v/>
      </c>
      <c r="AD33" s="20" t="n">
        <v>46297.04166666666</v>
      </c>
      <c r="AE33" s="2" t="n">
        <v>2</v>
      </c>
      <c r="AF33" s="2" t="n">
        <v>0.17550249561581</v>
      </c>
      <c r="AG33" s="2" t="n">
        <v>0.1199576975373924</v>
      </c>
      <c r="AH33" s="2" t="n">
        <v>1.600975806854098</v>
      </c>
      <c r="AI33" s="2" t="n">
        <v>0.8962621168612133</v>
      </c>
      <c r="AJ33" s="2" t="n">
        <v>0.407405348338975</v>
      </c>
      <c r="AK33" s="2" t="n">
        <v>0.006351772722023252</v>
      </c>
      <c r="AL33" s="2" t="n">
        <v>0.1624478906119726</v>
      </c>
      <c r="AM33" s="2" t="n">
        <v>86.77763867541725</v>
      </c>
      <c r="AN33" s="2" t="n">
        <v>0.6273148148148139</v>
      </c>
      <c r="AO33" s="2" t="n">
        <v>0.3165130684393413</v>
      </c>
      <c r="AP33" s="2" t="n">
        <v>0.01212447988577603</v>
      </c>
    </row>
  </sheetData>
  <autoFilter ref="A1:AP33"/>
  <conditionalFormatting sqref="J2:J3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COUNTIFS(交易明細!$B$2:$B$33,$A2)</f>
        <v/>
      </c>
      <c r="C2" s="2">
        <f>COUNTIFS(交易明細!$B$2:$B$33,$A2,交易明細!$C$2:$C$33,"做多")</f>
        <v/>
      </c>
      <c r="D2" s="2">
        <f>COUNTIFS(交易明細!$B$2:$B$33,$A2,交易明細!$C$2:$C$33,"做空")</f>
        <v/>
      </c>
      <c r="E2" s="2">
        <f>F2+G2+COUNTIFS(交易明細!$B$2:$B$33,$A2,交易明細!$J$2:$J$33,"時間出場")</f>
        <v/>
      </c>
      <c r="F2" s="2">
        <f>COUNTIFS(交易明細!$B$2:$B$33,$A2,交易明細!$J$2:$J$33,"止盈")</f>
        <v/>
      </c>
      <c r="G2" s="2">
        <f>COUNTIFS(交易明細!$B$2:$B$33,$A2,交易明細!$J$2:$J$33,"止損")</f>
        <v/>
      </c>
      <c r="H2" s="4">
        <f>IFERROR(F2/E2,0)</f>
        <v/>
      </c>
      <c r="I2" s="4">
        <f>IFERROR(AVERAGEIFS(交易明細!$L$2:$L$33,交易明細!$B$2:$B$33,$A2,交易明細!$J$2:$J$33,"&lt;&gt;未平倉"),0)</f>
        <v/>
      </c>
      <c r="J2" s="4">
        <f>SUMIFS(交易明細!$L$2:$L$33,交易明細!$B$2:$B$33,$A2,交易明細!$J$2:$J$33,"&lt;&gt;未平倉")</f>
        <v/>
      </c>
      <c r="K2" s="5">
        <f>IFERROR(AVERAGEIFS(交易明細!$K$2:$K$33,交易明細!$B$2:$B$33,$A2,交易明細!$J$2:$J$33,"&lt;&gt;未平倉"),0)</f>
        <v/>
      </c>
      <c r="L2" s="2">
        <f>COUNTIFS(交易明細!$B$2:$B$33,$A2,交易明細!$J$2:$J$33,"未平倉")</f>
        <v/>
      </c>
    </row>
    <row r="3">
      <c r="A3" s="2" t="inlineStr">
        <is>
          <t>AERO_USDT_PERP</t>
        </is>
      </c>
      <c r="B3" s="2">
        <f>COUNTIFS(交易明細!$B$2:$B$33,$A3)</f>
        <v/>
      </c>
      <c r="C3" s="2">
        <f>COUNTIFS(交易明細!$B$2:$B$33,$A3,交易明細!$C$2:$C$33,"做多")</f>
        <v/>
      </c>
      <c r="D3" s="2">
        <f>COUNTIFS(交易明細!$B$2:$B$33,$A3,交易明細!$C$2:$C$33,"做空")</f>
        <v/>
      </c>
      <c r="E3" s="2">
        <f>F3+G3+COUNTIFS(交易明細!$B$2:$B$33,$A3,交易明細!$J$2:$J$33,"時間出場")</f>
        <v/>
      </c>
      <c r="F3" s="2">
        <f>COUNTIFS(交易明細!$B$2:$B$33,$A3,交易明細!$J$2:$J$33,"止盈")</f>
        <v/>
      </c>
      <c r="G3" s="2">
        <f>COUNTIFS(交易明細!$B$2:$B$33,$A3,交易明細!$J$2:$J$33,"止損")</f>
        <v/>
      </c>
      <c r="H3" s="4">
        <f>IFERROR(F3/E3,0)</f>
        <v/>
      </c>
      <c r="I3" s="4">
        <f>IFERROR(AVERAGEIFS(交易明細!$L$2:$L$33,交易明細!$B$2:$B$33,$A3,交易明細!$J$2:$J$33,"&lt;&gt;未平倉"),0)</f>
        <v/>
      </c>
      <c r="J3" s="4">
        <f>SUMIFS(交易明細!$L$2:$L$33,交易明細!$B$2:$B$33,$A3,交易明細!$J$2:$J$33,"&lt;&gt;未平倉")</f>
        <v/>
      </c>
      <c r="K3" s="5">
        <f>IFERROR(AVERAGEIFS(交易明細!$K$2:$K$33,交易明細!$B$2:$B$33,$A3,交易明細!$J$2:$J$33,"&lt;&gt;未平倉"),0)</f>
        <v/>
      </c>
      <c r="L3" s="2">
        <f>COUNTIFS(交易明細!$B$2:$B$33,$A3,交易明細!$J$2:$J$33,"未平倉")</f>
        <v/>
      </c>
    </row>
    <row r="4">
      <c r="A4" s="2" t="inlineStr">
        <is>
          <t>MARSCOIN_USDT_PERP</t>
        </is>
      </c>
      <c r="B4" s="2">
        <f>COUNTIFS(交易明細!$B$2:$B$33,$A4)</f>
        <v/>
      </c>
      <c r="C4" s="2">
        <f>COUNTIFS(交易明細!$B$2:$B$33,$A4,交易明細!$C$2:$C$33,"做多")</f>
        <v/>
      </c>
      <c r="D4" s="2">
        <f>COUNTIFS(交易明細!$B$2:$B$33,$A4,交易明細!$C$2:$C$33,"做空")</f>
        <v/>
      </c>
      <c r="E4" s="2">
        <f>F4+G4+COUNTIFS(交易明細!$B$2:$B$33,$A4,交易明細!$J$2:$J$33,"時間出場")</f>
        <v/>
      </c>
      <c r="F4" s="2">
        <f>COUNTIFS(交易明細!$B$2:$B$33,$A4,交易明細!$J$2:$J$33,"止盈")</f>
        <v/>
      </c>
      <c r="G4" s="2">
        <f>COUNTIFS(交易明細!$B$2:$B$33,$A4,交易明細!$J$2:$J$33,"止損")</f>
        <v/>
      </c>
      <c r="H4" s="4">
        <f>IFERROR(F4/E4,0)</f>
        <v/>
      </c>
      <c r="I4" s="4">
        <f>IFERROR(AVERAGEIFS(交易明細!$L$2:$L$33,交易明細!$B$2:$B$33,$A4,交易明細!$J$2:$J$33,"&lt;&gt;未平倉"),0)</f>
        <v/>
      </c>
      <c r="J4" s="4">
        <f>SUMIFS(交易明細!$L$2:$L$33,交易明細!$B$2:$B$33,$A4,交易明細!$J$2:$J$33,"&lt;&gt;未平倉")</f>
        <v/>
      </c>
      <c r="K4" s="5">
        <f>IFERROR(AVERAGEIFS(交易明細!$K$2:$K$33,交易明細!$B$2:$B$33,$A4,交易明細!$J$2:$J$33,"&lt;&gt;未平倉"),0)</f>
        <v/>
      </c>
      <c r="L4" s="2">
        <f>COUNTIFS(交易明細!$B$2:$B$33,$A4,交易明細!$J$2:$J$33,"未平倉")</f>
        <v/>
      </c>
    </row>
    <row r="5">
      <c r="A5" s="2" t="inlineStr">
        <is>
          <t>USELESS_USDT_PERP</t>
        </is>
      </c>
      <c r="B5" s="2">
        <f>COUNTIFS(交易明細!$B$2:$B$33,$A5)</f>
        <v/>
      </c>
      <c r="C5" s="2">
        <f>COUNTIFS(交易明細!$B$2:$B$33,$A5,交易明細!$C$2:$C$33,"做多")</f>
        <v/>
      </c>
      <c r="D5" s="2">
        <f>COUNTIFS(交易明細!$B$2:$B$33,$A5,交易明細!$C$2:$C$33,"做空")</f>
        <v/>
      </c>
      <c r="E5" s="2">
        <f>F5+G5+COUNTIFS(交易明細!$B$2:$B$33,$A5,交易明細!$J$2:$J$33,"時間出場")</f>
        <v/>
      </c>
      <c r="F5" s="2">
        <f>COUNTIFS(交易明細!$B$2:$B$33,$A5,交易明細!$J$2:$J$33,"止盈")</f>
        <v/>
      </c>
      <c r="G5" s="2">
        <f>COUNTIFS(交易明細!$B$2:$B$33,$A5,交易明細!$J$2:$J$33,"止損")</f>
        <v/>
      </c>
      <c r="H5" s="4">
        <f>IFERROR(F5/E5,0)</f>
        <v/>
      </c>
      <c r="I5" s="4">
        <f>IFERROR(AVERAGEIFS(交易明細!$L$2:$L$33,交易明細!$B$2:$B$33,$A5,交易明細!$J$2:$J$33,"&lt;&gt;未平倉"),0)</f>
        <v/>
      </c>
      <c r="J5" s="4">
        <f>SUMIFS(交易明細!$L$2:$L$33,交易明細!$B$2:$B$33,$A5,交易明細!$J$2:$J$33,"&lt;&gt;未平倉")</f>
        <v/>
      </c>
      <c r="K5" s="5">
        <f>IFERROR(AVERAGEIFS(交易明細!$K$2:$K$33,交易明細!$B$2:$B$33,$A5,交易明細!$J$2:$J$33,"&lt;&gt;未平倉"),0)</f>
        <v/>
      </c>
      <c r="L5" s="2">
        <f>COUNTIFS(交易明細!$B$2:$B$33,$A5,交易明細!$J$2:$J$33,"未平倉")</f>
        <v/>
      </c>
    </row>
    <row r="6">
      <c r="A6" s="2" t="inlineStr">
        <is>
          <t>ENA_USDT_PERP</t>
        </is>
      </c>
      <c r="B6" s="2">
        <f>COUNTIFS(交易明細!$B$2:$B$33,$A6)</f>
        <v/>
      </c>
      <c r="C6" s="2">
        <f>COUNTIFS(交易明細!$B$2:$B$33,$A6,交易明細!$C$2:$C$33,"做多")</f>
        <v/>
      </c>
      <c r="D6" s="2">
        <f>COUNTIFS(交易明細!$B$2:$B$33,$A6,交易明細!$C$2:$C$33,"做空")</f>
        <v/>
      </c>
      <c r="E6" s="2">
        <f>F6+G6+COUNTIFS(交易明細!$B$2:$B$33,$A6,交易明細!$J$2:$J$33,"時間出場")</f>
        <v/>
      </c>
      <c r="F6" s="2">
        <f>COUNTIFS(交易明細!$B$2:$B$33,$A6,交易明細!$J$2:$J$33,"止盈")</f>
        <v/>
      </c>
      <c r="G6" s="2">
        <f>COUNTIFS(交易明細!$B$2:$B$33,$A6,交易明細!$J$2:$J$33,"止損")</f>
        <v/>
      </c>
      <c r="H6" s="4">
        <f>IFERROR(F6/E6,0)</f>
        <v/>
      </c>
      <c r="I6" s="4">
        <f>IFERROR(AVERAGEIFS(交易明細!$L$2:$L$33,交易明細!$B$2:$B$33,$A6,交易明細!$J$2:$J$33,"&lt;&gt;未平倉"),0)</f>
        <v/>
      </c>
      <c r="J6" s="4">
        <f>SUMIFS(交易明細!$L$2:$L$33,交易明細!$B$2:$B$33,$A6,交易明細!$J$2:$J$33,"&lt;&gt;未平倉")</f>
        <v/>
      </c>
      <c r="K6" s="5">
        <f>IFERROR(AVERAGEIFS(交易明細!$K$2:$K$33,交易明細!$B$2:$B$33,$A6,交易明細!$J$2:$J$33,"&lt;&gt;未平倉"),0)</f>
        <v/>
      </c>
      <c r="L6" s="2">
        <f>COUNTIFS(交易明細!$B$2:$B$33,$A6,交易明細!$J$2:$J$33,"未平倉")</f>
        <v/>
      </c>
    </row>
    <row r="7">
      <c r="A7" s="2" t="inlineStr">
        <is>
          <t>0G_USDT_PERP</t>
        </is>
      </c>
      <c r="B7" s="2">
        <f>COUNTIFS(交易明細!$B$2:$B$33,$A7)</f>
        <v/>
      </c>
      <c r="C7" s="2">
        <f>COUNTIFS(交易明細!$B$2:$B$33,$A7,交易明細!$C$2:$C$33,"做多")</f>
        <v/>
      </c>
      <c r="D7" s="2">
        <f>COUNTIFS(交易明細!$B$2:$B$33,$A7,交易明細!$C$2:$C$33,"做空")</f>
        <v/>
      </c>
      <c r="E7" s="2">
        <f>F7+G7+COUNTIFS(交易明細!$B$2:$B$33,$A7,交易明細!$J$2:$J$33,"時間出場")</f>
        <v/>
      </c>
      <c r="F7" s="2">
        <f>COUNTIFS(交易明細!$B$2:$B$33,$A7,交易明細!$J$2:$J$33,"止盈")</f>
        <v/>
      </c>
      <c r="G7" s="2">
        <f>COUNTIFS(交易明細!$B$2:$B$33,$A7,交易明細!$J$2:$J$33,"止損")</f>
        <v/>
      </c>
      <c r="H7" s="4">
        <f>IFERROR(F7/E7,0)</f>
        <v/>
      </c>
      <c r="I7" s="4">
        <f>IFERROR(AVERAGEIFS(交易明細!$L$2:$L$33,交易明細!$B$2:$B$33,$A7,交易明細!$J$2:$J$33,"&lt;&gt;未平倉"),0)</f>
        <v/>
      </c>
      <c r="J7" s="4">
        <f>SUMIFS(交易明細!$L$2:$L$33,交易明細!$B$2:$B$33,$A7,交易明細!$J$2:$J$33,"&lt;&gt;未平倉")</f>
        <v/>
      </c>
      <c r="K7" s="5">
        <f>IFERROR(AVERAGEIFS(交易明細!$K$2:$K$33,交易明細!$B$2:$B$33,$A7,交易明細!$J$2:$J$33,"&lt;&gt;未平倉"),0)</f>
        <v/>
      </c>
      <c r="L7" s="2">
        <f>COUNTIFS(交易明細!$B$2:$B$33,$A7,交易明細!$J$2:$J$33,"未平倉")</f>
        <v/>
      </c>
    </row>
    <row r="8">
      <c r="A8" s="2" t="inlineStr">
        <is>
          <t>BR_USDT_PERP</t>
        </is>
      </c>
      <c r="B8" s="2">
        <f>COUNTIFS(交易明細!$B$2:$B$33,$A8)</f>
        <v/>
      </c>
      <c r="C8" s="2">
        <f>COUNTIFS(交易明細!$B$2:$B$33,$A8,交易明細!$C$2:$C$33,"做多")</f>
        <v/>
      </c>
      <c r="D8" s="2">
        <f>COUNTIFS(交易明細!$B$2:$B$33,$A8,交易明細!$C$2:$C$33,"做空")</f>
        <v/>
      </c>
      <c r="E8" s="2">
        <f>F8+G8+COUNTIFS(交易明細!$B$2:$B$33,$A8,交易明細!$J$2:$J$33,"時間出場")</f>
        <v/>
      </c>
      <c r="F8" s="2">
        <f>COUNTIFS(交易明細!$B$2:$B$33,$A8,交易明細!$J$2:$J$33,"止盈")</f>
        <v/>
      </c>
      <c r="G8" s="2">
        <f>COUNTIFS(交易明細!$B$2:$B$33,$A8,交易明細!$J$2:$J$33,"止損")</f>
        <v/>
      </c>
      <c r="H8" s="4">
        <f>IFERROR(F8/E8,0)</f>
        <v/>
      </c>
      <c r="I8" s="4">
        <f>IFERROR(AVERAGEIFS(交易明細!$L$2:$L$33,交易明細!$B$2:$B$33,$A8,交易明細!$J$2:$J$33,"&lt;&gt;未平倉"),0)</f>
        <v/>
      </c>
      <c r="J8" s="4">
        <f>SUMIFS(交易明細!$L$2:$L$33,交易明細!$B$2:$B$33,$A8,交易明細!$J$2:$J$33,"&lt;&gt;未平倉")</f>
        <v/>
      </c>
      <c r="K8" s="5">
        <f>IFERROR(AVERAGEIFS(交易明細!$K$2:$K$33,交易明細!$B$2:$B$33,$A8,交易明細!$J$2:$J$33,"&lt;&gt;未平倉"),0)</f>
        <v/>
      </c>
      <c r="L8" s="2">
        <f>COUNTIFS(交易明細!$B$2:$B$33,$A8,交易明細!$J$2:$J$33,"未平倉")</f>
        <v/>
      </c>
    </row>
    <row r="9">
      <c r="A9" s="2" t="inlineStr">
        <is>
          <t>MUBARAK_USDT_PERP</t>
        </is>
      </c>
      <c r="B9" s="2">
        <f>COUNTIFS(交易明細!$B$2:$B$33,$A9)</f>
        <v/>
      </c>
      <c r="C9" s="2">
        <f>COUNTIFS(交易明細!$B$2:$B$33,$A9,交易明細!$C$2:$C$33,"做多")</f>
        <v/>
      </c>
      <c r="D9" s="2">
        <f>COUNTIFS(交易明細!$B$2:$B$33,$A9,交易明細!$C$2:$C$33,"做空")</f>
        <v/>
      </c>
      <c r="E9" s="2">
        <f>F9+G9+COUNTIFS(交易明細!$B$2:$B$33,$A9,交易明細!$J$2:$J$33,"時間出場")</f>
        <v/>
      </c>
      <c r="F9" s="2">
        <f>COUNTIFS(交易明細!$B$2:$B$33,$A9,交易明細!$J$2:$J$33,"止盈")</f>
        <v/>
      </c>
      <c r="G9" s="2">
        <f>COUNTIFS(交易明細!$B$2:$B$33,$A9,交易明細!$J$2:$J$33,"止損")</f>
        <v/>
      </c>
      <c r="H9" s="4">
        <f>IFERROR(F9/E9,0)</f>
        <v/>
      </c>
      <c r="I9" s="4">
        <f>IFERROR(AVERAGEIFS(交易明細!$L$2:$L$33,交易明細!$B$2:$B$33,$A9,交易明細!$J$2:$J$33,"&lt;&gt;未平倉"),0)</f>
        <v/>
      </c>
      <c r="J9" s="4">
        <f>SUMIFS(交易明細!$L$2:$L$33,交易明細!$B$2:$B$33,$A9,交易明細!$J$2:$J$33,"&lt;&gt;未平倉")</f>
        <v/>
      </c>
      <c r="K9" s="5">
        <f>IFERROR(AVERAGEIFS(交易明細!$K$2:$K$33,交易明細!$B$2:$B$33,$A9,交易明細!$J$2:$J$33,"&lt;&gt;未平倉"),0)</f>
        <v/>
      </c>
      <c r="L9" s="2">
        <f>COUNTIFS(交易明細!$B$2:$B$33,$A9,交易明細!$J$2:$J$33,"未平倉")</f>
        <v/>
      </c>
    </row>
    <row r="10">
      <c r="A10" s="2" t="inlineStr">
        <is>
          <t>WLD_USDT_PERP</t>
        </is>
      </c>
      <c r="B10" s="2">
        <f>COUNTIFS(交易明細!$B$2:$B$33,$A10)</f>
        <v/>
      </c>
      <c r="C10" s="2">
        <f>COUNTIFS(交易明細!$B$2:$B$33,$A10,交易明細!$C$2:$C$33,"做多")</f>
        <v/>
      </c>
      <c r="D10" s="2">
        <f>COUNTIFS(交易明細!$B$2:$B$33,$A10,交易明細!$C$2:$C$33,"做空")</f>
        <v/>
      </c>
      <c r="E10" s="2">
        <f>F10+G10+COUNTIFS(交易明細!$B$2:$B$33,$A10,交易明細!$J$2:$J$33,"時間出場")</f>
        <v/>
      </c>
      <c r="F10" s="2">
        <f>COUNTIFS(交易明細!$B$2:$B$33,$A10,交易明細!$J$2:$J$33,"止盈")</f>
        <v/>
      </c>
      <c r="G10" s="2">
        <f>COUNTIFS(交易明細!$B$2:$B$33,$A10,交易明細!$J$2:$J$33,"止損")</f>
        <v/>
      </c>
      <c r="H10" s="4">
        <f>IFERROR(F10/E10,0)</f>
        <v/>
      </c>
      <c r="I10" s="4">
        <f>IFERROR(AVERAGEIFS(交易明細!$L$2:$L$33,交易明細!$B$2:$B$33,$A10,交易明細!$J$2:$J$33,"&lt;&gt;未平倉"),0)</f>
        <v/>
      </c>
      <c r="J10" s="4">
        <f>SUMIFS(交易明細!$L$2:$L$33,交易明細!$B$2:$B$33,$A10,交易明細!$J$2:$J$33,"&lt;&gt;未平倉")</f>
        <v/>
      </c>
      <c r="K10" s="5">
        <f>IFERROR(AVERAGEIFS(交易明細!$K$2:$K$33,交易明細!$B$2:$B$33,$A10,交易明細!$J$2:$J$33,"&lt;&gt;未平倉"),0)</f>
        <v/>
      </c>
      <c r="L10" s="2">
        <f>COUNTIFS(交易明細!$B$2:$B$33,$A10,交易明細!$J$2:$J$33,"未平倉")</f>
        <v/>
      </c>
    </row>
    <row r="11">
      <c r="A11" s="2" t="inlineStr">
        <is>
          <t>SOLV_USDT_PERP</t>
        </is>
      </c>
      <c r="B11" s="2">
        <f>COUNTIFS(交易明細!$B$2:$B$33,$A11)</f>
        <v/>
      </c>
      <c r="C11" s="2">
        <f>COUNTIFS(交易明細!$B$2:$B$33,$A11,交易明細!$C$2:$C$33,"做多")</f>
        <v/>
      </c>
      <c r="D11" s="2">
        <f>COUNTIFS(交易明細!$B$2:$B$33,$A11,交易明細!$C$2:$C$33,"做空")</f>
        <v/>
      </c>
      <c r="E11" s="2">
        <f>F11+G11+COUNTIFS(交易明細!$B$2:$B$33,$A11,交易明細!$J$2:$J$33,"時間出場")</f>
        <v/>
      </c>
      <c r="F11" s="2">
        <f>COUNTIFS(交易明細!$B$2:$B$33,$A11,交易明細!$J$2:$J$33,"止盈")</f>
        <v/>
      </c>
      <c r="G11" s="2">
        <f>COUNTIFS(交易明細!$B$2:$B$33,$A11,交易明細!$J$2:$J$33,"止損")</f>
        <v/>
      </c>
      <c r="H11" s="4">
        <f>IFERROR(F11/E11,0)</f>
        <v/>
      </c>
      <c r="I11" s="4">
        <f>IFERROR(AVERAGEIFS(交易明細!$L$2:$L$33,交易明細!$B$2:$B$33,$A11,交易明細!$J$2:$J$33,"&lt;&gt;未平倉"),0)</f>
        <v/>
      </c>
      <c r="J11" s="4">
        <f>SUMIFS(交易明細!$L$2:$L$33,交易明細!$B$2:$B$33,$A11,交易明細!$J$2:$J$33,"&lt;&gt;未平倉")</f>
        <v/>
      </c>
      <c r="K11" s="5">
        <f>IFERROR(AVERAGEIFS(交易明細!$K$2:$K$33,交易明細!$B$2:$B$33,$A11,交易明細!$J$2:$J$33,"&lt;&gt;未平倉"),0)</f>
        <v/>
      </c>
      <c r="L11" s="2">
        <f>COUNTIFS(交易明細!$B$2:$B$33,$A11,交易明細!$J$2:$J$33,"未平倉")</f>
        <v/>
      </c>
    </row>
    <row r="12">
      <c r="A12" s="2" t="inlineStr">
        <is>
          <t>IOST_USDT_PERP</t>
        </is>
      </c>
      <c r="B12" s="2">
        <f>COUNTIFS(交易明細!$B$2:$B$33,$A12)</f>
        <v/>
      </c>
      <c r="C12" s="2">
        <f>COUNTIFS(交易明細!$B$2:$B$33,$A12,交易明細!$C$2:$C$33,"做多")</f>
        <v/>
      </c>
      <c r="D12" s="2">
        <f>COUNTIFS(交易明細!$B$2:$B$33,$A12,交易明細!$C$2:$C$33,"做空")</f>
        <v/>
      </c>
      <c r="E12" s="2">
        <f>F12+G12+COUNTIFS(交易明細!$B$2:$B$33,$A12,交易明細!$J$2:$J$33,"時間出場")</f>
        <v/>
      </c>
      <c r="F12" s="2">
        <f>COUNTIFS(交易明細!$B$2:$B$33,$A12,交易明細!$J$2:$J$33,"止盈")</f>
        <v/>
      </c>
      <c r="G12" s="2">
        <f>COUNTIFS(交易明細!$B$2:$B$33,$A12,交易明細!$J$2:$J$33,"止損")</f>
        <v/>
      </c>
      <c r="H12" s="4">
        <f>IFERROR(F12/E12,0)</f>
        <v/>
      </c>
      <c r="I12" s="4">
        <f>IFERROR(AVERAGEIFS(交易明細!$L$2:$L$33,交易明細!$B$2:$B$33,$A12,交易明細!$J$2:$J$33,"&lt;&gt;未平倉"),0)</f>
        <v/>
      </c>
      <c r="J12" s="4">
        <f>SUMIFS(交易明細!$L$2:$L$33,交易明細!$B$2:$B$33,$A12,交易明細!$J$2:$J$33,"&lt;&gt;未平倉")</f>
        <v/>
      </c>
      <c r="K12" s="5">
        <f>IFERROR(AVERAGEIFS(交易明細!$K$2:$K$33,交易明細!$B$2:$B$33,$A12,交易明細!$J$2:$J$33,"&lt;&gt;未平倉"),0)</f>
        <v/>
      </c>
      <c r="L12" s="2">
        <f>COUNTIFS(交易明細!$B$2:$B$33,$A12,交易明細!$J$2:$J$33,"未平倉")</f>
        <v/>
      </c>
    </row>
    <row r="13">
      <c r="A13" s="2" t="inlineStr">
        <is>
          <t>SAGA_USDT_PERP</t>
        </is>
      </c>
      <c r="B13" s="2">
        <f>COUNTIFS(交易明細!$B$2:$B$33,$A13)</f>
        <v/>
      </c>
      <c r="C13" s="2">
        <f>COUNTIFS(交易明細!$B$2:$B$33,$A13,交易明細!$C$2:$C$33,"做多")</f>
        <v/>
      </c>
      <c r="D13" s="2">
        <f>COUNTIFS(交易明細!$B$2:$B$33,$A13,交易明細!$C$2:$C$33,"做空")</f>
        <v/>
      </c>
      <c r="E13" s="2">
        <f>F13+G13+COUNTIFS(交易明細!$B$2:$B$33,$A13,交易明細!$J$2:$J$33,"時間出場")</f>
        <v/>
      </c>
      <c r="F13" s="2">
        <f>COUNTIFS(交易明細!$B$2:$B$33,$A13,交易明細!$J$2:$J$33,"止盈")</f>
        <v/>
      </c>
      <c r="G13" s="2">
        <f>COUNTIFS(交易明細!$B$2:$B$33,$A13,交易明細!$J$2:$J$33,"止損")</f>
        <v/>
      </c>
      <c r="H13" s="4">
        <f>IFERROR(F13/E13,0)</f>
        <v/>
      </c>
      <c r="I13" s="4">
        <f>IFERROR(AVERAGEIFS(交易明細!$L$2:$L$33,交易明細!$B$2:$B$33,$A13,交易明細!$J$2:$J$33,"&lt;&gt;未平倉"),0)</f>
        <v/>
      </c>
      <c r="J13" s="4">
        <f>SUMIFS(交易明細!$L$2:$L$33,交易明細!$B$2:$B$33,$A13,交易明細!$J$2:$J$33,"&lt;&gt;未平倉")</f>
        <v/>
      </c>
      <c r="K13" s="5">
        <f>IFERROR(AVERAGEIFS(交易明細!$K$2:$K$33,交易明細!$B$2:$B$33,$A13,交易明細!$J$2:$J$33,"&lt;&gt;未平倉"),0)</f>
        <v/>
      </c>
      <c r="L13" s="2">
        <f>COUNTIFS(交易明細!$B$2:$B$33,$A13,交易明細!$J$2:$J$33,"未平倉")</f>
        <v/>
      </c>
    </row>
    <row r="14">
      <c r="A14" s="2" t="inlineStr">
        <is>
          <t>FF_USDT_PERP</t>
        </is>
      </c>
      <c r="B14" s="2">
        <f>COUNTIFS(交易明細!$B$2:$B$33,$A14)</f>
        <v/>
      </c>
      <c r="C14" s="2">
        <f>COUNTIFS(交易明細!$B$2:$B$33,$A14,交易明細!$C$2:$C$33,"做多")</f>
        <v/>
      </c>
      <c r="D14" s="2">
        <f>COUNTIFS(交易明細!$B$2:$B$33,$A14,交易明細!$C$2:$C$33,"做空")</f>
        <v/>
      </c>
      <c r="E14" s="2">
        <f>F14+G14+COUNTIFS(交易明細!$B$2:$B$33,$A14,交易明細!$J$2:$J$33,"時間出場")</f>
        <v/>
      </c>
      <c r="F14" s="2">
        <f>COUNTIFS(交易明細!$B$2:$B$33,$A14,交易明細!$J$2:$J$33,"止盈")</f>
        <v/>
      </c>
      <c r="G14" s="2">
        <f>COUNTIFS(交易明細!$B$2:$B$33,$A14,交易明細!$J$2:$J$33,"止損")</f>
        <v/>
      </c>
      <c r="H14" s="4">
        <f>IFERROR(F14/E14,0)</f>
        <v/>
      </c>
      <c r="I14" s="4">
        <f>IFERROR(AVERAGEIFS(交易明細!$L$2:$L$33,交易明細!$B$2:$B$33,$A14,交易明細!$J$2:$J$33,"&lt;&gt;未平倉"),0)</f>
        <v/>
      </c>
      <c r="J14" s="4">
        <f>SUMIFS(交易明細!$L$2:$L$33,交易明細!$B$2:$B$33,$A14,交易明細!$J$2:$J$33,"&lt;&gt;未平倉")</f>
        <v/>
      </c>
      <c r="K14" s="5">
        <f>IFERROR(AVERAGEIFS(交易明細!$K$2:$K$33,交易明細!$B$2:$B$33,$A14,交易明細!$J$2:$J$33,"&lt;&gt;未平倉"),0)</f>
        <v/>
      </c>
      <c r="L14" s="2">
        <f>COUNTIFS(交易明細!$B$2:$B$33,$A14,交易明細!$J$2:$J$33,"未平倉")</f>
        <v/>
      </c>
    </row>
    <row r="15">
      <c r="A15" s="2" t="inlineStr">
        <is>
          <t>KITE_USDT_PERP</t>
        </is>
      </c>
      <c r="B15" s="2">
        <f>COUNTIFS(交易明細!$B$2:$B$33,$A15)</f>
        <v/>
      </c>
      <c r="C15" s="2">
        <f>COUNTIFS(交易明細!$B$2:$B$33,$A15,交易明細!$C$2:$C$33,"做多")</f>
        <v/>
      </c>
      <c r="D15" s="2">
        <f>COUNTIFS(交易明細!$B$2:$B$33,$A15,交易明細!$C$2:$C$33,"做空")</f>
        <v/>
      </c>
      <c r="E15" s="2">
        <f>F15+G15+COUNTIFS(交易明細!$B$2:$B$33,$A15,交易明細!$J$2:$J$33,"時間出場")</f>
        <v/>
      </c>
      <c r="F15" s="2">
        <f>COUNTIFS(交易明細!$B$2:$B$33,$A15,交易明細!$J$2:$J$33,"止盈")</f>
        <v/>
      </c>
      <c r="G15" s="2">
        <f>COUNTIFS(交易明細!$B$2:$B$33,$A15,交易明細!$J$2:$J$33,"止損")</f>
        <v/>
      </c>
      <c r="H15" s="4">
        <f>IFERROR(F15/E15,0)</f>
        <v/>
      </c>
      <c r="I15" s="4">
        <f>IFERROR(AVERAGEIFS(交易明細!$L$2:$L$33,交易明細!$B$2:$B$33,$A15,交易明細!$J$2:$J$33,"&lt;&gt;未平倉"),0)</f>
        <v/>
      </c>
      <c r="J15" s="4">
        <f>SUMIFS(交易明細!$L$2:$L$33,交易明細!$B$2:$B$33,$A15,交易明細!$J$2:$J$33,"&lt;&gt;未平倉")</f>
        <v/>
      </c>
      <c r="K15" s="5">
        <f>IFERROR(AVERAGEIFS(交易明細!$K$2:$K$33,交易明細!$B$2:$B$33,$A15,交易明細!$J$2:$J$33,"&lt;&gt;未平倉"),0)</f>
        <v/>
      </c>
      <c r="L15" s="2">
        <f>COUNTIFS(交易明細!$B$2:$B$33,$A15,交易明細!$J$2:$J$33,"未平倉")</f>
        <v/>
      </c>
    </row>
    <row r="16">
      <c r="A16" s="2" t="inlineStr">
        <is>
          <t>PENGU_USDT_PERP</t>
        </is>
      </c>
      <c r="B16" s="2">
        <f>COUNTIFS(交易明細!$B$2:$B$33,$A16)</f>
        <v/>
      </c>
      <c r="C16" s="2">
        <f>COUNTIFS(交易明細!$B$2:$B$33,$A16,交易明細!$C$2:$C$33,"做多")</f>
        <v/>
      </c>
      <c r="D16" s="2">
        <f>COUNTIFS(交易明細!$B$2:$B$33,$A16,交易明細!$C$2:$C$33,"做空")</f>
        <v/>
      </c>
      <c r="E16" s="2">
        <f>F16+G16+COUNTIFS(交易明細!$B$2:$B$33,$A16,交易明細!$J$2:$J$33,"時間出場")</f>
        <v/>
      </c>
      <c r="F16" s="2">
        <f>COUNTIFS(交易明細!$B$2:$B$33,$A16,交易明細!$J$2:$J$33,"止盈")</f>
        <v/>
      </c>
      <c r="G16" s="2">
        <f>COUNTIFS(交易明細!$B$2:$B$33,$A16,交易明細!$J$2:$J$33,"止損")</f>
        <v/>
      </c>
      <c r="H16" s="4">
        <f>IFERROR(F16/E16,0)</f>
        <v/>
      </c>
      <c r="I16" s="4">
        <f>IFERROR(AVERAGEIFS(交易明細!$L$2:$L$33,交易明細!$B$2:$B$33,$A16,交易明細!$J$2:$J$33,"&lt;&gt;未平倉"),0)</f>
        <v/>
      </c>
      <c r="J16" s="4">
        <f>SUMIFS(交易明細!$L$2:$L$33,交易明細!$B$2:$B$33,$A16,交易明細!$J$2:$J$33,"&lt;&gt;未平倉")</f>
        <v/>
      </c>
      <c r="K16" s="5">
        <f>IFERROR(AVERAGEIFS(交易明細!$K$2:$K$33,交易明細!$B$2:$B$33,$A16,交易明細!$J$2:$J$33,"&lt;&gt;未平倉"),0)</f>
        <v/>
      </c>
      <c r="L16" s="2">
        <f>COUNTIFS(交易明細!$B$2:$B$33,$A16,交易明細!$J$2:$J$33,"未平倉")</f>
        <v/>
      </c>
    </row>
    <row r="17">
      <c r="A17" s="2" t="inlineStr">
        <is>
          <t>BONK_USDT_PERP</t>
        </is>
      </c>
      <c r="B17" s="2">
        <f>COUNTIFS(交易明細!$B$2:$B$33,$A17)</f>
        <v/>
      </c>
      <c r="C17" s="2">
        <f>COUNTIFS(交易明細!$B$2:$B$33,$A17,交易明細!$C$2:$C$33,"做多")</f>
        <v/>
      </c>
      <c r="D17" s="2">
        <f>COUNTIFS(交易明細!$B$2:$B$33,$A17,交易明細!$C$2:$C$33,"做空")</f>
        <v/>
      </c>
      <c r="E17" s="2">
        <f>F17+G17+COUNTIFS(交易明細!$B$2:$B$33,$A17,交易明細!$J$2:$J$33,"時間出場")</f>
        <v/>
      </c>
      <c r="F17" s="2">
        <f>COUNTIFS(交易明細!$B$2:$B$33,$A17,交易明細!$J$2:$J$33,"止盈")</f>
        <v/>
      </c>
      <c r="G17" s="2">
        <f>COUNTIFS(交易明細!$B$2:$B$33,$A17,交易明細!$J$2:$J$33,"止損")</f>
        <v/>
      </c>
      <c r="H17" s="4">
        <f>IFERROR(F17/E17,0)</f>
        <v/>
      </c>
      <c r="I17" s="4">
        <f>IFERROR(AVERAGEIFS(交易明細!$L$2:$L$33,交易明細!$B$2:$B$33,$A17,交易明細!$J$2:$J$33,"&lt;&gt;未平倉"),0)</f>
        <v/>
      </c>
      <c r="J17" s="4">
        <f>SUMIFS(交易明細!$L$2:$L$33,交易明細!$B$2:$B$33,$A17,交易明細!$J$2:$J$33,"&lt;&gt;未平倉")</f>
        <v/>
      </c>
      <c r="K17" s="5">
        <f>IFERROR(AVERAGEIFS(交易明細!$K$2:$K$33,交易明細!$B$2:$B$33,$A17,交易明細!$J$2:$J$33,"&lt;&gt;未平倉"),0)</f>
        <v/>
      </c>
      <c r="L17" s="2">
        <f>COUNTIFS(交易明細!$B$2:$B$33,$A17,交易明細!$J$2:$J$33,"未平倉")</f>
        <v/>
      </c>
    </row>
    <row r="18">
      <c r="A18" s="2" t="inlineStr">
        <is>
          <t>ONDO_USDT_PERP</t>
        </is>
      </c>
      <c r="B18" s="2">
        <f>COUNTIFS(交易明細!$B$2:$B$33,$A18)</f>
        <v/>
      </c>
      <c r="C18" s="2">
        <f>COUNTIFS(交易明細!$B$2:$B$33,$A18,交易明細!$C$2:$C$33,"做多")</f>
        <v/>
      </c>
      <c r="D18" s="2">
        <f>COUNTIFS(交易明細!$B$2:$B$33,$A18,交易明細!$C$2:$C$33,"做空")</f>
        <v/>
      </c>
      <c r="E18" s="2">
        <f>F18+G18+COUNTIFS(交易明細!$B$2:$B$33,$A18,交易明細!$J$2:$J$33,"時間出場")</f>
        <v/>
      </c>
      <c r="F18" s="2">
        <f>COUNTIFS(交易明細!$B$2:$B$33,$A18,交易明細!$J$2:$J$33,"止盈")</f>
        <v/>
      </c>
      <c r="G18" s="2">
        <f>COUNTIFS(交易明細!$B$2:$B$33,$A18,交易明細!$J$2:$J$33,"止損")</f>
        <v/>
      </c>
      <c r="H18" s="4">
        <f>IFERROR(F18/E18,0)</f>
        <v/>
      </c>
      <c r="I18" s="4">
        <f>IFERROR(AVERAGEIFS(交易明細!$L$2:$L$33,交易明細!$B$2:$B$33,$A18,交易明細!$J$2:$J$33,"&lt;&gt;未平倉"),0)</f>
        <v/>
      </c>
      <c r="J18" s="4">
        <f>SUMIFS(交易明細!$L$2:$L$33,交易明細!$B$2:$B$33,$A18,交易明細!$J$2:$J$33,"&lt;&gt;未平倉")</f>
        <v/>
      </c>
      <c r="K18" s="5">
        <f>IFERROR(AVERAGEIFS(交易明細!$K$2:$K$33,交易明細!$B$2:$B$33,$A18,交易明細!$J$2:$J$33,"&lt;&gt;未平倉"),0)</f>
        <v/>
      </c>
      <c r="L18" s="2">
        <f>COUNTIFS(交易明細!$B$2:$B$33,$A18,交易明細!$J$2:$J$33,"未平倉")</f>
        <v/>
      </c>
    </row>
    <row r="19">
      <c r="A19" s="2" t="inlineStr">
        <is>
          <t>LDO_USDT_PERP</t>
        </is>
      </c>
      <c r="B19" s="2">
        <f>COUNTIFS(交易明細!$B$2:$B$33,$A19)</f>
        <v/>
      </c>
      <c r="C19" s="2">
        <f>COUNTIFS(交易明細!$B$2:$B$33,$A19,交易明細!$C$2:$C$33,"做多")</f>
        <v/>
      </c>
      <c r="D19" s="2">
        <f>COUNTIFS(交易明細!$B$2:$B$33,$A19,交易明細!$C$2:$C$33,"做空")</f>
        <v/>
      </c>
      <c r="E19" s="2">
        <f>F19+G19+COUNTIFS(交易明細!$B$2:$B$33,$A19,交易明細!$J$2:$J$33,"時間出場")</f>
        <v/>
      </c>
      <c r="F19" s="2">
        <f>COUNTIFS(交易明細!$B$2:$B$33,$A19,交易明細!$J$2:$J$33,"止盈")</f>
        <v/>
      </c>
      <c r="G19" s="2">
        <f>COUNTIFS(交易明細!$B$2:$B$33,$A19,交易明細!$J$2:$J$33,"止損")</f>
        <v/>
      </c>
      <c r="H19" s="4">
        <f>IFERROR(F19/E19,0)</f>
        <v/>
      </c>
      <c r="I19" s="4">
        <f>IFERROR(AVERAGEIFS(交易明細!$L$2:$L$33,交易明細!$B$2:$B$33,$A19,交易明細!$J$2:$J$33,"&lt;&gt;未平倉"),0)</f>
        <v/>
      </c>
      <c r="J19" s="4">
        <f>SUMIFS(交易明細!$L$2:$L$33,交易明細!$B$2:$B$33,$A19,交易明細!$J$2:$J$33,"&lt;&gt;未平倉")</f>
        <v/>
      </c>
      <c r="K19" s="5">
        <f>IFERROR(AVERAGEIFS(交易明細!$K$2:$K$33,交易明細!$B$2:$B$33,$A19,交易明細!$J$2:$J$33,"&lt;&gt;未平倉"),0)</f>
        <v/>
      </c>
      <c r="L19" s="2">
        <f>COUNTIFS(交易明細!$B$2:$B$33,$A19,交易明細!$J$2:$J$33,"未平倉")</f>
        <v/>
      </c>
    </row>
    <row r="20">
      <c r="A20" s="2" t="inlineStr">
        <is>
          <t>KAS_USDT_PERP</t>
        </is>
      </c>
      <c r="B20" s="2">
        <f>COUNTIFS(交易明細!$B$2:$B$33,$A20)</f>
        <v/>
      </c>
      <c r="C20" s="2">
        <f>COUNTIFS(交易明細!$B$2:$B$33,$A20,交易明細!$C$2:$C$33,"做多")</f>
        <v/>
      </c>
      <c r="D20" s="2">
        <f>COUNTIFS(交易明細!$B$2:$B$33,$A20,交易明細!$C$2:$C$33,"做空")</f>
        <v/>
      </c>
      <c r="E20" s="2">
        <f>F20+G20+COUNTIFS(交易明細!$B$2:$B$33,$A20,交易明細!$J$2:$J$33,"時間出場")</f>
        <v/>
      </c>
      <c r="F20" s="2">
        <f>COUNTIFS(交易明細!$B$2:$B$33,$A20,交易明細!$J$2:$J$33,"止盈")</f>
        <v/>
      </c>
      <c r="G20" s="2">
        <f>COUNTIFS(交易明細!$B$2:$B$33,$A20,交易明細!$J$2:$J$33,"止損")</f>
        <v/>
      </c>
      <c r="H20" s="4">
        <f>IFERROR(F20/E20,0)</f>
        <v/>
      </c>
      <c r="I20" s="4">
        <f>IFERROR(AVERAGEIFS(交易明細!$L$2:$L$33,交易明細!$B$2:$B$33,$A20,交易明細!$J$2:$J$33,"&lt;&gt;未平倉"),0)</f>
        <v/>
      </c>
      <c r="J20" s="4">
        <f>SUMIFS(交易明細!$L$2:$L$33,交易明細!$B$2:$B$33,$A20,交易明細!$J$2:$J$33,"&lt;&gt;未平倉")</f>
        <v/>
      </c>
      <c r="K20" s="5">
        <f>IFERROR(AVERAGEIFS(交易明細!$K$2:$K$33,交易明細!$B$2:$B$33,$A20,交易明細!$J$2:$J$33,"&lt;&gt;未平倉"),0)</f>
        <v/>
      </c>
      <c r="L20" s="2">
        <f>COUNTIFS(交易明細!$B$2:$B$33,$A20,交易明細!$J$2:$J$33,"未平倉")</f>
        <v/>
      </c>
    </row>
    <row r="21">
      <c r="A21" s="2" t="inlineStr">
        <is>
          <t>PUMP_USDT_PERP</t>
        </is>
      </c>
      <c r="B21" s="2">
        <f>COUNTIFS(交易明細!$B$2:$B$33,$A21)</f>
        <v/>
      </c>
      <c r="C21" s="2">
        <f>COUNTIFS(交易明細!$B$2:$B$33,$A21,交易明細!$C$2:$C$33,"做多")</f>
        <v/>
      </c>
      <c r="D21" s="2">
        <f>COUNTIFS(交易明細!$B$2:$B$33,$A21,交易明細!$C$2:$C$33,"做空")</f>
        <v/>
      </c>
      <c r="E21" s="2">
        <f>F21+G21+COUNTIFS(交易明細!$B$2:$B$33,$A21,交易明細!$J$2:$J$33,"時間出場")</f>
        <v/>
      </c>
      <c r="F21" s="2">
        <f>COUNTIFS(交易明細!$B$2:$B$33,$A21,交易明細!$J$2:$J$33,"止盈")</f>
        <v/>
      </c>
      <c r="G21" s="2">
        <f>COUNTIFS(交易明細!$B$2:$B$33,$A21,交易明細!$J$2:$J$33,"止損")</f>
        <v/>
      </c>
      <c r="H21" s="4">
        <f>IFERROR(F21/E21,0)</f>
        <v/>
      </c>
      <c r="I21" s="4">
        <f>IFERROR(AVERAGEIFS(交易明細!$L$2:$L$33,交易明細!$B$2:$B$33,$A21,交易明細!$J$2:$J$33,"&lt;&gt;未平倉"),0)</f>
        <v/>
      </c>
      <c r="J21" s="4">
        <f>SUMIFS(交易明細!$L$2:$L$33,交易明細!$B$2:$B$33,$A21,交易明細!$J$2:$J$33,"&lt;&gt;未平倉")</f>
        <v/>
      </c>
      <c r="K21" s="5">
        <f>IFERROR(AVERAGEIFS(交易明細!$K$2:$K$33,交易明細!$B$2:$B$33,$A21,交易明細!$J$2:$J$33,"&lt;&gt;未平倉"),0)</f>
        <v/>
      </c>
      <c r="L21" s="2">
        <f>COUNTIFS(交易明細!$B$2:$B$33,$A21,交易明細!$J$2:$J$33,"未平倉")</f>
        <v/>
      </c>
    </row>
    <row r="22">
      <c r="A22" s="2" t="inlineStr">
        <is>
          <t>HBAR_USDT_PERP</t>
        </is>
      </c>
      <c r="B22" s="2">
        <f>COUNTIFS(交易明細!$B$2:$B$33,$A22)</f>
        <v/>
      </c>
      <c r="C22" s="2">
        <f>COUNTIFS(交易明細!$B$2:$B$33,$A22,交易明細!$C$2:$C$33,"做多")</f>
        <v/>
      </c>
      <c r="D22" s="2">
        <f>COUNTIFS(交易明細!$B$2:$B$33,$A22,交易明細!$C$2:$C$33,"做空")</f>
        <v/>
      </c>
      <c r="E22" s="2">
        <f>F22+G22+COUNTIFS(交易明細!$B$2:$B$33,$A22,交易明細!$J$2:$J$33,"時間出場")</f>
        <v/>
      </c>
      <c r="F22" s="2">
        <f>COUNTIFS(交易明細!$B$2:$B$33,$A22,交易明細!$J$2:$J$33,"止盈")</f>
        <v/>
      </c>
      <c r="G22" s="2">
        <f>COUNTIFS(交易明細!$B$2:$B$33,$A22,交易明細!$J$2:$J$33,"止損")</f>
        <v/>
      </c>
      <c r="H22" s="4">
        <f>IFERROR(F22/E22,0)</f>
        <v/>
      </c>
      <c r="I22" s="4">
        <f>IFERROR(AVERAGEIFS(交易明細!$L$2:$L$33,交易明細!$B$2:$B$33,$A22,交易明細!$J$2:$J$33,"&lt;&gt;未平倉"),0)</f>
        <v/>
      </c>
      <c r="J22" s="4">
        <f>SUMIFS(交易明細!$L$2:$L$33,交易明細!$B$2:$B$33,$A22,交易明細!$J$2:$J$33,"&lt;&gt;未平倉")</f>
        <v/>
      </c>
      <c r="K22" s="5">
        <f>IFERROR(AVERAGEIFS(交易明細!$K$2:$K$33,交易明細!$B$2:$B$33,$A22,交易明細!$J$2:$J$33,"&lt;&gt;未平倉"),0)</f>
        <v/>
      </c>
      <c r="L22" s="2">
        <f>COUNTIFS(交易明細!$B$2:$B$33,$A22,交易明細!$J$2:$J$33,"未平倉")</f>
        <v/>
      </c>
    </row>
    <row r="23">
      <c r="A23" s="2" t="inlineStr">
        <is>
          <t>SOON_USDT_PERP</t>
        </is>
      </c>
      <c r="B23" s="2">
        <f>COUNTIFS(交易明細!$B$2:$B$33,$A23)</f>
        <v/>
      </c>
      <c r="C23" s="2">
        <f>COUNTIFS(交易明細!$B$2:$B$33,$A23,交易明細!$C$2:$C$33,"做多")</f>
        <v/>
      </c>
      <c r="D23" s="2">
        <f>COUNTIFS(交易明細!$B$2:$B$33,$A23,交易明細!$C$2:$C$33,"做空")</f>
        <v/>
      </c>
      <c r="E23" s="2">
        <f>F23+G23+COUNTIFS(交易明細!$B$2:$B$33,$A23,交易明細!$J$2:$J$33,"時間出場")</f>
        <v/>
      </c>
      <c r="F23" s="2">
        <f>COUNTIFS(交易明細!$B$2:$B$33,$A23,交易明細!$J$2:$J$33,"止盈")</f>
        <v/>
      </c>
      <c r="G23" s="2">
        <f>COUNTIFS(交易明細!$B$2:$B$33,$A23,交易明細!$J$2:$J$33,"止損")</f>
        <v/>
      </c>
      <c r="H23" s="4">
        <f>IFERROR(F23/E23,0)</f>
        <v/>
      </c>
      <c r="I23" s="4">
        <f>IFERROR(AVERAGEIFS(交易明細!$L$2:$L$33,交易明細!$B$2:$B$33,$A23,交易明細!$J$2:$J$33,"&lt;&gt;未平倉"),0)</f>
        <v/>
      </c>
      <c r="J23" s="4">
        <f>SUMIFS(交易明細!$L$2:$L$33,交易明細!$B$2:$B$33,$A23,交易明細!$J$2:$J$33,"&lt;&gt;未平倉")</f>
        <v/>
      </c>
      <c r="K23" s="5">
        <f>IFERROR(AVERAGEIFS(交易明細!$K$2:$K$33,交易明細!$B$2:$B$33,$A23,交易明細!$J$2:$J$33,"&lt;&gt;未平倉"),0)</f>
        <v/>
      </c>
      <c r="L23" s="2">
        <f>COUNTIFS(交易明細!$B$2:$B$33,$A23,交易明細!$J$2:$J$33,"未平倉")</f>
        <v/>
      </c>
    </row>
    <row r="24">
      <c r="A24" s="2" t="inlineStr">
        <is>
          <t>NIGHT_USDT_PERP</t>
        </is>
      </c>
      <c r="B24" s="2">
        <f>COUNTIFS(交易明細!$B$2:$B$33,$A24)</f>
        <v/>
      </c>
      <c r="C24" s="2">
        <f>COUNTIFS(交易明細!$B$2:$B$33,$A24,交易明細!$C$2:$C$33,"做多")</f>
        <v/>
      </c>
      <c r="D24" s="2">
        <f>COUNTIFS(交易明細!$B$2:$B$33,$A24,交易明細!$C$2:$C$33,"做空")</f>
        <v/>
      </c>
      <c r="E24" s="2">
        <f>F24+G24+COUNTIFS(交易明細!$B$2:$B$33,$A24,交易明細!$J$2:$J$33,"時間出場")</f>
        <v/>
      </c>
      <c r="F24" s="2">
        <f>COUNTIFS(交易明細!$B$2:$B$33,$A24,交易明細!$J$2:$J$33,"止盈")</f>
        <v/>
      </c>
      <c r="G24" s="2">
        <f>COUNTIFS(交易明細!$B$2:$B$33,$A24,交易明細!$J$2:$J$33,"止損")</f>
        <v/>
      </c>
      <c r="H24" s="4">
        <f>IFERROR(F24/E24,0)</f>
        <v/>
      </c>
      <c r="I24" s="4">
        <f>IFERROR(AVERAGEIFS(交易明細!$L$2:$L$33,交易明細!$B$2:$B$33,$A24,交易明細!$J$2:$J$33,"&lt;&gt;未平倉"),0)</f>
        <v/>
      </c>
      <c r="J24" s="4">
        <f>SUMIFS(交易明細!$L$2:$L$33,交易明細!$B$2:$B$33,$A24,交易明細!$J$2:$J$33,"&lt;&gt;未平倉")</f>
        <v/>
      </c>
      <c r="K24" s="5">
        <f>IFERROR(AVERAGEIFS(交易明細!$K$2:$K$33,交易明細!$B$2:$B$33,$A24,交易明細!$J$2:$J$33,"&lt;&gt;未平倉"),0)</f>
        <v/>
      </c>
      <c r="L24" s="2">
        <f>COUNTIFS(交易明細!$B$2:$B$33,$A24,交易明細!$J$2:$J$33,"未平倉")</f>
        <v/>
      </c>
    </row>
    <row r="25">
      <c r="A25" s="2" t="inlineStr">
        <is>
          <t>CAP_USDT_PERP</t>
        </is>
      </c>
      <c r="B25" s="2">
        <f>COUNTIFS(交易明細!$B$2:$B$33,$A25)</f>
        <v/>
      </c>
      <c r="C25" s="2">
        <f>COUNTIFS(交易明細!$B$2:$B$33,$A25,交易明細!$C$2:$C$33,"做多")</f>
        <v/>
      </c>
      <c r="D25" s="2">
        <f>COUNTIFS(交易明細!$B$2:$B$33,$A25,交易明細!$C$2:$C$33,"做空")</f>
        <v/>
      </c>
      <c r="E25" s="2">
        <f>F25+G25+COUNTIFS(交易明細!$B$2:$B$33,$A25,交易明細!$J$2:$J$33,"時間出場")</f>
        <v/>
      </c>
      <c r="F25" s="2">
        <f>COUNTIFS(交易明細!$B$2:$B$33,$A25,交易明細!$J$2:$J$33,"止盈")</f>
        <v/>
      </c>
      <c r="G25" s="2">
        <f>COUNTIFS(交易明細!$B$2:$B$33,$A25,交易明細!$J$2:$J$33,"止損")</f>
        <v/>
      </c>
      <c r="H25" s="4">
        <f>IFERROR(F25/E25,0)</f>
        <v/>
      </c>
      <c r="I25" s="4">
        <f>IFERROR(AVERAGEIFS(交易明細!$L$2:$L$33,交易明細!$B$2:$B$33,$A25,交易明細!$J$2:$J$33,"&lt;&gt;未平倉"),0)</f>
        <v/>
      </c>
      <c r="J25" s="4">
        <f>SUMIFS(交易明細!$L$2:$L$33,交易明細!$B$2:$B$33,$A25,交易明細!$J$2:$J$33,"&lt;&gt;未平倉")</f>
        <v/>
      </c>
      <c r="K25" s="5">
        <f>IFERROR(AVERAGEIFS(交易明細!$K$2:$K$33,交易明細!$B$2:$B$33,$A25,交易明細!$J$2:$J$33,"&lt;&gt;未平倉"),0)</f>
        <v/>
      </c>
      <c r="L25" s="2">
        <f>COUNTIFS(交易明細!$B$2:$B$33,$A25,交易明細!$J$2:$J$33,"未平倉")</f>
        <v/>
      </c>
    </row>
  </sheetData>
  <autoFilter ref="A1:L2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KII_USDT_PERP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KIOXIA_USDT_PERP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KITE_USDT_PERP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KMNO_USDT_PERP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KNC_USDT_PERP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LAB_USDT_PERP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LAYER_USDT_PERP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LDO_USDT_PERP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LIGHT_USDT_PERP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LINEA_USDT_PERP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LINK_USDT_PERP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LISTA_USDT_PERP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LIT_USDT_PERP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LPT_USDT_PERP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LRC_USDT_PERP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LSK_USDT_PERP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LTC_USDT_PERP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LUNA2_USDT_PERP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LUNC_USDT_PERP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LYN_USDT_PERP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MAGIC_USDT_PERP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MAGMA_USDT_PERP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MANTRA_USDT_PERP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MARSCOIN_USDT_PERP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MASK_USDT_PERP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MAV_USDT_PERP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MEGA_USDT_PERP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MELANIA_USDT_PERP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MEME_USDT_PERP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MERL_USDT_PERP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METIS_USDT_PERP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MEW_USDT_PERP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ME_USDT_PERP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MITO_USDT_PERP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MMT_USDT_PERP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MNT_USDT_PERP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MON_USDT_PERP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MOODENG_USDT_PERP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MOONSHOT_USDT_PERP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MOVE_USDT_PERP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MOVR_USDT_PERP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MPX_USDT_PERP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MUBARAK_USDT_PERP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MUX_USDT_PERP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MYX_USDT_PERP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NAORIS_USDT_PERP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NEAR_USDT_PERP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NEIRO_USDT_PERP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NEO_USDT_PERP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NIGHT_USDT_PERP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NIL_USDT_PERP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NMR_USDT_PERP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NOM_USDT_PERP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NOT_USDT_PERP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NXPC_USDT_PERP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OFC_USDT_PERP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OGN_USDT_PERP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OKB_USDT_PERP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ONDO_USDT_PERP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ONG_USDT_PERP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ONT_USDT_PERP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ONX_USDT_PERP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OPENAI_USDT_PERP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OPEN_USDT_PERP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OPG_USDT_PERP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OPN_USDT_PERP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OP_USDT_PERP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ORCA_USDT_PERP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ORDER_USDT_PERP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ORDI_USDT_PERP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O_USDT_PERP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PARTI_USDT_PERP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PENDLE_USDT_PERP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PENGU_USDT_PERP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PEOPLE_USDT_PERP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PEPE_USDT_PERP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PHA_USDT_PERP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PIEVERSE_USDT_PERP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PIPPIN_USDT_PERP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PIXEL_USDT_PERP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PI_USDT_PERP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PLAY_USDT_PERP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PLUME_USDT_PERP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PNUT_USDT_PERP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POLYX_USDT_PERP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PONS_USDT_PERP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POPCAT_USDT_PERP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PORTAL_USDT_PERP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POWER_USDT_PERP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POWR_USDT_PERP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PRL_USDT_PERP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PROMPT_USDT_PERP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PROS_USDT_PERP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PROVE_USDT_PERP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PTB_USDT_PERP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PUMP_USDT_PERP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PYTH_USDT_PERP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QNT_USDT_PERP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QTUM_USDT_PERP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Q_USDT_PERP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RARE_USDT_PERP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RATS_USDT_PERP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RAVE_USDT_PERP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RAY_USDT_PERP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RECALL_USDT_PERP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RENDER_USDT_PERP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RESOLV_USDT_PERP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REZ_USDT_PERP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RE_USDT_PERP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RIF_USDT_PERP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RIVER_USDT_PERP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ROBO_USDT_PERP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ROSE_USDT_PERP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RSR_USDT_PERP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RUNE_USDT_PERP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SAGA_USDT_PERP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SAHARA_USDT_PERP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SAND_USDT_PERP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SAPIEN_USDT_PERP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SEI_USDT_PERP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SENT_USDT_PERP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SFP_USDT_PERP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SHELL_USDT_PERP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SHIB_USDT_PERP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SIREN_USDT_PERP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SKL_USDT_PERP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SKR_USDT_PERP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SKYAI_USDT_PERP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SKY_USDT_PERP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SLP_USDT_PERP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SLX_USDT_PERP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SNX_USDT_PERP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SOLV_USDT_PERP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SOL_USDT_PERP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SOMI_USDT_PERP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SOON_USDT_PERP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SPACE_USDT_PERP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SPELL_USDT_PERP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SPK_USDT_PERP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SPORTFUN_USDT_PERP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SPX_USDT_PERP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SQD_USDT_PERP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SSV_USDT_PERP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STABLE_USDT_PERP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STAR_USDT_PERP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STBL_USDT_PERP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STG_USDT_PERP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STO_USDT_PERP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STRK_USDT_PERP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STX_USDT_PERP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SUI_USDT_PERP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SUN_USDT_PERP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SUPER_USDT_PERP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SUSHI_USDT_PERP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SXT_USDT_PERP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SYRUP_USDT_PERP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S_USDT_PERP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TAC_USDT_PERP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TAKE_USDT_PERP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TAO_USDT_PERP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THETA_USDT_PERP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THE_USDT_PERP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TIA_USDT_PERP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TLM_USDT_PERP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TNSR_USDT_PERP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TOSHI_USDT_PERP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TOWNS_USDT_PERP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TRADOOR_USDT_PERP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TRB_USDT_PERP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TREE_USDT_PERP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TRIA_USDT_PERP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TRUMP_USDT_PERP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TRUST_USDT_PERP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TRUTH_USDT_PERP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TRX_USDT_PERP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TST_USDT_PERP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TURBO_USDT_PERP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TURTLE_USDT_PERP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TUT_USDT_PERP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TWT_USDT_PERP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UAI_USDT_PERP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UB_USDT_PERP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UNI_USDT_PERP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UP_USDT_PERP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USELESS_USDT_PERP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USTC_USDT_PERP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USUAL_USDT_PERP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US_USDT_PERP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VELODROME_USDT_PERP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VET_USDT_PERP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VIRTUAL_USDT_PERP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VVV_USDT_PERP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WAL_USDT_PERP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WCT_USDT_PERP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WIF_USDT_PERP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WLD_USDT_PERP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WLFI_USDT_PERP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WTI_USDT_PERP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W_USDT_PERP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XAI_USDT_PERP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XAN_USDT_PERP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XDP_USDT_PERP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XEC_USDT_PERP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XLM_USDT_PERP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XMR_USDT_PERP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XNY_USDT_PERP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XPIN_USDT_PERP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XPL_USDT_PERP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XRP_USDT_PERP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XTZ_USDT_PERP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XVG_USDT_PERP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XYZX_USDT_PERP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YB_USDT_PERP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YFI_USDT_PERP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YGG_USDT_PERP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ZAMA_USDT_PERP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ZBT_USDT_PERP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ZEC_USDT_PERP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ZEN_USDT_PERP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ZEREBRO_USDT_PERP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ZEST_USDT_PERP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ZETA_USDT_PERP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ZIL_USDT_PERP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ZKP_USDT_PERP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ZKSYNC_USDT_PERP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ZORA_USDT_PERP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ZRO_USDT_PERP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ZRX_USDT_PERP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哈基米_USDT_PERP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币安人生_USDT_PERP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我踏马来了_USDT_PERP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  <row r="446">
      <c r="A446" s="2" t="inlineStr">
        <is>
          <t>牛来_USDT_PERP</t>
        </is>
      </c>
      <c r="B446" s="2" t="inlineStr">
        <is>
          <t>已掃描</t>
        </is>
      </c>
      <c r="C446" s="2" t="inlineStr"/>
      <c r="D446" s="2" t="n"/>
      <c r="E446" s="17" t="n"/>
      <c r="F446" s="17" t="n"/>
      <c r="G446" s="2" t="n"/>
      <c r="H446" s="2" t="n"/>
    </row>
  </sheetData>
  <autoFilter ref="A1:H44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2026-10-03T20:00:46Z</dcterms:created>
  <dcterms:modified xsi:type="dcterms:W3CDTF">2026-10-03T20:00:47Z</dcterms:modified>
</cp:coreProperties>
</file>