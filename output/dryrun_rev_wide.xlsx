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14:07（Dry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46281.58829054398</v>
      </c>
      <c r="B2" s="7" t="n">
        <v>46281.54166666666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54.5</v>
      </c>
    </row>
    <row r="3">
      <c r="A3" s="7" t="n">
        <v>46281.35205523148</v>
      </c>
      <c r="B3" s="7" t="n">
        <v>46281.29166666666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66.90000000000001</v>
      </c>
    </row>
    <row r="4">
      <c r="A4" s="7" t="n">
        <v>46281.22963460648</v>
      </c>
      <c r="B4" s="7" t="n">
        <v>46281.16666666666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61.9</v>
      </c>
    </row>
    <row r="5">
      <c r="A5" s="7" t="n">
        <v>46281.094529375</v>
      </c>
      <c r="B5" s="7" t="n">
        <v>46281.04166666666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46.5</v>
      </c>
    </row>
    <row r="6">
      <c r="A6" s="7" t="n">
        <v>46280.9017994676</v>
      </c>
      <c r="B6" s="7" t="n">
        <v>46280.83333333334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56.7</v>
      </c>
    </row>
    <row r="7">
      <c r="A7" s="7" t="n">
        <v>46280.66002480324</v>
      </c>
      <c r="B7" s="7" t="n">
        <v>46280.58333333334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67.40000000000001</v>
      </c>
    </row>
    <row r="8">
      <c r="A8" s="7" t="n">
        <v>46280.4778358449</v>
      </c>
      <c r="B8" s="7" t="n">
        <v>46280.41666666666</v>
      </c>
      <c r="C8" s="2" t="n">
        <v>442</v>
      </c>
      <c r="D8" s="2" t="n">
        <v>11</v>
      </c>
      <c r="E8" s="2" t="n">
        <v>11</v>
      </c>
      <c r="F8" s="2" t="n">
        <v>0</v>
      </c>
      <c r="G8" s="2" t="n">
        <v>61.2</v>
      </c>
    </row>
    <row r="9">
      <c r="A9" s="7" t="n">
        <v>46280.39795681713</v>
      </c>
      <c r="B9" s="7" t="n">
        <v>46280.33333333334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66.90000000000001</v>
      </c>
    </row>
    <row r="10">
      <c r="A10" s="7" t="n">
        <v>46280.29983445602</v>
      </c>
      <c r="B10" s="7" t="n">
        <v>46280.25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51.6</v>
      </c>
    </row>
    <row r="11">
      <c r="A11" s="7" t="n">
        <v>46280.14350143519</v>
      </c>
      <c r="B11" s="7" t="n">
        <v>46280.08333333334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57.3</v>
      </c>
    </row>
    <row r="12">
      <c r="A12" s="7" t="n">
        <v>46279.92418226852</v>
      </c>
      <c r="B12" s="7" t="n">
        <v>46279.875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48.1</v>
      </c>
    </row>
    <row r="13">
      <c r="A13" s="7" t="n">
        <v>46279.59996445602</v>
      </c>
      <c r="B13" s="7" t="n">
        <v>46279.54166666666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</v>
      </c>
    </row>
    <row r="14">
      <c r="A14" s="7" t="n">
        <v>46279.38316741898</v>
      </c>
      <c r="B14" s="7" t="n">
        <v>46279.33333333334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59.9</v>
      </c>
    </row>
    <row r="15">
      <c r="A15" s="7" t="n">
        <v>46279.26932584491</v>
      </c>
      <c r="B15" s="7" t="n">
        <v>46279.20833333334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61.1</v>
      </c>
    </row>
    <row r="16">
      <c r="A16" s="7" t="n">
        <v>46279.14665413195</v>
      </c>
      <c r="B16" s="7" t="n">
        <v>46279.08333333334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55.1</v>
      </c>
    </row>
    <row r="17">
      <c r="A17" s="7" t="n">
        <v>46279.01733591435</v>
      </c>
      <c r="B17" s="7" t="n">
        <v>46278.95833333334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59.7</v>
      </c>
    </row>
    <row r="18">
      <c r="A18" s="7" t="n">
        <v>46278.83725055555</v>
      </c>
      <c r="B18" s="7" t="n">
        <v>46278.79166666666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65.40000000000001</v>
      </c>
    </row>
    <row r="19">
      <c r="A19" s="7" t="n">
        <v>46278.71111972223</v>
      </c>
      <c r="B19" s="7" t="n">
        <v>46278.66666666666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63.6</v>
      </c>
    </row>
    <row r="20">
      <c r="A20" s="7" t="n">
        <v>46278.68053923611</v>
      </c>
      <c r="B20" s="7" t="n">
        <v>46278.625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63.6</v>
      </c>
    </row>
    <row r="21">
      <c r="A21" s="7" t="n">
        <v>46278.07354997685</v>
      </c>
      <c r="B21" s="7" t="n">
        <v>46278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50.2</v>
      </c>
    </row>
    <row r="22">
      <c r="A22" s="7" t="n">
        <v>46277.94390239583</v>
      </c>
      <c r="B22" s="7" t="n">
        <v>46277.875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14:07（Dry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0G_USDT_PERP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USELESS_USDT_PERP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ENA_USDT_PERP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MUBARAK_USDT_PERP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ARB_USDT_PERP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WLD_USDT_PERP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SOLV_USDT_PERP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IOST_USDT_PERP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AERO_USDT_PERP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  <row r="12">
      <c r="A12" s="2" t="inlineStr">
        <is>
          <t>SAGA_USDT_PERP</t>
        </is>
      </c>
      <c r="B12" s="2">
        <f>COUNTIFS(交易明細!$B$2:$B$12,$A12)</f>
        <v/>
      </c>
      <c r="C12" s="2">
        <f>COUNTIFS(交易明細!$B$2:$B$12,$A12,交易明細!$C$2:$C$12,"做多")</f>
        <v/>
      </c>
      <c r="D12" s="2">
        <f>COUNTIFS(交易明細!$B$2:$B$12,$A12,交易明細!$C$2:$C$12,"做空")</f>
        <v/>
      </c>
      <c r="E12" s="2">
        <f>F12+G12+COUNTIFS(交易明細!$B$2:$B$12,$A12,交易明細!$J$2:$J$12,"時間出場")</f>
        <v/>
      </c>
      <c r="F12" s="2">
        <f>COUNTIFS(交易明細!$B$2:$B$12,$A12,交易明細!$J$2:$J$12,"止盈")</f>
        <v/>
      </c>
      <c r="G12" s="2">
        <f>COUNTIFS(交易明細!$B$2:$B$12,$A12,交易明細!$J$2:$J$12,"止損")</f>
        <v/>
      </c>
      <c r="H12" s="4">
        <f>IFERROR(F12/E12,0)</f>
        <v/>
      </c>
      <c r="I12" s="4">
        <f>IFERROR(AVERAGEIFS(交易明細!$L$2:$L$12,交易明細!$B$2:$B$12,$A12,交易明細!$J$2:$J$12,"&lt;&gt;未平倉"),0)</f>
        <v/>
      </c>
      <c r="J12" s="4">
        <f>SUMIFS(交易明細!$L$2:$L$12,交易明細!$B$2:$B$12,$A12,交易明細!$J$2:$J$12,"&lt;&gt;未平倉")</f>
        <v/>
      </c>
      <c r="K12" s="5">
        <f>IFERROR(AVERAGEIFS(交易明細!$K$2:$K$12,交易明細!$B$2:$B$12,$A12,交易明細!$J$2:$J$12,"&lt;&gt;未平倉"),0)</f>
        <v/>
      </c>
      <c r="L12" s="2">
        <f>COUNTIFS(交易明細!$B$2:$B$12,$A12,交易明細!$J$2:$J$12,"未平倉")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2026-09-16T06:08:03Z</dcterms:created>
  <dcterms:modified xsi:type="dcterms:W3CDTF">2026-09-16T06:08:03Z</dcterms:modified>
</cp:coreProperties>
</file>