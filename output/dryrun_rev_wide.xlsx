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'資金明細'!$A$1:$Z$59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07:20（Dry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46294.30606211806</v>
      </c>
      <c r="B2" s="7" t="n">
        <v>46294.30486111111</v>
      </c>
      <c r="C2" s="2" t="n">
        <v>432</v>
      </c>
      <c r="D2" s="2" t="n">
        <v>1</v>
      </c>
      <c r="E2" s="2" t="n">
        <v>0</v>
      </c>
      <c r="F2" s="2" t="n">
        <v>0</v>
      </c>
      <c r="G2" s="2" t="n">
        <v>165.6</v>
      </c>
    </row>
    <row r="3">
      <c r="A3" s="7" t="n">
        <v>46294.07080519676</v>
      </c>
      <c r="B3" s="7" t="n">
        <v>46294.06944444445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193.3</v>
      </c>
    </row>
    <row r="4">
      <c r="A4" s="7" t="n">
        <v>46293.99403509259</v>
      </c>
      <c r="B4" s="7" t="n">
        <v>46293.99305555555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153.6</v>
      </c>
    </row>
    <row r="5">
      <c r="A5" s="7" t="n">
        <v>46293.9460828588</v>
      </c>
      <c r="B5" s="7" t="n">
        <v>46293.94513888889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197.9</v>
      </c>
    </row>
    <row r="6">
      <c r="A6" s="7" t="n">
        <v>46293.85933717593</v>
      </c>
      <c r="B6" s="7" t="n">
        <v>46293.85833333333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185</v>
      </c>
    </row>
    <row r="7">
      <c r="A7" s="7" t="n">
        <v>46293.69837709491</v>
      </c>
      <c r="B7" s="7" t="n">
        <v>46293.69722222222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144.9</v>
      </c>
    </row>
    <row r="8">
      <c r="A8" s="7" t="n">
        <v>46293.67139270833</v>
      </c>
      <c r="B8" s="7" t="n">
        <v>46293.67013888889</v>
      </c>
      <c r="C8" s="2" t="n">
        <v>432</v>
      </c>
      <c r="D8" s="2" t="n">
        <v>0</v>
      </c>
      <c r="E8" s="2" t="n">
        <v>1</v>
      </c>
      <c r="F8" s="2" t="n">
        <v>0</v>
      </c>
      <c r="G8" s="2" t="n">
        <v>186.3</v>
      </c>
    </row>
    <row r="9">
      <c r="A9" s="7" t="n">
        <v>46293.54465268519</v>
      </c>
      <c r="B9" s="7" t="n">
        <v>46293.54375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150</v>
      </c>
    </row>
    <row r="10">
      <c r="A10" s="7" t="n">
        <v>46293.46449744213</v>
      </c>
      <c r="B10" s="7" t="n">
        <v>46293.46319444444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193.4</v>
      </c>
    </row>
    <row r="11">
      <c r="A11" s="7" t="n">
        <v>46293.40532865741</v>
      </c>
      <c r="B11" s="7" t="n">
        <v>46293.40416666667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194.7</v>
      </c>
    </row>
    <row r="12">
      <c r="A12" s="7" t="n">
        <v>46293.26205886574</v>
      </c>
      <c r="B12" s="7" t="n">
        <v>46293.26111111111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178</v>
      </c>
    </row>
    <row r="13">
      <c r="A13" s="7" t="n">
        <v>46293.12570534722</v>
      </c>
      <c r="B13" s="7" t="n">
        <v>46293.125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193.1</v>
      </c>
    </row>
    <row r="14">
      <c r="A14" s="7" t="n">
        <v>46293.08172232639</v>
      </c>
      <c r="B14" s="7" t="n">
        <v>46293.08055555556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148.9</v>
      </c>
    </row>
    <row r="15">
      <c r="A15" s="7" t="n">
        <v>46292.9814453588</v>
      </c>
      <c r="B15" s="7" t="n">
        <v>46292.98055555556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186</v>
      </c>
    </row>
    <row r="16">
      <c r="A16" s="7" t="n">
        <v>46292.9472603125</v>
      </c>
      <c r="B16" s="7" t="n">
        <v>46292.94652777778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192.1</v>
      </c>
    </row>
    <row r="17">
      <c r="A17" s="7" t="n">
        <v>46292.919814375</v>
      </c>
      <c r="B17" s="7" t="n">
        <v>46292.91875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192.5</v>
      </c>
    </row>
    <row r="18">
      <c r="A18" s="7" t="n">
        <v>46292.81065981482</v>
      </c>
      <c r="B18" s="7" t="n">
        <v>46292.80972222222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177.2</v>
      </c>
    </row>
    <row r="19">
      <c r="A19" s="7" t="n">
        <v>46292.73704342593</v>
      </c>
      <c r="B19" s="7" t="n">
        <v>46292.73611111111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147.3</v>
      </c>
    </row>
    <row r="20">
      <c r="A20" s="7" t="n">
        <v>46292.67926077546</v>
      </c>
      <c r="B20" s="7" t="n">
        <v>46292.67847222222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197.6</v>
      </c>
    </row>
    <row r="21">
      <c r="A21" s="7" t="n">
        <v>46292.6274472338</v>
      </c>
      <c r="B21" s="7" t="n">
        <v>46292.62638888889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192.4</v>
      </c>
    </row>
    <row r="22">
      <c r="A22" s="7" t="n">
        <v>46292.50599667824</v>
      </c>
      <c r="B22" s="7" t="n">
        <v>46292.50486111111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191.3</v>
      </c>
    </row>
    <row r="23">
      <c r="A23" s="7" t="n">
        <v>46292.39740747685</v>
      </c>
      <c r="B23" s="7" t="n">
        <v>46292.39652777778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150.9</v>
      </c>
    </row>
    <row r="24">
      <c r="A24" s="7" t="n">
        <v>46292.28951247685</v>
      </c>
      <c r="B24" s="7" t="n">
        <v>46292.28819444445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46292.28563091435</v>
      </c>
      <c r="B25" s="7" t="n">
        <v>46292.28472222222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186.1</v>
      </c>
    </row>
    <row r="26">
      <c r="A26" s="7" t="n">
        <v>46292.16453692129</v>
      </c>
      <c r="B26" s="7" t="n">
        <v>46292.16319444445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183.8</v>
      </c>
    </row>
    <row r="27">
      <c r="A27" s="7" t="n">
        <v>46292.05207142361</v>
      </c>
      <c r="B27" s="7" t="n">
        <v>46292.05069444444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160.8</v>
      </c>
    </row>
    <row r="28">
      <c r="A28" s="7" t="n">
        <v>46291.98017201389</v>
      </c>
      <c r="B28" s="7" t="n">
        <v>46291.97916666666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148.2</v>
      </c>
    </row>
    <row r="29">
      <c r="A29" s="7" t="n">
        <v>46291.93749069444</v>
      </c>
      <c r="B29" s="7" t="n">
        <v>46291.93611111111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163.1</v>
      </c>
    </row>
    <row r="30">
      <c r="A30" s="7" t="n">
        <v>46291.88266193287</v>
      </c>
      <c r="B30" s="7" t="n">
        <v>46291.88194444445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46291.83751681713</v>
      </c>
      <c r="B31" s="7" t="n">
        <v>46291.83680555555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186.6</v>
      </c>
    </row>
    <row r="32">
      <c r="A32" s="7" t="n">
        <v>46291.78589450232</v>
      </c>
      <c r="B32" s="7" t="n">
        <v>46291.78472222222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157.8</v>
      </c>
    </row>
    <row r="33">
      <c r="A33" s="7" t="n">
        <v>46291.65882908565</v>
      </c>
      <c r="B33" s="7" t="n">
        <v>46291.65763888889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175.7</v>
      </c>
    </row>
    <row r="34">
      <c r="A34" s="7" t="n">
        <v>46291.63896155093</v>
      </c>
      <c r="B34" s="7" t="n">
        <v>46291.63819444444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177.9</v>
      </c>
    </row>
    <row r="35">
      <c r="A35" s="7" t="n">
        <v>46291.63155474537</v>
      </c>
      <c r="B35" s="7" t="n">
        <v>46291.63055555556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172.6</v>
      </c>
    </row>
    <row r="36">
      <c r="A36" s="7" t="n">
        <v>46291.58748165509</v>
      </c>
      <c r="B36" s="7" t="n">
        <v>46291.58611111111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</v>
      </c>
    </row>
    <row r="37">
      <c r="A37" s="7" t="n">
        <v>46291.52177836806</v>
      </c>
      <c r="B37" s="7" t="n">
        <v>46291.52083333334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187.5</v>
      </c>
    </row>
    <row r="38">
      <c r="A38" s="7" t="n">
        <v>46291.40186751157</v>
      </c>
      <c r="B38" s="7" t="n">
        <v>46291.40069444444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188.1</v>
      </c>
    </row>
    <row r="39">
      <c r="A39" s="7" t="n">
        <v>46291.36540915509</v>
      </c>
      <c r="B39" s="7" t="n">
        <v>46291.36458333334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163.5</v>
      </c>
    </row>
    <row r="40">
      <c r="A40" s="7" t="n">
        <v>46291.26887001158</v>
      </c>
      <c r="B40" s="7" t="n">
        <v>46291.26805555556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184.5</v>
      </c>
    </row>
    <row r="41">
      <c r="A41" s="7" t="n">
        <v>46291.2560487963</v>
      </c>
      <c r="B41" s="7" t="n">
        <v>46291.25486111111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191.6</v>
      </c>
    </row>
    <row r="42">
      <c r="A42" s="7" t="n">
        <v>46291.11246790509</v>
      </c>
      <c r="B42" s="7" t="n">
        <v>46291.11111111111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182.3</v>
      </c>
    </row>
    <row r="43">
      <c r="A43" s="7" t="n">
        <v>46291.02308788194</v>
      </c>
      <c r="B43" s="7" t="n">
        <v>46291.02222222222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46290.9990443287</v>
      </c>
      <c r="B44" s="7" t="n">
        <v>46290.99791666667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197.5</v>
      </c>
    </row>
    <row r="45">
      <c r="A45" s="7" t="n">
        <v>46290.91267655093</v>
      </c>
      <c r="B45" s="7" t="n">
        <v>46290.91180555556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193.4</v>
      </c>
    </row>
    <row r="46">
      <c r="A46" s="7" t="n">
        <v>46290.82088560185</v>
      </c>
      <c r="B46" s="7" t="n">
        <v>46290.82013888889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174.9</v>
      </c>
    </row>
    <row r="47">
      <c r="A47" s="7" t="n">
        <v>46290.76820827546</v>
      </c>
      <c r="B47" s="7" t="n">
        <v>46290.76736111111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</v>
      </c>
    </row>
    <row r="48">
      <c r="A48" s="7" t="n">
        <v>46290.709303125</v>
      </c>
      <c r="B48" s="7" t="n">
        <v>46290.70833333334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187.6</v>
      </c>
    </row>
    <row r="49">
      <c r="A49" s="7" t="n">
        <v>46290.66382769676</v>
      </c>
      <c r="B49" s="7" t="n">
        <v>46290.6625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185.1</v>
      </c>
    </row>
    <row r="50">
      <c r="A50" s="7" t="n">
        <v>46290.61757802084</v>
      </c>
      <c r="B50" s="7" t="n">
        <v>46290.61666666667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178.9</v>
      </c>
    </row>
    <row r="51">
      <c r="A51" s="7" t="n">
        <v>46290.55632820602</v>
      </c>
      <c r="B51" s="7" t="n">
        <v>46290.55555555555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179.4</v>
      </c>
    </row>
    <row r="52">
      <c r="A52" s="7" t="n">
        <v>46290.50409561343</v>
      </c>
      <c r="B52" s="7" t="n">
        <v>46290.50277777778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174.5</v>
      </c>
    </row>
    <row r="53">
      <c r="A53" s="7" t="n">
        <v>46290.39966920139</v>
      </c>
      <c r="B53" s="7" t="n">
        <v>46290.39861111111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189.8</v>
      </c>
    </row>
    <row r="54">
      <c r="A54" s="7" t="n">
        <v>46290.3483633912</v>
      </c>
      <c r="B54" s="7" t="n">
        <v>46290.34722222222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163.4</v>
      </c>
    </row>
    <row r="55">
      <c r="A55" s="7" t="n">
        <v>46290.27195019676</v>
      </c>
      <c r="B55" s="7" t="n">
        <v>46290.27083333334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182.9</v>
      </c>
    </row>
    <row r="56">
      <c r="A56" s="7" t="n">
        <v>46290.13587655093</v>
      </c>
      <c r="B56" s="7" t="n">
        <v>46290.13472222222</v>
      </c>
      <c r="C56" s="2" t="n">
        <v>433</v>
      </c>
      <c r="D56" s="2" t="n">
        <v>1</v>
      </c>
      <c r="E56" s="2" t="n">
        <v>0</v>
      </c>
      <c r="F56" s="2" t="n">
        <v>1</v>
      </c>
      <c r="G56" s="2" t="n">
        <v>191.6</v>
      </c>
    </row>
    <row r="57">
      <c r="A57" s="7" t="n">
        <v>46290.02908936342</v>
      </c>
      <c r="B57" s="7" t="n">
        <v>46290.02777777778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166.2</v>
      </c>
    </row>
    <row r="58">
      <c r="A58" s="7" t="n">
        <v>46289.96715996528</v>
      </c>
      <c r="B58" s="7" t="n">
        <v>46289.96597222222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190.1</v>
      </c>
    </row>
    <row r="59">
      <c r="A59" s="7" t="n">
        <v>46289.95004011574</v>
      </c>
      <c r="B59" s="7" t="n">
        <v>46289.94930555556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178.4</v>
      </c>
    </row>
    <row r="60">
      <c r="A60" s="7" t="n">
        <v>46289.94135959491</v>
      </c>
      <c r="B60" s="7" t="n">
        <v>46289.94027777778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183.8</v>
      </c>
    </row>
    <row r="61">
      <c r="A61" s="7" t="n">
        <v>46289.92565313658</v>
      </c>
      <c r="B61" s="7" t="n">
        <v>46289.92430555556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226.2</v>
      </c>
    </row>
    <row r="62">
      <c r="A62" s="7" t="n">
        <v>46289.84896370371</v>
      </c>
      <c r="B62" s="7" t="n">
        <v>46289.84791666667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147.5</v>
      </c>
    </row>
    <row r="63">
      <c r="A63" s="7" t="n">
        <v>46289.78526427083</v>
      </c>
      <c r="B63" s="7" t="n">
        <v>46289.78402777778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186.8</v>
      </c>
    </row>
    <row r="64">
      <c r="A64" s="7" t="n">
        <v>46289.75543116898</v>
      </c>
      <c r="B64" s="7" t="n">
        <v>46289.75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109.8</v>
      </c>
    </row>
    <row r="65">
      <c r="A65" s="7" t="n">
        <v>46289.54138961805</v>
      </c>
      <c r="B65" s="7" t="n">
        <v>46289.53472222222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125.8</v>
      </c>
    </row>
    <row r="66">
      <c r="A66" s="7" t="n">
        <v>46289.32358565972</v>
      </c>
      <c r="B66" s="7" t="n">
        <v>46289.31944444445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130.2</v>
      </c>
    </row>
    <row r="67">
      <c r="A67" s="7" t="n">
        <v>46289.18599210648</v>
      </c>
      <c r="B67" s="7" t="n">
        <v>46289.18055555555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129.3</v>
      </c>
    </row>
    <row r="68">
      <c r="A68" s="7" t="n">
        <v>46289.04908521991</v>
      </c>
      <c r="B68" s="7" t="n">
        <v>46289.04513888889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96.90000000000001</v>
      </c>
    </row>
    <row r="69">
      <c r="A69" s="7" t="n">
        <v>46289.00944646991</v>
      </c>
      <c r="B69" s="7" t="n">
        <v>46289.00347222222</v>
      </c>
      <c r="C69" s="2" t="n">
        <v>433</v>
      </c>
      <c r="D69" s="2" t="n">
        <v>1</v>
      </c>
      <c r="E69" s="2" t="n">
        <v>2</v>
      </c>
      <c r="F69" s="2" t="n">
        <v>1</v>
      </c>
      <c r="G69" s="2" t="n">
        <v>127</v>
      </c>
    </row>
    <row r="70">
      <c r="A70" s="7" t="n">
        <v>46288.82408041666</v>
      </c>
      <c r="B70" s="7" t="n">
        <v>46288.81944444445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118.2</v>
      </c>
    </row>
    <row r="71">
      <c r="A71" s="7" t="n">
        <v>46288.75275025463</v>
      </c>
      <c r="B71" s="7" t="n">
        <v>46288.74652777778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125.5</v>
      </c>
    </row>
    <row r="72">
      <c r="A72" s="7" t="n">
        <v>46288.58577883102</v>
      </c>
      <c r="B72" s="7" t="n">
        <v>46288.57986111111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112.8</v>
      </c>
    </row>
    <row r="73">
      <c r="A73" s="7" t="n">
        <v>46288.57218969907</v>
      </c>
      <c r="B73" s="7" t="n">
        <v>46288.56597222222</v>
      </c>
      <c r="C73" s="2" t="n">
        <v>433</v>
      </c>
      <c r="D73" s="2" t="n">
        <v>1</v>
      </c>
      <c r="E73" s="2" t="n">
        <v>3</v>
      </c>
      <c r="F73" s="2" t="n">
        <v>2</v>
      </c>
      <c r="G73" s="2" t="n">
        <v>99.7</v>
      </c>
    </row>
    <row r="74">
      <c r="A74" s="7" t="n">
        <v>46288.36332482639</v>
      </c>
      <c r="B74" s="7" t="n">
        <v>46288.35763888889</v>
      </c>
      <c r="C74" s="2" t="n">
        <v>441</v>
      </c>
      <c r="D74" s="2" t="n">
        <v>1</v>
      </c>
      <c r="E74" s="2" t="n">
        <v>0</v>
      </c>
      <c r="F74" s="2" t="n">
        <v>2</v>
      </c>
      <c r="G74" s="2" t="n">
        <v>94.40000000000001</v>
      </c>
    </row>
    <row r="75">
      <c r="A75" s="7" t="n">
        <v>46288.26120461806</v>
      </c>
      <c r="B75" s="7" t="n">
        <v>46288.25694444445</v>
      </c>
      <c r="C75" s="2" t="n">
        <v>441</v>
      </c>
      <c r="D75" s="2" t="n">
        <v>2</v>
      </c>
      <c r="E75" s="2" t="n">
        <v>0</v>
      </c>
      <c r="F75" s="2" t="n">
        <v>2</v>
      </c>
      <c r="G75" s="2" t="n">
        <v>103.1</v>
      </c>
    </row>
    <row r="76">
      <c r="A76" s="7" t="n">
        <v>46288.12397528935</v>
      </c>
      <c r="B76" s="7" t="n">
        <v>46288.11805555555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114.4</v>
      </c>
    </row>
    <row r="77">
      <c r="A77" s="7" t="n">
        <v>46287.95840076389</v>
      </c>
      <c r="B77" s="7" t="n">
        <v>46287.95486111111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135.1</v>
      </c>
    </row>
    <row r="78">
      <c r="A78" s="7" t="n">
        <v>46287.75277884259</v>
      </c>
      <c r="B78" s="7" t="n">
        <v>46287.74652777778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130.3</v>
      </c>
    </row>
    <row r="79">
      <c r="A79" s="7" t="n">
        <v>46287.6758560301</v>
      </c>
      <c r="B79" s="7" t="n">
        <v>46287.67013888889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91.7</v>
      </c>
    </row>
    <row r="80">
      <c r="A80" s="7" t="n">
        <v>46287.54602564815</v>
      </c>
      <c r="B80" s="7" t="n">
        <v>46287.54166666666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125.4</v>
      </c>
    </row>
    <row r="81">
      <c r="A81" s="7" t="n">
        <v>46287.51247143518</v>
      </c>
      <c r="B81" s="7" t="n">
        <v>46287.50694444445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102.8</v>
      </c>
    </row>
    <row r="82">
      <c r="A82" s="7" t="n">
        <v>46287.30635083334</v>
      </c>
      <c r="B82" s="7" t="n">
        <v>46287.30208333334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135.9</v>
      </c>
    </row>
    <row r="83">
      <c r="A83" s="7" t="n">
        <v>46287.14961865741</v>
      </c>
      <c r="B83" s="7" t="n">
        <v>46287.14583333334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130.5</v>
      </c>
    </row>
    <row r="84">
      <c r="A84" s="7" t="n">
        <v>46286.92852005787</v>
      </c>
      <c r="B84" s="7" t="n">
        <v>46286.92361111111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112.2</v>
      </c>
    </row>
    <row r="85">
      <c r="A85" s="7" t="n">
        <v>46286.83222814815</v>
      </c>
      <c r="B85" s="7" t="n">
        <v>46286.82638888889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126.4</v>
      </c>
    </row>
    <row r="86">
      <c r="A86" s="7" t="n">
        <v>46286.60261268519</v>
      </c>
      <c r="B86" s="7" t="n">
        <v>46286.59722222222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111.5</v>
      </c>
    </row>
    <row r="87">
      <c r="A87" s="7" t="n">
        <v>46286.38294268519</v>
      </c>
      <c r="B87" s="7" t="n">
        <v>46286.37847222222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102.4</v>
      </c>
    </row>
    <row r="88">
      <c r="A88" s="7" t="n">
        <v>46286.27148542824</v>
      </c>
      <c r="B88" s="7" t="n">
        <v>46286.26736111111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46286.14641391204</v>
      </c>
      <c r="B89" s="7" t="n">
        <v>46286.14236111111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131.3</v>
      </c>
    </row>
    <row r="90">
      <c r="A90" s="7" t="n">
        <v>46286.03573545139</v>
      </c>
      <c r="B90" s="7" t="n">
        <v>46286.03125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127.3</v>
      </c>
    </row>
    <row r="91">
      <c r="A91" s="7" t="n">
        <v>46286.00283136574</v>
      </c>
      <c r="B91" s="7" t="n">
        <v>46285.99652777778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101.9</v>
      </c>
    </row>
    <row r="92">
      <c r="A92" s="7" t="n">
        <v>46285.85245594908</v>
      </c>
      <c r="B92" s="7" t="n">
        <v>46285.84722222222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100.6</v>
      </c>
    </row>
    <row r="93">
      <c r="A93" s="7" t="n">
        <v>46285.60105145833</v>
      </c>
      <c r="B93" s="7" t="n">
        <v>46285.59722222222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129.1</v>
      </c>
    </row>
    <row r="94">
      <c r="A94" s="7" t="n">
        <v>46285.38559789352</v>
      </c>
      <c r="B94" s="7" t="n">
        <v>46285.38194444445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112.5</v>
      </c>
    </row>
    <row r="95">
      <c r="A95" s="7" t="n">
        <v>46285.29994834491</v>
      </c>
      <c r="B95" s="7" t="n">
        <v>46285.29513888889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128.1</v>
      </c>
    </row>
    <row r="96">
      <c r="A96" s="7" t="n">
        <v>46285.19964518519</v>
      </c>
      <c r="B96" s="7" t="n">
        <v>46285.19444444445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110.6</v>
      </c>
    </row>
    <row r="97">
      <c r="A97" s="7" t="n">
        <v>46285.08704527777</v>
      </c>
      <c r="B97" s="7" t="n">
        <v>46285.08333333334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95.09999999999999</v>
      </c>
    </row>
    <row r="98">
      <c r="A98" s="7" t="n">
        <v>46284.93748335648</v>
      </c>
      <c r="B98" s="7" t="n">
        <v>46284.93055555555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128.7</v>
      </c>
    </row>
    <row r="99">
      <c r="A99" s="7" t="n">
        <v>46284.79727659722</v>
      </c>
      <c r="B99" s="7" t="n">
        <v>46284.79166666666</v>
      </c>
      <c r="C99" s="2" t="n">
        <v>440</v>
      </c>
      <c r="D99" s="2" t="n">
        <v>0</v>
      </c>
      <c r="E99" s="2" t="n">
        <v>1</v>
      </c>
      <c r="F99" s="2" t="n">
        <v>0</v>
      </c>
      <c r="G99" s="2" t="n">
        <v>109.7</v>
      </c>
    </row>
    <row r="100">
      <c r="A100" s="7" t="n">
        <v>46284.58365538195</v>
      </c>
      <c r="B100" s="7" t="n">
        <v>46284.57986111111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101.8</v>
      </c>
    </row>
    <row r="101">
      <c r="A101" s="7" t="n">
        <v>46284.38530752315</v>
      </c>
      <c r="B101" s="7" t="n">
        <v>46284.37847222222</v>
      </c>
      <c r="C101" s="2" t="n">
        <v>440</v>
      </c>
      <c r="D101" s="2" t="n">
        <v>1</v>
      </c>
      <c r="E101" s="2" t="n">
        <v>0</v>
      </c>
      <c r="F101" s="2" t="n">
        <v>0</v>
      </c>
      <c r="G101" s="2" t="n">
        <v>130.8</v>
      </c>
    </row>
    <row r="102">
      <c r="A102" s="7" t="n">
        <v>46284.27664920139</v>
      </c>
      <c r="B102" s="7" t="n">
        <v>46284.27083333334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127.8</v>
      </c>
    </row>
    <row r="103">
      <c r="A103" s="7" t="n">
        <v>46284.15392047453</v>
      </c>
      <c r="B103" s="7" t="n">
        <v>46284.14930555555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135.6</v>
      </c>
    </row>
    <row r="104">
      <c r="A104" s="7" t="n">
        <v>46284.02123533565</v>
      </c>
      <c r="B104" s="7" t="n">
        <v>46284.01736111111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102.8</v>
      </c>
    </row>
    <row r="105">
      <c r="A105" s="7" t="n">
        <v>46283.99753837963</v>
      </c>
      <c r="B105" s="7" t="n">
        <v>46283.99305555555</v>
      </c>
      <c r="C105" s="2" t="n">
        <v>440</v>
      </c>
      <c r="D105" s="2" t="n">
        <v>0</v>
      </c>
      <c r="E105" s="2" t="n">
        <v>2</v>
      </c>
      <c r="F105" s="2" t="n">
        <v>0</v>
      </c>
      <c r="G105" s="2" t="n">
        <v>129.8</v>
      </c>
    </row>
    <row r="106">
      <c r="A106" s="7" t="n">
        <v>46283.80859936342</v>
      </c>
      <c r="B106" s="7" t="n">
        <v>46283.80208333334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127.7</v>
      </c>
    </row>
    <row r="107">
      <c r="A107" s="7" t="n">
        <v>46283.78916202546</v>
      </c>
      <c r="B107" s="7" t="n">
        <v>46283.78472222222</v>
      </c>
      <c r="C107" s="2" t="n">
        <v>440</v>
      </c>
      <c r="D107" s="2" t="n">
        <v>2</v>
      </c>
      <c r="E107" s="2" t="n">
        <v>0</v>
      </c>
      <c r="F107" s="2" t="n">
        <v>0</v>
      </c>
      <c r="G107" s="2" t="n">
        <v>119.1</v>
      </c>
    </row>
    <row r="108">
      <c r="A108" s="7" t="n">
        <v>46283.58323265046</v>
      </c>
      <c r="B108" s="7" t="n">
        <v>46283.57638888889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46283.57323743056</v>
      </c>
      <c r="B109" s="7" t="n">
        <v>46283.56944444445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94.3</v>
      </c>
    </row>
    <row r="110">
      <c r="A110" s="7" t="n">
        <v>46283.45181144676</v>
      </c>
      <c r="B110" s="7" t="n">
        <v>46283.44791666666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46283.44134394676</v>
      </c>
      <c r="B111" s="7" t="n">
        <v>46283.4375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373.5</v>
      </c>
    </row>
    <row r="112">
      <c r="A112" s="7" t="n">
        <v>46283.35273409722</v>
      </c>
      <c r="B112" s="7" t="n">
        <v>46283.34722222222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46283.26014016203</v>
      </c>
      <c r="B113" s="7" t="n">
        <v>46283.25347222222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129.5</v>
      </c>
    </row>
    <row r="114">
      <c r="A114" s="7" t="n">
        <v>46283.09637409722</v>
      </c>
      <c r="B114" s="7" t="n">
        <v>46283.09027777778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131.2</v>
      </c>
    </row>
    <row r="115">
      <c r="A115" s="7" t="n">
        <v>46282.89824439815</v>
      </c>
      <c r="B115" s="7" t="n">
        <v>46282.89236111111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137</v>
      </c>
    </row>
    <row r="116">
      <c r="A116" s="7" t="n">
        <v>46282.65711792824</v>
      </c>
      <c r="B116" s="7" t="n">
        <v>46282.65277777778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126.6</v>
      </c>
    </row>
    <row r="117">
      <c r="A117" s="7" t="n">
        <v>46282.40350203704</v>
      </c>
      <c r="B117" s="7" t="n">
        <v>46282.39930555555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323.7</v>
      </c>
    </row>
    <row r="118">
      <c r="A118" s="7" t="n">
        <v>46282.39577758102</v>
      </c>
      <c r="B118" s="7" t="n">
        <v>46282.33333333334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50.5</v>
      </c>
    </row>
    <row r="119">
      <c r="A119" s="7" t="n">
        <v>46282.29222982639</v>
      </c>
      <c r="B119" s="7" t="n">
        <v>46282.25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66.2</v>
      </c>
    </row>
    <row r="120">
      <c r="A120" s="7" t="n">
        <v>46282.17576607639</v>
      </c>
      <c r="B120" s="7" t="n">
        <v>46282.125</v>
      </c>
      <c r="C120" s="2" t="n">
        <v>440</v>
      </c>
      <c r="D120" s="2" t="n">
        <v>0</v>
      </c>
      <c r="E120" s="2" t="n">
        <v>1</v>
      </c>
      <c r="F120" s="2" t="n">
        <v>0</v>
      </c>
      <c r="G120" s="2" t="n">
        <v>67</v>
      </c>
    </row>
    <row r="121">
      <c r="A121" s="7" t="n">
        <v>46282.04552453704</v>
      </c>
      <c r="B121" s="7" t="n">
        <v>46282</v>
      </c>
      <c r="C121" s="2" t="n">
        <v>440</v>
      </c>
      <c r="D121" s="2" t="n">
        <v>2</v>
      </c>
      <c r="E121" s="2" t="n">
        <v>1</v>
      </c>
      <c r="F121" s="2" t="n">
        <v>0</v>
      </c>
      <c r="G121" s="2" t="n">
        <v>52.9</v>
      </c>
    </row>
    <row r="122">
      <c r="A122" s="7" t="n">
        <v>46281.82298537037</v>
      </c>
      <c r="B122" s="7" t="n">
        <v>46281.75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65.7</v>
      </c>
    </row>
    <row r="123">
      <c r="A123" s="7" t="n">
        <v>46281.58829054398</v>
      </c>
      <c r="B123" s="7" t="n">
        <v>46281.54166666666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54.5</v>
      </c>
    </row>
    <row r="124">
      <c r="A124" s="7" t="n">
        <v>46281.35205523148</v>
      </c>
      <c r="B124" s="7" t="n">
        <v>46281.29166666666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46281.22963460648</v>
      </c>
      <c r="B125" s="7" t="n">
        <v>46281.16666666666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61.9</v>
      </c>
    </row>
    <row r="126">
      <c r="A126" s="7" t="n">
        <v>46281.094529375</v>
      </c>
      <c r="B126" s="7" t="n">
        <v>46281.04166666666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46.5</v>
      </c>
    </row>
    <row r="127">
      <c r="A127" s="7" t="n">
        <v>46280.9017994676</v>
      </c>
      <c r="B127" s="7" t="n">
        <v>46280.83333333334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56.7</v>
      </c>
    </row>
    <row r="128">
      <c r="A128" s="7" t="n">
        <v>46280.66002480324</v>
      </c>
      <c r="B128" s="7" t="n">
        <v>46280.58333333334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67.40000000000001</v>
      </c>
    </row>
    <row r="129">
      <c r="A129" s="7" t="n">
        <v>46280.4778358449</v>
      </c>
      <c r="B129" s="7" t="n">
        <v>46280.41666666666</v>
      </c>
      <c r="C129" s="2" t="n">
        <v>442</v>
      </c>
      <c r="D129" s="2" t="n">
        <v>11</v>
      </c>
      <c r="E129" s="2" t="n">
        <v>11</v>
      </c>
      <c r="F129" s="2" t="n">
        <v>0</v>
      </c>
      <c r="G129" s="2" t="n">
        <v>61.2</v>
      </c>
    </row>
    <row r="130">
      <c r="A130" s="7" t="n">
        <v>46280.39795681713</v>
      </c>
      <c r="B130" s="7" t="n">
        <v>46280.33333333334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46280.29983445602</v>
      </c>
      <c r="B131" s="7" t="n">
        <v>46280.25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51.6</v>
      </c>
    </row>
    <row r="132">
      <c r="A132" s="7" t="n">
        <v>46280.14350143519</v>
      </c>
      <c r="B132" s="7" t="n">
        <v>46280.08333333334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57.3</v>
      </c>
    </row>
    <row r="133">
      <c r="A133" s="7" t="n">
        <v>46279.92418226852</v>
      </c>
      <c r="B133" s="7" t="n">
        <v>46279.875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48.1</v>
      </c>
    </row>
    <row r="134">
      <c r="A134" s="7" t="n">
        <v>46279.59996445602</v>
      </c>
      <c r="B134" s="7" t="n">
        <v>46279.54166666666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</v>
      </c>
    </row>
    <row r="135">
      <c r="A135" s="7" t="n">
        <v>46279.38316741898</v>
      </c>
      <c r="B135" s="7" t="n">
        <v>46279.33333333334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59.9</v>
      </c>
    </row>
    <row r="136">
      <c r="A136" s="7" t="n">
        <v>46279.26932584491</v>
      </c>
      <c r="B136" s="7" t="n">
        <v>46279.20833333334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61.1</v>
      </c>
    </row>
    <row r="137">
      <c r="A137" s="7" t="n">
        <v>46279.14665413195</v>
      </c>
      <c r="B137" s="7" t="n">
        <v>46279.08333333334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55.1</v>
      </c>
    </row>
    <row r="138">
      <c r="A138" s="7" t="n">
        <v>46279.01733591435</v>
      </c>
      <c r="B138" s="7" t="n">
        <v>46278.95833333334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59.7</v>
      </c>
    </row>
    <row r="139">
      <c r="A139" s="7" t="n">
        <v>46278.83725055555</v>
      </c>
      <c r="B139" s="7" t="n">
        <v>46278.79166666666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65.40000000000001</v>
      </c>
    </row>
    <row r="140">
      <c r="A140" s="7" t="n">
        <v>46278.71111972223</v>
      </c>
      <c r="B140" s="7" t="n">
        <v>46278.66666666666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46278.68053923611</v>
      </c>
      <c r="B141" s="7" t="n">
        <v>46278.625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46278.07354997685</v>
      </c>
      <c r="B142" s="7" t="n">
        <v>46278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50.2</v>
      </c>
    </row>
    <row r="143">
      <c r="A143" s="7" t="n">
        <v>46277.94390239583</v>
      </c>
      <c r="B143" s="7" t="n">
        <v>46277.875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COUNTIFS(資金明細!$C$2:$C$59,"進場",資金明細!$N$2:$N$59,"已下單")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COUNTIFS(資金明細!$C$2:$C$59,"進場",資金明細!$N$2:$N$59,"資金不足略過")</f>
        <v/>
      </c>
    </row>
    <row r="11">
      <c r="D11" s="2" t="inlineStr">
        <is>
          <t>止盈筆數</t>
        </is>
      </c>
      <c r="E11" s="15">
        <f>COUNTIFS(資金明細!$C$2:$C$59,"出場",資金明細!$N$2:$N$59,"已下單",資金明細!$K$2:$K$59,"止盈")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COUNTIFS(資金明細!$C$2:$C$59,"出場",資金明細!$N$2:$N$59,"已下單",資金明細!$K$2:$K$59,"止損")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IFERROR(E11/COUNTIFS(資金明細!$C$2:$C$59,"出場",資金明細!$N$2:$N$59,"已下單"),0)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MAX(資金明細!$S$2:$S$59)</f>
        <v/>
      </c>
    </row>
    <row r="16">
      <c r="D16" s="2" t="inlineStr">
        <is>
          <t>期末下單金額</t>
        </is>
      </c>
      <c r="E16" s="16">
        <f>B5*資金明細!V59</f>
        <v/>
      </c>
    </row>
    <row r="17">
      <c r="D17" s="2" t="inlineStr">
        <is>
          <t>未平倉浮動損益（未計入）</t>
        </is>
      </c>
      <c r="E17" s="10">
        <f>IF(資金明細!N59="已下單",資金明細!O59*交易明細!L30,0)</f>
        <v/>
      </c>
    </row>
    <row r="18">
      <c r="D18" s="2" t="inlineStr">
        <is>
          <t>最大總曝險倍數</t>
        </is>
      </c>
      <c r="E18" s="16">
        <f>MAX(資金明細!$Y$2:$Y$59)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IFERROR(INDEX(資金明細!$B$2:$B$59,MATCH(1,資金明細!$Z$2:$Z$59,0)),"未觸發")</f>
        <v/>
      </c>
    </row>
    <row r="21">
      <c r="D21" s="2" t="inlineStr">
        <is>
          <t>停止後略過筆數</t>
        </is>
      </c>
      <c r="E21" s="15">
        <f>COUNTIFS(資金明細!$C$2:$C$59,"進場",資金明細!$N$2:$N$59,"已停止")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inlineStr">
        <is>
          <t>未平倉</t>
        </is>
      </c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</sheetData>
  <autoFilter ref="A1:Z59"/>
  <conditionalFormatting sqref="K2:K5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07:20（Dry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46294.29166666666</v>
      </c>
      <c r="I30" s="17" t="n">
        <v>0.12288</v>
      </c>
      <c r="J30" s="2" t="inlineStr">
        <is>
          <t>未平倉</t>
        </is>
      </c>
      <c r="K30" s="5">
        <f>(H30-D30)*24</f>
        <v/>
      </c>
      <c r="L30" s="4">
        <f>IF(C30="做多",I30/E30-1,1-I30/E30)-2*參數!$B$7</f>
        <v/>
      </c>
      <c r="M30" s="2" t="inlineStr">
        <is>
          <t>持倉中（以最新收盤估值）</t>
        </is>
      </c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0.02924505052164628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2026-09-28T23:23:30Z</dcterms:created>
  <dcterms:modified xsi:type="dcterms:W3CDTF">2026-09-28T23:23:30Z</dcterms:modified>
</cp:coreProperties>
</file>