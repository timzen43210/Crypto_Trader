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'資金明細'!$A$1:$Z$48</definedName>
    <definedName name="_xlnm._FilterDatabase" localSheetId="5" hidden="1">'交易明細'!$A$1:$AP$24</definedName>
    <definedName name="_xlnm._FilterDatabase" localSheetId="6" hidden="1">'幣種統計'!$A$1:$L$17</definedName>
    <definedName name="_xlnm._FilterDatabase" localSheetId="7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'資金明細'!$R$2:$R$48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2026-09-24 12:59（Dry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COUNTIFS(交易明細!$B$2:$B$24,"&lt;&gt;")</f>
        <v/>
      </c>
      <c r="C5" s="2">
        <f>D5+E5+F5</f>
        <v/>
      </c>
      <c r="D5" s="2">
        <f>COUNTIFS(交易明細!$J$2:$J$24,"止盈")</f>
        <v/>
      </c>
      <c r="E5" s="2">
        <f>COUNTIFS(交易明細!$J$2:$J$24,"止損")</f>
        <v/>
      </c>
      <c r="F5" s="2">
        <f>COUNTIFS(交易明細!$J$2:$J$24,"時間出場")</f>
        <v/>
      </c>
      <c r="G5" s="2">
        <f>COUNTIFS(交易明細!$J$2:$J$24,"未平倉")</f>
        <v/>
      </c>
      <c r="H5" s="4">
        <f>IFERROR(D5/C5,0)</f>
        <v/>
      </c>
      <c r="I5" s="4">
        <f>IFERROR(AVERAGEIFS(交易明細!$AC$2:$AC$24,交易明細!$J$2:$J$24,"&lt;&gt;未平倉"),參數!$B$16)</f>
        <v/>
      </c>
      <c r="J5" s="4">
        <f>IFERROR(AVERAGEIFS(交易明細!$L$2:$L$24,交易明細!$J$2:$J$24,"&lt;&gt;未平倉"),0)</f>
        <v/>
      </c>
      <c r="K5" s="4">
        <f>SUMIFS(交易明細!$L$2:$L$24,交易明細!$J$2:$J$24,"&lt;&gt;未平倉")</f>
        <v/>
      </c>
      <c r="L5" s="5">
        <f>IFERROR(AVERAGEIFS(交易明細!$K$2:$K$24,交易明細!$J$2:$J$24,"&lt;&gt;未平倉"),0)</f>
        <v/>
      </c>
      <c r="M5" s="5">
        <f>IFERROR(AVERAGEIFS(交易明細!$K$2:$K$24,交易明細!$J$2:$J$24,"止盈"),0)</f>
        <v/>
      </c>
      <c r="N5" s="5">
        <f>IFERROR(AVERAGEIFS(交易明細!$K$2:$K$24,交易明細!$J$2:$J$24,"止損"),0)</f>
        <v/>
      </c>
      <c r="O5" s="4">
        <f>IFERROR(AVERAGEIFS(交易明細!$L$2:$L$24,交易明細!$J$2:$J$24,"時間出場"),0)</f>
        <v/>
      </c>
      <c r="P5" s="4">
        <f>IFERROR(COUNTIFS(交易明細!$J$2:$J$24,"&lt;&gt;未平倉",交易明細!$L$2:$L$24,"&gt;0")/C5,0)</f>
        <v/>
      </c>
    </row>
    <row r="6">
      <c r="A6" s="2" t="inlineStr">
        <is>
          <t>做多</t>
        </is>
      </c>
      <c r="B6" s="2">
        <f>COUNTIFS(交易明細!$C$2:$C$24,"做多",交易明細!$B$2:$B$24,"&lt;&gt;")</f>
        <v/>
      </c>
      <c r="C6" s="2">
        <f>D6+E6+F6</f>
        <v/>
      </c>
      <c r="D6" s="2">
        <f>COUNTIFS(交易明細!$C$2:$C$24,"做多",交易明細!$J$2:$J$24,"止盈")</f>
        <v/>
      </c>
      <c r="E6" s="2">
        <f>COUNTIFS(交易明細!$C$2:$C$24,"做多",交易明細!$J$2:$J$24,"止損")</f>
        <v/>
      </c>
      <c r="F6" s="2">
        <f>COUNTIFS(交易明細!$C$2:$C$24,"做多",交易明細!$J$2:$J$24,"時間出場")</f>
        <v/>
      </c>
      <c r="G6" s="2">
        <f>COUNTIFS(交易明細!$C$2:$C$24,"做多",交易明細!$J$2:$J$24,"未平倉")</f>
        <v/>
      </c>
      <c r="H6" s="4">
        <f>IFERROR(D6/C6,0)</f>
        <v/>
      </c>
      <c r="I6" s="4">
        <f>IFERROR(AVERAGEIFS(交易明細!$AC$2:$AC$24,交易明細!$C$2:$C$24,"做多",交易明細!$J$2:$J$24,"&lt;&gt;未平倉"),參數!$B$16)</f>
        <v/>
      </c>
      <c r="J6" s="4">
        <f>IFERROR(AVERAGEIFS(交易明細!$L$2:$L$24,交易明細!$C$2:$C$24,"做多",交易明細!$J$2:$J$24,"&lt;&gt;未平倉"),0)</f>
        <v/>
      </c>
      <c r="K6" s="4">
        <f>SUMIFS(交易明細!$L$2:$L$24,交易明細!$C$2:$C$24,"做多",交易明細!$J$2:$J$24,"&lt;&gt;未平倉")</f>
        <v/>
      </c>
      <c r="L6" s="5">
        <f>IFERROR(AVERAGEIFS(交易明細!$K$2:$K$24,交易明細!$C$2:$C$24,"做多",交易明細!$J$2:$J$24,"&lt;&gt;未平倉"),0)</f>
        <v/>
      </c>
      <c r="M6" s="5">
        <f>IFERROR(AVERAGEIFS(交易明細!$K$2:$K$24,交易明細!$C$2:$C$24,"做多",交易明細!$J$2:$J$24,"止盈"),0)</f>
        <v/>
      </c>
      <c r="N6" s="5">
        <f>IFERROR(AVERAGEIFS(交易明細!$K$2:$K$24,交易明細!$C$2:$C$24,"做多",交易明細!$J$2:$J$24,"止損"),0)</f>
        <v/>
      </c>
      <c r="O6" s="4">
        <f>IFERROR(AVERAGEIFS(交易明細!$L$2:$L$24,交易明細!$C$2:$C$24,"做多",交易明細!$J$2:$J$24,"時間出場"),0)</f>
        <v/>
      </c>
      <c r="P6" s="4">
        <f>IFERROR(COUNTIFS(交易明細!$C$2:$C$24,"做多",交易明細!$J$2:$J$24,"&lt;&gt;未平倉",交易明細!$L$2:$L$24,"&gt;0")/C6,0)</f>
        <v/>
      </c>
    </row>
    <row r="7">
      <c r="A7" s="2" t="inlineStr">
        <is>
          <t>做空</t>
        </is>
      </c>
      <c r="B7" s="2">
        <f>COUNTIFS(交易明細!$C$2:$C$24,"做空",交易明細!$B$2:$B$24,"&lt;&gt;")</f>
        <v/>
      </c>
      <c r="C7" s="2">
        <f>D7+E7+F7</f>
        <v/>
      </c>
      <c r="D7" s="2">
        <f>COUNTIFS(交易明細!$C$2:$C$24,"做空",交易明細!$J$2:$J$24,"止盈")</f>
        <v/>
      </c>
      <c r="E7" s="2">
        <f>COUNTIFS(交易明細!$C$2:$C$24,"做空",交易明細!$J$2:$J$24,"止損")</f>
        <v/>
      </c>
      <c r="F7" s="2">
        <f>COUNTIFS(交易明細!$C$2:$C$24,"做空",交易明細!$J$2:$J$24,"時間出場")</f>
        <v/>
      </c>
      <c r="G7" s="2">
        <f>COUNTIFS(交易明細!$C$2:$C$24,"做空",交易明細!$J$2:$J$24,"未平倉")</f>
        <v/>
      </c>
      <c r="H7" s="4">
        <f>IFERROR(D7/C7,0)</f>
        <v/>
      </c>
      <c r="I7" s="4">
        <f>IFERROR(AVERAGEIFS(交易明細!$AC$2:$AC$24,交易明細!$C$2:$C$24,"做空",交易明細!$J$2:$J$24,"&lt;&gt;未平倉"),參數!$B$16)</f>
        <v/>
      </c>
      <c r="J7" s="4">
        <f>IFERROR(AVERAGEIFS(交易明細!$L$2:$L$24,交易明細!$C$2:$C$24,"做空",交易明細!$J$2:$J$24,"&lt;&gt;未平倉"),0)</f>
        <v/>
      </c>
      <c r="K7" s="4">
        <f>SUMIFS(交易明細!$L$2:$L$24,交易明細!$C$2:$C$24,"做空",交易明細!$J$2:$J$24,"&lt;&gt;未平倉")</f>
        <v/>
      </c>
      <c r="L7" s="5">
        <f>IFERROR(AVERAGEIFS(交易明細!$K$2:$K$24,交易明細!$C$2:$C$24,"做空",交易明細!$J$2:$J$24,"&lt;&gt;未平倉"),0)</f>
        <v/>
      </c>
      <c r="M7" s="5">
        <f>IFERROR(AVERAGEIFS(交易明細!$K$2:$K$24,交易明細!$C$2:$C$24,"做空",交易明細!$J$2:$J$24,"止盈"),0)</f>
        <v/>
      </c>
      <c r="N7" s="5">
        <f>IFERROR(AVERAGEIFS(交易明細!$K$2:$K$24,交易明細!$C$2:$C$24,"做空",交易明細!$J$2:$J$24,"止損"),0)</f>
        <v/>
      </c>
      <c r="O7" s="4">
        <f>IFERROR(AVERAGEIFS(交易明細!$L$2:$L$24,交易明細!$C$2:$C$24,"做空",交易明細!$J$2:$J$24,"時間出場"),0)</f>
        <v/>
      </c>
      <c r="P7" s="4">
        <f>IFERROR(COUNTIFS(交易明細!$C$2:$C$24,"做空",交易明細!$J$2:$J$24,"&lt;&gt;未平倉",交易明細!$L$2:$L$24,"&gt;0")/C7,0)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46289.54138961805</v>
      </c>
      <c r="B2" s="7" t="n">
        <v>46289.53472222222</v>
      </c>
      <c r="C2" s="2" t="n">
        <v>433</v>
      </c>
      <c r="D2" s="2" t="n">
        <v>0</v>
      </c>
      <c r="E2" s="2" t="n">
        <v>0</v>
      </c>
      <c r="F2" s="2" t="n">
        <v>1</v>
      </c>
      <c r="G2" s="2" t="n">
        <v>125.8</v>
      </c>
    </row>
    <row r="3">
      <c r="A3" s="7" t="n">
        <v>46289.32358565972</v>
      </c>
      <c r="B3" s="7" t="n">
        <v>46289.31944444445</v>
      </c>
      <c r="C3" s="2" t="n">
        <v>433</v>
      </c>
      <c r="D3" s="2" t="n">
        <v>0</v>
      </c>
      <c r="E3" s="2" t="n">
        <v>0</v>
      </c>
      <c r="F3" s="2" t="n">
        <v>1</v>
      </c>
      <c r="G3" s="2" t="n">
        <v>130.2</v>
      </c>
    </row>
    <row r="4">
      <c r="A4" s="7" t="n">
        <v>46289.18599210648</v>
      </c>
      <c r="B4" s="7" t="n">
        <v>46289.18055555555</v>
      </c>
      <c r="C4" s="2" t="n">
        <v>433</v>
      </c>
      <c r="D4" s="2" t="n">
        <v>0</v>
      </c>
      <c r="E4" s="2" t="n">
        <v>0</v>
      </c>
      <c r="F4" s="2" t="n">
        <v>1</v>
      </c>
      <c r="G4" s="2" t="n">
        <v>129.3</v>
      </c>
    </row>
    <row r="5">
      <c r="A5" s="7" t="n">
        <v>46289.04908521991</v>
      </c>
      <c r="B5" s="7" t="n">
        <v>46289.04513888889</v>
      </c>
      <c r="C5" s="2" t="n">
        <v>433</v>
      </c>
      <c r="D5" s="2" t="n">
        <v>0</v>
      </c>
      <c r="E5" s="2" t="n">
        <v>0</v>
      </c>
      <c r="F5" s="2" t="n">
        <v>1</v>
      </c>
      <c r="G5" s="2" t="n">
        <v>96.90000000000001</v>
      </c>
    </row>
    <row r="6">
      <c r="A6" s="7" t="n">
        <v>46289.00944646991</v>
      </c>
      <c r="B6" s="7" t="n">
        <v>46289.00347222222</v>
      </c>
      <c r="C6" s="2" t="n">
        <v>433</v>
      </c>
      <c r="D6" s="2" t="n">
        <v>1</v>
      </c>
      <c r="E6" s="2" t="n">
        <v>2</v>
      </c>
      <c r="F6" s="2" t="n">
        <v>1</v>
      </c>
      <c r="G6" s="2" t="n">
        <v>127</v>
      </c>
    </row>
    <row r="7">
      <c r="A7" s="7" t="n">
        <v>46288.82408041666</v>
      </c>
      <c r="B7" s="7" t="n">
        <v>46288.81944444445</v>
      </c>
      <c r="C7" s="2" t="n">
        <v>433</v>
      </c>
      <c r="D7" s="2" t="n">
        <v>0</v>
      </c>
      <c r="E7" s="2" t="n">
        <v>0</v>
      </c>
      <c r="F7" s="2" t="n">
        <v>2</v>
      </c>
      <c r="G7" s="2" t="n">
        <v>118.2</v>
      </c>
    </row>
    <row r="8">
      <c r="A8" s="7" t="n">
        <v>46288.75275025463</v>
      </c>
      <c r="B8" s="7" t="n">
        <v>46288.74652777778</v>
      </c>
      <c r="C8" s="2" t="n">
        <v>433</v>
      </c>
      <c r="D8" s="2" t="n">
        <v>0</v>
      </c>
      <c r="E8" s="2" t="n">
        <v>0</v>
      </c>
      <c r="F8" s="2" t="n">
        <v>2</v>
      </c>
      <c r="G8" s="2" t="n">
        <v>125.5</v>
      </c>
    </row>
    <row r="9">
      <c r="A9" s="7" t="n">
        <v>46288.58577883102</v>
      </c>
      <c r="B9" s="7" t="n">
        <v>46288.57986111111</v>
      </c>
      <c r="C9" s="2" t="n">
        <v>433</v>
      </c>
      <c r="D9" s="2" t="n">
        <v>0</v>
      </c>
      <c r="E9" s="2" t="n">
        <v>0</v>
      </c>
      <c r="F9" s="2" t="n">
        <v>2</v>
      </c>
      <c r="G9" s="2" t="n">
        <v>112.8</v>
      </c>
    </row>
    <row r="10">
      <c r="A10" s="7" t="n">
        <v>46288.57218969907</v>
      </c>
      <c r="B10" s="7" t="n">
        <v>46288.56597222222</v>
      </c>
      <c r="C10" s="2" t="n">
        <v>433</v>
      </c>
      <c r="D10" s="2" t="n">
        <v>1</v>
      </c>
      <c r="E10" s="2" t="n">
        <v>3</v>
      </c>
      <c r="F10" s="2" t="n">
        <v>2</v>
      </c>
      <c r="G10" s="2" t="n">
        <v>99.7</v>
      </c>
    </row>
    <row r="11">
      <c r="A11" s="7" t="n">
        <v>46288.36332482639</v>
      </c>
      <c r="B11" s="7" t="n">
        <v>46288.35763888889</v>
      </c>
      <c r="C11" s="2" t="n">
        <v>441</v>
      </c>
      <c r="D11" s="2" t="n">
        <v>1</v>
      </c>
      <c r="E11" s="2" t="n">
        <v>0</v>
      </c>
      <c r="F11" s="2" t="n">
        <v>2</v>
      </c>
      <c r="G11" s="2" t="n">
        <v>94.40000000000001</v>
      </c>
    </row>
    <row r="12">
      <c r="A12" s="7" t="n">
        <v>46288.26120461806</v>
      </c>
      <c r="B12" s="7" t="n">
        <v>46288.25694444445</v>
      </c>
      <c r="C12" s="2" t="n">
        <v>441</v>
      </c>
      <c r="D12" s="2" t="n">
        <v>2</v>
      </c>
      <c r="E12" s="2" t="n">
        <v>0</v>
      </c>
      <c r="F12" s="2" t="n">
        <v>2</v>
      </c>
      <c r="G12" s="2" t="n">
        <v>103.1</v>
      </c>
    </row>
    <row r="13">
      <c r="A13" s="7" t="n">
        <v>46288.12397528935</v>
      </c>
      <c r="B13" s="7" t="n">
        <v>46288.11805555555</v>
      </c>
      <c r="C13" s="2" t="n">
        <v>441</v>
      </c>
      <c r="D13" s="2" t="n">
        <v>0</v>
      </c>
      <c r="E13" s="2" t="n">
        <v>0</v>
      </c>
      <c r="F13" s="2" t="n">
        <v>2</v>
      </c>
      <c r="G13" s="2" t="n">
        <v>114.4</v>
      </c>
    </row>
    <row r="14">
      <c r="A14" s="7" t="n">
        <v>46287.95840076389</v>
      </c>
      <c r="B14" s="7" t="n">
        <v>46287.95486111111</v>
      </c>
      <c r="C14" s="2" t="n">
        <v>441</v>
      </c>
      <c r="D14" s="2" t="n">
        <v>0</v>
      </c>
      <c r="E14" s="2" t="n">
        <v>0</v>
      </c>
      <c r="F14" s="2" t="n">
        <v>2</v>
      </c>
      <c r="G14" s="2" t="n">
        <v>135.1</v>
      </c>
    </row>
    <row r="15">
      <c r="A15" s="7" t="n">
        <v>46287.75277884259</v>
      </c>
      <c r="B15" s="7" t="n">
        <v>46287.74652777778</v>
      </c>
      <c r="C15" s="2" t="n">
        <v>440</v>
      </c>
      <c r="D15" s="2" t="n">
        <v>0</v>
      </c>
      <c r="E15" s="2" t="n">
        <v>0</v>
      </c>
      <c r="F15" s="2" t="n">
        <v>0</v>
      </c>
      <c r="G15" s="2" t="n">
        <v>130.3</v>
      </c>
    </row>
    <row r="16">
      <c r="A16" s="7" t="n">
        <v>46287.6758560301</v>
      </c>
      <c r="B16" s="7" t="n">
        <v>46287.67013888889</v>
      </c>
      <c r="C16" s="2" t="n">
        <v>440</v>
      </c>
      <c r="D16" s="2" t="n">
        <v>0</v>
      </c>
      <c r="E16" s="2" t="n">
        <v>0</v>
      </c>
      <c r="F16" s="2" t="n">
        <v>0</v>
      </c>
      <c r="G16" s="2" t="n">
        <v>91.7</v>
      </c>
    </row>
    <row r="17">
      <c r="A17" s="7" t="n">
        <v>46287.54602564815</v>
      </c>
      <c r="B17" s="7" t="n">
        <v>46287.54166666666</v>
      </c>
      <c r="C17" s="2" t="n">
        <v>440</v>
      </c>
      <c r="D17" s="2" t="n">
        <v>0</v>
      </c>
      <c r="E17" s="2" t="n">
        <v>0</v>
      </c>
      <c r="F17" s="2" t="n">
        <v>0</v>
      </c>
      <c r="G17" s="2" t="n">
        <v>125.4</v>
      </c>
    </row>
    <row r="18">
      <c r="A18" s="7" t="n">
        <v>46287.51247143518</v>
      </c>
      <c r="B18" s="7" t="n">
        <v>46287.50694444445</v>
      </c>
      <c r="C18" s="2" t="n">
        <v>440</v>
      </c>
      <c r="D18" s="2" t="n">
        <v>0</v>
      </c>
      <c r="E18" s="2" t="n">
        <v>0</v>
      </c>
      <c r="F18" s="2" t="n">
        <v>0</v>
      </c>
      <c r="G18" s="2" t="n">
        <v>102.8</v>
      </c>
    </row>
    <row r="19">
      <c r="A19" s="7" t="n">
        <v>46287.30635083334</v>
      </c>
      <c r="B19" s="7" t="n">
        <v>46287.30208333334</v>
      </c>
      <c r="C19" s="2" t="n">
        <v>440</v>
      </c>
      <c r="D19" s="2" t="n">
        <v>0</v>
      </c>
      <c r="E19" s="2" t="n">
        <v>0</v>
      </c>
      <c r="F19" s="2" t="n">
        <v>0</v>
      </c>
      <c r="G19" s="2" t="n">
        <v>135.9</v>
      </c>
    </row>
    <row r="20">
      <c r="A20" s="7" t="n">
        <v>46287.14961865741</v>
      </c>
      <c r="B20" s="7" t="n">
        <v>46287.14583333334</v>
      </c>
      <c r="C20" s="2" t="n">
        <v>440</v>
      </c>
      <c r="D20" s="2" t="n">
        <v>0</v>
      </c>
      <c r="E20" s="2" t="n">
        <v>0</v>
      </c>
      <c r="F20" s="2" t="n">
        <v>0</v>
      </c>
      <c r="G20" s="2" t="n">
        <v>130.5</v>
      </c>
    </row>
    <row r="21">
      <c r="A21" s="7" t="n">
        <v>46286.92852005787</v>
      </c>
      <c r="B21" s="7" t="n">
        <v>46286.92361111111</v>
      </c>
      <c r="C21" s="2" t="n">
        <v>440</v>
      </c>
      <c r="D21" s="2" t="n">
        <v>0</v>
      </c>
      <c r="E21" s="2" t="n">
        <v>0</v>
      </c>
      <c r="F21" s="2" t="n">
        <v>0</v>
      </c>
      <c r="G21" s="2" t="n">
        <v>112.2</v>
      </c>
    </row>
    <row r="22">
      <c r="A22" s="7" t="n">
        <v>46286.83222814815</v>
      </c>
      <c r="B22" s="7" t="n">
        <v>46286.82638888889</v>
      </c>
      <c r="C22" s="2" t="n">
        <v>440</v>
      </c>
      <c r="D22" s="2" t="n">
        <v>0</v>
      </c>
      <c r="E22" s="2" t="n">
        <v>0</v>
      </c>
      <c r="F22" s="2" t="n">
        <v>0</v>
      </c>
      <c r="G22" s="2" t="n">
        <v>126.4</v>
      </c>
    </row>
    <row r="23">
      <c r="A23" s="7" t="n">
        <v>46286.60261268519</v>
      </c>
      <c r="B23" s="7" t="n">
        <v>46286.59722222222</v>
      </c>
      <c r="C23" s="2" t="n">
        <v>440</v>
      </c>
      <c r="D23" s="2" t="n">
        <v>0</v>
      </c>
      <c r="E23" s="2" t="n">
        <v>0</v>
      </c>
      <c r="F23" s="2" t="n">
        <v>0</v>
      </c>
      <c r="G23" s="2" t="n">
        <v>111.5</v>
      </c>
    </row>
    <row r="24">
      <c r="A24" s="7" t="n">
        <v>46286.38294268519</v>
      </c>
      <c r="B24" s="7" t="n">
        <v>46286.37847222222</v>
      </c>
      <c r="C24" s="2" t="n">
        <v>440</v>
      </c>
      <c r="D24" s="2" t="n">
        <v>1</v>
      </c>
      <c r="E24" s="2" t="n">
        <v>1</v>
      </c>
      <c r="F24" s="2" t="n">
        <v>0</v>
      </c>
      <c r="G24" s="2" t="n">
        <v>102.4</v>
      </c>
    </row>
    <row r="25">
      <c r="A25" s="7" t="n">
        <v>46286.27148542824</v>
      </c>
      <c r="B25" s="7" t="n">
        <v>46286.26736111111</v>
      </c>
      <c r="C25" s="2" t="n">
        <v>440</v>
      </c>
      <c r="D25" s="2" t="n">
        <v>0</v>
      </c>
      <c r="E25" s="2" t="n">
        <v>0</v>
      </c>
      <c r="F25" s="2" t="n">
        <v>0</v>
      </c>
      <c r="G25" s="2" t="n">
        <v>126.7</v>
      </c>
    </row>
    <row r="26">
      <c r="A26" s="7" t="n">
        <v>46286.14641391204</v>
      </c>
      <c r="B26" s="7" t="n">
        <v>46286.14236111111</v>
      </c>
      <c r="C26" s="2" t="n">
        <v>440</v>
      </c>
      <c r="D26" s="2" t="n">
        <v>0</v>
      </c>
      <c r="E26" s="2" t="n">
        <v>0</v>
      </c>
      <c r="F26" s="2" t="n">
        <v>0</v>
      </c>
      <c r="G26" s="2" t="n">
        <v>131.3</v>
      </c>
    </row>
    <row r="27">
      <c r="A27" s="7" t="n">
        <v>46286.03573545139</v>
      </c>
      <c r="B27" s="7" t="n">
        <v>46286.03125</v>
      </c>
      <c r="C27" s="2" t="n">
        <v>440</v>
      </c>
      <c r="D27" s="2" t="n">
        <v>0</v>
      </c>
      <c r="E27" s="2" t="n">
        <v>0</v>
      </c>
      <c r="F27" s="2" t="n">
        <v>0</v>
      </c>
      <c r="G27" s="2" t="n">
        <v>127.3</v>
      </c>
    </row>
    <row r="28">
      <c r="A28" s="7" t="n">
        <v>46286.00283136574</v>
      </c>
      <c r="B28" s="7" t="n">
        <v>46285.99652777778</v>
      </c>
      <c r="C28" s="2" t="n">
        <v>440</v>
      </c>
      <c r="D28" s="2" t="n">
        <v>0</v>
      </c>
      <c r="E28" s="2" t="n">
        <v>0</v>
      </c>
      <c r="F28" s="2" t="n">
        <v>0</v>
      </c>
      <c r="G28" s="2" t="n">
        <v>101.9</v>
      </c>
    </row>
    <row r="29">
      <c r="A29" s="7" t="n">
        <v>46285.85245594908</v>
      </c>
      <c r="B29" s="7" t="n">
        <v>46285.84722222222</v>
      </c>
      <c r="C29" s="2" t="n">
        <v>440</v>
      </c>
      <c r="D29" s="2" t="n">
        <v>0</v>
      </c>
      <c r="E29" s="2" t="n">
        <v>0</v>
      </c>
      <c r="F29" s="2" t="n">
        <v>0</v>
      </c>
      <c r="G29" s="2" t="n">
        <v>100.6</v>
      </c>
    </row>
    <row r="30">
      <c r="A30" s="7" t="n">
        <v>46285.60105145833</v>
      </c>
      <c r="B30" s="7" t="n">
        <v>46285.59722222222</v>
      </c>
      <c r="C30" s="2" t="n">
        <v>440</v>
      </c>
      <c r="D30" s="2" t="n">
        <v>0</v>
      </c>
      <c r="E30" s="2" t="n">
        <v>0</v>
      </c>
      <c r="F30" s="2" t="n">
        <v>0</v>
      </c>
      <c r="G30" s="2" t="n">
        <v>129.1</v>
      </c>
    </row>
    <row r="31">
      <c r="A31" s="7" t="n">
        <v>46285.38559789352</v>
      </c>
      <c r="B31" s="7" t="n">
        <v>46285.38194444445</v>
      </c>
      <c r="C31" s="2" t="n">
        <v>440</v>
      </c>
      <c r="D31" s="2" t="n">
        <v>0</v>
      </c>
      <c r="E31" s="2" t="n">
        <v>0</v>
      </c>
      <c r="F31" s="2" t="n">
        <v>0</v>
      </c>
      <c r="G31" s="2" t="n">
        <v>112.5</v>
      </c>
    </row>
    <row r="32">
      <c r="A32" s="7" t="n">
        <v>46285.29994834491</v>
      </c>
      <c r="B32" s="7" t="n">
        <v>46285.29513888889</v>
      </c>
      <c r="C32" s="2" t="n">
        <v>440</v>
      </c>
      <c r="D32" s="2" t="n">
        <v>0</v>
      </c>
      <c r="E32" s="2" t="n">
        <v>0</v>
      </c>
      <c r="F32" s="2" t="n">
        <v>0</v>
      </c>
      <c r="G32" s="2" t="n">
        <v>128.1</v>
      </c>
    </row>
    <row r="33">
      <c r="A33" s="7" t="n">
        <v>46285.19964518519</v>
      </c>
      <c r="B33" s="7" t="n">
        <v>46285.19444444445</v>
      </c>
      <c r="C33" s="2" t="n">
        <v>440</v>
      </c>
      <c r="D33" s="2" t="n">
        <v>0</v>
      </c>
      <c r="E33" s="2" t="n">
        <v>0</v>
      </c>
      <c r="F33" s="2" t="n">
        <v>0</v>
      </c>
      <c r="G33" s="2" t="n">
        <v>110.6</v>
      </c>
    </row>
    <row r="34">
      <c r="A34" s="7" t="n">
        <v>46285.08704527777</v>
      </c>
      <c r="B34" s="7" t="n">
        <v>46285.08333333334</v>
      </c>
      <c r="C34" s="2" t="n">
        <v>440</v>
      </c>
      <c r="D34" s="2" t="n">
        <v>0</v>
      </c>
      <c r="E34" s="2" t="n">
        <v>0</v>
      </c>
      <c r="F34" s="2" t="n">
        <v>0</v>
      </c>
      <c r="G34" s="2" t="n">
        <v>95.09999999999999</v>
      </c>
    </row>
    <row r="35">
      <c r="A35" s="7" t="n">
        <v>46284.93748335648</v>
      </c>
      <c r="B35" s="7" t="n">
        <v>46284.93055555555</v>
      </c>
      <c r="C35" s="2" t="n">
        <v>440</v>
      </c>
      <c r="D35" s="2" t="n">
        <v>0</v>
      </c>
      <c r="E35" s="2" t="n">
        <v>0</v>
      </c>
      <c r="F35" s="2" t="n">
        <v>0</v>
      </c>
      <c r="G35" s="2" t="n">
        <v>128.7</v>
      </c>
    </row>
    <row r="36">
      <c r="A36" s="7" t="n">
        <v>46284.79727659722</v>
      </c>
      <c r="B36" s="7" t="n">
        <v>46284.79166666666</v>
      </c>
      <c r="C36" s="2" t="n">
        <v>440</v>
      </c>
      <c r="D36" s="2" t="n">
        <v>0</v>
      </c>
      <c r="E36" s="2" t="n">
        <v>1</v>
      </c>
      <c r="F36" s="2" t="n">
        <v>0</v>
      </c>
      <c r="G36" s="2" t="n">
        <v>109.7</v>
      </c>
    </row>
    <row r="37">
      <c r="A37" s="7" t="n">
        <v>46284.58365538195</v>
      </c>
      <c r="B37" s="7" t="n">
        <v>46284.57986111111</v>
      </c>
      <c r="C37" s="2" t="n">
        <v>440</v>
      </c>
      <c r="D37" s="2" t="n">
        <v>0</v>
      </c>
      <c r="E37" s="2" t="n">
        <v>0</v>
      </c>
      <c r="F37" s="2" t="n">
        <v>0</v>
      </c>
      <c r="G37" s="2" t="n">
        <v>101.8</v>
      </c>
    </row>
    <row r="38">
      <c r="A38" s="7" t="n">
        <v>46284.38530752315</v>
      </c>
      <c r="B38" s="7" t="n">
        <v>46284.37847222222</v>
      </c>
      <c r="C38" s="2" t="n">
        <v>440</v>
      </c>
      <c r="D38" s="2" t="n">
        <v>1</v>
      </c>
      <c r="E38" s="2" t="n">
        <v>0</v>
      </c>
      <c r="F38" s="2" t="n">
        <v>0</v>
      </c>
      <c r="G38" s="2" t="n">
        <v>130.8</v>
      </c>
    </row>
    <row r="39">
      <c r="A39" s="7" t="n">
        <v>46284.27664920139</v>
      </c>
      <c r="B39" s="7" t="n">
        <v>46284.27083333334</v>
      </c>
      <c r="C39" s="2" t="n">
        <v>440</v>
      </c>
      <c r="D39" s="2" t="n">
        <v>0</v>
      </c>
      <c r="E39" s="2" t="n">
        <v>0</v>
      </c>
      <c r="F39" s="2" t="n">
        <v>0</v>
      </c>
      <c r="G39" s="2" t="n">
        <v>127.8</v>
      </c>
    </row>
    <row r="40">
      <c r="A40" s="7" t="n">
        <v>46284.15392047453</v>
      </c>
      <c r="B40" s="7" t="n">
        <v>46284.14930555555</v>
      </c>
      <c r="C40" s="2" t="n">
        <v>440</v>
      </c>
      <c r="D40" s="2" t="n">
        <v>0</v>
      </c>
      <c r="E40" s="2" t="n">
        <v>0</v>
      </c>
      <c r="F40" s="2" t="n">
        <v>0</v>
      </c>
      <c r="G40" s="2" t="n">
        <v>135.6</v>
      </c>
    </row>
    <row r="41">
      <c r="A41" s="7" t="n">
        <v>46284.02123533565</v>
      </c>
      <c r="B41" s="7" t="n">
        <v>46284.01736111111</v>
      </c>
      <c r="C41" s="2" t="n">
        <v>440</v>
      </c>
      <c r="D41" s="2" t="n">
        <v>0</v>
      </c>
      <c r="E41" s="2" t="n">
        <v>0</v>
      </c>
      <c r="F41" s="2" t="n">
        <v>0</v>
      </c>
      <c r="G41" s="2" t="n">
        <v>102.8</v>
      </c>
    </row>
    <row r="42">
      <c r="A42" s="7" t="n">
        <v>46283.99753837963</v>
      </c>
      <c r="B42" s="7" t="n">
        <v>46283.99305555555</v>
      </c>
      <c r="C42" s="2" t="n">
        <v>440</v>
      </c>
      <c r="D42" s="2" t="n">
        <v>0</v>
      </c>
      <c r="E42" s="2" t="n">
        <v>2</v>
      </c>
      <c r="F42" s="2" t="n">
        <v>0</v>
      </c>
      <c r="G42" s="2" t="n">
        <v>129.8</v>
      </c>
    </row>
    <row r="43">
      <c r="A43" s="7" t="n">
        <v>46283.80859936342</v>
      </c>
      <c r="B43" s="7" t="n">
        <v>46283.80208333334</v>
      </c>
      <c r="C43" s="2" t="n">
        <v>440</v>
      </c>
      <c r="D43" s="2" t="n">
        <v>0</v>
      </c>
      <c r="E43" s="2" t="n">
        <v>0</v>
      </c>
      <c r="F43" s="2" t="n">
        <v>0</v>
      </c>
      <c r="G43" s="2" t="n">
        <v>127.7</v>
      </c>
    </row>
    <row r="44">
      <c r="A44" s="7" t="n">
        <v>46283.78916202546</v>
      </c>
      <c r="B44" s="7" t="n">
        <v>46283.78472222222</v>
      </c>
      <c r="C44" s="2" t="n">
        <v>440</v>
      </c>
      <c r="D44" s="2" t="n">
        <v>2</v>
      </c>
      <c r="E44" s="2" t="n">
        <v>0</v>
      </c>
      <c r="F44" s="2" t="n">
        <v>0</v>
      </c>
      <c r="G44" s="2" t="n">
        <v>119.1</v>
      </c>
    </row>
    <row r="45">
      <c r="A45" s="7" t="n">
        <v>46283.58323265046</v>
      </c>
      <c r="B45" s="7" t="n">
        <v>46283.57638888889</v>
      </c>
      <c r="C45" s="2" t="n">
        <v>440</v>
      </c>
      <c r="D45" s="2" t="n">
        <v>0</v>
      </c>
      <c r="E45" s="2" t="n">
        <v>0</v>
      </c>
      <c r="F45" s="2" t="n">
        <v>0</v>
      </c>
      <c r="G45" s="2" t="n">
        <v>126.7</v>
      </c>
    </row>
    <row r="46">
      <c r="A46" s="7" t="n">
        <v>46283.57323743056</v>
      </c>
      <c r="B46" s="7" t="n">
        <v>46283.56944444445</v>
      </c>
      <c r="C46" s="2" t="n">
        <v>440</v>
      </c>
      <c r="D46" s="2" t="n">
        <v>0</v>
      </c>
      <c r="E46" s="2" t="n">
        <v>0</v>
      </c>
      <c r="F46" s="2" t="n">
        <v>0</v>
      </c>
      <c r="G46" s="2" t="n">
        <v>94.3</v>
      </c>
    </row>
    <row r="47">
      <c r="A47" s="7" t="n">
        <v>46283.45181144676</v>
      </c>
      <c r="B47" s="7" t="n">
        <v>46283.44791666666</v>
      </c>
      <c r="C47" s="2" t="n">
        <v>440</v>
      </c>
      <c r="D47" s="2" t="n">
        <v>0</v>
      </c>
      <c r="E47" s="2" t="n">
        <v>0</v>
      </c>
      <c r="F47" s="2" t="n">
        <v>0</v>
      </c>
      <c r="G47" s="2" t="n">
        <v>132.3</v>
      </c>
    </row>
    <row r="48">
      <c r="A48" s="7" t="n">
        <v>46283.44134394676</v>
      </c>
      <c r="B48" s="7" t="n">
        <v>46283.4375</v>
      </c>
      <c r="C48" s="2" t="n">
        <v>440</v>
      </c>
      <c r="D48" s="2" t="n">
        <v>0</v>
      </c>
      <c r="E48" s="2" t="n">
        <v>0</v>
      </c>
      <c r="F48" s="2" t="n">
        <v>0</v>
      </c>
      <c r="G48" s="2" t="n">
        <v>373.5</v>
      </c>
    </row>
    <row r="49">
      <c r="A49" s="7" t="n">
        <v>46283.35273409722</v>
      </c>
      <c r="B49" s="7" t="n">
        <v>46283.34722222222</v>
      </c>
      <c r="C49" s="2" t="n">
        <v>440</v>
      </c>
      <c r="D49" s="2" t="n">
        <v>0</v>
      </c>
      <c r="E49" s="2" t="n">
        <v>0</v>
      </c>
      <c r="F49" s="2" t="n">
        <v>0</v>
      </c>
      <c r="G49" s="2" t="n">
        <v>132.3</v>
      </c>
    </row>
    <row r="50">
      <c r="A50" s="7" t="n">
        <v>46283.26014016203</v>
      </c>
      <c r="B50" s="7" t="n">
        <v>46283.25347222222</v>
      </c>
      <c r="C50" s="2" t="n">
        <v>440</v>
      </c>
      <c r="D50" s="2" t="n">
        <v>0</v>
      </c>
      <c r="E50" s="2" t="n">
        <v>0</v>
      </c>
      <c r="F50" s="2" t="n">
        <v>0</v>
      </c>
      <c r="G50" s="2" t="n">
        <v>129.5</v>
      </c>
    </row>
    <row r="51">
      <c r="A51" s="7" t="n">
        <v>46283.09637409722</v>
      </c>
      <c r="B51" s="7" t="n">
        <v>46283.09027777778</v>
      </c>
      <c r="C51" s="2" t="n">
        <v>440</v>
      </c>
      <c r="D51" s="2" t="n">
        <v>0</v>
      </c>
      <c r="E51" s="2" t="n">
        <v>0</v>
      </c>
      <c r="F51" s="2" t="n">
        <v>0</v>
      </c>
      <c r="G51" s="2" t="n">
        <v>131.2</v>
      </c>
    </row>
    <row r="52">
      <c r="A52" s="7" t="n">
        <v>46282.89824439815</v>
      </c>
      <c r="B52" s="7" t="n">
        <v>46282.89236111111</v>
      </c>
      <c r="C52" s="2" t="n">
        <v>440</v>
      </c>
      <c r="D52" s="2" t="n">
        <v>1</v>
      </c>
      <c r="E52" s="2" t="n">
        <v>1</v>
      </c>
      <c r="F52" s="2" t="n">
        <v>0</v>
      </c>
      <c r="G52" s="2" t="n">
        <v>137</v>
      </c>
    </row>
    <row r="53">
      <c r="A53" s="7" t="n">
        <v>46282.65711792824</v>
      </c>
      <c r="B53" s="7" t="n">
        <v>46282.65277777778</v>
      </c>
      <c r="C53" s="2" t="n">
        <v>440</v>
      </c>
      <c r="D53" s="2" t="n">
        <v>0</v>
      </c>
      <c r="E53" s="2" t="n">
        <v>0</v>
      </c>
      <c r="F53" s="2" t="n">
        <v>0</v>
      </c>
      <c r="G53" s="2" t="n">
        <v>126.6</v>
      </c>
    </row>
    <row r="54">
      <c r="A54" s="7" t="n">
        <v>46282.40350203704</v>
      </c>
      <c r="B54" s="7" t="n">
        <v>46282.39930555555</v>
      </c>
      <c r="C54" s="2" t="n">
        <v>440</v>
      </c>
      <c r="D54" s="2" t="n">
        <v>0</v>
      </c>
      <c r="E54" s="2" t="n">
        <v>0</v>
      </c>
      <c r="F54" s="2" t="n">
        <v>0</v>
      </c>
      <c r="G54" s="2" t="n">
        <v>323.7</v>
      </c>
    </row>
    <row r="55">
      <c r="A55" s="7" t="n">
        <v>46282.39577758102</v>
      </c>
      <c r="B55" s="7" t="n">
        <v>46282.33333333334</v>
      </c>
      <c r="C55" s="2" t="n">
        <v>440</v>
      </c>
      <c r="D55" s="2" t="n">
        <v>0</v>
      </c>
      <c r="E55" s="2" t="n">
        <v>0</v>
      </c>
      <c r="F55" s="2" t="n">
        <v>0</v>
      </c>
      <c r="G55" s="2" t="n">
        <v>50.5</v>
      </c>
    </row>
    <row r="56">
      <c r="A56" s="7" t="n">
        <v>46282.29222982639</v>
      </c>
      <c r="B56" s="7" t="n">
        <v>46282.25</v>
      </c>
      <c r="C56" s="2" t="n">
        <v>440</v>
      </c>
      <c r="D56" s="2" t="n">
        <v>0</v>
      </c>
      <c r="E56" s="2" t="n">
        <v>0</v>
      </c>
      <c r="F56" s="2" t="n">
        <v>0</v>
      </c>
      <c r="G56" s="2" t="n">
        <v>66.2</v>
      </c>
    </row>
    <row r="57">
      <c r="A57" s="7" t="n">
        <v>46282.17576607639</v>
      </c>
      <c r="B57" s="7" t="n">
        <v>46282.125</v>
      </c>
      <c r="C57" s="2" t="n">
        <v>440</v>
      </c>
      <c r="D57" s="2" t="n">
        <v>0</v>
      </c>
      <c r="E57" s="2" t="n">
        <v>1</v>
      </c>
      <c r="F57" s="2" t="n">
        <v>0</v>
      </c>
      <c r="G57" s="2" t="n">
        <v>67</v>
      </c>
    </row>
    <row r="58">
      <c r="A58" s="7" t="n">
        <v>46282.04552453704</v>
      </c>
      <c r="B58" s="7" t="n">
        <v>46282</v>
      </c>
      <c r="C58" s="2" t="n">
        <v>440</v>
      </c>
      <c r="D58" s="2" t="n">
        <v>2</v>
      </c>
      <c r="E58" s="2" t="n">
        <v>1</v>
      </c>
      <c r="F58" s="2" t="n">
        <v>0</v>
      </c>
      <c r="G58" s="2" t="n">
        <v>52.9</v>
      </c>
    </row>
    <row r="59">
      <c r="A59" s="7" t="n">
        <v>46281.82298537037</v>
      </c>
      <c r="B59" s="7" t="n">
        <v>46281.75</v>
      </c>
      <c r="C59" s="2" t="n">
        <v>440</v>
      </c>
      <c r="D59" s="2" t="n">
        <v>0</v>
      </c>
      <c r="E59" s="2" t="n">
        <v>0</v>
      </c>
      <c r="F59" s="2" t="n">
        <v>0</v>
      </c>
      <c r="G59" s="2" t="n">
        <v>65.7</v>
      </c>
    </row>
    <row r="60">
      <c r="A60" s="7" t="n">
        <v>46281.58829054398</v>
      </c>
      <c r="B60" s="7" t="n">
        <v>46281.54166666666</v>
      </c>
      <c r="C60" s="2" t="n">
        <v>440</v>
      </c>
      <c r="D60" s="2" t="n">
        <v>0</v>
      </c>
      <c r="E60" s="2" t="n">
        <v>0</v>
      </c>
      <c r="F60" s="2" t="n">
        <v>0</v>
      </c>
      <c r="G60" s="2" t="n">
        <v>54.5</v>
      </c>
    </row>
    <row r="61">
      <c r="A61" s="7" t="n">
        <v>46281.35205523148</v>
      </c>
      <c r="B61" s="7" t="n">
        <v>46281.29166666666</v>
      </c>
      <c r="C61" s="2" t="n">
        <v>442</v>
      </c>
      <c r="D61" s="2" t="n">
        <v>0</v>
      </c>
      <c r="E61" s="2" t="n">
        <v>0</v>
      </c>
      <c r="F61" s="2" t="n">
        <v>0</v>
      </c>
      <c r="G61" s="2" t="n">
        <v>66.90000000000001</v>
      </c>
    </row>
    <row r="62">
      <c r="A62" s="7" t="n">
        <v>46281.22963460648</v>
      </c>
      <c r="B62" s="7" t="n">
        <v>46281.16666666666</v>
      </c>
      <c r="C62" s="2" t="n">
        <v>442</v>
      </c>
      <c r="D62" s="2" t="n">
        <v>0</v>
      </c>
      <c r="E62" s="2" t="n">
        <v>0</v>
      </c>
      <c r="F62" s="2" t="n">
        <v>0</v>
      </c>
      <c r="G62" s="2" t="n">
        <v>61.9</v>
      </c>
    </row>
    <row r="63">
      <c r="A63" s="7" t="n">
        <v>46281.094529375</v>
      </c>
      <c r="B63" s="7" t="n">
        <v>46281.04166666666</v>
      </c>
      <c r="C63" s="2" t="n">
        <v>442</v>
      </c>
      <c r="D63" s="2" t="n">
        <v>0</v>
      </c>
      <c r="E63" s="2" t="n">
        <v>0</v>
      </c>
      <c r="F63" s="2" t="n">
        <v>0</v>
      </c>
      <c r="G63" s="2" t="n">
        <v>46.5</v>
      </c>
    </row>
    <row r="64">
      <c r="A64" s="7" t="n">
        <v>46280.9017994676</v>
      </c>
      <c r="B64" s="7" t="n">
        <v>46280.83333333334</v>
      </c>
      <c r="C64" s="2" t="n">
        <v>442</v>
      </c>
      <c r="D64" s="2" t="n">
        <v>0</v>
      </c>
      <c r="E64" s="2" t="n">
        <v>0</v>
      </c>
      <c r="F64" s="2" t="n">
        <v>0</v>
      </c>
      <c r="G64" s="2" t="n">
        <v>56.7</v>
      </c>
    </row>
    <row r="65">
      <c r="A65" s="7" t="n">
        <v>46280.66002480324</v>
      </c>
      <c r="B65" s="7" t="n">
        <v>46280.58333333334</v>
      </c>
      <c r="C65" s="2" t="n">
        <v>442</v>
      </c>
      <c r="D65" s="2" t="n">
        <v>0</v>
      </c>
      <c r="E65" s="2" t="n">
        <v>0</v>
      </c>
      <c r="F65" s="2" t="n">
        <v>0</v>
      </c>
      <c r="G65" s="2" t="n">
        <v>67.40000000000001</v>
      </c>
    </row>
    <row r="66">
      <c r="A66" s="7" t="n">
        <v>46280.4778358449</v>
      </c>
      <c r="B66" s="7" t="n">
        <v>46280.41666666666</v>
      </c>
      <c r="C66" s="2" t="n">
        <v>442</v>
      </c>
      <c r="D66" s="2" t="n">
        <v>11</v>
      </c>
      <c r="E66" s="2" t="n">
        <v>11</v>
      </c>
      <c r="F66" s="2" t="n">
        <v>0</v>
      </c>
      <c r="G66" s="2" t="n">
        <v>61.2</v>
      </c>
    </row>
    <row r="67">
      <c r="A67" s="7" t="n">
        <v>46280.39795681713</v>
      </c>
      <c r="B67" s="7" t="n">
        <v>46280.33333333334</v>
      </c>
      <c r="C67" s="2" t="n">
        <v>442</v>
      </c>
      <c r="D67" s="2" t="n">
        <v>0</v>
      </c>
      <c r="E67" s="2" t="n">
        <v>0</v>
      </c>
      <c r="F67" s="2" t="n">
        <v>0</v>
      </c>
      <c r="G67" s="2" t="n">
        <v>66.90000000000001</v>
      </c>
    </row>
    <row r="68">
      <c r="A68" s="7" t="n">
        <v>46280.29983445602</v>
      </c>
      <c r="B68" s="7" t="n">
        <v>46280.25</v>
      </c>
      <c r="C68" s="2" t="n">
        <v>442</v>
      </c>
      <c r="D68" s="2" t="n">
        <v>0</v>
      </c>
      <c r="E68" s="2" t="n">
        <v>0</v>
      </c>
      <c r="F68" s="2" t="n">
        <v>0</v>
      </c>
      <c r="G68" s="2" t="n">
        <v>51.6</v>
      </c>
    </row>
    <row r="69">
      <c r="A69" s="7" t="n">
        <v>46280.14350143519</v>
      </c>
      <c r="B69" s="7" t="n">
        <v>46280.08333333334</v>
      </c>
      <c r="C69" s="2" t="n">
        <v>442</v>
      </c>
      <c r="D69" s="2" t="n">
        <v>0</v>
      </c>
      <c r="E69" s="2" t="n">
        <v>0</v>
      </c>
      <c r="F69" s="2" t="n">
        <v>0</v>
      </c>
      <c r="G69" s="2" t="n">
        <v>57.3</v>
      </c>
    </row>
    <row r="70">
      <c r="A70" s="7" t="n">
        <v>46279.92418226852</v>
      </c>
      <c r="B70" s="7" t="n">
        <v>46279.875</v>
      </c>
      <c r="C70" s="2" t="n">
        <v>442</v>
      </c>
      <c r="D70" s="2" t="n">
        <v>0</v>
      </c>
      <c r="E70" s="2" t="n">
        <v>0</v>
      </c>
      <c r="F70" s="2" t="n">
        <v>0</v>
      </c>
      <c r="G70" s="2" t="n">
        <v>48.1</v>
      </c>
    </row>
    <row r="71">
      <c r="A71" s="7" t="n">
        <v>46279.59996445602</v>
      </c>
      <c r="B71" s="7" t="n">
        <v>46279.54166666666</v>
      </c>
      <c r="C71" s="2" t="n">
        <v>442</v>
      </c>
      <c r="D71" s="2" t="n">
        <v>0</v>
      </c>
      <c r="E71" s="2" t="n">
        <v>0</v>
      </c>
      <c r="F71" s="2" t="n">
        <v>0</v>
      </c>
      <c r="G71" s="2" t="n">
        <v>61</v>
      </c>
    </row>
    <row r="72">
      <c r="A72" s="7" t="n">
        <v>46279.38316741898</v>
      </c>
      <c r="B72" s="7" t="n">
        <v>46279.33333333334</v>
      </c>
      <c r="C72" s="2" t="n">
        <v>442</v>
      </c>
      <c r="D72" s="2" t="n">
        <v>0</v>
      </c>
      <c r="E72" s="2" t="n">
        <v>0</v>
      </c>
      <c r="F72" s="2" t="n">
        <v>0</v>
      </c>
      <c r="G72" s="2" t="n">
        <v>59.9</v>
      </c>
    </row>
    <row r="73">
      <c r="A73" s="7" t="n">
        <v>46279.26932584491</v>
      </c>
      <c r="B73" s="7" t="n">
        <v>46279.20833333334</v>
      </c>
      <c r="C73" s="2" t="n">
        <v>442</v>
      </c>
      <c r="D73" s="2" t="n">
        <v>0</v>
      </c>
      <c r="E73" s="2" t="n">
        <v>0</v>
      </c>
      <c r="F73" s="2" t="n">
        <v>0</v>
      </c>
      <c r="G73" s="2" t="n">
        <v>61.1</v>
      </c>
    </row>
    <row r="74">
      <c r="A74" s="7" t="n">
        <v>46279.14665413195</v>
      </c>
      <c r="B74" s="7" t="n">
        <v>46279.08333333334</v>
      </c>
      <c r="C74" s="2" t="n">
        <v>442</v>
      </c>
      <c r="D74" s="2" t="n">
        <v>0</v>
      </c>
      <c r="E74" s="2" t="n">
        <v>0</v>
      </c>
      <c r="F74" s="2" t="n">
        <v>0</v>
      </c>
      <c r="G74" s="2" t="n">
        <v>55.1</v>
      </c>
    </row>
    <row r="75">
      <c r="A75" s="7" t="n">
        <v>46279.01733591435</v>
      </c>
      <c r="B75" s="7" t="n">
        <v>46278.95833333334</v>
      </c>
      <c r="C75" s="2" t="n">
        <v>442</v>
      </c>
      <c r="D75" s="2" t="n">
        <v>0</v>
      </c>
      <c r="E75" s="2" t="n">
        <v>0</v>
      </c>
      <c r="F75" s="2" t="n">
        <v>0</v>
      </c>
      <c r="G75" s="2" t="n">
        <v>59.7</v>
      </c>
    </row>
    <row r="76">
      <c r="A76" s="7" t="n">
        <v>46278.83725055555</v>
      </c>
      <c r="B76" s="7" t="n">
        <v>46278.79166666666</v>
      </c>
      <c r="C76" s="2" t="n">
        <v>442</v>
      </c>
      <c r="D76" s="2" t="n">
        <v>0</v>
      </c>
      <c r="E76" s="2" t="n">
        <v>0</v>
      </c>
      <c r="F76" s="2" t="n">
        <v>0</v>
      </c>
      <c r="G76" s="2" t="n">
        <v>65.40000000000001</v>
      </c>
    </row>
    <row r="77">
      <c r="A77" s="7" t="n">
        <v>46278.71111972223</v>
      </c>
      <c r="B77" s="7" t="n">
        <v>46278.66666666666</v>
      </c>
      <c r="C77" s="2" t="n">
        <v>442</v>
      </c>
      <c r="D77" s="2" t="n">
        <v>0</v>
      </c>
      <c r="E77" s="2" t="n">
        <v>0</v>
      </c>
      <c r="F77" s="2" t="n">
        <v>0</v>
      </c>
      <c r="G77" s="2" t="n">
        <v>63.6</v>
      </c>
    </row>
    <row r="78">
      <c r="A78" s="7" t="n">
        <v>46278.68053923611</v>
      </c>
      <c r="B78" s="7" t="n">
        <v>46278.625</v>
      </c>
      <c r="C78" s="2" t="n">
        <v>442</v>
      </c>
      <c r="D78" s="2" t="n">
        <v>0</v>
      </c>
      <c r="E78" s="2" t="n">
        <v>0</v>
      </c>
      <c r="F78" s="2" t="n">
        <v>0</v>
      </c>
      <c r="G78" s="2" t="n">
        <v>63.6</v>
      </c>
    </row>
    <row r="79">
      <c r="A79" s="7" t="n">
        <v>46278.07354997685</v>
      </c>
      <c r="B79" s="7" t="n">
        <v>46278</v>
      </c>
      <c r="C79" s="2" t="n">
        <v>442</v>
      </c>
      <c r="D79" s="2" t="n">
        <v>0</v>
      </c>
      <c r="E79" s="2" t="n">
        <v>0</v>
      </c>
      <c r="F79" s="2" t="n">
        <v>0</v>
      </c>
      <c r="G79" s="2" t="n">
        <v>50.2</v>
      </c>
    </row>
    <row r="80">
      <c r="A80" s="7" t="n">
        <v>46277.94390239583</v>
      </c>
      <c r="B80" s="7" t="n">
        <v>46277.875</v>
      </c>
      <c r="C80" s="2" t="n">
        <v>442</v>
      </c>
      <c r="D80" s="2" t="n">
        <v>0</v>
      </c>
      <c r="E80" s="2" t="n">
        <v>0</v>
      </c>
      <c r="F80" s="2" t="n">
        <v>0</v>
      </c>
      <c r="G80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資金明細!R48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MAX(資金明細!$R$2:$R$48)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MIN(資金明細!$R$2:$R$48)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MIN(資金明細!$X$2:$X$48)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COUNTIFS(資金明細!$C$2:$C$48,"進場",資金明細!$N$2:$N$48,"已下單")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COUNTIFS(資金明細!$C$2:$C$48,"進場",資金明細!$N$2:$N$48,"資金不足略過")</f>
        <v/>
      </c>
    </row>
    <row r="11">
      <c r="D11" s="2" t="inlineStr">
        <is>
          <t>止盈筆數</t>
        </is>
      </c>
      <c r="E11" s="15">
        <f>COUNTIFS(資金明細!$C$2:$C$48,"出場",資金明細!$N$2:$N$48,"已下單",資金明細!$K$2:$K$48,"止盈")</f>
        <v/>
      </c>
    </row>
    <row r="12">
      <c r="A12" s="2" t="inlineStr">
        <is>
          <t>每筆止損約虧本金</t>
        </is>
      </c>
      <c r="B12" s="4">
        <f>B5*B7*IFERROR(AVERAGE(交易明細!$AB$2:$AB$24),參數!B6)</f>
        <v/>
      </c>
      <c r="D12" s="2" t="inlineStr">
        <is>
          <t>止損筆數</t>
        </is>
      </c>
      <c r="E12" s="15">
        <f>COUNTIFS(資金明細!$C$2:$C$48,"出場",資金明細!$N$2:$N$48,"已下單",資金明細!$K$2:$K$48,"止損")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IFERROR(E11/COUNTIFS(資金明細!$C$2:$C$48,"出場",資金明細!$N$2:$N$48,"已下單"),0)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MAX(資金明細!$U$2:$U$48)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MAX(資金明細!$S$2:$S$48)</f>
        <v/>
      </c>
    </row>
    <row r="16">
      <c r="D16" s="2" t="inlineStr">
        <is>
          <t>期末下單金額</t>
        </is>
      </c>
      <c r="E16" s="16">
        <f>B5*資金明細!V48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MAX(資金明細!$Y$2:$Y$48)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IFERROR(INDEX(資金明細!$B$2:$B$48,MATCH(1,資金明細!$Z$2:$Z$48,0)),"未觸發")</f>
        <v/>
      </c>
    </row>
    <row r="21">
      <c r="D21" s="2" t="inlineStr">
        <is>
          <t>停止後略過筆數</t>
        </is>
      </c>
      <c r="E21" s="15">
        <f>COUNTIFS(資金明細!$C$2:$C$48,"進場",資金明細!$N$2:$N$48,"已停止")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48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</v>
      </c>
      <c r="C3" s="2" t="inlineStr">
        <is>
          <t>進場</t>
        </is>
      </c>
      <c r="D3" s="2" t="n">
        <v>1</v>
      </c>
      <c r="E3" s="2" t="inlineStr">
        <is>
          <t>0G_USDT_PERP</t>
        </is>
      </c>
      <c r="F3" s="2" t="inlineStr">
        <is>
          <t>做空</t>
        </is>
      </c>
      <c r="G3" s="17" t="n">
        <v>0.2362</v>
      </c>
      <c r="H3" s="17" t="n">
        <v>0.229114</v>
      </c>
      <c r="I3" s="17" t="n">
        <v>0.24801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46266.54166666666</v>
      </c>
      <c r="C4" s="2" t="inlineStr">
        <is>
          <t>出場</t>
        </is>
      </c>
      <c r="D4" s="2" t="n">
        <v>1</v>
      </c>
      <c r="E4" s="2" t="inlineStr">
        <is>
          <t>0G_USDT_PERP</t>
        </is>
      </c>
      <c r="F4" s="2" t="inlineStr">
        <is>
          <t>做空</t>
        </is>
      </c>
      <c r="G4" s="17" t="n">
        <v>0.2362</v>
      </c>
      <c r="H4" s="17" t="n">
        <v>0.229114</v>
      </c>
      <c r="I4" s="17" t="n">
        <v>0.24801</v>
      </c>
      <c r="J4" s="17" t="n">
        <v>0.24801</v>
      </c>
      <c r="K4" s="2" t="inlineStr">
        <is>
          <t>止損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46267.25</v>
      </c>
      <c r="C5" s="2" t="inlineStr">
        <is>
          <t>進場</t>
        </is>
      </c>
      <c r="D5" s="2" t="n">
        <v>2</v>
      </c>
      <c r="E5" s="2" t="inlineStr">
        <is>
          <t>USELESS_USDT_PERP</t>
        </is>
      </c>
      <c r="F5" s="2" t="inlineStr">
        <is>
          <t>做空</t>
        </is>
      </c>
      <c r="G5" s="17" t="n">
        <v>0.10939</v>
      </c>
      <c r="H5" s="17" t="n">
        <v>0.1061083</v>
      </c>
      <c r="I5" s="17" t="n">
        <v>0.1148595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46267.41666666666</v>
      </c>
      <c r="C6" s="2" t="inlineStr">
        <is>
          <t>出場</t>
        </is>
      </c>
      <c r="D6" s="2" t="n">
        <v>2</v>
      </c>
      <c r="E6" s="2" t="inlineStr">
        <is>
          <t>USELESS_USDT_PERP</t>
        </is>
      </c>
      <c r="F6" s="2" t="inlineStr">
        <is>
          <t>做空</t>
        </is>
      </c>
      <c r="G6" s="17" t="n">
        <v>0.10939</v>
      </c>
      <c r="H6" s="17" t="n">
        <v>0.1061083</v>
      </c>
      <c r="I6" s="17" t="n">
        <v>0.1148595</v>
      </c>
      <c r="J6" s="17" t="n">
        <v>0.1148595</v>
      </c>
      <c r="K6" s="2" t="inlineStr">
        <is>
          <t>止損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46269</v>
      </c>
      <c r="C7" s="2" t="inlineStr">
        <is>
          <t>進場</t>
        </is>
      </c>
      <c r="D7" s="2" t="n">
        <v>3</v>
      </c>
      <c r="E7" s="2" t="inlineStr">
        <is>
          <t>BR_USDT_PERP</t>
        </is>
      </c>
      <c r="F7" s="2" t="inlineStr">
        <is>
          <t>做空</t>
        </is>
      </c>
      <c r="G7" s="17" t="n">
        <v>0.30056</v>
      </c>
      <c r="H7" s="17" t="n">
        <v>0.2915432</v>
      </c>
      <c r="I7" s="17" t="n">
        <v>0.315588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46269.08333333334</v>
      </c>
      <c r="C8" s="2" t="inlineStr">
        <is>
          <t>出場</t>
        </is>
      </c>
      <c r="D8" s="2" t="n">
        <v>3</v>
      </c>
      <c r="E8" s="2" t="inlineStr">
        <is>
          <t>BR_USDT_PERP</t>
        </is>
      </c>
      <c r="F8" s="2" t="inlineStr">
        <is>
          <t>做空</t>
        </is>
      </c>
      <c r="G8" s="17" t="n">
        <v>0.30056</v>
      </c>
      <c r="H8" s="17" t="n">
        <v>0.2915432</v>
      </c>
      <c r="I8" s="17" t="n">
        <v>0.315588</v>
      </c>
      <c r="J8" s="17" t="n">
        <v>0.315588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46269.16666666666</v>
      </c>
      <c r="C9" s="2" t="inlineStr">
        <is>
          <t>進場</t>
        </is>
      </c>
      <c r="D9" s="2" t="n">
        <v>4</v>
      </c>
      <c r="E9" s="2" t="inlineStr">
        <is>
          <t>ENA_USDT_PERP</t>
        </is>
      </c>
      <c r="F9" s="2" t="inlineStr">
        <is>
          <t>做空</t>
        </is>
      </c>
      <c r="G9" s="17" t="n">
        <v>0.1708</v>
      </c>
      <c r="H9" s="17" t="n">
        <v>0.165676</v>
      </c>
      <c r="I9" s="17" t="n">
        <v>0.17934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46269.16666666666</v>
      </c>
      <c r="C10" s="2" t="inlineStr">
        <is>
          <t>進場</t>
        </is>
      </c>
      <c r="D10" s="2" t="n">
        <v>5</v>
      </c>
      <c r="E10" s="2" t="inlineStr">
        <is>
          <t>MUBARAK_USDT_PERP</t>
        </is>
      </c>
      <c r="F10" s="2" t="inlineStr">
        <is>
          <t>做空</t>
        </is>
      </c>
      <c r="G10" s="17" t="n">
        <v>0.03052</v>
      </c>
      <c r="H10" s="17" t="n">
        <v>0.0296044</v>
      </c>
      <c r="I10" s="17" t="n">
        <v>0.032046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46269.25</v>
      </c>
      <c r="C11" s="2" t="inlineStr">
        <is>
          <t>出場</t>
        </is>
      </c>
      <c r="D11" s="2" t="n">
        <v>5</v>
      </c>
      <c r="E11" s="2" t="inlineStr">
        <is>
          <t>MUBARAK_USDT_PERP</t>
        </is>
      </c>
      <c r="F11" s="2" t="inlineStr">
        <is>
          <t>做空</t>
        </is>
      </c>
      <c r="G11" s="17" t="n">
        <v>0.03052</v>
      </c>
      <c r="H11" s="17" t="n">
        <v>0.0296044</v>
      </c>
      <c r="I11" s="17" t="n">
        <v>0.032046</v>
      </c>
      <c r="J11" s="17" t="n">
        <v>0.0296044</v>
      </c>
      <c r="K11" s="2" t="inlineStr">
        <is>
          <t>止盈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46269.29166666666</v>
      </c>
      <c r="C12" s="2" t="inlineStr">
        <is>
          <t>出場</t>
        </is>
      </c>
      <c r="D12" s="2" t="n">
        <v>4</v>
      </c>
      <c r="E12" s="2" t="inlineStr">
        <is>
          <t>ENA_USDT_PERP</t>
        </is>
      </c>
      <c r="F12" s="2" t="inlineStr">
        <is>
          <t>做空</t>
        </is>
      </c>
      <c r="G12" s="17" t="n">
        <v>0.1708</v>
      </c>
      <c r="H12" s="17" t="n">
        <v>0.165676</v>
      </c>
      <c r="I12" s="17" t="n">
        <v>0.17934</v>
      </c>
      <c r="J12" s="17" t="n">
        <v>0.165676</v>
      </c>
      <c r="K12" s="2" t="inlineStr">
        <is>
          <t>止盈</t>
        </is>
      </c>
      <c r="L12" s="5">
        <f>交易明細!K5</f>
        <v/>
      </c>
      <c r="M12" s="16">
        <f>M9</f>
        <v/>
      </c>
      <c r="N12" s="2">
        <f>N9</f>
        <v/>
      </c>
      <c r="O12" s="16">
        <f>O9</f>
        <v/>
      </c>
      <c r="P12" s="4">
        <f>交易明細!L5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46269.41666666666</v>
      </c>
      <c r="C13" s="2" t="inlineStr">
        <is>
          <t>進場</t>
        </is>
      </c>
      <c r="D13" s="2" t="n">
        <v>6</v>
      </c>
      <c r="E13" s="2" t="inlineStr">
        <is>
          <t>ARB_USDT_PERP</t>
        </is>
      </c>
      <c r="F13" s="2" t="inlineStr">
        <is>
          <t>做空</t>
        </is>
      </c>
      <c r="G13" s="17" t="n">
        <v>0.1367</v>
      </c>
      <c r="H13" s="17" t="n">
        <v>0.132599</v>
      </c>
      <c r="I13" s="17" t="n">
        <v>0.143535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46269.875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做空</t>
        </is>
      </c>
      <c r="G14" s="17" t="n">
        <v>0.1367</v>
      </c>
      <c r="H14" s="17" t="n">
        <v>0.132599</v>
      </c>
      <c r="I14" s="17" t="n">
        <v>0.143535</v>
      </c>
      <c r="J14" s="17" t="n">
        <v>0.132599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46273</v>
      </c>
      <c r="C15" s="2" t="inlineStr">
        <is>
          <t>進場</t>
        </is>
      </c>
      <c r="D15" s="2" t="n">
        <v>7</v>
      </c>
      <c r="E15" s="2" t="inlineStr">
        <is>
          <t>WLD_USDT_PERP</t>
        </is>
      </c>
      <c r="F15" s="2" t="inlineStr">
        <is>
          <t>做空</t>
        </is>
      </c>
      <c r="G15" s="17" t="n">
        <v>0.4534</v>
      </c>
      <c r="H15" s="17" t="n">
        <v>0.439798</v>
      </c>
      <c r="I15" s="17" t="n">
        <v>0.47607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46273.08333333334</v>
      </c>
      <c r="C16" s="2" t="inlineStr">
        <is>
          <t>進場</t>
        </is>
      </c>
      <c r="D16" s="2" t="n">
        <v>8</v>
      </c>
      <c r="E16" s="2" t="inlineStr">
        <is>
          <t>SOLV_USDT_PERP</t>
        </is>
      </c>
      <c r="F16" s="2" t="inlineStr">
        <is>
          <t>做空</t>
        </is>
      </c>
      <c r="G16" s="17" t="n">
        <v>0.00461</v>
      </c>
      <c r="H16" s="17" t="n">
        <v>0.0044717</v>
      </c>
      <c r="I16" s="17" t="n">
        <v>0.0048405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46273.125</v>
      </c>
      <c r="C17" s="2" t="inlineStr">
        <is>
          <t>出場</t>
        </is>
      </c>
      <c r="D17" s="2" t="n">
        <v>8</v>
      </c>
      <c r="E17" s="2" t="inlineStr">
        <is>
          <t>SOLV_USDT_PERP</t>
        </is>
      </c>
      <c r="F17" s="2" t="inlineStr">
        <is>
          <t>做空</t>
        </is>
      </c>
      <c r="G17" s="17" t="n">
        <v>0.00461</v>
      </c>
      <c r="H17" s="17" t="n">
        <v>0.0044717</v>
      </c>
      <c r="I17" s="17" t="n">
        <v>0.0048405</v>
      </c>
      <c r="J17" s="17" t="n">
        <v>0.0044717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46273.25</v>
      </c>
      <c r="C18" s="2" t="inlineStr">
        <is>
          <t>進場</t>
        </is>
      </c>
      <c r="D18" s="2" t="n">
        <v>9</v>
      </c>
      <c r="E18" s="2" t="inlineStr">
        <is>
          <t>IOST_USDT_PERP</t>
        </is>
      </c>
      <c r="F18" s="2" t="inlineStr">
        <is>
          <t>做空</t>
        </is>
      </c>
      <c r="G18" s="17" t="n">
        <v>0.0009790000000000001</v>
      </c>
      <c r="H18" s="17" t="n">
        <v>0.00094963</v>
      </c>
      <c r="I18" s="17" t="n">
        <v>0.00102795</v>
      </c>
      <c r="J18" s="17" t="n"/>
      <c r="K18" s="2" t="n"/>
      <c r="L18" s="5" t="n"/>
      <c r="M18" s="16">
        <f>資金模擬!$B$5*V17</f>
        <v/>
      </c>
      <c r="N18" s="2">
        <f>IF(Z17=1,"已停止",IF(T17&gt;=M18,"已下單","資金不足略過"))</f>
        <v/>
      </c>
      <c r="O18" s="16">
        <f>IF(N18="已下單",M18*資金模擬!$B$7,0)</f>
        <v/>
      </c>
      <c r="P18" s="4" t="n"/>
      <c r="Q18" s="10" t="n">
        <v>0</v>
      </c>
      <c r="R18" s="10">
        <f>R17+Q18</f>
        <v/>
      </c>
      <c r="S18" s="16">
        <f>S17+IF(N18="已下單",M18,0)</f>
        <v/>
      </c>
      <c r="T18" s="16">
        <f>R18-S18</f>
        <v/>
      </c>
      <c r="U18" s="2">
        <f>U17+IF(N18="已下單",1,0)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46273.29166666666</v>
      </c>
      <c r="C19" s="2" t="inlineStr">
        <is>
          <t>出場</t>
        </is>
      </c>
      <c r="D19" s="2" t="n">
        <v>7</v>
      </c>
      <c r="E19" s="2" t="inlineStr">
        <is>
          <t>WLD_USDT_PERP</t>
        </is>
      </c>
      <c r="F19" s="2" t="inlineStr">
        <is>
          <t>做空</t>
        </is>
      </c>
      <c r="G19" s="17" t="n">
        <v>0.4534</v>
      </c>
      <c r="H19" s="17" t="n">
        <v>0.439798</v>
      </c>
      <c r="I19" s="17" t="n">
        <v>0.47607</v>
      </c>
      <c r="J19" s="17" t="n">
        <v>0.47607</v>
      </c>
      <c r="K19" s="2" t="inlineStr">
        <is>
          <t>止損</t>
        </is>
      </c>
      <c r="L19" s="5">
        <f>交易明細!K8</f>
        <v/>
      </c>
      <c r="M19" s="16">
        <f>M15</f>
        <v/>
      </c>
      <c r="N19" s="2">
        <f>N15</f>
        <v/>
      </c>
      <c r="O19" s="16">
        <f>O15</f>
        <v/>
      </c>
      <c r="P19" s="4">
        <f>交易明細!L8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46273.29166666666</v>
      </c>
      <c r="C20" s="2" t="inlineStr">
        <is>
          <t>出場</t>
        </is>
      </c>
      <c r="D20" s="2" t="n">
        <v>9</v>
      </c>
      <c r="E20" s="2" t="inlineStr">
        <is>
          <t>IOST_USDT_PERP</t>
        </is>
      </c>
      <c r="F20" s="2" t="inlineStr">
        <is>
          <t>做空</t>
        </is>
      </c>
      <c r="G20" s="17" t="n">
        <v>0.0009790000000000001</v>
      </c>
      <c r="H20" s="17" t="n">
        <v>0.00094963</v>
      </c>
      <c r="I20" s="17" t="n">
        <v>0.00102795</v>
      </c>
      <c r="J20" s="17" t="n">
        <v>0.00094963</v>
      </c>
      <c r="K20" s="2" t="inlineStr">
        <is>
          <t>止盈</t>
        </is>
      </c>
      <c r="L20" s="5">
        <f>交易明細!K10</f>
        <v/>
      </c>
      <c r="M20" s="16">
        <f>M18</f>
        <v/>
      </c>
      <c r="N20" s="2">
        <f>N18</f>
        <v/>
      </c>
      <c r="O20" s="16">
        <f>O18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46273.58333333334</v>
      </c>
      <c r="C21" s="2" t="inlineStr">
        <is>
          <t>進場</t>
        </is>
      </c>
      <c r="D21" s="2" t="n">
        <v>10</v>
      </c>
      <c r="E21" s="2" t="inlineStr">
        <is>
          <t>AERO_USDT_PERP</t>
        </is>
      </c>
      <c r="F21" s="2" t="inlineStr">
        <is>
          <t>做空</t>
        </is>
      </c>
      <c r="G21" s="17" t="n">
        <v>0.6385999999999999</v>
      </c>
      <c r="H21" s="17" t="n">
        <v>0.6194419999999999</v>
      </c>
      <c r="I21" s="17" t="n">
        <v>0.67053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46273.91666666666</v>
      </c>
      <c r="C22" s="2" t="inlineStr">
        <is>
          <t>出場</t>
        </is>
      </c>
      <c r="D22" s="2" t="n">
        <v>10</v>
      </c>
      <c r="E22" s="2" t="inlineStr">
        <is>
          <t>AERO_USDT_PERP</t>
        </is>
      </c>
      <c r="F22" s="2" t="inlineStr">
        <is>
          <t>做空</t>
        </is>
      </c>
      <c r="G22" s="17" t="n">
        <v>0.6385999999999999</v>
      </c>
      <c r="H22" s="17" t="n">
        <v>0.6194419999999999</v>
      </c>
      <c r="I22" s="17" t="n">
        <v>0.67053</v>
      </c>
      <c r="J22" s="17" t="n">
        <v>0.6194419999999999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46276.33333333334</v>
      </c>
      <c r="C23" s="2" t="inlineStr">
        <is>
          <t>進場</t>
        </is>
      </c>
      <c r="D23" s="2" t="n">
        <v>11</v>
      </c>
      <c r="E23" s="2" t="inlineStr">
        <is>
          <t>SAGA_USDT_PERP</t>
        </is>
      </c>
      <c r="F23" s="2" t="inlineStr">
        <is>
          <t>做空</t>
        </is>
      </c>
      <c r="G23" s="17" t="n">
        <v>0.01734</v>
      </c>
      <c r="H23" s="17" t="n">
        <v>0.0168198</v>
      </c>
      <c r="I23" s="17" t="n">
        <v>0.018207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46276.41666666666</v>
      </c>
      <c r="C24" s="2" t="inlineStr">
        <is>
          <t>出場</t>
        </is>
      </c>
      <c r="D24" s="2" t="n">
        <v>11</v>
      </c>
      <c r="E24" s="2" t="inlineStr">
        <is>
          <t>SAGA_USDT_PERP</t>
        </is>
      </c>
      <c r="F24" s="2" t="inlineStr">
        <is>
          <t>做空</t>
        </is>
      </c>
      <c r="G24" s="17" t="n">
        <v>0.01734</v>
      </c>
      <c r="H24" s="17" t="n">
        <v>0.0168198</v>
      </c>
      <c r="I24" s="17" t="n">
        <v>0.018207</v>
      </c>
      <c r="J24" s="17" t="n">
        <v>0.0168198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46281.95833333334</v>
      </c>
      <c r="C25" s="2" t="inlineStr">
        <is>
          <t>進場</t>
        </is>
      </c>
      <c r="D25" s="2" t="n">
        <v>12</v>
      </c>
      <c r="E25" s="2" t="inlineStr">
        <is>
          <t>ARB_USDT_PERP</t>
        </is>
      </c>
      <c r="F25" s="2" t="inlineStr">
        <is>
          <t>做空</t>
        </is>
      </c>
      <c r="G25" s="17" t="n">
        <v>0.1598</v>
      </c>
      <c r="H25" s="17" t="n">
        <v>0.155006</v>
      </c>
      <c r="I25" s="17" t="n">
        <v>0.16779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46281.95833333334</v>
      </c>
      <c r="C26" s="2" t="inlineStr">
        <is>
          <t>進場</t>
        </is>
      </c>
      <c r="D26" s="2" t="n">
        <v>13</v>
      </c>
      <c r="E26" s="2" t="inlineStr">
        <is>
          <t>USELESS_USDT_PERP</t>
        </is>
      </c>
      <c r="F26" s="2" t="inlineStr">
        <is>
          <t>做空</t>
        </is>
      </c>
      <c r="G26" s="17" t="n">
        <v>0.23266</v>
      </c>
      <c r="H26" s="17" t="n">
        <v>0.2256802</v>
      </c>
      <c r="I26" s="17" t="n">
        <v>0.244293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46282</v>
      </c>
      <c r="C27" s="2" t="inlineStr">
        <is>
          <t>出場</t>
        </is>
      </c>
      <c r="D27" s="2" t="n">
        <v>13</v>
      </c>
      <c r="E27" s="2" t="inlineStr">
        <is>
          <t>USELESS_USDT_PERP</t>
        </is>
      </c>
      <c r="F27" s="2" t="inlineStr">
        <is>
          <t>做空</t>
        </is>
      </c>
      <c r="G27" s="17" t="n">
        <v>0.23266</v>
      </c>
      <c r="H27" s="17" t="n">
        <v>0.2256802</v>
      </c>
      <c r="I27" s="17" t="n">
        <v>0.244293</v>
      </c>
      <c r="J27" s="17" t="n">
        <v>0.2256802</v>
      </c>
      <c r="K27" s="2" t="inlineStr">
        <is>
          <t>止盈</t>
        </is>
      </c>
      <c r="L27" s="5">
        <f>交易明細!K14</f>
        <v/>
      </c>
      <c r="M27" s="16">
        <f>M26</f>
        <v/>
      </c>
      <c r="N27" s="2">
        <f>N26</f>
        <v/>
      </c>
      <c r="O27" s="16">
        <f>O26</f>
        <v/>
      </c>
      <c r="P27" s="4">
        <f>交易明細!L14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46282.08333333334</v>
      </c>
      <c r="C28" s="2" t="inlineStr">
        <is>
          <t>出場</t>
        </is>
      </c>
      <c r="D28" s="2" t="n">
        <v>12</v>
      </c>
      <c r="E28" s="2" t="inlineStr">
        <is>
          <t>ARB_USDT_PERP</t>
        </is>
      </c>
      <c r="F28" s="2" t="inlineStr">
        <is>
          <t>做空</t>
        </is>
      </c>
      <c r="G28" s="17" t="n">
        <v>0.1598</v>
      </c>
      <c r="H28" s="17" t="n">
        <v>0.155006</v>
      </c>
      <c r="I28" s="17" t="n">
        <v>0.16779</v>
      </c>
      <c r="J28" s="17" t="n">
        <v>0.155006</v>
      </c>
      <c r="K28" s="2" t="inlineStr">
        <is>
          <t>止盈</t>
        </is>
      </c>
      <c r="L28" s="5">
        <f>交易明細!K13</f>
        <v/>
      </c>
      <c r="M28" s="16">
        <f>M25</f>
        <v/>
      </c>
      <c r="N28" s="2">
        <f>N25</f>
        <v/>
      </c>
      <c r="O28" s="16">
        <f>O25</f>
        <v/>
      </c>
      <c r="P28" s="4">
        <f>交易明細!L13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46282.75</v>
      </c>
      <c r="C29" s="2" t="inlineStr">
        <is>
          <t>進場</t>
        </is>
      </c>
      <c r="D29" s="2" t="n">
        <v>14</v>
      </c>
      <c r="E29" s="2" t="inlineStr">
        <is>
          <t>MARSCOIN_USDT_PERP</t>
        </is>
      </c>
      <c r="F29" s="2" t="inlineStr">
        <is>
          <t>做空</t>
        </is>
      </c>
      <c r="G29" s="17" t="n">
        <v>0.1096</v>
      </c>
      <c r="H29" s="17" t="n">
        <v>0.106312</v>
      </c>
      <c r="I29" s="17" t="n">
        <v>0.11508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46282.875</v>
      </c>
      <c r="C30" s="2" t="inlineStr">
        <is>
          <t>出場</t>
        </is>
      </c>
      <c r="D30" s="2" t="n">
        <v>14</v>
      </c>
      <c r="E30" s="2" t="inlineStr">
        <is>
          <t>MARSCOIN_USDT_PERP</t>
        </is>
      </c>
      <c r="F30" s="2" t="inlineStr">
        <is>
          <t>做空</t>
        </is>
      </c>
      <c r="G30" s="17" t="n">
        <v>0.1096</v>
      </c>
      <c r="H30" s="17" t="n">
        <v>0.106312</v>
      </c>
      <c r="I30" s="17" t="n">
        <v>0.11508</v>
      </c>
      <c r="J30" s="17" t="n">
        <v>0.106312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46283.70833333334</v>
      </c>
      <c r="C31" s="2" t="inlineStr">
        <is>
          <t>進場</t>
        </is>
      </c>
      <c r="D31" s="2" t="n">
        <v>15</v>
      </c>
      <c r="E31" s="2" t="inlineStr">
        <is>
          <t>ARB_USDT_PERP</t>
        </is>
      </c>
      <c r="F31" s="2" t="inlineStr">
        <is>
          <t>做空</t>
        </is>
      </c>
      <c r="G31" s="17" t="n">
        <v>0.2092</v>
      </c>
      <c r="H31" s="17" t="n">
        <v>0.202924</v>
      </c>
      <c r="I31" s="17" t="n">
        <v>0.21966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46283.75</v>
      </c>
      <c r="C32" s="2" t="inlineStr">
        <is>
          <t>進場</t>
        </is>
      </c>
      <c r="D32" s="2" t="n">
        <v>16</v>
      </c>
      <c r="E32" s="2" t="inlineStr">
        <is>
          <t>ENA_USDT_PERP</t>
        </is>
      </c>
      <c r="F32" s="2" t="inlineStr">
        <is>
          <t>做空</t>
        </is>
      </c>
      <c r="G32" s="17" t="n">
        <v>0.1672</v>
      </c>
      <c r="H32" s="17" t="n">
        <v>0.162184</v>
      </c>
      <c r="I32" s="17" t="n">
        <v>0.17556</v>
      </c>
      <c r="J32" s="17" t="n"/>
      <c r="K32" s="2" t="n"/>
      <c r="L32" s="5" t="n"/>
      <c r="M32" s="16">
        <f>資金模擬!$B$5*V31</f>
        <v/>
      </c>
      <c r="N32" s="2">
        <f>IF(Z31=1,"已停止",IF(T31&gt;=M32,"已下單","資金不足略過"))</f>
        <v/>
      </c>
      <c r="O32" s="16">
        <f>IF(N32="已下單",M32*資金模擬!$B$7,0)</f>
        <v/>
      </c>
      <c r="P32" s="4" t="n"/>
      <c r="Q32" s="10" t="n">
        <v>0</v>
      </c>
      <c r="R32" s="10">
        <f>R31+Q32</f>
        <v/>
      </c>
      <c r="S32" s="16">
        <f>S31+IF(N32="已下單",M32,0)</f>
        <v/>
      </c>
      <c r="T32" s="16">
        <f>R32-S32</f>
        <v/>
      </c>
      <c r="U32" s="2">
        <f>U31+IF(N32="已下單",1,0)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46283.83333333334</v>
      </c>
      <c r="C33" s="2" t="inlineStr">
        <is>
          <t>出場</t>
        </is>
      </c>
      <c r="D33" s="2" t="n">
        <v>16</v>
      </c>
      <c r="E33" s="2" t="inlineStr">
        <is>
          <t>ENA_USDT_PERP</t>
        </is>
      </c>
      <c r="F33" s="2" t="inlineStr">
        <is>
          <t>做空</t>
        </is>
      </c>
      <c r="G33" s="17" t="n">
        <v>0.1672</v>
      </c>
      <c r="H33" s="17" t="n">
        <v>0.162184</v>
      </c>
      <c r="I33" s="17" t="n">
        <v>0.17556</v>
      </c>
      <c r="J33" s="17" t="n">
        <v>0.162184</v>
      </c>
      <c r="K33" s="2" t="inlineStr">
        <is>
          <t>止盈</t>
        </is>
      </c>
      <c r="L33" s="5">
        <f>交易明細!K17</f>
        <v/>
      </c>
      <c r="M33" s="16">
        <f>M32</f>
        <v/>
      </c>
      <c r="N33" s="2">
        <f>N32</f>
        <v/>
      </c>
      <c r="O33" s="16">
        <f>O32</f>
        <v/>
      </c>
      <c r="P33" s="4">
        <f>交易明細!L17</f>
        <v/>
      </c>
      <c r="Q33" s="10">
        <f>IF(N33="已下單",O33*P33,0)</f>
        <v/>
      </c>
      <c r="R33" s="10">
        <f>R32+Q33</f>
        <v/>
      </c>
      <c r="S33" s="16">
        <f>S32-IF(N33="已下單",M33,0)</f>
        <v/>
      </c>
      <c r="T33" s="16">
        <f>R33-S33</f>
        <v/>
      </c>
      <c r="U33" s="2">
        <f>U32-IF(N33="已下單",1,0)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46283.875</v>
      </c>
      <c r="C34" s="2" t="inlineStr">
        <is>
          <t>出場</t>
        </is>
      </c>
      <c r="D34" s="2" t="n">
        <v>15</v>
      </c>
      <c r="E34" s="2" t="inlineStr">
        <is>
          <t>ARB_USDT_PERP</t>
        </is>
      </c>
      <c r="F34" s="2" t="inlineStr">
        <is>
          <t>做空</t>
        </is>
      </c>
      <c r="G34" s="17" t="n">
        <v>0.2092</v>
      </c>
      <c r="H34" s="17" t="n">
        <v>0.202924</v>
      </c>
      <c r="I34" s="17" t="n">
        <v>0.21966</v>
      </c>
      <c r="J34" s="17" t="n">
        <v>0.202924</v>
      </c>
      <c r="K34" s="2" t="inlineStr">
        <is>
          <t>止盈</t>
        </is>
      </c>
      <c r="L34" s="5">
        <f>交易明細!K16</f>
        <v/>
      </c>
      <c r="M34" s="16">
        <f>M31</f>
        <v/>
      </c>
      <c r="N34" s="2">
        <f>N31</f>
        <v/>
      </c>
      <c r="O34" s="16">
        <f>O31</f>
        <v/>
      </c>
      <c r="P34" s="4">
        <f>交易明細!L16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46284.29166666666</v>
      </c>
      <c r="C35" s="2" t="inlineStr">
        <is>
          <t>進場</t>
        </is>
      </c>
      <c r="D35" s="2" t="n">
        <v>17</v>
      </c>
      <c r="E35" s="2" t="inlineStr">
        <is>
          <t>AERO_USDT_PERP</t>
        </is>
      </c>
      <c r="F35" s="2" t="inlineStr">
        <is>
          <t>做空</t>
        </is>
      </c>
      <c r="G35" s="17" t="n">
        <v>0.6497000000000001</v>
      </c>
      <c r="H35" s="17" t="n">
        <v>0.630209</v>
      </c>
      <c r="I35" s="17" t="n">
        <v>0.682185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46284.75</v>
      </c>
      <c r="C36" s="2" t="inlineStr">
        <is>
          <t>出場</t>
        </is>
      </c>
      <c r="D36" s="2" t="n">
        <v>17</v>
      </c>
      <c r="E36" s="2" t="inlineStr">
        <is>
          <t>AERO_USDT_PERP</t>
        </is>
      </c>
      <c r="F36" s="2" t="inlineStr">
        <is>
          <t>做空</t>
        </is>
      </c>
      <c r="G36" s="17" t="n">
        <v>0.6497000000000001</v>
      </c>
      <c r="H36" s="17" t="n">
        <v>0.630209</v>
      </c>
      <c r="I36" s="17" t="n">
        <v>0.682185</v>
      </c>
      <c r="J36" s="17" t="n">
        <v>0.682185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46286.29166666666</v>
      </c>
      <c r="C37" s="2" t="inlineStr">
        <is>
          <t>進場</t>
        </is>
      </c>
      <c r="D37" s="2" t="n">
        <v>18</v>
      </c>
      <c r="E37" s="2" t="inlineStr">
        <is>
          <t>FF_USDT_PERP</t>
        </is>
      </c>
      <c r="F37" s="2" t="inlineStr">
        <is>
          <t>做空</t>
        </is>
      </c>
      <c r="G37" s="17" t="n">
        <v>0.16087</v>
      </c>
      <c r="H37" s="17" t="n">
        <v>0.1560439</v>
      </c>
      <c r="I37" s="17" t="n">
        <v>0.1689135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46286.33333333334</v>
      </c>
      <c r="C38" s="2" t="inlineStr">
        <is>
          <t>出場</t>
        </is>
      </c>
      <c r="D38" s="2" t="n">
        <v>18</v>
      </c>
      <c r="E38" s="2" t="inlineStr">
        <is>
          <t>FF_USDT_PERP</t>
        </is>
      </c>
      <c r="F38" s="2" t="inlineStr">
        <is>
          <t>做空</t>
        </is>
      </c>
      <c r="G38" s="17" t="n">
        <v>0.16087</v>
      </c>
      <c r="H38" s="17" t="n">
        <v>0.1560439</v>
      </c>
      <c r="I38" s="17" t="n">
        <v>0.1689135</v>
      </c>
      <c r="J38" s="17" t="n">
        <v>0.1560439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46288.20833333334</v>
      </c>
      <c r="C39" s="2" t="inlineStr">
        <is>
          <t>進場</t>
        </is>
      </c>
      <c r="D39" s="2" t="n">
        <v>19</v>
      </c>
      <c r="E39" s="2" t="inlineStr">
        <is>
          <t>KITE_USDT_PERP</t>
        </is>
      </c>
      <c r="F39" s="2" t="inlineStr">
        <is>
          <t>做空</t>
        </is>
      </c>
      <c r="G39" s="17" t="n">
        <v>0.13766</v>
      </c>
      <c r="H39" s="17" t="n">
        <v>0.1335302</v>
      </c>
      <c r="I39" s="17" t="n">
        <v>0.144543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46288.25</v>
      </c>
      <c r="C40" s="2" t="inlineStr">
        <is>
          <t>進場</t>
        </is>
      </c>
      <c r="D40" s="2" t="n">
        <v>20</v>
      </c>
      <c r="E40" s="2" t="inlineStr">
        <is>
          <t>PENGU_USDT_PERP</t>
        </is>
      </c>
      <c r="F40" s="2" t="inlineStr">
        <is>
          <t>做空</t>
        </is>
      </c>
      <c r="G40" s="17" t="n">
        <v>0.009977</v>
      </c>
      <c r="H40" s="17" t="n">
        <v>0.009677689999999999</v>
      </c>
      <c r="I40" s="17" t="n">
        <v>0.01047585</v>
      </c>
      <c r="J40" s="17" t="n"/>
      <c r="K40" s="2" t="n"/>
      <c r="L40" s="5" t="n"/>
      <c r="M40" s="16">
        <f>資金模擬!$B$5*V39</f>
        <v/>
      </c>
      <c r="N40" s="2">
        <f>IF(Z39=1,"已停止",IF(T39&gt;=M40,"已下單","資金不足略過"))</f>
        <v/>
      </c>
      <c r="O40" s="16">
        <f>IF(N40="已下單",M40*資金模擬!$B$7,0)</f>
        <v/>
      </c>
      <c r="P40" s="4" t="n"/>
      <c r="Q40" s="10" t="n">
        <v>0</v>
      </c>
      <c r="R40" s="10">
        <f>R39+Q40</f>
        <v/>
      </c>
      <c r="S40" s="16">
        <f>S39+IF(N40="已下單",M40,0)</f>
        <v/>
      </c>
      <c r="T40" s="16">
        <f>R40-S40</f>
        <v/>
      </c>
      <c r="U40" s="2">
        <f>U39+IF(N40="已下單",1,0)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46288.29166666666</v>
      </c>
      <c r="C41" s="2" t="inlineStr">
        <is>
          <t>進場</t>
        </is>
      </c>
      <c r="D41" s="2" t="n">
        <v>21</v>
      </c>
      <c r="E41" s="2" t="inlineStr">
        <is>
          <t>MARSCOIN_USDT_PERP</t>
        </is>
      </c>
      <c r="F41" s="2" t="inlineStr">
        <is>
          <t>做空</t>
        </is>
      </c>
      <c r="G41" s="17" t="n">
        <v>0.13545</v>
      </c>
      <c r="H41" s="17" t="n">
        <v>0.1313865</v>
      </c>
      <c r="I41" s="17" t="n">
        <v>0.1422225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46288.375</v>
      </c>
      <c r="C42" s="2" t="inlineStr">
        <is>
          <t>出場</t>
        </is>
      </c>
      <c r="D42" s="2" t="n">
        <v>21</v>
      </c>
      <c r="E42" s="2" t="inlineStr">
        <is>
          <t>MARSCOIN_USDT_PERP</t>
        </is>
      </c>
      <c r="F42" s="2" t="inlineStr">
        <is>
          <t>做空</t>
        </is>
      </c>
      <c r="G42" s="17" t="n">
        <v>0.13545</v>
      </c>
      <c r="H42" s="17" t="n">
        <v>0.1313865</v>
      </c>
      <c r="I42" s="17" t="n">
        <v>0.1422225</v>
      </c>
      <c r="J42" s="17" t="n">
        <v>0.1422225</v>
      </c>
      <c r="K42" s="2" t="inlineStr">
        <is>
          <t>止損</t>
        </is>
      </c>
      <c r="L42" s="5">
        <f>交易明細!K22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交易明細!L22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46288.41666666666</v>
      </c>
      <c r="C43" s="2" t="inlineStr">
        <is>
          <t>進場</t>
        </is>
      </c>
      <c r="D43" s="2" t="n">
        <v>22</v>
      </c>
      <c r="E43" s="2" t="inlineStr">
        <is>
          <t>MARSCOIN_USDT_PERP</t>
        </is>
      </c>
      <c r="F43" s="2" t="inlineStr">
        <is>
          <t>做空</t>
        </is>
      </c>
      <c r="G43" s="17" t="n">
        <v>0.13442</v>
      </c>
      <c r="H43" s="17" t="n">
        <v>0.1303874</v>
      </c>
      <c r="I43" s="17" t="n">
        <v>0.141141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46288.45833333334</v>
      </c>
      <c r="C44" s="2" t="inlineStr">
        <is>
          <t>出場</t>
        </is>
      </c>
      <c r="D44" s="2" t="n">
        <v>22</v>
      </c>
      <c r="E44" s="2" t="inlineStr">
        <is>
          <t>MARSCOIN_USDT_PERP</t>
        </is>
      </c>
      <c r="F44" s="2" t="inlineStr">
        <is>
          <t>做空</t>
        </is>
      </c>
      <c r="G44" s="17" t="n">
        <v>0.13442</v>
      </c>
      <c r="H44" s="17" t="n">
        <v>0.1303874</v>
      </c>
      <c r="I44" s="17" t="n">
        <v>0.141141</v>
      </c>
      <c r="J44" s="17" t="n">
        <v>0.141141</v>
      </c>
      <c r="K44" s="2" t="inlineStr">
        <is>
          <t>止損</t>
        </is>
      </c>
      <c r="L44" s="5">
        <f>交易明細!K23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交易明細!L23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46288.54166666666</v>
      </c>
      <c r="C45" s="2" t="inlineStr">
        <is>
          <t>出場</t>
        </is>
      </c>
      <c r="D45" s="2" t="n">
        <v>20</v>
      </c>
      <c r="E45" s="2" t="inlineStr">
        <is>
          <t>PENGU_USDT_PERP</t>
        </is>
      </c>
      <c r="F45" s="2" t="inlineStr">
        <is>
          <t>做空</t>
        </is>
      </c>
      <c r="G45" s="17" t="n">
        <v>0.009977</v>
      </c>
      <c r="H45" s="17" t="n">
        <v>0.009677689999999999</v>
      </c>
      <c r="I45" s="17" t="n">
        <v>0.01047585</v>
      </c>
      <c r="J45" s="17" t="n">
        <v>0.01047585</v>
      </c>
      <c r="K45" s="2" t="inlineStr">
        <is>
          <t>止損</t>
        </is>
      </c>
      <c r="L45" s="5">
        <f>交易明細!K21</f>
        <v/>
      </c>
      <c r="M45" s="16">
        <f>M40</f>
        <v/>
      </c>
      <c r="N45" s="2">
        <f>N40</f>
        <v/>
      </c>
      <c r="O45" s="16">
        <f>O40</f>
        <v/>
      </c>
      <c r="P45" s="4">
        <f>交易明細!L21</f>
        <v/>
      </c>
      <c r="Q45" s="10">
        <f>IF(N45="已下單",O45*P45,0)</f>
        <v/>
      </c>
      <c r="R45" s="10">
        <f>R44+Q45</f>
        <v/>
      </c>
      <c r="S45" s="16">
        <f>S44-IF(N45="已下單",M45,0)</f>
        <v/>
      </c>
      <c r="T45" s="16">
        <f>R45-S45</f>
        <v/>
      </c>
      <c r="U45" s="2">
        <f>U44-IF(N45="已下單",1,0)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46288.83333333334</v>
      </c>
      <c r="C46" s="2" t="inlineStr">
        <is>
          <t>進場</t>
        </is>
      </c>
      <c r="D46" s="2" t="n">
        <v>23</v>
      </c>
      <c r="E46" s="2" t="inlineStr">
        <is>
          <t>BONK_USDT_PERP</t>
        </is>
      </c>
      <c r="F46" s="2" t="inlineStr">
        <is>
          <t>做空</t>
        </is>
      </c>
      <c r="G46" s="17" t="n">
        <v>3.815e-06</v>
      </c>
      <c r="H46" s="17" t="n">
        <v>3.70055e-06</v>
      </c>
      <c r="I46" s="17" t="n">
        <v>4.00575e-06</v>
      </c>
      <c r="J46" s="17" t="n"/>
      <c r="K46" s="2" t="n"/>
      <c r="L46" s="5" t="n"/>
      <c r="M46" s="16">
        <f>資金模擬!$B$5*V45</f>
        <v/>
      </c>
      <c r="N46" s="2">
        <f>IF(Z45=1,"已停止",IF(T45&gt;=M46,"已下單","資金不足略過"))</f>
        <v/>
      </c>
      <c r="O46" s="16">
        <f>IF(N46="已下單",M46*資金模擬!$B$7,0)</f>
        <v/>
      </c>
      <c r="P46" s="4" t="n"/>
      <c r="Q46" s="10" t="n">
        <v>0</v>
      </c>
      <c r="R46" s="10">
        <f>R45+Q46</f>
        <v/>
      </c>
      <c r="S46" s="16">
        <f>S45+IF(N46="已下單",M46,0)</f>
        <v/>
      </c>
      <c r="T46" s="16">
        <f>R46-S46</f>
        <v/>
      </c>
      <c r="U46" s="2">
        <f>U45+IF(N46="已下單",1,0)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46288.95833333334</v>
      </c>
      <c r="C47" s="2" t="inlineStr">
        <is>
          <t>出場</t>
        </is>
      </c>
      <c r="D47" s="2" t="n">
        <v>19</v>
      </c>
      <c r="E47" s="2" t="inlineStr">
        <is>
          <t>KITE_USDT_PERP</t>
        </is>
      </c>
      <c r="F47" s="2" t="inlineStr">
        <is>
          <t>做空</t>
        </is>
      </c>
      <c r="G47" s="17" t="n">
        <v>0.13766</v>
      </c>
      <c r="H47" s="17" t="n">
        <v>0.1335302</v>
      </c>
      <c r="I47" s="17" t="n">
        <v>0.144543</v>
      </c>
      <c r="J47" s="17" t="n">
        <v>0.1335302</v>
      </c>
      <c r="K47" s="2" t="inlineStr">
        <is>
          <t>止盈</t>
        </is>
      </c>
      <c r="L47" s="5">
        <f>交易明細!K20</f>
        <v/>
      </c>
      <c r="M47" s="16">
        <f>M39</f>
        <v/>
      </c>
      <c r="N47" s="2">
        <f>N39</f>
        <v/>
      </c>
      <c r="O47" s="16">
        <f>O39</f>
        <v/>
      </c>
      <c r="P47" s="4">
        <f>交易明細!L20</f>
        <v/>
      </c>
      <c r="Q47" s="10">
        <f>IF(N47="已下單",O47*P47,0)</f>
        <v/>
      </c>
      <c r="R47" s="10">
        <f>R46+Q47</f>
        <v/>
      </c>
      <c r="S47" s="16">
        <f>S46-IF(N47="已下單",M47,0)</f>
        <v/>
      </c>
      <c r="T47" s="16">
        <f>R47-S47</f>
        <v/>
      </c>
      <c r="U47" s="2">
        <f>U46-IF(N47="已下單",1,0)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46288.95833333334</v>
      </c>
      <c r="C48" s="2" t="inlineStr">
        <is>
          <t>出場</t>
        </is>
      </c>
      <c r="D48" s="2" t="n">
        <v>23</v>
      </c>
      <c r="E48" s="2" t="inlineStr">
        <is>
          <t>BONK_USDT_PERP</t>
        </is>
      </c>
      <c r="F48" s="2" t="inlineStr">
        <is>
          <t>做空</t>
        </is>
      </c>
      <c r="G48" s="17" t="n">
        <v>3.815e-06</v>
      </c>
      <c r="H48" s="17" t="n">
        <v>3.70055e-06</v>
      </c>
      <c r="I48" s="17" t="n">
        <v>4.00575e-06</v>
      </c>
      <c r="J48" s="17" t="n">
        <v>3.70055e-06</v>
      </c>
      <c r="K48" s="2" t="inlineStr">
        <is>
          <t>止盈</t>
        </is>
      </c>
      <c r="L48" s="5">
        <f>交易明細!K24</f>
        <v/>
      </c>
      <c r="M48" s="16">
        <f>M46</f>
        <v/>
      </c>
      <c r="N48" s="2">
        <f>N46</f>
        <v/>
      </c>
      <c r="O48" s="16">
        <f>O46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</sheetData>
  <autoFilter ref="A1:Z48"/>
  <conditionalFormatting sqref="K2:K48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48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48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2026-09-24 12:59（Dry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IFERROR(AVERAGE(交易明細!$AC$2:$AC$24),(B6+2*B7)/(B5+B6))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inlineStr">
        <is>
          <t>不限</t>
        </is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2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0G_USDT_PERP</t>
        </is>
      </c>
      <c r="C2" s="2" t="inlineStr">
        <is>
          <t>做空</t>
        </is>
      </c>
      <c r="D2" s="7" t="n">
        <v>46266.5</v>
      </c>
      <c r="E2" s="17" t="n">
        <v>0.2362</v>
      </c>
      <c r="F2" s="17" t="n">
        <v>0.229114</v>
      </c>
      <c r="G2" s="17" t="n">
        <v>0.24801</v>
      </c>
      <c r="H2" s="7" t="n">
        <v>46266.54166666666</v>
      </c>
      <c r="I2" s="17" t="n">
        <v>0.24801</v>
      </c>
      <c r="J2" s="2" t="inlineStr">
        <is>
          <t>止損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-0.02878289473684215</v>
      </c>
      <c r="O2" s="4" t="n">
        <v>0.05751789164401688</v>
      </c>
      <c r="P2" s="4" t="n">
        <v>0.06643790775899028</v>
      </c>
      <c r="Q2" s="19" t="n">
        <v>-483346</v>
      </c>
      <c r="R2" s="19" t="n">
        <v>1491156.5648</v>
      </c>
      <c r="S2" s="4" t="n">
        <v>0</v>
      </c>
      <c r="T2" s="4" t="n">
        <v>0.05</v>
      </c>
      <c r="U2" s="16" t="n">
        <v>1.027021303202873</v>
      </c>
      <c r="V2" s="16" t="n">
        <v>0.6250000000000002</v>
      </c>
      <c r="W2" s="4" t="n">
        <v>-0.3451637887830881</v>
      </c>
      <c r="X2" s="4" t="n">
        <v>-0.2719439956919762</v>
      </c>
      <c r="Y2" s="4" t="n">
        <v>-0.002973704646859865</v>
      </c>
      <c r="Z2" s="4" t="n">
        <v>-0.001343758334834355</v>
      </c>
      <c r="AA2" s="4" t="n">
        <v>0.03</v>
      </c>
      <c r="AB2" s="4" t="n">
        <v>0.05</v>
      </c>
      <c r="AC2" s="4">
        <f>(AB2+2*參數!$B$7)/(AA2+AB2)</f>
        <v/>
      </c>
      <c r="AD2" s="20" t="n">
        <v>46266.33333333334</v>
      </c>
      <c r="AE2" s="2" t="n">
        <v>3</v>
      </c>
      <c r="AF2" s="2" t="n">
        <v>0.1523084245597335</v>
      </c>
      <c r="AG2" s="2" t="n">
        <v>0.23952802359882</v>
      </c>
      <c r="AH2" s="2" t="n">
        <v>4.574174237954386</v>
      </c>
      <c r="AI2" s="2" t="n">
        <v>0.329724705458221</v>
      </c>
      <c r="AJ2" s="2" t="n">
        <v>0.7176561861303212</v>
      </c>
      <c r="AK2" s="2" t="n">
        <v>0.004147656574035707</v>
      </c>
      <c r="AL2" s="2" t="n">
        <v>0.1326845700383645</v>
      </c>
      <c r="AM2" s="2" t="n">
        <v>68.17013005144592</v>
      </c>
      <c r="AN2" s="2" t="n">
        <v>0.7721088435374154</v>
      </c>
      <c r="AO2" s="2" t="n">
        <v>0.4283185840707964</v>
      </c>
      <c r="AP2" s="2" t="n">
        <v>0.001681064995573855</v>
      </c>
    </row>
    <row r="3">
      <c r="A3" s="2" t="n">
        <v>2</v>
      </c>
      <c r="B3" s="2" t="inlineStr">
        <is>
          <t>USELESS_USDT_PERP</t>
        </is>
      </c>
      <c r="C3" s="2" t="inlineStr">
        <is>
          <t>做空</t>
        </is>
      </c>
      <c r="D3" s="7" t="n">
        <v>46267.25</v>
      </c>
      <c r="E3" s="17" t="n">
        <v>0.10939</v>
      </c>
      <c r="F3" s="17" t="n">
        <v>0.1061083</v>
      </c>
      <c r="G3" s="17" t="n">
        <v>0.1148595</v>
      </c>
      <c r="H3" s="7" t="n">
        <v>46267.41666666666</v>
      </c>
      <c r="I3" s="17" t="n">
        <v>0.1148595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-0.03168982915818364</v>
      </c>
      <c r="O3" s="4" t="n">
        <v>0.0569753803731065</v>
      </c>
      <c r="P3" s="4" t="n">
        <v>0.08470172933523723</v>
      </c>
      <c r="Q3" s="19" t="n">
        <v>8145300</v>
      </c>
      <c r="R3" s="19" t="n">
        <v>7822074.94372</v>
      </c>
      <c r="S3" s="4" t="n">
        <v>0.02066002376816889</v>
      </c>
      <c r="T3" s="4" t="n">
        <v>0.05</v>
      </c>
      <c r="U3" s="16" t="n">
        <v>0.7190815703975683</v>
      </c>
      <c r="V3" s="16" t="n">
        <v>0.5762032085561489</v>
      </c>
      <c r="W3" s="4" t="n">
        <v>-0.4769638731855244</v>
      </c>
      <c r="X3" s="4" t="n">
        <v>-0.197744443227855</v>
      </c>
      <c r="Y3" s="4" t="n">
        <v>0.003031708284301327</v>
      </c>
      <c r="Z3" s="4" t="n">
        <v>0.01038678187219555</v>
      </c>
      <c r="AA3" s="4" t="n">
        <v>0.03</v>
      </c>
      <c r="AB3" s="4" t="n">
        <v>0.05</v>
      </c>
      <c r="AC3" s="4">
        <f>(AB3+2*參數!$B$7)/(AA3+AB3)</f>
        <v/>
      </c>
      <c r="AD3" s="20" t="n">
        <v>46267.08333333334</v>
      </c>
      <c r="AE3" s="2" t="n">
        <v>3</v>
      </c>
      <c r="AF3" s="2" t="n">
        <v>0.174861739567622</v>
      </c>
      <c r="AG3" s="2" t="n">
        <v>0.1137865382461642</v>
      </c>
      <c r="AH3" s="2" t="n">
        <v>6.480290097990559</v>
      </c>
      <c r="AI3" s="2" t="n">
        <v>0.3276065156905972</v>
      </c>
      <c r="AJ3" s="2" t="n">
        <v>0.7215465164263279</v>
      </c>
      <c r="AK3" s="2" t="n">
        <v>0.08779443254817987</v>
      </c>
      <c r="AL3" s="2" t="n">
        <v>0.1968429732595123</v>
      </c>
      <c r="AM3" s="2" t="n">
        <v>77.56973908223279</v>
      </c>
      <c r="AN3" s="2" t="n">
        <v>0.858356940509915</v>
      </c>
      <c r="AO3" s="2" t="n">
        <v>0.3085451898308882</v>
      </c>
      <c r="AP3" s="2" t="n">
        <v>-0.01348044349746402</v>
      </c>
    </row>
    <row r="4">
      <c r="A4" s="2" t="n">
        <v>3</v>
      </c>
      <c r="B4" s="2" t="inlineStr">
        <is>
          <t>BR_USDT_PERP</t>
        </is>
      </c>
      <c r="C4" s="2" t="inlineStr">
        <is>
          <t>做空</t>
        </is>
      </c>
      <c r="D4" s="7" t="n">
        <v>46269</v>
      </c>
      <c r="E4" s="17" t="n">
        <v>0.30056</v>
      </c>
      <c r="F4" s="17" t="n">
        <v>0.2915432</v>
      </c>
      <c r="G4" s="17" t="n">
        <v>0.315588</v>
      </c>
      <c r="H4" s="7" t="n">
        <v>46269.08333333334</v>
      </c>
      <c r="I4" s="17" t="n">
        <v>0.315588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-0.09974240699694481</v>
      </c>
      <c r="O4" s="4" t="n">
        <v>0.05534050442625846</v>
      </c>
      <c r="P4" s="4" t="n">
        <v>0.114208606423678</v>
      </c>
      <c r="Q4" s="19" t="n">
        <v>3225610</v>
      </c>
      <c r="R4" s="19" t="n">
        <v>1456464.32951</v>
      </c>
      <c r="S4" s="4" t="n">
        <v>0.006188448229970667</v>
      </c>
      <c r="T4" s="4" t="n">
        <v>0.05</v>
      </c>
      <c r="U4" s="16" t="n">
        <v>1.597353333220626</v>
      </c>
      <c r="V4" s="16" t="n">
        <v>0.7913345595749031</v>
      </c>
      <c r="W4" s="4" t="n">
        <v>-0.3450185624733735</v>
      </c>
      <c r="X4" s="4" t="n">
        <v>-0.3905801795132784</v>
      </c>
      <c r="Y4" s="4" t="n">
        <v>-0.010039946142266</v>
      </c>
      <c r="Z4" s="4" t="n">
        <v>-0.04259470966847734</v>
      </c>
      <c r="AA4" s="4" t="n">
        <v>0.03</v>
      </c>
      <c r="AB4" s="4" t="n">
        <v>0.05</v>
      </c>
      <c r="AC4" s="4">
        <f>(AB4+2*參數!$B$7)/(AA4+AB4)</f>
        <v/>
      </c>
      <c r="AD4" s="20" t="n">
        <v>46268.91666666666</v>
      </c>
      <c r="AE4" s="2" t="n">
        <v>1</v>
      </c>
      <c r="AF4" s="2" t="n">
        <v>0.2151852660697386</v>
      </c>
      <c r="AG4" s="2" t="n">
        <v>0.2795268256333829</v>
      </c>
      <c r="AH4" s="2" t="n">
        <v>24.34089501305785</v>
      </c>
      <c r="AI4" s="2" t="n">
        <v>0.7796264970585266</v>
      </c>
      <c r="AJ4" s="2" t="n">
        <v>0.4570980436227371</v>
      </c>
      <c r="AK4" s="2" t="n">
        <v>0.01749359990247457</v>
      </c>
      <c r="AL4" s="2" t="n">
        <v>0.2586853663594035</v>
      </c>
      <c r="AM4" s="2" t="n">
        <v>89.072697833326</v>
      </c>
      <c r="AN4" s="2" t="n">
        <v>0.5620214395099538</v>
      </c>
      <c r="AO4" s="2" t="n">
        <v>0.5548621460506706</v>
      </c>
      <c r="AP4" s="2" t="n">
        <v>0.03489274970015344</v>
      </c>
    </row>
    <row r="5">
      <c r="A5" s="2" t="n">
        <v>4</v>
      </c>
      <c r="B5" s="2" t="inlineStr">
        <is>
          <t>ENA_USDT_PERP</t>
        </is>
      </c>
      <c r="C5" s="2" t="inlineStr">
        <is>
          <t>做空</t>
        </is>
      </c>
      <c r="D5" s="7" t="n">
        <v>46269.16666666666</v>
      </c>
      <c r="E5" s="17" t="n">
        <v>0.1708</v>
      </c>
      <c r="F5" s="17" t="n">
        <v>0.165676</v>
      </c>
      <c r="G5" s="17" t="n">
        <v>0.17934</v>
      </c>
      <c r="H5" s="7" t="n">
        <v>46269.29166666666</v>
      </c>
      <c r="I5" s="17" t="n">
        <v>0.165676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-0.02344196683819322</v>
      </c>
      <c r="O5" s="4" t="n">
        <v>0.02387820035074014</v>
      </c>
      <c r="P5" s="4" t="n">
        <v>0.08286312052241196</v>
      </c>
      <c r="Q5" s="19" t="n">
        <v>19386246</v>
      </c>
      <c r="R5" s="19" t="n">
        <v>9543632.076399999</v>
      </c>
      <c r="S5" s="4" t="n">
        <v>0.03</v>
      </c>
      <c r="T5" s="4" t="n">
        <v>0.002341920374707263</v>
      </c>
      <c r="U5" s="16" t="n">
        <v>1.929538472840791</v>
      </c>
      <c r="V5" s="16" t="n">
        <v>0.8936170212765953</v>
      </c>
      <c r="W5" s="4" t="n">
        <v>-0.1070278118052721</v>
      </c>
      <c r="X5" s="4" t="n">
        <v>-0.1470785762256548</v>
      </c>
      <c r="Y5" s="4" t="n">
        <v>-0.005792430321556852</v>
      </c>
      <c r="Z5" s="4" t="n">
        <v>-0.03686774996619269</v>
      </c>
      <c r="AA5" s="4" t="n">
        <v>0.03</v>
      </c>
      <c r="AB5" s="4" t="n">
        <v>0.05</v>
      </c>
      <c r="AC5" s="4">
        <f>(AB5+2*參數!$B$7)/(AA5+AB5)</f>
        <v/>
      </c>
      <c r="AD5" s="20" t="n">
        <v>46269.04166666666</v>
      </c>
      <c r="AE5" s="2" t="n">
        <v>2</v>
      </c>
      <c r="AF5" s="2" t="n">
        <v>0.1848906560636181</v>
      </c>
      <c r="AG5" s="2" t="n">
        <v>0.006671114076050699</v>
      </c>
      <c r="AH5" s="2" t="n">
        <v>1.572995980375042</v>
      </c>
      <c r="AI5" s="2" t="n">
        <v>0.8596786644759616</v>
      </c>
      <c r="AJ5" s="2" t="n">
        <v>0.4585147606143744</v>
      </c>
      <c r="AK5" s="2" t="n">
        <v>0.02876869965477558</v>
      </c>
      <c r="AL5" s="2" t="n">
        <v>0.1517279139424779</v>
      </c>
      <c r="AM5" s="2" t="n">
        <v>85.51608618974147</v>
      </c>
      <c r="AN5" s="2" t="n">
        <v>0.8399999999999993</v>
      </c>
      <c r="AO5" s="2" t="n">
        <v>0.1927951967978652</v>
      </c>
      <c r="AP5" s="2" t="n">
        <v>0.03376644457895006</v>
      </c>
    </row>
    <row r="6">
      <c r="A6" s="2" t="n">
        <v>5</v>
      </c>
      <c r="B6" s="2" t="inlineStr">
        <is>
          <t>MUBARAK_USDT_PERP</t>
        </is>
      </c>
      <c r="C6" s="2" t="inlineStr">
        <is>
          <t>做空</t>
        </is>
      </c>
      <c r="D6" s="7" t="n">
        <v>46269.16666666666</v>
      </c>
      <c r="E6" s="17" t="n">
        <v>0.03052</v>
      </c>
      <c r="F6" s="17" t="n">
        <v>0.0296044</v>
      </c>
      <c r="G6" s="17" t="n">
        <v>0.032046</v>
      </c>
      <c r="H6" s="7" t="n">
        <v>46269.25</v>
      </c>
      <c r="I6" s="17" t="n">
        <v>0.0296044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-0.02771583306785608</v>
      </c>
      <c r="O6" s="4" t="n">
        <v>0.05550076592828902</v>
      </c>
      <c r="P6" s="4" t="n">
        <v>0.06969489862082257</v>
      </c>
      <c r="Q6" s="19" t="n">
        <v>7187640</v>
      </c>
      <c r="R6" s="19" t="n">
        <v>1003005.20854</v>
      </c>
      <c r="S6" s="4" t="n">
        <v>0.03</v>
      </c>
      <c r="T6" s="4" t="n">
        <v>0.03178243774574052</v>
      </c>
      <c r="U6" s="16" t="n">
        <v>0.2975973574054144</v>
      </c>
      <c r="V6" s="16" t="n">
        <v>0.634482758620691</v>
      </c>
      <c r="W6" s="4" t="n">
        <v>-0.3038166112729725</v>
      </c>
      <c r="X6" s="4" t="n">
        <v>-0.1033984092552422</v>
      </c>
      <c r="Y6" s="4" t="n">
        <v>-0.005792430321556852</v>
      </c>
      <c r="Z6" s="4" t="n">
        <v>-0.03686774996619269</v>
      </c>
      <c r="AA6" s="4" t="n">
        <v>0.03</v>
      </c>
      <c r="AB6" s="4" t="n">
        <v>0.05</v>
      </c>
      <c r="AC6" s="4">
        <f>(AB6+2*參數!$B$7)/(AA6+AB6)</f>
        <v/>
      </c>
      <c r="AD6" s="20" t="n">
        <v>46268.91666666666</v>
      </c>
      <c r="AE6" s="2" t="n">
        <v>5</v>
      </c>
      <c r="AF6" s="2" t="n">
        <v>0.146096654275093</v>
      </c>
      <c r="AG6" s="2" t="n">
        <v>0.08511496571198074</v>
      </c>
      <c r="AH6" s="2" t="n">
        <v>1.84606372815344</v>
      </c>
      <c r="AI6" s="2" t="n">
        <v>0.2894384700622555</v>
      </c>
      <c r="AJ6" s="2" t="n">
        <v>0.6482661248665588</v>
      </c>
      <c r="AK6" s="2" t="n">
        <v>0.02938230383973295</v>
      </c>
      <c r="AL6" s="2" t="n">
        <v>0.1112312572087657</v>
      </c>
      <c r="AM6" s="2" t="n">
        <v>70.76221787305012</v>
      </c>
      <c r="AN6" s="2" t="n">
        <v>0.717647058823529</v>
      </c>
      <c r="AO6" s="2" t="n">
        <v>0.2436466317063333</v>
      </c>
      <c r="AP6" s="2" t="n">
        <v>0.03489274970015344</v>
      </c>
    </row>
    <row r="7">
      <c r="A7" s="2" t="n">
        <v>6</v>
      </c>
      <c r="B7" s="2" t="inlineStr">
        <is>
          <t>ARB_USDT_PERP</t>
        </is>
      </c>
      <c r="C7" s="2" t="inlineStr">
        <is>
          <t>做空</t>
        </is>
      </c>
      <c r="D7" s="7" t="n">
        <v>46269.41666666666</v>
      </c>
      <c r="E7" s="17" t="n">
        <v>0.1367</v>
      </c>
      <c r="F7" s="17" t="n">
        <v>0.132599</v>
      </c>
      <c r="G7" s="17" t="n">
        <v>0.143535</v>
      </c>
      <c r="H7" s="7" t="n">
        <v>46269.875</v>
      </c>
      <c r="I7" s="17" t="n">
        <v>0.132599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-0.05918788713007583</v>
      </c>
      <c r="O7" s="4" t="n">
        <v>0.03836258322887268</v>
      </c>
      <c r="P7" s="4" t="n">
        <v>-0.001460920379839359</v>
      </c>
      <c r="Q7" s="19" t="n">
        <v>745476.1000000015</v>
      </c>
      <c r="R7" s="19" t="n">
        <v>2484782.54993</v>
      </c>
      <c r="S7" s="4" t="n">
        <v>0.03</v>
      </c>
      <c r="T7" s="4" t="n">
        <v>0.03803950256035127</v>
      </c>
      <c r="U7" s="16" t="n">
        <v>2.026226968563247</v>
      </c>
      <c r="V7" s="16" t="n">
        <v>0.8135593220339001</v>
      </c>
      <c r="W7" s="4" t="n">
        <v>-0.2120835956411098</v>
      </c>
      <c r="X7" s="4" t="n">
        <v>-0.09887459807073951</v>
      </c>
      <c r="Y7" s="4" t="n">
        <v>1.976848631457528e-05</v>
      </c>
      <c r="Z7" s="4" t="n">
        <v>-0.01313509415105196</v>
      </c>
      <c r="AA7" s="4" t="n">
        <v>0.03</v>
      </c>
      <c r="AB7" s="4" t="n">
        <v>0.05</v>
      </c>
      <c r="AC7" s="4">
        <f>(AB7+2*參數!$B$7)/(AA7+AB7)</f>
        <v/>
      </c>
      <c r="AD7" s="20" t="n">
        <v>46269.33333333334</v>
      </c>
      <c r="AE7" s="2" t="n">
        <v>1</v>
      </c>
      <c r="AF7" s="2" t="n">
        <v>0.1083142639206713</v>
      </c>
      <c r="AG7" s="2" t="n">
        <v>0.06672091131000824</v>
      </c>
      <c r="AH7" s="2" t="n">
        <v>1.714835031570088</v>
      </c>
      <c r="AI7" s="2" t="n">
        <v>0.2270683510056317</v>
      </c>
      <c r="AJ7" s="2" t="n">
        <v>0.7031520956999636</v>
      </c>
      <c r="AK7" s="2" t="n">
        <v>0.003453038674033237</v>
      </c>
      <c r="AL7" s="2" t="n">
        <v>0.06341713323818943</v>
      </c>
      <c r="AM7" s="2" t="n">
        <v>66.78413261655683</v>
      </c>
      <c r="AN7" s="2" t="n">
        <v>0.8703703703703741</v>
      </c>
      <c r="AO7" s="2" t="n">
        <v>0.1822620016273395</v>
      </c>
      <c r="AP7" s="2" t="n">
        <v>0.01516165757890353</v>
      </c>
    </row>
    <row r="8">
      <c r="A8" s="2" t="n">
        <v>7</v>
      </c>
      <c r="B8" s="2" t="inlineStr">
        <is>
          <t>WLD_USDT_PERP</t>
        </is>
      </c>
      <c r="C8" s="2" t="inlineStr">
        <is>
          <t>做空</t>
        </is>
      </c>
      <c r="D8" s="7" t="n">
        <v>46273</v>
      </c>
      <c r="E8" s="17" t="n">
        <v>0.4534</v>
      </c>
      <c r="F8" s="17" t="n">
        <v>0.439798</v>
      </c>
      <c r="G8" s="17" t="n">
        <v>0.47607</v>
      </c>
      <c r="H8" s="7" t="n">
        <v>46273.29166666666</v>
      </c>
      <c r="I8" s="17" t="n">
        <v>0.47607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-0.03757164084058584</v>
      </c>
      <c r="O8" s="4" t="n">
        <v>0.02682249478748429</v>
      </c>
      <c r="P8" s="4" t="n">
        <v>0.04238272044877189</v>
      </c>
      <c r="Q8" s="19" t="n">
        <v>2194548</v>
      </c>
      <c r="R8" s="19" t="n">
        <v>3331311.2628</v>
      </c>
      <c r="S8" s="4" t="n">
        <v>0.001543890604322917</v>
      </c>
      <c r="T8" s="4" t="n">
        <v>0.05</v>
      </c>
      <c r="U8" s="16" t="n">
        <v>1.126097450219174</v>
      </c>
      <c r="V8" s="16" t="n">
        <v>0.8909090909090901</v>
      </c>
      <c r="W8" s="4" t="n">
        <v>-0.1258806030190684</v>
      </c>
      <c r="X8" s="4" t="n">
        <v>-0.1104579965711487</v>
      </c>
      <c r="Y8" s="4" t="n">
        <v>0.004843795797495609</v>
      </c>
      <c r="Z8" s="4" t="n">
        <v>0.01046575170377817</v>
      </c>
      <c r="AA8" s="4" t="n">
        <v>0.03</v>
      </c>
      <c r="AB8" s="4" t="n">
        <v>0.05</v>
      </c>
      <c r="AC8" s="4">
        <f>(AB8+2*參數!$B$7)/(AA8+AB8)</f>
        <v/>
      </c>
      <c r="AD8" s="20" t="n">
        <v>46272.875</v>
      </c>
      <c r="AE8" s="2" t="n">
        <v>2</v>
      </c>
      <c r="AF8" s="2" t="n">
        <v>0.102788279773157</v>
      </c>
      <c r="AG8" s="2" t="n">
        <v>0.01608643457382963</v>
      </c>
      <c r="AH8" s="2" t="n">
        <v>3.989579179281572</v>
      </c>
      <c r="AI8" s="2" t="n">
        <v>0.4754861421377647</v>
      </c>
      <c r="AJ8" s="2" t="n">
        <v>0.5721431282505077</v>
      </c>
      <c r="AK8" s="2" t="n">
        <v>0.002362542955326452</v>
      </c>
      <c r="AL8" s="2" t="n">
        <v>0.08521003127506943</v>
      </c>
      <c r="AM8" s="2" t="n">
        <v>74.98865368286783</v>
      </c>
      <c r="AN8" s="2" t="n">
        <v>0.9516908212560385</v>
      </c>
      <c r="AO8" s="2" t="n">
        <v>0.1205282112845139</v>
      </c>
      <c r="AP8" s="2" t="n">
        <v>-0.004739797389268552</v>
      </c>
    </row>
    <row r="9">
      <c r="A9" s="2" t="n">
        <v>8</v>
      </c>
      <c r="B9" s="2" t="inlineStr">
        <is>
          <t>SOLV_USDT_PERP</t>
        </is>
      </c>
      <c r="C9" s="2" t="inlineStr">
        <is>
          <t>做空</t>
        </is>
      </c>
      <c r="D9" s="7" t="n">
        <v>46273.08333333334</v>
      </c>
      <c r="E9" s="17" t="n">
        <v>0.00461</v>
      </c>
      <c r="F9" s="17" t="n">
        <v>0.0044717</v>
      </c>
      <c r="G9" s="17" t="n">
        <v>0.0048405</v>
      </c>
      <c r="H9" s="7" t="n">
        <v>46273.125</v>
      </c>
      <c r="I9" s="17" t="n">
        <v>0.0044717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-0.03958333333333319</v>
      </c>
      <c r="O9" s="4" t="n">
        <v>0.03843258349320738</v>
      </c>
      <c r="P9" s="4" t="n">
        <v>0.1016847891026409</v>
      </c>
      <c r="Q9" s="19" t="n">
        <v>208617967</v>
      </c>
      <c r="R9" s="19" t="n">
        <v>2654711.23942</v>
      </c>
      <c r="S9" s="4" t="n">
        <v>0.03</v>
      </c>
      <c r="T9" s="4" t="n">
        <v>0</v>
      </c>
      <c r="U9" s="16" t="n">
        <v>1.923256918727044</v>
      </c>
      <c r="V9" s="16" t="n">
        <v>0.8461538461538456</v>
      </c>
      <c r="W9" s="4" t="n">
        <v>-0.3468111834993719</v>
      </c>
      <c r="X9" s="4" t="n">
        <v>-0.2359249329758715</v>
      </c>
      <c r="Y9" s="4" t="n">
        <v>-0.002076227949572962</v>
      </c>
      <c r="Z9" s="4" t="n">
        <v>0.004621363982384885</v>
      </c>
      <c r="AA9" s="4" t="n">
        <v>0.03</v>
      </c>
      <c r="AB9" s="4" t="n">
        <v>0.05</v>
      </c>
      <c r="AC9" s="4">
        <f>(AB9+2*參數!$B$7)/(AA9+AB9)</f>
        <v/>
      </c>
      <c r="AD9" s="20" t="n">
        <v>46272.83333333334</v>
      </c>
      <c r="AE9" s="2" t="n">
        <v>5</v>
      </c>
      <c r="AF9" s="2" t="n">
        <v>0.2359249329758715</v>
      </c>
      <c r="AG9" s="2" t="n">
        <v>0.0191256830601092</v>
      </c>
      <c r="AH9" s="2" t="n">
        <v>7.417085800427782</v>
      </c>
      <c r="AI9" s="2" t="n">
        <v>0.6030045937428951</v>
      </c>
      <c r="AJ9" s="2" t="n">
        <v>0.5579142530010581</v>
      </c>
      <c r="AK9" s="2" t="n">
        <v>0.004357298474945592</v>
      </c>
      <c r="AL9" s="2" t="n">
        <v>0.1609166456811888</v>
      </c>
      <c r="AM9" s="2" t="n">
        <v>77.58632186876497</v>
      </c>
      <c r="AN9" s="2" t="n">
        <v>0.7058823529411783</v>
      </c>
      <c r="AO9" s="2" t="n">
        <v>0.2595628415300548</v>
      </c>
      <c r="AP9" s="2" t="n">
        <v>-0.001812840879916289</v>
      </c>
    </row>
    <row r="10">
      <c r="A10" s="2" t="n">
        <v>9</v>
      </c>
      <c r="B10" s="2" t="inlineStr">
        <is>
          <t>IOST_USDT_PERP</t>
        </is>
      </c>
      <c r="C10" s="2" t="inlineStr">
        <is>
          <t>做空</t>
        </is>
      </c>
      <c r="D10" s="7" t="n">
        <v>46273.25</v>
      </c>
      <c r="E10" s="17" t="n">
        <v>0.0009790000000000001</v>
      </c>
      <c r="F10" s="17" t="n">
        <v>0.00094963</v>
      </c>
      <c r="G10" s="17" t="n">
        <v>0.00102795</v>
      </c>
      <c r="H10" s="7" t="n">
        <v>46273.29166666666</v>
      </c>
      <c r="I10" s="17" t="n">
        <v>0.00094963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-0.02392821535393808</v>
      </c>
      <c r="O10" s="4" t="n">
        <v>0.0484199880103764</v>
      </c>
      <c r="P10" s="4" t="n">
        <v>0.1114895549500456</v>
      </c>
      <c r="Q10" s="19" t="n">
        <v>340452623</v>
      </c>
      <c r="R10" s="19" t="n">
        <v>2226068.709122</v>
      </c>
      <c r="S10" s="4" t="n">
        <v>0.03</v>
      </c>
      <c r="T10" s="4" t="n">
        <v>0</v>
      </c>
      <c r="U10" s="16" t="n">
        <v>2.56430231933558</v>
      </c>
      <c r="V10" s="16" t="n">
        <v>0.7307692307692297</v>
      </c>
      <c r="W10" s="4" t="n">
        <v>-0.3917914161015625</v>
      </c>
      <c r="X10" s="4" t="n">
        <v>-0.335607094133697</v>
      </c>
      <c r="Y10" s="4" t="n">
        <v>0.0009797126260463473</v>
      </c>
      <c r="Z10" s="4" t="n">
        <v>0.002738680501831126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46273.16666666666</v>
      </c>
      <c r="AE10" s="2" t="n">
        <v>1</v>
      </c>
      <c r="AF10" s="2" t="n">
        <v>0.142369020501139</v>
      </c>
      <c r="AG10" s="2" t="n">
        <v>0.1994535519125682</v>
      </c>
      <c r="AH10" s="2" t="n">
        <v>15.28473793416375</v>
      </c>
      <c r="AI10" s="2" t="n">
        <v>0.3966130686659342</v>
      </c>
      <c r="AJ10" s="2" t="n">
        <v>0.8154712151171138</v>
      </c>
      <c r="AK10" s="2" t="n">
        <v>0.009054325955734299</v>
      </c>
      <c r="AL10" s="2" t="n">
        <v>0.1568627450980393</v>
      </c>
      <c r="AM10" s="2" t="n">
        <v>79.6130503473063</v>
      </c>
      <c r="AN10" s="2" t="n">
        <v>0.2666666666666662</v>
      </c>
      <c r="AO10" s="2" t="n">
        <v>0.3702185792349726</v>
      </c>
      <c r="AP10" s="2" t="n">
        <v>-0.002237086866716642</v>
      </c>
    </row>
    <row r="11">
      <c r="A11" s="2" t="n">
        <v>10</v>
      </c>
      <c r="B11" s="2" t="inlineStr">
        <is>
          <t>AERO_USDT_PERP</t>
        </is>
      </c>
      <c r="C11" s="2" t="inlineStr">
        <is>
          <t>做空</t>
        </is>
      </c>
      <c r="D11" s="7" t="n">
        <v>46273.58333333334</v>
      </c>
      <c r="E11" s="17" t="n">
        <v>0.6385999999999999</v>
      </c>
      <c r="F11" s="17" t="n">
        <v>0.6194419999999999</v>
      </c>
      <c r="G11" s="17" t="n">
        <v>0.67053</v>
      </c>
      <c r="H11" s="7" t="n">
        <v>46273.91666666666</v>
      </c>
      <c r="I11" s="17" t="n">
        <v>0.6194419999999999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-0.02085249923336407</v>
      </c>
      <c r="O11" s="4" t="n">
        <v>0.03154107572210389</v>
      </c>
      <c r="P11" s="4" t="n">
        <v>0.06074448117203457</v>
      </c>
      <c r="Q11" s="19" t="n">
        <v>120970.3000000003</v>
      </c>
      <c r="R11" s="19" t="n">
        <v>2733746.19912</v>
      </c>
      <c r="S11" s="4" t="n">
        <v>0.03</v>
      </c>
      <c r="T11" s="4" t="n">
        <v>0.02740369558409039</v>
      </c>
      <c r="U11" s="16" t="n">
        <v>1.664498583858922</v>
      </c>
      <c r="V11" s="16" t="n">
        <v>0.6555023923444989</v>
      </c>
      <c r="W11" s="4" t="n">
        <v>-0.176975802512823</v>
      </c>
      <c r="X11" s="4" t="n">
        <v>-0.1793167128347184</v>
      </c>
      <c r="Y11" s="4" t="n">
        <v>0.00123458359822004</v>
      </c>
      <c r="Z11" s="4" t="n">
        <v>0.007010211173510084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46273.375</v>
      </c>
      <c r="AE11" s="2" t="n">
        <v>4</v>
      </c>
      <c r="AF11" s="2" t="n">
        <v>0.13760194343224</v>
      </c>
      <c r="AG11" s="2" t="n">
        <v>0.05414304005853321</v>
      </c>
      <c r="AH11" s="2" t="n">
        <v>5.144418079755073</v>
      </c>
      <c r="AI11" s="2" t="n">
        <v>0.4155920443633156</v>
      </c>
      <c r="AJ11" s="2" t="n">
        <v>0.5197805532124137</v>
      </c>
      <c r="AK11" s="2" t="n">
        <v>0.008770580089244362</v>
      </c>
      <c r="AL11" s="2" t="n">
        <v>0.1311834636023257</v>
      </c>
      <c r="AM11" s="2" t="n">
        <v>74.86262646153618</v>
      </c>
      <c r="AN11" s="2" t="n">
        <v>0.7725490196078417</v>
      </c>
      <c r="AO11" s="2" t="n">
        <v>0.199195171026157</v>
      </c>
      <c r="AP11" s="2" t="n">
        <v>0.002124414410480613</v>
      </c>
    </row>
    <row r="12">
      <c r="A12" s="2" t="n">
        <v>11</v>
      </c>
      <c r="B12" s="2" t="inlineStr">
        <is>
          <t>SAGA_USDT_PERP</t>
        </is>
      </c>
      <c r="C12" s="2" t="inlineStr">
        <is>
          <t>做空</t>
        </is>
      </c>
      <c r="D12" s="7" t="n">
        <v>46276.33333333334</v>
      </c>
      <c r="E12" s="17" t="n">
        <v>0.01734</v>
      </c>
      <c r="F12" s="17" t="n">
        <v>0.0168198</v>
      </c>
      <c r="G12" s="17" t="n">
        <v>0.018207</v>
      </c>
      <c r="H12" s="7" t="n">
        <v>46276.41666666666</v>
      </c>
      <c r="I12" s="17" t="n">
        <v>0.0168198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-0.03290574456218631</v>
      </c>
      <c r="O12" s="4" t="n">
        <v>0.05168292939246773</v>
      </c>
      <c r="P12" s="4" t="n">
        <v>0.08064315094104457</v>
      </c>
      <c r="Q12" s="19" t="n">
        <v>18834691</v>
      </c>
      <c r="R12" s="19" t="n">
        <v>1887210.583041</v>
      </c>
      <c r="S12" s="4" t="n">
        <v>0.03</v>
      </c>
      <c r="T12" s="4" t="n">
        <v>0.02883506343713949</v>
      </c>
      <c r="U12" s="16" t="n">
        <v>0.5671543274014402</v>
      </c>
      <c r="V12" s="16" t="n">
        <v>0.8347826086956501</v>
      </c>
      <c r="W12" s="4" t="n">
        <v>-0.1370193568693279</v>
      </c>
      <c r="X12" s="4" t="n">
        <v>-0.2403433476394852</v>
      </c>
      <c r="Y12" s="4" t="n">
        <v>0.003366144013667749</v>
      </c>
      <c r="Z12" s="4" t="n">
        <v>0.01251930175140159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46276.16666666666</v>
      </c>
      <c r="AE12" s="2" t="n">
        <v>3</v>
      </c>
      <c r="AF12" s="2" t="n">
        <v>0.2887844190732034</v>
      </c>
      <c r="AG12" s="2" t="n">
        <v>0.01361470388019059</v>
      </c>
      <c r="AH12" s="2" t="n">
        <v>67.58579735550968</v>
      </c>
      <c r="AI12" s="2" t="n">
        <v>0.3112400492121815</v>
      </c>
      <c r="AJ12" s="2" t="n">
        <v>0.138333119097136</v>
      </c>
      <c r="AK12" s="2" t="n">
        <v>0.03283100107642634</v>
      </c>
      <c r="AL12" s="2" t="n">
        <v>0.2390237603305785</v>
      </c>
      <c r="AM12" s="2" t="n">
        <v>82.99828511146114</v>
      </c>
      <c r="AN12" s="2" t="n">
        <v>0.9711538461538456</v>
      </c>
      <c r="AO12" s="2" t="n">
        <v>0.3063308373042886</v>
      </c>
      <c r="AP12" s="2" t="n">
        <v>-0.00623614700662134</v>
      </c>
    </row>
    <row r="13">
      <c r="A13" s="2" t="n">
        <v>12</v>
      </c>
      <c r="B13" s="2" t="inlineStr">
        <is>
          <t>ARB_USDT_PERP</t>
        </is>
      </c>
      <c r="C13" s="2" t="inlineStr">
        <is>
          <t>做空</t>
        </is>
      </c>
      <c r="D13" s="7" t="n">
        <v>46281.95833333334</v>
      </c>
      <c r="E13" s="17" t="n">
        <v>0.1598</v>
      </c>
      <c r="F13" s="17" t="n">
        <v>0.155006</v>
      </c>
      <c r="G13" s="17" t="n">
        <v>0.16779</v>
      </c>
      <c r="H13" s="7" t="n">
        <v>46282.08333333334</v>
      </c>
      <c r="I13" s="17" t="n">
        <v>0.155006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-0.03676913803496074</v>
      </c>
      <c r="O13" s="4" t="n">
        <v>0.03297582103115992</v>
      </c>
      <c r="P13" s="4" t="n">
        <v>0.03427073557490035</v>
      </c>
      <c r="Q13" s="19" t="n">
        <v>11260854.6</v>
      </c>
      <c r="R13" s="19" t="n">
        <v>4251614.83482</v>
      </c>
      <c r="S13" s="4" t="n">
        <v>0.03</v>
      </c>
      <c r="T13" s="4" t="n">
        <v>0.01689612015018782</v>
      </c>
      <c r="U13" s="16" t="n">
        <v>1.828839603642172</v>
      </c>
      <c r="V13" s="16" t="n">
        <v>0.8333333333333339</v>
      </c>
      <c r="W13" s="4" t="n">
        <v>-0.1289456580100037</v>
      </c>
      <c r="X13" s="4" t="n">
        <v>-0.1630276564774382</v>
      </c>
      <c r="Y13" s="4" t="n">
        <v>-0.0005990843135128543</v>
      </c>
      <c r="Z13" s="4" t="n">
        <v>0.001855244492412034</v>
      </c>
      <c r="AA13" s="4" t="n">
        <v>0.03</v>
      </c>
      <c r="AB13" s="4" t="n">
        <v>0.05</v>
      </c>
      <c r="AC13" s="4">
        <f>(AB13+2*參數!$B$7)/(AA13+AB13)</f>
        <v/>
      </c>
      <c r="AD13" s="20" t="n">
        <v>46281.83333333334</v>
      </c>
      <c r="AE13" s="2" t="n">
        <v>2</v>
      </c>
      <c r="AF13" s="2" t="n">
        <v>0.1057441253263707</v>
      </c>
      <c r="AG13" s="2" t="n">
        <v>0.08729595457771477</v>
      </c>
      <c r="AH13" s="2" t="n">
        <v>2.065386199026634</v>
      </c>
      <c r="AI13" s="2" t="n">
        <v>0.7330080529795986</v>
      </c>
      <c r="AJ13" s="2" t="n">
        <v>0.203389887170516</v>
      </c>
      <c r="AK13" s="2" t="n">
        <v>0.0241837968561065</v>
      </c>
      <c r="AL13" s="2" t="n">
        <v>0.1072619125433034</v>
      </c>
      <c r="AM13" s="2" t="n">
        <v>78.96899214930909</v>
      </c>
      <c r="AN13" s="2" t="n">
        <v>0.8750000000000006</v>
      </c>
      <c r="AO13" s="2" t="n">
        <v>0.2022711142654365</v>
      </c>
      <c r="AP13" s="2" t="n">
        <v>0.0006901584096072888</v>
      </c>
    </row>
    <row r="14">
      <c r="A14" s="2" t="n">
        <v>13</v>
      </c>
      <c r="B14" s="2" t="inlineStr">
        <is>
          <t>USELESS_USDT_PERP</t>
        </is>
      </c>
      <c r="C14" s="2" t="inlineStr">
        <is>
          <t>做空</t>
        </is>
      </c>
      <c r="D14" s="7" t="n">
        <v>46281.95833333334</v>
      </c>
      <c r="E14" s="17" t="n">
        <v>0.23266</v>
      </c>
      <c r="F14" s="17" t="n">
        <v>0.2256802</v>
      </c>
      <c r="G14" s="17" t="n">
        <v>0.244293</v>
      </c>
      <c r="H14" s="7" t="n">
        <v>46282</v>
      </c>
      <c r="I14" s="17" t="n">
        <v>0.2256802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-0.01835365596388339</v>
      </c>
      <c r="O14" s="4" t="n">
        <v>0.03850017944514458</v>
      </c>
      <c r="P14" s="4" t="n">
        <v>0.01849987304867051</v>
      </c>
      <c r="Q14" s="19" t="n">
        <v>471627</v>
      </c>
      <c r="R14" s="19" t="n">
        <v>2841722.59961</v>
      </c>
      <c r="S14" s="4" t="n">
        <v>0.03</v>
      </c>
      <c r="T14" s="4" t="n">
        <v>0</v>
      </c>
      <c r="U14" s="16" t="n">
        <v>0.8511075080884044</v>
      </c>
      <c r="V14" s="16" t="n">
        <v>0.833576642335766</v>
      </c>
      <c r="W14" s="4" t="n">
        <v>-0.07004307123425657</v>
      </c>
      <c r="X14" s="4" t="n">
        <v>-0.1485979462875198</v>
      </c>
      <c r="Y14" s="4" t="n">
        <v>-0.0005990843135128543</v>
      </c>
      <c r="Z14" s="4" t="n">
        <v>0.001855244492412034</v>
      </c>
      <c r="AA14" s="4" t="n">
        <v>0.03</v>
      </c>
      <c r="AB14" s="4" t="n">
        <v>0.05</v>
      </c>
      <c r="AC14" s="4">
        <f>(AB14+2*參數!$B$7)/(AA14+AB14)</f>
        <v/>
      </c>
      <c r="AD14" s="20" t="n">
        <v>46281.66666666666</v>
      </c>
      <c r="AE14" s="2" t="n">
        <v>6</v>
      </c>
      <c r="AF14" s="2" t="n">
        <v>0.1241880535998181</v>
      </c>
      <c r="AG14" s="2" t="n">
        <v>0.09795022692135058</v>
      </c>
      <c r="AH14" s="2" t="n">
        <v>1.529986584120597</v>
      </c>
      <c r="AI14" s="2" t="n">
        <v>0.6515112464248833</v>
      </c>
      <c r="AJ14" s="2" t="n">
        <v>0.6749551622969344</v>
      </c>
      <c r="AK14" s="2" t="n">
        <v>0.02179926510053254</v>
      </c>
      <c r="AL14" s="2" t="n">
        <v>0.1275402001407773</v>
      </c>
      <c r="AM14" s="2" t="n">
        <v>73.05361136062305</v>
      </c>
      <c r="AN14" s="2" t="n">
        <v>0.9016681299385418</v>
      </c>
      <c r="AO14" s="2" t="n">
        <v>0.2343025285521918</v>
      </c>
      <c r="AP14" s="2" t="n">
        <v>-0.003269493898987896</v>
      </c>
    </row>
    <row r="15">
      <c r="A15" s="2" t="n">
        <v>14</v>
      </c>
      <c r="B15" s="2" t="inlineStr">
        <is>
          <t>MARSCOIN_USDT_PERP</t>
        </is>
      </c>
      <c r="C15" s="2" t="inlineStr">
        <is>
          <t>做空</t>
        </is>
      </c>
      <c r="D15" s="7" t="n">
        <v>46282.75</v>
      </c>
      <c r="E15" s="17" t="n">
        <v>0.1096</v>
      </c>
      <c r="F15" s="17" t="n">
        <v>0.106312</v>
      </c>
      <c r="G15" s="17" t="n">
        <v>0.11508</v>
      </c>
      <c r="H15" s="7" t="n">
        <v>46282.875</v>
      </c>
      <c r="I15" s="17" t="n">
        <v>0.106312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-0.02862713817247187</v>
      </c>
      <c r="O15" s="4" t="n">
        <v>0.04877412655206251</v>
      </c>
      <c r="P15" s="4" t="n">
        <v>0.1050615043355516</v>
      </c>
      <c r="Q15" s="19" t="n">
        <v>836092</v>
      </c>
      <c r="R15" s="19" t="n">
        <v>1424596.50626</v>
      </c>
      <c r="S15" s="4" t="n">
        <v>0.03</v>
      </c>
      <c r="T15" s="4" t="n">
        <v>0.01733576642335755</v>
      </c>
      <c r="U15" s="16" t="n">
        <v>2.239261904539497</v>
      </c>
      <c r="V15" s="16" t="n">
        <v>0.7429467084639494</v>
      </c>
      <c r="W15" s="4" t="n">
        <v>-0.140458493450168</v>
      </c>
      <c r="X15" s="4" t="n">
        <v>-0.09962877495735944</v>
      </c>
      <c r="Y15" s="4" t="n">
        <v>0.001374381887423448</v>
      </c>
      <c r="Z15" s="4" t="n">
        <v>-0.004154116650517459</v>
      </c>
      <c r="AA15" s="4" t="n">
        <v>0.03</v>
      </c>
      <c r="AB15" s="4" t="n">
        <v>0.05</v>
      </c>
      <c r="AC15" s="4">
        <f>(AB15+2*參數!$B$7)/(AA15+AB15)</f>
        <v/>
      </c>
      <c r="AD15" s="20" t="n">
        <v>46282.625</v>
      </c>
      <c r="AE15" s="2" t="n">
        <v>2</v>
      </c>
      <c r="AF15" s="2" t="n">
        <v>0.2322321234514235</v>
      </c>
      <c r="AG15" s="2" t="n">
        <v>-0.07850991387943118</v>
      </c>
      <c r="AH15" s="2" t="n">
        <v>2.031595536492351</v>
      </c>
      <c r="AI15" s="2" t="n">
        <v>0.547775325273728</v>
      </c>
      <c r="AJ15" s="2" t="n">
        <v>0.8310113711329152</v>
      </c>
      <c r="AK15" s="2" t="n">
        <v>0.001501501501501634</v>
      </c>
      <c r="AL15" s="2" t="n">
        <v>0.1596025914392512</v>
      </c>
      <c r="AM15" s="2" t="n">
        <v>71.08286639699612</v>
      </c>
      <c r="AN15" s="2" t="n">
        <v>0.4580335731414873</v>
      </c>
      <c r="AO15" s="2" t="n">
        <v>0.1354896855597838</v>
      </c>
      <c r="AP15" s="2" t="n">
        <v>0.005031726642983569</v>
      </c>
    </row>
    <row r="16">
      <c r="A16" s="2" t="n">
        <v>15</v>
      </c>
      <c r="B16" s="2" t="inlineStr">
        <is>
          <t>ARB_USDT_PERP</t>
        </is>
      </c>
      <c r="C16" s="2" t="inlineStr">
        <is>
          <t>做空</t>
        </is>
      </c>
      <c r="D16" s="7" t="n">
        <v>46283.70833333334</v>
      </c>
      <c r="E16" s="17" t="n">
        <v>0.2092</v>
      </c>
      <c r="F16" s="17" t="n">
        <v>0.202924</v>
      </c>
      <c r="G16" s="17" t="n">
        <v>0.21966</v>
      </c>
      <c r="H16" s="7" t="n">
        <v>46283.875</v>
      </c>
      <c r="I16" s="17" t="n">
        <v>0.202924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-0.0113421550094519</v>
      </c>
      <c r="O16" s="4" t="n">
        <v>0.03960053228549997</v>
      </c>
      <c r="P16" s="4" t="n">
        <v>0.1045114965286027</v>
      </c>
      <c r="Q16" s="19" t="n">
        <v>17861933.1</v>
      </c>
      <c r="R16" s="19" t="n">
        <v>12839697.71833</v>
      </c>
      <c r="S16" s="4" t="n">
        <v>0.03</v>
      </c>
      <c r="T16" s="4" t="n">
        <v>0.005258126195028634</v>
      </c>
      <c r="U16" s="16" t="n">
        <v>0.3653243918960061</v>
      </c>
      <c r="V16" s="16" t="n">
        <v>0.6419753086419768</v>
      </c>
      <c r="W16" s="4" t="n">
        <v>-0.3331888832949903</v>
      </c>
      <c r="X16" s="4" t="n">
        <v>-0.2594822396146899</v>
      </c>
      <c r="Y16" s="4" t="n">
        <v>-0.005964564904340497</v>
      </c>
      <c r="Z16" s="4" t="n">
        <v>-0.01730645407916498</v>
      </c>
      <c r="AA16" s="4" t="n">
        <v>0.03</v>
      </c>
      <c r="AB16" s="4" t="n">
        <v>0.05</v>
      </c>
      <c r="AC16" s="4">
        <f>(AB16+2*參數!$B$7)/(AA16+AB16)</f>
        <v/>
      </c>
      <c r="AD16" s="20" t="n">
        <v>46283.41666666666</v>
      </c>
      <c r="AE16" s="2" t="n">
        <v>6</v>
      </c>
      <c r="AF16" s="2" t="n">
        <v>0.1451702959240648</v>
      </c>
      <c r="AG16" s="2" t="n">
        <v>0.09809932556713674</v>
      </c>
      <c r="AH16" s="2" t="n">
        <v>2.404582800911867</v>
      </c>
      <c r="AI16" s="2" t="n">
        <v>0.4908949269598277</v>
      </c>
      <c r="AJ16" s="2" t="n">
        <v>0.7696317387444028</v>
      </c>
      <c r="AK16" s="2" t="n">
        <v>0.03585858585858581</v>
      </c>
      <c r="AL16" s="2" t="n">
        <v>0.1752571412199524</v>
      </c>
      <c r="AM16" s="2" t="n">
        <v>77.64297829452437</v>
      </c>
      <c r="AN16" s="2" t="n">
        <v>0.9677419354838716</v>
      </c>
      <c r="AO16" s="2" t="n">
        <v>0.257510729613734</v>
      </c>
      <c r="AP16" s="2" t="n">
        <v>0.005072521977989464</v>
      </c>
    </row>
    <row r="17">
      <c r="A17" s="2" t="n">
        <v>16</v>
      </c>
      <c r="B17" s="2" t="inlineStr">
        <is>
          <t>ENA_USDT_PERP</t>
        </is>
      </c>
      <c r="C17" s="2" t="inlineStr">
        <is>
          <t>做空</t>
        </is>
      </c>
      <c r="D17" s="7" t="n">
        <v>46283.75</v>
      </c>
      <c r="E17" s="17" t="n">
        <v>0.1672</v>
      </c>
      <c r="F17" s="17" t="n">
        <v>0.162184</v>
      </c>
      <c r="G17" s="17" t="n">
        <v>0.17556</v>
      </c>
      <c r="H17" s="7" t="n">
        <v>46283.83333333334</v>
      </c>
      <c r="I17" s="17" t="n">
        <v>0.162184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-0.007715133531157381</v>
      </c>
      <c r="O17" s="4" t="n">
        <v>0.02066725759732009</v>
      </c>
      <c r="P17" s="4" t="n">
        <v>0.05137395459976091</v>
      </c>
      <c r="Q17" s="19" t="n">
        <v>30830387</v>
      </c>
      <c r="R17" s="19" t="n">
        <v>12574719.3101</v>
      </c>
      <c r="S17" s="4" t="n">
        <v>0.03</v>
      </c>
      <c r="T17" s="4" t="n">
        <v>0.009569377990430672</v>
      </c>
      <c r="U17" s="16" t="n">
        <v>0.2565705719832187</v>
      </c>
      <c r="V17" s="16" t="n">
        <v>0.4193548387096824</v>
      </c>
      <c r="W17" s="4" t="n">
        <v>-0.1373840167614486</v>
      </c>
      <c r="X17" s="4" t="n">
        <v>-0.1058201058201058</v>
      </c>
      <c r="Y17" s="4" t="n">
        <v>0.0009087434927701477</v>
      </c>
      <c r="Z17" s="4" t="n">
        <v>-0.01539357431883848</v>
      </c>
      <c r="AA17" s="4" t="n">
        <v>0.03</v>
      </c>
      <c r="AB17" s="4" t="n">
        <v>0.05</v>
      </c>
      <c r="AC17" s="4">
        <f>(AB17+2*參數!$B$7)/(AA17+AB17)</f>
        <v/>
      </c>
      <c r="AD17" s="20" t="n">
        <v>46283.625</v>
      </c>
      <c r="AE17" s="2" t="n">
        <v>2</v>
      </c>
      <c r="AF17" s="2" t="n">
        <v>0.09708737864077688</v>
      </c>
      <c r="AG17" s="2" t="n">
        <v>0.01377952755905509</v>
      </c>
      <c r="AH17" s="2" t="n">
        <v>4.371625859694877</v>
      </c>
      <c r="AI17" s="2" t="n">
        <v>0.2817884381825403</v>
      </c>
      <c r="AJ17" s="2" t="n">
        <v>0.7998886002737601</v>
      </c>
      <c r="AK17" s="2" t="n">
        <v>0.01375598086124419</v>
      </c>
      <c r="AL17" s="2" t="n">
        <v>0.076498047061065</v>
      </c>
      <c r="AM17" s="2" t="n">
        <v>76.58526706859675</v>
      </c>
      <c r="AN17" s="2" t="n">
        <v>0.5800000000000022</v>
      </c>
      <c r="AO17" s="2" t="n">
        <v>0.1122047244094488</v>
      </c>
      <c r="AP17" s="2" t="n">
        <v>0.01228891883597183</v>
      </c>
    </row>
    <row r="18">
      <c r="A18" s="2" t="n">
        <v>17</v>
      </c>
      <c r="B18" s="2" t="inlineStr">
        <is>
          <t>AERO_USDT_PERP</t>
        </is>
      </c>
      <c r="C18" s="2" t="inlineStr">
        <is>
          <t>做空</t>
        </is>
      </c>
      <c r="D18" s="7" t="n">
        <v>46284.29166666666</v>
      </c>
      <c r="E18" s="17" t="n">
        <v>0.6497000000000001</v>
      </c>
      <c r="F18" s="17" t="n">
        <v>0.630209</v>
      </c>
      <c r="G18" s="17" t="n">
        <v>0.682185</v>
      </c>
      <c r="H18" s="7" t="n">
        <v>46284.75</v>
      </c>
      <c r="I18" s="17" t="n">
        <v>0.682185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-0.03918958887902979</v>
      </c>
      <c r="O18" s="4" t="n">
        <v>0.02378132818831398</v>
      </c>
      <c r="P18" s="4" t="n">
        <v>0.01541803746278347</v>
      </c>
      <c r="Q18" s="19" t="n">
        <v>2207205.899999999</v>
      </c>
      <c r="R18" s="19" t="n">
        <v>3607735.57161</v>
      </c>
      <c r="S18" s="4" t="n">
        <v>0.01970140064645221</v>
      </c>
      <c r="T18" s="4" t="n">
        <v>0.05</v>
      </c>
      <c r="U18" s="16" t="n">
        <v>0.3688501521957445</v>
      </c>
      <c r="V18" s="16" t="n">
        <v>0.942492012779552</v>
      </c>
      <c r="W18" s="4" t="n">
        <v>-0.1421790533116511</v>
      </c>
      <c r="X18" s="4" t="n">
        <v>-0.1132625085675121</v>
      </c>
      <c r="Y18" s="4" t="n">
        <v>0.001215478322122876</v>
      </c>
      <c r="Z18" s="4" t="n">
        <v>-0.02193527088487635</v>
      </c>
      <c r="AA18" s="4" t="n">
        <v>0.03</v>
      </c>
      <c r="AB18" s="4" t="n">
        <v>0.05</v>
      </c>
      <c r="AC18" s="4">
        <f>(AB18+2*參數!$B$7)/(AA18+AB18)</f>
        <v/>
      </c>
      <c r="AD18" s="20" t="n">
        <v>46284.16666666666</v>
      </c>
      <c r="AE18" s="2" t="n">
        <v>2</v>
      </c>
      <c r="AF18" s="2" t="n">
        <v>0.1173229622427483</v>
      </c>
      <c r="AG18" s="2" t="n">
        <v>0.05163599182004086</v>
      </c>
      <c r="AH18" s="2" t="n">
        <v>3.097754332667758</v>
      </c>
      <c r="AI18" s="2" t="n">
        <v>0.9610179425882236</v>
      </c>
      <c r="AJ18" s="2" t="n">
        <v>0.137939738454703</v>
      </c>
      <c r="AK18" s="2" t="n">
        <v>0.006716308950211802</v>
      </c>
      <c r="AL18" s="2" t="n">
        <v>0.08982565950653565</v>
      </c>
      <c r="AM18" s="2" t="n">
        <v>81.3275713013998</v>
      </c>
      <c r="AN18" s="2" t="n">
        <v>0.9545454545454549</v>
      </c>
      <c r="AO18" s="2" t="n">
        <v>0.1750170415814587</v>
      </c>
      <c r="AP18" s="2" t="n">
        <v>0.0272915879712452</v>
      </c>
    </row>
    <row r="19">
      <c r="A19" s="2" t="n">
        <v>18</v>
      </c>
      <c r="B19" s="2" t="inlineStr">
        <is>
          <t>FF_USDT_PERP</t>
        </is>
      </c>
      <c r="C19" s="2" t="inlineStr">
        <is>
          <t>做空</t>
        </is>
      </c>
      <c r="D19" s="7" t="n">
        <v>46286.29166666666</v>
      </c>
      <c r="E19" s="17" t="n">
        <v>0.16087</v>
      </c>
      <c r="F19" s="17" t="n">
        <v>0.1560439</v>
      </c>
      <c r="G19" s="17" t="n">
        <v>0.1689135</v>
      </c>
      <c r="H19" s="7" t="n">
        <v>46286.33333333334</v>
      </c>
      <c r="I19" s="17" t="n">
        <v>0.1560439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-0.1148830811554332</v>
      </c>
      <c r="O19" s="4" t="n">
        <v>0.04395210229552976</v>
      </c>
      <c r="P19" s="4" t="n">
        <v>0.1661387014229692</v>
      </c>
      <c r="Q19" s="19" t="n">
        <v>60607032</v>
      </c>
      <c r="R19" s="19" t="n">
        <v>11053974.69244</v>
      </c>
      <c r="S19" s="4" t="n">
        <v>0.03</v>
      </c>
      <c r="T19" s="4" t="n">
        <v>0</v>
      </c>
      <c r="U19" s="16" t="n">
        <v>0.2875080877658953</v>
      </c>
      <c r="V19" s="16" t="n">
        <v>0.9793388429752066</v>
      </c>
      <c r="W19" s="4" t="n">
        <v>-0.227436217112843</v>
      </c>
      <c r="X19" s="4" t="n">
        <v>-0.2697924066619308</v>
      </c>
      <c r="Y19" s="4" t="n">
        <v>-0.003506906888346428</v>
      </c>
      <c r="Z19" s="4" t="n">
        <v>-0.006274558413386977</v>
      </c>
      <c r="AA19" s="4" t="n">
        <v>0.03</v>
      </c>
      <c r="AB19" s="4" t="n">
        <v>0.05</v>
      </c>
      <c r="AC19" s="4">
        <f>(AB19+2*參數!$B$7)/(AA19+AB19)</f>
        <v/>
      </c>
      <c r="AD19" s="20" t="n">
        <v>46286.20833333334</v>
      </c>
      <c r="AE19" s="2" t="n">
        <v>1</v>
      </c>
      <c r="AF19" s="2" t="n">
        <v>0.3746029345031008</v>
      </c>
      <c r="AG19" s="2" t="n">
        <v>0.05531167690956962</v>
      </c>
      <c r="AH19" s="2" t="n">
        <v>199.2458241523918</v>
      </c>
      <c r="AI19" s="2" t="n">
        <v>0.8511576170029127</v>
      </c>
      <c r="AJ19" s="2" t="n">
        <v>0.01332903482764901</v>
      </c>
      <c r="AK19" s="2" t="n">
        <v>0.08799760550733304</v>
      </c>
      <c r="AL19" s="2" t="n">
        <v>0.3341163085166901</v>
      </c>
      <c r="AM19" s="2" t="n">
        <v>90.88523296003702</v>
      </c>
      <c r="AN19" s="2" t="n">
        <v>0.9225836005497023</v>
      </c>
      <c r="AO19" s="2" t="n">
        <v>0.4506345278952828</v>
      </c>
      <c r="AP19" s="2" t="n">
        <v>0.003299705425080068</v>
      </c>
    </row>
    <row r="20">
      <c r="A20" s="2" t="n">
        <v>19</v>
      </c>
      <c r="B20" s="2" t="inlineStr">
        <is>
          <t>KITE_USDT_PERP</t>
        </is>
      </c>
      <c r="C20" s="2" t="inlineStr">
        <is>
          <t>做空</t>
        </is>
      </c>
      <c r="D20" s="7" t="n">
        <v>46288.20833333334</v>
      </c>
      <c r="E20" s="17" t="n">
        <v>0.13766</v>
      </c>
      <c r="F20" s="17" t="n">
        <v>0.1335302</v>
      </c>
      <c r="G20" s="17" t="n">
        <v>0.144543</v>
      </c>
      <c r="H20" s="7" t="n">
        <v>46288.95833333334</v>
      </c>
      <c r="I20" s="17" t="n">
        <v>0.1335302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-0.01481428469190571</v>
      </c>
      <c r="O20" s="4" t="n">
        <v>0.02149726279687811</v>
      </c>
      <c r="P20" s="4" t="n">
        <v>0.05077552515876915</v>
      </c>
      <c r="Q20" s="19" t="n">
        <v>6832139</v>
      </c>
      <c r="R20" s="19" t="n">
        <v>2452375.24705</v>
      </c>
      <c r="S20" s="4" t="n">
        <v>0.03</v>
      </c>
      <c r="T20" s="4" t="n">
        <v>0.02934766816794987</v>
      </c>
      <c r="U20" s="16" t="n">
        <v>3.690630492815353</v>
      </c>
      <c r="V20" s="16" t="n">
        <v>0.9010989010989032</v>
      </c>
      <c r="W20" s="4" t="n">
        <v>-0.1628172173985027</v>
      </c>
      <c r="X20" s="4" t="n">
        <v>-0.1622762580209389</v>
      </c>
      <c r="Y20" s="4" t="n">
        <v>-0.001032028882878011</v>
      </c>
      <c r="Z20" s="4" t="n">
        <v>-0.003161188750295585</v>
      </c>
      <c r="AA20" s="4" t="n">
        <v>0.03</v>
      </c>
      <c r="AB20" s="4" t="n">
        <v>0.05</v>
      </c>
      <c r="AC20" s="4">
        <f>(AB20+2*參數!$B$7)/(AA20+AB20)</f>
        <v/>
      </c>
      <c r="AD20" s="20" t="n">
        <v>46287.95833333334</v>
      </c>
      <c r="AE20" s="2" t="n">
        <v>5</v>
      </c>
      <c r="AF20" s="2" t="n">
        <v>0.0914412276538521</v>
      </c>
      <c r="AG20" s="2" t="n">
        <v>0.05675833820947918</v>
      </c>
      <c r="AH20" s="2" t="n">
        <v>7.631134833824148</v>
      </c>
      <c r="AI20" s="2" t="n">
        <v>0.8467413750021879</v>
      </c>
      <c r="AJ20" s="2" t="n">
        <v>0.6418668693084301</v>
      </c>
      <c r="AK20" s="2" t="n">
        <v>0.01373888766438891</v>
      </c>
      <c r="AL20" s="2" t="n">
        <v>0.09286760920359605</v>
      </c>
      <c r="AM20" s="2" t="n">
        <v>84.08155461450941</v>
      </c>
      <c r="AN20" s="2" t="n">
        <v>0.8801089918256135</v>
      </c>
      <c r="AO20" s="2" t="n">
        <v>0.1533896179887988</v>
      </c>
      <c r="AP20" s="2" t="n">
        <v>0.00435466031916798</v>
      </c>
    </row>
    <row r="21">
      <c r="A21" s="2" t="n">
        <v>20</v>
      </c>
      <c r="B21" s="2" t="inlineStr">
        <is>
          <t>PENGU_USDT_PERP</t>
        </is>
      </c>
      <c r="C21" s="2" t="inlineStr">
        <is>
          <t>做空</t>
        </is>
      </c>
      <c r="D21" s="7" t="n">
        <v>46288.25</v>
      </c>
      <c r="E21" s="17" t="n">
        <v>0.009977</v>
      </c>
      <c r="F21" s="17" t="n">
        <v>0.009677689999999999</v>
      </c>
      <c r="G21" s="17" t="n">
        <v>0.01047585</v>
      </c>
      <c r="H21" s="7" t="n">
        <v>46288.54166666666</v>
      </c>
      <c r="I21" s="17" t="n">
        <v>0.01047585</v>
      </c>
      <c r="J21" s="2" t="inlineStr">
        <is>
          <t>止損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-0.01539524326458108</v>
      </c>
      <c r="O21" s="4" t="n">
        <v>0.03089203041394707</v>
      </c>
      <c r="P21" s="4" t="n">
        <v>0.07899703132519686</v>
      </c>
      <c r="Q21" s="19" t="n">
        <v>144418649</v>
      </c>
      <c r="R21" s="19" t="n">
        <v>3016271.097995</v>
      </c>
      <c r="S21" s="4" t="n">
        <v>0.01122581938458445</v>
      </c>
      <c r="T21" s="4" t="n">
        <v>0.05</v>
      </c>
      <c r="U21" s="16" t="n">
        <v>0.7680119170043086</v>
      </c>
      <c r="V21" s="16" t="n">
        <v>0.8248730964467016</v>
      </c>
      <c r="W21" s="4" t="n">
        <v>-0.2058298495160122</v>
      </c>
      <c r="X21" s="4" t="n">
        <v>-0.1523446523446521</v>
      </c>
      <c r="Y21" s="4" t="n">
        <v>0.001005451705266891</v>
      </c>
      <c r="Z21" s="4" t="n">
        <v>-0.001829194932681633</v>
      </c>
      <c r="AA21" s="4" t="n">
        <v>0.03</v>
      </c>
      <c r="AB21" s="4" t="n">
        <v>0.05</v>
      </c>
      <c r="AC21" s="4">
        <f>(AB21+2*參數!$B$7)/(AA21+AB21)</f>
        <v/>
      </c>
      <c r="AD21" s="20" t="n">
        <v>46288.125</v>
      </c>
      <c r="AE21" s="2" t="n">
        <v>2</v>
      </c>
      <c r="AF21" s="2" t="n">
        <v>0.1249446167478956</v>
      </c>
      <c r="AG21" s="2" t="n">
        <v>0.01097424412094061</v>
      </c>
      <c r="AH21" s="2" t="n">
        <v>3.814186595085628</v>
      </c>
      <c r="AI21" s="2" t="n">
        <v>0.8498112060012512</v>
      </c>
      <c r="AJ21" s="2" t="n">
        <v>0.2761398996231335</v>
      </c>
      <c r="AK21" s="2" t="n">
        <v>0.03717320261437895</v>
      </c>
      <c r="AL21" s="2" t="n">
        <v>0.1134255706360865</v>
      </c>
      <c r="AM21" s="2" t="n">
        <v>76.65155690421476</v>
      </c>
      <c r="AN21" s="2" t="n">
        <v>0.9930555555555546</v>
      </c>
      <c r="AO21" s="2" t="n">
        <v>0.1372900335946248</v>
      </c>
      <c r="AP21" s="2" t="n">
        <v>0.002340298959010667</v>
      </c>
    </row>
    <row r="22">
      <c r="A22" s="2" t="n">
        <v>21</v>
      </c>
      <c r="B22" s="2" t="inlineStr">
        <is>
          <t>MARSCOIN_USDT_PERP</t>
        </is>
      </c>
      <c r="C22" s="2" t="inlineStr">
        <is>
          <t>做空</t>
        </is>
      </c>
      <c r="D22" s="7" t="n">
        <v>46288.29166666666</v>
      </c>
      <c r="E22" s="17" t="n">
        <v>0.13545</v>
      </c>
      <c r="F22" s="17" t="n">
        <v>0.1313865</v>
      </c>
      <c r="G22" s="17" t="n">
        <v>0.1422225</v>
      </c>
      <c r="H22" s="7" t="n">
        <v>46288.375</v>
      </c>
      <c r="I22" s="17" t="n">
        <v>0.1422225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-0.001768737563564104</v>
      </c>
      <c r="O22" s="4" t="n">
        <v>0.04825562576317191</v>
      </c>
      <c r="P22" s="4" t="n">
        <v>0.1175650365921073</v>
      </c>
      <c r="Q22" s="19" t="n">
        <v>6342329</v>
      </c>
      <c r="R22" s="19" t="n">
        <v>3152088.04801</v>
      </c>
      <c r="S22" s="4" t="n">
        <v>0.006053894425987361</v>
      </c>
      <c r="T22" s="4" t="n">
        <v>0.05</v>
      </c>
      <c r="U22" s="16" t="n">
        <v>0.6003965358544378</v>
      </c>
      <c r="V22" s="16" t="n">
        <v>0.4684931506849344</v>
      </c>
      <c r="W22" s="4" t="n">
        <v>-0.285919349264999</v>
      </c>
      <c r="X22" s="4" t="n">
        <v>-0.3182481751824817</v>
      </c>
      <c r="Y22" s="4" t="n">
        <v>0.0007266969418362468</v>
      </c>
      <c r="Z22" s="4" t="n">
        <v>-0.000870116090474049</v>
      </c>
      <c r="AA22" s="4" t="n">
        <v>0.03</v>
      </c>
      <c r="AB22" s="4" t="n">
        <v>0.05</v>
      </c>
      <c r="AC22" s="4">
        <f>(AB22+2*參數!$B$7)/(AA22+AB22)</f>
        <v/>
      </c>
      <c r="AD22" s="20" t="n">
        <v>46288.08333333334</v>
      </c>
      <c r="AE22" s="2" t="n">
        <v>4</v>
      </c>
      <c r="AF22" s="2" t="n">
        <v>0.1100318341359889</v>
      </c>
      <c r="AG22" s="2" t="n">
        <v>0.2021391423805319</v>
      </c>
      <c r="AH22" s="2" t="n">
        <v>4.857355128598924</v>
      </c>
      <c r="AI22" s="2" t="n">
        <v>0.239552574597791</v>
      </c>
      <c r="AJ22" s="2" t="n">
        <v>0.4168615728805107</v>
      </c>
      <c r="AK22" s="2" t="n">
        <v>0.01492648705127242</v>
      </c>
      <c r="AL22" s="2" t="n">
        <v>0.1888900545530843</v>
      </c>
      <c r="AM22" s="2" t="n">
        <v>75.98563665567801</v>
      </c>
      <c r="AN22" s="2" t="n">
        <v>0.4571428571428566</v>
      </c>
      <c r="AO22" s="2" t="n">
        <v>0.3344127171033264</v>
      </c>
      <c r="AP22" s="2" t="n">
        <v>0.005134084903910541</v>
      </c>
    </row>
    <row r="23">
      <c r="A23" s="2" t="n">
        <v>22</v>
      </c>
      <c r="B23" s="2" t="inlineStr">
        <is>
          <t>MARSCOIN_USDT_PERP</t>
        </is>
      </c>
      <c r="C23" s="2" t="inlineStr">
        <is>
          <t>做空</t>
        </is>
      </c>
      <c r="D23" s="7" t="n">
        <v>46288.41666666666</v>
      </c>
      <c r="E23" s="17" t="n">
        <v>0.13442</v>
      </c>
      <c r="F23" s="17" t="n">
        <v>0.1303874</v>
      </c>
      <c r="G23" s="17" t="n">
        <v>0.141141</v>
      </c>
      <c r="H23" s="7" t="n">
        <v>46288.45833333334</v>
      </c>
      <c r="I23" s="17" t="n">
        <v>0.141141</v>
      </c>
      <c r="J23" s="2" t="inlineStr">
        <is>
          <t>止損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-0.02798466989659398</v>
      </c>
      <c r="O23" s="4" t="n">
        <v>0.05040328551072986</v>
      </c>
      <c r="P23" s="4" t="n">
        <v>0.05751340379751313</v>
      </c>
      <c r="Q23" s="19" t="n">
        <v>5807870</v>
      </c>
      <c r="R23" s="19" t="n">
        <v>3471920.08222</v>
      </c>
      <c r="S23" s="4" t="n">
        <v>0</v>
      </c>
      <c r="T23" s="4" t="n">
        <v>0.05</v>
      </c>
      <c r="U23" s="16" t="n">
        <v>0.4312753892770634</v>
      </c>
      <c r="V23" s="16" t="n">
        <v>0.7760968229954602</v>
      </c>
      <c r="W23" s="4" t="n">
        <v>-0.2670648906517907</v>
      </c>
      <c r="X23" s="4" t="n">
        <v>-0.2811666031261915</v>
      </c>
      <c r="Y23" s="4" t="n">
        <v>0.001047171306811978</v>
      </c>
      <c r="Z23" s="4" t="n">
        <v>-0.002371222464276457</v>
      </c>
      <c r="AA23" s="4" t="n">
        <v>0.03</v>
      </c>
      <c r="AB23" s="4" t="n">
        <v>0.05</v>
      </c>
      <c r="AC23" s="4">
        <f>(AB23+2*參數!$B$7)/(AA23+AB23)</f>
        <v/>
      </c>
      <c r="AD23" s="20" t="n">
        <v>46288.29166666666</v>
      </c>
      <c r="AE23" s="2" t="n">
        <v>2</v>
      </c>
      <c r="AF23" s="2" t="n">
        <v>0.1650373778033352</v>
      </c>
      <c r="AG23" s="2" t="n">
        <v>0.1923792731903222</v>
      </c>
      <c r="AH23" s="2" t="n">
        <v>2.720486590150893</v>
      </c>
      <c r="AI23" s="2" t="n">
        <v>0.4973966377080529</v>
      </c>
      <c r="AJ23" s="2" t="n">
        <v>0.354417019939032</v>
      </c>
      <c r="AK23" s="2" t="n">
        <v>0.0001410437235542794</v>
      </c>
      <c r="AL23" s="2" t="n">
        <v>0.1501887649379774</v>
      </c>
      <c r="AM23" s="2" t="n">
        <v>76.29821145928437</v>
      </c>
      <c r="AN23" s="2" t="n">
        <v>0.986282578875173</v>
      </c>
      <c r="AO23" s="2" t="n">
        <v>0.3891664217846997</v>
      </c>
      <c r="AP23" s="2" t="n">
        <v>0.001484757824997018</v>
      </c>
    </row>
    <row r="24">
      <c r="A24" s="2" t="n">
        <v>23</v>
      </c>
      <c r="B24" s="2" t="inlineStr">
        <is>
          <t>BONK_USDT_PERP</t>
        </is>
      </c>
      <c r="C24" s="2" t="inlineStr">
        <is>
          <t>做空</t>
        </is>
      </c>
      <c r="D24" s="7" t="n">
        <v>46288.83333333334</v>
      </c>
      <c r="E24" s="17" t="n">
        <v>3.815e-06</v>
      </c>
      <c r="F24" s="17" t="n">
        <v>3.70055e-06</v>
      </c>
      <c r="G24" s="17" t="n">
        <v>4.00575e-06</v>
      </c>
      <c r="H24" s="7" t="n">
        <v>46288.95833333334</v>
      </c>
      <c r="I24" s="17" t="n">
        <v>3.70055e-06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-0.06242319980339162</v>
      </c>
      <c r="O24" s="4" t="n">
        <v>0.03811871028740543</v>
      </c>
      <c r="P24" s="4" t="n">
        <v>0.01681814547296012</v>
      </c>
      <c r="Q24" s="19" t="n">
        <v>127214413120</v>
      </c>
      <c r="R24" s="19" t="n">
        <v>1703505.155670306</v>
      </c>
      <c r="S24" s="4" t="n">
        <v>0.03</v>
      </c>
      <c r="T24" s="4" t="n">
        <v>0.01677588466579283</v>
      </c>
      <c r="U24" s="16" t="n">
        <v>1.946458283138548</v>
      </c>
      <c r="V24" s="16" t="n">
        <v>0.8639455782312926</v>
      </c>
      <c r="W24" s="4" t="n">
        <v>-0.1610496010128368</v>
      </c>
      <c r="X24" s="4" t="n">
        <v>-0.1190965092402465</v>
      </c>
      <c r="Y24" s="4" t="n">
        <v>0.002985589059981808</v>
      </c>
      <c r="Z24" s="4" t="n">
        <v>0.007431788235390924</v>
      </c>
      <c r="AA24" s="4" t="n">
        <v>0.03</v>
      </c>
      <c r="AB24" s="4" t="n">
        <v>0.05</v>
      </c>
      <c r="AC24" s="4">
        <f>(AB24+2*參數!$B$7)/(AA24+AB24)</f>
        <v/>
      </c>
      <c r="AD24" s="20" t="n">
        <v>46288.58333333334</v>
      </c>
      <c r="AE24" s="2" t="n">
        <v>5</v>
      </c>
      <c r="AF24" s="2" t="n">
        <v>0.1407386681589256</v>
      </c>
      <c r="AG24" s="2" t="n">
        <v>0.005627462014631268</v>
      </c>
      <c r="AH24" s="2" t="n">
        <v>4.078512615893191</v>
      </c>
      <c r="AI24" s="2" t="n">
        <v>0.7222727347440524</v>
      </c>
      <c r="AJ24" s="2" t="n">
        <v>0.7065465417630157</v>
      </c>
      <c r="AK24" s="2" t="n">
        <v>0.05294421487603307</v>
      </c>
      <c r="AL24" s="2" t="n">
        <v>0.1207477149336817</v>
      </c>
      <c r="AM24" s="2" t="n">
        <v>82.38674247175372</v>
      </c>
      <c r="AN24" s="2" t="n">
        <v>0.8521739130434782</v>
      </c>
      <c r="AO24" s="2" t="n">
        <v>0.1471581316826112</v>
      </c>
      <c r="AP24" s="2" t="n">
        <v>0.0009673898975077755</v>
      </c>
    </row>
  </sheetData>
  <autoFilter ref="A1:AP24"/>
  <conditionalFormatting sqref="J2:J24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ARB_USDT_PERP</t>
        </is>
      </c>
      <c r="B2" s="2">
        <f>COUNTIFS(交易明細!$B$2:$B$24,$A2)</f>
        <v/>
      </c>
      <c r="C2" s="2">
        <f>COUNTIFS(交易明細!$B$2:$B$24,$A2,交易明細!$C$2:$C$24,"做多")</f>
        <v/>
      </c>
      <c r="D2" s="2">
        <f>COUNTIFS(交易明細!$B$2:$B$24,$A2,交易明細!$C$2:$C$24,"做空")</f>
        <v/>
      </c>
      <c r="E2" s="2">
        <f>F2+G2+COUNTIFS(交易明細!$B$2:$B$24,$A2,交易明細!$J$2:$J$24,"時間出場")</f>
        <v/>
      </c>
      <c r="F2" s="2">
        <f>COUNTIFS(交易明細!$B$2:$B$24,$A2,交易明細!$J$2:$J$24,"止盈")</f>
        <v/>
      </c>
      <c r="G2" s="2">
        <f>COUNTIFS(交易明細!$B$2:$B$24,$A2,交易明細!$J$2:$J$24,"止損")</f>
        <v/>
      </c>
      <c r="H2" s="4">
        <f>IFERROR(F2/E2,0)</f>
        <v/>
      </c>
      <c r="I2" s="4">
        <f>IFERROR(AVERAGEIFS(交易明細!$L$2:$L$24,交易明細!$B$2:$B$24,$A2,交易明細!$J$2:$J$24,"&lt;&gt;未平倉"),0)</f>
        <v/>
      </c>
      <c r="J2" s="4">
        <f>SUMIFS(交易明細!$L$2:$L$24,交易明細!$B$2:$B$24,$A2,交易明細!$J$2:$J$24,"&lt;&gt;未平倉")</f>
        <v/>
      </c>
      <c r="K2" s="5">
        <f>IFERROR(AVERAGEIFS(交易明細!$K$2:$K$24,交易明細!$B$2:$B$24,$A2,交易明細!$J$2:$J$24,"&lt;&gt;未平倉"),0)</f>
        <v/>
      </c>
      <c r="L2" s="2">
        <f>COUNTIFS(交易明細!$B$2:$B$24,$A2,交易明細!$J$2:$J$24,"未平倉")</f>
        <v/>
      </c>
    </row>
    <row r="3">
      <c r="A3" s="2" t="inlineStr">
        <is>
          <t>MARSCOIN_USDT_PERP</t>
        </is>
      </c>
      <c r="B3" s="2">
        <f>COUNTIFS(交易明細!$B$2:$B$24,$A3)</f>
        <v/>
      </c>
      <c r="C3" s="2">
        <f>COUNTIFS(交易明細!$B$2:$B$24,$A3,交易明細!$C$2:$C$24,"做多")</f>
        <v/>
      </c>
      <c r="D3" s="2">
        <f>COUNTIFS(交易明細!$B$2:$B$24,$A3,交易明細!$C$2:$C$24,"做空")</f>
        <v/>
      </c>
      <c r="E3" s="2">
        <f>F3+G3+COUNTIFS(交易明細!$B$2:$B$24,$A3,交易明細!$J$2:$J$24,"時間出場")</f>
        <v/>
      </c>
      <c r="F3" s="2">
        <f>COUNTIFS(交易明細!$B$2:$B$24,$A3,交易明細!$J$2:$J$24,"止盈")</f>
        <v/>
      </c>
      <c r="G3" s="2">
        <f>COUNTIFS(交易明細!$B$2:$B$24,$A3,交易明細!$J$2:$J$24,"止損")</f>
        <v/>
      </c>
      <c r="H3" s="4">
        <f>IFERROR(F3/E3,0)</f>
        <v/>
      </c>
      <c r="I3" s="4">
        <f>IFERROR(AVERAGEIFS(交易明細!$L$2:$L$24,交易明細!$B$2:$B$24,$A3,交易明細!$J$2:$J$24,"&lt;&gt;未平倉"),0)</f>
        <v/>
      </c>
      <c r="J3" s="4">
        <f>SUMIFS(交易明細!$L$2:$L$24,交易明細!$B$2:$B$24,$A3,交易明細!$J$2:$J$24,"&lt;&gt;未平倉")</f>
        <v/>
      </c>
      <c r="K3" s="5">
        <f>IFERROR(AVERAGEIFS(交易明細!$K$2:$K$24,交易明細!$B$2:$B$24,$A3,交易明細!$J$2:$J$24,"&lt;&gt;未平倉"),0)</f>
        <v/>
      </c>
      <c r="L3" s="2">
        <f>COUNTIFS(交易明細!$B$2:$B$24,$A3,交易明細!$J$2:$J$24,"未平倉")</f>
        <v/>
      </c>
    </row>
    <row r="4">
      <c r="A4" s="2" t="inlineStr">
        <is>
          <t>USELESS_USDT_PERP</t>
        </is>
      </c>
      <c r="B4" s="2">
        <f>COUNTIFS(交易明細!$B$2:$B$24,$A4)</f>
        <v/>
      </c>
      <c r="C4" s="2">
        <f>COUNTIFS(交易明細!$B$2:$B$24,$A4,交易明細!$C$2:$C$24,"做多")</f>
        <v/>
      </c>
      <c r="D4" s="2">
        <f>COUNTIFS(交易明細!$B$2:$B$24,$A4,交易明細!$C$2:$C$24,"做空")</f>
        <v/>
      </c>
      <c r="E4" s="2">
        <f>F4+G4+COUNTIFS(交易明細!$B$2:$B$24,$A4,交易明細!$J$2:$J$24,"時間出場")</f>
        <v/>
      </c>
      <c r="F4" s="2">
        <f>COUNTIFS(交易明細!$B$2:$B$24,$A4,交易明細!$J$2:$J$24,"止盈")</f>
        <v/>
      </c>
      <c r="G4" s="2">
        <f>COUNTIFS(交易明細!$B$2:$B$24,$A4,交易明細!$J$2:$J$24,"止損")</f>
        <v/>
      </c>
      <c r="H4" s="4">
        <f>IFERROR(F4/E4,0)</f>
        <v/>
      </c>
      <c r="I4" s="4">
        <f>IFERROR(AVERAGEIFS(交易明細!$L$2:$L$24,交易明細!$B$2:$B$24,$A4,交易明細!$J$2:$J$24,"&lt;&gt;未平倉"),0)</f>
        <v/>
      </c>
      <c r="J4" s="4">
        <f>SUMIFS(交易明細!$L$2:$L$24,交易明細!$B$2:$B$24,$A4,交易明細!$J$2:$J$24,"&lt;&gt;未平倉")</f>
        <v/>
      </c>
      <c r="K4" s="5">
        <f>IFERROR(AVERAGEIFS(交易明細!$K$2:$K$24,交易明細!$B$2:$B$24,$A4,交易明細!$J$2:$J$24,"&lt;&gt;未平倉"),0)</f>
        <v/>
      </c>
      <c r="L4" s="2">
        <f>COUNTIFS(交易明細!$B$2:$B$24,$A4,交易明細!$J$2:$J$24,"未平倉")</f>
        <v/>
      </c>
    </row>
    <row r="5">
      <c r="A5" s="2" t="inlineStr">
        <is>
          <t>ENA_USDT_PERP</t>
        </is>
      </c>
      <c r="B5" s="2">
        <f>COUNTIFS(交易明細!$B$2:$B$24,$A5)</f>
        <v/>
      </c>
      <c r="C5" s="2">
        <f>COUNTIFS(交易明細!$B$2:$B$24,$A5,交易明細!$C$2:$C$24,"做多")</f>
        <v/>
      </c>
      <c r="D5" s="2">
        <f>COUNTIFS(交易明細!$B$2:$B$24,$A5,交易明細!$C$2:$C$24,"做空")</f>
        <v/>
      </c>
      <c r="E5" s="2">
        <f>F5+G5+COUNTIFS(交易明細!$B$2:$B$24,$A5,交易明細!$J$2:$J$24,"時間出場")</f>
        <v/>
      </c>
      <c r="F5" s="2">
        <f>COUNTIFS(交易明細!$B$2:$B$24,$A5,交易明細!$J$2:$J$24,"止盈")</f>
        <v/>
      </c>
      <c r="G5" s="2">
        <f>COUNTIFS(交易明細!$B$2:$B$24,$A5,交易明細!$J$2:$J$24,"止損")</f>
        <v/>
      </c>
      <c r="H5" s="4">
        <f>IFERROR(F5/E5,0)</f>
        <v/>
      </c>
      <c r="I5" s="4">
        <f>IFERROR(AVERAGEIFS(交易明細!$L$2:$L$24,交易明細!$B$2:$B$24,$A5,交易明細!$J$2:$J$24,"&lt;&gt;未平倉"),0)</f>
        <v/>
      </c>
      <c r="J5" s="4">
        <f>SUMIFS(交易明細!$L$2:$L$24,交易明細!$B$2:$B$24,$A5,交易明細!$J$2:$J$24,"&lt;&gt;未平倉")</f>
        <v/>
      </c>
      <c r="K5" s="5">
        <f>IFERROR(AVERAGEIFS(交易明細!$K$2:$K$24,交易明細!$B$2:$B$24,$A5,交易明細!$J$2:$J$24,"&lt;&gt;未平倉"),0)</f>
        <v/>
      </c>
      <c r="L5" s="2">
        <f>COUNTIFS(交易明細!$B$2:$B$24,$A5,交易明細!$J$2:$J$24,"未平倉")</f>
        <v/>
      </c>
    </row>
    <row r="6">
      <c r="A6" s="2" t="inlineStr">
        <is>
          <t>AERO_USDT_PERP</t>
        </is>
      </c>
      <c r="B6" s="2">
        <f>COUNTIFS(交易明細!$B$2:$B$24,$A6)</f>
        <v/>
      </c>
      <c r="C6" s="2">
        <f>COUNTIFS(交易明細!$B$2:$B$24,$A6,交易明細!$C$2:$C$24,"做多")</f>
        <v/>
      </c>
      <c r="D6" s="2">
        <f>COUNTIFS(交易明細!$B$2:$B$24,$A6,交易明細!$C$2:$C$24,"做空")</f>
        <v/>
      </c>
      <c r="E6" s="2">
        <f>F6+G6+COUNTIFS(交易明細!$B$2:$B$24,$A6,交易明細!$J$2:$J$24,"時間出場")</f>
        <v/>
      </c>
      <c r="F6" s="2">
        <f>COUNTIFS(交易明細!$B$2:$B$24,$A6,交易明細!$J$2:$J$24,"止盈")</f>
        <v/>
      </c>
      <c r="G6" s="2">
        <f>COUNTIFS(交易明細!$B$2:$B$24,$A6,交易明細!$J$2:$J$24,"止損")</f>
        <v/>
      </c>
      <c r="H6" s="4">
        <f>IFERROR(F6/E6,0)</f>
        <v/>
      </c>
      <c r="I6" s="4">
        <f>IFERROR(AVERAGEIFS(交易明細!$L$2:$L$24,交易明細!$B$2:$B$24,$A6,交易明細!$J$2:$J$24,"&lt;&gt;未平倉"),0)</f>
        <v/>
      </c>
      <c r="J6" s="4">
        <f>SUMIFS(交易明細!$L$2:$L$24,交易明細!$B$2:$B$24,$A6,交易明細!$J$2:$J$24,"&lt;&gt;未平倉")</f>
        <v/>
      </c>
      <c r="K6" s="5">
        <f>IFERROR(AVERAGEIFS(交易明細!$K$2:$K$24,交易明細!$B$2:$B$24,$A6,交易明細!$J$2:$J$24,"&lt;&gt;未平倉"),0)</f>
        <v/>
      </c>
      <c r="L6" s="2">
        <f>COUNTIFS(交易明細!$B$2:$B$24,$A6,交易明細!$J$2:$J$24,"未平倉")</f>
        <v/>
      </c>
    </row>
    <row r="7">
      <c r="A7" s="2" t="inlineStr">
        <is>
          <t>0G_USDT_PERP</t>
        </is>
      </c>
      <c r="B7" s="2">
        <f>COUNTIFS(交易明細!$B$2:$B$24,$A7)</f>
        <v/>
      </c>
      <c r="C7" s="2">
        <f>COUNTIFS(交易明細!$B$2:$B$24,$A7,交易明細!$C$2:$C$24,"做多")</f>
        <v/>
      </c>
      <c r="D7" s="2">
        <f>COUNTIFS(交易明細!$B$2:$B$24,$A7,交易明細!$C$2:$C$24,"做空")</f>
        <v/>
      </c>
      <c r="E7" s="2">
        <f>F7+G7+COUNTIFS(交易明細!$B$2:$B$24,$A7,交易明細!$J$2:$J$24,"時間出場")</f>
        <v/>
      </c>
      <c r="F7" s="2">
        <f>COUNTIFS(交易明細!$B$2:$B$24,$A7,交易明細!$J$2:$J$24,"止盈")</f>
        <v/>
      </c>
      <c r="G7" s="2">
        <f>COUNTIFS(交易明細!$B$2:$B$24,$A7,交易明細!$J$2:$J$24,"止損")</f>
        <v/>
      </c>
      <c r="H7" s="4">
        <f>IFERROR(F7/E7,0)</f>
        <v/>
      </c>
      <c r="I7" s="4">
        <f>IFERROR(AVERAGEIFS(交易明細!$L$2:$L$24,交易明細!$B$2:$B$24,$A7,交易明細!$J$2:$J$24,"&lt;&gt;未平倉"),0)</f>
        <v/>
      </c>
      <c r="J7" s="4">
        <f>SUMIFS(交易明細!$L$2:$L$24,交易明細!$B$2:$B$24,$A7,交易明細!$J$2:$J$24,"&lt;&gt;未平倉")</f>
        <v/>
      </c>
      <c r="K7" s="5">
        <f>IFERROR(AVERAGEIFS(交易明細!$K$2:$K$24,交易明細!$B$2:$B$24,$A7,交易明細!$J$2:$J$24,"&lt;&gt;未平倉"),0)</f>
        <v/>
      </c>
      <c r="L7" s="2">
        <f>COUNTIFS(交易明細!$B$2:$B$24,$A7,交易明細!$J$2:$J$24,"未平倉")</f>
        <v/>
      </c>
    </row>
    <row r="8">
      <c r="A8" s="2" t="inlineStr">
        <is>
          <t>BR_USDT_PERP</t>
        </is>
      </c>
      <c r="B8" s="2">
        <f>COUNTIFS(交易明細!$B$2:$B$24,$A8)</f>
        <v/>
      </c>
      <c r="C8" s="2">
        <f>COUNTIFS(交易明細!$B$2:$B$24,$A8,交易明細!$C$2:$C$24,"做多")</f>
        <v/>
      </c>
      <c r="D8" s="2">
        <f>COUNTIFS(交易明細!$B$2:$B$24,$A8,交易明細!$C$2:$C$24,"做空")</f>
        <v/>
      </c>
      <c r="E8" s="2">
        <f>F8+G8+COUNTIFS(交易明細!$B$2:$B$24,$A8,交易明細!$J$2:$J$24,"時間出場")</f>
        <v/>
      </c>
      <c r="F8" s="2">
        <f>COUNTIFS(交易明細!$B$2:$B$24,$A8,交易明細!$J$2:$J$24,"止盈")</f>
        <v/>
      </c>
      <c r="G8" s="2">
        <f>COUNTIFS(交易明細!$B$2:$B$24,$A8,交易明細!$J$2:$J$24,"止損")</f>
        <v/>
      </c>
      <c r="H8" s="4">
        <f>IFERROR(F8/E8,0)</f>
        <v/>
      </c>
      <c r="I8" s="4">
        <f>IFERROR(AVERAGEIFS(交易明細!$L$2:$L$24,交易明細!$B$2:$B$24,$A8,交易明細!$J$2:$J$24,"&lt;&gt;未平倉"),0)</f>
        <v/>
      </c>
      <c r="J8" s="4">
        <f>SUMIFS(交易明細!$L$2:$L$24,交易明細!$B$2:$B$24,$A8,交易明細!$J$2:$J$24,"&lt;&gt;未平倉")</f>
        <v/>
      </c>
      <c r="K8" s="5">
        <f>IFERROR(AVERAGEIFS(交易明細!$K$2:$K$24,交易明細!$B$2:$B$24,$A8,交易明細!$J$2:$J$24,"&lt;&gt;未平倉"),0)</f>
        <v/>
      </c>
      <c r="L8" s="2">
        <f>COUNTIFS(交易明細!$B$2:$B$24,$A8,交易明細!$J$2:$J$24,"未平倉")</f>
        <v/>
      </c>
    </row>
    <row r="9">
      <c r="A9" s="2" t="inlineStr">
        <is>
          <t>MUBARAK_USDT_PERP</t>
        </is>
      </c>
      <c r="B9" s="2">
        <f>COUNTIFS(交易明細!$B$2:$B$24,$A9)</f>
        <v/>
      </c>
      <c r="C9" s="2">
        <f>COUNTIFS(交易明細!$B$2:$B$24,$A9,交易明細!$C$2:$C$24,"做多")</f>
        <v/>
      </c>
      <c r="D9" s="2">
        <f>COUNTIFS(交易明細!$B$2:$B$24,$A9,交易明細!$C$2:$C$24,"做空")</f>
        <v/>
      </c>
      <c r="E9" s="2">
        <f>F9+G9+COUNTIFS(交易明細!$B$2:$B$24,$A9,交易明細!$J$2:$J$24,"時間出場")</f>
        <v/>
      </c>
      <c r="F9" s="2">
        <f>COUNTIFS(交易明細!$B$2:$B$24,$A9,交易明細!$J$2:$J$24,"止盈")</f>
        <v/>
      </c>
      <c r="G9" s="2">
        <f>COUNTIFS(交易明細!$B$2:$B$24,$A9,交易明細!$J$2:$J$24,"止損")</f>
        <v/>
      </c>
      <c r="H9" s="4">
        <f>IFERROR(F9/E9,0)</f>
        <v/>
      </c>
      <c r="I9" s="4">
        <f>IFERROR(AVERAGEIFS(交易明細!$L$2:$L$24,交易明細!$B$2:$B$24,$A9,交易明細!$J$2:$J$24,"&lt;&gt;未平倉"),0)</f>
        <v/>
      </c>
      <c r="J9" s="4">
        <f>SUMIFS(交易明細!$L$2:$L$24,交易明細!$B$2:$B$24,$A9,交易明細!$J$2:$J$24,"&lt;&gt;未平倉")</f>
        <v/>
      </c>
      <c r="K9" s="5">
        <f>IFERROR(AVERAGEIFS(交易明細!$K$2:$K$24,交易明細!$B$2:$B$24,$A9,交易明細!$J$2:$J$24,"&lt;&gt;未平倉"),0)</f>
        <v/>
      </c>
      <c r="L9" s="2">
        <f>COUNTIFS(交易明細!$B$2:$B$24,$A9,交易明細!$J$2:$J$24,"未平倉")</f>
        <v/>
      </c>
    </row>
    <row r="10">
      <c r="A10" s="2" t="inlineStr">
        <is>
          <t>WLD_USDT_PERP</t>
        </is>
      </c>
      <c r="B10" s="2">
        <f>COUNTIFS(交易明細!$B$2:$B$24,$A10)</f>
        <v/>
      </c>
      <c r="C10" s="2">
        <f>COUNTIFS(交易明細!$B$2:$B$24,$A10,交易明細!$C$2:$C$24,"做多")</f>
        <v/>
      </c>
      <c r="D10" s="2">
        <f>COUNTIFS(交易明細!$B$2:$B$24,$A10,交易明細!$C$2:$C$24,"做空")</f>
        <v/>
      </c>
      <c r="E10" s="2">
        <f>F10+G10+COUNTIFS(交易明細!$B$2:$B$24,$A10,交易明細!$J$2:$J$24,"時間出場")</f>
        <v/>
      </c>
      <c r="F10" s="2">
        <f>COUNTIFS(交易明細!$B$2:$B$24,$A10,交易明細!$J$2:$J$24,"止盈")</f>
        <v/>
      </c>
      <c r="G10" s="2">
        <f>COUNTIFS(交易明細!$B$2:$B$24,$A10,交易明細!$J$2:$J$24,"止損")</f>
        <v/>
      </c>
      <c r="H10" s="4">
        <f>IFERROR(F10/E10,0)</f>
        <v/>
      </c>
      <c r="I10" s="4">
        <f>IFERROR(AVERAGEIFS(交易明細!$L$2:$L$24,交易明細!$B$2:$B$24,$A10,交易明細!$J$2:$J$24,"&lt;&gt;未平倉"),0)</f>
        <v/>
      </c>
      <c r="J10" s="4">
        <f>SUMIFS(交易明細!$L$2:$L$24,交易明細!$B$2:$B$24,$A10,交易明細!$J$2:$J$24,"&lt;&gt;未平倉")</f>
        <v/>
      </c>
      <c r="K10" s="5">
        <f>IFERROR(AVERAGEIFS(交易明細!$K$2:$K$24,交易明細!$B$2:$B$24,$A10,交易明細!$J$2:$J$24,"&lt;&gt;未平倉"),0)</f>
        <v/>
      </c>
      <c r="L10" s="2">
        <f>COUNTIFS(交易明細!$B$2:$B$24,$A10,交易明細!$J$2:$J$24,"未平倉")</f>
        <v/>
      </c>
    </row>
    <row r="11">
      <c r="A11" s="2" t="inlineStr">
        <is>
          <t>SOLV_USDT_PERP</t>
        </is>
      </c>
      <c r="B11" s="2">
        <f>COUNTIFS(交易明細!$B$2:$B$24,$A11)</f>
        <v/>
      </c>
      <c r="C11" s="2">
        <f>COUNTIFS(交易明細!$B$2:$B$24,$A11,交易明細!$C$2:$C$24,"做多")</f>
        <v/>
      </c>
      <c r="D11" s="2">
        <f>COUNTIFS(交易明細!$B$2:$B$24,$A11,交易明細!$C$2:$C$24,"做空")</f>
        <v/>
      </c>
      <c r="E11" s="2">
        <f>F11+G11+COUNTIFS(交易明細!$B$2:$B$24,$A11,交易明細!$J$2:$J$24,"時間出場")</f>
        <v/>
      </c>
      <c r="F11" s="2">
        <f>COUNTIFS(交易明細!$B$2:$B$24,$A11,交易明細!$J$2:$J$24,"止盈")</f>
        <v/>
      </c>
      <c r="G11" s="2">
        <f>COUNTIFS(交易明細!$B$2:$B$24,$A11,交易明細!$J$2:$J$24,"止損")</f>
        <v/>
      </c>
      <c r="H11" s="4">
        <f>IFERROR(F11/E11,0)</f>
        <v/>
      </c>
      <c r="I11" s="4">
        <f>IFERROR(AVERAGEIFS(交易明細!$L$2:$L$24,交易明細!$B$2:$B$24,$A11,交易明細!$J$2:$J$24,"&lt;&gt;未平倉"),0)</f>
        <v/>
      </c>
      <c r="J11" s="4">
        <f>SUMIFS(交易明細!$L$2:$L$24,交易明細!$B$2:$B$24,$A11,交易明細!$J$2:$J$24,"&lt;&gt;未平倉")</f>
        <v/>
      </c>
      <c r="K11" s="5">
        <f>IFERROR(AVERAGEIFS(交易明細!$K$2:$K$24,交易明細!$B$2:$B$24,$A11,交易明細!$J$2:$J$24,"&lt;&gt;未平倉"),0)</f>
        <v/>
      </c>
      <c r="L11" s="2">
        <f>COUNTIFS(交易明細!$B$2:$B$24,$A11,交易明細!$J$2:$J$24,"未平倉")</f>
        <v/>
      </c>
    </row>
    <row r="12">
      <c r="A12" s="2" t="inlineStr">
        <is>
          <t>IOST_USDT_PERP</t>
        </is>
      </c>
      <c r="B12" s="2">
        <f>COUNTIFS(交易明細!$B$2:$B$24,$A12)</f>
        <v/>
      </c>
      <c r="C12" s="2">
        <f>COUNTIFS(交易明細!$B$2:$B$24,$A12,交易明細!$C$2:$C$24,"做多")</f>
        <v/>
      </c>
      <c r="D12" s="2">
        <f>COUNTIFS(交易明細!$B$2:$B$24,$A12,交易明細!$C$2:$C$24,"做空")</f>
        <v/>
      </c>
      <c r="E12" s="2">
        <f>F12+G12+COUNTIFS(交易明細!$B$2:$B$24,$A12,交易明細!$J$2:$J$24,"時間出場")</f>
        <v/>
      </c>
      <c r="F12" s="2">
        <f>COUNTIFS(交易明細!$B$2:$B$24,$A12,交易明細!$J$2:$J$24,"止盈")</f>
        <v/>
      </c>
      <c r="G12" s="2">
        <f>COUNTIFS(交易明細!$B$2:$B$24,$A12,交易明細!$J$2:$J$24,"止損")</f>
        <v/>
      </c>
      <c r="H12" s="4">
        <f>IFERROR(F12/E12,0)</f>
        <v/>
      </c>
      <c r="I12" s="4">
        <f>IFERROR(AVERAGEIFS(交易明細!$L$2:$L$24,交易明細!$B$2:$B$24,$A12,交易明細!$J$2:$J$24,"&lt;&gt;未平倉"),0)</f>
        <v/>
      </c>
      <c r="J12" s="4">
        <f>SUMIFS(交易明細!$L$2:$L$24,交易明細!$B$2:$B$24,$A12,交易明細!$J$2:$J$24,"&lt;&gt;未平倉")</f>
        <v/>
      </c>
      <c r="K12" s="5">
        <f>IFERROR(AVERAGEIFS(交易明細!$K$2:$K$24,交易明細!$B$2:$B$24,$A12,交易明細!$J$2:$J$24,"&lt;&gt;未平倉"),0)</f>
        <v/>
      </c>
      <c r="L12" s="2">
        <f>COUNTIFS(交易明細!$B$2:$B$24,$A12,交易明細!$J$2:$J$24,"未平倉")</f>
        <v/>
      </c>
    </row>
    <row r="13">
      <c r="A13" s="2" t="inlineStr">
        <is>
          <t>SAGA_USDT_PERP</t>
        </is>
      </c>
      <c r="B13" s="2">
        <f>COUNTIFS(交易明細!$B$2:$B$24,$A13)</f>
        <v/>
      </c>
      <c r="C13" s="2">
        <f>COUNTIFS(交易明細!$B$2:$B$24,$A13,交易明細!$C$2:$C$24,"做多")</f>
        <v/>
      </c>
      <c r="D13" s="2">
        <f>COUNTIFS(交易明細!$B$2:$B$24,$A13,交易明細!$C$2:$C$24,"做空")</f>
        <v/>
      </c>
      <c r="E13" s="2">
        <f>F13+G13+COUNTIFS(交易明細!$B$2:$B$24,$A13,交易明細!$J$2:$J$24,"時間出場")</f>
        <v/>
      </c>
      <c r="F13" s="2">
        <f>COUNTIFS(交易明細!$B$2:$B$24,$A13,交易明細!$J$2:$J$24,"止盈")</f>
        <v/>
      </c>
      <c r="G13" s="2">
        <f>COUNTIFS(交易明細!$B$2:$B$24,$A13,交易明細!$J$2:$J$24,"止損")</f>
        <v/>
      </c>
      <c r="H13" s="4">
        <f>IFERROR(F13/E13,0)</f>
        <v/>
      </c>
      <c r="I13" s="4">
        <f>IFERROR(AVERAGEIFS(交易明細!$L$2:$L$24,交易明細!$B$2:$B$24,$A13,交易明細!$J$2:$J$24,"&lt;&gt;未平倉"),0)</f>
        <v/>
      </c>
      <c r="J13" s="4">
        <f>SUMIFS(交易明細!$L$2:$L$24,交易明細!$B$2:$B$24,$A13,交易明細!$J$2:$J$24,"&lt;&gt;未平倉")</f>
        <v/>
      </c>
      <c r="K13" s="5">
        <f>IFERROR(AVERAGEIFS(交易明細!$K$2:$K$24,交易明細!$B$2:$B$24,$A13,交易明細!$J$2:$J$24,"&lt;&gt;未平倉"),0)</f>
        <v/>
      </c>
      <c r="L13" s="2">
        <f>COUNTIFS(交易明細!$B$2:$B$24,$A13,交易明細!$J$2:$J$24,"未平倉")</f>
        <v/>
      </c>
    </row>
    <row r="14">
      <c r="A14" s="2" t="inlineStr">
        <is>
          <t>FF_USDT_PERP</t>
        </is>
      </c>
      <c r="B14" s="2">
        <f>COUNTIFS(交易明細!$B$2:$B$24,$A14)</f>
        <v/>
      </c>
      <c r="C14" s="2">
        <f>COUNTIFS(交易明細!$B$2:$B$24,$A14,交易明細!$C$2:$C$24,"做多")</f>
        <v/>
      </c>
      <c r="D14" s="2">
        <f>COUNTIFS(交易明細!$B$2:$B$24,$A14,交易明細!$C$2:$C$24,"做空")</f>
        <v/>
      </c>
      <c r="E14" s="2">
        <f>F14+G14+COUNTIFS(交易明細!$B$2:$B$24,$A14,交易明細!$J$2:$J$24,"時間出場")</f>
        <v/>
      </c>
      <c r="F14" s="2">
        <f>COUNTIFS(交易明細!$B$2:$B$24,$A14,交易明細!$J$2:$J$24,"止盈")</f>
        <v/>
      </c>
      <c r="G14" s="2">
        <f>COUNTIFS(交易明細!$B$2:$B$24,$A14,交易明細!$J$2:$J$24,"止損")</f>
        <v/>
      </c>
      <c r="H14" s="4">
        <f>IFERROR(F14/E14,0)</f>
        <v/>
      </c>
      <c r="I14" s="4">
        <f>IFERROR(AVERAGEIFS(交易明細!$L$2:$L$24,交易明細!$B$2:$B$24,$A14,交易明細!$J$2:$J$24,"&lt;&gt;未平倉"),0)</f>
        <v/>
      </c>
      <c r="J14" s="4">
        <f>SUMIFS(交易明細!$L$2:$L$24,交易明細!$B$2:$B$24,$A14,交易明細!$J$2:$J$24,"&lt;&gt;未平倉")</f>
        <v/>
      </c>
      <c r="K14" s="5">
        <f>IFERROR(AVERAGEIFS(交易明細!$K$2:$K$24,交易明細!$B$2:$B$24,$A14,交易明細!$J$2:$J$24,"&lt;&gt;未平倉"),0)</f>
        <v/>
      </c>
      <c r="L14" s="2">
        <f>COUNTIFS(交易明細!$B$2:$B$24,$A14,交易明細!$J$2:$J$24,"未平倉")</f>
        <v/>
      </c>
    </row>
    <row r="15">
      <c r="A15" s="2" t="inlineStr">
        <is>
          <t>KITE_USDT_PERP</t>
        </is>
      </c>
      <c r="B15" s="2">
        <f>COUNTIFS(交易明細!$B$2:$B$24,$A15)</f>
        <v/>
      </c>
      <c r="C15" s="2">
        <f>COUNTIFS(交易明細!$B$2:$B$24,$A15,交易明細!$C$2:$C$24,"做多")</f>
        <v/>
      </c>
      <c r="D15" s="2">
        <f>COUNTIFS(交易明細!$B$2:$B$24,$A15,交易明細!$C$2:$C$24,"做空")</f>
        <v/>
      </c>
      <c r="E15" s="2">
        <f>F15+G15+COUNTIFS(交易明細!$B$2:$B$24,$A15,交易明細!$J$2:$J$24,"時間出場")</f>
        <v/>
      </c>
      <c r="F15" s="2">
        <f>COUNTIFS(交易明細!$B$2:$B$24,$A15,交易明細!$J$2:$J$24,"止盈")</f>
        <v/>
      </c>
      <c r="G15" s="2">
        <f>COUNTIFS(交易明細!$B$2:$B$24,$A15,交易明細!$J$2:$J$24,"止損")</f>
        <v/>
      </c>
      <c r="H15" s="4">
        <f>IFERROR(F15/E15,0)</f>
        <v/>
      </c>
      <c r="I15" s="4">
        <f>IFERROR(AVERAGEIFS(交易明細!$L$2:$L$24,交易明細!$B$2:$B$24,$A15,交易明細!$J$2:$J$24,"&lt;&gt;未平倉"),0)</f>
        <v/>
      </c>
      <c r="J15" s="4">
        <f>SUMIFS(交易明細!$L$2:$L$24,交易明細!$B$2:$B$24,$A15,交易明細!$J$2:$J$24,"&lt;&gt;未平倉")</f>
        <v/>
      </c>
      <c r="K15" s="5">
        <f>IFERROR(AVERAGEIFS(交易明細!$K$2:$K$24,交易明細!$B$2:$B$24,$A15,交易明細!$J$2:$J$24,"&lt;&gt;未平倉"),0)</f>
        <v/>
      </c>
      <c r="L15" s="2">
        <f>COUNTIFS(交易明細!$B$2:$B$24,$A15,交易明細!$J$2:$J$24,"未平倉")</f>
        <v/>
      </c>
    </row>
    <row r="16">
      <c r="A16" s="2" t="inlineStr">
        <is>
          <t>PENGU_USDT_PERP</t>
        </is>
      </c>
      <c r="B16" s="2">
        <f>COUNTIFS(交易明細!$B$2:$B$24,$A16)</f>
        <v/>
      </c>
      <c r="C16" s="2">
        <f>COUNTIFS(交易明細!$B$2:$B$24,$A16,交易明細!$C$2:$C$24,"做多")</f>
        <v/>
      </c>
      <c r="D16" s="2">
        <f>COUNTIFS(交易明細!$B$2:$B$24,$A16,交易明細!$C$2:$C$24,"做空")</f>
        <v/>
      </c>
      <c r="E16" s="2">
        <f>F16+G16+COUNTIFS(交易明細!$B$2:$B$24,$A16,交易明細!$J$2:$J$24,"時間出場")</f>
        <v/>
      </c>
      <c r="F16" s="2">
        <f>COUNTIFS(交易明細!$B$2:$B$24,$A16,交易明細!$J$2:$J$24,"止盈")</f>
        <v/>
      </c>
      <c r="G16" s="2">
        <f>COUNTIFS(交易明細!$B$2:$B$24,$A16,交易明細!$J$2:$J$24,"止損")</f>
        <v/>
      </c>
      <c r="H16" s="4">
        <f>IFERROR(F16/E16,0)</f>
        <v/>
      </c>
      <c r="I16" s="4">
        <f>IFERROR(AVERAGEIFS(交易明細!$L$2:$L$24,交易明細!$B$2:$B$24,$A16,交易明細!$J$2:$J$24,"&lt;&gt;未平倉"),0)</f>
        <v/>
      </c>
      <c r="J16" s="4">
        <f>SUMIFS(交易明細!$L$2:$L$24,交易明細!$B$2:$B$24,$A16,交易明細!$J$2:$J$24,"&lt;&gt;未平倉")</f>
        <v/>
      </c>
      <c r="K16" s="5">
        <f>IFERROR(AVERAGEIFS(交易明細!$K$2:$K$24,交易明細!$B$2:$B$24,$A16,交易明細!$J$2:$J$24,"&lt;&gt;未平倉"),0)</f>
        <v/>
      </c>
      <c r="L16" s="2">
        <f>COUNTIFS(交易明細!$B$2:$B$24,$A16,交易明細!$J$2:$J$24,"未平倉")</f>
        <v/>
      </c>
    </row>
    <row r="17">
      <c r="A17" s="2" t="inlineStr">
        <is>
          <t>BONK_USDT_PERP</t>
        </is>
      </c>
      <c r="B17" s="2">
        <f>COUNTIFS(交易明細!$B$2:$B$24,$A17)</f>
        <v/>
      </c>
      <c r="C17" s="2">
        <f>COUNTIFS(交易明細!$B$2:$B$24,$A17,交易明細!$C$2:$C$24,"做多")</f>
        <v/>
      </c>
      <c r="D17" s="2">
        <f>COUNTIFS(交易明細!$B$2:$B$24,$A17,交易明細!$C$2:$C$24,"做空")</f>
        <v/>
      </c>
      <c r="E17" s="2">
        <f>F17+G17+COUNTIFS(交易明細!$B$2:$B$24,$A17,交易明細!$J$2:$J$24,"時間出場")</f>
        <v/>
      </c>
      <c r="F17" s="2">
        <f>COUNTIFS(交易明細!$B$2:$B$24,$A17,交易明細!$J$2:$J$24,"止盈")</f>
        <v/>
      </c>
      <c r="G17" s="2">
        <f>COUNTIFS(交易明細!$B$2:$B$24,$A17,交易明細!$J$2:$J$24,"止損")</f>
        <v/>
      </c>
      <c r="H17" s="4">
        <f>IFERROR(F17/E17,0)</f>
        <v/>
      </c>
      <c r="I17" s="4">
        <f>IFERROR(AVERAGEIFS(交易明細!$L$2:$L$24,交易明細!$B$2:$B$24,$A17,交易明細!$J$2:$J$24,"&lt;&gt;未平倉"),0)</f>
        <v/>
      </c>
      <c r="J17" s="4">
        <f>SUMIFS(交易明細!$L$2:$L$24,交易明細!$B$2:$B$24,$A17,交易明細!$J$2:$J$24,"&lt;&gt;未平倉")</f>
        <v/>
      </c>
      <c r="K17" s="5">
        <f>IFERROR(AVERAGEIFS(交易明細!$K$2:$K$24,交易明細!$B$2:$B$24,$A17,交易明細!$J$2:$J$24,"&lt;&gt;未平倉"),0)</f>
        <v/>
      </c>
      <c r="L17" s="2">
        <f>COUNTIFS(交易明細!$B$2:$B$24,$A17,交易明細!$J$2:$J$24,"未平倉")</f>
        <v/>
      </c>
    </row>
  </sheetData>
  <autoFilter ref="A1:L1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2026-09-24T05:01:43Z</dcterms:created>
  <dcterms:modified xsi:type="dcterms:W3CDTF">2026-09-24T05:01:43Z</dcterms:modified>
</cp:coreProperties>
</file>