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14:00（Dry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46284.58365538195</v>
      </c>
      <c r="B2" s="7" t="n">
        <v>46284.57986111111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101.8</v>
      </c>
    </row>
    <row r="3">
      <c r="A3" s="7" t="n">
        <v>46284.38530752315</v>
      </c>
      <c r="B3" s="7" t="n">
        <v>46284.37847222222</v>
      </c>
      <c r="C3" s="2" t="n">
        <v>440</v>
      </c>
      <c r="D3" s="2" t="n">
        <v>1</v>
      </c>
      <c r="E3" s="2" t="n">
        <v>0</v>
      </c>
      <c r="F3" s="2" t="n">
        <v>0</v>
      </c>
      <c r="G3" s="2" t="n">
        <v>130.8</v>
      </c>
    </row>
    <row r="4">
      <c r="A4" s="7" t="n">
        <v>46284.27664920139</v>
      </c>
      <c r="B4" s="7" t="n">
        <v>46284.27083333334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127.8</v>
      </c>
    </row>
    <row r="5">
      <c r="A5" s="7" t="n">
        <v>46284.15392047453</v>
      </c>
      <c r="B5" s="7" t="n">
        <v>46284.14930555555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135.6</v>
      </c>
    </row>
    <row r="6">
      <c r="A6" s="7" t="n">
        <v>46284.02123533565</v>
      </c>
      <c r="B6" s="7" t="n">
        <v>46284.01736111111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102.8</v>
      </c>
    </row>
    <row r="7">
      <c r="A7" s="7" t="n">
        <v>46283.99753837963</v>
      </c>
      <c r="B7" s="7" t="n">
        <v>46283.99305555555</v>
      </c>
      <c r="C7" s="2" t="n">
        <v>440</v>
      </c>
      <c r="D7" s="2" t="n">
        <v>0</v>
      </c>
      <c r="E7" s="2" t="n">
        <v>2</v>
      </c>
      <c r="F7" s="2" t="n">
        <v>0</v>
      </c>
      <c r="G7" s="2" t="n">
        <v>129.8</v>
      </c>
    </row>
    <row r="8">
      <c r="A8" s="7" t="n">
        <v>46283.80859936342</v>
      </c>
      <c r="B8" s="7" t="n">
        <v>46283.80208333334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127.7</v>
      </c>
    </row>
    <row r="9">
      <c r="A9" s="7" t="n">
        <v>46283.78916202546</v>
      </c>
      <c r="B9" s="7" t="n">
        <v>46283.78472222222</v>
      </c>
      <c r="C9" s="2" t="n">
        <v>440</v>
      </c>
      <c r="D9" s="2" t="n">
        <v>2</v>
      </c>
      <c r="E9" s="2" t="n">
        <v>0</v>
      </c>
      <c r="F9" s="2" t="n">
        <v>0</v>
      </c>
      <c r="G9" s="2" t="n">
        <v>119.1</v>
      </c>
    </row>
    <row r="10">
      <c r="A10" s="7" t="n">
        <v>46283.58323265046</v>
      </c>
      <c r="B10" s="7" t="n">
        <v>46283.57638888889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126.7</v>
      </c>
    </row>
    <row r="11">
      <c r="A11" s="7" t="n">
        <v>46283.57323743056</v>
      </c>
      <c r="B11" s="7" t="n">
        <v>46283.56944444445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94.3</v>
      </c>
    </row>
    <row r="12">
      <c r="A12" s="7" t="n">
        <v>46283.45181144676</v>
      </c>
      <c r="B12" s="7" t="n">
        <v>46283.44791666666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132.3</v>
      </c>
    </row>
    <row r="13">
      <c r="A13" s="7" t="n">
        <v>46283.44134394676</v>
      </c>
      <c r="B13" s="7" t="n">
        <v>46283.4375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373.5</v>
      </c>
    </row>
    <row r="14">
      <c r="A14" s="7" t="n">
        <v>46283.35273409722</v>
      </c>
      <c r="B14" s="7" t="n">
        <v>46283.34722222222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132.3</v>
      </c>
    </row>
    <row r="15">
      <c r="A15" s="7" t="n">
        <v>46283.26014016203</v>
      </c>
      <c r="B15" s="7" t="n">
        <v>46283.25347222222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129.5</v>
      </c>
    </row>
    <row r="16">
      <c r="A16" s="7" t="n">
        <v>46283.09637409722</v>
      </c>
      <c r="B16" s="7" t="n">
        <v>46283.09027777778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131.2</v>
      </c>
    </row>
    <row r="17">
      <c r="A17" s="7" t="n">
        <v>46282.89824439815</v>
      </c>
      <c r="B17" s="7" t="n">
        <v>46282.89236111111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137</v>
      </c>
    </row>
    <row r="18">
      <c r="A18" s="7" t="n">
        <v>46282.65711792824</v>
      </c>
      <c r="B18" s="7" t="n">
        <v>46282.65277777778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126.6</v>
      </c>
    </row>
    <row r="19">
      <c r="A19" s="7" t="n">
        <v>46282.40350203704</v>
      </c>
      <c r="B19" s="7" t="n">
        <v>46282.39930555555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323.7</v>
      </c>
    </row>
    <row r="20">
      <c r="A20" s="7" t="n">
        <v>46282.39577758102</v>
      </c>
      <c r="B20" s="7" t="n">
        <v>46282.33333333334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50.5</v>
      </c>
    </row>
    <row r="21">
      <c r="A21" s="7" t="n">
        <v>46282.29222982639</v>
      </c>
      <c r="B21" s="7" t="n">
        <v>46282.25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66.2</v>
      </c>
    </row>
    <row r="22">
      <c r="A22" s="7" t="n">
        <v>46282.17576607639</v>
      </c>
      <c r="B22" s="7" t="n">
        <v>46282.125</v>
      </c>
      <c r="C22" s="2" t="n">
        <v>440</v>
      </c>
      <c r="D22" s="2" t="n">
        <v>0</v>
      </c>
      <c r="E22" s="2" t="n">
        <v>1</v>
      </c>
      <c r="F22" s="2" t="n">
        <v>0</v>
      </c>
      <c r="G22" s="2" t="n">
        <v>67</v>
      </c>
    </row>
    <row r="23">
      <c r="A23" s="7" t="n">
        <v>46282.04552453704</v>
      </c>
      <c r="B23" s="7" t="n">
        <v>46282</v>
      </c>
      <c r="C23" s="2" t="n">
        <v>440</v>
      </c>
      <c r="D23" s="2" t="n">
        <v>2</v>
      </c>
      <c r="E23" s="2" t="n">
        <v>1</v>
      </c>
      <c r="F23" s="2" t="n">
        <v>0</v>
      </c>
      <c r="G23" s="2" t="n">
        <v>52.9</v>
      </c>
    </row>
    <row r="24">
      <c r="A24" s="7" t="n">
        <v>46281.82298537037</v>
      </c>
      <c r="B24" s="7" t="n">
        <v>46281.75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65.7</v>
      </c>
    </row>
    <row r="25">
      <c r="A25" s="7" t="n">
        <v>46281.58829054398</v>
      </c>
      <c r="B25" s="7" t="n">
        <v>46281.54166666666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54.5</v>
      </c>
    </row>
    <row r="26">
      <c r="A26" s="7" t="n">
        <v>46281.35205523148</v>
      </c>
      <c r="B26" s="7" t="n">
        <v>46281.29166666666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66.90000000000001</v>
      </c>
    </row>
    <row r="27">
      <c r="A27" s="7" t="n">
        <v>46281.22963460648</v>
      </c>
      <c r="B27" s="7" t="n">
        <v>46281.16666666666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61.9</v>
      </c>
    </row>
    <row r="28">
      <c r="A28" s="7" t="n">
        <v>46281.094529375</v>
      </c>
      <c r="B28" s="7" t="n">
        <v>46281.04166666666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46.5</v>
      </c>
    </row>
    <row r="29">
      <c r="A29" s="7" t="n">
        <v>46280.9017994676</v>
      </c>
      <c r="B29" s="7" t="n">
        <v>46280.83333333334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56.7</v>
      </c>
    </row>
    <row r="30">
      <c r="A30" s="7" t="n">
        <v>46280.66002480324</v>
      </c>
      <c r="B30" s="7" t="n">
        <v>46280.58333333334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67.40000000000001</v>
      </c>
    </row>
    <row r="31">
      <c r="A31" s="7" t="n">
        <v>46280.4778358449</v>
      </c>
      <c r="B31" s="7" t="n">
        <v>46280.41666666666</v>
      </c>
      <c r="C31" s="2" t="n">
        <v>442</v>
      </c>
      <c r="D31" s="2" t="n">
        <v>11</v>
      </c>
      <c r="E31" s="2" t="n">
        <v>11</v>
      </c>
      <c r="F31" s="2" t="n">
        <v>0</v>
      </c>
      <c r="G31" s="2" t="n">
        <v>61.2</v>
      </c>
    </row>
    <row r="32">
      <c r="A32" s="7" t="n">
        <v>46280.39795681713</v>
      </c>
      <c r="B32" s="7" t="n">
        <v>46280.33333333334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66.90000000000001</v>
      </c>
    </row>
    <row r="33">
      <c r="A33" s="7" t="n">
        <v>46280.29983445602</v>
      </c>
      <c r="B33" s="7" t="n">
        <v>46280.25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51.6</v>
      </c>
    </row>
    <row r="34">
      <c r="A34" s="7" t="n">
        <v>46280.14350143519</v>
      </c>
      <c r="B34" s="7" t="n">
        <v>46280.08333333334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57.3</v>
      </c>
    </row>
    <row r="35">
      <c r="A35" s="7" t="n">
        <v>46279.92418226852</v>
      </c>
      <c r="B35" s="7" t="n">
        <v>46279.875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48.1</v>
      </c>
    </row>
    <row r="36">
      <c r="A36" s="7" t="n">
        <v>46279.59996445602</v>
      </c>
      <c r="B36" s="7" t="n">
        <v>46279.54166666666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61</v>
      </c>
    </row>
    <row r="37">
      <c r="A37" s="7" t="n">
        <v>46279.38316741898</v>
      </c>
      <c r="B37" s="7" t="n">
        <v>46279.33333333334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59.9</v>
      </c>
    </row>
    <row r="38">
      <c r="A38" s="7" t="n">
        <v>46279.26932584491</v>
      </c>
      <c r="B38" s="7" t="n">
        <v>46279.20833333334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61.1</v>
      </c>
    </row>
    <row r="39">
      <c r="A39" s="7" t="n">
        <v>46279.14665413195</v>
      </c>
      <c r="B39" s="7" t="n">
        <v>46279.08333333334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55.1</v>
      </c>
    </row>
    <row r="40">
      <c r="A40" s="7" t="n">
        <v>46279.01733591435</v>
      </c>
      <c r="B40" s="7" t="n">
        <v>46278.95833333334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59.7</v>
      </c>
    </row>
    <row r="41">
      <c r="A41" s="7" t="n">
        <v>46278.83725055555</v>
      </c>
      <c r="B41" s="7" t="n">
        <v>46278.79166666666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65.40000000000001</v>
      </c>
    </row>
    <row r="42">
      <c r="A42" s="7" t="n">
        <v>46278.71111972223</v>
      </c>
      <c r="B42" s="7" t="n">
        <v>46278.66666666666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63.6</v>
      </c>
    </row>
    <row r="43">
      <c r="A43" s="7" t="n">
        <v>46278.68053923611</v>
      </c>
      <c r="B43" s="7" t="n">
        <v>46278.625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63.6</v>
      </c>
    </row>
    <row r="44">
      <c r="A44" s="7" t="n">
        <v>46278.07354997685</v>
      </c>
      <c r="B44" s="7" t="n">
        <v>46278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50.2</v>
      </c>
    </row>
    <row r="45">
      <c r="A45" s="7" t="n">
        <v>46277.94390239583</v>
      </c>
      <c r="B45" s="7" t="n">
        <v>46277.875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COUNTIFS(資金明細!$C$2:$C$35,"進場",資金明細!$N$2:$N$35,"已下單")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COUNTIFS(資金明細!$C$2:$C$35,"進場",資金明細!$N$2:$N$35,"資金不足略過")</f>
        <v/>
      </c>
    </row>
    <row r="11">
      <c r="D11" s="2" t="inlineStr">
        <is>
          <t>止盈筆數</t>
        </is>
      </c>
      <c r="E11" s="15">
        <f>COUNTIFS(資金明細!$C$2:$C$35,"出場",資金明細!$N$2:$N$35,"已下單",資金明細!$K$2:$K$35,"止盈")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COUNTIFS(資金明細!$C$2:$C$35,"出場",資金明細!$N$2:$N$35,"已下單",資金明細!$K$2:$K$35,"止損")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IFERROR(E11/COUNTIFS(資金明細!$C$2:$C$35,"出場",資金明細!$N$2:$N$35,"已下單"),0)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MAX(資金明細!$S$2:$S$35)</f>
        <v/>
      </c>
    </row>
    <row r="16">
      <c r="D16" s="2" t="inlineStr">
        <is>
          <t>期末下單金額</t>
        </is>
      </c>
      <c r="E16" s="16">
        <f>B5*資金明細!V35</f>
        <v/>
      </c>
    </row>
    <row r="17">
      <c r="D17" s="2" t="inlineStr">
        <is>
          <t>未平倉浮動損益（未計入）</t>
        </is>
      </c>
      <c r="E17" s="10">
        <f>IF(資金明細!N35="已下單",資金明細!O35*交易明細!L18,0)</f>
        <v/>
      </c>
    </row>
    <row r="18">
      <c r="D18" s="2" t="inlineStr">
        <is>
          <t>最大總曝險倍數</t>
        </is>
      </c>
      <c r="E18" s="16">
        <f>MAX(資金明細!$Y$2:$Y$35)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IFERROR(INDEX(資金明細!$B$2:$B$35,MATCH(1,資金明細!$Z$2:$Z$35,0)),"未觸發")</f>
        <v/>
      </c>
    </row>
    <row r="21">
      <c r="D21" s="2" t="inlineStr">
        <is>
          <t>停止後略過筆數</t>
        </is>
      </c>
      <c r="E21" s="15">
        <f>COUNTIFS(資金明細!$C$2:$C$35,"進場",資金明細!$N$2:$N$35,"已停止")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inlineStr">
        <is>
          <t>未平倉</t>
        </is>
      </c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</sheetData>
  <autoFilter ref="A1:Z35"/>
  <conditionalFormatting sqref="K2:K3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14:00（Dry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46284.58333333334</v>
      </c>
      <c r="I18" s="17" t="n">
        <v>0.6721</v>
      </c>
      <c r="J18" s="2" t="inlineStr">
        <is>
          <t>未平倉</t>
        </is>
      </c>
      <c r="K18" s="5">
        <f>(H18-D18)*24</f>
        <v/>
      </c>
      <c r="L18" s="4">
        <f>IF(C18="做多",I18/E18-1,1-I18/E18)-2*參數!$B$7</f>
        <v/>
      </c>
      <c r="M18" s="2" t="inlineStr">
        <is>
          <t>持倉中（以最新收盤估值）</t>
        </is>
      </c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0.03694012621209786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2026-09-19T06:02:10Z</dcterms:created>
  <dcterms:modified xsi:type="dcterms:W3CDTF">2026-09-19T06:02:10Z</dcterms:modified>
</cp:coreProperties>
</file>