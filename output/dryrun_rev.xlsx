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'資金明細'!$A$1:$Z$20</definedName>
    <definedName name="_xlnm._FilterDatabase" localSheetId="5" hidden="1">'交易明細'!$A$1:$AP$10</definedName>
    <definedName name="_xlnm._FilterDatabase" localSheetId="6" hidden="1">'幣種統計'!$A$1:$L$9</definedName>
    <definedName name="_xlnm._FilterDatabase" localSheetId="7" hidden="1">'掃描清單'!$A$1:$H$444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65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'資金明細'!$R$2:$R$20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02:41（Dry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COUNTIFS(交易明細!$B$2:$B$10,"&lt;&gt;")</f>
        <v/>
      </c>
      <c r="C5" s="2">
        <f>D5+E5+F5</f>
        <v/>
      </c>
      <c r="D5" s="2">
        <f>COUNTIFS(交易明細!$J$2:$J$10,"止盈")</f>
        <v/>
      </c>
      <c r="E5" s="2">
        <f>COUNTIFS(交易明細!$J$2:$J$10,"止損")</f>
        <v/>
      </c>
      <c r="F5" s="2">
        <f>COUNTIFS(交易明細!$J$2:$J$10,"時間出場")</f>
        <v/>
      </c>
      <c r="G5" s="2">
        <f>COUNTIFS(交易明細!$J$2:$J$10,"未平倉")</f>
        <v/>
      </c>
      <c r="H5" s="4">
        <f>IFERROR(D5/C5,0)</f>
        <v/>
      </c>
      <c r="I5" s="4">
        <f>IFERROR(AVERAGEIFS(交易明細!$AC$2:$AC$10,交易明細!$J$2:$J$10,"&lt;&gt;未平倉"),參數!$B$16)</f>
        <v/>
      </c>
      <c r="J5" s="4">
        <f>IFERROR(AVERAGEIFS(交易明細!$L$2:$L$10,交易明細!$J$2:$J$10,"&lt;&gt;未平倉"),0)</f>
        <v/>
      </c>
      <c r="K5" s="4">
        <f>SUMIFS(交易明細!$L$2:$L$10,交易明細!$J$2:$J$10,"&lt;&gt;未平倉")</f>
        <v/>
      </c>
      <c r="L5" s="5">
        <f>IFERROR(AVERAGEIFS(交易明細!$K$2:$K$10,交易明細!$J$2:$J$10,"&lt;&gt;未平倉"),0)</f>
        <v/>
      </c>
      <c r="M5" s="5">
        <f>IFERROR(AVERAGEIFS(交易明細!$K$2:$K$10,交易明細!$J$2:$J$10,"止盈"),0)</f>
        <v/>
      </c>
      <c r="N5" s="5">
        <f>IFERROR(AVERAGEIFS(交易明細!$K$2:$K$10,交易明細!$J$2:$J$10,"止損"),0)</f>
        <v/>
      </c>
      <c r="O5" s="4">
        <f>IFERROR(AVERAGEIFS(交易明細!$L$2:$L$10,交易明細!$J$2:$J$10,"時間出場"),0)</f>
        <v/>
      </c>
      <c r="P5" s="4">
        <f>IFERROR(COUNTIFS(交易明細!$J$2:$J$10,"&lt;&gt;未平倉",交易明細!$L$2:$L$10,"&gt;0")/C5,0)</f>
        <v/>
      </c>
    </row>
    <row r="6">
      <c r="A6" s="2" t="inlineStr">
        <is>
          <t>做多</t>
        </is>
      </c>
      <c r="B6" s="2">
        <f>COUNTIFS(交易明細!$C$2:$C$10,"做多",交易明細!$B$2:$B$10,"&lt;&gt;")</f>
        <v/>
      </c>
      <c r="C6" s="2">
        <f>D6+E6+F6</f>
        <v/>
      </c>
      <c r="D6" s="2">
        <f>COUNTIFS(交易明細!$C$2:$C$10,"做多",交易明細!$J$2:$J$10,"止盈")</f>
        <v/>
      </c>
      <c r="E6" s="2">
        <f>COUNTIFS(交易明細!$C$2:$C$10,"做多",交易明細!$J$2:$J$10,"止損")</f>
        <v/>
      </c>
      <c r="F6" s="2">
        <f>COUNTIFS(交易明細!$C$2:$C$10,"做多",交易明細!$J$2:$J$10,"時間出場")</f>
        <v/>
      </c>
      <c r="G6" s="2">
        <f>COUNTIFS(交易明細!$C$2:$C$10,"做多",交易明細!$J$2:$J$10,"未平倉")</f>
        <v/>
      </c>
      <c r="H6" s="4">
        <f>IFERROR(D6/C6,0)</f>
        <v/>
      </c>
      <c r="I6" s="4">
        <f>IFERROR(AVERAGEIFS(交易明細!$AC$2:$AC$10,交易明細!$C$2:$C$10,"做多",交易明細!$J$2:$J$10,"&lt;&gt;未平倉"),參數!$B$16)</f>
        <v/>
      </c>
      <c r="J6" s="4">
        <f>IFERROR(AVERAGEIFS(交易明細!$L$2:$L$10,交易明細!$C$2:$C$10,"做多",交易明細!$J$2:$J$10,"&lt;&gt;未平倉"),0)</f>
        <v/>
      </c>
      <c r="K6" s="4">
        <f>SUMIFS(交易明細!$L$2:$L$10,交易明細!$C$2:$C$10,"做多",交易明細!$J$2:$J$10,"&lt;&gt;未平倉")</f>
        <v/>
      </c>
      <c r="L6" s="5">
        <f>IFERROR(AVERAGEIFS(交易明細!$K$2:$K$10,交易明細!$C$2:$C$10,"做多",交易明細!$J$2:$J$10,"&lt;&gt;未平倉"),0)</f>
        <v/>
      </c>
      <c r="M6" s="5">
        <f>IFERROR(AVERAGEIFS(交易明細!$K$2:$K$10,交易明細!$C$2:$C$10,"做多",交易明細!$J$2:$J$10,"止盈"),0)</f>
        <v/>
      </c>
      <c r="N6" s="5">
        <f>IFERROR(AVERAGEIFS(交易明細!$K$2:$K$10,交易明細!$C$2:$C$10,"做多",交易明細!$J$2:$J$10,"止損"),0)</f>
        <v/>
      </c>
      <c r="O6" s="4">
        <f>IFERROR(AVERAGEIFS(交易明細!$L$2:$L$10,交易明細!$C$2:$C$10,"做多",交易明細!$J$2:$J$10,"時間出場"),0)</f>
        <v/>
      </c>
      <c r="P6" s="4">
        <f>IFERROR(COUNTIFS(交易明細!$C$2:$C$10,"做多",交易明細!$J$2:$J$10,"&lt;&gt;未平倉",交易明細!$L$2:$L$10,"&gt;0")/C6,0)</f>
        <v/>
      </c>
    </row>
    <row r="7">
      <c r="A7" s="2" t="inlineStr">
        <is>
          <t>做空</t>
        </is>
      </c>
      <c r="B7" s="2">
        <f>COUNTIFS(交易明細!$C$2:$C$10,"做空",交易明細!$B$2:$B$10,"&lt;&gt;")</f>
        <v/>
      </c>
      <c r="C7" s="2">
        <f>D7+E7+F7</f>
        <v/>
      </c>
      <c r="D7" s="2">
        <f>COUNTIFS(交易明細!$C$2:$C$10,"做空",交易明細!$J$2:$J$10,"止盈")</f>
        <v/>
      </c>
      <c r="E7" s="2">
        <f>COUNTIFS(交易明細!$C$2:$C$10,"做空",交易明細!$J$2:$J$10,"止損")</f>
        <v/>
      </c>
      <c r="F7" s="2">
        <f>COUNTIFS(交易明細!$C$2:$C$10,"做空",交易明細!$J$2:$J$10,"時間出場")</f>
        <v/>
      </c>
      <c r="G7" s="2">
        <f>COUNTIFS(交易明細!$C$2:$C$10,"做空",交易明細!$J$2:$J$10,"未平倉")</f>
        <v/>
      </c>
      <c r="H7" s="4">
        <f>IFERROR(D7/C7,0)</f>
        <v/>
      </c>
      <c r="I7" s="4">
        <f>IFERROR(AVERAGEIFS(交易明細!$AC$2:$AC$10,交易明細!$C$2:$C$10,"做空",交易明細!$J$2:$J$10,"&lt;&gt;未平倉"),參數!$B$16)</f>
        <v/>
      </c>
      <c r="J7" s="4">
        <f>IFERROR(AVERAGEIFS(交易明細!$L$2:$L$10,交易明細!$C$2:$C$10,"做空",交易明細!$J$2:$J$10,"&lt;&gt;未平倉"),0)</f>
        <v/>
      </c>
      <c r="K7" s="4">
        <f>SUMIFS(交易明細!$L$2:$L$10,交易明細!$C$2:$C$10,"做空",交易明細!$J$2:$J$10,"&lt;&gt;未平倉")</f>
        <v/>
      </c>
      <c r="L7" s="5">
        <f>IFERROR(AVERAGEIFS(交易明細!$K$2:$K$10,交易明細!$C$2:$C$10,"做空",交易明細!$J$2:$J$10,"&lt;&gt;未平倉"),0)</f>
        <v/>
      </c>
      <c r="M7" s="5">
        <f>IFERROR(AVERAGEIFS(交易明細!$K$2:$K$10,交易明細!$C$2:$C$10,"做空",交易明細!$J$2:$J$10,"止盈"),0)</f>
        <v/>
      </c>
      <c r="N7" s="5">
        <f>IFERROR(AVERAGEIFS(交易明細!$K$2:$K$10,交易明細!$C$2:$C$10,"做空",交易明細!$J$2:$J$10,"止損"),0)</f>
        <v/>
      </c>
      <c r="O7" s="4">
        <f>IFERROR(AVERAGEIFS(交易明細!$L$2:$L$10,交易明細!$C$2:$C$10,"做空",交易明細!$J$2:$J$10,"時間出場"),0)</f>
        <v/>
      </c>
      <c r="P7" s="4">
        <f>IFERROR(COUNTIFS(交易明細!$C$2:$C$10,"做空",交易明細!$J$2:$J$10,"&lt;&gt;未平倉",交易明細!$L$2:$L$10,"&gt;0")/C7,0)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03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46291.11246790509</v>
      </c>
      <c r="B2" s="7" t="n">
        <v>46291.11111111111</v>
      </c>
      <c r="C2" s="2" t="n">
        <v>433</v>
      </c>
      <c r="D2" s="2" t="n">
        <v>0</v>
      </c>
      <c r="E2" s="2" t="n">
        <v>0</v>
      </c>
      <c r="F2" s="2" t="n">
        <v>0</v>
      </c>
      <c r="G2" s="2" t="n">
        <v>182.3</v>
      </c>
    </row>
    <row r="3">
      <c r="A3" s="7" t="n">
        <v>46291.02308788194</v>
      </c>
      <c r="B3" s="7" t="n">
        <v>46291.02222222222</v>
      </c>
      <c r="C3" s="2" t="n">
        <v>433</v>
      </c>
      <c r="D3" s="2" t="n">
        <v>0</v>
      </c>
      <c r="E3" s="2" t="n">
        <v>0</v>
      </c>
      <c r="F3" s="2" t="n">
        <v>0</v>
      </c>
      <c r="G3" s="2" t="n">
        <v>140.5</v>
      </c>
    </row>
    <row r="4">
      <c r="A4" s="7" t="n">
        <v>46290.9990443287</v>
      </c>
      <c r="B4" s="7" t="n">
        <v>46290.99791666667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197.5</v>
      </c>
    </row>
    <row r="5">
      <c r="A5" s="7" t="n">
        <v>46290.91267655093</v>
      </c>
      <c r="B5" s="7" t="n">
        <v>46290.91180555556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193.4</v>
      </c>
    </row>
    <row r="6">
      <c r="A6" s="7" t="n">
        <v>46290.82088560185</v>
      </c>
      <c r="B6" s="7" t="n">
        <v>46290.82013888889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174.9</v>
      </c>
    </row>
    <row r="7">
      <c r="A7" s="7" t="n">
        <v>46290.76820827546</v>
      </c>
      <c r="B7" s="7" t="n">
        <v>46290.76736111111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187</v>
      </c>
    </row>
    <row r="8">
      <c r="A8" s="7" t="n">
        <v>46290.709303125</v>
      </c>
      <c r="B8" s="7" t="n">
        <v>46290.70833333334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187.6</v>
      </c>
    </row>
    <row r="9">
      <c r="A9" s="7" t="n">
        <v>46290.66382769676</v>
      </c>
      <c r="B9" s="7" t="n">
        <v>46290.6625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185.1</v>
      </c>
    </row>
    <row r="10">
      <c r="A10" s="7" t="n">
        <v>46290.61757802084</v>
      </c>
      <c r="B10" s="7" t="n">
        <v>46290.61666666667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178.9</v>
      </c>
    </row>
    <row r="11">
      <c r="A11" s="7" t="n">
        <v>46290.55632820602</v>
      </c>
      <c r="B11" s="7" t="n">
        <v>46290.55555555555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179.4</v>
      </c>
    </row>
    <row r="12">
      <c r="A12" s="7" t="n">
        <v>46290.50409561343</v>
      </c>
      <c r="B12" s="7" t="n">
        <v>46290.50277777778</v>
      </c>
      <c r="C12" s="2" t="n">
        <v>433</v>
      </c>
      <c r="D12" s="2" t="n">
        <v>0</v>
      </c>
      <c r="E12" s="2" t="n">
        <v>1</v>
      </c>
      <c r="F12" s="2" t="n">
        <v>0</v>
      </c>
      <c r="G12" s="2" t="n">
        <v>174.5</v>
      </c>
    </row>
    <row r="13">
      <c r="A13" s="7" t="n">
        <v>46290.39966920139</v>
      </c>
      <c r="B13" s="7" t="n">
        <v>46290.39861111111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189.8</v>
      </c>
    </row>
    <row r="14">
      <c r="A14" s="7" t="n">
        <v>46290.3483633912</v>
      </c>
      <c r="B14" s="7" t="n">
        <v>46290.34722222222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163.4</v>
      </c>
    </row>
    <row r="15">
      <c r="A15" s="7" t="n">
        <v>46290.27195019676</v>
      </c>
      <c r="B15" s="7" t="n">
        <v>46290.27083333334</v>
      </c>
      <c r="C15" s="2" t="n">
        <v>433</v>
      </c>
      <c r="D15" s="2" t="n">
        <v>0</v>
      </c>
      <c r="E15" s="2" t="n">
        <v>0</v>
      </c>
      <c r="F15" s="2" t="n">
        <v>1</v>
      </c>
      <c r="G15" s="2" t="n">
        <v>182.9</v>
      </c>
    </row>
    <row r="16">
      <c r="A16" s="7" t="n">
        <v>46290.13587655093</v>
      </c>
      <c r="B16" s="7" t="n">
        <v>46290.13472222222</v>
      </c>
      <c r="C16" s="2" t="n">
        <v>433</v>
      </c>
      <c r="D16" s="2" t="n">
        <v>1</v>
      </c>
      <c r="E16" s="2" t="n">
        <v>0</v>
      </c>
      <c r="F16" s="2" t="n">
        <v>1</v>
      </c>
      <c r="G16" s="2" t="n">
        <v>191.6</v>
      </c>
    </row>
    <row r="17">
      <c r="A17" s="7" t="n">
        <v>46290.02908936342</v>
      </c>
      <c r="B17" s="7" t="n">
        <v>46290.02777777778</v>
      </c>
      <c r="C17" s="2" t="n">
        <v>433</v>
      </c>
      <c r="D17" s="2" t="n">
        <v>0</v>
      </c>
      <c r="E17" s="2" t="n">
        <v>0</v>
      </c>
      <c r="F17" s="2" t="n">
        <v>1</v>
      </c>
      <c r="G17" s="2" t="n">
        <v>166.2</v>
      </c>
    </row>
    <row r="18">
      <c r="A18" s="7" t="n">
        <v>46289.96715996528</v>
      </c>
      <c r="B18" s="7" t="n">
        <v>46289.96597222222</v>
      </c>
      <c r="C18" s="2" t="n">
        <v>433</v>
      </c>
      <c r="D18" s="2" t="n">
        <v>0</v>
      </c>
      <c r="E18" s="2" t="n">
        <v>0</v>
      </c>
      <c r="F18" s="2" t="n">
        <v>1</v>
      </c>
      <c r="G18" s="2" t="n">
        <v>190.1</v>
      </c>
    </row>
    <row r="19">
      <c r="A19" s="7" t="n">
        <v>46289.95004011574</v>
      </c>
      <c r="B19" s="7" t="n">
        <v>46289.94930555556</v>
      </c>
      <c r="C19" s="2" t="n">
        <v>433</v>
      </c>
      <c r="D19" s="2" t="n">
        <v>0</v>
      </c>
      <c r="E19" s="2" t="n">
        <v>0</v>
      </c>
      <c r="F19" s="2" t="n">
        <v>1</v>
      </c>
      <c r="G19" s="2" t="n">
        <v>178.4</v>
      </c>
    </row>
    <row r="20">
      <c r="A20" s="7" t="n">
        <v>46289.94135959491</v>
      </c>
      <c r="B20" s="7" t="n">
        <v>46289.94027777778</v>
      </c>
      <c r="C20" s="2" t="n">
        <v>433</v>
      </c>
      <c r="D20" s="2" t="n">
        <v>0</v>
      </c>
      <c r="E20" s="2" t="n">
        <v>0</v>
      </c>
      <c r="F20" s="2" t="n">
        <v>1</v>
      </c>
      <c r="G20" s="2" t="n">
        <v>183.8</v>
      </c>
    </row>
    <row r="21">
      <c r="A21" s="7" t="n">
        <v>46289.92565313658</v>
      </c>
      <c r="B21" s="7" t="n">
        <v>46289.92430555556</v>
      </c>
      <c r="C21" s="2" t="n">
        <v>433</v>
      </c>
      <c r="D21" s="2" t="n">
        <v>0</v>
      </c>
      <c r="E21" s="2" t="n">
        <v>0</v>
      </c>
      <c r="F21" s="2" t="n">
        <v>1</v>
      </c>
      <c r="G21" s="2" t="n">
        <v>226.2</v>
      </c>
    </row>
    <row r="22">
      <c r="A22" s="7" t="n">
        <v>46289.84896370371</v>
      </c>
      <c r="B22" s="7" t="n">
        <v>46289.84791666667</v>
      </c>
      <c r="C22" s="2" t="n">
        <v>433</v>
      </c>
      <c r="D22" s="2" t="n">
        <v>0</v>
      </c>
      <c r="E22" s="2" t="n">
        <v>0</v>
      </c>
      <c r="F22" s="2" t="n">
        <v>1</v>
      </c>
      <c r="G22" s="2" t="n">
        <v>147.5</v>
      </c>
    </row>
    <row r="23">
      <c r="A23" s="7" t="n">
        <v>46289.78526427083</v>
      </c>
      <c r="B23" s="7" t="n">
        <v>46289.78402777778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186.8</v>
      </c>
    </row>
    <row r="24">
      <c r="A24" s="7" t="n">
        <v>46289.75543116898</v>
      </c>
      <c r="B24" s="7" t="n">
        <v>46289.75</v>
      </c>
      <c r="C24" s="2" t="n">
        <v>433</v>
      </c>
      <c r="D24" s="2" t="n">
        <v>0</v>
      </c>
      <c r="E24" s="2" t="n">
        <v>0</v>
      </c>
      <c r="F24" s="2" t="n">
        <v>1</v>
      </c>
      <c r="G24" s="2" t="n">
        <v>109.8</v>
      </c>
    </row>
    <row r="25">
      <c r="A25" s="7" t="n">
        <v>46289.54138961805</v>
      </c>
      <c r="B25" s="7" t="n">
        <v>46289.53472222222</v>
      </c>
      <c r="C25" s="2" t="n">
        <v>433</v>
      </c>
      <c r="D25" s="2" t="n">
        <v>0</v>
      </c>
      <c r="E25" s="2" t="n">
        <v>0</v>
      </c>
      <c r="F25" s="2" t="n">
        <v>1</v>
      </c>
      <c r="G25" s="2" t="n">
        <v>125.8</v>
      </c>
    </row>
    <row r="26">
      <c r="A26" s="7" t="n">
        <v>46289.32358565972</v>
      </c>
      <c r="B26" s="7" t="n">
        <v>46289.31944444445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130.2</v>
      </c>
    </row>
    <row r="27">
      <c r="A27" s="7" t="n">
        <v>46289.18599210648</v>
      </c>
      <c r="B27" s="7" t="n">
        <v>46289.18055555555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129.3</v>
      </c>
    </row>
    <row r="28">
      <c r="A28" s="7" t="n">
        <v>46289.04908521991</v>
      </c>
      <c r="B28" s="7" t="n">
        <v>46289.04513888889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96.90000000000001</v>
      </c>
    </row>
    <row r="29">
      <c r="A29" s="7" t="n">
        <v>46289.00944646991</v>
      </c>
      <c r="B29" s="7" t="n">
        <v>46289.00347222222</v>
      </c>
      <c r="C29" s="2" t="n">
        <v>433</v>
      </c>
      <c r="D29" s="2" t="n">
        <v>1</v>
      </c>
      <c r="E29" s="2" t="n">
        <v>1</v>
      </c>
      <c r="F29" s="2" t="n">
        <v>1</v>
      </c>
      <c r="G29" s="2" t="n">
        <v>127</v>
      </c>
    </row>
    <row r="30">
      <c r="A30" s="7" t="n">
        <v>46288.82408041666</v>
      </c>
      <c r="B30" s="7" t="n">
        <v>46288.81944444445</v>
      </c>
      <c r="C30" s="2" t="n">
        <v>433</v>
      </c>
      <c r="D30" s="2" t="n">
        <v>0</v>
      </c>
      <c r="E30" s="2" t="n">
        <v>0</v>
      </c>
      <c r="F30" s="2" t="n">
        <v>2</v>
      </c>
      <c r="G30" s="2" t="n">
        <v>118.2</v>
      </c>
    </row>
    <row r="31">
      <c r="A31" s="7" t="n">
        <v>46288.75275025463</v>
      </c>
      <c r="B31" s="7" t="n">
        <v>46288.74652777778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125.5</v>
      </c>
    </row>
    <row r="32">
      <c r="A32" s="7" t="n">
        <v>46288.58577883102</v>
      </c>
      <c r="B32" s="7" t="n">
        <v>46288.57986111111</v>
      </c>
      <c r="C32" s="2" t="n">
        <v>433</v>
      </c>
      <c r="D32" s="2" t="n">
        <v>0</v>
      </c>
      <c r="E32" s="2" t="n">
        <v>0</v>
      </c>
      <c r="F32" s="2" t="n">
        <v>2</v>
      </c>
      <c r="G32" s="2" t="n">
        <v>112.8</v>
      </c>
    </row>
    <row r="33">
      <c r="A33" s="7" t="n">
        <v>46288.57218969907</v>
      </c>
      <c r="B33" s="7" t="n">
        <v>46288.56597222222</v>
      </c>
      <c r="C33" s="2" t="n">
        <v>433</v>
      </c>
      <c r="D33" s="2" t="n">
        <v>0</v>
      </c>
      <c r="E33" s="2" t="n">
        <v>1</v>
      </c>
      <c r="F33" s="2" t="n">
        <v>2</v>
      </c>
      <c r="G33" s="2" t="n">
        <v>99.7</v>
      </c>
    </row>
    <row r="34">
      <c r="A34" s="7" t="n">
        <v>46288.36332482639</v>
      </c>
      <c r="B34" s="7" t="n">
        <v>46288.35763888889</v>
      </c>
      <c r="C34" s="2" t="n">
        <v>441</v>
      </c>
      <c r="D34" s="2" t="n">
        <v>0</v>
      </c>
      <c r="E34" s="2" t="n">
        <v>0</v>
      </c>
      <c r="F34" s="2" t="n">
        <v>2</v>
      </c>
      <c r="G34" s="2" t="n">
        <v>94.40000000000001</v>
      </c>
    </row>
    <row r="35">
      <c r="A35" s="7" t="n">
        <v>46288.26120461806</v>
      </c>
      <c r="B35" s="7" t="n">
        <v>46288.25694444445</v>
      </c>
      <c r="C35" s="2" t="n">
        <v>441</v>
      </c>
      <c r="D35" s="2" t="n">
        <v>1</v>
      </c>
      <c r="E35" s="2" t="n">
        <v>0</v>
      </c>
      <c r="F35" s="2" t="n">
        <v>2</v>
      </c>
      <c r="G35" s="2" t="n">
        <v>103.1</v>
      </c>
    </row>
    <row r="36">
      <c r="A36" s="7" t="n">
        <v>46288.12397528935</v>
      </c>
      <c r="B36" s="7" t="n">
        <v>46288.11805555555</v>
      </c>
      <c r="C36" s="2" t="n">
        <v>441</v>
      </c>
      <c r="D36" s="2" t="n">
        <v>0</v>
      </c>
      <c r="E36" s="2" t="n">
        <v>0</v>
      </c>
      <c r="F36" s="2" t="n">
        <v>2</v>
      </c>
      <c r="G36" s="2" t="n">
        <v>114.4</v>
      </c>
    </row>
    <row r="37">
      <c r="A37" s="7" t="n">
        <v>46287.95840076389</v>
      </c>
      <c r="B37" s="7" t="n">
        <v>46287.95486111111</v>
      </c>
      <c r="C37" s="2" t="n">
        <v>441</v>
      </c>
      <c r="D37" s="2" t="n">
        <v>0</v>
      </c>
      <c r="E37" s="2" t="n">
        <v>0</v>
      </c>
      <c r="F37" s="2" t="n">
        <v>2</v>
      </c>
      <c r="G37" s="2" t="n">
        <v>135.1</v>
      </c>
    </row>
    <row r="38">
      <c r="A38" s="7" t="n">
        <v>46287.75277884259</v>
      </c>
      <c r="B38" s="7" t="n">
        <v>46287.74652777778</v>
      </c>
      <c r="C38" s="2" t="n">
        <v>440</v>
      </c>
      <c r="D38" s="2" t="n">
        <v>0</v>
      </c>
      <c r="E38" s="2" t="n">
        <v>0</v>
      </c>
      <c r="F38" s="2" t="n">
        <v>0</v>
      </c>
      <c r="G38" s="2" t="n">
        <v>130.3</v>
      </c>
    </row>
    <row r="39">
      <c r="A39" s="7" t="n">
        <v>46287.6758560301</v>
      </c>
      <c r="B39" s="7" t="n">
        <v>46287.67013888889</v>
      </c>
      <c r="C39" s="2" t="n">
        <v>440</v>
      </c>
      <c r="D39" s="2" t="n">
        <v>0</v>
      </c>
      <c r="E39" s="2" t="n">
        <v>0</v>
      </c>
      <c r="F39" s="2" t="n">
        <v>0</v>
      </c>
      <c r="G39" s="2" t="n">
        <v>91.7</v>
      </c>
    </row>
    <row r="40">
      <c r="A40" s="7" t="n">
        <v>46287.54602564815</v>
      </c>
      <c r="B40" s="7" t="n">
        <v>46287.54166666666</v>
      </c>
      <c r="C40" s="2" t="n">
        <v>440</v>
      </c>
      <c r="D40" s="2" t="n">
        <v>0</v>
      </c>
      <c r="E40" s="2" t="n">
        <v>0</v>
      </c>
      <c r="F40" s="2" t="n">
        <v>0</v>
      </c>
      <c r="G40" s="2" t="n">
        <v>125.4</v>
      </c>
    </row>
    <row r="41">
      <c r="A41" s="7" t="n">
        <v>46287.51247143518</v>
      </c>
      <c r="B41" s="7" t="n">
        <v>46287.50694444445</v>
      </c>
      <c r="C41" s="2" t="n">
        <v>440</v>
      </c>
      <c r="D41" s="2" t="n">
        <v>0</v>
      </c>
      <c r="E41" s="2" t="n">
        <v>0</v>
      </c>
      <c r="F41" s="2" t="n">
        <v>0</v>
      </c>
      <c r="G41" s="2" t="n">
        <v>102.8</v>
      </c>
    </row>
    <row r="42">
      <c r="A42" s="7" t="n">
        <v>46287.30635083334</v>
      </c>
      <c r="B42" s="7" t="n">
        <v>46287.30208333334</v>
      </c>
      <c r="C42" s="2" t="n">
        <v>440</v>
      </c>
      <c r="D42" s="2" t="n">
        <v>0</v>
      </c>
      <c r="E42" s="2" t="n">
        <v>0</v>
      </c>
      <c r="F42" s="2" t="n">
        <v>0</v>
      </c>
      <c r="G42" s="2" t="n">
        <v>135.9</v>
      </c>
    </row>
    <row r="43">
      <c r="A43" s="7" t="n">
        <v>46287.14961865741</v>
      </c>
      <c r="B43" s="7" t="n">
        <v>46287.14583333334</v>
      </c>
      <c r="C43" s="2" t="n">
        <v>440</v>
      </c>
      <c r="D43" s="2" t="n">
        <v>0</v>
      </c>
      <c r="E43" s="2" t="n">
        <v>0</v>
      </c>
      <c r="F43" s="2" t="n">
        <v>0</v>
      </c>
      <c r="G43" s="2" t="n">
        <v>130.5</v>
      </c>
    </row>
    <row r="44">
      <c r="A44" s="7" t="n">
        <v>46286.92852005787</v>
      </c>
      <c r="B44" s="7" t="n">
        <v>46286.92361111111</v>
      </c>
      <c r="C44" s="2" t="n">
        <v>440</v>
      </c>
      <c r="D44" s="2" t="n">
        <v>0</v>
      </c>
      <c r="E44" s="2" t="n">
        <v>0</v>
      </c>
      <c r="F44" s="2" t="n">
        <v>0</v>
      </c>
      <c r="G44" s="2" t="n">
        <v>112.2</v>
      </c>
    </row>
    <row r="45">
      <c r="A45" s="7" t="n">
        <v>46286.83222814815</v>
      </c>
      <c r="B45" s="7" t="n">
        <v>46286.82638888889</v>
      </c>
      <c r="C45" s="2" t="n">
        <v>440</v>
      </c>
      <c r="D45" s="2" t="n">
        <v>0</v>
      </c>
      <c r="E45" s="2" t="n">
        <v>0</v>
      </c>
      <c r="F45" s="2" t="n">
        <v>0</v>
      </c>
      <c r="G45" s="2" t="n">
        <v>126.4</v>
      </c>
    </row>
    <row r="46">
      <c r="A46" s="7" t="n">
        <v>46286.60261268519</v>
      </c>
      <c r="B46" s="7" t="n">
        <v>46286.59722222222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111.5</v>
      </c>
    </row>
    <row r="47">
      <c r="A47" s="7" t="n">
        <v>46286.38294268519</v>
      </c>
      <c r="B47" s="7" t="n">
        <v>46286.37847222222</v>
      </c>
      <c r="C47" s="2" t="n">
        <v>440</v>
      </c>
      <c r="D47" s="2" t="n">
        <v>0</v>
      </c>
      <c r="E47" s="2" t="n">
        <v>0</v>
      </c>
      <c r="F47" s="2" t="n">
        <v>0</v>
      </c>
      <c r="G47" s="2" t="n">
        <v>102.4</v>
      </c>
    </row>
    <row r="48">
      <c r="A48" s="7" t="n">
        <v>46286.27148542824</v>
      </c>
      <c r="B48" s="7" t="n">
        <v>46286.26736111111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126.7</v>
      </c>
    </row>
    <row r="49">
      <c r="A49" s="7" t="n">
        <v>46286.14641391204</v>
      </c>
      <c r="B49" s="7" t="n">
        <v>46286.14236111111</v>
      </c>
      <c r="C49" s="2" t="n">
        <v>440</v>
      </c>
      <c r="D49" s="2" t="n">
        <v>0</v>
      </c>
      <c r="E49" s="2" t="n">
        <v>0</v>
      </c>
      <c r="F49" s="2" t="n">
        <v>0</v>
      </c>
      <c r="G49" s="2" t="n">
        <v>131.3</v>
      </c>
    </row>
    <row r="50">
      <c r="A50" s="7" t="n">
        <v>46286.03573545139</v>
      </c>
      <c r="B50" s="7" t="n">
        <v>46286.03125</v>
      </c>
      <c r="C50" s="2" t="n">
        <v>440</v>
      </c>
      <c r="D50" s="2" t="n">
        <v>0</v>
      </c>
      <c r="E50" s="2" t="n">
        <v>0</v>
      </c>
      <c r="F50" s="2" t="n">
        <v>0</v>
      </c>
      <c r="G50" s="2" t="n">
        <v>127.3</v>
      </c>
    </row>
    <row r="51">
      <c r="A51" s="7" t="n">
        <v>46286.00283136574</v>
      </c>
      <c r="B51" s="7" t="n">
        <v>46285.99652777778</v>
      </c>
      <c r="C51" s="2" t="n">
        <v>440</v>
      </c>
      <c r="D51" s="2" t="n">
        <v>0</v>
      </c>
      <c r="E51" s="2" t="n">
        <v>0</v>
      </c>
      <c r="F51" s="2" t="n">
        <v>0</v>
      </c>
      <c r="G51" s="2" t="n">
        <v>101.9</v>
      </c>
    </row>
    <row r="52">
      <c r="A52" s="7" t="n">
        <v>46285.85245594908</v>
      </c>
      <c r="B52" s="7" t="n">
        <v>46285.84722222222</v>
      </c>
      <c r="C52" s="2" t="n">
        <v>440</v>
      </c>
      <c r="D52" s="2" t="n">
        <v>0</v>
      </c>
      <c r="E52" s="2" t="n">
        <v>0</v>
      </c>
      <c r="F52" s="2" t="n">
        <v>0</v>
      </c>
      <c r="G52" s="2" t="n">
        <v>100.6</v>
      </c>
    </row>
    <row r="53">
      <c r="A53" s="7" t="n">
        <v>46285.60105145833</v>
      </c>
      <c r="B53" s="7" t="n">
        <v>46285.59722222222</v>
      </c>
      <c r="C53" s="2" t="n">
        <v>440</v>
      </c>
      <c r="D53" s="2" t="n">
        <v>0</v>
      </c>
      <c r="E53" s="2" t="n">
        <v>0</v>
      </c>
      <c r="F53" s="2" t="n">
        <v>0</v>
      </c>
      <c r="G53" s="2" t="n">
        <v>129.1</v>
      </c>
    </row>
    <row r="54">
      <c r="A54" s="7" t="n">
        <v>46285.38559789352</v>
      </c>
      <c r="B54" s="7" t="n">
        <v>46285.38194444445</v>
      </c>
      <c r="C54" s="2" t="n">
        <v>440</v>
      </c>
      <c r="D54" s="2" t="n">
        <v>0</v>
      </c>
      <c r="E54" s="2" t="n">
        <v>0</v>
      </c>
      <c r="F54" s="2" t="n">
        <v>0</v>
      </c>
      <c r="G54" s="2" t="n">
        <v>112.5</v>
      </c>
    </row>
    <row r="55">
      <c r="A55" s="7" t="n">
        <v>46285.29994834491</v>
      </c>
      <c r="B55" s="7" t="n">
        <v>46285.29513888889</v>
      </c>
      <c r="C55" s="2" t="n">
        <v>440</v>
      </c>
      <c r="D55" s="2" t="n">
        <v>0</v>
      </c>
      <c r="E55" s="2" t="n">
        <v>0</v>
      </c>
      <c r="F55" s="2" t="n">
        <v>0</v>
      </c>
      <c r="G55" s="2" t="n">
        <v>128.1</v>
      </c>
    </row>
    <row r="56">
      <c r="A56" s="7" t="n">
        <v>46285.19964518519</v>
      </c>
      <c r="B56" s="7" t="n">
        <v>46285.19444444445</v>
      </c>
      <c r="C56" s="2" t="n">
        <v>440</v>
      </c>
      <c r="D56" s="2" t="n">
        <v>0</v>
      </c>
      <c r="E56" s="2" t="n">
        <v>0</v>
      </c>
      <c r="F56" s="2" t="n">
        <v>0</v>
      </c>
      <c r="G56" s="2" t="n">
        <v>110.6</v>
      </c>
    </row>
    <row r="57">
      <c r="A57" s="7" t="n">
        <v>46285.08704527777</v>
      </c>
      <c r="B57" s="7" t="n">
        <v>46285.08333333334</v>
      </c>
      <c r="C57" s="2" t="n">
        <v>440</v>
      </c>
      <c r="D57" s="2" t="n">
        <v>0</v>
      </c>
      <c r="E57" s="2" t="n">
        <v>0</v>
      </c>
      <c r="F57" s="2" t="n">
        <v>0</v>
      </c>
      <c r="G57" s="2" t="n">
        <v>95.09999999999999</v>
      </c>
    </row>
    <row r="58">
      <c r="A58" s="7" t="n">
        <v>46284.93748335648</v>
      </c>
      <c r="B58" s="7" t="n">
        <v>46284.93055555555</v>
      </c>
      <c r="C58" s="2" t="n">
        <v>440</v>
      </c>
      <c r="D58" s="2" t="n">
        <v>0</v>
      </c>
      <c r="E58" s="2" t="n">
        <v>0</v>
      </c>
      <c r="F58" s="2" t="n">
        <v>0</v>
      </c>
      <c r="G58" s="2" t="n">
        <v>128.7</v>
      </c>
    </row>
    <row r="59">
      <c r="A59" s="7" t="n">
        <v>46284.79727659722</v>
      </c>
      <c r="B59" s="7" t="n">
        <v>46284.79166666666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109.7</v>
      </c>
    </row>
    <row r="60">
      <c r="A60" s="7" t="n">
        <v>46284.58365538195</v>
      </c>
      <c r="B60" s="7" t="n">
        <v>46284.57986111111</v>
      </c>
      <c r="C60" s="2" t="n">
        <v>440</v>
      </c>
      <c r="D60" s="2" t="n">
        <v>0</v>
      </c>
      <c r="E60" s="2" t="n">
        <v>0</v>
      </c>
      <c r="F60" s="2" t="n">
        <v>0</v>
      </c>
      <c r="G60" s="2" t="n">
        <v>101.8</v>
      </c>
    </row>
    <row r="61">
      <c r="A61" s="7" t="n">
        <v>46284.38530752315</v>
      </c>
      <c r="B61" s="7" t="n">
        <v>46284.37847222222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130.8</v>
      </c>
    </row>
    <row r="62">
      <c r="A62" s="7" t="n">
        <v>46284.27664920139</v>
      </c>
      <c r="B62" s="7" t="n">
        <v>46284.27083333334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127.8</v>
      </c>
    </row>
    <row r="63">
      <c r="A63" s="7" t="n">
        <v>46284.15392047453</v>
      </c>
      <c r="B63" s="7" t="n">
        <v>46284.14930555555</v>
      </c>
      <c r="C63" s="2" t="n">
        <v>440</v>
      </c>
      <c r="D63" s="2" t="n">
        <v>0</v>
      </c>
      <c r="E63" s="2" t="n">
        <v>0</v>
      </c>
      <c r="F63" s="2" t="n">
        <v>0</v>
      </c>
      <c r="G63" s="2" t="n">
        <v>135.6</v>
      </c>
    </row>
    <row r="64">
      <c r="A64" s="7" t="n">
        <v>46284.02123533565</v>
      </c>
      <c r="B64" s="7" t="n">
        <v>46284.01736111111</v>
      </c>
      <c r="C64" s="2" t="n">
        <v>440</v>
      </c>
      <c r="D64" s="2" t="n">
        <v>0</v>
      </c>
      <c r="E64" s="2" t="n">
        <v>0</v>
      </c>
      <c r="F64" s="2" t="n">
        <v>0</v>
      </c>
      <c r="G64" s="2" t="n">
        <v>102.8</v>
      </c>
    </row>
    <row r="65">
      <c r="A65" s="7" t="n">
        <v>46283.99753837963</v>
      </c>
      <c r="B65" s="7" t="n">
        <v>46283.99305555555</v>
      </c>
      <c r="C65" s="2" t="n">
        <v>440</v>
      </c>
      <c r="D65" s="2" t="n">
        <v>0</v>
      </c>
      <c r="E65" s="2" t="n">
        <v>1</v>
      </c>
      <c r="F65" s="2" t="n">
        <v>0</v>
      </c>
      <c r="G65" s="2" t="n">
        <v>129.8</v>
      </c>
    </row>
    <row r="66">
      <c r="A66" s="7" t="n">
        <v>46283.80859936342</v>
      </c>
      <c r="B66" s="7" t="n">
        <v>46283.80208333334</v>
      </c>
      <c r="C66" s="2" t="n">
        <v>440</v>
      </c>
      <c r="D66" s="2" t="n">
        <v>0</v>
      </c>
      <c r="E66" s="2" t="n">
        <v>0</v>
      </c>
      <c r="F66" s="2" t="n">
        <v>0</v>
      </c>
      <c r="G66" s="2" t="n">
        <v>127.7</v>
      </c>
    </row>
    <row r="67">
      <c r="A67" s="7" t="n">
        <v>46283.78916202546</v>
      </c>
      <c r="B67" s="7" t="n">
        <v>46283.78472222222</v>
      </c>
      <c r="C67" s="2" t="n">
        <v>440</v>
      </c>
      <c r="D67" s="2" t="n">
        <v>1</v>
      </c>
      <c r="E67" s="2" t="n">
        <v>0</v>
      </c>
      <c r="F67" s="2" t="n">
        <v>0</v>
      </c>
      <c r="G67" s="2" t="n">
        <v>119.1</v>
      </c>
    </row>
    <row r="68">
      <c r="A68" s="7" t="n">
        <v>46283.58323265046</v>
      </c>
      <c r="B68" s="7" t="n">
        <v>46283.57638888889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126.7</v>
      </c>
    </row>
    <row r="69">
      <c r="A69" s="7" t="n">
        <v>46283.57323743056</v>
      </c>
      <c r="B69" s="7" t="n">
        <v>46283.56944444445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94.3</v>
      </c>
    </row>
    <row r="70">
      <c r="A70" s="7" t="n">
        <v>46283.45181144676</v>
      </c>
      <c r="B70" s="7" t="n">
        <v>46283.44791666666</v>
      </c>
      <c r="C70" s="2" t="n">
        <v>440</v>
      </c>
      <c r="D70" s="2" t="n">
        <v>0</v>
      </c>
      <c r="E70" s="2" t="n">
        <v>0</v>
      </c>
      <c r="F70" s="2" t="n">
        <v>0</v>
      </c>
      <c r="G70" s="2" t="n">
        <v>132.3</v>
      </c>
    </row>
    <row r="71">
      <c r="A71" s="7" t="n">
        <v>46283.44134394676</v>
      </c>
      <c r="B71" s="7" t="n">
        <v>46283.4375</v>
      </c>
      <c r="C71" s="2" t="n">
        <v>440</v>
      </c>
      <c r="D71" s="2" t="n">
        <v>0</v>
      </c>
      <c r="E71" s="2" t="n">
        <v>0</v>
      </c>
      <c r="F71" s="2" t="n">
        <v>0</v>
      </c>
      <c r="G71" s="2" t="n">
        <v>373.5</v>
      </c>
    </row>
    <row r="72">
      <c r="A72" s="7" t="n">
        <v>46283.35273409722</v>
      </c>
      <c r="B72" s="7" t="n">
        <v>46283.34722222222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132.3</v>
      </c>
    </row>
    <row r="73">
      <c r="A73" s="7" t="n">
        <v>46283.26014016203</v>
      </c>
      <c r="B73" s="7" t="n">
        <v>46283.25347222222</v>
      </c>
      <c r="C73" s="2" t="n">
        <v>440</v>
      </c>
      <c r="D73" s="2" t="n">
        <v>0</v>
      </c>
      <c r="E73" s="2" t="n">
        <v>0</v>
      </c>
      <c r="F73" s="2" t="n">
        <v>0</v>
      </c>
      <c r="G73" s="2" t="n">
        <v>129.5</v>
      </c>
    </row>
    <row r="74">
      <c r="A74" s="7" t="n">
        <v>46283.09637409722</v>
      </c>
      <c r="B74" s="7" t="n">
        <v>46283.09027777778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131.2</v>
      </c>
    </row>
    <row r="75">
      <c r="A75" s="7" t="n">
        <v>46282.89824439815</v>
      </c>
      <c r="B75" s="7" t="n">
        <v>46282.89236111111</v>
      </c>
      <c r="C75" s="2" t="n">
        <v>440</v>
      </c>
      <c r="D75" s="2" t="n">
        <v>1</v>
      </c>
      <c r="E75" s="2" t="n">
        <v>1</v>
      </c>
      <c r="F75" s="2" t="n">
        <v>0</v>
      </c>
      <c r="G75" s="2" t="n">
        <v>137</v>
      </c>
    </row>
    <row r="76">
      <c r="A76" s="7" t="n">
        <v>46282.65711792824</v>
      </c>
      <c r="B76" s="7" t="n">
        <v>46282.65277777778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126.6</v>
      </c>
    </row>
    <row r="77">
      <c r="A77" s="7" t="n">
        <v>46282.40350203704</v>
      </c>
      <c r="B77" s="7" t="n">
        <v>46282.39930555555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323.7</v>
      </c>
    </row>
    <row r="78">
      <c r="A78" s="7" t="n">
        <v>46282.39577758102</v>
      </c>
      <c r="B78" s="7" t="n">
        <v>46282.33333333334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50.5</v>
      </c>
    </row>
    <row r="79">
      <c r="A79" s="7" t="n">
        <v>46282.29222982639</v>
      </c>
      <c r="B79" s="7" t="n">
        <v>46282.25</v>
      </c>
      <c r="C79" s="2" t="n">
        <v>440</v>
      </c>
      <c r="D79" s="2" t="n">
        <v>0</v>
      </c>
      <c r="E79" s="2" t="n">
        <v>0</v>
      </c>
      <c r="F79" s="2" t="n">
        <v>0</v>
      </c>
      <c r="G79" s="2" t="n">
        <v>66.2</v>
      </c>
    </row>
    <row r="80">
      <c r="A80" s="7" t="n">
        <v>46282.17576607639</v>
      </c>
      <c r="B80" s="7" t="n">
        <v>46282.125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67</v>
      </c>
    </row>
    <row r="81">
      <c r="A81" s="7" t="n">
        <v>46282.04552453704</v>
      </c>
      <c r="B81" s="7" t="n">
        <v>46282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52.9</v>
      </c>
    </row>
    <row r="82">
      <c r="A82" s="7" t="n">
        <v>46281.82298537037</v>
      </c>
      <c r="B82" s="7" t="n">
        <v>46281.75</v>
      </c>
      <c r="C82" s="2" t="n">
        <v>440</v>
      </c>
      <c r="D82" s="2" t="n">
        <v>0</v>
      </c>
      <c r="E82" s="2" t="n">
        <v>0</v>
      </c>
      <c r="F82" s="2" t="n">
        <v>0</v>
      </c>
      <c r="G82" s="2" t="n">
        <v>65.7</v>
      </c>
    </row>
    <row r="83">
      <c r="A83" s="7" t="n">
        <v>46281.58829054398</v>
      </c>
      <c r="B83" s="7" t="n">
        <v>46281.54166666666</v>
      </c>
      <c r="C83" s="2" t="n">
        <v>440</v>
      </c>
      <c r="D83" s="2" t="n">
        <v>0</v>
      </c>
      <c r="E83" s="2" t="n">
        <v>0</v>
      </c>
      <c r="F83" s="2" t="n">
        <v>0</v>
      </c>
      <c r="G83" s="2" t="n">
        <v>54.5</v>
      </c>
    </row>
    <row r="84">
      <c r="A84" s="7" t="n">
        <v>46281.35205523148</v>
      </c>
      <c r="B84" s="7" t="n">
        <v>46281.29166666666</v>
      </c>
      <c r="C84" s="2" t="n">
        <v>442</v>
      </c>
      <c r="D84" s="2" t="n">
        <v>0</v>
      </c>
      <c r="E84" s="2" t="n">
        <v>0</v>
      </c>
      <c r="F84" s="2" t="n">
        <v>0</v>
      </c>
      <c r="G84" s="2" t="n">
        <v>66.90000000000001</v>
      </c>
    </row>
    <row r="85">
      <c r="A85" s="7" t="n">
        <v>46281.22963460648</v>
      </c>
      <c r="B85" s="7" t="n">
        <v>46281.16666666666</v>
      </c>
      <c r="C85" s="2" t="n">
        <v>442</v>
      </c>
      <c r="D85" s="2" t="n">
        <v>0</v>
      </c>
      <c r="E85" s="2" t="n">
        <v>0</v>
      </c>
      <c r="F85" s="2" t="n">
        <v>0</v>
      </c>
      <c r="G85" s="2" t="n">
        <v>61.9</v>
      </c>
    </row>
    <row r="86">
      <c r="A86" s="7" t="n">
        <v>46281.094529375</v>
      </c>
      <c r="B86" s="7" t="n">
        <v>46281.04166666666</v>
      </c>
      <c r="C86" s="2" t="n">
        <v>442</v>
      </c>
      <c r="D86" s="2" t="n">
        <v>0</v>
      </c>
      <c r="E86" s="2" t="n">
        <v>0</v>
      </c>
      <c r="F86" s="2" t="n">
        <v>0</v>
      </c>
      <c r="G86" s="2" t="n">
        <v>46.5</v>
      </c>
    </row>
    <row r="87">
      <c r="A87" s="7" t="n">
        <v>46280.9017994676</v>
      </c>
      <c r="B87" s="7" t="n">
        <v>46280.83333333334</v>
      </c>
      <c r="C87" s="2" t="n">
        <v>442</v>
      </c>
      <c r="D87" s="2" t="n">
        <v>0</v>
      </c>
      <c r="E87" s="2" t="n">
        <v>0</v>
      </c>
      <c r="F87" s="2" t="n">
        <v>0</v>
      </c>
      <c r="G87" s="2" t="n">
        <v>56.7</v>
      </c>
    </row>
    <row r="88">
      <c r="A88" s="7" t="n">
        <v>46280.66002480324</v>
      </c>
      <c r="B88" s="7" t="n">
        <v>46280.58333333334</v>
      </c>
      <c r="C88" s="2" t="n">
        <v>442</v>
      </c>
      <c r="D88" s="2" t="n">
        <v>0</v>
      </c>
      <c r="E88" s="2" t="n">
        <v>0</v>
      </c>
      <c r="F88" s="2" t="n">
        <v>0</v>
      </c>
      <c r="G88" s="2" t="n">
        <v>67.40000000000001</v>
      </c>
    </row>
    <row r="89">
      <c r="A89" s="7" t="n">
        <v>46280.4778358449</v>
      </c>
      <c r="B89" s="7" t="n">
        <v>46280.41666666666</v>
      </c>
      <c r="C89" s="2" t="n">
        <v>442</v>
      </c>
      <c r="D89" s="2" t="n">
        <v>4</v>
      </c>
      <c r="E89" s="2" t="n">
        <v>4</v>
      </c>
      <c r="F89" s="2" t="n">
        <v>0</v>
      </c>
      <c r="G89" s="2" t="n">
        <v>61.2</v>
      </c>
    </row>
    <row r="90">
      <c r="A90" s="7" t="n">
        <v>46280.39795681713</v>
      </c>
      <c r="B90" s="7" t="n">
        <v>46280.33333333334</v>
      </c>
      <c r="C90" s="2" t="n">
        <v>442</v>
      </c>
      <c r="D90" s="2" t="n">
        <v>0</v>
      </c>
      <c r="E90" s="2" t="n">
        <v>0</v>
      </c>
      <c r="F90" s="2" t="n">
        <v>0</v>
      </c>
      <c r="G90" s="2" t="n">
        <v>66.90000000000001</v>
      </c>
    </row>
    <row r="91">
      <c r="A91" s="7" t="n">
        <v>46280.29983445602</v>
      </c>
      <c r="B91" s="7" t="n">
        <v>46280.25</v>
      </c>
      <c r="C91" s="2" t="n">
        <v>442</v>
      </c>
      <c r="D91" s="2" t="n">
        <v>0</v>
      </c>
      <c r="E91" s="2" t="n">
        <v>0</v>
      </c>
      <c r="F91" s="2" t="n">
        <v>0</v>
      </c>
      <c r="G91" s="2" t="n">
        <v>51.6</v>
      </c>
    </row>
    <row r="92">
      <c r="A92" s="7" t="n">
        <v>46280.14350143519</v>
      </c>
      <c r="B92" s="7" t="n">
        <v>46280.08333333334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57.3</v>
      </c>
    </row>
    <row r="93">
      <c r="A93" s="7" t="n">
        <v>46279.92418226852</v>
      </c>
      <c r="B93" s="7" t="n">
        <v>46279.875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48.1</v>
      </c>
    </row>
    <row r="94">
      <c r="A94" s="7" t="n">
        <v>46279.59996445602</v>
      </c>
      <c r="B94" s="7" t="n">
        <v>46279.54166666666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61</v>
      </c>
    </row>
    <row r="95">
      <c r="A95" s="7" t="n">
        <v>46279.38316741898</v>
      </c>
      <c r="B95" s="7" t="n">
        <v>46279.33333333334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59.9</v>
      </c>
    </row>
    <row r="96">
      <c r="A96" s="7" t="n">
        <v>46279.26932584491</v>
      </c>
      <c r="B96" s="7" t="n">
        <v>46279.20833333334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61.1</v>
      </c>
    </row>
    <row r="97">
      <c r="A97" s="7" t="n">
        <v>46279.14665413195</v>
      </c>
      <c r="B97" s="7" t="n">
        <v>46279.08333333334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55.1</v>
      </c>
    </row>
    <row r="98">
      <c r="A98" s="7" t="n">
        <v>46279.01733591435</v>
      </c>
      <c r="B98" s="7" t="n">
        <v>46278.95833333334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59.7</v>
      </c>
    </row>
    <row r="99">
      <c r="A99" s="7" t="n">
        <v>46278.83725055555</v>
      </c>
      <c r="B99" s="7" t="n">
        <v>46278.79166666666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65.40000000000001</v>
      </c>
    </row>
    <row r="100">
      <c r="A100" s="7" t="n">
        <v>46278.71111972223</v>
      </c>
      <c r="B100" s="7" t="n">
        <v>46278.66666666666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63.6</v>
      </c>
    </row>
    <row r="101">
      <c r="A101" s="7" t="n">
        <v>46278.68053923611</v>
      </c>
      <c r="B101" s="7" t="n">
        <v>46278.625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63.6</v>
      </c>
    </row>
    <row r="102">
      <c r="A102" s="7" t="n">
        <v>46278.07354997685</v>
      </c>
      <c r="B102" s="7" t="n">
        <v>46278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50.2</v>
      </c>
    </row>
    <row r="103">
      <c r="A103" s="7" t="n">
        <v>46277.94390239583</v>
      </c>
      <c r="B103" s="7" t="n">
        <v>46277.875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資金明細!R20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MAX(資金明細!$R$2:$R$20)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MIN(資金明細!$R$2:$R$20)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MIN(資金明細!$X$2:$X$20)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COUNTIFS(資金明細!$C$2:$C$20,"進場",資金明細!$N$2:$N$20,"已下單")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COUNTIFS(資金明細!$C$2:$C$20,"進場",資金明細!$N$2:$N$20,"資金不足略過")</f>
        <v/>
      </c>
    </row>
    <row r="11">
      <c r="D11" s="2" t="inlineStr">
        <is>
          <t>止盈筆數</t>
        </is>
      </c>
      <c r="E11" s="15">
        <f>COUNTIFS(資金明細!$C$2:$C$20,"出場",資金明細!$N$2:$N$20,"已下單",資金明細!$K$2:$K$20,"止盈")</f>
        <v/>
      </c>
    </row>
    <row r="12">
      <c r="A12" s="2" t="inlineStr">
        <is>
          <t>每筆止損約虧本金</t>
        </is>
      </c>
      <c r="B12" s="4">
        <f>B5*B7*IFERROR(AVERAGE(交易明細!$AB$2:$AB$10),參數!B6)</f>
        <v/>
      </c>
      <c r="D12" s="2" t="inlineStr">
        <is>
          <t>止損筆數</t>
        </is>
      </c>
      <c r="E12" s="15">
        <f>COUNTIFS(資金明細!$C$2:$C$20,"出場",資金明細!$N$2:$N$20,"已下單",資金明細!$K$2:$K$20,"止損")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IFERROR(E11/COUNTIFS(資金明細!$C$2:$C$20,"出場",資金明細!$N$2:$N$20,"已下單"),0)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MAX(資金明細!$U$2:$U$20)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MAX(資金明細!$S$2:$S$20)</f>
        <v/>
      </c>
    </row>
    <row r="16">
      <c r="D16" s="2" t="inlineStr">
        <is>
          <t>期末下單金額</t>
        </is>
      </c>
      <c r="E16" s="16">
        <f>B5*資金明細!V20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MAX(資金明細!$Y$2:$Y$20)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IFERROR(INDEX(資金明細!$B$2:$B$20,MATCH(1,資金明細!$Z$2:$Z$20,0)),"未觸發")</f>
        <v/>
      </c>
    </row>
    <row r="21">
      <c r="D21" s="2" t="inlineStr">
        <is>
          <t>停止後略過筆數</t>
        </is>
      </c>
      <c r="E21" s="15">
        <f>COUNTIFS(資金明細!$C$2:$C$20,"進場",資金明細!$N$2:$N$20,"已停止")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46269.16666666666</v>
      </c>
      <c r="C3" s="2" t="inlineStr">
        <is>
          <t>進場</t>
        </is>
      </c>
      <c r="D3" s="2" t="n">
        <v>1</v>
      </c>
      <c r="E3" s="2" t="inlineStr">
        <is>
          <t>ENA_USDT_PERP</t>
        </is>
      </c>
      <c r="F3" s="2" t="inlineStr">
        <is>
          <t>做空</t>
        </is>
      </c>
      <c r="G3" s="17" t="n">
        <v>0.1708</v>
      </c>
      <c r="H3" s="17" t="n">
        <v>0.165676</v>
      </c>
      <c r="I3" s="17" t="n">
        <v>0.17934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46269.29166666666</v>
      </c>
      <c r="C4" s="2" t="inlineStr">
        <is>
          <t>出場</t>
        </is>
      </c>
      <c r="D4" s="2" t="n">
        <v>1</v>
      </c>
      <c r="E4" s="2" t="inlineStr">
        <is>
          <t>ENA_USDT_PERP</t>
        </is>
      </c>
      <c r="F4" s="2" t="inlineStr">
        <is>
          <t>做空</t>
        </is>
      </c>
      <c r="G4" s="17" t="n">
        <v>0.1708</v>
      </c>
      <c r="H4" s="17" t="n">
        <v>0.165676</v>
      </c>
      <c r="I4" s="17" t="n">
        <v>0.17934</v>
      </c>
      <c r="J4" s="17" t="n">
        <v>0.165676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46273</v>
      </c>
      <c r="C5" s="2" t="inlineStr">
        <is>
          <t>進場</t>
        </is>
      </c>
      <c r="D5" s="2" t="n">
        <v>2</v>
      </c>
      <c r="E5" s="2" t="inlineStr">
        <is>
          <t>WLD_USDT_PERP</t>
        </is>
      </c>
      <c r="F5" s="2" t="inlineStr">
        <is>
          <t>做空</t>
        </is>
      </c>
      <c r="G5" s="17" t="n">
        <v>0.4534</v>
      </c>
      <c r="H5" s="17" t="n">
        <v>0.439798</v>
      </c>
      <c r="I5" s="17" t="n">
        <v>0.47607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46273.08333333334</v>
      </c>
      <c r="C6" s="2" t="inlineStr">
        <is>
          <t>進場</t>
        </is>
      </c>
      <c r="D6" s="2" t="n">
        <v>3</v>
      </c>
      <c r="E6" s="2" t="inlineStr">
        <is>
          <t>SOLV_USDT_PERP</t>
        </is>
      </c>
      <c r="F6" s="2" t="inlineStr">
        <is>
          <t>做空</t>
        </is>
      </c>
      <c r="G6" s="17" t="n">
        <v>0.00461</v>
      </c>
      <c r="H6" s="17" t="n">
        <v>0.0044717</v>
      </c>
      <c r="I6" s="17" t="n">
        <v>0.0048405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46273.125</v>
      </c>
      <c r="C7" s="2" t="inlineStr">
        <is>
          <t>出場</t>
        </is>
      </c>
      <c r="D7" s="2" t="n">
        <v>3</v>
      </c>
      <c r="E7" s="2" t="inlineStr">
        <is>
          <t>SOLV_USDT_PERP</t>
        </is>
      </c>
      <c r="F7" s="2" t="inlineStr">
        <is>
          <t>做空</t>
        </is>
      </c>
      <c r="G7" s="17" t="n">
        <v>0.00461</v>
      </c>
      <c r="H7" s="17" t="n">
        <v>0.0044717</v>
      </c>
      <c r="I7" s="17" t="n">
        <v>0.0048405</v>
      </c>
      <c r="J7" s="17" t="n">
        <v>0.0044717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46273.29166666666</v>
      </c>
      <c r="C8" s="2" t="inlineStr">
        <is>
          <t>出場</t>
        </is>
      </c>
      <c r="D8" s="2" t="n">
        <v>2</v>
      </c>
      <c r="E8" s="2" t="inlineStr">
        <is>
          <t>WLD_USDT_PERP</t>
        </is>
      </c>
      <c r="F8" s="2" t="inlineStr">
        <is>
          <t>做空</t>
        </is>
      </c>
      <c r="G8" s="17" t="n">
        <v>0.4534</v>
      </c>
      <c r="H8" s="17" t="n">
        <v>0.439798</v>
      </c>
      <c r="I8" s="17" t="n">
        <v>0.47607</v>
      </c>
      <c r="J8" s="17" t="n">
        <v>0.47607</v>
      </c>
      <c r="K8" s="2" t="inlineStr">
        <is>
          <t>止損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46276.33333333334</v>
      </c>
      <c r="C9" s="2" t="inlineStr">
        <is>
          <t>進場</t>
        </is>
      </c>
      <c r="D9" s="2" t="n">
        <v>4</v>
      </c>
      <c r="E9" s="2" t="inlineStr">
        <is>
          <t>SAGA_USDT_PERP</t>
        </is>
      </c>
      <c r="F9" s="2" t="inlineStr">
        <is>
          <t>做空</t>
        </is>
      </c>
      <c r="G9" s="17" t="n">
        <v>0.01734</v>
      </c>
      <c r="H9" s="17" t="n">
        <v>0.0168198</v>
      </c>
      <c r="I9" s="17" t="n">
        <v>0.018207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46276.41666666666</v>
      </c>
      <c r="C10" s="2" t="inlineStr">
        <is>
          <t>出場</t>
        </is>
      </c>
      <c r="D10" s="2" t="n">
        <v>4</v>
      </c>
      <c r="E10" s="2" t="inlineStr">
        <is>
          <t>SAGA_USDT_PERP</t>
        </is>
      </c>
      <c r="F10" s="2" t="inlineStr">
        <is>
          <t>做空</t>
        </is>
      </c>
      <c r="G10" s="17" t="n">
        <v>0.01734</v>
      </c>
      <c r="H10" s="17" t="n">
        <v>0.0168198</v>
      </c>
      <c r="I10" s="17" t="n">
        <v>0.018207</v>
      </c>
      <c r="J10" s="17" t="n">
        <v>0.0168198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46282.75</v>
      </c>
      <c r="C11" s="2" t="inlineStr">
        <is>
          <t>進場</t>
        </is>
      </c>
      <c r="D11" s="2" t="n">
        <v>5</v>
      </c>
      <c r="E11" s="2" t="inlineStr">
        <is>
          <t>MARSCOIN_USDT_PERP</t>
        </is>
      </c>
      <c r="F11" s="2" t="inlineStr">
        <is>
          <t>做空</t>
        </is>
      </c>
      <c r="G11" s="17" t="n">
        <v>0.1096</v>
      </c>
      <c r="H11" s="17" t="n">
        <v>0.106312</v>
      </c>
      <c r="I11" s="17" t="n">
        <v>0.11508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46282.875</v>
      </c>
      <c r="C12" s="2" t="inlineStr">
        <is>
          <t>出場</t>
        </is>
      </c>
      <c r="D12" s="2" t="n">
        <v>5</v>
      </c>
      <c r="E12" s="2" t="inlineStr">
        <is>
          <t>MARSCOIN_USDT_PERP</t>
        </is>
      </c>
      <c r="F12" s="2" t="inlineStr">
        <is>
          <t>做空</t>
        </is>
      </c>
      <c r="G12" s="17" t="n">
        <v>0.1096</v>
      </c>
      <c r="H12" s="17" t="n">
        <v>0.106312</v>
      </c>
      <c r="I12" s="17" t="n">
        <v>0.11508</v>
      </c>
      <c r="J12" s="17" t="n">
        <v>0.106312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46283.75</v>
      </c>
      <c r="C13" s="2" t="inlineStr">
        <is>
          <t>進場</t>
        </is>
      </c>
      <c r="D13" s="2" t="n">
        <v>6</v>
      </c>
      <c r="E13" s="2" t="inlineStr">
        <is>
          <t>ENA_USDT_PERP</t>
        </is>
      </c>
      <c r="F13" s="2" t="inlineStr">
        <is>
          <t>做空</t>
        </is>
      </c>
      <c r="G13" s="17" t="n">
        <v>0.1672</v>
      </c>
      <c r="H13" s="17" t="n">
        <v>0.162184</v>
      </c>
      <c r="I13" s="17" t="n">
        <v>0.17556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46283.83333333334</v>
      </c>
      <c r="C14" s="2" t="inlineStr">
        <is>
          <t>出場</t>
        </is>
      </c>
      <c r="D14" s="2" t="n">
        <v>6</v>
      </c>
      <c r="E14" s="2" t="inlineStr">
        <is>
          <t>ENA_USDT_PERP</t>
        </is>
      </c>
      <c r="F14" s="2" t="inlineStr">
        <is>
          <t>做空</t>
        </is>
      </c>
      <c r="G14" s="17" t="n">
        <v>0.1672</v>
      </c>
      <c r="H14" s="17" t="n">
        <v>0.162184</v>
      </c>
      <c r="I14" s="17" t="n">
        <v>0.17556</v>
      </c>
      <c r="J14" s="17" t="n">
        <v>0.162184</v>
      </c>
      <c r="K14" s="2" t="inlineStr">
        <is>
          <t>止盈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46288.25</v>
      </c>
      <c r="C15" s="2" t="inlineStr">
        <is>
          <t>進場</t>
        </is>
      </c>
      <c r="D15" s="2" t="n">
        <v>7</v>
      </c>
      <c r="E15" s="2" t="inlineStr">
        <is>
          <t>PENGU_USDT_PERP</t>
        </is>
      </c>
      <c r="F15" s="2" t="inlineStr">
        <is>
          <t>做空</t>
        </is>
      </c>
      <c r="G15" s="17" t="n">
        <v>0.009977</v>
      </c>
      <c r="H15" s="17" t="n">
        <v>0.009677689999999999</v>
      </c>
      <c r="I15" s="17" t="n">
        <v>0.01047585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46288.54166666666</v>
      </c>
      <c r="C16" s="2" t="inlineStr">
        <is>
          <t>出場</t>
        </is>
      </c>
      <c r="D16" s="2" t="n">
        <v>7</v>
      </c>
      <c r="E16" s="2" t="inlineStr">
        <is>
          <t>PENGU_USDT_PERP</t>
        </is>
      </c>
      <c r="F16" s="2" t="inlineStr">
        <is>
          <t>做空</t>
        </is>
      </c>
      <c r="G16" s="17" t="n">
        <v>0.009977</v>
      </c>
      <c r="H16" s="17" t="n">
        <v>0.009677689999999999</v>
      </c>
      <c r="I16" s="17" t="n">
        <v>0.01047585</v>
      </c>
      <c r="J16" s="17" t="n">
        <v>0.01047585</v>
      </c>
      <c r="K16" s="2" t="inlineStr">
        <is>
          <t>止損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46288.83333333334</v>
      </c>
      <c r="C17" s="2" t="inlineStr">
        <is>
          <t>進場</t>
        </is>
      </c>
      <c r="D17" s="2" t="n">
        <v>8</v>
      </c>
      <c r="E17" s="2" t="inlineStr">
        <is>
          <t>BONK_USDT_PERP</t>
        </is>
      </c>
      <c r="F17" s="2" t="inlineStr">
        <is>
          <t>做空</t>
        </is>
      </c>
      <c r="G17" s="17" t="n">
        <v>3.815e-06</v>
      </c>
      <c r="H17" s="17" t="n">
        <v>3.70055e-06</v>
      </c>
      <c r="I17" s="17" t="n">
        <v>4.00575e-06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46288.95833333334</v>
      </c>
      <c r="C18" s="2" t="inlineStr">
        <is>
          <t>出場</t>
        </is>
      </c>
      <c r="D18" s="2" t="n">
        <v>8</v>
      </c>
      <c r="E18" s="2" t="inlineStr">
        <is>
          <t>BONK_USDT_PERP</t>
        </is>
      </c>
      <c r="F18" s="2" t="inlineStr">
        <is>
          <t>做空</t>
        </is>
      </c>
      <c r="G18" s="17" t="n">
        <v>3.815e-06</v>
      </c>
      <c r="H18" s="17" t="n">
        <v>3.70055e-06</v>
      </c>
      <c r="I18" s="17" t="n">
        <v>4.00575e-06</v>
      </c>
      <c r="J18" s="17" t="n">
        <v>3.70055e-06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46290.125</v>
      </c>
      <c r="C19" s="2" t="inlineStr">
        <is>
          <t>進場</t>
        </is>
      </c>
      <c r="D19" s="2" t="n">
        <v>9</v>
      </c>
      <c r="E19" s="2" t="inlineStr">
        <is>
          <t>ONDO_USDT_PERP</t>
        </is>
      </c>
      <c r="F19" s="2" t="inlineStr">
        <is>
          <t>做空</t>
        </is>
      </c>
      <c r="G19" s="17" t="n">
        <v>0.5072</v>
      </c>
      <c r="H19" s="17" t="n">
        <v>0.491984</v>
      </c>
      <c r="I19" s="17" t="n">
        <v>0.53256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46290.41666666666</v>
      </c>
      <c r="C20" s="2" t="inlineStr">
        <is>
          <t>出場</t>
        </is>
      </c>
      <c r="D20" s="2" t="n">
        <v>9</v>
      </c>
      <c r="E20" s="2" t="inlineStr">
        <is>
          <t>ONDO_USDT_PERP</t>
        </is>
      </c>
      <c r="F20" s="2" t="inlineStr">
        <is>
          <t>做空</t>
        </is>
      </c>
      <c r="G20" s="17" t="n">
        <v>0.5072</v>
      </c>
      <c r="H20" s="17" t="n">
        <v>0.491984</v>
      </c>
      <c r="I20" s="17" t="n">
        <v>0.53256</v>
      </c>
      <c r="J20" s="17" t="n">
        <v>0.53256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</sheetData>
  <autoFilter ref="A1:Z20"/>
  <conditionalFormatting sqref="K2:K2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2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2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02:41（Dry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60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策略2 — 大戶提款（做空）</t>
        </is>
      </c>
      <c r="C8" s="2" t="inlineStr">
        <is>
          <t>快速拉抬→出貨</t>
        </is>
      </c>
    </row>
    <row r="9">
      <c r="A9" s="2" t="inlineStr">
        <is>
          <t>流動性門檻 (USDT)</t>
        </is>
      </c>
      <c r="B9" s="4" t="n">
        <v>50000</v>
      </c>
      <c r="C9" s="2" t="inlineStr">
        <is>
          <t>近24h平均每小時成交額</t>
        </is>
      </c>
    </row>
    <row r="10">
      <c r="A10" s="2" t="inlineStr">
        <is>
          <t>拉抬窗口</t>
        </is>
      </c>
      <c r="B10" s="4" t="inlineStr">
        <is>
          <t>8 小時</t>
        </is>
      </c>
      <c r="C10" s="2" t="inlineStr">
        <is>
          <t>大戶買進須在此期間內完成</t>
        </is>
      </c>
    </row>
    <row r="11">
      <c r="A11" s="2" t="inlineStr">
        <is>
          <t>突破</t>
        </is>
      </c>
      <c r="B11" s="2" t="inlineStr">
        <is>
          <t>前24小時最高價</t>
        </is>
      </c>
      <c r="C11" s="2" t="inlineStr">
        <is>
          <t>收盤須突破</t>
        </is>
      </c>
    </row>
    <row r="12">
      <c r="A12" s="2" t="inlineStr">
        <is>
          <t>進場時機</t>
        </is>
      </c>
      <c r="B12" s="2" t="inlineStr">
        <is>
          <t>觸發後6根內、收盤跌破前一根最低價</t>
        </is>
      </c>
      <c r="C12" s="2" t="inlineStr">
        <is>
          <t>ENTRY_TIMING</t>
        </is>
      </c>
    </row>
    <row r="13">
      <c r="A13" s="2" t="inlineStr">
        <is>
          <t>方向</t>
        </is>
      </c>
      <c r="B13" s="2" t="inlineStr">
        <is>
          <t>做空</t>
        </is>
      </c>
      <c r="C13" s="2" t="inlineStr">
        <is>
          <t>DIRECTION</t>
        </is>
      </c>
    </row>
    <row r="14">
      <c r="A14" s="2" t="inlineStr">
        <is>
          <t>拉抬漲幅下限</t>
        </is>
      </c>
      <c r="B14" s="2" t="n">
        <v>0.08</v>
      </c>
      <c r="C14" s="2" t="inlineStr">
        <is>
          <t>近8小時漲幅</t>
        </is>
      </c>
    </row>
    <row r="15">
      <c r="A15" s="2" t="inlineStr">
        <is>
          <t>量能倍數下限</t>
        </is>
      </c>
      <c r="B15" s="2" t="n">
        <v>1.5</v>
      </c>
      <c r="C15" s="2" t="inlineStr">
        <is>
          <t>近8小時量能 ÷ 之前平均</t>
        </is>
      </c>
    </row>
    <row r="16">
      <c r="A16" s="2" t="inlineStr">
        <is>
          <t>RSI 範圍</t>
        </is>
      </c>
      <c r="B16" s="4" t="inlineStr">
        <is>
          <t>不限 ~ 不限</t>
        </is>
      </c>
      <c r="C16" s="2" t="inlineStr">
        <is>
          <t>RSI(14)</t>
        </is>
      </c>
    </row>
    <row r="17">
      <c r="A17" s="2" t="inlineStr">
        <is>
          <t>盈虧平衡勝率</t>
        </is>
      </c>
      <c r="B17" s="4">
        <f>IFERROR(AVERAGE(交易明細!$AC$2:$AC$10),(B6+2*B7)/(B5+B6))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ATR 範圍</t>
        </is>
      </c>
      <c r="B18" s="4" t="inlineStr">
        <is>
          <t>2.0% ~ 6.0%</t>
        </is>
      </c>
      <c r="C18" s="2" t="inlineStr">
        <is>
          <t>ATR(14) ÷ 收盤</t>
        </is>
      </c>
    </row>
    <row r="19">
      <c r="A19" s="2" t="inlineStr">
        <is>
          <t>價格上限</t>
        </is>
      </c>
      <c r="B19" s="2" t="n">
        <v>1</v>
      </c>
      <c r="C19" s="2" t="inlineStr">
        <is>
          <t>低價幣假設</t>
        </is>
      </c>
    </row>
    <row r="20">
      <c r="A20" s="2" t="inlineStr">
        <is>
          <t>買盤佔比下限</t>
        </is>
      </c>
      <c r="B20" s="2" t="n">
        <v>0.2</v>
      </c>
      <c r="C20" s="2" t="inlineStr">
        <is>
          <t>OBV淨變化 ÷ 總量，越接近1代表買盤越一面倒</t>
        </is>
      </c>
    </row>
    <row r="21">
      <c r="A21" s="2" t="inlineStr">
        <is>
          <t>量價背離上限</t>
        </is>
      </c>
      <c r="B21" s="2" t="n">
        <v>0.85</v>
      </c>
      <c r="C21" s="2" t="inlineStr">
        <is>
          <t>觸發當根量 ÷ 該段最大量，越小代表動能越衰竭</t>
        </is>
      </c>
    </row>
    <row r="22">
      <c r="A22" s="2" t="inlineStr">
        <is>
          <t>量價背離下限</t>
        </is>
      </c>
      <c r="B22" s="2" t="inlineStr">
        <is>
          <t>不限</t>
        </is>
      </c>
      <c r="C22" s="2" t="inlineStr">
        <is>
          <t>反過來要求量仍在放大時使用</t>
        </is>
      </c>
    </row>
    <row r="23">
      <c r="A23" s="2" t="inlineStr">
        <is>
          <t>進場前複查ATR</t>
        </is>
      </c>
      <c r="B23" s="2" t="inlineStr">
        <is>
          <t>是</t>
        </is>
      </c>
      <c r="C23" s="2" t="inlineStr">
        <is>
          <t>進場當根 ATR 仍須在範圍內</t>
        </is>
      </c>
    </row>
    <row r="24">
      <c r="A24" s="2" t="inlineStr">
        <is>
          <t>啟動前漲幅上限</t>
        </is>
      </c>
      <c r="B24" s="2" t="n">
        <v>0.05</v>
      </c>
      <c r="C24" s="2" t="inlineStr">
        <is>
          <t>更早之前須平靜</t>
        </is>
      </c>
    </row>
    <row r="25">
      <c r="A25" s="2" t="inlineStr">
        <is>
          <t>MA20乖離下限</t>
        </is>
      </c>
      <c r="B25" s="2" t="n">
        <v>0.05</v>
      </c>
      <c r="C25" s="2" t="inlineStr">
        <is>
          <t>過熱程度</t>
        </is>
      </c>
    </row>
    <row r="26">
      <c r="A26" s="2" t="inlineStr">
        <is>
          <t>收盤位置上限</t>
        </is>
      </c>
      <c r="B26" s="2" t="inlineStr">
        <is>
          <t>不限</t>
        </is>
      </c>
      <c r="C26" s="2" t="inlineStr">
        <is>
          <t>0=收最低、1=收最高</t>
        </is>
      </c>
    </row>
    <row r="27">
      <c r="A27" s="2" t="inlineStr">
        <is>
          <t>爆量門檻（舊）</t>
        </is>
      </c>
      <c r="B27" s="2" t="inlineStr">
        <is>
          <t>關閉</t>
        </is>
      </c>
      <c r="C27" s="2" t="inlineStr">
        <is>
          <t>訊號K量 ÷ 前20根均量</t>
        </is>
      </c>
    </row>
    <row r="28">
      <c r="A28" s="2" t="inlineStr">
        <is>
          <t>24h漲幅下限（舊）</t>
        </is>
      </c>
      <c r="B28" s="2" t="inlineStr">
        <is>
          <t>關閉</t>
        </is>
      </c>
      <c r="C28" s="2" t="inlineStr"/>
    </row>
    <row r="29">
      <c r="A29" s="2" t="inlineStr">
        <is>
          <t>BTC乖離上限</t>
        </is>
      </c>
      <c r="B29" s="2" t="inlineStr">
        <is>
          <t>不限</t>
        </is>
      </c>
      <c r="C29" s="2" t="inlineStr">
        <is>
          <t>BTC 自身 vs MA20，超過不做空</t>
        </is>
      </c>
    </row>
    <row r="30">
      <c r="A30" s="2" t="inlineStr">
        <is>
          <t>時間停損</t>
        </is>
      </c>
      <c r="B30" s="2" t="inlineStr">
        <is>
          <t>無</t>
        </is>
      </c>
      <c r="C30" s="2" t="inlineStr">
        <is>
          <t>小時</t>
        </is>
      </c>
    </row>
    <row r="31">
      <c r="A31" s="2" t="inlineStr">
        <is>
          <t>出場後冷卻</t>
        </is>
      </c>
      <c r="B31" s="2" t="n">
        <v>1</v>
      </c>
      <c r="C31" s="2" t="inlineStr">
        <is>
          <t>K棒數</t>
        </is>
      </c>
    </row>
    <row r="32">
      <c r="A32" s="2" t="inlineStr">
        <is>
          <t>同K棒雙觸發</t>
        </is>
      </c>
      <c r="B32" s="2" t="inlineStr">
        <is>
          <t>5M/15M/30M 依序判斷</t>
        </is>
      </c>
      <c r="C32" s="2" t="inlineStr">
        <is>
          <t>同一根1h同時碰到止盈止損時的判斷方式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1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7" customWidth="1" min="30" max="30"/>
    <col width="10" customWidth="1" min="31" max="31"/>
    <col width="10" customWidth="1" min="32" max="32"/>
    <col width="11" customWidth="1" min="33" max="33"/>
    <col width="10" customWidth="1" min="34" max="34"/>
    <col width="10" customWidth="1" min="35" max="35"/>
    <col width="11" customWidth="1" min="36" max="36"/>
    <col width="10" customWidth="1" min="37" max="37"/>
    <col width="10" customWidth="1" min="38" max="38"/>
    <col width="9" customWidth="1" min="39" max="39"/>
    <col width="9" customWidth="1" min="40" max="40"/>
    <col width="10" customWidth="1" min="41" max="41"/>
    <col width="10" customWidth="1" min="42" max="42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觸發時間</t>
        </is>
      </c>
      <c r="AE1" s="3" t="inlineStr">
        <is>
          <t>等待K棒數</t>
        </is>
      </c>
      <c r="AF1" s="3" t="inlineStr">
        <is>
          <t>拉抬漲幅</t>
        </is>
      </c>
      <c r="AG1" s="3" t="inlineStr">
        <is>
          <t>啟動前漲幅</t>
        </is>
      </c>
      <c r="AH1" s="3" t="inlineStr">
        <is>
          <t>量能倍數</t>
        </is>
      </c>
      <c r="AI1" s="3" t="inlineStr">
        <is>
          <t>買盤佔比</t>
        </is>
      </c>
      <c r="AJ1" s="3" t="inlineStr">
        <is>
          <t>量價背離比</t>
        </is>
      </c>
      <c r="AK1" s="3" t="inlineStr">
        <is>
          <t>突破幅度</t>
        </is>
      </c>
      <c r="AL1" s="3" t="inlineStr">
        <is>
          <t>MA20乖離</t>
        </is>
      </c>
      <c r="AM1" s="3" t="inlineStr">
        <is>
          <t>RSI(14)</t>
        </is>
      </c>
      <c r="AN1" s="3" t="inlineStr">
        <is>
          <t>收盤位置</t>
        </is>
      </c>
      <c r="AO1" s="3" t="inlineStr">
        <is>
          <t>24h漲幅</t>
        </is>
      </c>
      <c r="AP1" s="3" t="inlineStr">
        <is>
          <t>BTC乖離</t>
        </is>
      </c>
    </row>
    <row r="2">
      <c r="A2" s="2" t="n">
        <v>1</v>
      </c>
      <c r="B2" s="2" t="inlineStr">
        <is>
          <t>ENA_USDT_PERP</t>
        </is>
      </c>
      <c r="C2" s="2" t="inlineStr">
        <is>
          <t>做空</t>
        </is>
      </c>
      <c r="D2" s="7" t="n">
        <v>46269.16666666666</v>
      </c>
      <c r="E2" s="17" t="n">
        <v>0.1708</v>
      </c>
      <c r="F2" s="17" t="n">
        <v>0.165676</v>
      </c>
      <c r="G2" s="17" t="n">
        <v>0.17934</v>
      </c>
      <c r="H2" s="7" t="n">
        <v>46269.29166666666</v>
      </c>
      <c r="I2" s="17" t="n">
        <v>0.165676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-0.02344196683819322</v>
      </c>
      <c r="O2" s="4" t="n">
        <v>0.02387820035074014</v>
      </c>
      <c r="P2" s="4" t="n">
        <v>0.08286312052241196</v>
      </c>
      <c r="Q2" s="19" t="n">
        <v>19386246</v>
      </c>
      <c r="R2" s="19" t="n">
        <v>9543632.076399999</v>
      </c>
      <c r="S2" s="4" t="n">
        <v>0.03</v>
      </c>
      <c r="T2" s="4" t="n">
        <v>0.002341920374707263</v>
      </c>
      <c r="U2" s="16" t="n">
        <v>1.929538472840791</v>
      </c>
      <c r="V2" s="16" t="n">
        <v>0.8936170212765953</v>
      </c>
      <c r="W2" s="4" t="n">
        <v>-0.1070278118052721</v>
      </c>
      <c r="X2" s="4" t="n">
        <v>-0.1470785762256548</v>
      </c>
      <c r="Y2" s="4" t="n">
        <v>-0.005792430321556852</v>
      </c>
      <c r="Z2" s="4" t="n">
        <v>-0.03686774996619269</v>
      </c>
      <c r="AA2" s="4" t="n">
        <v>0.03</v>
      </c>
      <c r="AB2" s="4" t="n">
        <v>0.05</v>
      </c>
      <c r="AC2" s="4">
        <f>(AB2+2*參數!$B$7)/(AA2+AB2)</f>
        <v/>
      </c>
      <c r="AD2" s="20" t="n">
        <v>46269.04166666666</v>
      </c>
      <c r="AE2" s="2" t="n">
        <v>2</v>
      </c>
      <c r="AF2" s="2" t="n">
        <v>0.1848906560636181</v>
      </c>
      <c r="AG2" s="2" t="n">
        <v>0.006671114076050699</v>
      </c>
      <c r="AH2" s="2" t="n">
        <v>1.572995980375042</v>
      </c>
      <c r="AI2" s="2" t="n">
        <v>0.8596786644759616</v>
      </c>
      <c r="AJ2" s="2" t="n">
        <v>0.4585147606143744</v>
      </c>
      <c r="AK2" s="2" t="n">
        <v>0.02876869965477558</v>
      </c>
      <c r="AL2" s="2" t="n">
        <v>0.1517279139424779</v>
      </c>
      <c r="AM2" s="2" t="n">
        <v>85.51608618974147</v>
      </c>
      <c r="AN2" s="2" t="n">
        <v>0.8399999999999993</v>
      </c>
      <c r="AO2" s="2" t="n">
        <v>0.1927951967978652</v>
      </c>
      <c r="AP2" s="2" t="n">
        <v>0.03376644457895006</v>
      </c>
    </row>
    <row r="3">
      <c r="A3" s="2" t="n">
        <v>2</v>
      </c>
      <c r="B3" s="2" t="inlineStr">
        <is>
          <t>WLD_USDT_PERP</t>
        </is>
      </c>
      <c r="C3" s="2" t="inlineStr">
        <is>
          <t>做空</t>
        </is>
      </c>
      <c r="D3" s="7" t="n">
        <v>46273</v>
      </c>
      <c r="E3" s="17" t="n">
        <v>0.4534</v>
      </c>
      <c r="F3" s="17" t="n">
        <v>0.439798</v>
      </c>
      <c r="G3" s="17" t="n">
        <v>0.47607</v>
      </c>
      <c r="H3" s="7" t="n">
        <v>46273.29166666666</v>
      </c>
      <c r="I3" s="17" t="n">
        <v>0.47607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-0.03757164084058584</v>
      </c>
      <c r="O3" s="4" t="n">
        <v>0.02682249478748429</v>
      </c>
      <c r="P3" s="4" t="n">
        <v>0.04238272044877189</v>
      </c>
      <c r="Q3" s="19" t="n">
        <v>2194548</v>
      </c>
      <c r="R3" s="19" t="n">
        <v>3331311.2628</v>
      </c>
      <c r="S3" s="4" t="n">
        <v>0.001543890604322917</v>
      </c>
      <c r="T3" s="4" t="n">
        <v>0.05</v>
      </c>
      <c r="U3" s="16" t="n">
        <v>1.126097450219174</v>
      </c>
      <c r="V3" s="16" t="n">
        <v>0.8909090909090901</v>
      </c>
      <c r="W3" s="4" t="n">
        <v>-0.1258806030190684</v>
      </c>
      <c r="X3" s="4" t="n">
        <v>-0.1104579965711487</v>
      </c>
      <c r="Y3" s="4" t="n">
        <v>0.004843795797495609</v>
      </c>
      <c r="Z3" s="4" t="n">
        <v>0.01046575170377817</v>
      </c>
      <c r="AA3" s="4" t="n">
        <v>0.03</v>
      </c>
      <c r="AB3" s="4" t="n">
        <v>0.05</v>
      </c>
      <c r="AC3" s="4">
        <f>(AB3+2*參數!$B$7)/(AA3+AB3)</f>
        <v/>
      </c>
      <c r="AD3" s="20" t="n">
        <v>46272.875</v>
      </c>
      <c r="AE3" s="2" t="n">
        <v>2</v>
      </c>
      <c r="AF3" s="2" t="n">
        <v>0.102788279773157</v>
      </c>
      <c r="AG3" s="2" t="n">
        <v>0.01608643457382963</v>
      </c>
      <c r="AH3" s="2" t="n">
        <v>3.989579179281572</v>
      </c>
      <c r="AI3" s="2" t="n">
        <v>0.4754861421377647</v>
      </c>
      <c r="AJ3" s="2" t="n">
        <v>0.5721431282505077</v>
      </c>
      <c r="AK3" s="2" t="n">
        <v>0.002362542955326452</v>
      </c>
      <c r="AL3" s="2" t="n">
        <v>0.08521003127506943</v>
      </c>
      <c r="AM3" s="2" t="n">
        <v>74.98865368286783</v>
      </c>
      <c r="AN3" s="2" t="n">
        <v>0.9516908212560385</v>
      </c>
      <c r="AO3" s="2" t="n">
        <v>0.1205282112845139</v>
      </c>
      <c r="AP3" s="2" t="n">
        <v>-0.004739797389268552</v>
      </c>
    </row>
    <row r="4">
      <c r="A4" s="2" t="n">
        <v>3</v>
      </c>
      <c r="B4" s="2" t="inlineStr">
        <is>
          <t>SOLV_USDT_PERP</t>
        </is>
      </c>
      <c r="C4" s="2" t="inlineStr">
        <is>
          <t>做空</t>
        </is>
      </c>
      <c r="D4" s="7" t="n">
        <v>46273.08333333334</v>
      </c>
      <c r="E4" s="17" t="n">
        <v>0.00461</v>
      </c>
      <c r="F4" s="17" t="n">
        <v>0.0044717</v>
      </c>
      <c r="G4" s="17" t="n">
        <v>0.0048405</v>
      </c>
      <c r="H4" s="7" t="n">
        <v>46273.125</v>
      </c>
      <c r="I4" s="17" t="n">
        <v>0.0044717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-0.03958333333333319</v>
      </c>
      <c r="O4" s="4" t="n">
        <v>0.03843258349320738</v>
      </c>
      <c r="P4" s="4" t="n">
        <v>0.1016847891026409</v>
      </c>
      <c r="Q4" s="19" t="n">
        <v>208617967</v>
      </c>
      <c r="R4" s="19" t="n">
        <v>2654711.23942</v>
      </c>
      <c r="S4" s="4" t="n">
        <v>0.03</v>
      </c>
      <c r="T4" s="4" t="n">
        <v>0</v>
      </c>
      <c r="U4" s="16" t="n">
        <v>1.923256918727044</v>
      </c>
      <c r="V4" s="16" t="n">
        <v>0.8461538461538456</v>
      </c>
      <c r="W4" s="4" t="n">
        <v>-0.3468111834993719</v>
      </c>
      <c r="X4" s="4" t="n">
        <v>-0.2359249329758715</v>
      </c>
      <c r="Y4" s="4" t="n">
        <v>-0.002076227949572962</v>
      </c>
      <c r="Z4" s="4" t="n">
        <v>0.004621363982384885</v>
      </c>
      <c r="AA4" s="4" t="n">
        <v>0.03</v>
      </c>
      <c r="AB4" s="4" t="n">
        <v>0.05</v>
      </c>
      <c r="AC4" s="4">
        <f>(AB4+2*參數!$B$7)/(AA4+AB4)</f>
        <v/>
      </c>
      <c r="AD4" s="20" t="n">
        <v>46272.83333333334</v>
      </c>
      <c r="AE4" s="2" t="n">
        <v>5</v>
      </c>
      <c r="AF4" s="2" t="n">
        <v>0.2359249329758715</v>
      </c>
      <c r="AG4" s="2" t="n">
        <v>0.0191256830601092</v>
      </c>
      <c r="AH4" s="2" t="n">
        <v>7.417085800427782</v>
      </c>
      <c r="AI4" s="2" t="n">
        <v>0.6030045937428951</v>
      </c>
      <c r="AJ4" s="2" t="n">
        <v>0.5579142530010581</v>
      </c>
      <c r="AK4" s="2" t="n">
        <v>0.004357298474945592</v>
      </c>
      <c r="AL4" s="2" t="n">
        <v>0.1609166456811888</v>
      </c>
      <c r="AM4" s="2" t="n">
        <v>77.58632186876497</v>
      </c>
      <c r="AN4" s="2" t="n">
        <v>0.7058823529411783</v>
      </c>
      <c r="AO4" s="2" t="n">
        <v>0.2595628415300548</v>
      </c>
      <c r="AP4" s="2" t="n">
        <v>-0.001812840879916289</v>
      </c>
    </row>
    <row r="5">
      <c r="A5" s="2" t="n">
        <v>4</v>
      </c>
      <c r="B5" s="2" t="inlineStr">
        <is>
          <t>SAGA_USDT_PERP</t>
        </is>
      </c>
      <c r="C5" s="2" t="inlineStr">
        <is>
          <t>做空</t>
        </is>
      </c>
      <c r="D5" s="7" t="n">
        <v>46276.33333333334</v>
      </c>
      <c r="E5" s="17" t="n">
        <v>0.01734</v>
      </c>
      <c r="F5" s="17" t="n">
        <v>0.0168198</v>
      </c>
      <c r="G5" s="17" t="n">
        <v>0.018207</v>
      </c>
      <c r="H5" s="7" t="n">
        <v>46276.41666666666</v>
      </c>
      <c r="I5" s="17" t="n">
        <v>0.0168198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-0.03290574456218631</v>
      </c>
      <c r="O5" s="4" t="n">
        <v>0.05168292939246773</v>
      </c>
      <c r="P5" s="4" t="n">
        <v>0.08064315094104457</v>
      </c>
      <c r="Q5" s="19" t="n">
        <v>18834691</v>
      </c>
      <c r="R5" s="19" t="n">
        <v>1887210.583041</v>
      </c>
      <c r="S5" s="4" t="n">
        <v>0.03</v>
      </c>
      <c r="T5" s="4" t="n">
        <v>0.02883506343713949</v>
      </c>
      <c r="U5" s="16" t="n">
        <v>0.5671543274014402</v>
      </c>
      <c r="V5" s="16" t="n">
        <v>0.8347826086956501</v>
      </c>
      <c r="W5" s="4" t="n">
        <v>-0.1370193568693279</v>
      </c>
      <c r="X5" s="4" t="n">
        <v>-0.2403433476394852</v>
      </c>
      <c r="Y5" s="4" t="n">
        <v>0.003366144013667749</v>
      </c>
      <c r="Z5" s="4" t="n">
        <v>0.01251930175140159</v>
      </c>
      <c r="AA5" s="4" t="n">
        <v>0.03</v>
      </c>
      <c r="AB5" s="4" t="n">
        <v>0.05</v>
      </c>
      <c r="AC5" s="4">
        <f>(AB5+2*參數!$B$7)/(AA5+AB5)</f>
        <v/>
      </c>
      <c r="AD5" s="20" t="n">
        <v>46276.16666666666</v>
      </c>
      <c r="AE5" s="2" t="n">
        <v>3</v>
      </c>
      <c r="AF5" s="2" t="n">
        <v>0.2887844190732034</v>
      </c>
      <c r="AG5" s="2" t="n">
        <v>0.01361470388019059</v>
      </c>
      <c r="AH5" s="2" t="n">
        <v>67.58579735550968</v>
      </c>
      <c r="AI5" s="2" t="n">
        <v>0.3112400492121815</v>
      </c>
      <c r="AJ5" s="2" t="n">
        <v>0.138333119097136</v>
      </c>
      <c r="AK5" s="2" t="n">
        <v>0.03283100107642634</v>
      </c>
      <c r="AL5" s="2" t="n">
        <v>0.2390237603305785</v>
      </c>
      <c r="AM5" s="2" t="n">
        <v>82.99828511146114</v>
      </c>
      <c r="AN5" s="2" t="n">
        <v>0.9711538461538456</v>
      </c>
      <c r="AO5" s="2" t="n">
        <v>0.3063308373042886</v>
      </c>
      <c r="AP5" s="2" t="n">
        <v>-0.00623614700662134</v>
      </c>
    </row>
    <row r="6">
      <c r="A6" s="2" t="n">
        <v>5</v>
      </c>
      <c r="B6" s="2" t="inlineStr">
        <is>
          <t>MARSCOIN_USDT_PERP</t>
        </is>
      </c>
      <c r="C6" s="2" t="inlineStr">
        <is>
          <t>做空</t>
        </is>
      </c>
      <c r="D6" s="7" t="n">
        <v>46282.75</v>
      </c>
      <c r="E6" s="17" t="n">
        <v>0.1096</v>
      </c>
      <c r="F6" s="17" t="n">
        <v>0.106312</v>
      </c>
      <c r="G6" s="17" t="n">
        <v>0.11508</v>
      </c>
      <c r="H6" s="7" t="n">
        <v>46282.875</v>
      </c>
      <c r="I6" s="17" t="n">
        <v>0.106312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-0.02862713817247187</v>
      </c>
      <c r="O6" s="4" t="n">
        <v>0.04877412655206251</v>
      </c>
      <c r="P6" s="4" t="n">
        <v>0.1050615043355516</v>
      </c>
      <c r="Q6" s="19" t="n">
        <v>836092</v>
      </c>
      <c r="R6" s="19" t="n">
        <v>1424596.50626</v>
      </c>
      <c r="S6" s="4" t="n">
        <v>0.03</v>
      </c>
      <c r="T6" s="4" t="n">
        <v>0.01733576642335755</v>
      </c>
      <c r="U6" s="16" t="n">
        <v>2.239261904539497</v>
      </c>
      <c r="V6" s="16" t="n">
        <v>0.7429467084639494</v>
      </c>
      <c r="W6" s="4" t="n">
        <v>-0.140458493450168</v>
      </c>
      <c r="X6" s="4" t="n">
        <v>-0.09962877495735944</v>
      </c>
      <c r="Y6" s="4" t="n">
        <v>0.001374381887423448</v>
      </c>
      <c r="Z6" s="4" t="n">
        <v>-0.004154116650517459</v>
      </c>
      <c r="AA6" s="4" t="n">
        <v>0.03</v>
      </c>
      <c r="AB6" s="4" t="n">
        <v>0.05</v>
      </c>
      <c r="AC6" s="4">
        <f>(AB6+2*參數!$B$7)/(AA6+AB6)</f>
        <v/>
      </c>
      <c r="AD6" s="20" t="n">
        <v>46282.625</v>
      </c>
      <c r="AE6" s="2" t="n">
        <v>2</v>
      </c>
      <c r="AF6" s="2" t="n">
        <v>0.2322321234514235</v>
      </c>
      <c r="AG6" s="2" t="n">
        <v>-0.07850991387943118</v>
      </c>
      <c r="AH6" s="2" t="n">
        <v>2.031595536492351</v>
      </c>
      <c r="AI6" s="2" t="n">
        <v>0.547775325273728</v>
      </c>
      <c r="AJ6" s="2" t="n">
        <v>0.8310113711329152</v>
      </c>
      <c r="AK6" s="2" t="n">
        <v>0.001501501501501634</v>
      </c>
      <c r="AL6" s="2" t="n">
        <v>0.1596025914392512</v>
      </c>
      <c r="AM6" s="2" t="n">
        <v>71.08286639699612</v>
      </c>
      <c r="AN6" s="2" t="n">
        <v>0.4580335731414873</v>
      </c>
      <c r="AO6" s="2" t="n">
        <v>0.1354896855597838</v>
      </c>
      <c r="AP6" s="2" t="n">
        <v>0.005031726642983569</v>
      </c>
    </row>
    <row r="7">
      <c r="A7" s="2" t="n">
        <v>6</v>
      </c>
      <c r="B7" s="2" t="inlineStr">
        <is>
          <t>ENA_USDT_PERP</t>
        </is>
      </c>
      <c r="C7" s="2" t="inlineStr">
        <is>
          <t>做空</t>
        </is>
      </c>
      <c r="D7" s="7" t="n">
        <v>46283.75</v>
      </c>
      <c r="E7" s="17" t="n">
        <v>0.1672</v>
      </c>
      <c r="F7" s="17" t="n">
        <v>0.162184</v>
      </c>
      <c r="G7" s="17" t="n">
        <v>0.17556</v>
      </c>
      <c r="H7" s="7" t="n">
        <v>46283.83333333334</v>
      </c>
      <c r="I7" s="17" t="n">
        <v>0.162184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-0.007715133531157381</v>
      </c>
      <c r="O7" s="4" t="n">
        <v>0.02066725759732009</v>
      </c>
      <c r="P7" s="4" t="n">
        <v>0.05137395459976091</v>
      </c>
      <c r="Q7" s="19" t="n">
        <v>30830387</v>
      </c>
      <c r="R7" s="19" t="n">
        <v>12574719.3101</v>
      </c>
      <c r="S7" s="4" t="n">
        <v>0.03</v>
      </c>
      <c r="T7" s="4" t="n">
        <v>0.009569377990430672</v>
      </c>
      <c r="U7" s="16" t="n">
        <v>0.2565705719832187</v>
      </c>
      <c r="V7" s="16" t="n">
        <v>0.4193548387096824</v>
      </c>
      <c r="W7" s="4" t="n">
        <v>-0.1373840167614486</v>
      </c>
      <c r="X7" s="4" t="n">
        <v>-0.1058201058201058</v>
      </c>
      <c r="Y7" s="4" t="n">
        <v>0.0009087434927701477</v>
      </c>
      <c r="Z7" s="4" t="n">
        <v>-0.01539357431883848</v>
      </c>
      <c r="AA7" s="4" t="n">
        <v>0.03</v>
      </c>
      <c r="AB7" s="4" t="n">
        <v>0.05</v>
      </c>
      <c r="AC7" s="4">
        <f>(AB7+2*參數!$B$7)/(AA7+AB7)</f>
        <v/>
      </c>
      <c r="AD7" s="20" t="n">
        <v>46283.625</v>
      </c>
      <c r="AE7" s="2" t="n">
        <v>2</v>
      </c>
      <c r="AF7" s="2" t="n">
        <v>0.09708737864077688</v>
      </c>
      <c r="AG7" s="2" t="n">
        <v>0.01377952755905509</v>
      </c>
      <c r="AH7" s="2" t="n">
        <v>4.371625859694877</v>
      </c>
      <c r="AI7" s="2" t="n">
        <v>0.2817884381825403</v>
      </c>
      <c r="AJ7" s="2" t="n">
        <v>0.7998886002737601</v>
      </c>
      <c r="AK7" s="2" t="n">
        <v>0.01375598086124419</v>
      </c>
      <c r="AL7" s="2" t="n">
        <v>0.076498047061065</v>
      </c>
      <c r="AM7" s="2" t="n">
        <v>76.58526706859675</v>
      </c>
      <c r="AN7" s="2" t="n">
        <v>0.5800000000000022</v>
      </c>
      <c r="AO7" s="2" t="n">
        <v>0.1122047244094488</v>
      </c>
      <c r="AP7" s="2" t="n">
        <v>0.01228891883597183</v>
      </c>
    </row>
    <row r="8">
      <c r="A8" s="2" t="n">
        <v>7</v>
      </c>
      <c r="B8" s="2" t="inlineStr">
        <is>
          <t>PENGU_USDT_PERP</t>
        </is>
      </c>
      <c r="C8" s="2" t="inlineStr">
        <is>
          <t>做空</t>
        </is>
      </c>
      <c r="D8" s="7" t="n">
        <v>46288.25</v>
      </c>
      <c r="E8" s="17" t="n">
        <v>0.009977</v>
      </c>
      <c r="F8" s="17" t="n">
        <v>0.009677689999999999</v>
      </c>
      <c r="G8" s="17" t="n">
        <v>0.01047585</v>
      </c>
      <c r="H8" s="7" t="n">
        <v>46288.54166666666</v>
      </c>
      <c r="I8" s="17" t="n">
        <v>0.01047585</v>
      </c>
      <c r="J8" s="2" t="inlineStr">
        <is>
          <t>止損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-0.01539524326458108</v>
      </c>
      <c r="O8" s="4" t="n">
        <v>0.03089203041394707</v>
      </c>
      <c r="P8" s="4" t="n">
        <v>0.07899703132519686</v>
      </c>
      <c r="Q8" s="19" t="n">
        <v>144418649</v>
      </c>
      <c r="R8" s="19" t="n">
        <v>3016271.097995</v>
      </c>
      <c r="S8" s="4" t="n">
        <v>0.01122581938458445</v>
      </c>
      <c r="T8" s="4" t="n">
        <v>0.05</v>
      </c>
      <c r="U8" s="16" t="n">
        <v>0.7680119170043086</v>
      </c>
      <c r="V8" s="16" t="n">
        <v>0.8248730964467016</v>
      </c>
      <c r="W8" s="4" t="n">
        <v>-0.2058298495160122</v>
      </c>
      <c r="X8" s="4" t="n">
        <v>-0.1523446523446521</v>
      </c>
      <c r="Y8" s="4" t="n">
        <v>0.001005451705266891</v>
      </c>
      <c r="Z8" s="4" t="n">
        <v>-0.001829194932681633</v>
      </c>
      <c r="AA8" s="4" t="n">
        <v>0.03</v>
      </c>
      <c r="AB8" s="4" t="n">
        <v>0.05</v>
      </c>
      <c r="AC8" s="4">
        <f>(AB8+2*參數!$B$7)/(AA8+AB8)</f>
        <v/>
      </c>
      <c r="AD8" s="20" t="n">
        <v>46288.125</v>
      </c>
      <c r="AE8" s="2" t="n">
        <v>2</v>
      </c>
      <c r="AF8" s="2" t="n">
        <v>0.1249446167478956</v>
      </c>
      <c r="AG8" s="2" t="n">
        <v>0.01097424412094061</v>
      </c>
      <c r="AH8" s="2" t="n">
        <v>3.814186595085628</v>
      </c>
      <c r="AI8" s="2" t="n">
        <v>0.8498112060012512</v>
      </c>
      <c r="AJ8" s="2" t="n">
        <v>0.2761398996231335</v>
      </c>
      <c r="AK8" s="2" t="n">
        <v>0.03717320261437895</v>
      </c>
      <c r="AL8" s="2" t="n">
        <v>0.1134255706360865</v>
      </c>
      <c r="AM8" s="2" t="n">
        <v>76.65155690421476</v>
      </c>
      <c r="AN8" s="2" t="n">
        <v>0.9930555555555546</v>
      </c>
      <c r="AO8" s="2" t="n">
        <v>0.1372900335946248</v>
      </c>
      <c r="AP8" s="2" t="n">
        <v>0.002340298959010667</v>
      </c>
    </row>
    <row r="9">
      <c r="A9" s="2" t="n">
        <v>8</v>
      </c>
      <c r="B9" s="2" t="inlineStr">
        <is>
          <t>BONK_USDT_PERP</t>
        </is>
      </c>
      <c r="C9" s="2" t="inlineStr">
        <is>
          <t>做空</t>
        </is>
      </c>
      <c r="D9" s="7" t="n">
        <v>46288.83333333334</v>
      </c>
      <c r="E9" s="17" t="n">
        <v>3.815e-06</v>
      </c>
      <c r="F9" s="17" t="n">
        <v>3.70055e-06</v>
      </c>
      <c r="G9" s="17" t="n">
        <v>4.00575e-06</v>
      </c>
      <c r="H9" s="7" t="n">
        <v>46288.95833333334</v>
      </c>
      <c r="I9" s="17" t="n">
        <v>3.70055e-06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-0.06242319980339162</v>
      </c>
      <c r="O9" s="4" t="n">
        <v>0.03811871028740543</v>
      </c>
      <c r="P9" s="4" t="n">
        <v>0.01681814547296012</v>
      </c>
      <c r="Q9" s="19" t="n">
        <v>127214413120</v>
      </c>
      <c r="R9" s="19" t="n">
        <v>1703505.155670306</v>
      </c>
      <c r="S9" s="4" t="n">
        <v>0.03</v>
      </c>
      <c r="T9" s="4" t="n">
        <v>0.01677588466579283</v>
      </c>
      <c r="U9" s="16" t="n">
        <v>1.946458283138548</v>
      </c>
      <c r="V9" s="16" t="n">
        <v>0.8639455782312926</v>
      </c>
      <c r="W9" s="4" t="n">
        <v>-0.1610496010128368</v>
      </c>
      <c r="X9" s="4" t="n">
        <v>-0.1190965092402465</v>
      </c>
      <c r="Y9" s="4" t="n">
        <v>0.002985589059981808</v>
      </c>
      <c r="Z9" s="4" t="n">
        <v>0.007431788235390924</v>
      </c>
      <c r="AA9" s="4" t="n">
        <v>0.03</v>
      </c>
      <c r="AB9" s="4" t="n">
        <v>0.05</v>
      </c>
      <c r="AC9" s="4">
        <f>(AB9+2*參數!$B$7)/(AA9+AB9)</f>
        <v/>
      </c>
      <c r="AD9" s="20" t="n">
        <v>46288.58333333334</v>
      </c>
      <c r="AE9" s="2" t="n">
        <v>5</v>
      </c>
      <c r="AF9" s="2" t="n">
        <v>0.1407386681589256</v>
      </c>
      <c r="AG9" s="2" t="n">
        <v>0.005627462014631268</v>
      </c>
      <c r="AH9" s="2" t="n">
        <v>4.078512615893191</v>
      </c>
      <c r="AI9" s="2" t="n">
        <v>0.7222727347440524</v>
      </c>
      <c r="AJ9" s="2" t="n">
        <v>0.7065465417630157</v>
      </c>
      <c r="AK9" s="2" t="n">
        <v>0.05294421487603307</v>
      </c>
      <c r="AL9" s="2" t="n">
        <v>0.1207477149336817</v>
      </c>
      <c r="AM9" s="2" t="n">
        <v>82.38674247175372</v>
      </c>
      <c r="AN9" s="2" t="n">
        <v>0.8521739130434782</v>
      </c>
      <c r="AO9" s="2" t="n">
        <v>0.1471581316826112</v>
      </c>
      <c r="AP9" s="2" t="n">
        <v>0.0009673898975077755</v>
      </c>
    </row>
    <row r="10">
      <c r="A10" s="2" t="n">
        <v>9</v>
      </c>
      <c r="B10" s="2" t="inlineStr">
        <is>
          <t>ONDO_USDT_PERP</t>
        </is>
      </c>
      <c r="C10" s="2" t="inlineStr">
        <is>
          <t>做空</t>
        </is>
      </c>
      <c r="D10" s="7" t="n">
        <v>46290.125</v>
      </c>
      <c r="E10" s="17" t="n">
        <v>0.5072</v>
      </c>
      <c r="F10" s="17" t="n">
        <v>0.491984</v>
      </c>
      <c r="G10" s="17" t="n">
        <v>0.53256</v>
      </c>
      <c r="H10" s="7" t="n">
        <v>46290.41666666666</v>
      </c>
      <c r="I10" s="17" t="n">
        <v>0.53256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-0.03039571783597783</v>
      </c>
      <c r="O10" s="4" t="n">
        <v>0.03017379724537066</v>
      </c>
      <c r="P10" s="4" t="n">
        <v>0.1276498771635337</v>
      </c>
      <c r="Q10" s="19" t="n">
        <v>18539709.6</v>
      </c>
      <c r="R10" s="19" t="n">
        <v>11577853.1731</v>
      </c>
      <c r="S10" s="4" t="n">
        <v>0.0069006309148264</v>
      </c>
      <c r="T10" s="4" t="n">
        <v>0.05</v>
      </c>
      <c r="U10" s="16" t="n">
        <v>1.365901561992608</v>
      </c>
      <c r="V10" s="16" t="n">
        <v>0.6284584980237167</v>
      </c>
      <c r="W10" s="4" t="n">
        <v>-0.159645613032295</v>
      </c>
      <c r="X10" s="4" t="n">
        <v>-0.233763074677694</v>
      </c>
      <c r="Y10" s="4" t="n">
        <v>-0.004318793830226708</v>
      </c>
      <c r="Z10" s="4" t="n">
        <v>-0.005252073765828813</v>
      </c>
      <c r="AA10" s="4" t="n">
        <v>0.03</v>
      </c>
      <c r="AB10" s="4" t="n">
        <v>0.05</v>
      </c>
      <c r="AC10" s="4">
        <f>(AB10+2*參數!$B$7)/(AA10+AB10)</f>
        <v/>
      </c>
      <c r="AD10" s="20" t="n">
        <v>46289.91666666666</v>
      </c>
      <c r="AE10" s="2" t="n">
        <v>4</v>
      </c>
      <c r="AF10" s="2" t="n">
        <v>0.1561338289962826</v>
      </c>
      <c r="AG10" s="2" t="n">
        <v>0.02451797191144967</v>
      </c>
      <c r="AH10" s="2" t="n">
        <v>4.966173168506478</v>
      </c>
      <c r="AI10" s="2" t="n">
        <v>0.904438698697042</v>
      </c>
      <c r="AJ10" s="2" t="n">
        <v>0.6129027920687009</v>
      </c>
      <c r="AK10" s="2" t="n">
        <v>0.01988112318097968</v>
      </c>
      <c r="AL10" s="2" t="n">
        <v>0.1597175286083856</v>
      </c>
      <c r="AM10" s="2" t="n">
        <v>80.55034611103964</v>
      </c>
      <c r="AN10" s="2" t="n">
        <v>0.4966887417218537</v>
      </c>
      <c r="AO10" s="2" t="n">
        <v>0.1844798857414902</v>
      </c>
      <c r="AP10" s="2" t="n">
        <v>-0.004434408342318008</v>
      </c>
    </row>
  </sheetData>
  <autoFilter ref="A1:AP10"/>
  <conditionalFormatting sqref="J2:J10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ENA_USDT_PERP</t>
        </is>
      </c>
      <c r="B2" s="2">
        <f>COUNTIFS(交易明細!$B$2:$B$10,$A2)</f>
        <v/>
      </c>
      <c r="C2" s="2">
        <f>COUNTIFS(交易明細!$B$2:$B$10,$A2,交易明細!$C$2:$C$10,"做多")</f>
        <v/>
      </c>
      <c r="D2" s="2">
        <f>COUNTIFS(交易明細!$B$2:$B$10,$A2,交易明細!$C$2:$C$10,"做空")</f>
        <v/>
      </c>
      <c r="E2" s="2">
        <f>F2+G2+COUNTIFS(交易明細!$B$2:$B$10,$A2,交易明細!$J$2:$J$10,"時間出場")</f>
        <v/>
      </c>
      <c r="F2" s="2">
        <f>COUNTIFS(交易明細!$B$2:$B$10,$A2,交易明細!$J$2:$J$10,"止盈")</f>
        <v/>
      </c>
      <c r="G2" s="2">
        <f>COUNTIFS(交易明細!$B$2:$B$10,$A2,交易明細!$J$2:$J$10,"止損")</f>
        <v/>
      </c>
      <c r="H2" s="4">
        <f>IFERROR(F2/E2,0)</f>
        <v/>
      </c>
      <c r="I2" s="4">
        <f>IFERROR(AVERAGEIFS(交易明細!$L$2:$L$10,交易明細!$B$2:$B$10,$A2,交易明細!$J$2:$J$10,"&lt;&gt;未平倉"),0)</f>
        <v/>
      </c>
      <c r="J2" s="4">
        <f>SUMIFS(交易明細!$L$2:$L$10,交易明細!$B$2:$B$10,$A2,交易明細!$J$2:$J$10,"&lt;&gt;未平倉")</f>
        <v/>
      </c>
      <c r="K2" s="5">
        <f>IFERROR(AVERAGEIFS(交易明細!$K$2:$K$10,交易明細!$B$2:$B$10,$A2,交易明細!$J$2:$J$10,"&lt;&gt;未平倉"),0)</f>
        <v/>
      </c>
      <c r="L2" s="2">
        <f>COUNTIFS(交易明細!$B$2:$B$10,$A2,交易明細!$J$2:$J$10,"未平倉")</f>
        <v/>
      </c>
    </row>
    <row r="3">
      <c r="A3" s="2" t="inlineStr">
        <is>
          <t>WLD_USDT_PERP</t>
        </is>
      </c>
      <c r="B3" s="2">
        <f>COUNTIFS(交易明細!$B$2:$B$10,$A3)</f>
        <v/>
      </c>
      <c r="C3" s="2">
        <f>COUNTIFS(交易明細!$B$2:$B$10,$A3,交易明細!$C$2:$C$10,"做多")</f>
        <v/>
      </c>
      <c r="D3" s="2">
        <f>COUNTIFS(交易明細!$B$2:$B$10,$A3,交易明細!$C$2:$C$10,"做空")</f>
        <v/>
      </c>
      <c r="E3" s="2">
        <f>F3+G3+COUNTIFS(交易明細!$B$2:$B$10,$A3,交易明細!$J$2:$J$10,"時間出場")</f>
        <v/>
      </c>
      <c r="F3" s="2">
        <f>COUNTIFS(交易明細!$B$2:$B$10,$A3,交易明細!$J$2:$J$10,"止盈")</f>
        <v/>
      </c>
      <c r="G3" s="2">
        <f>COUNTIFS(交易明細!$B$2:$B$10,$A3,交易明細!$J$2:$J$10,"止損")</f>
        <v/>
      </c>
      <c r="H3" s="4">
        <f>IFERROR(F3/E3,0)</f>
        <v/>
      </c>
      <c r="I3" s="4">
        <f>IFERROR(AVERAGEIFS(交易明細!$L$2:$L$10,交易明細!$B$2:$B$10,$A3,交易明細!$J$2:$J$10,"&lt;&gt;未平倉"),0)</f>
        <v/>
      </c>
      <c r="J3" s="4">
        <f>SUMIFS(交易明細!$L$2:$L$10,交易明細!$B$2:$B$10,$A3,交易明細!$J$2:$J$10,"&lt;&gt;未平倉")</f>
        <v/>
      </c>
      <c r="K3" s="5">
        <f>IFERROR(AVERAGEIFS(交易明細!$K$2:$K$10,交易明細!$B$2:$B$10,$A3,交易明細!$J$2:$J$10,"&lt;&gt;未平倉"),0)</f>
        <v/>
      </c>
      <c r="L3" s="2">
        <f>COUNTIFS(交易明細!$B$2:$B$10,$A3,交易明細!$J$2:$J$10,"未平倉")</f>
        <v/>
      </c>
    </row>
    <row r="4">
      <c r="A4" s="2" t="inlineStr">
        <is>
          <t>SOLV_USDT_PERP</t>
        </is>
      </c>
      <c r="B4" s="2">
        <f>COUNTIFS(交易明細!$B$2:$B$10,$A4)</f>
        <v/>
      </c>
      <c r="C4" s="2">
        <f>COUNTIFS(交易明細!$B$2:$B$10,$A4,交易明細!$C$2:$C$10,"做多")</f>
        <v/>
      </c>
      <c r="D4" s="2">
        <f>COUNTIFS(交易明細!$B$2:$B$10,$A4,交易明細!$C$2:$C$10,"做空")</f>
        <v/>
      </c>
      <c r="E4" s="2">
        <f>F4+G4+COUNTIFS(交易明細!$B$2:$B$10,$A4,交易明細!$J$2:$J$10,"時間出場")</f>
        <v/>
      </c>
      <c r="F4" s="2">
        <f>COUNTIFS(交易明細!$B$2:$B$10,$A4,交易明細!$J$2:$J$10,"止盈")</f>
        <v/>
      </c>
      <c r="G4" s="2">
        <f>COUNTIFS(交易明細!$B$2:$B$10,$A4,交易明細!$J$2:$J$10,"止損")</f>
        <v/>
      </c>
      <c r="H4" s="4">
        <f>IFERROR(F4/E4,0)</f>
        <v/>
      </c>
      <c r="I4" s="4">
        <f>IFERROR(AVERAGEIFS(交易明細!$L$2:$L$10,交易明細!$B$2:$B$10,$A4,交易明細!$J$2:$J$10,"&lt;&gt;未平倉"),0)</f>
        <v/>
      </c>
      <c r="J4" s="4">
        <f>SUMIFS(交易明細!$L$2:$L$10,交易明細!$B$2:$B$10,$A4,交易明細!$J$2:$J$10,"&lt;&gt;未平倉")</f>
        <v/>
      </c>
      <c r="K4" s="5">
        <f>IFERROR(AVERAGEIFS(交易明細!$K$2:$K$10,交易明細!$B$2:$B$10,$A4,交易明細!$J$2:$J$10,"&lt;&gt;未平倉"),0)</f>
        <v/>
      </c>
      <c r="L4" s="2">
        <f>COUNTIFS(交易明細!$B$2:$B$10,$A4,交易明細!$J$2:$J$10,"未平倉")</f>
        <v/>
      </c>
    </row>
    <row r="5">
      <c r="A5" s="2" t="inlineStr">
        <is>
          <t>SAGA_USDT_PERP</t>
        </is>
      </c>
      <c r="B5" s="2">
        <f>COUNTIFS(交易明細!$B$2:$B$10,$A5)</f>
        <v/>
      </c>
      <c r="C5" s="2">
        <f>COUNTIFS(交易明細!$B$2:$B$10,$A5,交易明細!$C$2:$C$10,"做多")</f>
        <v/>
      </c>
      <c r="D5" s="2">
        <f>COUNTIFS(交易明細!$B$2:$B$10,$A5,交易明細!$C$2:$C$10,"做空")</f>
        <v/>
      </c>
      <c r="E5" s="2">
        <f>F5+G5+COUNTIFS(交易明細!$B$2:$B$10,$A5,交易明細!$J$2:$J$10,"時間出場")</f>
        <v/>
      </c>
      <c r="F5" s="2">
        <f>COUNTIFS(交易明細!$B$2:$B$10,$A5,交易明細!$J$2:$J$10,"止盈")</f>
        <v/>
      </c>
      <c r="G5" s="2">
        <f>COUNTIFS(交易明細!$B$2:$B$10,$A5,交易明細!$J$2:$J$10,"止損")</f>
        <v/>
      </c>
      <c r="H5" s="4">
        <f>IFERROR(F5/E5,0)</f>
        <v/>
      </c>
      <c r="I5" s="4">
        <f>IFERROR(AVERAGEIFS(交易明細!$L$2:$L$10,交易明細!$B$2:$B$10,$A5,交易明細!$J$2:$J$10,"&lt;&gt;未平倉"),0)</f>
        <v/>
      </c>
      <c r="J5" s="4">
        <f>SUMIFS(交易明細!$L$2:$L$10,交易明細!$B$2:$B$10,$A5,交易明細!$J$2:$J$10,"&lt;&gt;未平倉")</f>
        <v/>
      </c>
      <c r="K5" s="5">
        <f>IFERROR(AVERAGEIFS(交易明細!$K$2:$K$10,交易明細!$B$2:$B$10,$A5,交易明細!$J$2:$J$10,"&lt;&gt;未平倉"),0)</f>
        <v/>
      </c>
      <c r="L5" s="2">
        <f>COUNTIFS(交易明細!$B$2:$B$10,$A5,交易明細!$J$2:$J$10,"未平倉")</f>
        <v/>
      </c>
    </row>
    <row r="6">
      <c r="A6" s="2" t="inlineStr">
        <is>
          <t>MARSCOIN_USDT_PERP</t>
        </is>
      </c>
      <c r="B6" s="2">
        <f>COUNTIFS(交易明細!$B$2:$B$10,$A6)</f>
        <v/>
      </c>
      <c r="C6" s="2">
        <f>COUNTIFS(交易明細!$B$2:$B$10,$A6,交易明細!$C$2:$C$10,"做多")</f>
        <v/>
      </c>
      <c r="D6" s="2">
        <f>COUNTIFS(交易明細!$B$2:$B$10,$A6,交易明細!$C$2:$C$10,"做空")</f>
        <v/>
      </c>
      <c r="E6" s="2">
        <f>F6+G6+COUNTIFS(交易明細!$B$2:$B$10,$A6,交易明細!$J$2:$J$10,"時間出場")</f>
        <v/>
      </c>
      <c r="F6" s="2">
        <f>COUNTIFS(交易明細!$B$2:$B$10,$A6,交易明細!$J$2:$J$10,"止盈")</f>
        <v/>
      </c>
      <c r="G6" s="2">
        <f>COUNTIFS(交易明細!$B$2:$B$10,$A6,交易明細!$J$2:$J$10,"止損")</f>
        <v/>
      </c>
      <c r="H6" s="4">
        <f>IFERROR(F6/E6,0)</f>
        <v/>
      </c>
      <c r="I6" s="4">
        <f>IFERROR(AVERAGEIFS(交易明細!$L$2:$L$10,交易明細!$B$2:$B$10,$A6,交易明細!$J$2:$J$10,"&lt;&gt;未平倉"),0)</f>
        <v/>
      </c>
      <c r="J6" s="4">
        <f>SUMIFS(交易明細!$L$2:$L$10,交易明細!$B$2:$B$10,$A6,交易明細!$J$2:$J$10,"&lt;&gt;未平倉")</f>
        <v/>
      </c>
      <c r="K6" s="5">
        <f>IFERROR(AVERAGEIFS(交易明細!$K$2:$K$10,交易明細!$B$2:$B$10,$A6,交易明細!$J$2:$J$10,"&lt;&gt;未平倉"),0)</f>
        <v/>
      </c>
      <c r="L6" s="2">
        <f>COUNTIFS(交易明細!$B$2:$B$10,$A6,交易明細!$J$2:$J$10,"未平倉")</f>
        <v/>
      </c>
    </row>
    <row r="7">
      <c r="A7" s="2" t="inlineStr">
        <is>
          <t>PENGU_USDT_PERP</t>
        </is>
      </c>
      <c r="B7" s="2">
        <f>COUNTIFS(交易明細!$B$2:$B$10,$A7)</f>
        <v/>
      </c>
      <c r="C7" s="2">
        <f>COUNTIFS(交易明細!$B$2:$B$10,$A7,交易明細!$C$2:$C$10,"做多")</f>
        <v/>
      </c>
      <c r="D7" s="2">
        <f>COUNTIFS(交易明細!$B$2:$B$10,$A7,交易明細!$C$2:$C$10,"做空")</f>
        <v/>
      </c>
      <c r="E7" s="2">
        <f>F7+G7+COUNTIFS(交易明細!$B$2:$B$10,$A7,交易明細!$J$2:$J$10,"時間出場")</f>
        <v/>
      </c>
      <c r="F7" s="2">
        <f>COUNTIFS(交易明細!$B$2:$B$10,$A7,交易明細!$J$2:$J$10,"止盈")</f>
        <v/>
      </c>
      <c r="G7" s="2">
        <f>COUNTIFS(交易明細!$B$2:$B$10,$A7,交易明細!$J$2:$J$10,"止損")</f>
        <v/>
      </c>
      <c r="H7" s="4">
        <f>IFERROR(F7/E7,0)</f>
        <v/>
      </c>
      <c r="I7" s="4">
        <f>IFERROR(AVERAGEIFS(交易明細!$L$2:$L$10,交易明細!$B$2:$B$10,$A7,交易明細!$J$2:$J$10,"&lt;&gt;未平倉"),0)</f>
        <v/>
      </c>
      <c r="J7" s="4">
        <f>SUMIFS(交易明細!$L$2:$L$10,交易明細!$B$2:$B$10,$A7,交易明細!$J$2:$J$10,"&lt;&gt;未平倉")</f>
        <v/>
      </c>
      <c r="K7" s="5">
        <f>IFERROR(AVERAGEIFS(交易明細!$K$2:$K$10,交易明細!$B$2:$B$10,$A7,交易明細!$J$2:$J$10,"&lt;&gt;未平倉"),0)</f>
        <v/>
      </c>
      <c r="L7" s="2">
        <f>COUNTIFS(交易明細!$B$2:$B$10,$A7,交易明細!$J$2:$J$10,"未平倉")</f>
        <v/>
      </c>
    </row>
    <row r="8">
      <c r="A8" s="2" t="inlineStr">
        <is>
          <t>BONK_USDT_PERP</t>
        </is>
      </c>
      <c r="B8" s="2">
        <f>COUNTIFS(交易明細!$B$2:$B$10,$A8)</f>
        <v/>
      </c>
      <c r="C8" s="2">
        <f>COUNTIFS(交易明細!$B$2:$B$10,$A8,交易明細!$C$2:$C$10,"做多")</f>
        <v/>
      </c>
      <c r="D8" s="2">
        <f>COUNTIFS(交易明細!$B$2:$B$10,$A8,交易明細!$C$2:$C$10,"做空")</f>
        <v/>
      </c>
      <c r="E8" s="2">
        <f>F8+G8+COUNTIFS(交易明細!$B$2:$B$10,$A8,交易明細!$J$2:$J$10,"時間出場")</f>
        <v/>
      </c>
      <c r="F8" s="2">
        <f>COUNTIFS(交易明細!$B$2:$B$10,$A8,交易明細!$J$2:$J$10,"止盈")</f>
        <v/>
      </c>
      <c r="G8" s="2">
        <f>COUNTIFS(交易明細!$B$2:$B$10,$A8,交易明細!$J$2:$J$10,"止損")</f>
        <v/>
      </c>
      <c r="H8" s="4">
        <f>IFERROR(F8/E8,0)</f>
        <v/>
      </c>
      <c r="I8" s="4">
        <f>IFERROR(AVERAGEIFS(交易明細!$L$2:$L$10,交易明細!$B$2:$B$10,$A8,交易明細!$J$2:$J$10,"&lt;&gt;未平倉"),0)</f>
        <v/>
      </c>
      <c r="J8" s="4">
        <f>SUMIFS(交易明細!$L$2:$L$10,交易明細!$B$2:$B$10,$A8,交易明細!$J$2:$J$10,"&lt;&gt;未平倉")</f>
        <v/>
      </c>
      <c r="K8" s="5">
        <f>IFERROR(AVERAGEIFS(交易明細!$K$2:$K$10,交易明細!$B$2:$B$10,$A8,交易明細!$J$2:$J$10,"&lt;&gt;未平倉"),0)</f>
        <v/>
      </c>
      <c r="L8" s="2">
        <f>COUNTIFS(交易明細!$B$2:$B$10,$A8,交易明細!$J$2:$J$10,"未平倉")</f>
        <v/>
      </c>
    </row>
    <row r="9">
      <c r="A9" s="2" t="inlineStr">
        <is>
          <t>ONDO_USDT_PERP</t>
        </is>
      </c>
      <c r="B9" s="2">
        <f>COUNTIFS(交易明細!$B$2:$B$10,$A9)</f>
        <v/>
      </c>
      <c r="C9" s="2">
        <f>COUNTIFS(交易明細!$B$2:$B$10,$A9,交易明細!$C$2:$C$10,"做多")</f>
        <v/>
      </c>
      <c r="D9" s="2">
        <f>COUNTIFS(交易明細!$B$2:$B$10,$A9,交易明細!$C$2:$C$10,"做空")</f>
        <v/>
      </c>
      <c r="E9" s="2">
        <f>F9+G9+COUNTIFS(交易明細!$B$2:$B$10,$A9,交易明細!$J$2:$J$10,"時間出場")</f>
        <v/>
      </c>
      <c r="F9" s="2">
        <f>COUNTIFS(交易明細!$B$2:$B$10,$A9,交易明細!$J$2:$J$10,"止盈")</f>
        <v/>
      </c>
      <c r="G9" s="2">
        <f>COUNTIFS(交易明細!$B$2:$B$10,$A9,交易明細!$J$2:$J$10,"止損")</f>
        <v/>
      </c>
      <c r="H9" s="4">
        <f>IFERROR(F9/E9,0)</f>
        <v/>
      </c>
      <c r="I9" s="4">
        <f>IFERROR(AVERAGEIFS(交易明細!$L$2:$L$10,交易明細!$B$2:$B$10,$A9,交易明細!$J$2:$J$10,"&lt;&gt;未平倉"),0)</f>
        <v/>
      </c>
      <c r="J9" s="4">
        <f>SUMIFS(交易明細!$L$2:$L$10,交易明細!$B$2:$B$10,$A9,交易明細!$J$2:$J$10,"&lt;&gt;未平倉")</f>
        <v/>
      </c>
      <c r="K9" s="5">
        <f>IFERROR(AVERAGEIFS(交易明細!$K$2:$K$10,交易明細!$B$2:$B$10,$A9,交易明細!$J$2:$J$10,"&lt;&gt;未平倉"),0)</f>
        <v/>
      </c>
      <c r="L9" s="2">
        <f>COUNTIFS(交易明細!$B$2:$B$10,$A9,交易明細!$J$2:$J$10,"未平倉")</f>
        <v/>
      </c>
    </row>
  </sheetData>
  <autoFilter ref="A1:L9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AGLD_USDT_PERP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AGT_USDT_PERP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AIA_USDT_PERP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AIGENSYN_USDT_PERP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AIN_USDT_PERP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AIO_USDT_PERP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AIXBT_USDT_PERP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AKE_USDT_PERP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AKT_USDT_PERP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ALCH_USDT_PERP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ALGO_USDT_PERP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ALLO_USDT_PERP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ALL_USDT_PERP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ALT_USDT_PERP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ANIME_USDT_PERP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ANTHROPIC_USDT_PERP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APE_USDT_PERP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API3_USDT_PERP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APR_USDT_PERP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APT_USDT_PERP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ARB_USDT_PERP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ARC_USDT_PERP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ARIA_USDT_PERP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ARKM_USDT_PERP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ARPA_USDT_PERP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ARX_USDT_PERP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ASTER_USDT_PERP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ASTR_USDT_PERP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ATH_USDT_PERP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ATOM_USDT_PERP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AT_USDT_PERP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AUCTION_USDT_PERP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AVAX_USDT_PERP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AVNT_USDT_PERP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AWE_USDT_PERP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AXL_USDT_PERP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AXS_USDT_PERP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A_USDT_PERP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BABY_USDT_PERP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BANANAS31_USDT_PERP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BANANA_USDT_PERP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BAND_USDT_PERP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BANK_USDT_PERP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BAN_USDT_PERP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BARD_USDT_PERP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BASED_USDT_PERP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BAS_USDT_PERP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BAT_USDT_PERP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BB_USDT_PERP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BCH_USDT_PERP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BEAMX_USDT_PERP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BEAT_USDT_PERP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BEL_USDT_PERP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BERA_USDT_PERP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BEX_USDT_PERP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BICO_USDT_PERP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BILL_USDT_PERP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BIO_USDT_PERP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BIRB_USDT_PERP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BLEND_USDT_PERP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BLESS_USDT_PERP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BLUAI_USDT_PERP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BLUR_USDT_PERP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BNB_USDT_PERP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BOME_USDT_PERP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BONK_USDT_PERP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BRENTOIL_USDT_PERP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BRETT_USDT_PERP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BREV_USDT_PERP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BROCCOLI_USDT_PERP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BR_USDT_PERP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BSB_USDT_PERP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BSV_USDT_PERP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BTC_USDT_PERP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BTR_USDT_PERP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BTW_USDT_PERP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BULLA_USDT_PERP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B_USDT_PERP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CAKE_USDT_PERP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CAP_USDT_PERP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CASHCAT_USDT_PERP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CATI_USDT_PERP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CBRS_USDT_PERP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CC_USDT_PERP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CETUS_USDT_PERP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CFG_USDT_PERP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CFX_USDT_PERP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CF_USDT_PERP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CHIP_USDT_PERP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CHZ_USDT_PERP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CKB_USDT_PERP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CLANKER_USDT_PERP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CLO_USDT_PERP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COAI_USDT_PERP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COLLECT_USDT_PERP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COMP_USDT_PERP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COOKIE_USDT_PERP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COTI_USDT_PERP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CROSS_USDT_PERP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CRO_USDT_PERP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CRV_USDT_PERP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CTR_USDT_PERP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CVX_USDT_PERP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CYS_USDT_PERP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DASH_USDT_PERP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DATA_USDT_PERP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DODO_USDT_PERP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DOGE_USDT_PERP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DOGS_USDT_PERP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DOLO_USDT_PERP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DOS_USDT_PERP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DOT_USDT_PERP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DRIFT_USDT_PERP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DUSK_USDT_PERP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DYM_USDT_PERP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EDEN_USDT_PERP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EDGE_USDT_PERP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EDU_USDT_PERP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EGLD_USDT_PERP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EIGEN_USDT_PERP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ELSA_USDT_PERP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ENA_USDT_PERP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ENJ_USDT_PERP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ENSO_USDT_PERP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ENS_USDT_PERP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ESP_USDT_PERP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ETC_USDT_PERP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ETHFI_USDT_PERP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ETH_USDT_PERP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EUL_USDT_PERP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EVAA_USDT_PERP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FARTCOIN_USDT_PERP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FET_USDT_PERP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FF_USDT_PERP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FHE_USDT_PERP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FIGHT_USDT_PERP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FIL_USDT_PERP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FLOKI_USDT_PERP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FLUID_USDT_PERP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FOGO_USDT_PERP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FOLKS_USDT_PERP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GALA_USDT_PERP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GAS_USDT_PERP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GENIUS_USDT_PERP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GIGGLE_USDT_PERP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GMX_USDT_PERP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GOAT_USDT_PERP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GPS_USDT_PERP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GRAM_USDT_PERP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GRASS_USDT_PERP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GRIFFAIN_USDT_PERP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GRVT_USDT_PERP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GUA_USDT_PERP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GUN_USDT_PERP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GWEI_USDT_PERP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HAEDAL_USDT_PERP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HANA_USDT_PERP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HBAR_USDT_PERP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HEMI_USDT_PERP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HMSTR_USDT_PERP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HOLO_USDT_PERP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HOME_USDT_PERP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HUMA_USDT_PERP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HYPE_USDT_PERP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HYUNDAI_USDT_PERP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H_USDT_PERP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ICNT_USDT_PERP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ICP_USDT_PERP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IDOL_USDT_PERP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IMX_USDT_PERP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INIT_USDT_PERP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INJ_USDT_PERP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INX_USDT_PERP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IN_USDT_PERP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IOST_USDT_PERP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IOTA_USDT_PERP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IO_USDT_PERP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IRYS_USDT_PERP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JASMY_USDT_PERP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JELLYJELLY_USDT_PERP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JTO_USDT_PERP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JUP_USDT_PERP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KAIA_USDT_PERP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KAITO_USDT_PERP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KAS_USDT_PERP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KAT_USDT_PERP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KAVA_USDT_PERP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KERNEL_USDT_PERP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KGEN_USDT_PERP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KIOXIA_USDT_PERP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KITE_USDT_PERP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KMNO_USDT_PERP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KNC_USDT_PERP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LAB_USDT_PERP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LAYER_USDT_PERP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LDO_USDT_PERP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LIGHT_USDT_PERP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LINEA_USDT_PERP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LINK_USDT_PERP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LISTA_USDT_PERP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LIT_USDT_PERP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LPT_USDT_PERP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LRC_USDT_PERP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LSK_USDT_PERP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LTC_USDT_PERP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LUNA2_USDT_PERP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LUNC_USDT_PERP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LYN_USDT_PERP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MAGIC_USDT_PERP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MAGMA_USDT_PERP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MANTA_USDT_PERP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MANTRA_USDT_PERP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MARSCOIN_USDT_PERP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MASK_USDT_PERP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MAV_USDT_PERP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MEGA_USDT_PERP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MELANIA_USDT_PERP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MEME_USDT_PERP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MERL_USDT_PERP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METIS_USDT_PERP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MET_USDT_PERP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MEW_USDT_PERP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ME_USDT_PERP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MITO_USDT_PERP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MMT_USDT_PERP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MNT_USDT_PERP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MON_USDT_PERP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MOODENG_USDT_PERP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MOONSHOT_USDT_PERP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MOVE_USDT_PERP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MOVR_USDT_PERP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MPX_USDT_PERP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MUBARAK_USDT_PERP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MUX_USDT_PERP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MYX_USDT_PERP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NAORIS_USDT_PERP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NEAR_USDT_PERP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NEIRO_USDT_PERP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NEO_USDT_PERP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NIGHT_USDT_PERP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NIL_USDT_PERP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NMR_USDT_PERP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NOM_USDT_PERP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NOT_USDT_PERP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NXPC_USDT_PERP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OFC_USDT_PERP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OGN_USDT_PERP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OKB_USDT_PERP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ONDO_USDT_PERP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ONG_USDT_PERP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ONT_USDT_PERP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ONX_USDT_PERP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OPENAI_USDT_PERP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OPEN_USDT_PERP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OPG_USDT_PERP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OPN_USDT_PERP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OP_USDT_PERP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ORCA_USDT_PERP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ORDER_USDT_PERP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ORDI_USDT_PERP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O_USDT_PERP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PARTI_USDT_PERP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PENDLE_USDT_PERP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PENGU_USDT_PERP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PEOPLE_USDT_PERP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PEPE_USDT_PERP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PHA_USDT_PERP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PIEVERSE_USDT_PERP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PIPPIN_USDT_PERP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PIXEL_USDT_PERP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PI_USDT_PERP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PLAY_USDT_PERP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PLUME_USDT_PERP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PNUT_USDT_PERP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POLYX_USDT_PERP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PONS_USDT_PERP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POPCAT_USDT_PERP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PORTAL_USDT_PERP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POWER_USDT_PERP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POWR_USDT_PERP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PRL_USDT_PERP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PROMPT_USDT_PERP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PROS_USDT_PERP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PROVE_USDT_PERP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PTB_USDT_PERP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PUMP_USDT_PERP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PYTH_USDT_PERP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QNT_USDT_PERP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QTUM_USDT_PERP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Q_USDT_PERP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RARE_USDT_PERP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RATS_USDT_PERP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RAVE_USDT_PERP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RAY_USDT_PERP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RECALL_USDT_PERP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RENDER_USDT_PERP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RESOLV_USDT_PERP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REZ_USDT_PERP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RIF_USDT_PERP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RIVER_USDT_PERP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ROBO_USDT_PERP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ROSE_USDT_PERP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RSR_USDT_PERP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RUNE_USDT_PERP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SAGA_USDT_PERP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SAHARA_USDT_PERP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SAND_USDT_PERP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SAPIEN_USDT_PERP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SEI_USDT_PERP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SENT_USDT_PERP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SFP_USDT_PERP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SHELL_USDT_PERP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SHIB_USDT_PERP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SIREN_USDT_PERP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SKL_USDT_PERP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SKR_USDT_PERP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SKYAI_USDT_PERP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SKY_USDT_PERP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SLP_USDT_PERP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SLX_USDT_PERP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SNX_USDT_PERP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SOLV_USDT_PERP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SOL_USDT_PERP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SOMI_USDT_PERP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SOON_USDT_PERP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SPACE_USDT_PERP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SPELL_USDT_PERP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SPK_USDT_PERP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SPORTFUN_USDT_PERP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SPX_USDT_PERP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SQD_USDT_PERP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SSV_USDT_PERP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STABLE_USDT_PERP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STAR_USDT_PERP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STBL_USDT_PERP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STG_USDT_PERP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STO_USDT_PERP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STRK_USDT_PERP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STX_USDT_PERP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SUI_USDT_PERP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SUN_USDT_PERP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SUPER_USDT_PERP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SUSHI_USDT_PERP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SXT_USDT_PERP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SYRUP_USDT_PERP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S_USDT_PERP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TAC_USDT_PERP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TAKE_USDT_PERP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TAO_USDT_PERP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TA_USDT_PERP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THETA_USDT_PERP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THE_USDT_PERP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TLM_USDT_PERP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TNSR_USDT_PERP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TOSHI_USDT_PERP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TOWNS_USDT_PERP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TRADOOR_USDT_PERP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TRB_USDT_PERP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TREE_USDT_PERP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TRIA_USDT_PERP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TRUMP_USDT_PERP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TRUST_USDT_PERP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TRUTH_USDT_PERP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TRX_USDT_PERP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TST_USDT_PERP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TURBO_USDT_PERP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TURTLE_USDT_PERP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TUT_USDT_PERP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TWT_USDT_PERP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UAI_USDT_PERP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UB_USDT_PERP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UNI_USDT_PERP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UP_USDT_PERP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USELESS_USDT_PERP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USTC_USDT_PERP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USUAL_USDT_PERP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US_USDT_PERP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VELODROME_USDT_PERP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VET_USDT_PERP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VIRTUAL_USDT_PERP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VVV_USDT_PERP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WAL_USDT_PERP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WCT_USDT_PERP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WIF_USDT_PERP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WLD_USDT_PERP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WLFI_USDT_PERP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WTI_USDT_PERP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W_USDT_PERP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XAI_USDT_PERP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XAN_USDT_PERP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XEC_USDT_PERP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XLM_USDT_PERP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XMR_USDT_PERP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XNY_USDT_PERP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XPIN_USDT_PERP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XPL_USDT_PERP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XRP_USDT_PERP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XTZ_USDT_PERP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XVG_USDT_PERP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XYZX_USDT_PERP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YB_USDT_PERP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YFI_USDT_PERP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YGG_USDT_PERP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ZAMA_USDT_PERP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ZBT_USDT_PERP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ZEN_USDT_PERP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ZEREBRO_USDT_PERP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ZEST_USDT_PERP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ZETA_USDT_PERP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ZIL_USDT_PERP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ZKP_USDT_PERP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ZKSYNC_USDT_PERP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ZORA_USDT_PERP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ZRO_USDT_PERP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ZRX_USDT_PERP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哈基米_USDT_PERP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币安人生_USDT_PERP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  <row r="443">
      <c r="A443" s="2" t="inlineStr">
        <is>
          <t>我踏马来了_USDT_PERP</t>
        </is>
      </c>
      <c r="B443" s="2" t="inlineStr">
        <is>
          <t>已掃描</t>
        </is>
      </c>
      <c r="C443" s="2" t="inlineStr"/>
      <c r="D443" s="2" t="n"/>
      <c r="E443" s="17" t="n"/>
      <c r="F443" s="17" t="n"/>
      <c r="G443" s="2" t="n"/>
      <c r="H443" s="2" t="n"/>
    </row>
    <row r="444">
      <c r="A444" s="2" t="inlineStr">
        <is>
          <t>牛来_USDT_PERP</t>
        </is>
      </c>
      <c r="B444" s="2" t="inlineStr">
        <is>
          <t>已掃描</t>
        </is>
      </c>
      <c r="C444" s="2" t="inlineStr"/>
      <c r="D444" s="2" t="n"/>
      <c r="E444" s="17" t="n"/>
      <c r="F444" s="17" t="n"/>
      <c r="G444" s="2" t="n"/>
      <c r="H444" s="2" t="n"/>
    </row>
  </sheetData>
  <autoFilter ref="A1:H44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2026-09-25T18:45:00Z</dcterms:created>
  <dcterms:modified xsi:type="dcterms:W3CDTF">2026-09-25T18:45:00Z</dcterms:modified>
</cp:coreProperties>
</file>