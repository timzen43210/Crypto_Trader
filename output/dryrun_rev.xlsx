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'資金明細'!$A$1:$Z$10</definedName>
    <definedName name="_xlnm._FilterDatabase" localSheetId="5" hidden="1">'交易明細'!$A$1:$AP$5</definedName>
    <definedName name="_xlnm._FilterDatabase" localSheetId="6" hidden="1">'幣種統計'!$A$1:$L$5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2026-09-16 19:45（Dry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COUNTIFS(交易明細!$B$2:$B$5,"&lt;&gt;")</f>
        <v/>
      </c>
      <c r="C5" s="2">
        <f>D5+E5+F5</f>
        <v/>
      </c>
      <c r="D5" s="2">
        <f>COUNTIFS(交易明細!$J$2:$J$5,"止盈")</f>
        <v/>
      </c>
      <c r="E5" s="2">
        <f>COUNTIFS(交易明細!$J$2:$J$5,"止損")</f>
        <v/>
      </c>
      <c r="F5" s="2">
        <f>COUNTIFS(交易明細!$J$2:$J$5,"時間出場")</f>
        <v/>
      </c>
      <c r="G5" s="2">
        <f>COUNTIFS(交易明細!$J$2:$J$5,"未平倉")</f>
        <v/>
      </c>
      <c r="H5" s="4">
        <f>IFERROR(D5/C5,0)</f>
        <v/>
      </c>
      <c r="I5" s="4">
        <f>IFERROR(AVERAGEIFS(交易明細!$AC$2:$AC$5,交易明細!$J$2:$J$5,"&lt;&gt;未平倉"),參數!$B$16)</f>
        <v/>
      </c>
      <c r="J5" s="4">
        <f>IFERROR(AVERAGEIFS(交易明細!$L$2:$L$5,交易明細!$J$2:$J$5,"&lt;&gt;未平倉"),0)</f>
        <v/>
      </c>
      <c r="K5" s="4">
        <f>SUMIFS(交易明細!$L$2:$L$5,交易明細!$J$2:$J$5,"&lt;&gt;未平倉")</f>
        <v/>
      </c>
      <c r="L5" s="5">
        <f>IFERROR(AVERAGEIFS(交易明細!$K$2:$K$5,交易明細!$J$2:$J$5,"&lt;&gt;未平倉"),0)</f>
        <v/>
      </c>
      <c r="M5" s="5">
        <f>IFERROR(AVERAGEIFS(交易明細!$K$2:$K$5,交易明細!$J$2:$J$5,"止盈"),0)</f>
        <v/>
      </c>
      <c r="N5" s="5">
        <f>IFERROR(AVERAGEIFS(交易明細!$K$2:$K$5,交易明細!$J$2:$J$5,"止損"),0)</f>
        <v/>
      </c>
      <c r="O5" s="4">
        <f>IFERROR(AVERAGEIFS(交易明細!$L$2:$L$5,交易明細!$J$2:$J$5,"時間出場"),0)</f>
        <v/>
      </c>
      <c r="P5" s="4">
        <f>IFERROR(COUNTIFS(交易明細!$J$2:$J$5,"&lt;&gt;未平倉",交易明細!$L$2:$L$5,"&gt;0")/C5,0)</f>
        <v/>
      </c>
    </row>
    <row r="6">
      <c r="A6" s="2" t="inlineStr">
        <is>
          <t>做多</t>
        </is>
      </c>
      <c r="B6" s="2">
        <f>COUNTIFS(交易明細!$C$2:$C$5,"做多",交易明細!$B$2:$B$5,"&lt;&gt;")</f>
        <v/>
      </c>
      <c r="C6" s="2">
        <f>D6+E6+F6</f>
        <v/>
      </c>
      <c r="D6" s="2">
        <f>COUNTIFS(交易明細!$C$2:$C$5,"做多",交易明細!$J$2:$J$5,"止盈")</f>
        <v/>
      </c>
      <c r="E6" s="2">
        <f>COUNTIFS(交易明細!$C$2:$C$5,"做多",交易明細!$J$2:$J$5,"止損")</f>
        <v/>
      </c>
      <c r="F6" s="2">
        <f>COUNTIFS(交易明細!$C$2:$C$5,"做多",交易明細!$J$2:$J$5,"時間出場")</f>
        <v/>
      </c>
      <c r="G6" s="2">
        <f>COUNTIFS(交易明細!$C$2:$C$5,"做多",交易明細!$J$2:$J$5,"未平倉")</f>
        <v/>
      </c>
      <c r="H6" s="4">
        <f>IFERROR(D6/C6,0)</f>
        <v/>
      </c>
      <c r="I6" s="4">
        <f>IFERROR(AVERAGEIFS(交易明細!$AC$2:$AC$5,交易明細!$C$2:$C$5,"做多",交易明細!$J$2:$J$5,"&lt;&gt;未平倉"),參數!$B$16)</f>
        <v/>
      </c>
      <c r="J6" s="4">
        <f>IFERROR(AVERAGEIFS(交易明細!$L$2:$L$5,交易明細!$C$2:$C$5,"做多",交易明細!$J$2:$J$5,"&lt;&gt;未平倉"),0)</f>
        <v/>
      </c>
      <c r="K6" s="4">
        <f>SUMIFS(交易明細!$L$2:$L$5,交易明細!$C$2:$C$5,"做多",交易明細!$J$2:$J$5,"&lt;&gt;未平倉")</f>
        <v/>
      </c>
      <c r="L6" s="5">
        <f>IFERROR(AVERAGEIFS(交易明細!$K$2:$K$5,交易明細!$C$2:$C$5,"做多",交易明細!$J$2:$J$5,"&lt;&gt;未平倉"),0)</f>
        <v/>
      </c>
      <c r="M6" s="5">
        <f>IFERROR(AVERAGEIFS(交易明細!$K$2:$K$5,交易明細!$C$2:$C$5,"做多",交易明細!$J$2:$J$5,"止盈"),0)</f>
        <v/>
      </c>
      <c r="N6" s="5">
        <f>IFERROR(AVERAGEIFS(交易明細!$K$2:$K$5,交易明細!$C$2:$C$5,"做多",交易明細!$J$2:$J$5,"止損"),0)</f>
        <v/>
      </c>
      <c r="O6" s="4">
        <f>IFERROR(AVERAGEIFS(交易明細!$L$2:$L$5,交易明細!$C$2:$C$5,"做多",交易明細!$J$2:$J$5,"時間出場"),0)</f>
        <v/>
      </c>
      <c r="P6" s="4">
        <f>IFERROR(COUNTIFS(交易明細!$C$2:$C$5,"做多",交易明細!$J$2:$J$5,"&lt;&gt;未平倉",交易明細!$L$2:$L$5,"&gt;0")/C6,0)</f>
        <v/>
      </c>
    </row>
    <row r="7">
      <c r="A7" s="2" t="inlineStr">
        <is>
          <t>做空</t>
        </is>
      </c>
      <c r="B7" s="2">
        <f>COUNTIFS(交易明細!$C$2:$C$5,"做空",交易明細!$B$2:$B$5,"&lt;&gt;")</f>
        <v/>
      </c>
      <c r="C7" s="2">
        <f>D7+E7+F7</f>
        <v/>
      </c>
      <c r="D7" s="2">
        <f>COUNTIFS(交易明細!$C$2:$C$5,"做空",交易明細!$J$2:$J$5,"止盈")</f>
        <v/>
      </c>
      <c r="E7" s="2">
        <f>COUNTIFS(交易明細!$C$2:$C$5,"做空",交易明細!$J$2:$J$5,"止損")</f>
        <v/>
      </c>
      <c r="F7" s="2">
        <f>COUNTIFS(交易明細!$C$2:$C$5,"做空",交易明細!$J$2:$J$5,"時間出場")</f>
        <v/>
      </c>
      <c r="G7" s="2">
        <f>COUNTIFS(交易明細!$C$2:$C$5,"做空",交易明細!$J$2:$J$5,"未平倉")</f>
        <v/>
      </c>
      <c r="H7" s="4">
        <f>IFERROR(D7/C7,0)</f>
        <v/>
      </c>
      <c r="I7" s="4">
        <f>IFERROR(AVERAGEIFS(交易明細!$AC$2:$AC$5,交易明細!$C$2:$C$5,"做空",交易明細!$J$2:$J$5,"&lt;&gt;未平倉"),參數!$B$16)</f>
        <v/>
      </c>
      <c r="J7" s="4">
        <f>IFERROR(AVERAGEIFS(交易明細!$L$2:$L$5,交易明細!$C$2:$C$5,"做空",交易明細!$J$2:$J$5,"&lt;&gt;未平倉"),0)</f>
        <v/>
      </c>
      <c r="K7" s="4">
        <f>SUMIFS(交易明細!$L$2:$L$5,交易明細!$C$2:$C$5,"做空",交易明細!$J$2:$J$5,"&lt;&gt;未平倉")</f>
        <v/>
      </c>
      <c r="L7" s="5">
        <f>IFERROR(AVERAGEIFS(交易明細!$K$2:$K$5,交易明細!$C$2:$C$5,"做空",交易明細!$J$2:$J$5,"&lt;&gt;未平倉"),0)</f>
        <v/>
      </c>
      <c r="M7" s="5">
        <f>IFERROR(AVERAGEIFS(交易明細!$K$2:$K$5,交易明細!$C$2:$C$5,"做空",交易明細!$J$2:$J$5,"止盈"),0)</f>
        <v/>
      </c>
      <c r="N7" s="5">
        <f>IFERROR(AVERAGEIFS(交易明細!$K$2:$K$5,交易明細!$C$2:$C$5,"做空",交易明細!$J$2:$J$5,"止損"),0)</f>
        <v/>
      </c>
      <c r="O7" s="4">
        <f>IFERROR(AVERAGEIFS(交易明細!$L$2:$L$5,交易明細!$C$2:$C$5,"做空",交易明細!$J$2:$J$5,"時間出場"),0)</f>
        <v/>
      </c>
      <c r="P7" s="4">
        <f>IFERROR(COUNTIFS(交易明細!$C$2:$C$5,"做空",交易明細!$J$2:$J$5,"&lt;&gt;未平倉",交易明細!$L$2:$L$5,"&gt;0")/C7,0)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46281.82298537037</v>
      </c>
      <c r="B2" s="7" t="n">
        <v>46281.75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65.7</v>
      </c>
    </row>
    <row r="3">
      <c r="A3" s="7" t="n">
        <v>46281.58829054398</v>
      </c>
      <c r="B3" s="7" t="n">
        <v>46281.54166666666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54.5</v>
      </c>
    </row>
    <row r="4">
      <c r="A4" s="7" t="n">
        <v>46281.35205523148</v>
      </c>
      <c r="B4" s="7" t="n">
        <v>46281.29166666666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66.90000000000001</v>
      </c>
    </row>
    <row r="5">
      <c r="A5" s="7" t="n">
        <v>46281.22963460648</v>
      </c>
      <c r="B5" s="7" t="n">
        <v>46281.16666666666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61.9</v>
      </c>
    </row>
    <row r="6">
      <c r="A6" s="7" t="n">
        <v>46281.094529375</v>
      </c>
      <c r="B6" s="7" t="n">
        <v>46281.04166666666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46.5</v>
      </c>
    </row>
    <row r="7">
      <c r="A7" s="7" t="n">
        <v>46280.9017994676</v>
      </c>
      <c r="B7" s="7" t="n">
        <v>46280.83333333334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56.7</v>
      </c>
    </row>
    <row r="8">
      <c r="A8" s="7" t="n">
        <v>46280.66002480324</v>
      </c>
      <c r="B8" s="7" t="n">
        <v>46280.58333333334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67.40000000000001</v>
      </c>
    </row>
    <row r="9">
      <c r="A9" s="7" t="n">
        <v>46280.4778358449</v>
      </c>
      <c r="B9" s="7" t="n">
        <v>46280.41666666666</v>
      </c>
      <c r="C9" s="2" t="n">
        <v>442</v>
      </c>
      <c r="D9" s="2" t="n">
        <v>4</v>
      </c>
      <c r="E9" s="2" t="n">
        <v>4</v>
      </c>
      <c r="F9" s="2" t="n">
        <v>0</v>
      </c>
      <c r="G9" s="2" t="n">
        <v>61.2</v>
      </c>
    </row>
    <row r="10">
      <c r="A10" s="7" t="n">
        <v>46280.39795681713</v>
      </c>
      <c r="B10" s="7" t="n">
        <v>46280.33333333334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66.90000000000001</v>
      </c>
    </row>
    <row r="11">
      <c r="A11" s="7" t="n">
        <v>46280.29983445602</v>
      </c>
      <c r="B11" s="7" t="n">
        <v>46280.25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51.6</v>
      </c>
    </row>
    <row r="12">
      <c r="A12" s="7" t="n">
        <v>46280.14350143519</v>
      </c>
      <c r="B12" s="7" t="n">
        <v>46280.08333333334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57.3</v>
      </c>
    </row>
    <row r="13">
      <c r="A13" s="7" t="n">
        <v>46279.92418226852</v>
      </c>
      <c r="B13" s="7" t="n">
        <v>46279.875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48.1</v>
      </c>
    </row>
    <row r="14">
      <c r="A14" s="7" t="n">
        <v>46279.59996445602</v>
      </c>
      <c r="B14" s="7" t="n">
        <v>46279.54166666666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61</v>
      </c>
    </row>
    <row r="15">
      <c r="A15" s="7" t="n">
        <v>46279.38316741898</v>
      </c>
      <c r="B15" s="7" t="n">
        <v>46279.33333333334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59.9</v>
      </c>
    </row>
    <row r="16">
      <c r="A16" s="7" t="n">
        <v>46279.26932584491</v>
      </c>
      <c r="B16" s="7" t="n">
        <v>46279.20833333334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61.1</v>
      </c>
    </row>
    <row r="17">
      <c r="A17" s="7" t="n">
        <v>46279.14665413195</v>
      </c>
      <c r="B17" s="7" t="n">
        <v>46279.08333333334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55.1</v>
      </c>
    </row>
    <row r="18">
      <c r="A18" s="7" t="n">
        <v>46279.01733591435</v>
      </c>
      <c r="B18" s="7" t="n">
        <v>46278.95833333334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59.7</v>
      </c>
    </row>
    <row r="19">
      <c r="A19" s="7" t="n">
        <v>46278.83725055555</v>
      </c>
      <c r="B19" s="7" t="n">
        <v>46278.79166666666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65.40000000000001</v>
      </c>
    </row>
    <row r="20">
      <c r="A20" s="7" t="n">
        <v>46278.71111972223</v>
      </c>
      <c r="B20" s="7" t="n">
        <v>46278.66666666666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63.6</v>
      </c>
    </row>
    <row r="21">
      <c r="A21" s="7" t="n">
        <v>46278.68053923611</v>
      </c>
      <c r="B21" s="7" t="n">
        <v>46278.625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63.6</v>
      </c>
    </row>
    <row r="22">
      <c r="A22" s="7" t="n">
        <v>46278.07354997685</v>
      </c>
      <c r="B22" s="7" t="n">
        <v>46278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50.2</v>
      </c>
    </row>
    <row r="23">
      <c r="A23" s="7" t="n">
        <v>46277.94390239583</v>
      </c>
      <c r="B23" s="7" t="n">
        <v>46277.875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COUNTIFS(資金明細!$C$2:$C$10,"進場",資金明細!$N$2:$N$10,"已下單")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COUNTIFS(資金明細!$C$2:$C$10,"進場",資金明細!$N$2:$N$10,"資金不足略過")</f>
        <v/>
      </c>
    </row>
    <row r="11">
      <c r="D11" s="2" t="inlineStr">
        <is>
          <t>止盈筆數</t>
        </is>
      </c>
      <c r="E11" s="15">
        <f>COUNTIFS(資金明細!$C$2:$C$10,"出場",資金明細!$N$2:$N$10,"已下單",資金明細!$K$2:$K$10,"止盈")</f>
        <v/>
      </c>
    </row>
    <row r="12">
      <c r="A12" s="2" t="inlineStr">
        <is>
          <t>每筆止損約虧本金</t>
        </is>
      </c>
      <c r="B12" s="4">
        <f>B5*B7*IFERROR(AVERAGE(交易明細!$AB$2:$AB$5),參數!B6)</f>
        <v/>
      </c>
      <c r="D12" s="2" t="inlineStr">
        <is>
          <t>止損筆數</t>
        </is>
      </c>
      <c r="E12" s="15">
        <f>COUNTIFS(資金明細!$C$2:$C$10,"出場",資金明細!$N$2:$N$10,"已下單",資金明細!$K$2:$K$10,"止損")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IFERROR(E11/COUNTIFS(資金明細!$C$2:$C$10,"出場",資金明細!$N$2:$N$10,"已下單"),0)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MAX(資金明細!$S$2:$S$10)</f>
        <v/>
      </c>
    </row>
    <row r="16">
      <c r="D16" s="2" t="inlineStr">
        <is>
          <t>期末下單金額</t>
        </is>
      </c>
      <c r="E16" s="16">
        <f>B5*資金明細!V10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IFERROR(INDEX(資金明細!$B$2:$B$10,MATCH(1,資金明細!$Z$2:$Z$10,0)),"未觸發")</f>
        <v/>
      </c>
    </row>
    <row r="21">
      <c r="D21" s="2" t="inlineStr">
        <is>
          <t>停止後略過筆數</t>
        </is>
      </c>
      <c r="E21" s="15">
        <f>COUNTIFS(資金明細!$C$2:$C$10,"進場",資金明細!$N$2:$N$10,"已停止")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</sheetData>
  <autoFilter ref="A1:Z10"/>
  <conditionalFormatting sqref="K2:K1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2026-09-16 19:45（Dry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</sheetData>
  <autoFilter ref="A1:AP5"/>
  <conditionalFormatting sqref="J2:J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COUNTIFS(交易明細!$B$2:$B$5,$A2)</f>
        <v/>
      </c>
      <c r="C2" s="2">
        <f>COUNTIFS(交易明細!$B$2:$B$5,$A2,交易明細!$C$2:$C$5,"做多")</f>
        <v/>
      </c>
      <c r="D2" s="2">
        <f>COUNTIFS(交易明細!$B$2:$B$5,$A2,交易明細!$C$2:$C$5,"做空")</f>
        <v/>
      </c>
      <c r="E2" s="2">
        <f>F2+G2+COUNTIFS(交易明細!$B$2:$B$5,$A2,交易明細!$J$2:$J$5,"時間出場")</f>
        <v/>
      </c>
      <c r="F2" s="2">
        <f>COUNTIFS(交易明細!$B$2:$B$5,$A2,交易明細!$J$2:$J$5,"止盈")</f>
        <v/>
      </c>
      <c r="G2" s="2">
        <f>COUNTIFS(交易明細!$B$2:$B$5,$A2,交易明細!$J$2:$J$5,"止損")</f>
        <v/>
      </c>
      <c r="H2" s="4">
        <f>IFERROR(F2/E2,0)</f>
        <v/>
      </c>
      <c r="I2" s="4">
        <f>IFERROR(AVERAGEIFS(交易明細!$L$2:$L$5,交易明細!$B$2:$B$5,$A2,交易明細!$J$2:$J$5,"&lt;&gt;未平倉"),0)</f>
        <v/>
      </c>
      <c r="J2" s="4">
        <f>SUMIFS(交易明細!$L$2:$L$5,交易明細!$B$2:$B$5,$A2,交易明細!$J$2:$J$5,"&lt;&gt;未平倉")</f>
        <v/>
      </c>
      <c r="K2" s="5">
        <f>IFERROR(AVERAGEIFS(交易明細!$K$2:$K$5,交易明細!$B$2:$B$5,$A2,交易明細!$J$2:$J$5,"&lt;&gt;未平倉"),0)</f>
        <v/>
      </c>
      <c r="L2" s="2">
        <f>COUNTIFS(交易明細!$B$2:$B$5,$A2,交易明細!$J$2:$J$5,"未平倉")</f>
        <v/>
      </c>
    </row>
    <row r="3">
      <c r="A3" s="2" t="inlineStr">
        <is>
          <t>WLD_USDT_PERP</t>
        </is>
      </c>
      <c r="B3" s="2">
        <f>COUNTIFS(交易明細!$B$2:$B$5,$A3)</f>
        <v/>
      </c>
      <c r="C3" s="2">
        <f>COUNTIFS(交易明細!$B$2:$B$5,$A3,交易明細!$C$2:$C$5,"做多")</f>
        <v/>
      </c>
      <c r="D3" s="2">
        <f>COUNTIFS(交易明細!$B$2:$B$5,$A3,交易明細!$C$2:$C$5,"做空")</f>
        <v/>
      </c>
      <c r="E3" s="2">
        <f>F3+G3+COUNTIFS(交易明細!$B$2:$B$5,$A3,交易明細!$J$2:$J$5,"時間出場")</f>
        <v/>
      </c>
      <c r="F3" s="2">
        <f>COUNTIFS(交易明細!$B$2:$B$5,$A3,交易明細!$J$2:$J$5,"止盈")</f>
        <v/>
      </c>
      <c r="G3" s="2">
        <f>COUNTIFS(交易明細!$B$2:$B$5,$A3,交易明細!$J$2:$J$5,"止損")</f>
        <v/>
      </c>
      <c r="H3" s="4">
        <f>IFERROR(F3/E3,0)</f>
        <v/>
      </c>
      <c r="I3" s="4">
        <f>IFERROR(AVERAGEIFS(交易明細!$L$2:$L$5,交易明細!$B$2:$B$5,$A3,交易明細!$J$2:$J$5,"&lt;&gt;未平倉"),0)</f>
        <v/>
      </c>
      <c r="J3" s="4">
        <f>SUMIFS(交易明細!$L$2:$L$5,交易明細!$B$2:$B$5,$A3,交易明細!$J$2:$J$5,"&lt;&gt;未平倉")</f>
        <v/>
      </c>
      <c r="K3" s="5">
        <f>IFERROR(AVERAGEIFS(交易明細!$K$2:$K$5,交易明細!$B$2:$B$5,$A3,交易明細!$J$2:$J$5,"&lt;&gt;未平倉"),0)</f>
        <v/>
      </c>
      <c r="L3" s="2">
        <f>COUNTIFS(交易明細!$B$2:$B$5,$A3,交易明細!$J$2:$J$5,"未平倉")</f>
        <v/>
      </c>
    </row>
    <row r="4">
      <c r="A4" s="2" t="inlineStr">
        <is>
          <t>SOLV_USDT_PERP</t>
        </is>
      </c>
      <c r="B4" s="2">
        <f>COUNTIFS(交易明細!$B$2:$B$5,$A4)</f>
        <v/>
      </c>
      <c r="C4" s="2">
        <f>COUNTIFS(交易明細!$B$2:$B$5,$A4,交易明細!$C$2:$C$5,"做多")</f>
        <v/>
      </c>
      <c r="D4" s="2">
        <f>COUNTIFS(交易明細!$B$2:$B$5,$A4,交易明細!$C$2:$C$5,"做空")</f>
        <v/>
      </c>
      <c r="E4" s="2">
        <f>F4+G4+COUNTIFS(交易明細!$B$2:$B$5,$A4,交易明細!$J$2:$J$5,"時間出場")</f>
        <v/>
      </c>
      <c r="F4" s="2">
        <f>COUNTIFS(交易明細!$B$2:$B$5,$A4,交易明細!$J$2:$J$5,"止盈")</f>
        <v/>
      </c>
      <c r="G4" s="2">
        <f>COUNTIFS(交易明細!$B$2:$B$5,$A4,交易明細!$J$2:$J$5,"止損")</f>
        <v/>
      </c>
      <c r="H4" s="4">
        <f>IFERROR(F4/E4,0)</f>
        <v/>
      </c>
      <c r="I4" s="4">
        <f>IFERROR(AVERAGEIFS(交易明細!$L$2:$L$5,交易明細!$B$2:$B$5,$A4,交易明細!$J$2:$J$5,"&lt;&gt;未平倉"),0)</f>
        <v/>
      </c>
      <c r="J4" s="4">
        <f>SUMIFS(交易明細!$L$2:$L$5,交易明細!$B$2:$B$5,$A4,交易明細!$J$2:$J$5,"&lt;&gt;未平倉")</f>
        <v/>
      </c>
      <c r="K4" s="5">
        <f>IFERROR(AVERAGEIFS(交易明細!$K$2:$K$5,交易明細!$B$2:$B$5,$A4,交易明細!$J$2:$J$5,"&lt;&gt;未平倉"),0)</f>
        <v/>
      </c>
      <c r="L4" s="2">
        <f>COUNTIFS(交易明細!$B$2:$B$5,$A4,交易明細!$J$2:$J$5,"未平倉")</f>
        <v/>
      </c>
    </row>
    <row r="5">
      <c r="A5" s="2" t="inlineStr">
        <is>
          <t>SAGA_USDT_PERP</t>
        </is>
      </c>
      <c r="B5" s="2">
        <f>COUNTIFS(交易明細!$B$2:$B$5,$A5)</f>
        <v/>
      </c>
      <c r="C5" s="2">
        <f>COUNTIFS(交易明細!$B$2:$B$5,$A5,交易明細!$C$2:$C$5,"做多")</f>
        <v/>
      </c>
      <c r="D5" s="2">
        <f>COUNTIFS(交易明細!$B$2:$B$5,$A5,交易明細!$C$2:$C$5,"做空")</f>
        <v/>
      </c>
      <c r="E5" s="2">
        <f>F5+G5+COUNTIFS(交易明細!$B$2:$B$5,$A5,交易明細!$J$2:$J$5,"時間出場")</f>
        <v/>
      </c>
      <c r="F5" s="2">
        <f>COUNTIFS(交易明細!$B$2:$B$5,$A5,交易明細!$J$2:$J$5,"止盈")</f>
        <v/>
      </c>
      <c r="G5" s="2">
        <f>COUNTIFS(交易明細!$B$2:$B$5,$A5,交易明細!$J$2:$J$5,"止損")</f>
        <v/>
      </c>
      <c r="H5" s="4">
        <f>IFERROR(F5/E5,0)</f>
        <v/>
      </c>
      <c r="I5" s="4">
        <f>IFERROR(AVERAGEIFS(交易明細!$L$2:$L$5,交易明細!$B$2:$B$5,$A5,交易明細!$J$2:$J$5,"&lt;&gt;未平倉"),0)</f>
        <v/>
      </c>
      <c r="J5" s="4">
        <f>SUMIFS(交易明細!$L$2:$L$5,交易明細!$B$2:$B$5,$A5,交易明細!$J$2:$J$5,"&lt;&gt;未平倉")</f>
        <v/>
      </c>
      <c r="K5" s="5">
        <f>IFERROR(AVERAGEIFS(交易明細!$K$2:$K$5,交易明細!$B$2:$B$5,$A5,交易明細!$J$2:$J$5,"&lt;&gt;未平倉"),0)</f>
        <v/>
      </c>
      <c r="L5" s="2">
        <f>COUNTIFS(交易明細!$B$2:$B$5,$A5,交易明細!$J$2:$J$5,"未平倉")</f>
        <v/>
      </c>
    </row>
  </sheetData>
  <autoFilter ref="A1:L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2026-09-16T11:46:12Z</dcterms:created>
  <dcterms:modified xsi:type="dcterms:W3CDTF">2026-09-16T11:46:12Z</dcterms:modified>
</cp:coreProperties>
</file>