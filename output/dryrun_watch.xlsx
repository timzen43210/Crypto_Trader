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'資金明細'!$A$1:$Z$468</definedName>
    <definedName name="_xlnm._FilterDatabase" localSheetId="5" hidden="1">'交易明細'!$A$1:$AC$234</definedName>
    <definedName name="_xlnm._FilterDatabase" localSheetId="6" hidden="1">'幣種統計'!$A$1:$L$54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02:16（Dry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COUNTIFS(交易明細!$B$2:$B$234,"&lt;&gt;")</f>
        <v/>
      </c>
      <c r="C5" s="2">
        <f>D5+E5+F5</f>
        <v/>
      </c>
      <c r="D5" s="2">
        <f>COUNTIFS(交易明細!$J$2:$J$234,"止盈")</f>
        <v/>
      </c>
      <c r="E5" s="2">
        <f>COUNTIFS(交易明細!$J$2:$J$234,"止損")</f>
        <v/>
      </c>
      <c r="F5" s="2">
        <f>COUNTIFS(交易明細!$J$2:$J$234,"時間出場")</f>
        <v/>
      </c>
      <c r="G5" s="2">
        <f>COUNTIFS(交易明細!$J$2:$J$234,"未平倉")</f>
        <v/>
      </c>
      <c r="H5" s="4">
        <f>IFERROR(D5/C5,0)</f>
        <v/>
      </c>
      <c r="I5" s="4">
        <f>IFERROR(AVERAGEIFS(交易明細!$AC$2:$AC$234,交易明細!$J$2:$J$234,"&lt;&gt;未平倉"),參數!$B$16)</f>
        <v/>
      </c>
      <c r="J5" s="4">
        <f>IFERROR(AVERAGEIFS(交易明細!$L$2:$L$234,交易明細!$J$2:$J$234,"&lt;&gt;未平倉"),0)</f>
        <v/>
      </c>
      <c r="K5" s="4">
        <f>SUMIFS(交易明細!$L$2:$L$234,交易明細!$J$2:$J$234,"&lt;&gt;未平倉")</f>
        <v/>
      </c>
      <c r="L5" s="5">
        <f>IFERROR(AVERAGEIFS(交易明細!$K$2:$K$234,交易明細!$J$2:$J$234,"&lt;&gt;未平倉"),0)</f>
        <v/>
      </c>
      <c r="M5" s="5">
        <f>IFERROR(AVERAGEIFS(交易明細!$K$2:$K$234,交易明細!$J$2:$J$234,"止盈"),0)</f>
        <v/>
      </c>
      <c r="N5" s="5">
        <f>IFERROR(AVERAGEIFS(交易明細!$K$2:$K$234,交易明細!$J$2:$J$234,"止損"),0)</f>
        <v/>
      </c>
      <c r="O5" s="4">
        <f>IFERROR(AVERAGEIFS(交易明細!$L$2:$L$234,交易明細!$J$2:$J$234,"時間出場"),0)</f>
        <v/>
      </c>
      <c r="P5" s="4">
        <f>IFERROR(COUNTIFS(交易明細!$J$2:$J$234,"&lt;&gt;未平倉",交易明細!$L$2:$L$234,"&gt;0")/C5,0)</f>
        <v/>
      </c>
    </row>
    <row r="6">
      <c r="A6" s="2" t="inlineStr">
        <is>
          <t>做多</t>
        </is>
      </c>
      <c r="B6" s="2">
        <f>COUNTIFS(交易明細!$C$2:$C$234,"做多",交易明細!$B$2:$B$234,"&lt;&gt;")</f>
        <v/>
      </c>
      <c r="C6" s="2">
        <f>D6+E6+F6</f>
        <v/>
      </c>
      <c r="D6" s="2">
        <f>COUNTIFS(交易明細!$C$2:$C$234,"做多",交易明細!$J$2:$J$234,"止盈")</f>
        <v/>
      </c>
      <c r="E6" s="2">
        <f>COUNTIFS(交易明細!$C$2:$C$234,"做多",交易明細!$J$2:$J$234,"止損")</f>
        <v/>
      </c>
      <c r="F6" s="2">
        <f>COUNTIFS(交易明細!$C$2:$C$234,"做多",交易明細!$J$2:$J$234,"時間出場")</f>
        <v/>
      </c>
      <c r="G6" s="2">
        <f>COUNTIFS(交易明細!$C$2:$C$234,"做多",交易明細!$J$2:$J$234,"未平倉")</f>
        <v/>
      </c>
      <c r="H6" s="4">
        <f>IFERROR(D6/C6,0)</f>
        <v/>
      </c>
      <c r="I6" s="4">
        <f>IFERROR(AVERAGEIFS(交易明細!$AC$2:$AC$234,交易明細!$C$2:$C$234,"做多",交易明細!$J$2:$J$234,"&lt;&gt;未平倉"),參數!$B$16)</f>
        <v/>
      </c>
      <c r="J6" s="4">
        <f>IFERROR(AVERAGEIFS(交易明細!$L$2:$L$234,交易明細!$C$2:$C$234,"做多",交易明細!$J$2:$J$234,"&lt;&gt;未平倉"),0)</f>
        <v/>
      </c>
      <c r="K6" s="4">
        <f>SUMIFS(交易明細!$L$2:$L$234,交易明細!$C$2:$C$234,"做多",交易明細!$J$2:$J$234,"&lt;&gt;未平倉")</f>
        <v/>
      </c>
      <c r="L6" s="5">
        <f>IFERROR(AVERAGEIFS(交易明細!$K$2:$K$234,交易明細!$C$2:$C$234,"做多",交易明細!$J$2:$J$234,"&lt;&gt;未平倉"),0)</f>
        <v/>
      </c>
      <c r="M6" s="5">
        <f>IFERROR(AVERAGEIFS(交易明細!$K$2:$K$234,交易明細!$C$2:$C$234,"做多",交易明細!$J$2:$J$234,"止盈"),0)</f>
        <v/>
      </c>
      <c r="N6" s="5">
        <f>IFERROR(AVERAGEIFS(交易明細!$K$2:$K$234,交易明細!$C$2:$C$234,"做多",交易明細!$J$2:$J$234,"止損"),0)</f>
        <v/>
      </c>
      <c r="O6" s="4">
        <f>IFERROR(AVERAGEIFS(交易明細!$L$2:$L$234,交易明細!$C$2:$C$234,"做多",交易明細!$J$2:$J$234,"時間出場"),0)</f>
        <v/>
      </c>
      <c r="P6" s="4">
        <f>IFERROR(COUNTIFS(交易明細!$C$2:$C$234,"做多",交易明細!$J$2:$J$234,"&lt;&gt;未平倉",交易明細!$L$2:$L$234,"&gt;0")/C6,0)</f>
        <v/>
      </c>
    </row>
    <row r="7">
      <c r="A7" s="2" t="inlineStr">
        <is>
          <t>做空</t>
        </is>
      </c>
      <c r="B7" s="2">
        <f>COUNTIFS(交易明細!$C$2:$C$234,"做空",交易明細!$B$2:$B$234,"&lt;&gt;")</f>
        <v/>
      </c>
      <c r="C7" s="2">
        <f>D7+E7+F7</f>
        <v/>
      </c>
      <c r="D7" s="2">
        <f>COUNTIFS(交易明細!$C$2:$C$234,"做空",交易明細!$J$2:$J$234,"止盈")</f>
        <v/>
      </c>
      <c r="E7" s="2">
        <f>COUNTIFS(交易明細!$C$2:$C$234,"做空",交易明細!$J$2:$J$234,"止損")</f>
        <v/>
      </c>
      <c r="F7" s="2">
        <f>COUNTIFS(交易明細!$C$2:$C$234,"做空",交易明細!$J$2:$J$234,"時間出場")</f>
        <v/>
      </c>
      <c r="G7" s="2">
        <f>COUNTIFS(交易明細!$C$2:$C$234,"做空",交易明細!$J$2:$J$234,"未平倉")</f>
        <v/>
      </c>
      <c r="H7" s="4">
        <f>IFERROR(D7/C7,0)</f>
        <v/>
      </c>
      <c r="I7" s="4">
        <f>IFERROR(AVERAGEIFS(交易明細!$AC$2:$AC$234,交易明細!$C$2:$C$234,"做空",交易明細!$J$2:$J$234,"&lt;&gt;未平倉"),參數!$B$16)</f>
        <v/>
      </c>
      <c r="J7" s="4">
        <f>IFERROR(AVERAGEIFS(交易明細!$L$2:$L$234,交易明細!$C$2:$C$234,"做空",交易明細!$J$2:$J$234,"&lt;&gt;未平倉"),0)</f>
        <v/>
      </c>
      <c r="K7" s="4">
        <f>SUMIFS(交易明細!$L$2:$L$234,交易明細!$C$2:$C$234,"做空",交易明細!$J$2:$J$234,"&lt;&gt;未平倉")</f>
        <v/>
      </c>
      <c r="L7" s="5">
        <f>IFERROR(AVERAGEIFS(交易明細!$K$2:$K$234,交易明細!$C$2:$C$234,"做空",交易明細!$J$2:$J$234,"&lt;&gt;未平倉"),0)</f>
        <v/>
      </c>
      <c r="M7" s="5">
        <f>IFERROR(AVERAGEIFS(交易明細!$K$2:$K$234,交易明細!$C$2:$C$234,"做空",交易明細!$J$2:$J$234,"止盈"),0)</f>
        <v/>
      </c>
      <c r="N7" s="5">
        <f>IFERROR(AVERAGEIFS(交易明細!$K$2:$K$234,交易明細!$C$2:$C$234,"做空",交易明細!$J$2:$J$234,"止損"),0)</f>
        <v/>
      </c>
      <c r="O7" s="4">
        <f>IFERROR(AVERAGEIFS(交易明細!$L$2:$L$234,交易明細!$C$2:$C$234,"做空",交易明細!$J$2:$J$234,"時間出場"),0)</f>
        <v/>
      </c>
      <c r="P7" s="4">
        <f>IFERROR(COUNTIFS(交易明細!$C$2:$C$234,"做空",交易明細!$J$2:$J$234,"&lt;&gt;未平倉",交易明細!$L$2:$L$234,"&gt;0")/C7,0)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46281.094529375</v>
      </c>
      <c r="B2" s="7" t="n">
        <v>46281.04166666666</v>
      </c>
      <c r="C2" s="2" t="n">
        <v>442</v>
      </c>
      <c r="D2" s="2" t="n">
        <v>6</v>
      </c>
      <c r="E2" s="2" t="n">
        <v>6</v>
      </c>
      <c r="F2" s="2" t="n">
        <v>0</v>
      </c>
      <c r="G2" s="2" t="n">
        <v>46.5</v>
      </c>
    </row>
    <row r="3">
      <c r="A3" s="7" t="n">
        <v>46280.9017994676</v>
      </c>
      <c r="B3" s="7" t="n">
        <v>46280.83333333334</v>
      </c>
      <c r="C3" s="2" t="n">
        <v>442</v>
      </c>
      <c r="D3" s="2" t="n">
        <v>2</v>
      </c>
      <c r="E3" s="2" t="n">
        <v>4</v>
      </c>
      <c r="F3" s="2" t="n">
        <v>0</v>
      </c>
      <c r="G3" s="2" t="n">
        <v>56.7</v>
      </c>
    </row>
    <row r="4">
      <c r="A4" s="7" t="n">
        <v>46280.66002480324</v>
      </c>
      <c r="B4" s="7" t="n">
        <v>46280.58333333334</v>
      </c>
      <c r="C4" s="2" t="n">
        <v>442</v>
      </c>
      <c r="D4" s="2" t="n">
        <v>2</v>
      </c>
      <c r="E4" s="2" t="n">
        <v>3</v>
      </c>
      <c r="F4" s="2" t="n">
        <v>0</v>
      </c>
      <c r="G4" s="2" t="n">
        <v>67.40000000000001</v>
      </c>
    </row>
    <row r="5">
      <c r="A5" s="7" t="n">
        <v>46280.4778358449</v>
      </c>
      <c r="B5" s="7" t="n">
        <v>46280.41666666666</v>
      </c>
      <c r="C5" s="2" t="n">
        <v>442</v>
      </c>
      <c r="D5" s="2" t="n">
        <v>1</v>
      </c>
      <c r="E5" s="2" t="n">
        <v>0</v>
      </c>
      <c r="F5" s="2" t="n">
        <v>0</v>
      </c>
      <c r="G5" s="2" t="n">
        <v>61.2</v>
      </c>
    </row>
    <row r="6">
      <c r="A6" s="7" t="n">
        <v>46280.39795681713</v>
      </c>
      <c r="B6" s="7" t="n">
        <v>46280.33333333334</v>
      </c>
      <c r="C6" s="2" t="n">
        <v>442</v>
      </c>
      <c r="D6" s="2" t="n">
        <v>0</v>
      </c>
      <c r="E6" s="2" t="n">
        <v>1</v>
      </c>
      <c r="F6" s="2" t="n">
        <v>0</v>
      </c>
      <c r="G6" s="2" t="n">
        <v>66.90000000000001</v>
      </c>
    </row>
    <row r="7">
      <c r="A7" s="7" t="n">
        <v>46280.29983445602</v>
      </c>
      <c r="B7" s="7" t="n">
        <v>46280.25</v>
      </c>
      <c r="C7" s="2" t="n">
        <v>442</v>
      </c>
      <c r="D7" s="2" t="n">
        <v>1</v>
      </c>
      <c r="E7" s="2" t="n">
        <v>1</v>
      </c>
      <c r="F7" s="2" t="n">
        <v>0</v>
      </c>
      <c r="G7" s="2" t="n">
        <v>51.6</v>
      </c>
    </row>
    <row r="8">
      <c r="A8" s="7" t="n">
        <v>46280.14350143519</v>
      </c>
      <c r="B8" s="7" t="n">
        <v>46280.08333333334</v>
      </c>
      <c r="C8" s="2" t="n">
        <v>442</v>
      </c>
      <c r="D8" s="2" t="n">
        <v>3</v>
      </c>
      <c r="E8" s="2" t="n">
        <v>1</v>
      </c>
      <c r="F8" s="2" t="n">
        <v>0</v>
      </c>
      <c r="G8" s="2" t="n">
        <v>57.3</v>
      </c>
    </row>
    <row r="9">
      <c r="A9" s="7" t="n">
        <v>46279.92418226852</v>
      </c>
      <c r="B9" s="7" t="n">
        <v>46279.875</v>
      </c>
      <c r="C9" s="2" t="n">
        <v>442</v>
      </c>
      <c r="D9" s="2" t="n">
        <v>6</v>
      </c>
      <c r="E9" s="2" t="n">
        <v>7</v>
      </c>
      <c r="F9" s="2" t="n">
        <v>0</v>
      </c>
      <c r="G9" s="2" t="n">
        <v>48.1</v>
      </c>
    </row>
    <row r="10">
      <c r="A10" s="7" t="n">
        <v>46279.59996445602</v>
      </c>
      <c r="B10" s="7" t="n">
        <v>46279.54166666666</v>
      </c>
      <c r="C10" s="2" t="n">
        <v>442</v>
      </c>
      <c r="D10" s="2" t="n">
        <v>2</v>
      </c>
      <c r="E10" s="2" t="n">
        <v>3</v>
      </c>
      <c r="F10" s="2" t="n">
        <v>0</v>
      </c>
      <c r="G10" s="2" t="n">
        <v>61</v>
      </c>
    </row>
    <row r="11">
      <c r="A11" s="7" t="n">
        <v>46279.38316741898</v>
      </c>
      <c r="B11" s="7" t="n">
        <v>46279.33333333334</v>
      </c>
      <c r="C11" s="2" t="n">
        <v>442</v>
      </c>
      <c r="D11" s="2" t="n">
        <v>2</v>
      </c>
      <c r="E11" s="2" t="n">
        <v>2</v>
      </c>
      <c r="F11" s="2" t="n">
        <v>0</v>
      </c>
      <c r="G11" s="2" t="n">
        <v>59.9</v>
      </c>
    </row>
    <row r="12">
      <c r="A12" s="7" t="n">
        <v>46279.26932584491</v>
      </c>
      <c r="B12" s="7" t="n">
        <v>46279.20833333334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61.1</v>
      </c>
    </row>
    <row r="13">
      <c r="A13" s="7" t="n">
        <v>46279.14665413195</v>
      </c>
      <c r="B13" s="7" t="n">
        <v>46279.08333333334</v>
      </c>
      <c r="C13" s="2" t="n">
        <v>442</v>
      </c>
      <c r="D13" s="2" t="n">
        <v>1</v>
      </c>
      <c r="E13" s="2" t="n">
        <v>0</v>
      </c>
      <c r="F13" s="2" t="n">
        <v>0</v>
      </c>
      <c r="G13" s="2" t="n">
        <v>55.1</v>
      </c>
    </row>
    <row r="14">
      <c r="A14" s="7" t="n">
        <v>46279.01733591435</v>
      </c>
      <c r="B14" s="7" t="n">
        <v>46278.95833333334</v>
      </c>
      <c r="C14" s="2" t="n">
        <v>442</v>
      </c>
      <c r="D14" s="2" t="n">
        <v>2</v>
      </c>
      <c r="E14" s="2" t="n">
        <v>4</v>
      </c>
      <c r="F14" s="2" t="n">
        <v>0</v>
      </c>
      <c r="G14" s="2" t="n">
        <v>59.7</v>
      </c>
    </row>
    <row r="15">
      <c r="A15" s="7" t="n">
        <v>46278.83725055555</v>
      </c>
      <c r="B15" s="7" t="n">
        <v>46278.79166666666</v>
      </c>
      <c r="C15" s="2" t="n">
        <v>442</v>
      </c>
      <c r="D15" s="2" t="n">
        <v>0</v>
      </c>
      <c r="E15" s="2" t="n">
        <v>3</v>
      </c>
      <c r="F15" s="2" t="n">
        <v>0</v>
      </c>
      <c r="G15" s="2" t="n">
        <v>65.40000000000001</v>
      </c>
    </row>
    <row r="16">
      <c r="A16" s="7" t="n">
        <v>46278.71111972223</v>
      </c>
      <c r="B16" s="7" t="n">
        <v>46278.66666666666</v>
      </c>
      <c r="C16" s="2" t="n">
        <v>442</v>
      </c>
      <c r="D16" s="2" t="n">
        <v>3</v>
      </c>
      <c r="E16" s="2" t="n">
        <v>1</v>
      </c>
      <c r="F16" s="2" t="n">
        <v>0</v>
      </c>
      <c r="G16" s="2" t="n">
        <v>63.6</v>
      </c>
    </row>
    <row r="17">
      <c r="A17" s="7" t="n">
        <v>46278.68053923611</v>
      </c>
      <c r="B17" s="7" t="n">
        <v>46278.625</v>
      </c>
      <c r="C17" s="2" t="n">
        <v>442</v>
      </c>
      <c r="D17" s="2" t="n">
        <v>9</v>
      </c>
      <c r="E17" s="2" t="n">
        <v>10</v>
      </c>
      <c r="F17" s="2" t="n">
        <v>0</v>
      </c>
      <c r="G17" s="2" t="n">
        <v>63.6</v>
      </c>
    </row>
    <row r="18">
      <c r="A18" s="7" t="n">
        <v>46278.07354997685</v>
      </c>
      <c r="B18" s="7" t="n">
        <v>46278</v>
      </c>
      <c r="C18" s="2" t="n">
        <v>442</v>
      </c>
      <c r="D18" s="2" t="n">
        <v>3</v>
      </c>
      <c r="E18" s="2" t="n">
        <v>1</v>
      </c>
      <c r="F18" s="2" t="n">
        <v>0</v>
      </c>
      <c r="G18" s="2" t="n">
        <v>50.2</v>
      </c>
    </row>
    <row r="19">
      <c r="A19" s="7" t="n">
        <v>46277.94390239583</v>
      </c>
      <c r="B19" s="7" t="n">
        <v>46277.875</v>
      </c>
      <c r="C19" s="2" t="n">
        <v>442</v>
      </c>
      <c r="D19" s="2" t="n">
        <v>190</v>
      </c>
      <c r="E19" s="2" t="n">
        <v>186</v>
      </c>
      <c r="F19" s="2" t="n">
        <v>0</v>
      </c>
      <c r="G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COUNTIFS(資金明細!$C$2:$C$468,"進場",資金明細!$N$2:$N$468,"已下單")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COUNTIFS(資金明細!$C$2:$C$468,"進場",資金明細!$N$2:$N$468,"資金不足略過")</f>
        <v/>
      </c>
    </row>
    <row r="11">
      <c r="D11" s="2" t="inlineStr">
        <is>
          <t>止盈筆數</t>
        </is>
      </c>
      <c r="E11" s="15">
        <f>COUNTIFS(資金明細!$C$2:$C$468,"出場",資金明細!$N$2:$N$468,"已下單",資金明細!$K$2:$K$468,"止盈")</f>
        <v/>
      </c>
    </row>
    <row r="12">
      <c r="A12" s="2" t="inlineStr">
        <is>
          <t>每筆止損約虧本金</t>
        </is>
      </c>
      <c r="B12" s="4">
        <f>B5*B7*IFERROR(AVERAGE(交易明細!$AB$2:$AB$234),參數!B6)</f>
        <v/>
      </c>
      <c r="D12" s="2" t="inlineStr">
        <is>
          <t>止損筆數</t>
        </is>
      </c>
      <c r="E12" s="15">
        <f>COUNTIFS(資金明細!$C$2:$C$468,"出場",資金明細!$N$2:$N$468,"已下單",資金明細!$K$2:$K$468,"止損")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IFERROR(E11/COUNTIFS(資金明細!$C$2:$C$468,"出場",資金明細!$N$2:$N$468,"已下單"),0)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MAX(資金明細!$S$2:$S$468)</f>
        <v/>
      </c>
    </row>
    <row r="16">
      <c r="D16" s="2" t="inlineStr">
        <is>
          <t>期末下單金額</t>
        </is>
      </c>
      <c r="E16" s="16">
        <f>B5*資金明細!V468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IFERROR(INDEX(資金明細!$B$2:$B$468,MATCH(1,資金明細!$Z$2:$Z$468,0)),"未觸發")</f>
        <v/>
      </c>
    </row>
    <row r="21">
      <c r="D21" s="2" t="inlineStr">
        <is>
          <t>停止後略過筆數</t>
        </is>
      </c>
      <c r="E21" s="15">
        <f>COUNTIFS(資金明細!$C$2:$C$468,"進場",資金明細!$N$2:$N$468,"已停止")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17" t="n">
        <v>0.01515</v>
      </c>
      <c r="H3" s="17" t="n">
        <v>0.0156045</v>
      </c>
      <c r="I3" s="17" t="n">
        <v>0.0143925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17" t="n">
        <v>0.0548</v>
      </c>
      <c r="H4" s="17" t="n">
        <v>0.053156</v>
      </c>
      <c r="I4" s="17" t="n">
        <v>0.05754</v>
      </c>
      <c r="J4" s="17" t="n"/>
      <c r="K4" s="2" t="n"/>
      <c r="L4" s="5" t="n"/>
      <c r="M4" s="16">
        <f>資金模擬!$B$5*V3</f>
        <v/>
      </c>
      <c r="N4" s="2">
        <f>IF(Z3=1,"已停止",IF(T3&gt;=M4,"已下單","資金不足略過"))</f>
        <v/>
      </c>
      <c r="O4" s="16">
        <f>IF(N4="已下單",M4*資金模擬!$B$7,0)</f>
        <v/>
      </c>
      <c r="P4" s="4" t="n"/>
      <c r="Q4" s="10" t="n">
        <v>0</v>
      </c>
      <c r="R4" s="10">
        <f>R3+Q4</f>
        <v/>
      </c>
      <c r="S4" s="16">
        <f>S3+IF(N4="已下單",M4,0)</f>
        <v/>
      </c>
      <c r="T4" s="16">
        <f>R4-S4</f>
        <v/>
      </c>
      <c r="U4" s="2">
        <f>U3+IF(N4="已下單",1,0)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17" t="n">
        <v>0.01515</v>
      </c>
      <c r="H5" s="17" t="n">
        <v>0.0156045</v>
      </c>
      <c r="I5" s="17" t="n">
        <v>0.0143925</v>
      </c>
      <c r="J5" s="17" t="n">
        <v>0.0156045</v>
      </c>
      <c r="K5" s="2" t="inlineStr">
        <is>
          <t>止盈</t>
        </is>
      </c>
      <c r="L5" s="5">
        <f>交易明細!K2</f>
        <v/>
      </c>
      <c r="M5" s="16">
        <f>M3</f>
        <v/>
      </c>
      <c r="N5" s="2">
        <f>N3</f>
        <v/>
      </c>
      <c r="O5" s="16">
        <f>O3</f>
        <v/>
      </c>
      <c r="P5" s="4">
        <f>交易明細!L2</f>
        <v/>
      </c>
      <c r="Q5" s="10">
        <f>IF(N5="已下單",O5*P5,0)</f>
        <v/>
      </c>
      <c r="R5" s="10">
        <f>R4+Q5</f>
        <v/>
      </c>
      <c r="S5" s="16">
        <f>S4-IF(N5="已下單",M5,0)</f>
        <v/>
      </c>
      <c r="T5" s="16">
        <f>R5-S5</f>
        <v/>
      </c>
      <c r="U5" s="2">
        <f>U4-IF(N5="已下單",1,0)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17" t="n">
        <v>531.58</v>
      </c>
      <c r="H6" s="17" t="n">
        <v>547.5274000000001</v>
      </c>
      <c r="I6" s="17" t="n">
        <v>505.001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17" t="n">
        <v>0.028369</v>
      </c>
      <c r="H7" s="17" t="n">
        <v>0.02922007</v>
      </c>
      <c r="I7" s="17" t="n">
        <v>0.02695055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17" t="n">
        <v>0.028369</v>
      </c>
      <c r="H8" s="17" t="n">
        <v>0.02922007</v>
      </c>
      <c r="I8" s="17" t="n">
        <v>0.02695055</v>
      </c>
      <c r="J8" s="17" t="n">
        <v>0.02922007</v>
      </c>
      <c r="K8" s="2" t="inlineStr">
        <is>
          <t>止盈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17" t="n">
        <v>0.0548</v>
      </c>
      <c r="H9" s="17" t="n">
        <v>0.053156</v>
      </c>
      <c r="I9" s="17" t="n">
        <v>0.05754</v>
      </c>
      <c r="J9" s="17" t="n">
        <v>0.053156</v>
      </c>
      <c r="K9" s="2" t="inlineStr">
        <is>
          <t>止盈</t>
        </is>
      </c>
      <c r="L9" s="5">
        <f>交易明細!K3</f>
        <v/>
      </c>
      <c r="M9" s="16">
        <f>M4</f>
        <v/>
      </c>
      <c r="N9" s="2">
        <f>N4</f>
        <v/>
      </c>
      <c r="O9" s="16">
        <f>O4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17" t="n">
        <v>0.004605</v>
      </c>
      <c r="H10" s="17" t="n">
        <v>0.00474315</v>
      </c>
      <c r="I10" s="17" t="n">
        <v>0.004374749999999999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17" t="n">
        <v>0.004605</v>
      </c>
      <c r="H11" s="17" t="n">
        <v>0.00474315</v>
      </c>
      <c r="I11" s="17" t="n">
        <v>0.004374749999999999</v>
      </c>
      <c r="J11" s="17" t="n">
        <v>0.004374749999999999</v>
      </c>
      <c r="K11" s="2" t="inlineStr">
        <is>
          <t>止損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17" t="n">
        <v>0.1099</v>
      </c>
      <c r="H12" s="17" t="n">
        <v>0.113197</v>
      </c>
      <c r="I12" s="17" t="n">
        <v>0.104405</v>
      </c>
      <c r="J12" s="17" t="n"/>
      <c r="K12" s="2" t="n"/>
      <c r="L12" s="5" t="n"/>
      <c r="M12" s="16">
        <f>資金模擬!$B$5*V11</f>
        <v/>
      </c>
      <c r="N12" s="2">
        <f>IF(Z11=1,"已停止",IF(T11&gt;=M12,"已下單","資金不足略過"))</f>
        <v/>
      </c>
      <c r="O12" s="16">
        <f>IF(N12="已下單",M12*資金模擬!$B$7,0)</f>
        <v/>
      </c>
      <c r="P12" s="4" t="n"/>
      <c r="Q12" s="10" t="n">
        <v>0</v>
      </c>
      <c r="R12" s="10">
        <f>R11+Q12</f>
        <v/>
      </c>
      <c r="S12" s="16">
        <f>S11+IF(N12="已下單",M12,0)</f>
        <v/>
      </c>
      <c r="T12" s="16">
        <f>R12-S12</f>
        <v/>
      </c>
      <c r="U12" s="2">
        <f>U11+IF(N12="已下單",1,0)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17" t="n">
        <v>0.09113</v>
      </c>
      <c r="H13" s="17" t="n">
        <v>0.0938639</v>
      </c>
      <c r="I13" s="17" t="n">
        <v>0.0865735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17" t="n">
        <v>0.1099</v>
      </c>
      <c r="H14" s="17" t="n">
        <v>0.113197</v>
      </c>
      <c r="I14" s="17" t="n">
        <v>0.104405</v>
      </c>
      <c r="J14" s="17" t="n">
        <v>0.113197</v>
      </c>
      <c r="K14" s="2" t="inlineStr">
        <is>
          <t>止盈</t>
        </is>
      </c>
      <c r="L14" s="5">
        <f>交易明細!K7</f>
        <v/>
      </c>
      <c r="M14" s="16">
        <f>M12</f>
        <v/>
      </c>
      <c r="N14" s="2">
        <f>N12</f>
        <v/>
      </c>
      <c r="O14" s="16">
        <f>O12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17" t="n">
        <v>0.09113</v>
      </c>
      <c r="H15" s="17" t="n">
        <v>0.0938639</v>
      </c>
      <c r="I15" s="17" t="n">
        <v>0.0865735</v>
      </c>
      <c r="J15" s="17" t="n">
        <v>0.0938639</v>
      </c>
      <c r="K15" s="2" t="inlineStr">
        <is>
          <t>止盈</t>
        </is>
      </c>
      <c r="L15" s="5">
        <f>交易明細!K8</f>
        <v/>
      </c>
      <c r="M15" s="16">
        <f>M13</f>
        <v/>
      </c>
      <c r="N15" s="2">
        <f>N13</f>
        <v/>
      </c>
      <c r="O15" s="16">
        <f>O13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17" t="n">
        <v>0.0161</v>
      </c>
      <c r="H16" s="17" t="n">
        <v>0.016583</v>
      </c>
      <c r="I16" s="17" t="n">
        <v>0.015295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17" t="n">
        <v>0.004467</v>
      </c>
      <c r="H17" s="17" t="n">
        <v>0.00460101</v>
      </c>
      <c r="I17" s="17" t="n">
        <v>0.00424365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17" t="n">
        <v>531.58</v>
      </c>
      <c r="H18" s="17" t="n">
        <v>547.5274000000001</v>
      </c>
      <c r="I18" s="17" t="n">
        <v>505.001</v>
      </c>
      <c r="J18" s="17" t="n">
        <v>505.001</v>
      </c>
      <c r="K18" s="2" t="inlineStr">
        <is>
          <t>止損</t>
        </is>
      </c>
      <c r="L18" s="5">
        <f>交易明細!K4</f>
        <v/>
      </c>
      <c r="M18" s="16">
        <f>M6</f>
        <v/>
      </c>
      <c r="N18" s="2">
        <f>N6</f>
        <v/>
      </c>
      <c r="O18" s="16">
        <f>O6</f>
        <v/>
      </c>
      <c r="P18" s="4">
        <f>交易明細!L4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17" t="n">
        <v>0.0161</v>
      </c>
      <c r="H19" s="17" t="n">
        <v>0.016583</v>
      </c>
      <c r="I19" s="17" t="n">
        <v>0.015295</v>
      </c>
      <c r="J19" s="17" t="n">
        <v>0.016583</v>
      </c>
      <c r="K19" s="2" t="inlineStr">
        <is>
          <t>止盈</t>
        </is>
      </c>
      <c r="L19" s="5">
        <f>交易明細!K9</f>
        <v/>
      </c>
      <c r="M19" s="16">
        <f>M16</f>
        <v/>
      </c>
      <c r="N19" s="2">
        <f>N16</f>
        <v/>
      </c>
      <c r="O19" s="16">
        <f>O16</f>
        <v/>
      </c>
      <c r="P19" s="4">
        <f>交易明細!L9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17" t="n">
        <v>0.01546</v>
      </c>
      <c r="H20" s="17" t="n">
        <v>0.0149962</v>
      </c>
      <c r="I20" s="17" t="n">
        <v>0.016233</v>
      </c>
      <c r="J20" s="17" t="n"/>
      <c r="K20" s="2" t="n"/>
      <c r="L20" s="5" t="n"/>
      <c r="M20" s="16">
        <f>資金模擬!$B$5*V19</f>
        <v/>
      </c>
      <c r="N20" s="2">
        <f>IF(Z19=1,"已停止",IF(T19&gt;=M20,"已下單","資金不足略過"))</f>
        <v/>
      </c>
      <c r="O20" s="16">
        <f>IF(N20="已下單",M20*資金模擬!$B$7,0)</f>
        <v/>
      </c>
      <c r="P20" s="4" t="n"/>
      <c r="Q20" s="10" t="n">
        <v>0</v>
      </c>
      <c r="R20" s="10">
        <f>R19+Q20</f>
        <v/>
      </c>
      <c r="S20" s="16">
        <f>S19+IF(N20="已下單",M20,0)</f>
        <v/>
      </c>
      <c r="T20" s="16">
        <f>R20-S20</f>
        <v/>
      </c>
      <c r="U20" s="2">
        <f>U19+IF(N20="已下單",1,0)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17" t="n">
        <v>0.004467</v>
      </c>
      <c r="H21" s="17" t="n">
        <v>0.00460101</v>
      </c>
      <c r="I21" s="17" t="n">
        <v>0.00424365</v>
      </c>
      <c r="J21" s="17" t="n">
        <v>0.00424365</v>
      </c>
      <c r="K21" s="2" t="inlineStr">
        <is>
          <t>止損</t>
        </is>
      </c>
      <c r="L21" s="5">
        <f>交易明細!K10</f>
        <v/>
      </c>
      <c r="M21" s="16">
        <f>M17</f>
        <v/>
      </c>
      <c r="N21" s="2">
        <f>N17</f>
        <v/>
      </c>
      <c r="O21" s="16">
        <f>O17</f>
        <v/>
      </c>
      <c r="P21" s="4">
        <f>交易明細!L10</f>
        <v/>
      </c>
      <c r="Q21" s="10">
        <f>IF(N21="已下單",O21*P21,0)</f>
        <v/>
      </c>
      <c r="R21" s="10">
        <f>R20+Q21</f>
        <v/>
      </c>
      <c r="S21" s="16">
        <f>S20-IF(N21="已下單",M21,0)</f>
        <v/>
      </c>
      <c r="T21" s="16">
        <f>R21-S21</f>
        <v/>
      </c>
      <c r="U21" s="2">
        <f>U20-IF(N21="已下單",1,0)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17" t="n">
        <v>0.01546</v>
      </c>
      <c r="H22" s="17" t="n">
        <v>0.0149962</v>
      </c>
      <c r="I22" s="17" t="n">
        <v>0.016233</v>
      </c>
      <c r="J22" s="17" t="n">
        <v>0.0149962</v>
      </c>
      <c r="K22" s="2" t="inlineStr">
        <is>
          <t>止盈</t>
        </is>
      </c>
      <c r="L22" s="5">
        <f>交易明細!K11</f>
        <v/>
      </c>
      <c r="M22" s="16">
        <f>M20</f>
        <v/>
      </c>
      <c r="N22" s="2">
        <f>N20</f>
        <v/>
      </c>
      <c r="O22" s="16">
        <f>O20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17" t="n">
        <v>0.004146</v>
      </c>
      <c r="H23" s="17" t="n">
        <v>0.00402162</v>
      </c>
      <c r="I23" s="17" t="n">
        <v>0.004353300000000001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17" t="n">
        <v>0.08327</v>
      </c>
      <c r="H24" s="17" t="n">
        <v>0.08077189999999999</v>
      </c>
      <c r="I24" s="17" t="n">
        <v>0.0874335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17" t="n">
        <v>0.08327</v>
      </c>
      <c r="H25" s="17" t="n">
        <v>0.08077189999999999</v>
      </c>
      <c r="I25" s="17" t="n">
        <v>0.0874335</v>
      </c>
      <c r="J25" s="17" t="n">
        <v>0.08077189999999999</v>
      </c>
      <c r="K25" s="2" t="inlineStr">
        <is>
          <t>止盈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17" t="n">
        <v>6.019</v>
      </c>
      <c r="H26" s="17" t="n">
        <v>6.19957</v>
      </c>
      <c r="I26" s="17" t="n">
        <v>5.71805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17" t="n">
        <v>0.3838</v>
      </c>
      <c r="H27" s="17" t="n">
        <v>0.395314</v>
      </c>
      <c r="I27" s="17" t="n">
        <v>0.3646099999999999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17" t="n">
        <v>0.022381</v>
      </c>
      <c r="H28" s="17" t="n">
        <v>0.02170957</v>
      </c>
      <c r="I28" s="17" t="n">
        <v>0.02350005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17" t="n">
        <v>6.019</v>
      </c>
      <c r="H29" s="17" t="n">
        <v>6.19957</v>
      </c>
      <c r="I29" s="17" t="n">
        <v>5.71805</v>
      </c>
      <c r="J29" s="17" t="n">
        <v>6.19957</v>
      </c>
      <c r="K29" s="2" t="inlineStr">
        <is>
          <t>止盈</t>
        </is>
      </c>
      <c r="L29" s="5">
        <f>交易明細!K14</f>
        <v/>
      </c>
      <c r="M29" s="16">
        <f>M26</f>
        <v/>
      </c>
      <c r="N29" s="2">
        <f>N26</f>
        <v/>
      </c>
      <c r="O29" s="16">
        <f>O26</f>
        <v/>
      </c>
      <c r="P29" s="4">
        <f>交易明細!L14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17" t="n">
        <v>0.08776</v>
      </c>
      <c r="H30" s="17" t="n">
        <v>0.09039280000000001</v>
      </c>
      <c r="I30" s="17" t="n">
        <v>0.083372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17" t="n">
        <v>0.022381</v>
      </c>
      <c r="H31" s="17" t="n">
        <v>0.02170957</v>
      </c>
      <c r="I31" s="17" t="n">
        <v>0.02350005</v>
      </c>
      <c r="J31" s="17" t="n">
        <v>0.02350005</v>
      </c>
      <c r="K31" s="2" t="inlineStr">
        <is>
          <t>止損</t>
        </is>
      </c>
      <c r="L31" s="5">
        <f>交易明細!K16</f>
        <v/>
      </c>
      <c r="M31" s="16">
        <f>M28</f>
        <v/>
      </c>
      <c r="N31" s="2">
        <f>N28</f>
        <v/>
      </c>
      <c r="O31" s="16">
        <f>O28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17" t="n">
        <v>0.08776</v>
      </c>
      <c r="H32" s="17" t="n">
        <v>0.09039280000000001</v>
      </c>
      <c r="I32" s="17" t="n">
        <v>0.083372</v>
      </c>
      <c r="J32" s="17" t="n">
        <v>0.09039280000000001</v>
      </c>
      <c r="K32" s="2" t="inlineStr">
        <is>
          <t>止盈</t>
        </is>
      </c>
      <c r="L32" s="5">
        <f>交易明細!K17</f>
        <v/>
      </c>
      <c r="M32" s="16">
        <f>M30</f>
        <v/>
      </c>
      <c r="N32" s="2">
        <f>N30</f>
        <v/>
      </c>
      <c r="O32" s="16">
        <f>O30</f>
        <v/>
      </c>
      <c r="P32" s="4">
        <f>交易明細!L17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17" t="n">
        <v>0.4351</v>
      </c>
      <c r="H33" s="17" t="n">
        <v>0.448153</v>
      </c>
      <c r="I33" s="17" t="n">
        <v>0.413345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17" t="n">
        <v>0.01439</v>
      </c>
      <c r="H34" s="17" t="n">
        <v>0.0139583</v>
      </c>
      <c r="I34" s="17" t="n">
        <v>0.0151095</v>
      </c>
      <c r="J34" s="17" t="n"/>
      <c r="K34" s="2" t="n"/>
      <c r="L34" s="5" t="n"/>
      <c r="M34" s="16">
        <f>資金模擬!$B$5*V33</f>
        <v/>
      </c>
      <c r="N34" s="2">
        <f>IF(Z33=1,"已停止",IF(T33&gt;=M34,"已下單","資金不足略過"))</f>
        <v/>
      </c>
      <c r="O34" s="16">
        <f>IF(N34="已下單",M34*資金模擬!$B$7,0)</f>
        <v/>
      </c>
      <c r="P34" s="4" t="n"/>
      <c r="Q34" s="10" t="n">
        <v>0</v>
      </c>
      <c r="R34" s="10">
        <f>R33+Q34</f>
        <v/>
      </c>
      <c r="S34" s="16">
        <f>S33+IF(N34="已下單",M34,0)</f>
        <v/>
      </c>
      <c r="T34" s="16">
        <f>R34-S34</f>
        <v/>
      </c>
      <c r="U34" s="2">
        <f>U33+IF(N34="已下單",1,0)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17" t="n">
        <v>0.02203</v>
      </c>
      <c r="H35" s="17" t="n">
        <v>0.0213691</v>
      </c>
      <c r="I35" s="17" t="n">
        <v>0.0231315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17" t="n">
        <v>0.4351</v>
      </c>
      <c r="H36" s="17" t="n">
        <v>0.448153</v>
      </c>
      <c r="I36" s="17" t="n">
        <v>0.413345</v>
      </c>
      <c r="J36" s="17" t="n">
        <v>0.413345</v>
      </c>
      <c r="K36" s="2" t="inlineStr">
        <is>
          <t>止損</t>
        </is>
      </c>
      <c r="L36" s="5">
        <f>交易明細!K18</f>
        <v/>
      </c>
      <c r="M36" s="16">
        <f>M33</f>
        <v/>
      </c>
      <c r="N36" s="2">
        <f>N33</f>
        <v/>
      </c>
      <c r="O36" s="16">
        <f>O33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17" t="n">
        <v>0.01439</v>
      </c>
      <c r="H37" s="17" t="n">
        <v>0.0139583</v>
      </c>
      <c r="I37" s="17" t="n">
        <v>0.0151095</v>
      </c>
      <c r="J37" s="17" t="n">
        <v>0.0151095</v>
      </c>
      <c r="K37" s="2" t="inlineStr">
        <is>
          <t>止損</t>
        </is>
      </c>
      <c r="L37" s="5">
        <f>交易明細!K19</f>
        <v/>
      </c>
      <c r="M37" s="16">
        <f>M34</f>
        <v/>
      </c>
      <c r="N37" s="2">
        <f>N34</f>
        <v/>
      </c>
      <c r="O37" s="16">
        <f>O34</f>
        <v/>
      </c>
      <c r="P37" s="4">
        <f>交易明細!L19</f>
        <v/>
      </c>
      <c r="Q37" s="10">
        <f>IF(N37="已下單",O37*P37,0)</f>
        <v/>
      </c>
      <c r="R37" s="10">
        <f>R36+Q37</f>
        <v/>
      </c>
      <c r="S37" s="16">
        <f>S36-IF(N37="已下單",M37,0)</f>
        <v/>
      </c>
      <c r="T37" s="16">
        <f>R37-S37</f>
        <v/>
      </c>
      <c r="U37" s="2">
        <f>U36-IF(N37="已下單",1,0)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17" t="n">
        <v>0.02203</v>
      </c>
      <c r="H38" s="17" t="n">
        <v>0.0213691</v>
      </c>
      <c r="I38" s="17" t="n">
        <v>0.0231315</v>
      </c>
      <c r="J38" s="17" t="n">
        <v>0.0213691</v>
      </c>
      <c r="K38" s="2" t="inlineStr">
        <is>
          <t>止盈</t>
        </is>
      </c>
      <c r="L38" s="5">
        <f>交易明細!K20</f>
        <v/>
      </c>
      <c r="M38" s="16">
        <f>M35</f>
        <v/>
      </c>
      <c r="N38" s="2">
        <f>N35</f>
        <v/>
      </c>
      <c r="O38" s="16">
        <f>O35</f>
        <v/>
      </c>
      <c r="P38" s="4">
        <f>交易明細!L20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17" t="n">
        <v>0.10669</v>
      </c>
      <c r="H39" s="17" t="n">
        <v>0.1034893</v>
      </c>
      <c r="I39" s="17" t="n">
        <v>0.1120245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17" t="n">
        <v>0.3838</v>
      </c>
      <c r="H40" s="17" t="n">
        <v>0.395314</v>
      </c>
      <c r="I40" s="17" t="n">
        <v>0.3646099999999999</v>
      </c>
      <c r="J40" s="17" t="n">
        <v>0.3646099999999999</v>
      </c>
      <c r="K40" s="2" t="inlineStr">
        <is>
          <t>止損</t>
        </is>
      </c>
      <c r="L40" s="5">
        <f>交易明細!K15</f>
        <v/>
      </c>
      <c r="M40" s="16">
        <f>M27</f>
        <v/>
      </c>
      <c r="N40" s="2">
        <f>N27</f>
        <v/>
      </c>
      <c r="O40" s="16">
        <f>O27</f>
        <v/>
      </c>
      <c r="P40" s="4">
        <f>交易明細!L15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17" t="n">
        <v>0.10669</v>
      </c>
      <c r="H41" s="17" t="n">
        <v>0.1034893</v>
      </c>
      <c r="I41" s="17" t="n">
        <v>0.1120245</v>
      </c>
      <c r="J41" s="17" t="n">
        <v>0.1034893</v>
      </c>
      <c r="K41" s="2" t="inlineStr">
        <is>
          <t>止盈</t>
        </is>
      </c>
      <c r="L41" s="5">
        <f>交易明細!K21</f>
        <v/>
      </c>
      <c r="M41" s="16">
        <f>M39</f>
        <v/>
      </c>
      <c r="N41" s="2">
        <f>N39</f>
        <v/>
      </c>
      <c r="O41" s="16">
        <f>O39</f>
        <v/>
      </c>
      <c r="P41" s="4">
        <f>交易明細!L21</f>
        <v/>
      </c>
      <c r="Q41" s="10">
        <f>IF(N41="已下單",O41*P41,0)</f>
        <v/>
      </c>
      <c r="R41" s="10">
        <f>R40+Q41</f>
        <v/>
      </c>
      <c r="S41" s="16">
        <f>S40-IF(N41="已下單",M41,0)</f>
        <v/>
      </c>
      <c r="T41" s="16">
        <f>R41-S41</f>
        <v/>
      </c>
      <c r="U41" s="2">
        <f>U40-IF(N41="已下單",1,0)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17" t="n">
        <v>0.5241</v>
      </c>
      <c r="H42" s="17" t="n">
        <v>0.508377</v>
      </c>
      <c r="I42" s="17" t="n">
        <v>0.550305</v>
      </c>
      <c r="J42" s="17" t="n"/>
      <c r="K42" s="2" t="n"/>
      <c r="L42" s="5" t="n"/>
      <c r="M42" s="16">
        <f>資金模擬!$B$5*V41</f>
        <v/>
      </c>
      <c r="N42" s="2">
        <f>IF(Z41=1,"已停止",IF(T41&gt;=M42,"已下單","資金不足略過"))</f>
        <v/>
      </c>
      <c r="O42" s="16">
        <f>IF(N42="已下單",M42*資金模擬!$B$7,0)</f>
        <v/>
      </c>
      <c r="P42" s="4" t="n"/>
      <c r="Q42" s="10" t="n">
        <v>0</v>
      </c>
      <c r="R42" s="10">
        <f>R41+Q42</f>
        <v/>
      </c>
      <c r="S42" s="16">
        <f>S41+IF(N42="已下單",M42,0)</f>
        <v/>
      </c>
      <c r="T42" s="16">
        <f>R42-S42</f>
        <v/>
      </c>
      <c r="U42" s="2">
        <f>U41+IF(N42="已下單",1,0)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17" t="n">
        <v>0.19257</v>
      </c>
      <c r="H43" s="17" t="n">
        <v>0.1867929</v>
      </c>
      <c r="I43" s="17" t="n">
        <v>0.2021985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17" t="n">
        <v>0.1076</v>
      </c>
      <c r="H44" s="17" t="n">
        <v>0.104372</v>
      </c>
      <c r="I44" s="17" t="n">
        <v>0.11298</v>
      </c>
      <c r="J44" s="17" t="n"/>
      <c r="K44" s="2" t="n"/>
      <c r="L44" s="5" t="n"/>
      <c r="M44" s="16">
        <f>資金模擬!$B$5*V43</f>
        <v/>
      </c>
      <c r="N44" s="2">
        <f>IF(Z43=1,"已停止",IF(T43&gt;=M44,"已下單","資金不足略過"))</f>
        <v/>
      </c>
      <c r="O44" s="16">
        <f>IF(N44="已下單",M44*資金模擬!$B$7,0)</f>
        <v/>
      </c>
      <c r="P44" s="4" t="n"/>
      <c r="Q44" s="10" t="n">
        <v>0</v>
      </c>
      <c r="R44" s="10">
        <f>R43+Q44</f>
        <v/>
      </c>
      <c r="S44" s="16">
        <f>S43+IF(N44="已下單",M44,0)</f>
        <v/>
      </c>
      <c r="T44" s="16">
        <f>R44-S44</f>
        <v/>
      </c>
      <c r="U44" s="2">
        <f>U43+IF(N44="已下單",1,0)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17" t="n">
        <v>5.744</v>
      </c>
      <c r="H45" s="17" t="n">
        <v>5.57168</v>
      </c>
      <c r="I45" s="17" t="n">
        <v>6.0312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17" t="n">
        <v>0.5241</v>
      </c>
      <c r="H46" s="17" t="n">
        <v>0.508377</v>
      </c>
      <c r="I46" s="17" t="n">
        <v>0.550305</v>
      </c>
      <c r="J46" s="17" t="n">
        <v>0.550305</v>
      </c>
      <c r="K46" s="2" t="inlineStr">
        <is>
          <t>止損</t>
        </is>
      </c>
      <c r="L46" s="5">
        <f>交易明細!K22</f>
        <v/>
      </c>
      <c r="M46" s="16">
        <f>M42</f>
        <v/>
      </c>
      <c r="N46" s="2">
        <f>N42</f>
        <v/>
      </c>
      <c r="O46" s="16">
        <f>O42</f>
        <v/>
      </c>
      <c r="P46" s="4">
        <f>交易明細!L22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17" t="n">
        <v>0.19257</v>
      </c>
      <c r="H47" s="17" t="n">
        <v>0.1867929</v>
      </c>
      <c r="I47" s="17" t="n">
        <v>0.2021985</v>
      </c>
      <c r="J47" s="17" t="n">
        <v>0.1867929</v>
      </c>
      <c r="K47" s="2" t="inlineStr">
        <is>
          <t>止盈</t>
        </is>
      </c>
      <c r="L47" s="5">
        <f>交易明細!K23</f>
        <v/>
      </c>
      <c r="M47" s="16">
        <f>M43</f>
        <v/>
      </c>
      <c r="N47" s="2">
        <f>N43</f>
        <v/>
      </c>
      <c r="O47" s="16">
        <f>O43</f>
        <v/>
      </c>
      <c r="P47" s="4">
        <f>交易明細!L23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17" t="n">
        <v>0.415</v>
      </c>
      <c r="H48" s="17" t="n">
        <v>0.42745</v>
      </c>
      <c r="I48" s="17" t="n">
        <v>0.39425</v>
      </c>
      <c r="J48" s="17" t="n"/>
      <c r="K48" s="2" t="n"/>
      <c r="L48" s="5" t="n"/>
      <c r="M48" s="16">
        <f>資金模擬!$B$5*V47</f>
        <v/>
      </c>
      <c r="N48" s="2">
        <f>IF(Z47=1,"已停止",IF(T47&gt;=M48,"已下單","資金不足略過"))</f>
        <v/>
      </c>
      <c r="O48" s="16">
        <f>IF(N48="已下單",M48*資金模擬!$B$7,0)</f>
        <v/>
      </c>
      <c r="P48" s="4" t="n"/>
      <c r="Q48" s="10" t="n">
        <v>0</v>
      </c>
      <c r="R48" s="10">
        <f>R47+Q48</f>
        <v/>
      </c>
      <c r="S48" s="16">
        <f>S47+IF(N48="已下單",M48,0)</f>
        <v/>
      </c>
      <c r="T48" s="16">
        <f>R48-S48</f>
        <v/>
      </c>
      <c r="U48" s="2">
        <f>U47+IF(N48="已下單",1,0)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17" t="n">
        <v>0.1076</v>
      </c>
      <c r="H49" s="17" t="n">
        <v>0.104372</v>
      </c>
      <c r="I49" s="17" t="n">
        <v>0.11298</v>
      </c>
      <c r="J49" s="17" t="n">
        <v>0.11298</v>
      </c>
      <c r="K49" s="2" t="inlineStr">
        <is>
          <t>止損</t>
        </is>
      </c>
      <c r="L49" s="5">
        <f>交易明細!K24</f>
        <v/>
      </c>
      <c r="M49" s="16">
        <f>M44</f>
        <v/>
      </c>
      <c r="N49" s="2">
        <f>N44</f>
        <v/>
      </c>
      <c r="O49" s="16">
        <f>O44</f>
        <v/>
      </c>
      <c r="P49" s="4">
        <f>交易明細!L24</f>
        <v/>
      </c>
      <c r="Q49" s="10">
        <f>IF(N49="已下單",O49*P49,0)</f>
        <v/>
      </c>
      <c r="R49" s="10">
        <f>R48+Q49</f>
        <v/>
      </c>
      <c r="S49" s="16">
        <f>S48-IF(N49="已下單",M49,0)</f>
        <v/>
      </c>
      <c r="T49" s="16">
        <f>R49-S49</f>
        <v/>
      </c>
      <c r="U49" s="2">
        <f>U48-IF(N49="已下單",1,0)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17" t="n">
        <v>0.415</v>
      </c>
      <c r="H50" s="17" t="n">
        <v>0.42745</v>
      </c>
      <c r="I50" s="17" t="n">
        <v>0.39425</v>
      </c>
      <c r="J50" s="17" t="n">
        <v>0.39425</v>
      </c>
      <c r="K50" s="2" t="inlineStr">
        <is>
          <t>止損</t>
        </is>
      </c>
      <c r="L50" s="5">
        <f>交易明細!K26</f>
        <v/>
      </c>
      <c r="M50" s="16">
        <f>M48</f>
        <v/>
      </c>
      <c r="N50" s="2">
        <f>N48</f>
        <v/>
      </c>
      <c r="O50" s="16">
        <f>O48</f>
        <v/>
      </c>
      <c r="P50" s="4">
        <f>交易明細!L26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17" t="n">
        <v>3.672</v>
      </c>
      <c r="H51" s="17" t="n">
        <v>3.78216</v>
      </c>
      <c r="I51" s="17" t="n">
        <v>3.4884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17" t="n">
        <v>0.01528</v>
      </c>
      <c r="H52" s="17" t="n">
        <v>0.0157384</v>
      </c>
      <c r="I52" s="17" t="n">
        <v>0.014516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17" t="n">
        <v>3.672</v>
      </c>
      <c r="H53" s="17" t="n">
        <v>3.78216</v>
      </c>
      <c r="I53" s="17" t="n">
        <v>3.4884</v>
      </c>
      <c r="J53" s="17" t="n">
        <v>3.78216</v>
      </c>
      <c r="K53" s="2" t="inlineStr">
        <is>
          <t>止盈</t>
        </is>
      </c>
      <c r="L53" s="5">
        <f>交易明細!K27</f>
        <v/>
      </c>
      <c r="M53" s="16">
        <f>M51</f>
        <v/>
      </c>
      <c r="N53" s="2">
        <f>N51</f>
        <v/>
      </c>
      <c r="O53" s="16">
        <f>O51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17" t="n">
        <v>0.01528</v>
      </c>
      <c r="H54" s="17" t="n">
        <v>0.0157384</v>
      </c>
      <c r="I54" s="17" t="n">
        <v>0.014516</v>
      </c>
      <c r="J54" s="17" t="n">
        <v>0.0157384</v>
      </c>
      <c r="K54" s="2" t="inlineStr">
        <is>
          <t>止盈</t>
        </is>
      </c>
      <c r="L54" s="5">
        <f>交易明細!K28</f>
        <v/>
      </c>
      <c r="M54" s="16">
        <f>M52</f>
        <v/>
      </c>
      <c r="N54" s="2">
        <f>N52</f>
        <v/>
      </c>
      <c r="O54" s="16">
        <f>O52</f>
        <v/>
      </c>
      <c r="P54" s="4">
        <f>交易明細!L28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17" t="n">
        <v>0.01431</v>
      </c>
      <c r="H55" s="17" t="n">
        <v>0.0138807</v>
      </c>
      <c r="I55" s="17" t="n">
        <v>0.0150255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17" t="n">
        <v>0.01431</v>
      </c>
      <c r="H56" s="17" t="n">
        <v>0.0138807</v>
      </c>
      <c r="I56" s="17" t="n">
        <v>0.0150255</v>
      </c>
      <c r="J56" s="17" t="n">
        <v>0.0138807</v>
      </c>
      <c r="K56" s="2" t="inlineStr">
        <is>
          <t>止盈</t>
        </is>
      </c>
      <c r="L56" s="5">
        <f>交易明細!K29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交易明細!L29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17" t="n">
        <v>0.06269</v>
      </c>
      <c r="H57" s="17" t="n">
        <v>0.0608093</v>
      </c>
      <c r="I57" s="17" t="n">
        <v>0.06582449999999999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17" t="n">
        <v>0.004146</v>
      </c>
      <c r="H58" s="17" t="n">
        <v>0.00402162</v>
      </c>
      <c r="I58" s="17" t="n">
        <v>0.004353300000000001</v>
      </c>
      <c r="J58" s="17" t="n">
        <v>0.00402162</v>
      </c>
      <c r="K58" s="2" t="inlineStr">
        <is>
          <t>止盈</t>
        </is>
      </c>
      <c r="L58" s="5">
        <f>交易明細!K12</f>
        <v/>
      </c>
      <c r="M58" s="16">
        <f>M23</f>
        <v/>
      </c>
      <c r="N58" s="2">
        <f>N23</f>
        <v/>
      </c>
      <c r="O58" s="16">
        <f>O23</f>
        <v/>
      </c>
      <c r="P58" s="4">
        <f>交易明細!L12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17" t="n">
        <v>0.51536</v>
      </c>
      <c r="H59" s="17" t="n">
        <v>0.4998992</v>
      </c>
      <c r="I59" s="17" t="n">
        <v>0.5411280000000001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17" t="n">
        <v>0.51536</v>
      </c>
      <c r="H60" s="17" t="n">
        <v>0.4998992</v>
      </c>
      <c r="I60" s="17" t="n">
        <v>0.5411280000000001</v>
      </c>
      <c r="J60" s="17" t="n">
        <v>0.4998992</v>
      </c>
      <c r="K60" s="2" t="inlineStr">
        <is>
          <t>止盈</t>
        </is>
      </c>
      <c r="L60" s="5">
        <f>交易明細!K31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交易明細!L31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17" t="n">
        <v>3.783</v>
      </c>
      <c r="H61" s="17" t="n">
        <v>3.89649</v>
      </c>
      <c r="I61" s="17" t="n">
        <v>3.59385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17" t="n">
        <v>0.06269</v>
      </c>
      <c r="H62" s="17" t="n">
        <v>0.0608093</v>
      </c>
      <c r="I62" s="17" t="n">
        <v>0.06582449999999999</v>
      </c>
      <c r="J62" s="17" t="n">
        <v>0.0608093</v>
      </c>
      <c r="K62" s="2" t="inlineStr">
        <is>
          <t>止盈</t>
        </is>
      </c>
      <c r="L62" s="5">
        <f>交易明細!K30</f>
        <v/>
      </c>
      <c r="M62" s="16">
        <f>M57</f>
        <v/>
      </c>
      <c r="N62" s="2">
        <f>N57</f>
        <v/>
      </c>
      <c r="O62" s="16">
        <f>O57</f>
        <v/>
      </c>
      <c r="P62" s="4">
        <f>交易明細!L30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17" t="n">
        <v>3.783</v>
      </c>
      <c r="H63" s="17" t="n">
        <v>3.89649</v>
      </c>
      <c r="I63" s="17" t="n">
        <v>3.59385</v>
      </c>
      <c r="J63" s="17" t="n">
        <v>3.89649</v>
      </c>
      <c r="K63" s="2" t="inlineStr">
        <is>
          <t>止盈</t>
        </is>
      </c>
      <c r="L63" s="5">
        <f>交易明細!K32</f>
        <v/>
      </c>
      <c r="M63" s="16">
        <f>M61</f>
        <v/>
      </c>
      <c r="N63" s="2">
        <f>N61</f>
        <v/>
      </c>
      <c r="O63" s="16">
        <f>O61</f>
        <v/>
      </c>
      <c r="P63" s="4">
        <f>交易明細!L32</f>
        <v/>
      </c>
      <c r="Q63" s="10">
        <f>IF(N63="已下單",O63*P63,0)</f>
        <v/>
      </c>
      <c r="R63" s="10">
        <f>R62+Q63</f>
        <v/>
      </c>
      <c r="S63" s="16">
        <f>S62-IF(N63="已下單",M63,0)</f>
        <v/>
      </c>
      <c r="T63" s="16">
        <f>R63-S63</f>
        <v/>
      </c>
      <c r="U63" s="2">
        <f>U62-IF(N63="已下單",1,0)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17" t="n">
        <v>0.022336</v>
      </c>
      <c r="H64" s="17" t="n">
        <v>0.02166592</v>
      </c>
      <c r="I64" s="17" t="n">
        <v>0.0234528</v>
      </c>
      <c r="J64" s="17" t="n"/>
      <c r="K64" s="2" t="n"/>
      <c r="L64" s="5" t="n"/>
      <c r="M64" s="16">
        <f>資金模擬!$B$5*V63</f>
        <v/>
      </c>
      <c r="N64" s="2">
        <f>IF(Z63=1,"已停止",IF(T63&gt;=M64,"已下單","資金不足略過"))</f>
        <v/>
      </c>
      <c r="O64" s="16">
        <f>IF(N64="已下單",M64*資金模擬!$B$7,0)</f>
        <v/>
      </c>
      <c r="P64" s="4" t="n"/>
      <c r="Q64" s="10" t="n">
        <v>0</v>
      </c>
      <c r="R64" s="10">
        <f>R63+Q64</f>
        <v/>
      </c>
      <c r="S64" s="16">
        <f>S63+IF(N64="已下單",M64,0)</f>
        <v/>
      </c>
      <c r="T64" s="16">
        <f>R64-S64</f>
        <v/>
      </c>
      <c r="U64" s="2">
        <f>U63+IF(N64="已下單",1,0)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17" t="n">
        <v>0.022336</v>
      </c>
      <c r="H65" s="17" t="n">
        <v>0.02166592</v>
      </c>
      <c r="I65" s="17" t="n">
        <v>0.0234528</v>
      </c>
      <c r="J65" s="17" t="n">
        <v>0.02166592</v>
      </c>
      <c r="K65" s="2" t="inlineStr">
        <is>
          <t>止盈</t>
        </is>
      </c>
      <c r="L65" s="5">
        <f>交易明細!K33</f>
        <v/>
      </c>
      <c r="M65" s="16">
        <f>M64</f>
        <v/>
      </c>
      <c r="N65" s="2">
        <f>N64</f>
        <v/>
      </c>
      <c r="O65" s="16">
        <f>O64</f>
        <v/>
      </c>
      <c r="P65" s="4">
        <f>交易明細!L33</f>
        <v/>
      </c>
      <c r="Q65" s="10">
        <f>IF(N65="已下單",O65*P65,0)</f>
        <v/>
      </c>
      <c r="R65" s="10">
        <f>R64+Q65</f>
        <v/>
      </c>
      <c r="S65" s="16">
        <f>S64-IF(N65="已下單",M65,0)</f>
        <v/>
      </c>
      <c r="T65" s="16">
        <f>R65-S65</f>
        <v/>
      </c>
      <c r="U65" s="2">
        <f>U64-IF(N65="已下單",1,0)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17" t="n">
        <v>5.744</v>
      </c>
      <c r="H66" s="17" t="n">
        <v>5.57168</v>
      </c>
      <c r="I66" s="17" t="n">
        <v>6.0312</v>
      </c>
      <c r="J66" s="17" t="n">
        <v>6.0312</v>
      </c>
      <c r="K66" s="2" t="inlineStr">
        <is>
          <t>止損</t>
        </is>
      </c>
      <c r="L66" s="5">
        <f>交易明細!K25</f>
        <v/>
      </c>
      <c r="M66" s="16">
        <f>M45</f>
        <v/>
      </c>
      <c r="N66" s="2">
        <f>N45</f>
        <v/>
      </c>
      <c r="O66" s="16">
        <f>O45</f>
        <v/>
      </c>
      <c r="P66" s="4">
        <f>交易明細!L25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17" t="n">
        <v>0.01608</v>
      </c>
      <c r="H67" s="17" t="n">
        <v>0.0165624</v>
      </c>
      <c r="I67" s="17" t="n">
        <v>0.015276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17" t="n">
        <v>0.01608</v>
      </c>
      <c r="H68" s="17" t="n">
        <v>0.0165624</v>
      </c>
      <c r="I68" s="17" t="n">
        <v>0.015276</v>
      </c>
      <c r="J68" s="17" t="n">
        <v>0.0165624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17" t="n">
        <v>3.935</v>
      </c>
      <c r="H69" s="17" t="n">
        <v>4.05305</v>
      </c>
      <c r="I69" s="17" t="n">
        <v>3.73825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17" t="n">
        <v>0.04945</v>
      </c>
      <c r="H70" s="17" t="n">
        <v>0.0509335</v>
      </c>
      <c r="I70" s="17" t="n">
        <v>0.0469775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17" t="n">
        <v>3.935</v>
      </c>
      <c r="H71" s="17" t="n">
        <v>4.05305</v>
      </c>
      <c r="I71" s="17" t="n">
        <v>3.73825</v>
      </c>
      <c r="J71" s="17" t="n">
        <v>4.05305</v>
      </c>
      <c r="K71" s="2" t="inlineStr">
        <is>
          <t>止盈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17" t="n">
        <v>0.04945</v>
      </c>
      <c r="H72" s="17" t="n">
        <v>0.0509335</v>
      </c>
      <c r="I72" s="17" t="n">
        <v>0.0469775</v>
      </c>
      <c r="J72" s="17" t="n">
        <v>0.0469775</v>
      </c>
      <c r="K72" s="2" t="inlineStr">
        <is>
          <t>止損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17" t="n">
        <v>0.01679</v>
      </c>
      <c r="H73" s="17" t="n">
        <v>0.0172937</v>
      </c>
      <c r="I73" s="17" t="n">
        <v>0.0159505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17" t="n">
        <v>0.01679</v>
      </c>
      <c r="H74" s="17" t="n">
        <v>0.0172937</v>
      </c>
      <c r="I74" s="17" t="n">
        <v>0.0159505</v>
      </c>
      <c r="J74" s="17" t="n">
        <v>0.0159505</v>
      </c>
      <c r="K74" s="2" t="inlineStr">
        <is>
          <t>止損</t>
        </is>
      </c>
      <c r="L74" s="5">
        <f>交易明細!K37</f>
        <v/>
      </c>
      <c r="M74" s="16">
        <f>M73</f>
        <v/>
      </c>
      <c r="N74" s="2">
        <f>N73</f>
        <v/>
      </c>
      <c r="O74" s="16">
        <f>O73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17" t="n">
        <v>6.266</v>
      </c>
      <c r="H75" s="17" t="n">
        <v>6.45398</v>
      </c>
      <c r="I75" s="17" t="n">
        <v>5.9527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17" t="n">
        <v>6.266</v>
      </c>
      <c r="H76" s="17" t="n">
        <v>6.45398</v>
      </c>
      <c r="I76" s="17" t="n">
        <v>5.9527</v>
      </c>
      <c r="J76" s="17" t="n">
        <v>6.45398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17" t="n">
        <v>0.004273</v>
      </c>
      <c r="H77" s="17" t="n">
        <v>0.00414481</v>
      </c>
      <c r="I77" s="17" t="n">
        <v>0.00448665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17" t="n">
        <v>0.004273</v>
      </c>
      <c r="H78" s="17" t="n">
        <v>0.00414481</v>
      </c>
      <c r="I78" s="17" t="n">
        <v>0.00448665</v>
      </c>
      <c r="J78" s="17" t="n">
        <v>0.00414481</v>
      </c>
      <c r="K78" s="2" t="inlineStr">
        <is>
          <t>止盈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17" t="n">
        <v>2.334</v>
      </c>
      <c r="H79" s="17" t="n">
        <v>2.26398</v>
      </c>
      <c r="I79" s="17" t="n">
        <v>2.4507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17" t="n">
        <v>0.3675</v>
      </c>
      <c r="H80" s="17" t="n">
        <v>0.378525</v>
      </c>
      <c r="I80" s="17" t="n">
        <v>0.349125</v>
      </c>
      <c r="J80" s="17" t="n"/>
      <c r="K80" s="2" t="n"/>
      <c r="L80" s="5" t="n"/>
      <c r="M80" s="16">
        <f>資金模擬!$B$5*V79</f>
        <v/>
      </c>
      <c r="N80" s="2">
        <f>IF(Z79=1,"已停止",IF(T79&gt;=M80,"已下單","資金不足略過"))</f>
        <v/>
      </c>
      <c r="O80" s="16">
        <f>IF(N80="已下單",M80*資金模擬!$B$7,0)</f>
        <v/>
      </c>
      <c r="P80" s="4" t="n"/>
      <c r="Q80" s="10" t="n">
        <v>0</v>
      </c>
      <c r="R80" s="10">
        <f>R79+Q80</f>
        <v/>
      </c>
      <c r="S80" s="16">
        <f>S79+IF(N80="已下單",M80,0)</f>
        <v/>
      </c>
      <c r="T80" s="16">
        <f>R80-S80</f>
        <v/>
      </c>
      <c r="U80" s="2">
        <f>U79+IF(N80="已下單",1,0)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17" t="n">
        <v>0.3675</v>
      </c>
      <c r="H81" s="17" t="n">
        <v>0.378525</v>
      </c>
      <c r="I81" s="17" t="n">
        <v>0.349125</v>
      </c>
      <c r="J81" s="17" t="n">
        <v>0.378525</v>
      </c>
      <c r="K81" s="2" t="inlineStr">
        <is>
          <t>止盈</t>
        </is>
      </c>
      <c r="L81" s="5">
        <f>交易明細!K41</f>
        <v/>
      </c>
      <c r="M81" s="16">
        <f>M80</f>
        <v/>
      </c>
      <c r="N81" s="2">
        <f>N80</f>
        <v/>
      </c>
      <c r="O81" s="16">
        <f>O80</f>
        <v/>
      </c>
      <c r="P81" s="4">
        <f>交易明細!L41</f>
        <v/>
      </c>
      <c r="Q81" s="10">
        <f>IF(N81="已下單",O81*P81,0)</f>
        <v/>
      </c>
      <c r="R81" s="10">
        <f>R80+Q81</f>
        <v/>
      </c>
      <c r="S81" s="16">
        <f>S80-IF(N81="已下單",M81,0)</f>
        <v/>
      </c>
      <c r="T81" s="16">
        <f>R81-S81</f>
        <v/>
      </c>
      <c r="U81" s="2">
        <f>U80-IF(N81="已下單",1,0)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17" t="n">
        <v>0.0548</v>
      </c>
      <c r="H82" s="17" t="n">
        <v>0.053156</v>
      </c>
      <c r="I82" s="17" t="n">
        <v>0.05754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17" t="n">
        <v>0.6479</v>
      </c>
      <c r="H83" s="17" t="n">
        <v>0.6673370000000001</v>
      </c>
      <c r="I83" s="17" t="n">
        <v>0.615505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17" t="n">
        <v>0.3446</v>
      </c>
      <c r="H84" s="17" t="n">
        <v>0.334262</v>
      </c>
      <c r="I84" s="17" t="n">
        <v>0.36183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17" t="n">
        <v>0.6479</v>
      </c>
      <c r="H85" s="17" t="n">
        <v>0.6673370000000001</v>
      </c>
      <c r="I85" s="17" t="n">
        <v>0.615505</v>
      </c>
      <c r="J85" s="17" t="n">
        <v>0.6673370000000001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17" t="n">
        <v>0.3446</v>
      </c>
      <c r="H86" s="17" t="n">
        <v>0.334262</v>
      </c>
      <c r="I86" s="17" t="n">
        <v>0.36183</v>
      </c>
      <c r="J86" s="17" t="n">
        <v>0.36183</v>
      </c>
      <c r="K86" s="2" t="inlineStr">
        <is>
          <t>止損</t>
        </is>
      </c>
      <c r="L86" s="5">
        <f>交易明細!K44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交易明細!L44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17" t="n">
        <v>0.03347</v>
      </c>
      <c r="H87" s="17" t="n">
        <v>0.0344741</v>
      </c>
      <c r="I87" s="17" t="n">
        <v>0.0317965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17" t="n">
        <v>6.366</v>
      </c>
      <c r="H88" s="17" t="n">
        <v>6.55698</v>
      </c>
      <c r="I88" s="17" t="n">
        <v>6.047699999999999</v>
      </c>
      <c r="J88" s="17" t="n"/>
      <c r="K88" s="2" t="n"/>
      <c r="L88" s="5" t="n"/>
      <c r="M88" s="16">
        <f>資金模擬!$B$5*V87</f>
        <v/>
      </c>
      <c r="N88" s="2">
        <f>IF(Z87=1,"已停止",IF(T87&gt;=M88,"已下單","資金不足略過"))</f>
        <v/>
      </c>
      <c r="O88" s="16">
        <f>IF(N88="已下單",M88*資金模擬!$B$7,0)</f>
        <v/>
      </c>
      <c r="P88" s="4" t="n"/>
      <c r="Q88" s="10" t="n">
        <v>0</v>
      </c>
      <c r="R88" s="10">
        <f>R87+Q88</f>
        <v/>
      </c>
      <c r="S88" s="16">
        <f>S87+IF(N88="已下單",M88,0)</f>
        <v/>
      </c>
      <c r="T88" s="16">
        <f>R88-S88</f>
        <v/>
      </c>
      <c r="U88" s="2">
        <f>U87+IF(N88="已下單",1,0)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17" t="n">
        <v>0.096</v>
      </c>
      <c r="H89" s="17" t="n">
        <v>0.09888000000000001</v>
      </c>
      <c r="I89" s="17" t="n">
        <v>0.0912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17" t="n">
        <v>0.0548</v>
      </c>
      <c r="H90" s="17" t="n">
        <v>0.053156</v>
      </c>
      <c r="I90" s="17" t="n">
        <v>0.05754</v>
      </c>
      <c r="J90" s="17" t="n">
        <v>0.05754</v>
      </c>
      <c r="K90" s="2" t="inlineStr">
        <is>
          <t>止損</t>
        </is>
      </c>
      <c r="L90" s="5">
        <f>交易明細!K42</f>
        <v/>
      </c>
      <c r="M90" s="16">
        <f>M82</f>
        <v/>
      </c>
      <c r="N90" s="2">
        <f>N82</f>
        <v/>
      </c>
      <c r="O90" s="16">
        <f>O82</f>
        <v/>
      </c>
      <c r="P90" s="4">
        <f>交易明細!L42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17" t="n">
        <v>0.03347</v>
      </c>
      <c r="H91" s="17" t="n">
        <v>0.0344741</v>
      </c>
      <c r="I91" s="17" t="n">
        <v>0.0317965</v>
      </c>
      <c r="J91" s="17" t="n">
        <v>0.0344741</v>
      </c>
      <c r="K91" s="2" t="inlineStr">
        <is>
          <t>止盈</t>
        </is>
      </c>
      <c r="L91" s="5">
        <f>交易明細!K45</f>
        <v/>
      </c>
      <c r="M91" s="16">
        <f>M87</f>
        <v/>
      </c>
      <c r="N91" s="2">
        <f>N87</f>
        <v/>
      </c>
      <c r="O91" s="16">
        <f>O87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17" t="n">
        <v>0.1404</v>
      </c>
      <c r="H92" s="17" t="n">
        <v>0.144612</v>
      </c>
      <c r="I92" s="17" t="n">
        <v>0.13338</v>
      </c>
      <c r="J92" s="17" t="n"/>
      <c r="K92" s="2" t="n"/>
      <c r="L92" s="5" t="n"/>
      <c r="M92" s="16">
        <f>資金模擬!$B$5*V91</f>
        <v/>
      </c>
      <c r="N92" s="2">
        <f>IF(Z91=1,"已停止",IF(T91&gt;=M92,"已下單","資金不足略過"))</f>
        <v/>
      </c>
      <c r="O92" s="16">
        <f>IF(N92="已下單",M92*資金模擬!$B$7,0)</f>
        <v/>
      </c>
      <c r="P92" s="4" t="n"/>
      <c r="Q92" s="10" t="n">
        <v>0</v>
      </c>
      <c r="R92" s="10">
        <f>R91+Q92</f>
        <v/>
      </c>
      <c r="S92" s="16">
        <f>S91+IF(N92="已下單",M92,0)</f>
        <v/>
      </c>
      <c r="T92" s="16">
        <f>R92-S92</f>
        <v/>
      </c>
      <c r="U92" s="2">
        <f>U91+IF(N92="已下單",1,0)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17" t="n">
        <v>0.05138</v>
      </c>
      <c r="H93" s="17" t="n">
        <v>0.0529214</v>
      </c>
      <c r="I93" s="17" t="n">
        <v>0.048811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17" t="n">
        <v>0.6109</v>
      </c>
      <c r="H94" s="17" t="n">
        <v>0.592573</v>
      </c>
      <c r="I94" s="17" t="n">
        <v>0.641445</v>
      </c>
      <c r="J94" s="17" t="n"/>
      <c r="K94" s="2" t="n"/>
      <c r="L94" s="5" t="n"/>
      <c r="M94" s="16">
        <f>資金模擬!$B$5*V93</f>
        <v/>
      </c>
      <c r="N94" s="2">
        <f>IF(Z93=1,"已停止",IF(T93&gt;=M94,"已下單","資金不足略過"))</f>
        <v/>
      </c>
      <c r="O94" s="16">
        <f>IF(N94="已下單",M94*資金模擬!$B$7,0)</f>
        <v/>
      </c>
      <c r="P94" s="4" t="n"/>
      <c r="Q94" s="10" t="n">
        <v>0</v>
      </c>
      <c r="R94" s="10">
        <f>R93+Q94</f>
        <v/>
      </c>
      <c r="S94" s="16">
        <f>S93+IF(N94="已下單",M94,0)</f>
        <v/>
      </c>
      <c r="T94" s="16">
        <f>R94-S94</f>
        <v/>
      </c>
      <c r="U94" s="2">
        <f>U93+IF(N94="已下單",1,0)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17" t="n">
        <v>0.03417</v>
      </c>
      <c r="H95" s="17" t="n">
        <v>0.0351951</v>
      </c>
      <c r="I95" s="17" t="n">
        <v>0.0324615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17" t="n">
        <v>0.096</v>
      </c>
      <c r="H96" s="17" t="n">
        <v>0.09888000000000001</v>
      </c>
      <c r="I96" s="17" t="n">
        <v>0.0912</v>
      </c>
      <c r="J96" s="17" t="n">
        <v>0.09888000000000001</v>
      </c>
      <c r="K96" s="2" t="inlineStr">
        <is>
          <t>止盈</t>
        </is>
      </c>
      <c r="L96" s="5">
        <f>交易明細!K47</f>
        <v/>
      </c>
      <c r="M96" s="16">
        <f>M89</f>
        <v/>
      </c>
      <c r="N96" s="2">
        <f>N89</f>
        <v/>
      </c>
      <c r="O96" s="16">
        <f>O89</f>
        <v/>
      </c>
      <c r="P96" s="4">
        <f>交易明細!L47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17" t="n">
        <v>0.03417</v>
      </c>
      <c r="H97" s="17" t="n">
        <v>0.0351951</v>
      </c>
      <c r="I97" s="17" t="n">
        <v>0.0324615</v>
      </c>
      <c r="J97" s="17" t="n">
        <v>0.0351951</v>
      </c>
      <c r="K97" s="2" t="inlineStr">
        <is>
          <t>止盈</t>
        </is>
      </c>
      <c r="L97" s="5">
        <f>交易明細!K51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交易明細!L51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17" t="n">
        <v>2.334</v>
      </c>
      <c r="H98" s="17" t="n">
        <v>2.26398</v>
      </c>
      <c r="I98" s="17" t="n">
        <v>2.4507</v>
      </c>
      <c r="J98" s="17" t="n">
        <v>2.26398</v>
      </c>
      <c r="K98" s="2" t="inlineStr">
        <is>
          <t>止盈</t>
        </is>
      </c>
      <c r="L98" s="5">
        <f>交易明細!K40</f>
        <v/>
      </c>
      <c r="M98" s="16">
        <f>M79</f>
        <v/>
      </c>
      <c r="N98" s="2">
        <f>N79</f>
        <v/>
      </c>
      <c r="O98" s="16">
        <f>O79</f>
        <v/>
      </c>
      <c r="P98" s="4">
        <f>交易明細!L40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17" t="n">
        <v>0.1404</v>
      </c>
      <c r="H99" s="17" t="n">
        <v>0.144612</v>
      </c>
      <c r="I99" s="17" t="n">
        <v>0.13338</v>
      </c>
      <c r="J99" s="17" t="n">
        <v>0.13338</v>
      </c>
      <c r="K99" s="2" t="inlineStr">
        <is>
          <t>止損</t>
        </is>
      </c>
      <c r="L99" s="5">
        <f>交易明細!K48</f>
        <v/>
      </c>
      <c r="M99" s="16">
        <f>M92</f>
        <v/>
      </c>
      <c r="N99" s="2">
        <f>N92</f>
        <v/>
      </c>
      <c r="O99" s="16">
        <f>O92</f>
        <v/>
      </c>
      <c r="P99" s="4">
        <f>交易明細!L48</f>
        <v/>
      </c>
      <c r="Q99" s="10">
        <f>IF(N99="已下單",O99*P99,0)</f>
        <v/>
      </c>
      <c r="R99" s="10">
        <f>R98+Q99</f>
        <v/>
      </c>
      <c r="S99" s="16">
        <f>S98-IF(N99="已下單",M99,0)</f>
        <v/>
      </c>
      <c r="T99" s="16">
        <f>R99-S99</f>
        <v/>
      </c>
      <c r="U99" s="2">
        <f>U98-IF(N99="已下單",1,0)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17" t="n">
        <v>0.05138</v>
      </c>
      <c r="H100" s="17" t="n">
        <v>0.0529214</v>
      </c>
      <c r="I100" s="17" t="n">
        <v>0.048811</v>
      </c>
      <c r="J100" s="17" t="n">
        <v>0.048811</v>
      </c>
      <c r="K100" s="2" t="inlineStr">
        <is>
          <t>止損</t>
        </is>
      </c>
      <c r="L100" s="5">
        <f>交易明細!K49</f>
        <v/>
      </c>
      <c r="M100" s="16">
        <f>M93</f>
        <v/>
      </c>
      <c r="N100" s="2">
        <f>N93</f>
        <v/>
      </c>
      <c r="O100" s="16">
        <f>O93</f>
        <v/>
      </c>
      <c r="P100" s="4">
        <f>交易明細!L49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17" t="n">
        <v>0.6109</v>
      </c>
      <c r="H101" s="17" t="n">
        <v>0.592573</v>
      </c>
      <c r="I101" s="17" t="n">
        <v>0.641445</v>
      </c>
      <c r="J101" s="17" t="n">
        <v>0.641445</v>
      </c>
      <c r="K101" s="2" t="inlineStr">
        <is>
          <t>止損</t>
        </is>
      </c>
      <c r="L101" s="5">
        <f>交易明細!K50</f>
        <v/>
      </c>
      <c r="M101" s="16">
        <f>M94</f>
        <v/>
      </c>
      <c r="N101" s="2">
        <f>N94</f>
        <v/>
      </c>
      <c r="O101" s="16">
        <f>O94</f>
        <v/>
      </c>
      <c r="P101" s="4">
        <f>交易明細!L50</f>
        <v/>
      </c>
      <c r="Q101" s="10">
        <f>IF(N101="已下單",O101*P101,0)</f>
        <v/>
      </c>
      <c r="R101" s="10">
        <f>R100+Q101</f>
        <v/>
      </c>
      <c r="S101" s="16">
        <f>S100-IF(N101="已下單",M101,0)</f>
        <v/>
      </c>
      <c r="T101" s="16">
        <f>R101-S101</f>
        <v/>
      </c>
      <c r="U101" s="2">
        <f>U100-IF(N101="已下單",1,0)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17" t="n">
        <v>0.1636</v>
      </c>
      <c r="H102" s="17" t="n">
        <v>0.158692</v>
      </c>
      <c r="I102" s="17" t="n">
        <v>0.17178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17" t="n">
        <v>0.008347</v>
      </c>
      <c r="H103" s="17" t="n">
        <v>0.008096590000000001</v>
      </c>
      <c r="I103" s="17" t="n">
        <v>0.008764350000000001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17" t="n">
        <v>0.004101</v>
      </c>
      <c r="H104" s="17" t="n">
        <v>0.00397797</v>
      </c>
      <c r="I104" s="17" t="n">
        <v>0.00430605</v>
      </c>
      <c r="J104" s="17" t="n"/>
      <c r="K104" s="2" t="n"/>
      <c r="L104" s="5" t="n"/>
      <c r="M104" s="16">
        <f>資金模擬!$B$5*V103</f>
        <v/>
      </c>
      <c r="N104" s="2">
        <f>IF(Z103=1,"已停止",IF(T103&gt;=M104,"已下單","資金不足略過"))</f>
        <v/>
      </c>
      <c r="O104" s="16">
        <f>IF(N104="已下單",M104*資金模擬!$B$7,0)</f>
        <v/>
      </c>
      <c r="P104" s="4" t="n"/>
      <c r="Q104" s="10" t="n">
        <v>0</v>
      </c>
      <c r="R104" s="10">
        <f>R103+Q104</f>
        <v/>
      </c>
      <c r="S104" s="16">
        <f>S103+IF(N104="已下單",M104,0)</f>
        <v/>
      </c>
      <c r="T104" s="16">
        <f>R104-S104</f>
        <v/>
      </c>
      <c r="U104" s="2">
        <f>U103+IF(N104="已下單",1,0)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17" t="n">
        <v>0.092</v>
      </c>
      <c r="H105" s="17" t="n">
        <v>0.08924</v>
      </c>
      <c r="I105" s="17" t="n">
        <v>0.09660000000000001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17" t="n">
        <v>6.366</v>
      </c>
      <c r="H106" s="17" t="n">
        <v>6.55698</v>
      </c>
      <c r="I106" s="17" t="n">
        <v>6.047699999999999</v>
      </c>
      <c r="J106" s="17" t="n">
        <v>6.047699999999999</v>
      </c>
      <c r="K106" s="2" t="inlineStr">
        <is>
          <t>止損</t>
        </is>
      </c>
      <c r="L106" s="5">
        <f>交易明細!K46</f>
        <v/>
      </c>
      <c r="M106" s="16">
        <f>M88</f>
        <v/>
      </c>
      <c r="N106" s="2">
        <f>N88</f>
        <v/>
      </c>
      <c r="O106" s="16">
        <f>O88</f>
        <v/>
      </c>
      <c r="P106" s="4">
        <f>交易明細!L46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17" t="n">
        <v>0.004101</v>
      </c>
      <c r="H107" s="17" t="n">
        <v>0.00397797</v>
      </c>
      <c r="I107" s="17" t="n">
        <v>0.00430605</v>
      </c>
      <c r="J107" s="17" t="n">
        <v>0.00430605</v>
      </c>
      <c r="K107" s="2" t="inlineStr">
        <is>
          <t>止損</t>
        </is>
      </c>
      <c r="L107" s="5">
        <f>交易明細!K54</f>
        <v/>
      </c>
      <c r="M107" s="16">
        <f>M104</f>
        <v/>
      </c>
      <c r="N107" s="2">
        <f>N104</f>
        <v/>
      </c>
      <c r="O107" s="16">
        <f>O104</f>
        <v/>
      </c>
      <c r="P107" s="4">
        <f>交易明細!L54</f>
        <v/>
      </c>
      <c r="Q107" s="10">
        <f>IF(N107="已下單",O107*P107,0)</f>
        <v/>
      </c>
      <c r="R107" s="10">
        <f>R106+Q107</f>
        <v/>
      </c>
      <c r="S107" s="16">
        <f>S106-IF(N107="已下單",M107,0)</f>
        <v/>
      </c>
      <c r="T107" s="16">
        <f>R107-S107</f>
        <v/>
      </c>
      <c r="U107" s="2">
        <f>U106-IF(N107="已下單",1,0)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17" t="n">
        <v>0.1319</v>
      </c>
      <c r="H108" s="17" t="n">
        <v>0.127943</v>
      </c>
      <c r="I108" s="17" t="n">
        <v>0.138495</v>
      </c>
      <c r="J108" s="17" t="n"/>
      <c r="K108" s="2" t="n"/>
      <c r="L108" s="5" t="n"/>
      <c r="M108" s="16">
        <f>資金模擬!$B$5*V107</f>
        <v/>
      </c>
      <c r="N108" s="2">
        <f>IF(Z107=1,"已停止",IF(T107&gt;=M108,"已下單","資金不足略過"))</f>
        <v/>
      </c>
      <c r="O108" s="16">
        <f>IF(N108="已下單",M108*資金模擬!$B$7,0)</f>
        <v/>
      </c>
      <c r="P108" s="4" t="n"/>
      <c r="Q108" s="10" t="n">
        <v>0</v>
      </c>
      <c r="R108" s="10">
        <f>R107+Q108</f>
        <v/>
      </c>
      <c r="S108" s="16">
        <f>S107+IF(N108="已下單",M108,0)</f>
        <v/>
      </c>
      <c r="T108" s="16">
        <f>R108-S108</f>
        <v/>
      </c>
      <c r="U108" s="2">
        <f>U107+IF(N108="已下單",1,0)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17" t="n">
        <v>0.05085</v>
      </c>
      <c r="H109" s="17" t="n">
        <v>0.0523755</v>
      </c>
      <c r="I109" s="17" t="n">
        <v>0.0483075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17" t="n">
        <v>0.6034</v>
      </c>
      <c r="H110" s="17" t="n">
        <v>0.585298</v>
      </c>
      <c r="I110" s="17" t="n">
        <v>0.6335700000000001</v>
      </c>
      <c r="J110" s="17" t="n"/>
      <c r="K110" s="2" t="n"/>
      <c r="L110" s="5" t="n"/>
      <c r="M110" s="16">
        <f>資金模擬!$B$5*V109</f>
        <v/>
      </c>
      <c r="N110" s="2">
        <f>IF(Z109=1,"已停止",IF(T109&gt;=M110,"已下單","資金不足略過"))</f>
        <v/>
      </c>
      <c r="O110" s="16">
        <f>IF(N110="已下單",M110*資金模擬!$B$7,0)</f>
        <v/>
      </c>
      <c r="P110" s="4" t="n"/>
      <c r="Q110" s="10" t="n">
        <v>0</v>
      </c>
      <c r="R110" s="10">
        <f>R109+Q110</f>
        <v/>
      </c>
      <c r="S110" s="16">
        <f>S109+IF(N110="已下單",M110,0)</f>
        <v/>
      </c>
      <c r="T110" s="16">
        <f>R110-S110</f>
        <v/>
      </c>
      <c r="U110" s="2">
        <f>U109+IF(N110="已下單",1,0)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17" t="n">
        <v>0.1626</v>
      </c>
      <c r="H111" s="17" t="n">
        <v>0.157722</v>
      </c>
      <c r="I111" s="17" t="n">
        <v>0.17073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17" t="n">
        <v>0.004196</v>
      </c>
      <c r="H112" s="17" t="n">
        <v>0.00407012</v>
      </c>
      <c r="I112" s="17" t="n">
        <v>0.004405800000000001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17" t="n">
        <v>0.6034</v>
      </c>
      <c r="H113" s="17" t="n">
        <v>0.585298</v>
      </c>
      <c r="I113" s="17" t="n">
        <v>0.6335700000000001</v>
      </c>
      <c r="J113" s="17" t="n">
        <v>0.585298</v>
      </c>
      <c r="K113" s="2" t="inlineStr">
        <is>
          <t>止盈</t>
        </is>
      </c>
      <c r="L113" s="5">
        <f>交易明細!K58</f>
        <v/>
      </c>
      <c r="M113" s="16">
        <f>M110</f>
        <v/>
      </c>
      <c r="N113" s="2">
        <f>N110</f>
        <v/>
      </c>
      <c r="O113" s="16">
        <f>O110</f>
        <v/>
      </c>
      <c r="P113" s="4">
        <f>交易明細!L58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17" t="n">
        <v>0.004196</v>
      </c>
      <c r="H114" s="17" t="n">
        <v>0.00407012</v>
      </c>
      <c r="I114" s="17" t="n">
        <v>0.004405800000000001</v>
      </c>
      <c r="J114" s="17" t="n">
        <v>0.004405800000000001</v>
      </c>
      <c r="K114" s="2" t="inlineStr">
        <is>
          <t>止損</t>
        </is>
      </c>
      <c r="L114" s="5">
        <f>交易明細!K60</f>
        <v/>
      </c>
      <c r="M114" s="16">
        <f>M112</f>
        <v/>
      </c>
      <c r="N114" s="2">
        <f>N112</f>
        <v/>
      </c>
      <c r="O114" s="16">
        <f>O112</f>
        <v/>
      </c>
      <c r="P114" s="4">
        <f>交易明細!L60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17" t="n">
        <v>0.23932</v>
      </c>
      <c r="H115" s="17" t="n">
        <v>0.2464996</v>
      </c>
      <c r="I115" s="17" t="n">
        <v>0.227354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17" t="n">
        <v>0.23932</v>
      </c>
      <c r="H116" s="17" t="n">
        <v>0.2464996</v>
      </c>
      <c r="I116" s="17" t="n">
        <v>0.227354</v>
      </c>
      <c r="J116" s="17" t="n">
        <v>0.2464996</v>
      </c>
      <c r="K116" s="2" t="inlineStr">
        <is>
          <t>止盈</t>
        </is>
      </c>
      <c r="L116" s="5">
        <f>交易明細!K61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交易明細!L61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17" t="n">
        <v>0.0049</v>
      </c>
      <c r="H117" s="17" t="n">
        <v>0.005047</v>
      </c>
      <c r="I117" s="17" t="n">
        <v>0.004654999999999999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17" t="n">
        <v>0.05085</v>
      </c>
      <c r="H118" s="17" t="n">
        <v>0.0523755</v>
      </c>
      <c r="I118" s="17" t="n">
        <v>0.0483075</v>
      </c>
      <c r="J118" s="17" t="n">
        <v>0.0523755</v>
      </c>
      <c r="K118" s="2" t="inlineStr">
        <is>
          <t>止盈</t>
        </is>
      </c>
      <c r="L118" s="5">
        <f>交易明細!K57</f>
        <v/>
      </c>
      <c r="M118" s="16">
        <f>M109</f>
        <v/>
      </c>
      <c r="N118" s="2">
        <f>N109</f>
        <v/>
      </c>
      <c r="O118" s="16">
        <f>O109</f>
        <v/>
      </c>
      <c r="P118" s="4">
        <f>交易明細!L57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17" t="n">
        <v>0.6736</v>
      </c>
      <c r="H119" s="17" t="n">
        <v>0.653392</v>
      </c>
      <c r="I119" s="17" t="n">
        <v>0.70728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17" t="n">
        <v>0.0049</v>
      </c>
      <c r="H120" s="17" t="n">
        <v>0.005047</v>
      </c>
      <c r="I120" s="17" t="n">
        <v>0.004654999999999999</v>
      </c>
      <c r="J120" s="17" t="n">
        <v>0.005047</v>
      </c>
      <c r="K120" s="2" t="inlineStr">
        <is>
          <t>止盈</t>
        </is>
      </c>
      <c r="L120" s="5">
        <f>交易明細!K62</f>
        <v/>
      </c>
      <c r="M120" s="16">
        <f>M117</f>
        <v/>
      </c>
      <c r="N120" s="2">
        <f>N117</f>
        <v/>
      </c>
      <c r="O120" s="16">
        <f>O117</f>
        <v/>
      </c>
      <c r="P120" s="4">
        <f>交易明細!L62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17" t="n">
        <v>0.6736</v>
      </c>
      <c r="H121" s="17" t="n">
        <v>0.653392</v>
      </c>
      <c r="I121" s="17" t="n">
        <v>0.70728</v>
      </c>
      <c r="J121" s="17" t="n">
        <v>0.70728</v>
      </c>
      <c r="K121" s="2" t="inlineStr">
        <is>
          <t>止損</t>
        </is>
      </c>
      <c r="L121" s="5">
        <f>交易明細!K63</f>
        <v/>
      </c>
      <c r="M121" s="16">
        <f>M119</f>
        <v/>
      </c>
      <c r="N121" s="2">
        <f>N119</f>
        <v/>
      </c>
      <c r="O121" s="16">
        <f>O119</f>
        <v/>
      </c>
      <c r="P121" s="4">
        <f>交易明細!L63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17" t="n">
        <v>4.817</v>
      </c>
      <c r="H122" s="17" t="n">
        <v>4.961510000000001</v>
      </c>
      <c r="I122" s="17" t="n">
        <v>4.57615</v>
      </c>
      <c r="J122" s="17" t="n"/>
      <c r="K122" s="2" t="n"/>
      <c r="L122" s="5" t="n"/>
      <c r="M122" s="16">
        <f>資金模擬!$B$5*V121</f>
        <v/>
      </c>
      <c r="N122" s="2">
        <f>IF(Z121=1,"已停止",IF(T121&gt;=M122,"已下單","資金不足略過"))</f>
        <v/>
      </c>
      <c r="O122" s="16">
        <f>IF(N122="已下單",M122*資金模擬!$B$7,0)</f>
        <v/>
      </c>
      <c r="P122" s="4" t="n"/>
      <c r="Q122" s="10" t="n">
        <v>0</v>
      </c>
      <c r="R122" s="10">
        <f>R121+Q122</f>
        <v/>
      </c>
      <c r="S122" s="16">
        <f>S121+IF(N122="已下單",M122,0)</f>
        <v/>
      </c>
      <c r="T122" s="16">
        <f>R122-S122</f>
        <v/>
      </c>
      <c r="U122" s="2">
        <f>U121+IF(N122="已下單",1,0)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17" t="n">
        <v>0.443</v>
      </c>
      <c r="H123" s="17" t="n">
        <v>0.42971</v>
      </c>
      <c r="I123" s="17" t="n">
        <v>0.46515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17" t="n">
        <v>0.443</v>
      </c>
      <c r="H124" s="17" t="n">
        <v>0.42971</v>
      </c>
      <c r="I124" s="17" t="n">
        <v>0.46515</v>
      </c>
      <c r="J124" s="17" t="n">
        <v>0.46515</v>
      </c>
      <c r="K124" s="2" t="inlineStr">
        <is>
          <t>止損</t>
        </is>
      </c>
      <c r="L124" s="5">
        <f>交易明細!K65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交易明細!L65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17" t="n">
        <v>0.19456</v>
      </c>
      <c r="H125" s="17" t="n">
        <v>0.2003968</v>
      </c>
      <c r="I125" s="17" t="n">
        <v>0.184832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17" t="n">
        <v>0.19456</v>
      </c>
      <c r="H126" s="17" t="n">
        <v>0.2003968</v>
      </c>
      <c r="I126" s="17" t="n">
        <v>0.184832</v>
      </c>
      <c r="J126" s="17" t="n">
        <v>0.2003968</v>
      </c>
      <c r="K126" s="2" t="inlineStr">
        <is>
          <t>止盈</t>
        </is>
      </c>
      <c r="L126" s="5">
        <f>交易明細!K66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交易明細!L66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17" t="n">
        <v>0.23397</v>
      </c>
      <c r="H127" s="17" t="n">
        <v>0.2269509</v>
      </c>
      <c r="I127" s="17" t="n">
        <v>0.2456685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17" t="n">
        <v>0.02597</v>
      </c>
      <c r="H128" s="17" t="n">
        <v>0.0267491</v>
      </c>
      <c r="I128" s="17" t="n">
        <v>0.0246715</v>
      </c>
      <c r="J128" s="17" t="n"/>
      <c r="K128" s="2" t="n"/>
      <c r="L128" s="5" t="n"/>
      <c r="M128" s="16">
        <f>資金模擬!$B$5*V127</f>
        <v/>
      </c>
      <c r="N128" s="2">
        <f>IF(Z127=1,"已停止",IF(T127&gt;=M128,"已下單","資金不足略過"))</f>
        <v/>
      </c>
      <c r="O128" s="16">
        <f>IF(N128="已下單",M128*資金模擬!$B$7,0)</f>
        <v/>
      </c>
      <c r="P128" s="4" t="n"/>
      <c r="Q128" s="10" t="n">
        <v>0</v>
      </c>
      <c r="R128" s="10">
        <f>R127+Q128</f>
        <v/>
      </c>
      <c r="S128" s="16">
        <f>S127+IF(N128="已下單",M128,0)</f>
        <v/>
      </c>
      <c r="T128" s="16">
        <f>R128-S128</f>
        <v/>
      </c>
      <c r="U128" s="2">
        <f>U127+IF(N128="已下單",1,0)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17" t="n">
        <v>0.23397</v>
      </c>
      <c r="H129" s="17" t="n">
        <v>0.2269509</v>
      </c>
      <c r="I129" s="17" t="n">
        <v>0.2456685</v>
      </c>
      <c r="J129" s="17" t="n">
        <v>0.2456685</v>
      </c>
      <c r="K129" s="2" t="inlineStr">
        <is>
          <t>止損</t>
        </is>
      </c>
      <c r="L129" s="5">
        <f>交易明細!K67</f>
        <v/>
      </c>
      <c r="M129" s="16">
        <f>M127</f>
        <v/>
      </c>
      <c r="N129" s="2">
        <f>N127</f>
        <v/>
      </c>
      <c r="O129" s="16">
        <f>O127</f>
        <v/>
      </c>
      <c r="P129" s="4">
        <f>交易明細!L67</f>
        <v/>
      </c>
      <c r="Q129" s="10">
        <f>IF(N129="已下單",O129*P129,0)</f>
        <v/>
      </c>
      <c r="R129" s="10">
        <f>R128+Q129</f>
        <v/>
      </c>
      <c r="S129" s="16">
        <f>S128-IF(N129="已下單",M129,0)</f>
        <v/>
      </c>
      <c r="T129" s="16">
        <f>R129-S129</f>
        <v/>
      </c>
      <c r="U129" s="2">
        <f>U128-IF(N129="已下單",1,0)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17" t="n">
        <v>0.02597</v>
      </c>
      <c r="H130" s="17" t="n">
        <v>0.0267491</v>
      </c>
      <c r="I130" s="17" t="n">
        <v>0.0246715</v>
      </c>
      <c r="J130" s="17" t="n">
        <v>0.0267491</v>
      </c>
      <c r="K130" s="2" t="inlineStr">
        <is>
          <t>止盈</t>
        </is>
      </c>
      <c r="L130" s="5">
        <f>交易明細!K68</f>
        <v/>
      </c>
      <c r="M130" s="16">
        <f>M128</f>
        <v/>
      </c>
      <c r="N130" s="2">
        <f>N128</f>
        <v/>
      </c>
      <c r="O130" s="16">
        <f>O128</f>
        <v/>
      </c>
      <c r="P130" s="4">
        <f>交易明細!L68</f>
        <v/>
      </c>
      <c r="Q130" s="10">
        <f>IF(N130="已下單",O130*P130,0)</f>
        <v/>
      </c>
      <c r="R130" s="10">
        <f>R129+Q130</f>
        <v/>
      </c>
      <c r="S130" s="16">
        <f>S129-IF(N130="已下單",M130,0)</f>
        <v/>
      </c>
      <c r="T130" s="16">
        <f>R130-S130</f>
        <v/>
      </c>
      <c r="U130" s="2">
        <f>U129-IF(N130="已下單",1,0)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17" t="n">
        <v>0.02716</v>
      </c>
      <c r="H131" s="17" t="n">
        <v>0.0279748</v>
      </c>
      <c r="I131" s="17" t="n">
        <v>0.025802</v>
      </c>
      <c r="J131" s="17" t="n"/>
      <c r="K131" s="2" t="n"/>
      <c r="L131" s="5" t="n"/>
      <c r="M131" s="16">
        <f>資金模擬!$B$5*V130</f>
        <v/>
      </c>
      <c r="N131" s="2">
        <f>IF(Z130=1,"已停止",IF(T130&gt;=M131,"已下單","資金不足略過"))</f>
        <v/>
      </c>
      <c r="O131" s="16">
        <f>IF(N131="已下單",M131*資金模擬!$B$7,0)</f>
        <v/>
      </c>
      <c r="P131" s="4" t="n"/>
      <c r="Q131" s="10" t="n">
        <v>0</v>
      </c>
      <c r="R131" s="10">
        <f>R130+Q131</f>
        <v/>
      </c>
      <c r="S131" s="16">
        <f>S130+IF(N131="已下單",M131,0)</f>
        <v/>
      </c>
      <c r="T131" s="16">
        <f>R131-S131</f>
        <v/>
      </c>
      <c r="U131" s="2">
        <f>U130+IF(N131="已下單",1,0)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17" t="n">
        <v>0.1626</v>
      </c>
      <c r="H132" s="17" t="n">
        <v>0.157722</v>
      </c>
      <c r="I132" s="17" t="n">
        <v>0.17073</v>
      </c>
      <c r="J132" s="17" t="n">
        <v>0.17073</v>
      </c>
      <c r="K132" s="2" t="inlineStr">
        <is>
          <t>止損</t>
        </is>
      </c>
      <c r="L132" s="5">
        <f>交易明細!K59</f>
        <v/>
      </c>
      <c r="M132" s="16">
        <f>M111</f>
        <v/>
      </c>
      <c r="N132" s="2">
        <f>N111</f>
        <v/>
      </c>
      <c r="O132" s="16">
        <f>O111</f>
        <v/>
      </c>
      <c r="P132" s="4">
        <f>交易明細!L59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17" t="n">
        <v>0.02716</v>
      </c>
      <c r="H133" s="17" t="n">
        <v>0.0279748</v>
      </c>
      <c r="I133" s="17" t="n">
        <v>0.025802</v>
      </c>
      <c r="J133" s="17" t="n">
        <v>0.0279748</v>
      </c>
      <c r="K133" s="2" t="inlineStr">
        <is>
          <t>止盈</t>
        </is>
      </c>
      <c r="L133" s="5">
        <f>交易明細!K69</f>
        <v/>
      </c>
      <c r="M133" s="16">
        <f>M131</f>
        <v/>
      </c>
      <c r="N133" s="2">
        <f>N131</f>
        <v/>
      </c>
      <c r="O133" s="16">
        <f>O131</f>
        <v/>
      </c>
      <c r="P133" s="4">
        <f>交易明細!L69</f>
        <v/>
      </c>
      <c r="Q133" s="10">
        <f>IF(N133="已下單",O133*P133,0)</f>
        <v/>
      </c>
      <c r="R133" s="10">
        <f>R132+Q133</f>
        <v/>
      </c>
      <c r="S133" s="16">
        <f>S132-IF(N133="已下單",M133,0)</f>
        <v/>
      </c>
      <c r="T133" s="16">
        <f>R133-S133</f>
        <v/>
      </c>
      <c r="U133" s="2">
        <f>U132-IF(N133="已下單",1,0)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17" t="n">
        <v>0.1319</v>
      </c>
      <c r="H134" s="17" t="n">
        <v>0.127943</v>
      </c>
      <c r="I134" s="17" t="n">
        <v>0.138495</v>
      </c>
      <c r="J134" s="17" t="n">
        <v>0.138495</v>
      </c>
      <c r="K134" s="2" t="inlineStr">
        <is>
          <t>止損</t>
        </is>
      </c>
      <c r="L134" s="5">
        <f>交易明細!K56</f>
        <v/>
      </c>
      <c r="M134" s="16">
        <f>M108</f>
        <v/>
      </c>
      <c r="N134" s="2">
        <f>N108</f>
        <v/>
      </c>
      <c r="O134" s="16">
        <f>O108</f>
        <v/>
      </c>
      <c r="P134" s="4">
        <f>交易明細!L56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17" t="n">
        <v>2.251</v>
      </c>
      <c r="H135" s="17" t="n">
        <v>2.31853</v>
      </c>
      <c r="I135" s="17" t="n">
        <v>2.13845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17" t="n">
        <v>6.91</v>
      </c>
      <c r="H136" s="17" t="n">
        <v>6.7027</v>
      </c>
      <c r="I136" s="17" t="n">
        <v>7.255500000000001</v>
      </c>
      <c r="J136" s="17" t="n"/>
      <c r="K136" s="2" t="n"/>
      <c r="L136" s="5" t="n"/>
      <c r="M136" s="16">
        <f>資金模擬!$B$5*V135</f>
        <v/>
      </c>
      <c r="N136" s="2">
        <f>IF(Z135=1,"已停止",IF(T135&gt;=M136,"已下單","資金不足略過"))</f>
        <v/>
      </c>
      <c r="O136" s="16">
        <f>IF(N136="已下單",M136*資金模擬!$B$7,0)</f>
        <v/>
      </c>
      <c r="P136" s="4" t="n"/>
      <c r="Q136" s="10" t="n">
        <v>0</v>
      </c>
      <c r="R136" s="10">
        <f>R135+Q136</f>
        <v/>
      </c>
      <c r="S136" s="16">
        <f>S135+IF(N136="已下單",M136,0)</f>
        <v/>
      </c>
      <c r="T136" s="16">
        <f>R136-S136</f>
        <v/>
      </c>
      <c r="U136" s="2">
        <f>U135+IF(N136="已下單",1,0)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17" t="n">
        <v>0.019459</v>
      </c>
      <c r="H137" s="17" t="n">
        <v>0.02004277</v>
      </c>
      <c r="I137" s="17" t="n">
        <v>0.01848605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17" t="n">
        <v>0.1636</v>
      </c>
      <c r="H138" s="17" t="n">
        <v>0.158692</v>
      </c>
      <c r="I138" s="17" t="n">
        <v>0.17178</v>
      </c>
      <c r="J138" s="17" t="n">
        <v>0.17178</v>
      </c>
      <c r="K138" s="2" t="inlineStr">
        <is>
          <t>止損</t>
        </is>
      </c>
      <c r="L138" s="5">
        <f>交易明細!K52</f>
        <v/>
      </c>
      <c r="M138" s="16">
        <f>M102</f>
        <v/>
      </c>
      <c r="N138" s="2">
        <f>N102</f>
        <v/>
      </c>
      <c r="O138" s="16">
        <f>O102</f>
        <v/>
      </c>
      <c r="P138" s="4">
        <f>交易明細!L52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17" t="n">
        <v>0.11871</v>
      </c>
      <c r="H139" s="17" t="n">
        <v>0.1222713</v>
      </c>
      <c r="I139" s="17" t="n">
        <v>0.1127745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17" t="n">
        <v>0.019459</v>
      </c>
      <c r="H140" s="17" t="n">
        <v>0.02004277</v>
      </c>
      <c r="I140" s="17" t="n">
        <v>0.01848605</v>
      </c>
      <c r="J140" s="17" t="n">
        <v>0.01848605</v>
      </c>
      <c r="K140" s="2" t="inlineStr">
        <is>
          <t>止損</t>
        </is>
      </c>
      <c r="L140" s="5">
        <f>交易明細!K72</f>
        <v/>
      </c>
      <c r="M140" s="16">
        <f>M137</f>
        <v/>
      </c>
      <c r="N140" s="2">
        <f>N137</f>
        <v/>
      </c>
      <c r="O140" s="16">
        <f>O137</f>
        <v/>
      </c>
      <c r="P140" s="4">
        <f>交易明細!L72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17" t="n">
        <v>0.11871</v>
      </c>
      <c r="H141" s="17" t="n">
        <v>0.1222713</v>
      </c>
      <c r="I141" s="17" t="n">
        <v>0.1127745</v>
      </c>
      <c r="J141" s="17" t="n">
        <v>0.1222713</v>
      </c>
      <c r="K141" s="2" t="inlineStr">
        <is>
          <t>止盈</t>
        </is>
      </c>
      <c r="L141" s="5">
        <f>交易明細!K73</f>
        <v/>
      </c>
      <c r="M141" s="16">
        <f>M139</f>
        <v/>
      </c>
      <c r="N141" s="2">
        <f>N139</f>
        <v/>
      </c>
      <c r="O141" s="16">
        <f>O139</f>
        <v/>
      </c>
      <c r="P141" s="4">
        <f>交易明細!L73</f>
        <v/>
      </c>
      <c r="Q141" s="10">
        <f>IF(N141="已下單",O141*P141,0)</f>
        <v/>
      </c>
      <c r="R141" s="10">
        <f>R140+Q141</f>
        <v/>
      </c>
      <c r="S141" s="16">
        <f>S140-IF(N141="已下單",M141,0)</f>
        <v/>
      </c>
      <c r="T141" s="16">
        <f>R141-S141</f>
        <v/>
      </c>
      <c r="U141" s="2">
        <f>U140-IF(N141="已下單",1,0)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17" t="n">
        <v>0.008347</v>
      </c>
      <c r="H142" s="17" t="n">
        <v>0.008096590000000001</v>
      </c>
      <c r="I142" s="17" t="n">
        <v>0.008764350000000001</v>
      </c>
      <c r="J142" s="17" t="n">
        <v>0.008764350000000001</v>
      </c>
      <c r="K142" s="2" t="inlineStr">
        <is>
          <t>止損</t>
        </is>
      </c>
      <c r="L142" s="5">
        <f>交易明細!K53</f>
        <v/>
      </c>
      <c r="M142" s="16">
        <f>M103</f>
        <v/>
      </c>
      <c r="N142" s="2">
        <f>N103</f>
        <v/>
      </c>
      <c r="O142" s="16">
        <f>O103</f>
        <v/>
      </c>
      <c r="P142" s="4">
        <f>交易明細!L53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17" t="n">
        <v>69.19</v>
      </c>
      <c r="H143" s="17" t="n">
        <v>71.2657</v>
      </c>
      <c r="I143" s="17" t="n">
        <v>65.73049999999999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17" t="n">
        <v>0.01166</v>
      </c>
      <c r="H144" s="17" t="n">
        <v>0.0113102</v>
      </c>
      <c r="I144" s="17" t="n">
        <v>0.012243</v>
      </c>
      <c r="J144" s="17" t="n"/>
      <c r="K144" s="2" t="n"/>
      <c r="L144" s="5" t="n"/>
      <c r="M144" s="16">
        <f>資金模擬!$B$5*V143</f>
        <v/>
      </c>
      <c r="N144" s="2">
        <f>IF(Z143=1,"已停止",IF(T143&gt;=M144,"已下單","資金不足略過"))</f>
        <v/>
      </c>
      <c r="O144" s="16">
        <f>IF(N144="已下單",M144*資金模擬!$B$7,0)</f>
        <v/>
      </c>
      <c r="P144" s="4" t="n"/>
      <c r="Q144" s="10" t="n">
        <v>0</v>
      </c>
      <c r="R144" s="10">
        <f>R143+Q144</f>
        <v/>
      </c>
      <c r="S144" s="16">
        <f>S143+IF(N144="已下單",M144,0)</f>
        <v/>
      </c>
      <c r="T144" s="16">
        <f>R144-S144</f>
        <v/>
      </c>
      <c r="U144" s="2">
        <f>U143+IF(N144="已下單",1,0)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17" t="n">
        <v>6.91</v>
      </c>
      <c r="H145" s="17" t="n">
        <v>6.7027</v>
      </c>
      <c r="I145" s="17" t="n">
        <v>7.255500000000001</v>
      </c>
      <c r="J145" s="17" t="n">
        <v>7.255500000000001</v>
      </c>
      <c r="K145" s="2" t="inlineStr">
        <is>
          <t>止損</t>
        </is>
      </c>
      <c r="L145" s="5">
        <f>交易明細!K71</f>
        <v/>
      </c>
      <c r="M145" s="16">
        <f>M136</f>
        <v/>
      </c>
      <c r="N145" s="2">
        <f>N136</f>
        <v/>
      </c>
      <c r="O145" s="16">
        <f>O136</f>
        <v/>
      </c>
      <c r="P145" s="4">
        <f>交易明細!L71</f>
        <v/>
      </c>
      <c r="Q145" s="10">
        <f>IF(N145="已下單",O145*P145,0)</f>
        <v/>
      </c>
      <c r="R145" s="10">
        <f>R144+Q145</f>
        <v/>
      </c>
      <c r="S145" s="16">
        <f>S144-IF(N145="已下單",M145,0)</f>
        <v/>
      </c>
      <c r="T145" s="16">
        <f>R145-S145</f>
        <v/>
      </c>
      <c r="U145" s="2">
        <f>U144-IF(N145="已下單",1,0)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17" t="n">
        <v>69.19</v>
      </c>
      <c r="H146" s="17" t="n">
        <v>71.2657</v>
      </c>
      <c r="I146" s="17" t="n">
        <v>65.73049999999999</v>
      </c>
      <c r="J146" s="17" t="n">
        <v>71.2657</v>
      </c>
      <c r="K146" s="2" t="inlineStr">
        <is>
          <t>止盈</t>
        </is>
      </c>
      <c r="L146" s="5">
        <f>交易明細!K74</f>
        <v/>
      </c>
      <c r="M146" s="16">
        <f>M143</f>
        <v/>
      </c>
      <c r="N146" s="2">
        <f>N143</f>
        <v/>
      </c>
      <c r="O146" s="16">
        <f>O143</f>
        <v/>
      </c>
      <c r="P146" s="4">
        <f>交易明細!L74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17" t="n">
        <v>0.01166</v>
      </c>
      <c r="H147" s="17" t="n">
        <v>0.0113102</v>
      </c>
      <c r="I147" s="17" t="n">
        <v>0.012243</v>
      </c>
      <c r="J147" s="17" t="n">
        <v>0.0113102</v>
      </c>
      <c r="K147" s="2" t="inlineStr">
        <is>
          <t>止盈</t>
        </is>
      </c>
      <c r="L147" s="5">
        <f>交易明細!K75</f>
        <v/>
      </c>
      <c r="M147" s="16">
        <f>M144</f>
        <v/>
      </c>
      <c r="N147" s="2">
        <f>N144</f>
        <v/>
      </c>
      <c r="O147" s="16">
        <f>O144</f>
        <v/>
      </c>
      <c r="P147" s="4">
        <f>交易明細!L75</f>
        <v/>
      </c>
      <c r="Q147" s="10">
        <f>IF(N147="已下單",O147*P147,0)</f>
        <v/>
      </c>
      <c r="R147" s="10">
        <f>R146+Q147</f>
        <v/>
      </c>
      <c r="S147" s="16">
        <f>S146-IF(N147="已下單",M147,0)</f>
        <v/>
      </c>
      <c r="T147" s="16">
        <f>R147-S147</f>
        <v/>
      </c>
      <c r="U147" s="2">
        <f>U146-IF(N147="已下單",1,0)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17" t="n">
        <v>0.01128</v>
      </c>
      <c r="H148" s="17" t="n">
        <v>0.0109416</v>
      </c>
      <c r="I148" s="17" t="n">
        <v>0.011844</v>
      </c>
      <c r="J148" s="17" t="n"/>
      <c r="K148" s="2" t="n"/>
      <c r="L148" s="5" t="n"/>
      <c r="M148" s="16">
        <f>資金模擬!$B$5*V147</f>
        <v/>
      </c>
      <c r="N148" s="2">
        <f>IF(Z147=1,"已停止",IF(T147&gt;=M148,"已下單","資金不足略過"))</f>
        <v/>
      </c>
      <c r="O148" s="16">
        <f>IF(N148="已下單",M148*資金模擬!$B$7,0)</f>
        <v/>
      </c>
      <c r="P148" s="4" t="n"/>
      <c r="Q148" s="10" t="n">
        <v>0</v>
      </c>
      <c r="R148" s="10">
        <f>R147+Q148</f>
        <v/>
      </c>
      <c r="S148" s="16">
        <f>S147+IF(N148="已下單",M148,0)</f>
        <v/>
      </c>
      <c r="T148" s="16">
        <f>R148-S148</f>
        <v/>
      </c>
      <c r="U148" s="2">
        <f>U147+IF(N148="已下單",1,0)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17" t="n">
        <v>0.9263</v>
      </c>
      <c r="H149" s="17" t="n">
        <v>0.9540890000000001</v>
      </c>
      <c r="I149" s="17" t="n">
        <v>0.879985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17" t="n">
        <v>2.251</v>
      </c>
      <c r="H150" s="17" t="n">
        <v>2.31853</v>
      </c>
      <c r="I150" s="17" t="n">
        <v>2.13845</v>
      </c>
      <c r="J150" s="17" t="n">
        <v>2.31853</v>
      </c>
      <c r="K150" s="2" t="inlineStr">
        <is>
          <t>止盈</t>
        </is>
      </c>
      <c r="L150" s="5">
        <f>交易明細!K70</f>
        <v/>
      </c>
      <c r="M150" s="16">
        <f>M135</f>
        <v/>
      </c>
      <c r="N150" s="2">
        <f>N135</f>
        <v/>
      </c>
      <c r="O150" s="16">
        <f>O135</f>
        <v/>
      </c>
      <c r="P150" s="4">
        <f>交易明細!L70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17" t="n">
        <v>4.817</v>
      </c>
      <c r="H151" s="17" t="n">
        <v>4.961510000000001</v>
      </c>
      <c r="I151" s="17" t="n">
        <v>4.57615</v>
      </c>
      <c r="J151" s="17" t="n">
        <v>4.57615</v>
      </c>
      <c r="K151" s="2" t="inlineStr">
        <is>
          <t>止損</t>
        </is>
      </c>
      <c r="L151" s="5">
        <f>交易明細!K64</f>
        <v/>
      </c>
      <c r="M151" s="16">
        <f>M122</f>
        <v/>
      </c>
      <c r="N151" s="2">
        <f>N122</f>
        <v/>
      </c>
      <c r="O151" s="16">
        <f>O122</f>
        <v/>
      </c>
      <c r="P151" s="4">
        <f>交易明細!L64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0.01128</v>
      </c>
      <c r="H152" s="17" t="n">
        <v>0.0109416</v>
      </c>
      <c r="I152" s="17" t="n">
        <v>0.011844</v>
      </c>
      <c r="J152" s="17" t="n">
        <v>0.011844</v>
      </c>
      <c r="K152" s="2" t="inlineStr">
        <is>
          <t>止損</t>
        </is>
      </c>
      <c r="L152" s="5">
        <f>交易明細!K76</f>
        <v/>
      </c>
      <c r="M152" s="16">
        <f>M148</f>
        <v/>
      </c>
      <c r="N152" s="2">
        <f>N148</f>
        <v/>
      </c>
      <c r="O152" s="16">
        <f>O148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17" t="n">
        <v>0.5347</v>
      </c>
      <c r="H153" s="17" t="n">
        <v>0.518659</v>
      </c>
      <c r="I153" s="17" t="n">
        <v>0.561435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17" t="n">
        <v>0.9263</v>
      </c>
      <c r="H154" s="17" t="n">
        <v>0.9540890000000001</v>
      </c>
      <c r="I154" s="17" t="n">
        <v>0.879985</v>
      </c>
      <c r="J154" s="17" t="n">
        <v>0.9540890000000001</v>
      </c>
      <c r="K154" s="2" t="inlineStr">
        <is>
          <t>止盈</t>
        </is>
      </c>
      <c r="L154" s="5">
        <f>交易明細!K77</f>
        <v/>
      </c>
      <c r="M154" s="16">
        <f>M149</f>
        <v/>
      </c>
      <c r="N154" s="2">
        <f>N149</f>
        <v/>
      </c>
      <c r="O154" s="16">
        <f>O149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17" t="n">
        <v>4.533</v>
      </c>
      <c r="H155" s="17" t="n">
        <v>4.39701</v>
      </c>
      <c r="I155" s="17" t="n">
        <v>4.759650000000001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17" t="n">
        <v>0.5347</v>
      </c>
      <c r="H156" s="17" t="n">
        <v>0.518659</v>
      </c>
      <c r="I156" s="17" t="n">
        <v>0.561435</v>
      </c>
      <c r="J156" s="17" t="n">
        <v>0.561435</v>
      </c>
      <c r="K156" s="2" t="inlineStr">
        <is>
          <t>止損</t>
        </is>
      </c>
      <c r="L156" s="5">
        <f>交易明細!K78</f>
        <v/>
      </c>
      <c r="M156" s="16">
        <f>M153</f>
        <v/>
      </c>
      <c r="N156" s="2">
        <f>N153</f>
        <v/>
      </c>
      <c r="O156" s="16">
        <f>O153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17" t="n">
        <v>0.1862</v>
      </c>
      <c r="H157" s="17" t="n">
        <v>0.180614</v>
      </c>
      <c r="I157" s="17" t="n">
        <v>0.19551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17" t="n">
        <v>67.53</v>
      </c>
      <c r="H158" s="17" t="n">
        <v>65.50409999999999</v>
      </c>
      <c r="I158" s="17" t="n">
        <v>70.90650000000001</v>
      </c>
      <c r="J158" s="17" t="n"/>
      <c r="K158" s="2" t="n"/>
      <c r="L158" s="5" t="n"/>
      <c r="M158" s="16">
        <f>資金模擬!$B$5*V157</f>
        <v/>
      </c>
      <c r="N158" s="2">
        <f>IF(Z157=1,"已停止",IF(T157&gt;=M158,"已下單","資金不足略過"))</f>
        <v/>
      </c>
      <c r="O158" s="16">
        <f>IF(N158="已下單",M158*資金模擬!$B$7,0)</f>
        <v/>
      </c>
      <c r="P158" s="4" t="n"/>
      <c r="Q158" s="10" t="n">
        <v>0</v>
      </c>
      <c r="R158" s="10">
        <f>R157+Q158</f>
        <v/>
      </c>
      <c r="S158" s="16">
        <f>S157+IF(N158="已下單",M158,0)</f>
        <v/>
      </c>
      <c r="T158" s="16">
        <f>R158-S158</f>
        <v/>
      </c>
      <c r="U158" s="2">
        <f>U157+IF(N158="已下單",1,0)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17" t="n">
        <v>0.0756</v>
      </c>
      <c r="H159" s="17" t="n">
        <v>0.07333199999999999</v>
      </c>
      <c r="I159" s="17" t="n">
        <v>0.07938000000000001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17" t="n">
        <v>0.0756</v>
      </c>
      <c r="H160" s="17" t="n">
        <v>0.07333199999999999</v>
      </c>
      <c r="I160" s="17" t="n">
        <v>0.07938000000000001</v>
      </c>
      <c r="J160" s="17" t="n">
        <v>0.07333199999999999</v>
      </c>
      <c r="K160" s="2" t="inlineStr">
        <is>
          <t>止盈</t>
        </is>
      </c>
      <c r="L160" s="5">
        <f>交易明細!K82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交易明細!L82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17" t="n">
        <v>67.53</v>
      </c>
      <c r="H161" s="17" t="n">
        <v>65.50409999999999</v>
      </c>
      <c r="I161" s="17" t="n">
        <v>70.90650000000001</v>
      </c>
      <c r="J161" s="17" t="n">
        <v>70.90650000000001</v>
      </c>
      <c r="K161" s="2" t="inlineStr">
        <is>
          <t>止損</t>
        </is>
      </c>
      <c r="L161" s="5">
        <f>交易明細!K81</f>
        <v/>
      </c>
      <c r="M161" s="16">
        <f>M158</f>
        <v/>
      </c>
      <c r="N161" s="2">
        <f>N158</f>
        <v/>
      </c>
      <c r="O161" s="16">
        <f>O158</f>
        <v/>
      </c>
      <c r="P161" s="4">
        <f>交易明細!L81</f>
        <v/>
      </c>
      <c r="Q161" s="10">
        <f>IF(N161="已下單",O161*P161,0)</f>
        <v/>
      </c>
      <c r="R161" s="10">
        <f>R160+Q161</f>
        <v/>
      </c>
      <c r="S161" s="16">
        <f>S160-IF(N161="已下單",M161,0)</f>
        <v/>
      </c>
      <c r="T161" s="16">
        <f>R161-S161</f>
        <v/>
      </c>
      <c r="U161" s="2">
        <f>U160-IF(N161="已下單",1,0)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17" t="n">
        <v>2.427</v>
      </c>
      <c r="H162" s="17" t="n">
        <v>2.49981</v>
      </c>
      <c r="I162" s="17" t="n">
        <v>2.30565</v>
      </c>
      <c r="J162" s="17" t="n"/>
      <c r="K162" s="2" t="n"/>
      <c r="L162" s="5" t="n"/>
      <c r="M162" s="16">
        <f>資金模擬!$B$5*V161</f>
        <v/>
      </c>
      <c r="N162" s="2">
        <f>IF(Z161=1,"已停止",IF(T161&gt;=M162,"已下單","資金不足略過"))</f>
        <v/>
      </c>
      <c r="O162" s="16">
        <f>IF(N162="已下單",M162*資金模擬!$B$7,0)</f>
        <v/>
      </c>
      <c r="P162" s="4" t="n"/>
      <c r="Q162" s="10" t="n">
        <v>0</v>
      </c>
      <c r="R162" s="10">
        <f>R161+Q162</f>
        <v/>
      </c>
      <c r="S162" s="16">
        <f>S161+IF(N162="已下單",M162,0)</f>
        <v/>
      </c>
      <c r="T162" s="16">
        <f>R162-S162</f>
        <v/>
      </c>
      <c r="U162" s="2">
        <f>U161+IF(N162="已下單",1,0)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17" t="n">
        <v>0.0145755</v>
      </c>
      <c r="H163" s="17" t="n">
        <v>0.014138235</v>
      </c>
      <c r="I163" s="17" t="n">
        <v>0.015304275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17" t="n">
        <v>0.092</v>
      </c>
      <c r="H164" s="17" t="n">
        <v>0.08924</v>
      </c>
      <c r="I164" s="17" t="n">
        <v>0.09660000000000001</v>
      </c>
      <c r="J164" s="17" t="n">
        <v>0.08924</v>
      </c>
      <c r="K164" s="2" t="inlineStr">
        <is>
          <t>止盈</t>
        </is>
      </c>
      <c r="L164" s="5">
        <f>交易明細!K55</f>
        <v/>
      </c>
      <c r="M164" s="16">
        <f>M105</f>
        <v/>
      </c>
      <c r="N164" s="2">
        <f>N105</f>
        <v/>
      </c>
      <c r="O164" s="16">
        <f>O105</f>
        <v/>
      </c>
      <c r="P164" s="4">
        <f>交易明細!L55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17" t="n">
        <v>1.253</v>
      </c>
      <c r="H165" s="17" t="n">
        <v>1.29059</v>
      </c>
      <c r="I165" s="17" t="n">
        <v>1.19035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17" t="n">
        <v>0.0145755</v>
      </c>
      <c r="H166" s="17" t="n">
        <v>0.014138235</v>
      </c>
      <c r="I166" s="17" t="n">
        <v>0.015304275</v>
      </c>
      <c r="J166" s="17" t="n">
        <v>0.014138235</v>
      </c>
      <c r="K166" s="2" t="inlineStr">
        <is>
          <t>止盈</t>
        </is>
      </c>
      <c r="L166" s="5">
        <f>交易明細!K84</f>
        <v/>
      </c>
      <c r="M166" s="16">
        <f>M163</f>
        <v/>
      </c>
      <c r="N166" s="2">
        <f>N163</f>
        <v/>
      </c>
      <c r="O166" s="16">
        <f>O163</f>
        <v/>
      </c>
      <c r="P166" s="4">
        <f>交易明細!L84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17" t="n">
        <v>1.253</v>
      </c>
      <c r="H167" s="17" t="n">
        <v>1.29059</v>
      </c>
      <c r="I167" s="17" t="n">
        <v>1.19035</v>
      </c>
      <c r="J167" s="17" t="n">
        <v>1.29059</v>
      </c>
      <c r="K167" s="2" t="inlineStr">
        <is>
          <t>止盈</t>
        </is>
      </c>
      <c r="L167" s="5">
        <f>交易明細!K85</f>
        <v/>
      </c>
      <c r="M167" s="16">
        <f>M165</f>
        <v/>
      </c>
      <c r="N167" s="2">
        <f>N165</f>
        <v/>
      </c>
      <c r="O167" s="16">
        <f>O165</f>
        <v/>
      </c>
      <c r="P167" s="4">
        <f>交易明細!L85</f>
        <v/>
      </c>
      <c r="Q167" s="10">
        <f>IF(N167="已下單",O167*P167,0)</f>
        <v/>
      </c>
      <c r="R167" s="10">
        <f>R166+Q167</f>
        <v/>
      </c>
      <c r="S167" s="16">
        <f>S166-IF(N167="已下單",M167,0)</f>
        <v/>
      </c>
      <c r="T167" s="16">
        <f>R167-S167</f>
        <v/>
      </c>
      <c r="U167" s="2">
        <f>U166-IF(N167="已下單",1,0)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17" t="n">
        <v>0.07263</v>
      </c>
      <c r="H168" s="17" t="n">
        <v>0.0704511</v>
      </c>
      <c r="I168" s="17" t="n">
        <v>0.07626150000000001</v>
      </c>
      <c r="J168" s="17" t="n"/>
      <c r="K168" s="2" t="n"/>
      <c r="L168" s="5" t="n"/>
      <c r="M168" s="16">
        <f>資金模擬!$B$5*V167</f>
        <v/>
      </c>
      <c r="N168" s="2">
        <f>IF(Z167=1,"已停止",IF(T167&gt;=M168,"已下單","資金不足略過"))</f>
        <v/>
      </c>
      <c r="O168" s="16">
        <f>IF(N168="已下單",M168*資金模擬!$B$7,0)</f>
        <v/>
      </c>
      <c r="P168" s="4" t="n"/>
      <c r="Q168" s="10" t="n">
        <v>0</v>
      </c>
      <c r="R168" s="10">
        <f>R167+Q168</f>
        <v/>
      </c>
      <c r="S168" s="16">
        <f>S167+IF(N168="已下單",M168,0)</f>
        <v/>
      </c>
      <c r="T168" s="16">
        <f>R168-S168</f>
        <v/>
      </c>
      <c r="U168" s="2">
        <f>U167+IF(N168="已下單",1,0)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17" t="n">
        <v>0.1862</v>
      </c>
      <c r="H169" s="17" t="n">
        <v>0.180614</v>
      </c>
      <c r="I169" s="17" t="n">
        <v>0.19551</v>
      </c>
      <c r="J169" s="17" t="n">
        <v>0.180614</v>
      </c>
      <c r="K169" s="2" t="inlineStr">
        <is>
          <t>止盈</t>
        </is>
      </c>
      <c r="L169" s="5">
        <f>交易明細!K80</f>
        <v/>
      </c>
      <c r="M169" s="16">
        <f>M157</f>
        <v/>
      </c>
      <c r="N169" s="2">
        <f>N157</f>
        <v/>
      </c>
      <c r="O169" s="16">
        <f>O157</f>
        <v/>
      </c>
      <c r="P169" s="4">
        <f>交易明細!L80</f>
        <v/>
      </c>
      <c r="Q169" s="10">
        <f>IF(N169="已下單",O169*P169,0)</f>
        <v/>
      </c>
      <c r="R169" s="10">
        <f>R168+Q169</f>
        <v/>
      </c>
      <c r="S169" s="16">
        <f>S168-IF(N169="已下單",M169,0)</f>
        <v/>
      </c>
      <c r="T169" s="16">
        <f>R169-S169</f>
        <v/>
      </c>
      <c r="U169" s="2">
        <f>U168-IF(N169="已下單",1,0)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17" t="n">
        <v>0.07263</v>
      </c>
      <c r="H170" s="17" t="n">
        <v>0.0704511</v>
      </c>
      <c r="I170" s="17" t="n">
        <v>0.07626150000000001</v>
      </c>
      <c r="J170" s="17" t="n">
        <v>0.07626150000000001</v>
      </c>
      <c r="K170" s="2" t="inlineStr">
        <is>
          <t>止損</t>
        </is>
      </c>
      <c r="L170" s="5">
        <f>交易明細!K86</f>
        <v/>
      </c>
      <c r="M170" s="16">
        <f>M168</f>
        <v/>
      </c>
      <c r="N170" s="2">
        <f>N168</f>
        <v/>
      </c>
      <c r="O170" s="16">
        <f>O168</f>
        <v/>
      </c>
      <c r="P170" s="4">
        <f>交易明細!L86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17" t="n">
        <v>4.533</v>
      </c>
      <c r="H171" s="17" t="n">
        <v>4.39701</v>
      </c>
      <c r="I171" s="17" t="n">
        <v>4.759650000000001</v>
      </c>
      <c r="J171" s="17" t="n">
        <v>4.39701</v>
      </c>
      <c r="K171" s="2" t="inlineStr">
        <is>
          <t>止盈</t>
        </is>
      </c>
      <c r="L171" s="5">
        <f>交易明細!K79</f>
        <v/>
      </c>
      <c r="M171" s="16">
        <f>M155</f>
        <v/>
      </c>
      <c r="N171" s="2">
        <f>N155</f>
        <v/>
      </c>
      <c r="O171" s="16">
        <f>O155</f>
        <v/>
      </c>
      <c r="P171" s="4">
        <f>交易明細!L79</f>
        <v/>
      </c>
      <c r="Q171" s="10">
        <f>IF(N171="已下單",O171*P171,0)</f>
        <v/>
      </c>
      <c r="R171" s="10">
        <f>R170+Q171</f>
        <v/>
      </c>
      <c r="S171" s="16">
        <f>S170-IF(N171="已下單",M171,0)</f>
        <v/>
      </c>
      <c r="T171" s="16">
        <f>R171-S171</f>
        <v/>
      </c>
      <c r="U171" s="2">
        <f>U170-IF(N171="已下單",1,0)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17" t="n">
        <v>67.29000000000001</v>
      </c>
      <c r="H172" s="17" t="n">
        <v>65.27130000000001</v>
      </c>
      <c r="I172" s="17" t="n">
        <v>70.65450000000001</v>
      </c>
      <c r="J172" s="17" t="n"/>
      <c r="K172" s="2" t="n"/>
      <c r="L172" s="5" t="n"/>
      <c r="M172" s="16">
        <f>資金模擬!$B$5*V171</f>
        <v/>
      </c>
      <c r="N172" s="2">
        <f>IF(Z171=1,"已停止",IF(T171&gt;=M172,"已下單","資金不足略過"))</f>
        <v/>
      </c>
      <c r="O172" s="16">
        <f>IF(N172="已下單",M172*資金模擬!$B$7,0)</f>
        <v/>
      </c>
      <c r="P172" s="4" t="n"/>
      <c r="Q172" s="10" t="n">
        <v>0</v>
      </c>
      <c r="R172" s="10">
        <f>R171+Q172</f>
        <v/>
      </c>
      <c r="S172" s="16">
        <f>S171+IF(N172="已下單",M172,0)</f>
        <v/>
      </c>
      <c r="T172" s="16">
        <f>R172-S172</f>
        <v/>
      </c>
      <c r="U172" s="2">
        <f>U171+IF(N172="已下單",1,0)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17" t="n">
        <v>0.6192</v>
      </c>
      <c r="H173" s="17" t="n">
        <v>0.637776</v>
      </c>
      <c r="I173" s="17" t="n">
        <v>0.58824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17" t="n">
        <v>0.6192</v>
      </c>
      <c r="H174" s="17" t="n">
        <v>0.637776</v>
      </c>
      <c r="I174" s="17" t="n">
        <v>0.58824</v>
      </c>
      <c r="J174" s="17" t="n">
        <v>0.637776</v>
      </c>
      <c r="K174" s="2" t="inlineStr">
        <is>
          <t>止盈</t>
        </is>
      </c>
      <c r="L174" s="5">
        <f>交易明細!K88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交易明細!L88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17" t="n">
        <v>2.427</v>
      </c>
      <c r="H175" s="17" t="n">
        <v>2.49981</v>
      </c>
      <c r="I175" s="17" t="n">
        <v>2.30565</v>
      </c>
      <c r="J175" s="17" t="n">
        <v>2.30565</v>
      </c>
      <c r="K175" s="2" t="inlineStr">
        <is>
          <t>止損</t>
        </is>
      </c>
      <c r="L175" s="5">
        <f>交易明細!K83</f>
        <v/>
      </c>
      <c r="M175" s="16">
        <f>M162</f>
        <v/>
      </c>
      <c r="N175" s="2">
        <f>N162</f>
        <v/>
      </c>
      <c r="O175" s="16">
        <f>O162</f>
        <v/>
      </c>
      <c r="P175" s="4">
        <f>交易明細!L83</f>
        <v/>
      </c>
      <c r="Q175" s="10">
        <f>IF(N175="已下單",O175*P175,0)</f>
        <v/>
      </c>
      <c r="R175" s="10">
        <f>R174+Q175</f>
        <v/>
      </c>
      <c r="S175" s="16">
        <f>S174-IF(N175="已下單",M175,0)</f>
        <v/>
      </c>
      <c r="T175" s="16">
        <f>R175-S175</f>
        <v/>
      </c>
      <c r="U175" s="2">
        <f>U174-IF(N175="已下單",1,0)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17" t="n">
        <v>0.6352</v>
      </c>
      <c r="H176" s="17" t="n">
        <v>0.6542559999999999</v>
      </c>
      <c r="I176" s="17" t="n">
        <v>0.60344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17" t="n">
        <v>0.22899</v>
      </c>
      <c r="H177" s="17" t="n">
        <v>0.2358597</v>
      </c>
      <c r="I177" s="17" t="n">
        <v>0.2175405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17" t="n">
        <v>0.22899</v>
      </c>
      <c r="H178" s="17" t="n">
        <v>0.2358597</v>
      </c>
      <c r="I178" s="17" t="n">
        <v>0.2175405</v>
      </c>
      <c r="J178" s="17" t="n">
        <v>0.2358597</v>
      </c>
      <c r="K178" s="2" t="inlineStr">
        <is>
          <t>止盈</t>
        </is>
      </c>
      <c r="L178" s="5">
        <f>交易明細!K90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交易明細!L90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17" t="n">
        <v>0.6352</v>
      </c>
      <c r="H179" s="17" t="n">
        <v>0.6542559999999999</v>
      </c>
      <c r="I179" s="17" t="n">
        <v>0.60344</v>
      </c>
      <c r="J179" s="17" t="n">
        <v>0.6542559999999999</v>
      </c>
      <c r="K179" s="2" t="inlineStr">
        <is>
          <t>止盈</t>
        </is>
      </c>
      <c r="L179" s="5">
        <f>交易明細!K89</f>
        <v/>
      </c>
      <c r="M179" s="16">
        <f>M176</f>
        <v/>
      </c>
      <c r="N179" s="2">
        <f>N176</f>
        <v/>
      </c>
      <c r="O179" s="16">
        <f>O176</f>
        <v/>
      </c>
      <c r="P179" s="4">
        <f>交易明細!L89</f>
        <v/>
      </c>
      <c r="Q179" s="10">
        <f>IF(N179="已下單",O179*P179,0)</f>
        <v/>
      </c>
      <c r="R179" s="10">
        <f>R178+Q179</f>
        <v/>
      </c>
      <c r="S179" s="16">
        <f>S178-IF(N179="已下單",M179,0)</f>
        <v/>
      </c>
      <c r="T179" s="16">
        <f>R179-S179</f>
        <v/>
      </c>
      <c r="U179" s="2">
        <f>U178-IF(N179="已下單",1,0)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17" t="n">
        <v>0.2333</v>
      </c>
      <c r="H180" s="17" t="n">
        <v>0.240299</v>
      </c>
      <c r="I180" s="17" t="n">
        <v>0.221635</v>
      </c>
      <c r="J180" s="17" t="n"/>
      <c r="K180" s="2" t="n"/>
      <c r="L180" s="5" t="n"/>
      <c r="M180" s="16">
        <f>資金模擬!$B$5*V179</f>
        <v/>
      </c>
      <c r="N180" s="2">
        <f>IF(Z179=1,"已停止",IF(T179&gt;=M180,"已下單","資金不足略過"))</f>
        <v/>
      </c>
      <c r="O180" s="16">
        <f>IF(N180="已下單",M180*資金模擬!$B$7,0)</f>
        <v/>
      </c>
      <c r="P180" s="4" t="n"/>
      <c r="Q180" s="10" t="n">
        <v>0</v>
      </c>
      <c r="R180" s="10">
        <f>R179+Q180</f>
        <v/>
      </c>
      <c r="S180" s="16">
        <f>S179+IF(N180="已下單",M180,0)</f>
        <v/>
      </c>
      <c r="T180" s="16">
        <f>R180-S180</f>
        <v/>
      </c>
      <c r="U180" s="2">
        <f>U179+IF(N180="已下單",1,0)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17" t="n">
        <v>1.177</v>
      </c>
      <c r="H181" s="17" t="n">
        <v>1.14169</v>
      </c>
      <c r="I181" s="17" t="n">
        <v>1.23585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17" t="n">
        <v>0.08132</v>
      </c>
      <c r="H182" s="17" t="n">
        <v>0.0837596</v>
      </c>
      <c r="I182" s="17" t="n">
        <v>0.077254</v>
      </c>
      <c r="J182" s="17" t="n"/>
      <c r="K182" s="2" t="n"/>
      <c r="L182" s="5" t="n"/>
      <c r="M182" s="16">
        <f>資金模擬!$B$5*V181</f>
        <v/>
      </c>
      <c r="N182" s="2">
        <f>IF(Z181=1,"已停止",IF(T181&gt;=M182,"已下單","資金不足略過"))</f>
        <v/>
      </c>
      <c r="O182" s="16">
        <f>IF(N182="已下單",M182*資金模擬!$B$7,0)</f>
        <v/>
      </c>
      <c r="P182" s="4" t="n"/>
      <c r="Q182" s="10" t="n">
        <v>0</v>
      </c>
      <c r="R182" s="10">
        <f>R181+Q182</f>
        <v/>
      </c>
      <c r="S182" s="16">
        <f>S181+IF(N182="已下單",M182,0)</f>
        <v/>
      </c>
      <c r="T182" s="16">
        <f>R182-S182</f>
        <v/>
      </c>
      <c r="U182" s="2">
        <f>U181+IF(N182="已下單",1,0)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17" t="n">
        <v>0.16448</v>
      </c>
      <c r="H183" s="17" t="n">
        <v>0.1595456</v>
      </c>
      <c r="I183" s="17" t="n">
        <v>0.172704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17" t="n">
        <v>0.7688</v>
      </c>
      <c r="H184" s="17" t="n">
        <v>0.7457360000000001</v>
      </c>
      <c r="I184" s="17" t="n">
        <v>0.8072400000000001</v>
      </c>
      <c r="J184" s="17" t="n"/>
      <c r="K184" s="2" t="n"/>
      <c r="L184" s="5" t="n"/>
      <c r="M184" s="16">
        <f>資金模擬!$B$5*V183</f>
        <v/>
      </c>
      <c r="N184" s="2">
        <f>IF(Z183=1,"已停止",IF(T183&gt;=M184,"已下單","資金不足略過"))</f>
        <v/>
      </c>
      <c r="O184" s="16">
        <f>IF(N184="已下單",M184*資金模擬!$B$7,0)</f>
        <v/>
      </c>
      <c r="P184" s="4" t="n"/>
      <c r="Q184" s="10" t="n">
        <v>0</v>
      </c>
      <c r="R184" s="10">
        <f>R183+Q184</f>
        <v/>
      </c>
      <c r="S184" s="16">
        <f>S183+IF(N184="已下單",M184,0)</f>
        <v/>
      </c>
      <c r="T184" s="16">
        <f>R184-S184</f>
        <v/>
      </c>
      <c r="U184" s="2">
        <f>U183+IF(N184="已下單",1,0)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17" t="n">
        <v>67.29000000000001</v>
      </c>
      <c r="H185" s="17" t="n">
        <v>65.27130000000001</v>
      </c>
      <c r="I185" s="17" t="n">
        <v>70.65450000000001</v>
      </c>
      <c r="J185" s="17" t="n">
        <v>65.27130000000001</v>
      </c>
      <c r="K185" s="2" t="inlineStr">
        <is>
          <t>止盈</t>
        </is>
      </c>
      <c r="L185" s="5">
        <f>交易明細!K87</f>
        <v/>
      </c>
      <c r="M185" s="16">
        <f>M172</f>
        <v/>
      </c>
      <c r="N185" s="2">
        <f>N172</f>
        <v/>
      </c>
      <c r="O185" s="16">
        <f>O172</f>
        <v/>
      </c>
      <c r="P185" s="4">
        <f>交易明細!L87</f>
        <v/>
      </c>
      <c r="Q185" s="10">
        <f>IF(N185="已下單",O185*P185,0)</f>
        <v/>
      </c>
      <c r="R185" s="10">
        <f>R184+Q185</f>
        <v/>
      </c>
      <c r="S185" s="16">
        <f>S184-IF(N185="已下單",M185,0)</f>
        <v/>
      </c>
      <c r="T185" s="16">
        <f>R185-S185</f>
        <v/>
      </c>
      <c r="U185" s="2">
        <f>U184-IF(N185="已下單",1,0)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17" t="n">
        <v>0.2333</v>
      </c>
      <c r="H186" s="17" t="n">
        <v>0.240299</v>
      </c>
      <c r="I186" s="17" t="n">
        <v>0.221635</v>
      </c>
      <c r="J186" s="17" t="n">
        <v>0.221635</v>
      </c>
      <c r="K186" s="2" t="inlineStr">
        <is>
          <t>止損</t>
        </is>
      </c>
      <c r="L186" s="5">
        <f>交易明細!K91</f>
        <v/>
      </c>
      <c r="M186" s="16">
        <f>M180</f>
        <v/>
      </c>
      <c r="N186" s="2">
        <f>N180</f>
        <v/>
      </c>
      <c r="O186" s="16">
        <f>O180</f>
        <v/>
      </c>
      <c r="P186" s="4">
        <f>交易明細!L91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17" t="n">
        <v>0.16448</v>
      </c>
      <c r="H187" s="17" t="n">
        <v>0.1595456</v>
      </c>
      <c r="I187" s="17" t="n">
        <v>0.172704</v>
      </c>
      <c r="J187" s="17" t="n">
        <v>0.1595456</v>
      </c>
      <c r="K187" s="2" t="inlineStr">
        <is>
          <t>止盈</t>
        </is>
      </c>
      <c r="L187" s="5">
        <f>交易明細!K94</f>
        <v/>
      </c>
      <c r="M187" s="16">
        <f>M183</f>
        <v/>
      </c>
      <c r="N187" s="2">
        <f>N183</f>
        <v/>
      </c>
      <c r="O187" s="16">
        <f>O183</f>
        <v/>
      </c>
      <c r="P187" s="4">
        <f>交易明細!L94</f>
        <v/>
      </c>
      <c r="Q187" s="10">
        <f>IF(N187="已下單",O187*P187,0)</f>
        <v/>
      </c>
      <c r="R187" s="10">
        <f>R186+Q187</f>
        <v/>
      </c>
      <c r="S187" s="16">
        <f>S186-IF(N187="已下單",M187,0)</f>
        <v/>
      </c>
      <c r="T187" s="16">
        <f>R187-S187</f>
        <v/>
      </c>
      <c r="U187" s="2">
        <f>U186-IF(N187="已下單",1,0)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17" t="n">
        <v>0.7688</v>
      </c>
      <c r="H188" s="17" t="n">
        <v>0.7457360000000001</v>
      </c>
      <c r="I188" s="17" t="n">
        <v>0.8072400000000001</v>
      </c>
      <c r="J188" s="17" t="n">
        <v>0.7457360000000001</v>
      </c>
      <c r="K188" s="2" t="inlineStr">
        <is>
          <t>止盈</t>
        </is>
      </c>
      <c r="L188" s="5">
        <f>交易明細!K95</f>
        <v/>
      </c>
      <c r="M188" s="16">
        <f>M184</f>
        <v/>
      </c>
      <c r="N188" s="2">
        <f>N184</f>
        <v/>
      </c>
      <c r="O188" s="16">
        <f>O184</f>
        <v/>
      </c>
      <c r="P188" s="4">
        <f>交易明細!L95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17" t="n">
        <v>2.293</v>
      </c>
      <c r="H189" s="17" t="n">
        <v>2.22421</v>
      </c>
      <c r="I189" s="17" t="n">
        <v>2.40765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17" t="n">
        <v>256.91</v>
      </c>
      <c r="H190" s="17" t="n">
        <v>249.2027</v>
      </c>
      <c r="I190" s="17" t="n">
        <v>269.7555</v>
      </c>
      <c r="J190" s="17" t="n"/>
      <c r="K190" s="2" t="n"/>
      <c r="L190" s="5" t="n"/>
      <c r="M190" s="16">
        <f>資金模擬!$B$5*V189</f>
        <v/>
      </c>
      <c r="N190" s="2">
        <f>IF(Z189=1,"已停止",IF(T189&gt;=M190,"已下單","資金不足略過"))</f>
        <v/>
      </c>
      <c r="O190" s="16">
        <f>IF(N190="已下單",M190*資金模擬!$B$7,0)</f>
        <v/>
      </c>
      <c r="P190" s="4" t="n"/>
      <c r="Q190" s="10" t="n">
        <v>0</v>
      </c>
      <c r="R190" s="10">
        <f>R189+Q190</f>
        <v/>
      </c>
      <c r="S190" s="16">
        <f>S189+IF(N190="已下單",M190,0)</f>
        <v/>
      </c>
      <c r="T190" s="16">
        <f>R190-S190</f>
        <v/>
      </c>
      <c r="U190" s="2">
        <f>U189+IF(N190="已下單",1,0)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17" t="n">
        <v>6.779</v>
      </c>
      <c r="H191" s="17" t="n">
        <v>6.575629999999999</v>
      </c>
      <c r="I191" s="17" t="n">
        <v>7.11795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17" t="n">
        <v>1146.22</v>
      </c>
      <c r="H192" s="17" t="n">
        <v>1111.8334</v>
      </c>
      <c r="I192" s="17" t="n">
        <v>1203.531</v>
      </c>
      <c r="J192" s="17" t="n"/>
      <c r="K192" s="2" t="n"/>
      <c r="L192" s="5" t="n"/>
      <c r="M192" s="16">
        <f>資金模擬!$B$5*V191</f>
        <v/>
      </c>
      <c r="N192" s="2">
        <f>IF(Z191=1,"已停止",IF(T191&gt;=M192,"已下單","資金不足略過"))</f>
        <v/>
      </c>
      <c r="O192" s="16">
        <f>IF(N192="已下單",M192*資金模擬!$B$7,0)</f>
        <v/>
      </c>
      <c r="P192" s="4" t="n"/>
      <c r="Q192" s="10" t="n">
        <v>0</v>
      </c>
      <c r="R192" s="10">
        <f>R191+Q192</f>
        <v/>
      </c>
      <c r="S192" s="16">
        <f>S191+IF(N192="已下單",M192,0)</f>
        <v/>
      </c>
      <c r="T192" s="16">
        <f>R192-S192</f>
        <v/>
      </c>
      <c r="U192" s="2">
        <f>U191+IF(N192="已下單",1,0)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17" t="n">
        <v>0.08132</v>
      </c>
      <c r="H193" s="17" t="n">
        <v>0.0837596</v>
      </c>
      <c r="I193" s="17" t="n">
        <v>0.077254</v>
      </c>
      <c r="J193" s="17" t="n">
        <v>0.077254</v>
      </c>
      <c r="K193" s="2" t="inlineStr">
        <is>
          <t>止損</t>
        </is>
      </c>
      <c r="L193" s="5">
        <f>交易明細!K93</f>
        <v/>
      </c>
      <c r="M193" s="16">
        <f>M182</f>
        <v/>
      </c>
      <c r="N193" s="2">
        <f>N182</f>
        <v/>
      </c>
      <c r="O193" s="16">
        <f>O182</f>
        <v/>
      </c>
      <c r="P193" s="4">
        <f>交易明細!L93</f>
        <v/>
      </c>
      <c r="Q193" s="10">
        <f>IF(N193="已下單",O193*P193,0)</f>
        <v/>
      </c>
      <c r="R193" s="10">
        <f>R192+Q193</f>
        <v/>
      </c>
      <c r="S193" s="16">
        <f>S192-IF(N193="已下單",M193,0)</f>
        <v/>
      </c>
      <c r="T193" s="16">
        <f>R193-S193</f>
        <v/>
      </c>
      <c r="U193" s="2">
        <f>U192-IF(N193="已下單",1,0)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17" t="n">
        <v>0.004388</v>
      </c>
      <c r="H194" s="17" t="n">
        <v>0.00451964</v>
      </c>
      <c r="I194" s="17" t="n">
        <v>0.004168600000000001</v>
      </c>
      <c r="J194" s="17" t="n"/>
      <c r="K194" s="2" t="n"/>
      <c r="L194" s="5" t="n"/>
      <c r="M194" s="16">
        <f>資金模擬!$B$5*V193</f>
        <v/>
      </c>
      <c r="N194" s="2">
        <f>IF(Z193=1,"已停止",IF(T193&gt;=M194,"已下單","資金不足略過"))</f>
        <v/>
      </c>
      <c r="O194" s="16">
        <f>IF(N194="已下單",M194*資金模擬!$B$7,0)</f>
        <v/>
      </c>
      <c r="P194" s="4" t="n"/>
      <c r="Q194" s="10" t="n">
        <v>0</v>
      </c>
      <c r="R194" s="10">
        <f>R193+Q194</f>
        <v/>
      </c>
      <c r="S194" s="16">
        <f>S193+IF(N194="已下單",M194,0)</f>
        <v/>
      </c>
      <c r="T194" s="16">
        <f>R194-S194</f>
        <v/>
      </c>
      <c r="U194" s="2">
        <f>U193+IF(N194="已下單",1,0)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17" t="n">
        <v>63.95</v>
      </c>
      <c r="H195" s="17" t="n">
        <v>62.0315</v>
      </c>
      <c r="I195" s="17" t="n">
        <v>67.14750000000001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17" t="n">
        <v>0.23052</v>
      </c>
      <c r="H196" s="17" t="n">
        <v>0.2374356</v>
      </c>
      <c r="I196" s="17" t="n">
        <v>0.218994</v>
      </c>
      <c r="J196" s="17" t="n"/>
      <c r="K196" s="2" t="n"/>
      <c r="L196" s="5" t="n"/>
      <c r="M196" s="16">
        <f>資金模擬!$B$5*V195</f>
        <v/>
      </c>
      <c r="N196" s="2">
        <f>IF(Z195=1,"已停止",IF(T195&gt;=M196,"已下單","資金不足略過"))</f>
        <v/>
      </c>
      <c r="O196" s="16">
        <f>IF(N196="已下單",M196*資金模擬!$B$7,0)</f>
        <v/>
      </c>
      <c r="P196" s="4" t="n"/>
      <c r="Q196" s="10" t="n">
        <v>0</v>
      </c>
      <c r="R196" s="10">
        <f>R195+Q196</f>
        <v/>
      </c>
      <c r="S196" s="16">
        <f>S195+IF(N196="已下單",M196,0)</f>
        <v/>
      </c>
      <c r="T196" s="16">
        <f>R196-S196</f>
        <v/>
      </c>
      <c r="U196" s="2">
        <f>U195+IF(N196="已下單",1,0)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17" t="n">
        <v>1146.22</v>
      </c>
      <c r="H197" s="17" t="n">
        <v>1111.8334</v>
      </c>
      <c r="I197" s="17" t="n">
        <v>1203.531</v>
      </c>
      <c r="J197" s="17" t="n">
        <v>1111.8334</v>
      </c>
      <c r="K197" s="2" t="inlineStr">
        <is>
          <t>止盈</t>
        </is>
      </c>
      <c r="L197" s="5">
        <f>交易明細!K99</f>
        <v/>
      </c>
      <c r="M197" s="16">
        <f>M192</f>
        <v/>
      </c>
      <c r="N197" s="2">
        <f>N192</f>
        <v/>
      </c>
      <c r="O197" s="16">
        <f>O192</f>
        <v/>
      </c>
      <c r="P197" s="4">
        <f>交易明細!L99</f>
        <v/>
      </c>
      <c r="Q197" s="10">
        <f>IF(N197="已下單",O197*P197,0)</f>
        <v/>
      </c>
      <c r="R197" s="10">
        <f>R196+Q197</f>
        <v/>
      </c>
      <c r="S197" s="16">
        <f>S196-IF(N197="已下單",M197,0)</f>
        <v/>
      </c>
      <c r="T197" s="16">
        <f>R197-S197</f>
        <v/>
      </c>
      <c r="U197" s="2">
        <f>U196-IF(N197="已下單",1,0)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17" t="n">
        <v>0.15102</v>
      </c>
      <c r="H198" s="17" t="n">
        <v>0.1464894</v>
      </c>
      <c r="I198" s="17" t="n">
        <v>0.158571</v>
      </c>
      <c r="J198" s="17" t="n"/>
      <c r="K198" s="2" t="n"/>
      <c r="L198" s="5" t="n"/>
      <c r="M198" s="16">
        <f>資金模擬!$B$5*V197</f>
        <v/>
      </c>
      <c r="N198" s="2">
        <f>IF(Z197=1,"已停止",IF(T197&gt;=M198,"已下單","資金不足略過"))</f>
        <v/>
      </c>
      <c r="O198" s="16">
        <f>IF(N198="已下單",M198*資金模擬!$B$7,0)</f>
        <v/>
      </c>
      <c r="P198" s="4" t="n"/>
      <c r="Q198" s="10" t="n">
        <v>0</v>
      </c>
      <c r="R198" s="10">
        <f>R197+Q198</f>
        <v/>
      </c>
      <c r="S198" s="16">
        <f>S197+IF(N198="已下單",M198,0)</f>
        <v/>
      </c>
      <c r="T198" s="16">
        <f>R198-S198</f>
        <v/>
      </c>
      <c r="U198" s="2">
        <f>U197+IF(N198="已下單",1,0)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17" t="n">
        <v>6.779</v>
      </c>
      <c r="H199" s="17" t="n">
        <v>6.575629999999999</v>
      </c>
      <c r="I199" s="17" t="n">
        <v>7.11795</v>
      </c>
      <c r="J199" s="17" t="n">
        <v>7.11795</v>
      </c>
      <c r="K199" s="2" t="inlineStr">
        <is>
          <t>止損</t>
        </is>
      </c>
      <c r="L199" s="5">
        <f>交易明細!K98</f>
        <v/>
      </c>
      <c r="M199" s="16">
        <f>M191</f>
        <v/>
      </c>
      <c r="N199" s="2">
        <f>N191</f>
        <v/>
      </c>
      <c r="O199" s="16">
        <f>O191</f>
        <v/>
      </c>
      <c r="P199" s="4">
        <f>交易明細!L98</f>
        <v/>
      </c>
      <c r="Q199" s="10">
        <f>IF(N199="已下單",O199*P199,0)</f>
        <v/>
      </c>
      <c r="R199" s="10">
        <f>R198+Q199</f>
        <v/>
      </c>
      <c r="S199" s="16">
        <f>S198-IF(N199="已下單",M199,0)</f>
        <v/>
      </c>
      <c r="T199" s="16">
        <f>R199-S199</f>
        <v/>
      </c>
      <c r="U199" s="2">
        <f>U198-IF(N199="已下單",1,0)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17" t="n">
        <v>0.004388</v>
      </c>
      <c r="H200" s="17" t="n">
        <v>0.00451964</v>
      </c>
      <c r="I200" s="17" t="n">
        <v>0.004168600000000001</v>
      </c>
      <c r="J200" s="17" t="n">
        <v>0.00451964</v>
      </c>
      <c r="K200" s="2" t="inlineStr">
        <is>
          <t>止盈</t>
        </is>
      </c>
      <c r="L200" s="5">
        <f>交易明細!K100</f>
        <v/>
      </c>
      <c r="M200" s="16">
        <f>M194</f>
        <v/>
      </c>
      <c r="N200" s="2">
        <f>N194</f>
        <v/>
      </c>
      <c r="O200" s="16">
        <f>O194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17" t="n">
        <v>0.08141</v>
      </c>
      <c r="H201" s="17" t="n">
        <v>0.0838523</v>
      </c>
      <c r="I201" s="17" t="n">
        <v>0.07733949999999999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17" t="n">
        <v>0.000941</v>
      </c>
      <c r="H202" s="17" t="n">
        <v>0.0009692300000000001</v>
      </c>
      <c r="I202" s="17" t="n">
        <v>0.0008939499999999999</v>
      </c>
      <c r="J202" s="17" t="n"/>
      <c r="K202" s="2" t="n"/>
      <c r="L202" s="5" t="n"/>
      <c r="M202" s="16">
        <f>資金模擬!$B$5*V201</f>
        <v/>
      </c>
      <c r="N202" s="2">
        <f>IF(Z201=1,"已停止",IF(T201&gt;=M202,"已下單","資金不足略過"))</f>
        <v/>
      </c>
      <c r="O202" s="16">
        <f>IF(N202="已下單",M202*資金模擬!$B$7,0)</f>
        <v/>
      </c>
      <c r="P202" s="4" t="n"/>
      <c r="Q202" s="10" t="n">
        <v>0</v>
      </c>
      <c r="R202" s="10">
        <f>R201+Q202</f>
        <v/>
      </c>
      <c r="S202" s="16">
        <f>S201+IF(N202="已下單",M202,0)</f>
        <v/>
      </c>
      <c r="T202" s="16">
        <f>R202-S202</f>
        <v/>
      </c>
      <c r="U202" s="2">
        <f>U201+IF(N202="已下單",1,0)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17" t="n">
        <v>0.23052</v>
      </c>
      <c r="H203" s="17" t="n">
        <v>0.2374356</v>
      </c>
      <c r="I203" s="17" t="n">
        <v>0.218994</v>
      </c>
      <c r="J203" s="17" t="n">
        <v>0.2374356</v>
      </c>
      <c r="K203" s="2" t="inlineStr">
        <is>
          <t>止盈</t>
        </is>
      </c>
      <c r="L203" s="5">
        <f>交易明細!K102</f>
        <v/>
      </c>
      <c r="M203" s="16">
        <f>M196</f>
        <v/>
      </c>
      <c r="N203" s="2">
        <f>N196</f>
        <v/>
      </c>
      <c r="O203" s="16">
        <f>O196</f>
        <v/>
      </c>
      <c r="P203" s="4">
        <f>交易明細!L102</f>
        <v/>
      </c>
      <c r="Q203" s="10">
        <f>IF(N203="已下單",O203*P203,0)</f>
        <v/>
      </c>
      <c r="R203" s="10">
        <f>R202+Q203</f>
        <v/>
      </c>
      <c r="S203" s="16">
        <f>S202-IF(N203="已下單",M203,0)</f>
        <v/>
      </c>
      <c r="T203" s="16">
        <f>R203-S203</f>
        <v/>
      </c>
      <c r="U203" s="2">
        <f>U202-IF(N203="已下單",1,0)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17" t="n">
        <v>0.0169276</v>
      </c>
      <c r="H204" s="17" t="n">
        <v>0.017435428</v>
      </c>
      <c r="I204" s="17" t="n">
        <v>0.01608122</v>
      </c>
      <c r="J204" s="17" t="n"/>
      <c r="K204" s="2" t="n"/>
      <c r="L204" s="5" t="n"/>
      <c r="M204" s="16">
        <f>資金模擬!$B$5*V203</f>
        <v/>
      </c>
      <c r="N204" s="2">
        <f>IF(Z203=1,"已停止",IF(T203&gt;=M204,"已下單","資金不足略過"))</f>
        <v/>
      </c>
      <c r="O204" s="16">
        <f>IF(N204="已下單",M204*資金模擬!$B$7,0)</f>
        <v/>
      </c>
      <c r="P204" s="4" t="n"/>
      <c r="Q204" s="10" t="n">
        <v>0</v>
      </c>
      <c r="R204" s="10">
        <f>R203+Q204</f>
        <v/>
      </c>
      <c r="S204" s="16">
        <f>S203+IF(N204="已下單",M204,0)</f>
        <v/>
      </c>
      <c r="T204" s="16">
        <f>R204-S204</f>
        <v/>
      </c>
      <c r="U204" s="2">
        <f>U203+IF(N204="已下單",1,0)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17" t="n">
        <v>0.7033</v>
      </c>
      <c r="H205" s="17" t="n">
        <v>0.6822010000000001</v>
      </c>
      <c r="I205" s="17" t="n">
        <v>0.738465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17" t="n">
        <v>1.177</v>
      </c>
      <c r="H206" s="17" t="n">
        <v>1.14169</v>
      </c>
      <c r="I206" s="17" t="n">
        <v>1.23585</v>
      </c>
      <c r="J206" s="17" t="n">
        <v>1.23585</v>
      </c>
      <c r="K206" s="2" t="inlineStr">
        <is>
          <t>止損</t>
        </is>
      </c>
      <c r="L206" s="5">
        <f>交易明細!K92</f>
        <v/>
      </c>
      <c r="M206" s="16">
        <f>M181</f>
        <v/>
      </c>
      <c r="N206" s="2">
        <f>N181</f>
        <v/>
      </c>
      <c r="O206" s="16">
        <f>O181</f>
        <v/>
      </c>
      <c r="P206" s="4">
        <f>交易明細!L92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17" t="n">
        <v>0.15102</v>
      </c>
      <c r="H207" s="17" t="n">
        <v>0.1464894</v>
      </c>
      <c r="I207" s="17" t="n">
        <v>0.158571</v>
      </c>
      <c r="J207" s="17" t="n">
        <v>0.1464894</v>
      </c>
      <c r="K207" s="2" t="inlineStr">
        <is>
          <t>止盈</t>
        </is>
      </c>
      <c r="L207" s="5">
        <f>交易明細!K103</f>
        <v/>
      </c>
      <c r="M207" s="16">
        <f>M198</f>
        <v/>
      </c>
      <c r="N207" s="2">
        <f>N198</f>
        <v/>
      </c>
      <c r="O207" s="16">
        <f>O198</f>
        <v/>
      </c>
      <c r="P207" s="4">
        <f>交易明細!L103</f>
        <v/>
      </c>
      <c r="Q207" s="10">
        <f>IF(N207="已下單",O207*P207,0)</f>
        <v/>
      </c>
      <c r="R207" s="10">
        <f>R206+Q207</f>
        <v/>
      </c>
      <c r="S207" s="16">
        <f>S206-IF(N207="已下單",M207,0)</f>
        <v/>
      </c>
      <c r="T207" s="16">
        <f>R207-S207</f>
        <v/>
      </c>
      <c r="U207" s="2">
        <f>U206-IF(N207="已下單",1,0)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17" t="n">
        <v>0.000941</v>
      </c>
      <c r="H208" s="17" t="n">
        <v>0.0009692300000000001</v>
      </c>
      <c r="I208" s="17" t="n">
        <v>0.0008939499999999999</v>
      </c>
      <c r="J208" s="17" t="n">
        <v>0.0009692300000000001</v>
      </c>
      <c r="K208" s="2" t="inlineStr">
        <is>
          <t>止盈</t>
        </is>
      </c>
      <c r="L208" s="5">
        <f>交易明細!K105</f>
        <v/>
      </c>
      <c r="M208" s="16">
        <f>M202</f>
        <v/>
      </c>
      <c r="N208" s="2">
        <f>N202</f>
        <v/>
      </c>
      <c r="O208" s="16">
        <f>O202</f>
        <v/>
      </c>
      <c r="P208" s="4">
        <f>交易明細!L105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17" t="n">
        <v>0.0169276</v>
      </c>
      <c r="H209" s="17" t="n">
        <v>0.017435428</v>
      </c>
      <c r="I209" s="17" t="n">
        <v>0.01608122</v>
      </c>
      <c r="J209" s="17" t="n">
        <v>0.017435428</v>
      </c>
      <c r="K209" s="2" t="inlineStr">
        <is>
          <t>止盈</t>
        </is>
      </c>
      <c r="L209" s="5">
        <f>交易明細!K106</f>
        <v/>
      </c>
      <c r="M209" s="16">
        <f>M204</f>
        <v/>
      </c>
      <c r="N209" s="2">
        <f>N204</f>
        <v/>
      </c>
      <c r="O209" s="16">
        <f>O204</f>
        <v/>
      </c>
      <c r="P209" s="4">
        <f>交易明細!L106</f>
        <v/>
      </c>
      <c r="Q209" s="10">
        <f>IF(N209="已下單",O209*P209,0)</f>
        <v/>
      </c>
      <c r="R209" s="10">
        <f>R208+Q209</f>
        <v/>
      </c>
      <c r="S209" s="16">
        <f>S208-IF(N209="已下單",M209,0)</f>
        <v/>
      </c>
      <c r="T209" s="16">
        <f>R209-S209</f>
        <v/>
      </c>
      <c r="U209" s="2">
        <f>U208-IF(N209="已下單",1,0)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17" t="n">
        <v>0.7033</v>
      </c>
      <c r="H210" s="17" t="n">
        <v>0.6822010000000001</v>
      </c>
      <c r="I210" s="17" t="n">
        <v>0.738465</v>
      </c>
      <c r="J210" s="17" t="n">
        <v>0.6822010000000001</v>
      </c>
      <c r="K210" s="2" t="inlineStr">
        <is>
          <t>止盈</t>
        </is>
      </c>
      <c r="L210" s="5">
        <f>交易明細!K107</f>
        <v/>
      </c>
      <c r="M210" s="16">
        <f>M205</f>
        <v/>
      </c>
      <c r="N210" s="2">
        <f>N205</f>
        <v/>
      </c>
      <c r="O210" s="16">
        <f>O205</f>
        <v/>
      </c>
      <c r="P210" s="4">
        <f>交易明細!L107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17" t="n">
        <v>4.589</v>
      </c>
      <c r="H211" s="17" t="n">
        <v>4.45133</v>
      </c>
      <c r="I211" s="17" t="n">
        <v>4.81845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17" t="n">
        <v>0.17709</v>
      </c>
      <c r="H212" s="17" t="n">
        <v>0.1717773</v>
      </c>
      <c r="I212" s="17" t="n">
        <v>0.1859445</v>
      </c>
      <c r="J212" s="17" t="n"/>
      <c r="K212" s="2" t="n"/>
      <c r="L212" s="5" t="n"/>
      <c r="M212" s="16">
        <f>資金模擬!$B$5*V211</f>
        <v/>
      </c>
      <c r="N212" s="2">
        <f>IF(Z211=1,"已停止",IF(T211&gt;=M212,"已下單","資金不足略過"))</f>
        <v/>
      </c>
      <c r="O212" s="16">
        <f>IF(N212="已下單",M212*資金模擬!$B$7,0)</f>
        <v/>
      </c>
      <c r="P212" s="4" t="n"/>
      <c r="Q212" s="10" t="n">
        <v>0</v>
      </c>
      <c r="R212" s="10">
        <f>R211+Q212</f>
        <v/>
      </c>
      <c r="S212" s="16">
        <f>S211+IF(N212="已下單",M212,0)</f>
        <v/>
      </c>
      <c r="T212" s="16">
        <f>R212-S212</f>
        <v/>
      </c>
      <c r="U212" s="2">
        <f>U211+IF(N212="已下單",1,0)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17" t="n">
        <v>0.03482</v>
      </c>
      <c r="H213" s="17" t="n">
        <v>0.0337754</v>
      </c>
      <c r="I213" s="17" t="n">
        <v>0.036561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17" t="n">
        <v>0.08141</v>
      </c>
      <c r="H214" s="17" t="n">
        <v>0.0838523</v>
      </c>
      <c r="I214" s="17" t="n">
        <v>0.07733949999999999</v>
      </c>
      <c r="J214" s="17" t="n">
        <v>0.07733949999999999</v>
      </c>
      <c r="K214" s="2" t="inlineStr">
        <is>
          <t>止損</t>
        </is>
      </c>
      <c r="L214" s="5">
        <f>交易明細!K104</f>
        <v/>
      </c>
      <c r="M214" s="16">
        <f>M201</f>
        <v/>
      </c>
      <c r="N214" s="2">
        <f>N201</f>
        <v/>
      </c>
      <c r="O214" s="16">
        <f>O201</f>
        <v/>
      </c>
      <c r="P214" s="4">
        <f>交易明細!L104</f>
        <v/>
      </c>
      <c r="Q214" s="10">
        <f>IF(N214="已下單",O214*P214,0)</f>
        <v/>
      </c>
      <c r="R214" s="10">
        <f>R213+Q214</f>
        <v/>
      </c>
      <c r="S214" s="16">
        <f>S213-IF(N214="已下單",M214,0)</f>
        <v/>
      </c>
      <c r="T214" s="16">
        <f>R214-S214</f>
        <v/>
      </c>
      <c r="U214" s="2">
        <f>U213-IF(N214="已下單",1,0)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17" t="n">
        <v>0.1747</v>
      </c>
      <c r="H215" s="17" t="n">
        <v>0.179941</v>
      </c>
      <c r="I215" s="17" t="n">
        <v>0.165965</v>
      </c>
      <c r="J215" s="17" t="n"/>
      <c r="K215" s="2" t="n"/>
      <c r="L215" s="5" t="n"/>
      <c r="M215" s="16">
        <f>資金模擬!$B$5*V214</f>
        <v/>
      </c>
      <c r="N215" s="2">
        <f>IF(Z214=1,"已停止",IF(T214&gt;=M215,"已下單","資金不足略過"))</f>
        <v/>
      </c>
      <c r="O215" s="16">
        <f>IF(N215="已下單",M215*資金模擬!$B$7,0)</f>
        <v/>
      </c>
      <c r="P215" s="4" t="n"/>
      <c r="Q215" s="10" t="n">
        <v>0</v>
      </c>
      <c r="R215" s="10">
        <f>R214+Q215</f>
        <v/>
      </c>
      <c r="S215" s="16">
        <f>S214+IF(N215="已下單",M215,0)</f>
        <v/>
      </c>
      <c r="T215" s="16">
        <f>R215-S215</f>
        <v/>
      </c>
      <c r="U215" s="2">
        <f>U214+IF(N215="已下單",1,0)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17" t="n">
        <v>0.24093</v>
      </c>
      <c r="H216" s="17" t="n">
        <v>0.2481579</v>
      </c>
      <c r="I216" s="17" t="n">
        <v>0.2288835</v>
      </c>
      <c r="J216" s="17" t="n"/>
      <c r="K216" s="2" t="n"/>
      <c r="L216" s="5" t="n"/>
      <c r="M216" s="16">
        <f>資金模擬!$B$5*V215</f>
        <v/>
      </c>
      <c r="N216" s="2">
        <f>IF(Z215=1,"已停止",IF(T215&gt;=M216,"已下單","資金不足略過"))</f>
        <v/>
      </c>
      <c r="O216" s="16">
        <f>IF(N216="已下單",M216*資金模擬!$B$7,0)</f>
        <v/>
      </c>
      <c r="P216" s="4" t="n"/>
      <c r="Q216" s="10" t="n">
        <v>0</v>
      </c>
      <c r="R216" s="10">
        <f>R215+Q216</f>
        <v/>
      </c>
      <c r="S216" s="16">
        <f>S215+IF(N216="已下單",M216,0)</f>
        <v/>
      </c>
      <c r="T216" s="16">
        <f>R216-S216</f>
        <v/>
      </c>
      <c r="U216" s="2">
        <f>U215+IF(N216="已下單",1,0)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17" t="n">
        <v>0.17709</v>
      </c>
      <c r="H217" s="17" t="n">
        <v>0.1717773</v>
      </c>
      <c r="I217" s="17" t="n">
        <v>0.1859445</v>
      </c>
      <c r="J217" s="17" t="n">
        <v>0.1717773</v>
      </c>
      <c r="K217" s="2" t="inlineStr">
        <is>
          <t>止盈</t>
        </is>
      </c>
      <c r="L217" s="5">
        <f>交易明細!K109</f>
        <v/>
      </c>
      <c r="M217" s="16">
        <f>M212</f>
        <v/>
      </c>
      <c r="N217" s="2">
        <f>N212</f>
        <v/>
      </c>
      <c r="O217" s="16">
        <f>O212</f>
        <v/>
      </c>
      <c r="P217" s="4">
        <f>交易明細!L109</f>
        <v/>
      </c>
      <c r="Q217" s="10">
        <f>IF(N217="已下單",O217*P217,0)</f>
        <v/>
      </c>
      <c r="R217" s="10">
        <f>R216+Q217</f>
        <v/>
      </c>
      <c r="S217" s="16">
        <f>S216-IF(N217="已下單",M217,0)</f>
        <v/>
      </c>
      <c r="T217" s="16">
        <f>R217-S217</f>
        <v/>
      </c>
      <c r="U217" s="2">
        <f>U216-IF(N217="已下單",1,0)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17" t="n">
        <v>0.24093</v>
      </c>
      <c r="H218" s="17" t="n">
        <v>0.2481579</v>
      </c>
      <c r="I218" s="17" t="n">
        <v>0.2288835</v>
      </c>
      <c r="J218" s="17" t="n">
        <v>0.2481579</v>
      </c>
      <c r="K218" s="2" t="inlineStr">
        <is>
          <t>止盈</t>
        </is>
      </c>
      <c r="L218" s="5">
        <f>交易明細!K112</f>
        <v/>
      </c>
      <c r="M218" s="16">
        <f>M216</f>
        <v/>
      </c>
      <c r="N218" s="2">
        <f>N216</f>
        <v/>
      </c>
      <c r="O218" s="16">
        <f>O216</f>
        <v/>
      </c>
      <c r="P218" s="4">
        <f>交易明細!L112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17" t="n">
        <v>0.004183</v>
      </c>
      <c r="H219" s="17" t="n">
        <v>0.00405751</v>
      </c>
      <c r="I219" s="17" t="n">
        <v>0.00439215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17" t="n">
        <v>0.4788</v>
      </c>
      <c r="H220" s="17" t="n">
        <v>0.493164</v>
      </c>
      <c r="I220" s="17" t="n">
        <v>0.45486</v>
      </c>
      <c r="J220" s="17" t="n"/>
      <c r="K220" s="2" t="n"/>
      <c r="L220" s="5" t="n"/>
      <c r="M220" s="16">
        <f>資金模擬!$B$5*V219</f>
        <v/>
      </c>
      <c r="N220" s="2">
        <f>IF(Z219=1,"已停止",IF(T219&gt;=M220,"已下單","資金不足略過"))</f>
        <v/>
      </c>
      <c r="O220" s="16">
        <f>IF(N220="已下單",M220*資金模擬!$B$7,0)</f>
        <v/>
      </c>
      <c r="P220" s="4" t="n"/>
      <c r="Q220" s="10" t="n">
        <v>0</v>
      </c>
      <c r="R220" s="10">
        <f>R219+Q220</f>
        <v/>
      </c>
      <c r="S220" s="16">
        <f>S219+IF(N220="已下單",M220,0)</f>
        <v/>
      </c>
      <c r="T220" s="16">
        <f>R220-S220</f>
        <v/>
      </c>
      <c r="U220" s="2">
        <f>U219+IF(N220="已下單",1,0)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17" t="n">
        <v>63.95</v>
      </c>
      <c r="H221" s="17" t="n">
        <v>62.0315</v>
      </c>
      <c r="I221" s="17" t="n">
        <v>67.14750000000001</v>
      </c>
      <c r="J221" s="17" t="n">
        <v>62.0315</v>
      </c>
      <c r="K221" s="2" t="inlineStr">
        <is>
          <t>止盈</t>
        </is>
      </c>
      <c r="L221" s="5">
        <f>交易明細!K101</f>
        <v/>
      </c>
      <c r="M221" s="16">
        <f>M195</f>
        <v/>
      </c>
      <c r="N221" s="2">
        <f>N195</f>
        <v/>
      </c>
      <c r="O221" s="16">
        <f>O195</f>
        <v/>
      </c>
      <c r="P221" s="4">
        <f>交易明細!L101</f>
        <v/>
      </c>
      <c r="Q221" s="10">
        <f>IF(N221="已下單",O221*P221,0)</f>
        <v/>
      </c>
      <c r="R221" s="10">
        <f>R220+Q221</f>
        <v/>
      </c>
      <c r="S221" s="16">
        <f>S220-IF(N221="已下單",M221,0)</f>
        <v/>
      </c>
      <c r="T221" s="16">
        <f>R221-S221</f>
        <v/>
      </c>
      <c r="U221" s="2">
        <f>U220-IF(N221="已下單",1,0)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17" t="n">
        <v>0.2406</v>
      </c>
      <c r="H222" s="17" t="n">
        <v>0.247818</v>
      </c>
      <c r="I222" s="17" t="n">
        <v>0.22857</v>
      </c>
      <c r="J222" s="17" t="n"/>
      <c r="K222" s="2" t="n"/>
      <c r="L222" s="5" t="n"/>
      <c r="M222" s="16">
        <f>資金模擬!$B$5*V221</f>
        <v/>
      </c>
      <c r="N222" s="2">
        <f>IF(Z221=1,"已停止",IF(T221&gt;=M222,"已下單","資金不足略過"))</f>
        <v/>
      </c>
      <c r="O222" s="16">
        <f>IF(N222="已下單",M222*資金模擬!$B$7,0)</f>
        <v/>
      </c>
      <c r="P222" s="4" t="n"/>
      <c r="Q222" s="10" t="n">
        <v>0</v>
      </c>
      <c r="R222" s="10">
        <f>R221+Q222</f>
        <v/>
      </c>
      <c r="S222" s="16">
        <f>S221+IF(N222="已下單",M222,0)</f>
        <v/>
      </c>
      <c r="T222" s="16">
        <f>R222-S222</f>
        <v/>
      </c>
      <c r="U222" s="2">
        <f>U221+IF(N222="已下單",1,0)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17" t="n">
        <v>4.589</v>
      </c>
      <c r="H223" s="17" t="n">
        <v>4.45133</v>
      </c>
      <c r="I223" s="17" t="n">
        <v>4.81845</v>
      </c>
      <c r="J223" s="17" t="n">
        <v>4.81845</v>
      </c>
      <c r="K223" s="2" t="inlineStr">
        <is>
          <t>止損</t>
        </is>
      </c>
      <c r="L223" s="5">
        <f>交易明細!K108</f>
        <v/>
      </c>
      <c r="M223" s="16">
        <f>M211</f>
        <v/>
      </c>
      <c r="N223" s="2">
        <f>N211</f>
        <v/>
      </c>
      <c r="O223" s="16">
        <f>O211</f>
        <v/>
      </c>
      <c r="P223" s="4">
        <f>交易明細!L108</f>
        <v/>
      </c>
      <c r="Q223" s="10">
        <f>IF(N223="已下單",O223*P223,0)</f>
        <v/>
      </c>
      <c r="R223" s="10">
        <f>R222+Q223</f>
        <v/>
      </c>
      <c r="S223" s="16">
        <f>S222-IF(N223="已下單",M223,0)</f>
        <v/>
      </c>
      <c r="T223" s="16">
        <f>R223-S223</f>
        <v/>
      </c>
      <c r="U223" s="2">
        <f>U222-IF(N223="已下單",1,0)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17" t="n">
        <v>0.2406</v>
      </c>
      <c r="H224" s="17" t="n">
        <v>0.247818</v>
      </c>
      <c r="I224" s="17" t="n">
        <v>0.22857</v>
      </c>
      <c r="J224" s="17" t="n">
        <v>0.247818</v>
      </c>
      <c r="K224" s="2" t="inlineStr">
        <is>
          <t>止盈</t>
        </is>
      </c>
      <c r="L224" s="5">
        <f>交易明細!K115</f>
        <v/>
      </c>
      <c r="M224" s="16">
        <f>M222</f>
        <v/>
      </c>
      <c r="N224" s="2">
        <f>N222</f>
        <v/>
      </c>
      <c r="O224" s="16">
        <f>O222</f>
        <v/>
      </c>
      <c r="P224" s="4">
        <f>交易明細!L115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17" t="n">
        <v>0.6424</v>
      </c>
      <c r="H225" s="17" t="n">
        <v>0.661672</v>
      </c>
      <c r="I225" s="17" t="n">
        <v>0.6102799999999999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17" t="n">
        <v>0.7282999999999999</v>
      </c>
      <c r="H226" s="17" t="n">
        <v>0.750149</v>
      </c>
      <c r="I226" s="17" t="n">
        <v>0.691885</v>
      </c>
      <c r="J226" s="17" t="n"/>
      <c r="K226" s="2" t="n"/>
      <c r="L226" s="5" t="n"/>
      <c r="M226" s="16">
        <f>資金模擬!$B$5*V225</f>
        <v/>
      </c>
      <c r="N226" s="2">
        <f>IF(Z225=1,"已停止",IF(T225&gt;=M226,"已下單","資金不足略過"))</f>
        <v/>
      </c>
      <c r="O226" s="16">
        <f>IF(N226="已下單",M226*資金模擬!$B$7,0)</f>
        <v/>
      </c>
      <c r="P226" s="4" t="n"/>
      <c r="Q226" s="10" t="n">
        <v>0</v>
      </c>
      <c r="R226" s="10">
        <f>R225+Q226</f>
        <v/>
      </c>
      <c r="S226" s="16">
        <f>S225+IF(N226="已下單",M226,0)</f>
        <v/>
      </c>
      <c r="T226" s="16">
        <f>R226-S226</f>
        <v/>
      </c>
      <c r="U226" s="2">
        <f>U225+IF(N226="已下單",1,0)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17" t="n">
        <v>0.004183</v>
      </c>
      <c r="H227" s="17" t="n">
        <v>0.00405751</v>
      </c>
      <c r="I227" s="17" t="n">
        <v>0.00439215</v>
      </c>
      <c r="J227" s="17" t="n">
        <v>0.00439215</v>
      </c>
      <c r="K227" s="2" t="inlineStr">
        <is>
          <t>止損</t>
        </is>
      </c>
      <c r="L227" s="5">
        <f>交易明細!K113</f>
        <v/>
      </c>
      <c r="M227" s="16">
        <f>M219</f>
        <v/>
      </c>
      <c r="N227" s="2">
        <f>N219</f>
        <v/>
      </c>
      <c r="O227" s="16">
        <f>O219</f>
        <v/>
      </c>
      <c r="P227" s="4">
        <f>交易明細!L113</f>
        <v/>
      </c>
      <c r="Q227" s="10">
        <f>IF(N227="已下單",O227*P227,0)</f>
        <v/>
      </c>
      <c r="R227" s="10">
        <f>R226+Q227</f>
        <v/>
      </c>
      <c r="S227" s="16">
        <f>S226-IF(N227="已下單",M227,0)</f>
        <v/>
      </c>
      <c r="T227" s="16">
        <f>R227-S227</f>
        <v/>
      </c>
      <c r="U227" s="2">
        <f>U226-IF(N227="已下單",1,0)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17" t="n">
        <v>0.1787</v>
      </c>
      <c r="H228" s="17" t="n">
        <v>0.173339</v>
      </c>
      <c r="I228" s="17" t="n">
        <v>0.187635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17" t="n">
        <v>0.7282999999999999</v>
      </c>
      <c r="H229" s="17" t="n">
        <v>0.750149</v>
      </c>
      <c r="I229" s="17" t="n">
        <v>0.691885</v>
      </c>
      <c r="J229" s="17" t="n">
        <v>0.750149</v>
      </c>
      <c r="K229" s="2" t="inlineStr">
        <is>
          <t>止盈</t>
        </is>
      </c>
      <c r="L229" s="5">
        <f>交易明細!K117</f>
        <v/>
      </c>
      <c r="M229" s="16">
        <f>M226</f>
        <v/>
      </c>
      <c r="N229" s="2">
        <f>N226</f>
        <v/>
      </c>
      <c r="O229" s="16">
        <f>O226</f>
        <v/>
      </c>
      <c r="P229" s="4">
        <f>交易明細!L117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17" t="n">
        <v>0.1787</v>
      </c>
      <c r="H230" s="17" t="n">
        <v>0.173339</v>
      </c>
      <c r="I230" s="17" t="n">
        <v>0.187635</v>
      </c>
      <c r="J230" s="17" t="n">
        <v>0.173339</v>
      </c>
      <c r="K230" s="2" t="inlineStr">
        <is>
          <t>止盈</t>
        </is>
      </c>
      <c r="L230" s="5">
        <f>交易明細!K118</f>
        <v/>
      </c>
      <c r="M230" s="16">
        <f>M228</f>
        <v/>
      </c>
      <c r="N230" s="2">
        <f>N228</f>
        <v/>
      </c>
      <c r="O230" s="16">
        <f>O228</f>
        <v/>
      </c>
      <c r="P230" s="4">
        <f>交易明細!L118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17" t="n">
        <v>4.848</v>
      </c>
      <c r="H231" s="17" t="n">
        <v>4.99344</v>
      </c>
      <c r="I231" s="17" t="n">
        <v>4.6056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17" t="n">
        <v>0.7527</v>
      </c>
      <c r="H232" s="17" t="n">
        <v>0.7752810000000001</v>
      </c>
      <c r="I232" s="17" t="n">
        <v>0.715065</v>
      </c>
      <c r="J232" s="17" t="n"/>
      <c r="K232" s="2" t="n"/>
      <c r="L232" s="5" t="n"/>
      <c r="M232" s="16">
        <f>資金模擬!$B$5*V231</f>
        <v/>
      </c>
      <c r="N232" s="2">
        <f>IF(Z231=1,"已停止",IF(T231&gt;=M232,"已下單","資金不足略過"))</f>
        <v/>
      </c>
      <c r="O232" s="16">
        <f>IF(N232="已下單",M232*資金模擬!$B$7,0)</f>
        <v/>
      </c>
      <c r="P232" s="4" t="n"/>
      <c r="Q232" s="10" t="n">
        <v>0</v>
      </c>
      <c r="R232" s="10">
        <f>R231+Q232</f>
        <v/>
      </c>
      <c r="S232" s="16">
        <f>S231+IF(N232="已下單",M232,0)</f>
        <v/>
      </c>
      <c r="T232" s="16">
        <f>R232-S232</f>
        <v/>
      </c>
      <c r="U232" s="2">
        <f>U231+IF(N232="已下單",1,0)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17" t="n">
        <v>0.1747</v>
      </c>
      <c r="H233" s="17" t="n">
        <v>0.179941</v>
      </c>
      <c r="I233" s="17" t="n">
        <v>0.165965</v>
      </c>
      <c r="J233" s="17" t="n">
        <v>0.165965</v>
      </c>
      <c r="K233" s="2" t="inlineStr">
        <is>
          <t>止損</t>
        </is>
      </c>
      <c r="L233" s="5">
        <f>交易明細!K111</f>
        <v/>
      </c>
      <c r="M233" s="16">
        <f>M215</f>
        <v/>
      </c>
      <c r="N233" s="2">
        <f>N215</f>
        <v/>
      </c>
      <c r="O233" s="16">
        <f>O215</f>
        <v/>
      </c>
      <c r="P233" s="4">
        <f>交易明細!L111</f>
        <v/>
      </c>
      <c r="Q233" s="10">
        <f>IF(N233="已下單",O233*P233,0)</f>
        <v/>
      </c>
      <c r="R233" s="10">
        <f>R232+Q233</f>
        <v/>
      </c>
      <c r="S233" s="16">
        <f>S232-IF(N233="已下單",M233,0)</f>
        <v/>
      </c>
      <c r="T233" s="16">
        <f>R233-S233</f>
        <v/>
      </c>
      <c r="U233" s="2">
        <f>U232-IF(N233="已下單",1,0)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17" t="n">
        <v>0.7527</v>
      </c>
      <c r="H234" s="17" t="n">
        <v>0.7752810000000001</v>
      </c>
      <c r="I234" s="17" t="n">
        <v>0.715065</v>
      </c>
      <c r="J234" s="17" t="n">
        <v>0.7752810000000001</v>
      </c>
      <c r="K234" s="2" t="inlineStr">
        <is>
          <t>止盈</t>
        </is>
      </c>
      <c r="L234" s="5">
        <f>交易明細!K120</f>
        <v/>
      </c>
      <c r="M234" s="16">
        <f>M232</f>
        <v/>
      </c>
      <c r="N234" s="2">
        <f>N232</f>
        <v/>
      </c>
      <c r="O234" s="16">
        <f>O232</f>
        <v/>
      </c>
      <c r="P234" s="4">
        <f>交易明細!L120</f>
        <v/>
      </c>
      <c r="Q234" s="10">
        <f>IF(N234="已下單",O234*P234,0)</f>
        <v/>
      </c>
      <c r="R234" s="10">
        <f>R233+Q234</f>
        <v/>
      </c>
      <c r="S234" s="16">
        <f>S233-IF(N234="已下單",M234,0)</f>
        <v/>
      </c>
      <c r="T234" s="16">
        <f>R234-S234</f>
        <v/>
      </c>
      <c r="U234" s="2">
        <f>U233-IF(N234="已下單",1,0)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17" t="n">
        <v>0.03482</v>
      </c>
      <c r="H235" s="17" t="n">
        <v>0.0337754</v>
      </c>
      <c r="I235" s="17" t="n">
        <v>0.036561</v>
      </c>
      <c r="J235" s="17" t="n">
        <v>0.036561</v>
      </c>
      <c r="K235" s="2" t="inlineStr">
        <is>
          <t>止損</t>
        </is>
      </c>
      <c r="L235" s="5">
        <f>交易明細!K110</f>
        <v/>
      </c>
      <c r="M235" s="16">
        <f>M213</f>
        <v/>
      </c>
      <c r="N235" s="2">
        <f>N213</f>
        <v/>
      </c>
      <c r="O235" s="16">
        <f>O213</f>
        <v/>
      </c>
      <c r="P235" s="4">
        <f>交易明細!L110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17" t="n">
        <v>1.123</v>
      </c>
      <c r="H236" s="17" t="n">
        <v>1.15669</v>
      </c>
      <c r="I236" s="17" t="n">
        <v>1.06685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17" t="n">
        <v>6.534</v>
      </c>
      <c r="H237" s="17" t="n">
        <v>6.73002</v>
      </c>
      <c r="I237" s="17" t="n">
        <v>6.207299999999999</v>
      </c>
      <c r="J237" s="17" t="n"/>
      <c r="K237" s="2" t="n"/>
      <c r="L237" s="5" t="n"/>
      <c r="M237" s="16">
        <f>資金模擬!$B$5*V236</f>
        <v/>
      </c>
      <c r="N237" s="2">
        <f>IF(Z236=1,"已停止",IF(T236&gt;=M237,"已下單","資金不足略過"))</f>
        <v/>
      </c>
      <c r="O237" s="16">
        <f>IF(N237="已下單",M237*資金模擬!$B$7,0)</f>
        <v/>
      </c>
      <c r="P237" s="4" t="n"/>
      <c r="Q237" s="10" t="n">
        <v>0</v>
      </c>
      <c r="R237" s="10">
        <f>R236+Q237</f>
        <v/>
      </c>
      <c r="S237" s="16">
        <f>S236+IF(N237="已下單",M237,0)</f>
        <v/>
      </c>
      <c r="T237" s="16">
        <f>R237-S237</f>
        <v/>
      </c>
      <c r="U237" s="2">
        <f>U236+IF(N237="已下單",1,0)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17" t="n">
        <v>2.293</v>
      </c>
      <c r="H238" s="17" t="n">
        <v>2.22421</v>
      </c>
      <c r="I238" s="17" t="n">
        <v>2.40765</v>
      </c>
      <c r="J238" s="17" t="n">
        <v>2.40765</v>
      </c>
      <c r="K238" s="2" t="inlineStr">
        <is>
          <t>止損</t>
        </is>
      </c>
      <c r="L238" s="5">
        <f>交易明細!K96</f>
        <v/>
      </c>
      <c r="M238" s="16">
        <f>M189</f>
        <v/>
      </c>
      <c r="N238" s="2">
        <f>N189</f>
        <v/>
      </c>
      <c r="O238" s="16">
        <f>O189</f>
        <v/>
      </c>
      <c r="P238" s="4">
        <f>交易明細!L96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17" t="n">
        <v>0.4788</v>
      </c>
      <c r="H239" s="17" t="n">
        <v>0.493164</v>
      </c>
      <c r="I239" s="17" t="n">
        <v>0.45486</v>
      </c>
      <c r="J239" s="17" t="n">
        <v>0.493164</v>
      </c>
      <c r="K239" s="2" t="inlineStr">
        <is>
          <t>止盈</t>
        </is>
      </c>
      <c r="L239" s="5">
        <f>交易明細!K114</f>
        <v/>
      </c>
      <c r="M239" s="16">
        <f>M220</f>
        <v/>
      </c>
      <c r="N239" s="2">
        <f>N220</f>
        <v/>
      </c>
      <c r="O239" s="16">
        <f>O220</f>
        <v/>
      </c>
      <c r="P239" s="4">
        <f>交易明細!L114</f>
        <v/>
      </c>
      <c r="Q239" s="10">
        <f>IF(N239="已下單",O239*P239,0)</f>
        <v/>
      </c>
      <c r="R239" s="10">
        <f>R238+Q239</f>
        <v/>
      </c>
      <c r="S239" s="16">
        <f>S238-IF(N239="已下單",M239,0)</f>
        <v/>
      </c>
      <c r="T239" s="16">
        <f>R239-S239</f>
        <v/>
      </c>
      <c r="U239" s="2">
        <f>U238-IF(N239="已下單",1,0)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17" t="n">
        <v>1.123</v>
      </c>
      <c r="H240" s="17" t="n">
        <v>1.15669</v>
      </c>
      <c r="I240" s="17" t="n">
        <v>1.06685</v>
      </c>
      <c r="J240" s="17" t="n">
        <v>1.15669</v>
      </c>
      <c r="K240" s="2" t="inlineStr">
        <is>
          <t>止盈</t>
        </is>
      </c>
      <c r="L240" s="5">
        <f>交易明細!K121</f>
        <v/>
      </c>
      <c r="M240" s="16">
        <f>M236</f>
        <v/>
      </c>
      <c r="N240" s="2">
        <f>N236</f>
        <v/>
      </c>
      <c r="O240" s="16">
        <f>O236</f>
        <v/>
      </c>
      <c r="P240" s="4">
        <f>交易明細!L121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17" t="n">
        <v>2.963</v>
      </c>
      <c r="H241" s="17" t="n">
        <v>2.87411</v>
      </c>
      <c r="I241" s="17" t="n">
        <v>3.11115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17" t="n">
        <v>0.13851</v>
      </c>
      <c r="H242" s="17" t="n">
        <v>0.1343547</v>
      </c>
      <c r="I242" s="17" t="n">
        <v>0.1454355</v>
      </c>
      <c r="J242" s="17" t="n"/>
      <c r="K242" s="2" t="n"/>
      <c r="L242" s="5" t="n"/>
      <c r="M242" s="16">
        <f>資金模擬!$B$5*V241</f>
        <v/>
      </c>
      <c r="N242" s="2">
        <f>IF(Z241=1,"已停止",IF(T241&gt;=M242,"已下單","資金不足略過"))</f>
        <v/>
      </c>
      <c r="O242" s="16">
        <f>IF(N242="已下單",M242*資金模擬!$B$7,0)</f>
        <v/>
      </c>
      <c r="P242" s="4" t="n"/>
      <c r="Q242" s="10" t="n">
        <v>0</v>
      </c>
      <c r="R242" s="10">
        <f>R241+Q242</f>
        <v/>
      </c>
      <c r="S242" s="16">
        <f>S241+IF(N242="已下單",M242,0)</f>
        <v/>
      </c>
      <c r="T242" s="16">
        <f>R242-S242</f>
        <v/>
      </c>
      <c r="U242" s="2">
        <f>U241+IF(N242="已下單",1,0)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17" t="n">
        <v>0.7446</v>
      </c>
      <c r="H243" s="17" t="n">
        <v>0.766938</v>
      </c>
      <c r="I243" s="17" t="n">
        <v>0.7073700000000001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17" t="n">
        <v>0.6424</v>
      </c>
      <c r="H244" s="17" t="n">
        <v>0.661672</v>
      </c>
      <c r="I244" s="17" t="n">
        <v>0.6102799999999999</v>
      </c>
      <c r="J244" s="17" t="n">
        <v>0.6102799999999999</v>
      </c>
      <c r="K244" s="2" t="inlineStr">
        <is>
          <t>止損</t>
        </is>
      </c>
      <c r="L244" s="5">
        <f>交易明細!K116</f>
        <v/>
      </c>
      <c r="M244" s="16">
        <f>M225</f>
        <v/>
      </c>
      <c r="N244" s="2">
        <f>N225</f>
        <v/>
      </c>
      <c r="O244" s="16">
        <f>O225</f>
        <v/>
      </c>
      <c r="P244" s="4">
        <f>交易明細!L116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17" t="n">
        <v>0.13851</v>
      </c>
      <c r="H245" s="17" t="n">
        <v>0.1343547</v>
      </c>
      <c r="I245" s="17" t="n">
        <v>0.1454355</v>
      </c>
      <c r="J245" s="17" t="n">
        <v>0.1343547</v>
      </c>
      <c r="K245" s="2" t="inlineStr">
        <is>
          <t>止盈</t>
        </is>
      </c>
      <c r="L245" s="5">
        <f>交易明細!K124</f>
        <v/>
      </c>
      <c r="M245" s="16">
        <f>M242</f>
        <v/>
      </c>
      <c r="N245" s="2">
        <f>N242</f>
        <v/>
      </c>
      <c r="O245" s="16">
        <f>O242</f>
        <v/>
      </c>
      <c r="P245" s="4">
        <f>交易明細!L124</f>
        <v/>
      </c>
      <c r="Q245" s="10">
        <f>IF(N245="已下單",O245*P245,0)</f>
        <v/>
      </c>
      <c r="R245" s="10">
        <f>R244+Q245</f>
        <v/>
      </c>
      <c r="S245" s="16">
        <f>S244-IF(N245="已下單",M245,0)</f>
        <v/>
      </c>
      <c r="T245" s="16">
        <f>R245-S245</f>
        <v/>
      </c>
      <c r="U245" s="2">
        <f>U244-IF(N245="已下單",1,0)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17" t="n">
        <v>0.7446</v>
      </c>
      <c r="H246" s="17" t="n">
        <v>0.766938</v>
      </c>
      <c r="I246" s="17" t="n">
        <v>0.7073700000000001</v>
      </c>
      <c r="J246" s="17" t="n">
        <v>0.7073700000000001</v>
      </c>
      <c r="K246" s="2" t="inlineStr">
        <is>
          <t>止損</t>
        </is>
      </c>
      <c r="L246" s="5">
        <f>交易明細!K125</f>
        <v/>
      </c>
      <c r="M246" s="16">
        <f>M243</f>
        <v/>
      </c>
      <c r="N246" s="2">
        <f>N243</f>
        <v/>
      </c>
      <c r="O246" s="16">
        <f>O243</f>
        <v/>
      </c>
      <c r="P246" s="4">
        <f>交易明細!L125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17" t="n">
        <v>0.004415</v>
      </c>
      <c r="H247" s="17" t="n">
        <v>0.00454745</v>
      </c>
      <c r="I247" s="17" t="n">
        <v>0.004194249999999999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17" t="n">
        <v>0.7438</v>
      </c>
      <c r="H248" s="17" t="n">
        <v>0.7661140000000001</v>
      </c>
      <c r="I248" s="17" t="n">
        <v>0.70661</v>
      </c>
      <c r="J248" s="17" t="n"/>
      <c r="K248" s="2" t="n"/>
      <c r="L248" s="5" t="n"/>
      <c r="M248" s="16">
        <f>資金模擬!$B$5*V247</f>
        <v/>
      </c>
      <c r="N248" s="2">
        <f>IF(Z247=1,"已停止",IF(T247&gt;=M248,"已下單","資金不足略過"))</f>
        <v/>
      </c>
      <c r="O248" s="16">
        <f>IF(N248="已下單",M248*資金模擬!$B$7,0)</f>
        <v/>
      </c>
      <c r="P248" s="4" t="n"/>
      <c r="Q248" s="10" t="n">
        <v>0</v>
      </c>
      <c r="R248" s="10">
        <f>R247+Q248</f>
        <v/>
      </c>
      <c r="S248" s="16">
        <f>S247+IF(N248="已下單",M248,0)</f>
        <v/>
      </c>
      <c r="T248" s="16">
        <f>R248-S248</f>
        <v/>
      </c>
      <c r="U248" s="2">
        <f>U247+IF(N248="已下單",1,0)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17" t="n">
        <v>2.963</v>
      </c>
      <c r="H249" s="17" t="n">
        <v>2.87411</v>
      </c>
      <c r="I249" s="17" t="n">
        <v>3.11115</v>
      </c>
      <c r="J249" s="17" t="n">
        <v>2.87411</v>
      </c>
      <c r="K249" s="2" t="inlineStr">
        <is>
          <t>止盈</t>
        </is>
      </c>
      <c r="L249" s="5">
        <f>交易明細!K123</f>
        <v/>
      </c>
      <c r="M249" s="16">
        <f>M241</f>
        <v/>
      </c>
      <c r="N249" s="2">
        <f>N241</f>
        <v/>
      </c>
      <c r="O249" s="16">
        <f>O241</f>
        <v/>
      </c>
      <c r="P249" s="4">
        <f>交易明細!L123</f>
        <v/>
      </c>
      <c r="Q249" s="10">
        <f>IF(N249="已下單",O249*P249,0)</f>
        <v/>
      </c>
      <c r="R249" s="10">
        <f>R248+Q249</f>
        <v/>
      </c>
      <c r="S249" s="16">
        <f>S248-IF(N249="已下單",M249,0)</f>
        <v/>
      </c>
      <c r="T249" s="16">
        <f>R249-S249</f>
        <v/>
      </c>
      <c r="U249" s="2">
        <f>U248-IF(N249="已下單",1,0)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17" t="n">
        <v>0.000857</v>
      </c>
      <c r="H250" s="17" t="n">
        <v>0.0008312899999999999</v>
      </c>
      <c r="I250" s="17" t="n">
        <v>0.0008998500000000001</v>
      </c>
      <c r="J250" s="17" t="n"/>
      <c r="K250" s="2" t="n"/>
      <c r="L250" s="5" t="n"/>
      <c r="M250" s="16">
        <f>資金模擬!$B$5*V249</f>
        <v/>
      </c>
      <c r="N250" s="2">
        <f>IF(Z249=1,"已停止",IF(T249&gt;=M250,"已下單","資金不足略過"))</f>
        <v/>
      </c>
      <c r="O250" s="16">
        <f>IF(N250="已下單",M250*資金模擬!$B$7,0)</f>
        <v/>
      </c>
      <c r="P250" s="4" t="n"/>
      <c r="Q250" s="10" t="n">
        <v>0</v>
      </c>
      <c r="R250" s="10">
        <f>R249+Q250</f>
        <v/>
      </c>
      <c r="S250" s="16">
        <f>S249+IF(N250="已下單",M250,0)</f>
        <v/>
      </c>
      <c r="T250" s="16">
        <f>R250-S250</f>
        <v/>
      </c>
      <c r="U250" s="2">
        <f>U249+IF(N250="已下單",1,0)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17" t="n">
        <v>0.09710000000000001</v>
      </c>
      <c r="H251" s="17" t="n">
        <v>0.09418700000000001</v>
      </c>
      <c r="I251" s="17" t="n">
        <v>0.101955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17" t="n">
        <v>4.848</v>
      </c>
      <c r="H252" s="17" t="n">
        <v>4.99344</v>
      </c>
      <c r="I252" s="17" t="n">
        <v>4.6056</v>
      </c>
      <c r="J252" s="17" t="n">
        <v>4.99344</v>
      </c>
      <c r="K252" s="2" t="inlineStr">
        <is>
          <t>止盈</t>
        </is>
      </c>
      <c r="L252" s="5">
        <f>交易明細!K119</f>
        <v/>
      </c>
      <c r="M252" s="16">
        <f>M231</f>
        <v/>
      </c>
      <c r="N252" s="2">
        <f>N231</f>
        <v/>
      </c>
      <c r="O252" s="16">
        <f>O231</f>
        <v/>
      </c>
      <c r="P252" s="4">
        <f>交易明細!L119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17" t="n">
        <v>0.000857</v>
      </c>
      <c r="H253" s="17" t="n">
        <v>0.0008312899999999999</v>
      </c>
      <c r="I253" s="17" t="n">
        <v>0.0008998500000000001</v>
      </c>
      <c r="J253" s="17" t="n">
        <v>0.0008998500000000001</v>
      </c>
      <c r="K253" s="2" t="inlineStr">
        <is>
          <t>止損</t>
        </is>
      </c>
      <c r="L253" s="5">
        <f>交易明細!K128</f>
        <v/>
      </c>
      <c r="M253" s="16">
        <f>M250</f>
        <v/>
      </c>
      <c r="N253" s="2">
        <f>N250</f>
        <v/>
      </c>
      <c r="O253" s="16">
        <f>O250</f>
        <v/>
      </c>
      <c r="P253" s="4">
        <f>交易明細!L128</f>
        <v/>
      </c>
      <c r="Q253" s="10">
        <f>IF(N253="已下單",O253*P253,0)</f>
        <v/>
      </c>
      <c r="R253" s="10">
        <f>R252+Q253</f>
        <v/>
      </c>
      <c r="S253" s="16">
        <f>S252-IF(N253="已下單",M253,0)</f>
        <v/>
      </c>
      <c r="T253" s="16">
        <f>R253-S253</f>
        <v/>
      </c>
      <c r="U253" s="2">
        <f>U252-IF(N253="已下單",1,0)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17" t="n">
        <v>64.79000000000001</v>
      </c>
      <c r="H254" s="17" t="n">
        <v>66.73370000000001</v>
      </c>
      <c r="I254" s="17" t="n">
        <v>61.5505</v>
      </c>
      <c r="J254" s="17" t="n"/>
      <c r="K254" s="2" t="n"/>
      <c r="L254" s="5" t="n"/>
      <c r="M254" s="16">
        <f>資金模擬!$B$5*V253</f>
        <v/>
      </c>
      <c r="N254" s="2">
        <f>IF(Z253=1,"已停止",IF(T253&gt;=M254,"已下單","資金不足略過"))</f>
        <v/>
      </c>
      <c r="O254" s="16">
        <f>IF(N254="已下單",M254*資金模擬!$B$7,0)</f>
        <v/>
      </c>
      <c r="P254" s="4" t="n"/>
      <c r="Q254" s="10" t="n">
        <v>0</v>
      </c>
      <c r="R254" s="10">
        <f>R253+Q254</f>
        <v/>
      </c>
      <c r="S254" s="16">
        <f>S253+IF(N254="已下單",M254,0)</f>
        <v/>
      </c>
      <c r="T254" s="16">
        <f>R254-S254</f>
        <v/>
      </c>
      <c r="U254" s="2">
        <f>U253+IF(N254="已下單",1,0)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17" t="n">
        <v>0.8091</v>
      </c>
      <c r="H255" s="17" t="n">
        <v>0.833373</v>
      </c>
      <c r="I255" s="17" t="n">
        <v>0.768645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17" t="n">
        <v>0.29433</v>
      </c>
      <c r="H256" s="17" t="n">
        <v>0.3031599</v>
      </c>
      <c r="I256" s="17" t="n">
        <v>0.2796135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17" t="n">
        <v>0.7438</v>
      </c>
      <c r="H257" s="17" t="n">
        <v>0.7661140000000001</v>
      </c>
      <c r="I257" s="17" t="n">
        <v>0.70661</v>
      </c>
      <c r="J257" s="17" t="n">
        <v>0.70661</v>
      </c>
      <c r="K257" s="2" t="inlineStr">
        <is>
          <t>止損</t>
        </is>
      </c>
      <c r="L257" s="5">
        <f>交易明細!K127</f>
        <v/>
      </c>
      <c r="M257" s="16">
        <f>M248</f>
        <v/>
      </c>
      <c r="N257" s="2">
        <f>N248</f>
        <v/>
      </c>
      <c r="O257" s="16">
        <f>O248</f>
        <v/>
      </c>
      <c r="P257" s="4">
        <f>交易明細!L127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17" t="n">
        <v>0.29433</v>
      </c>
      <c r="H258" s="17" t="n">
        <v>0.3031599</v>
      </c>
      <c r="I258" s="17" t="n">
        <v>0.2796135</v>
      </c>
      <c r="J258" s="17" t="n">
        <v>0.3031599</v>
      </c>
      <c r="K258" s="2" t="inlineStr">
        <is>
          <t>止盈</t>
        </is>
      </c>
      <c r="L258" s="5">
        <f>交易明細!K132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交易明細!L132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17" t="n">
        <v>0.004415</v>
      </c>
      <c r="H259" s="17" t="n">
        <v>0.00454745</v>
      </c>
      <c r="I259" s="17" t="n">
        <v>0.004194249999999999</v>
      </c>
      <c r="J259" s="17" t="n">
        <v>0.00454745</v>
      </c>
      <c r="K259" s="2" t="inlineStr">
        <is>
          <t>止盈</t>
        </is>
      </c>
      <c r="L259" s="5">
        <f>交易明細!K126</f>
        <v/>
      </c>
      <c r="M259" s="16">
        <f>M247</f>
        <v/>
      </c>
      <c r="N259" s="2">
        <f>N247</f>
        <v/>
      </c>
      <c r="O259" s="16">
        <f>O247</f>
        <v/>
      </c>
      <c r="P259" s="4">
        <f>交易明細!L126</f>
        <v/>
      </c>
      <c r="Q259" s="10">
        <f>IF(N259="已下單",O259*P259,0)</f>
        <v/>
      </c>
      <c r="R259" s="10">
        <f>R258+Q259</f>
        <v/>
      </c>
      <c r="S259" s="16">
        <f>S258-IF(N259="已下單",M259,0)</f>
        <v/>
      </c>
      <c r="T259" s="16">
        <f>R259-S259</f>
        <v/>
      </c>
      <c r="U259" s="2">
        <f>U258-IF(N259="已下單",1,0)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17" t="n">
        <v>2.393</v>
      </c>
      <c r="H260" s="17" t="n">
        <v>2.46479</v>
      </c>
      <c r="I260" s="17" t="n">
        <v>2.27335</v>
      </c>
      <c r="J260" s="17" t="n"/>
      <c r="K260" s="2" t="n"/>
      <c r="L260" s="5" t="n"/>
      <c r="M260" s="16">
        <f>資金模擬!$B$5*V259</f>
        <v/>
      </c>
      <c r="N260" s="2">
        <f>IF(Z259=1,"已停止",IF(T259&gt;=M260,"已下單","資金不足略過"))</f>
        <v/>
      </c>
      <c r="O260" s="16">
        <f>IF(N260="已下單",M260*資金模擬!$B$7,0)</f>
        <v/>
      </c>
      <c r="P260" s="4" t="n"/>
      <c r="Q260" s="10" t="n">
        <v>0</v>
      </c>
      <c r="R260" s="10">
        <f>R259+Q260</f>
        <v/>
      </c>
      <c r="S260" s="16">
        <f>S259+IF(N260="已下單",M260,0)</f>
        <v/>
      </c>
      <c r="T260" s="16">
        <f>R260-S260</f>
        <v/>
      </c>
      <c r="U260" s="2">
        <f>U259+IF(N260="已下單",1,0)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17" t="n">
        <v>2.393</v>
      </c>
      <c r="H261" s="17" t="n">
        <v>2.46479</v>
      </c>
      <c r="I261" s="17" t="n">
        <v>2.27335</v>
      </c>
      <c r="J261" s="17" t="n">
        <v>2.46479</v>
      </c>
      <c r="K261" s="2" t="inlineStr">
        <is>
          <t>止盈</t>
        </is>
      </c>
      <c r="L261" s="5">
        <f>交易明細!K133</f>
        <v/>
      </c>
      <c r="M261" s="16">
        <f>M260</f>
        <v/>
      </c>
      <c r="N261" s="2">
        <f>N260</f>
        <v/>
      </c>
      <c r="O261" s="16">
        <f>O260</f>
        <v/>
      </c>
      <c r="P261" s="4">
        <f>交易明細!L133</f>
        <v/>
      </c>
      <c r="Q261" s="10">
        <f>IF(N261="已下單",O261*P261,0)</f>
        <v/>
      </c>
      <c r="R261" s="10">
        <f>R260+Q261</f>
        <v/>
      </c>
      <c r="S261" s="16">
        <f>S260-IF(N261="已下單",M261,0)</f>
        <v/>
      </c>
      <c r="T261" s="16">
        <f>R261-S261</f>
        <v/>
      </c>
      <c r="U261" s="2">
        <f>U260-IF(N261="已下單",1,0)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17" t="n">
        <v>0.8091</v>
      </c>
      <c r="H262" s="17" t="n">
        <v>0.833373</v>
      </c>
      <c r="I262" s="17" t="n">
        <v>0.768645</v>
      </c>
      <c r="J262" s="17" t="n">
        <v>0.833373</v>
      </c>
      <c r="K262" s="2" t="inlineStr">
        <is>
          <t>止盈</t>
        </is>
      </c>
      <c r="L262" s="5">
        <f>交易明細!K131</f>
        <v/>
      </c>
      <c r="M262" s="16">
        <f>M255</f>
        <v/>
      </c>
      <c r="N262" s="2">
        <f>N255</f>
        <v/>
      </c>
      <c r="O262" s="16">
        <f>O255</f>
        <v/>
      </c>
      <c r="P262" s="4">
        <f>交易明細!L131</f>
        <v/>
      </c>
      <c r="Q262" s="10">
        <f>IF(N262="已下單",O262*P262,0)</f>
        <v/>
      </c>
      <c r="R262" s="10">
        <f>R261+Q262</f>
        <v/>
      </c>
      <c r="S262" s="16">
        <f>S261-IF(N262="已下單",M262,0)</f>
        <v/>
      </c>
      <c r="T262" s="16">
        <f>R262-S262</f>
        <v/>
      </c>
      <c r="U262" s="2">
        <f>U261-IF(N262="已下單",1,0)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17" t="n">
        <v>0.07983</v>
      </c>
      <c r="H263" s="17" t="n">
        <v>0.0822249</v>
      </c>
      <c r="I263" s="17" t="n">
        <v>0.07583849999999999</v>
      </c>
      <c r="J263" s="17" t="n"/>
      <c r="K263" s="2" t="n"/>
      <c r="L263" s="5" t="n"/>
      <c r="M263" s="16">
        <f>資金模擬!$B$5*V262</f>
        <v/>
      </c>
      <c r="N263" s="2">
        <f>IF(Z262=1,"已停止",IF(T262&gt;=M263,"已下單","資金不足略過"))</f>
        <v/>
      </c>
      <c r="O263" s="16">
        <f>IF(N263="已下單",M263*資金模擬!$B$7,0)</f>
        <v/>
      </c>
      <c r="P263" s="4" t="n"/>
      <c r="Q263" s="10" t="n">
        <v>0</v>
      </c>
      <c r="R263" s="10">
        <f>R262+Q263</f>
        <v/>
      </c>
      <c r="S263" s="16">
        <f>S262+IF(N263="已下單",M263,0)</f>
        <v/>
      </c>
      <c r="T263" s="16">
        <f>R263-S263</f>
        <v/>
      </c>
      <c r="U263" s="2">
        <f>U262+IF(N263="已下單",1,0)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17" t="n">
        <v>0.15464</v>
      </c>
      <c r="H264" s="17" t="n">
        <v>0.1592792</v>
      </c>
      <c r="I264" s="17" t="n">
        <v>0.146908</v>
      </c>
      <c r="J264" s="17" t="n"/>
      <c r="K264" s="2" t="n"/>
      <c r="L264" s="5" t="n"/>
      <c r="M264" s="16">
        <f>資金模擬!$B$5*V263</f>
        <v/>
      </c>
      <c r="N264" s="2">
        <f>IF(Z263=1,"已停止",IF(T263&gt;=M264,"已下單","資金不足略過"))</f>
        <v/>
      </c>
      <c r="O264" s="16">
        <f>IF(N264="已下單",M264*資金模擬!$B$7,0)</f>
        <v/>
      </c>
      <c r="P264" s="4" t="n"/>
      <c r="Q264" s="10" t="n">
        <v>0</v>
      </c>
      <c r="R264" s="10">
        <f>R263+Q264</f>
        <v/>
      </c>
      <c r="S264" s="16">
        <f>S263+IF(N264="已下單",M264,0)</f>
        <v/>
      </c>
      <c r="T264" s="16">
        <f>R264-S264</f>
        <v/>
      </c>
      <c r="U264" s="2">
        <f>U263+IF(N264="已下單",1,0)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17" t="n">
        <v>0.07983</v>
      </c>
      <c r="H265" s="17" t="n">
        <v>0.0822249</v>
      </c>
      <c r="I265" s="17" t="n">
        <v>0.07583849999999999</v>
      </c>
      <c r="J265" s="17" t="n">
        <v>0.0822249</v>
      </c>
      <c r="K265" s="2" t="inlineStr">
        <is>
          <t>止盈</t>
        </is>
      </c>
      <c r="L265" s="5">
        <f>交易明細!K134</f>
        <v/>
      </c>
      <c r="M265" s="16">
        <f>M263</f>
        <v/>
      </c>
      <c r="N265" s="2">
        <f>N263</f>
        <v/>
      </c>
      <c r="O265" s="16">
        <f>O263</f>
        <v/>
      </c>
      <c r="P265" s="4">
        <f>交易明細!L134</f>
        <v/>
      </c>
      <c r="Q265" s="10">
        <f>IF(N265="已下單",O265*P265,0)</f>
        <v/>
      </c>
      <c r="R265" s="10">
        <f>R264+Q265</f>
        <v/>
      </c>
      <c r="S265" s="16">
        <f>S264-IF(N265="已下單",M265,0)</f>
        <v/>
      </c>
      <c r="T265" s="16">
        <f>R265-S265</f>
        <v/>
      </c>
      <c r="U265" s="2">
        <f>U264-IF(N265="已下單",1,0)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17" t="n">
        <v>0.15464</v>
      </c>
      <c r="H266" s="17" t="n">
        <v>0.1592792</v>
      </c>
      <c r="I266" s="17" t="n">
        <v>0.146908</v>
      </c>
      <c r="J266" s="17" t="n">
        <v>0.1592792</v>
      </c>
      <c r="K266" s="2" t="inlineStr">
        <is>
          <t>止盈</t>
        </is>
      </c>
      <c r="L266" s="5">
        <f>交易明細!K135</f>
        <v/>
      </c>
      <c r="M266" s="16">
        <f>M264</f>
        <v/>
      </c>
      <c r="N266" s="2">
        <f>N264</f>
        <v/>
      </c>
      <c r="O266" s="16">
        <f>O264</f>
        <v/>
      </c>
      <c r="P266" s="4">
        <f>交易明細!L135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17" t="n">
        <v>0.4456</v>
      </c>
      <c r="H267" s="17" t="n">
        <v>0.432232</v>
      </c>
      <c r="I267" s="17" t="n">
        <v>0.46788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17" t="n">
        <v>6.534</v>
      </c>
      <c r="H268" s="17" t="n">
        <v>6.73002</v>
      </c>
      <c r="I268" s="17" t="n">
        <v>6.207299999999999</v>
      </c>
      <c r="J268" s="17" t="n">
        <v>6.207299999999999</v>
      </c>
      <c r="K268" s="2" t="inlineStr">
        <is>
          <t>止損</t>
        </is>
      </c>
      <c r="L268" s="5">
        <f>交易明細!K122</f>
        <v/>
      </c>
      <c r="M268" s="16">
        <f>M237</f>
        <v/>
      </c>
      <c r="N268" s="2">
        <f>N237</f>
        <v/>
      </c>
      <c r="O268" s="16">
        <f>O237</f>
        <v/>
      </c>
      <c r="P268" s="4">
        <f>交易明細!L122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17" t="n">
        <v>26.225</v>
      </c>
      <c r="H269" s="17" t="n">
        <v>27.01175</v>
      </c>
      <c r="I269" s="17" t="n">
        <v>24.91375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17" t="n">
        <v>26.225</v>
      </c>
      <c r="H270" s="17" t="n">
        <v>27.01175</v>
      </c>
      <c r="I270" s="17" t="n">
        <v>24.91375</v>
      </c>
      <c r="J270" s="17" t="n">
        <v>27.01175</v>
      </c>
      <c r="K270" s="2" t="inlineStr">
        <is>
          <t>止盈</t>
        </is>
      </c>
      <c r="L270" s="5">
        <f>交易明細!K137</f>
        <v/>
      </c>
      <c r="M270" s="16">
        <f>M269</f>
        <v/>
      </c>
      <c r="N270" s="2">
        <f>N269</f>
        <v/>
      </c>
      <c r="O270" s="16">
        <f>O269</f>
        <v/>
      </c>
      <c r="P270" s="4">
        <f>交易明細!L137</f>
        <v/>
      </c>
      <c r="Q270" s="10">
        <f>IF(N270="已下單",O270*P270,0)</f>
        <v/>
      </c>
      <c r="R270" s="10">
        <f>R269+Q270</f>
        <v/>
      </c>
      <c r="S270" s="16">
        <f>S269-IF(N270="已下單",M270,0)</f>
        <v/>
      </c>
      <c r="T270" s="16">
        <f>R270-S270</f>
        <v/>
      </c>
      <c r="U270" s="2">
        <f>U269-IF(N270="已下單",1,0)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17" t="n">
        <v>0.004602</v>
      </c>
      <c r="H271" s="17" t="n">
        <v>0.00474006</v>
      </c>
      <c r="I271" s="17" t="n">
        <v>0.0043719</v>
      </c>
      <c r="J271" s="17" t="n"/>
      <c r="K271" s="2" t="n"/>
      <c r="L271" s="5" t="n"/>
      <c r="M271" s="16">
        <f>資金模擬!$B$5*V270</f>
        <v/>
      </c>
      <c r="N271" s="2">
        <f>IF(Z270=1,"已停止",IF(T270&gt;=M271,"已下單","資金不足略過"))</f>
        <v/>
      </c>
      <c r="O271" s="16">
        <f>IF(N271="已下單",M271*資金模擬!$B$7,0)</f>
        <v/>
      </c>
      <c r="P271" s="4" t="n"/>
      <c r="Q271" s="10" t="n">
        <v>0</v>
      </c>
      <c r="R271" s="10">
        <f>R270+Q271</f>
        <v/>
      </c>
      <c r="S271" s="16">
        <f>S270+IF(N271="已下單",M271,0)</f>
        <v/>
      </c>
      <c r="T271" s="16">
        <f>R271-S271</f>
        <v/>
      </c>
      <c r="U271" s="2">
        <f>U270+IF(N271="已下單",1,0)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17" t="n">
        <v>0.004602</v>
      </c>
      <c r="H272" s="17" t="n">
        <v>0.00474006</v>
      </c>
      <c r="I272" s="17" t="n">
        <v>0.0043719</v>
      </c>
      <c r="J272" s="17" t="n">
        <v>0.00474006</v>
      </c>
      <c r="K272" s="2" t="inlineStr">
        <is>
          <t>止盈</t>
        </is>
      </c>
      <c r="L272" s="5">
        <f>交易明細!K138</f>
        <v/>
      </c>
      <c r="M272" s="16">
        <f>M271</f>
        <v/>
      </c>
      <c r="N272" s="2">
        <f>N271</f>
        <v/>
      </c>
      <c r="O272" s="16">
        <f>O271</f>
        <v/>
      </c>
      <c r="P272" s="4">
        <f>交易明細!L138</f>
        <v/>
      </c>
      <c r="Q272" s="10">
        <f>IF(N272="已下單",O272*P272,0)</f>
        <v/>
      </c>
      <c r="R272" s="10">
        <f>R271+Q272</f>
        <v/>
      </c>
      <c r="S272" s="16">
        <f>S271-IF(N272="已下單",M272,0)</f>
        <v/>
      </c>
      <c r="T272" s="16">
        <f>R272-S272</f>
        <v/>
      </c>
      <c r="U272" s="2">
        <f>U271-IF(N272="已下單",1,0)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17" t="n">
        <v>0.08321000000000001</v>
      </c>
      <c r="H273" s="17" t="n">
        <v>0.08570630000000001</v>
      </c>
      <c r="I273" s="17" t="n">
        <v>0.07904950000000001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17" t="n">
        <v>0.8066</v>
      </c>
      <c r="H274" s="17" t="n">
        <v>0.830798</v>
      </c>
      <c r="I274" s="17" t="n">
        <v>0.7662699999999999</v>
      </c>
      <c r="J274" s="17" t="n"/>
      <c r="K274" s="2" t="n"/>
      <c r="L274" s="5" t="n"/>
      <c r="M274" s="16">
        <f>資金模擬!$B$5*V273</f>
        <v/>
      </c>
      <c r="N274" s="2">
        <f>IF(Z273=1,"已停止",IF(T273&gt;=M274,"已下單","資金不足略過"))</f>
        <v/>
      </c>
      <c r="O274" s="16">
        <f>IF(N274="已下單",M274*資金模擬!$B$7,0)</f>
        <v/>
      </c>
      <c r="P274" s="4" t="n"/>
      <c r="Q274" s="10" t="n">
        <v>0</v>
      </c>
      <c r="R274" s="10">
        <f>R273+Q274</f>
        <v/>
      </c>
      <c r="S274" s="16">
        <f>S273+IF(N274="已下單",M274,0)</f>
        <v/>
      </c>
      <c r="T274" s="16">
        <f>R274-S274</f>
        <v/>
      </c>
      <c r="U274" s="2">
        <f>U273+IF(N274="已下單",1,0)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17" t="n">
        <v>0.08321000000000001</v>
      </c>
      <c r="H275" s="17" t="n">
        <v>0.08570630000000001</v>
      </c>
      <c r="I275" s="17" t="n">
        <v>0.07904950000000001</v>
      </c>
      <c r="J275" s="17" t="n">
        <v>0.08570630000000001</v>
      </c>
      <c r="K275" s="2" t="inlineStr">
        <is>
          <t>止盈</t>
        </is>
      </c>
      <c r="L275" s="5">
        <f>交易明細!K139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交易明細!L139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17" t="n">
        <v>0.8066</v>
      </c>
      <c r="H276" s="17" t="n">
        <v>0.830798</v>
      </c>
      <c r="I276" s="17" t="n">
        <v>0.7662699999999999</v>
      </c>
      <c r="J276" s="17" t="n">
        <v>0.7662699999999999</v>
      </c>
      <c r="K276" s="2" t="inlineStr">
        <is>
          <t>止損</t>
        </is>
      </c>
      <c r="L276" s="5">
        <f>交易明細!K140</f>
        <v/>
      </c>
      <c r="M276" s="16">
        <f>M274</f>
        <v/>
      </c>
      <c r="N276" s="2">
        <f>N274</f>
        <v/>
      </c>
      <c r="O276" s="16">
        <f>O274</f>
        <v/>
      </c>
      <c r="P276" s="4">
        <f>交易明細!L140</f>
        <v/>
      </c>
      <c r="Q276" s="10">
        <f>IF(N276="已下單",O276*P276,0)</f>
        <v/>
      </c>
      <c r="R276" s="10">
        <f>R275+Q276</f>
        <v/>
      </c>
      <c r="S276" s="16">
        <f>S275-IF(N276="已下單",M276,0)</f>
        <v/>
      </c>
      <c r="T276" s="16">
        <f>R276-S276</f>
        <v/>
      </c>
      <c r="U276" s="2">
        <f>U275-IF(N276="已下單",1,0)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17" t="n">
        <v>1.132</v>
      </c>
      <c r="H277" s="17" t="n">
        <v>1.09804</v>
      </c>
      <c r="I277" s="17" t="n">
        <v>1.1886</v>
      </c>
      <c r="J277" s="17" t="n"/>
      <c r="K277" s="2" t="n"/>
      <c r="L277" s="5" t="n"/>
      <c r="M277" s="16">
        <f>資金模擬!$B$5*V276</f>
        <v/>
      </c>
      <c r="N277" s="2">
        <f>IF(Z276=1,"已停止",IF(T276&gt;=M277,"已下單","資金不足略過"))</f>
        <v/>
      </c>
      <c r="O277" s="16">
        <f>IF(N277="已下單",M277*資金模擬!$B$7,0)</f>
        <v/>
      </c>
      <c r="P277" s="4" t="n"/>
      <c r="Q277" s="10" t="n">
        <v>0</v>
      </c>
      <c r="R277" s="10">
        <f>R276+Q277</f>
        <v/>
      </c>
      <c r="S277" s="16">
        <f>S276+IF(N277="已下單",M277,0)</f>
        <v/>
      </c>
      <c r="T277" s="16">
        <f>R277-S277</f>
        <v/>
      </c>
      <c r="U277" s="2">
        <f>U276+IF(N277="已下單",1,0)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17" t="n">
        <v>0.13075</v>
      </c>
      <c r="H278" s="17" t="n">
        <v>0.1268275</v>
      </c>
      <c r="I278" s="17" t="n">
        <v>0.1372875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17" t="n">
        <v>0.09710000000000001</v>
      </c>
      <c r="H279" s="17" t="n">
        <v>0.09418700000000001</v>
      </c>
      <c r="I279" s="17" t="n">
        <v>0.101955</v>
      </c>
      <c r="J279" s="17" t="n">
        <v>0.09418700000000001</v>
      </c>
      <c r="K279" s="2" t="inlineStr">
        <is>
          <t>止盈</t>
        </is>
      </c>
      <c r="L279" s="5">
        <f>交易明細!K129</f>
        <v/>
      </c>
      <c r="M279" s="16">
        <f>M251</f>
        <v/>
      </c>
      <c r="N279" s="2">
        <f>N251</f>
        <v/>
      </c>
      <c r="O279" s="16">
        <f>O251</f>
        <v/>
      </c>
      <c r="P279" s="4">
        <f>交易明細!L129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17" t="n">
        <v>0.4456</v>
      </c>
      <c r="H280" s="17" t="n">
        <v>0.432232</v>
      </c>
      <c r="I280" s="17" t="n">
        <v>0.46788</v>
      </c>
      <c r="J280" s="17" t="n">
        <v>0.432232</v>
      </c>
      <c r="K280" s="2" t="inlineStr">
        <is>
          <t>止盈</t>
        </is>
      </c>
      <c r="L280" s="5">
        <f>交易明細!K136</f>
        <v/>
      </c>
      <c r="M280" s="16">
        <f>M267</f>
        <v/>
      </c>
      <c r="N280" s="2">
        <f>N267</f>
        <v/>
      </c>
      <c r="O280" s="16">
        <f>O267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17" t="n">
        <v>0.13075</v>
      </c>
      <c r="H281" s="17" t="n">
        <v>0.1268275</v>
      </c>
      <c r="I281" s="17" t="n">
        <v>0.1372875</v>
      </c>
      <c r="J281" s="17" t="n">
        <v>0.1268275</v>
      </c>
      <c r="K281" s="2" t="inlineStr">
        <is>
          <t>止盈</t>
        </is>
      </c>
      <c r="L281" s="5">
        <f>交易明細!K142</f>
        <v/>
      </c>
      <c r="M281" s="16">
        <f>M278</f>
        <v/>
      </c>
      <c r="N281" s="2">
        <f>N278</f>
        <v/>
      </c>
      <c r="O281" s="16">
        <f>O278</f>
        <v/>
      </c>
      <c r="P281" s="4">
        <f>交易明細!L142</f>
        <v/>
      </c>
      <c r="Q281" s="10">
        <f>IF(N281="已下單",O281*P281,0)</f>
        <v/>
      </c>
      <c r="R281" s="10">
        <f>R280+Q281</f>
        <v/>
      </c>
      <c r="S281" s="16">
        <f>S280-IF(N281="已下單",M281,0)</f>
        <v/>
      </c>
      <c r="T281" s="16">
        <f>R281-S281</f>
        <v/>
      </c>
      <c r="U281" s="2">
        <f>U280-IF(N281="已下單",1,0)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17" t="n">
        <v>0.1563</v>
      </c>
      <c r="H282" s="17" t="n">
        <v>0.151611</v>
      </c>
      <c r="I282" s="17" t="n">
        <v>0.164115</v>
      </c>
      <c r="J282" s="17" t="n"/>
      <c r="K282" s="2" t="n"/>
      <c r="L282" s="5" t="n"/>
      <c r="M282" s="16">
        <f>資金模擬!$B$5*V281</f>
        <v/>
      </c>
      <c r="N282" s="2">
        <f>IF(Z281=1,"已停止",IF(T281&gt;=M282,"已下單","資金不足略過"))</f>
        <v/>
      </c>
      <c r="O282" s="16">
        <f>IF(N282="已下單",M282*資金模擬!$B$7,0)</f>
        <v/>
      </c>
      <c r="P282" s="4" t="n"/>
      <c r="Q282" s="10" t="n">
        <v>0</v>
      </c>
      <c r="R282" s="10">
        <f>R281+Q282</f>
        <v/>
      </c>
      <c r="S282" s="16">
        <f>S281+IF(N282="已下單",M282,0)</f>
        <v/>
      </c>
      <c r="T282" s="16">
        <f>R282-S282</f>
        <v/>
      </c>
      <c r="U282" s="2">
        <f>U281+IF(N282="已下單",1,0)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17" t="n">
        <v>0.0151607</v>
      </c>
      <c r="H283" s="17" t="n">
        <v>0.014705879</v>
      </c>
      <c r="I283" s="17" t="n">
        <v>0.015918735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17" t="n">
        <v>0.004769</v>
      </c>
      <c r="H284" s="17" t="n">
        <v>0.00491207</v>
      </c>
      <c r="I284" s="17" t="n">
        <v>0.00453055</v>
      </c>
      <c r="J284" s="17" t="n"/>
      <c r="K284" s="2" t="n"/>
      <c r="L284" s="5" t="n"/>
      <c r="M284" s="16">
        <f>資金模擬!$B$5*V283</f>
        <v/>
      </c>
      <c r="N284" s="2">
        <f>IF(Z283=1,"已停止",IF(T283&gt;=M284,"已下單","資金不足略過"))</f>
        <v/>
      </c>
      <c r="O284" s="16">
        <f>IF(N284="已下單",M284*資金模擬!$B$7,0)</f>
        <v/>
      </c>
      <c r="P284" s="4" t="n"/>
      <c r="Q284" s="10" t="n">
        <v>0</v>
      </c>
      <c r="R284" s="10">
        <f>R283+Q284</f>
        <v/>
      </c>
      <c r="S284" s="16">
        <f>S283+IF(N284="已下單",M284,0)</f>
        <v/>
      </c>
      <c r="T284" s="16">
        <f>R284-S284</f>
        <v/>
      </c>
      <c r="U284" s="2">
        <f>U283+IF(N284="已下單",1,0)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17" t="n">
        <v>1.365</v>
      </c>
      <c r="H285" s="17" t="n">
        <v>1.40595</v>
      </c>
      <c r="I285" s="17" t="n">
        <v>1.29675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17" t="n">
        <v>0.004769</v>
      </c>
      <c r="H286" s="17" t="n">
        <v>0.00491207</v>
      </c>
      <c r="I286" s="17" t="n">
        <v>0.00453055</v>
      </c>
      <c r="J286" s="17" t="n">
        <v>0.00453055</v>
      </c>
      <c r="K286" s="2" t="inlineStr">
        <is>
          <t>止損</t>
        </is>
      </c>
      <c r="L286" s="5">
        <f>交易明細!K145</f>
        <v/>
      </c>
      <c r="M286" s="16">
        <f>M284</f>
        <v/>
      </c>
      <c r="N286" s="2">
        <f>N284</f>
        <v/>
      </c>
      <c r="O286" s="16">
        <f>O284</f>
        <v/>
      </c>
      <c r="P286" s="4">
        <f>交易明細!L145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17" t="n">
        <v>1.365</v>
      </c>
      <c r="H287" s="17" t="n">
        <v>1.40595</v>
      </c>
      <c r="I287" s="17" t="n">
        <v>1.29675</v>
      </c>
      <c r="J287" s="17" t="n">
        <v>1.29675</v>
      </c>
      <c r="K287" s="2" t="inlineStr">
        <is>
          <t>止損</t>
        </is>
      </c>
      <c r="L287" s="5">
        <f>交易明細!K146</f>
        <v/>
      </c>
      <c r="M287" s="16">
        <f>M285</f>
        <v/>
      </c>
      <c r="N287" s="2">
        <f>N285</f>
        <v/>
      </c>
      <c r="O287" s="16">
        <f>O285</f>
        <v/>
      </c>
      <c r="P287" s="4">
        <f>交易明細!L146</f>
        <v/>
      </c>
      <c r="Q287" s="10">
        <f>IF(N287="已下單",O287*P287,0)</f>
        <v/>
      </c>
      <c r="R287" s="10">
        <f>R286+Q287</f>
        <v/>
      </c>
      <c r="S287" s="16">
        <f>S286-IF(N287="已下單",M287,0)</f>
        <v/>
      </c>
      <c r="T287" s="16">
        <f>R287-S287</f>
        <v/>
      </c>
      <c r="U287" s="2">
        <f>U286-IF(N287="已下單",1,0)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17" t="n">
        <v>64.79000000000001</v>
      </c>
      <c r="H288" s="17" t="n">
        <v>66.73370000000001</v>
      </c>
      <c r="I288" s="17" t="n">
        <v>61.5505</v>
      </c>
      <c r="J288" s="17" t="n">
        <v>61.5505</v>
      </c>
      <c r="K288" s="2" t="inlineStr">
        <is>
          <t>止損</t>
        </is>
      </c>
      <c r="L288" s="5">
        <f>交易明細!K130</f>
        <v/>
      </c>
      <c r="M288" s="16">
        <f>M254</f>
        <v/>
      </c>
      <c r="N288" s="2">
        <f>N254</f>
        <v/>
      </c>
      <c r="O288" s="16">
        <f>O254</f>
        <v/>
      </c>
      <c r="P288" s="4">
        <f>交易明細!L130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17" t="n">
        <v>0.1563</v>
      </c>
      <c r="H289" s="17" t="n">
        <v>0.151611</v>
      </c>
      <c r="I289" s="17" t="n">
        <v>0.164115</v>
      </c>
      <c r="J289" s="17" t="n">
        <v>0.151611</v>
      </c>
      <c r="K289" s="2" t="inlineStr">
        <is>
          <t>止盈</t>
        </is>
      </c>
      <c r="L289" s="5">
        <f>交易明細!K143</f>
        <v/>
      </c>
      <c r="M289" s="16">
        <f>M282</f>
        <v/>
      </c>
      <c r="N289" s="2">
        <f>N282</f>
        <v/>
      </c>
      <c r="O289" s="16">
        <f>O282</f>
        <v/>
      </c>
      <c r="P289" s="4">
        <f>交易明細!L143</f>
        <v/>
      </c>
      <c r="Q289" s="10">
        <f>IF(N289="已下單",O289*P289,0)</f>
        <v/>
      </c>
      <c r="R289" s="10">
        <f>R288+Q289</f>
        <v/>
      </c>
      <c r="S289" s="16">
        <f>S288-IF(N289="已下單",M289,0)</f>
        <v/>
      </c>
      <c r="T289" s="16">
        <f>R289-S289</f>
        <v/>
      </c>
      <c r="U289" s="2">
        <f>U288-IF(N289="已下單",1,0)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17" t="n">
        <v>1.132</v>
      </c>
      <c r="H290" s="17" t="n">
        <v>1.09804</v>
      </c>
      <c r="I290" s="17" t="n">
        <v>1.1886</v>
      </c>
      <c r="J290" s="17" t="n">
        <v>1.09804</v>
      </c>
      <c r="K290" s="2" t="inlineStr">
        <is>
          <t>止盈</t>
        </is>
      </c>
      <c r="L290" s="5">
        <f>交易明細!K141</f>
        <v/>
      </c>
      <c r="M290" s="16">
        <f>M277</f>
        <v/>
      </c>
      <c r="N290" s="2">
        <f>N277</f>
        <v/>
      </c>
      <c r="O290" s="16">
        <f>O277</f>
        <v/>
      </c>
      <c r="P290" s="4">
        <f>交易明細!L141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17" t="n">
        <v>0.0151607</v>
      </c>
      <c r="H291" s="17" t="n">
        <v>0.014705879</v>
      </c>
      <c r="I291" s="17" t="n">
        <v>0.015918735</v>
      </c>
      <c r="J291" s="17" t="n">
        <v>0.014705879</v>
      </c>
      <c r="K291" s="2" t="inlineStr">
        <is>
          <t>止盈</t>
        </is>
      </c>
      <c r="L291" s="5">
        <f>交易明細!K144</f>
        <v/>
      </c>
      <c r="M291" s="16">
        <f>M283</f>
        <v/>
      </c>
      <c r="N291" s="2">
        <f>N283</f>
        <v/>
      </c>
      <c r="O291" s="16">
        <f>O283</f>
        <v/>
      </c>
      <c r="P291" s="4">
        <f>交易明細!L144</f>
        <v/>
      </c>
      <c r="Q291" s="10">
        <f>IF(N291="已下單",O291*P291,0)</f>
        <v/>
      </c>
      <c r="R291" s="10">
        <f>R290+Q291</f>
        <v/>
      </c>
      <c r="S291" s="16">
        <f>S290-IF(N291="已下單",M291,0)</f>
        <v/>
      </c>
      <c r="T291" s="16">
        <f>R291-S291</f>
        <v/>
      </c>
      <c r="U291" s="2">
        <f>U290-IF(N291="已下單",1,0)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17" t="n">
        <v>0.0160605</v>
      </c>
      <c r="H292" s="17" t="n">
        <v>0.016542315</v>
      </c>
      <c r="I292" s="17" t="n">
        <v>0.015257475</v>
      </c>
      <c r="J292" s="17" t="n"/>
      <c r="K292" s="2" t="n"/>
      <c r="L292" s="5" t="n"/>
      <c r="M292" s="16">
        <f>資金模擬!$B$5*V291</f>
        <v/>
      </c>
      <c r="N292" s="2">
        <f>IF(Z291=1,"已停止",IF(T291&gt;=M292,"已下單","資金不足略過"))</f>
        <v/>
      </c>
      <c r="O292" s="16">
        <f>IF(N292="已下單",M292*資金模擬!$B$7,0)</f>
        <v/>
      </c>
      <c r="P292" s="4" t="n"/>
      <c r="Q292" s="10" t="n">
        <v>0</v>
      </c>
      <c r="R292" s="10">
        <f>R291+Q292</f>
        <v/>
      </c>
      <c r="S292" s="16">
        <f>S291+IF(N292="已下單",M292,0)</f>
        <v/>
      </c>
      <c r="T292" s="16">
        <f>R292-S292</f>
        <v/>
      </c>
      <c r="U292" s="2">
        <f>U291+IF(N292="已下單",1,0)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17" t="n">
        <v>0.00549</v>
      </c>
      <c r="H293" s="17" t="n">
        <v>0.0053253</v>
      </c>
      <c r="I293" s="17" t="n">
        <v>0.005764500000000001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17" t="n">
        <v>0.0160605</v>
      </c>
      <c r="H294" s="17" t="n">
        <v>0.016542315</v>
      </c>
      <c r="I294" s="17" t="n">
        <v>0.015257475</v>
      </c>
      <c r="J294" s="17" t="n">
        <v>0.015257475</v>
      </c>
      <c r="K294" s="2" t="inlineStr">
        <is>
          <t>止損</t>
        </is>
      </c>
      <c r="L294" s="5">
        <f>交易明細!K147</f>
        <v/>
      </c>
      <c r="M294" s="16">
        <f>M292</f>
        <v/>
      </c>
      <c r="N294" s="2">
        <f>N292</f>
        <v/>
      </c>
      <c r="O294" s="16">
        <f>O292</f>
        <v/>
      </c>
      <c r="P294" s="4">
        <f>交易明細!L147</f>
        <v/>
      </c>
      <c r="Q294" s="10">
        <f>IF(N294="已下單",O294*P294,0)</f>
        <v/>
      </c>
      <c r="R294" s="10">
        <f>R293+Q294</f>
        <v/>
      </c>
      <c r="S294" s="16">
        <f>S293-IF(N294="已下單",M294,0)</f>
        <v/>
      </c>
      <c r="T294" s="16">
        <f>R294-S294</f>
        <v/>
      </c>
      <c r="U294" s="2">
        <f>U293-IF(N294="已下單",1,0)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17" t="n">
        <v>0.00549</v>
      </c>
      <c r="H295" s="17" t="n">
        <v>0.0053253</v>
      </c>
      <c r="I295" s="17" t="n">
        <v>0.005764500000000001</v>
      </c>
      <c r="J295" s="17" t="n">
        <v>0.0053253</v>
      </c>
      <c r="K295" s="2" t="inlineStr">
        <is>
          <t>止盈</t>
        </is>
      </c>
      <c r="L295" s="5">
        <f>交易明細!K148</f>
        <v/>
      </c>
      <c r="M295" s="16">
        <f>M293</f>
        <v/>
      </c>
      <c r="N295" s="2">
        <f>N293</f>
        <v/>
      </c>
      <c r="O295" s="16">
        <f>O293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17" t="n">
        <v>0.0154525</v>
      </c>
      <c r="H296" s="17" t="n">
        <v>0.015916075</v>
      </c>
      <c r="I296" s="17" t="n">
        <v>0.014679875</v>
      </c>
      <c r="J296" s="17" t="n"/>
      <c r="K296" s="2" t="n"/>
      <c r="L296" s="5" t="n"/>
      <c r="M296" s="16">
        <f>資金模擬!$B$5*V295</f>
        <v/>
      </c>
      <c r="N296" s="2">
        <f>IF(Z295=1,"已停止",IF(T295&gt;=M296,"已下單","資金不足略過"))</f>
        <v/>
      </c>
      <c r="O296" s="16">
        <f>IF(N296="已下單",M296*資金模擬!$B$7,0)</f>
        <v/>
      </c>
      <c r="P296" s="4" t="n"/>
      <c r="Q296" s="10" t="n">
        <v>0</v>
      </c>
      <c r="R296" s="10">
        <f>R295+Q296</f>
        <v/>
      </c>
      <c r="S296" s="16">
        <f>S295+IF(N296="已下單",M296,0)</f>
        <v/>
      </c>
      <c r="T296" s="16">
        <f>R296-S296</f>
        <v/>
      </c>
      <c r="U296" s="2">
        <f>U295+IF(N296="已下單",1,0)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17" t="n">
        <v>0.08887</v>
      </c>
      <c r="H297" s="17" t="n">
        <v>0.09153610000000001</v>
      </c>
      <c r="I297" s="17" t="n">
        <v>0.0844265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17" t="n">
        <v>1.33</v>
      </c>
      <c r="H298" s="17" t="n">
        <v>1.3699</v>
      </c>
      <c r="I298" s="17" t="n">
        <v>1.2635</v>
      </c>
      <c r="J298" s="17" t="n"/>
      <c r="K298" s="2" t="n"/>
      <c r="L298" s="5" t="n"/>
      <c r="M298" s="16">
        <f>資金模擬!$B$5*V297</f>
        <v/>
      </c>
      <c r="N298" s="2">
        <f>IF(Z297=1,"已停止",IF(T297&gt;=M298,"已下單","資金不足略過"))</f>
        <v/>
      </c>
      <c r="O298" s="16">
        <f>IF(N298="已下單",M298*資金模擬!$B$7,0)</f>
        <v/>
      </c>
      <c r="P298" s="4" t="n"/>
      <c r="Q298" s="10" t="n">
        <v>0</v>
      </c>
      <c r="R298" s="10">
        <f>R297+Q298</f>
        <v/>
      </c>
      <c r="S298" s="16">
        <f>S297+IF(N298="已下單",M298,0)</f>
        <v/>
      </c>
      <c r="T298" s="16">
        <f>R298-S298</f>
        <v/>
      </c>
      <c r="U298" s="2">
        <f>U297+IF(N298="已下單",1,0)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17" t="n">
        <v>0.08887</v>
      </c>
      <c r="H299" s="17" t="n">
        <v>0.09153610000000001</v>
      </c>
      <c r="I299" s="17" t="n">
        <v>0.0844265</v>
      </c>
      <c r="J299" s="17" t="n">
        <v>0.09153610000000001</v>
      </c>
      <c r="K299" s="2" t="inlineStr">
        <is>
          <t>止盈</t>
        </is>
      </c>
      <c r="L299" s="5">
        <f>交易明細!K150</f>
        <v/>
      </c>
      <c r="M299" s="16">
        <f>M297</f>
        <v/>
      </c>
      <c r="N299" s="2">
        <f>N297</f>
        <v/>
      </c>
      <c r="O299" s="16">
        <f>O297</f>
        <v/>
      </c>
      <c r="P299" s="4">
        <f>交易明細!L150</f>
        <v/>
      </c>
      <c r="Q299" s="10">
        <f>IF(N299="已下單",O299*P299,0)</f>
        <v/>
      </c>
      <c r="R299" s="10">
        <f>R298+Q299</f>
        <v/>
      </c>
      <c r="S299" s="16">
        <f>S298-IF(N299="已下單",M299,0)</f>
        <v/>
      </c>
      <c r="T299" s="16">
        <f>R299-S299</f>
        <v/>
      </c>
      <c r="U299" s="2">
        <f>U298-IF(N299="已下單",1,0)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17" t="n">
        <v>1.33</v>
      </c>
      <c r="H300" s="17" t="n">
        <v>1.3699</v>
      </c>
      <c r="I300" s="17" t="n">
        <v>1.2635</v>
      </c>
      <c r="J300" s="17" t="n">
        <v>1.3699</v>
      </c>
      <c r="K300" s="2" t="inlineStr">
        <is>
          <t>止盈</t>
        </is>
      </c>
      <c r="L300" s="5">
        <f>交易明細!K151</f>
        <v/>
      </c>
      <c r="M300" s="16">
        <f>M298</f>
        <v/>
      </c>
      <c r="N300" s="2">
        <f>N298</f>
        <v/>
      </c>
      <c r="O300" s="16">
        <f>O298</f>
        <v/>
      </c>
      <c r="P300" s="4">
        <f>交易明細!L151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17" t="n">
        <v>24.415</v>
      </c>
      <c r="H301" s="17" t="n">
        <v>25.14745</v>
      </c>
      <c r="I301" s="17" t="n">
        <v>23.19425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17" t="n">
        <v>4.481</v>
      </c>
      <c r="H302" s="17" t="n">
        <v>4.34657</v>
      </c>
      <c r="I302" s="17" t="n">
        <v>4.70505</v>
      </c>
      <c r="J302" s="17" t="n"/>
      <c r="K302" s="2" t="n"/>
      <c r="L302" s="5" t="n"/>
      <c r="M302" s="16">
        <f>資金模擬!$B$5*V301</f>
        <v/>
      </c>
      <c r="N302" s="2">
        <f>IF(Z301=1,"已停止",IF(T301&gt;=M302,"已下單","資金不足略過"))</f>
        <v/>
      </c>
      <c r="O302" s="16">
        <f>IF(N302="已下單",M302*資金模擬!$B$7,0)</f>
        <v/>
      </c>
      <c r="P302" s="4" t="n"/>
      <c r="Q302" s="10" t="n">
        <v>0</v>
      </c>
      <c r="R302" s="10">
        <f>R301+Q302</f>
        <v/>
      </c>
      <c r="S302" s="16">
        <f>S301+IF(N302="已下單",M302,0)</f>
        <v/>
      </c>
      <c r="T302" s="16">
        <f>R302-S302</f>
        <v/>
      </c>
      <c r="U302" s="2">
        <f>U301+IF(N302="已下單",1,0)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17" t="n">
        <v>0.10829</v>
      </c>
      <c r="H303" s="17" t="n">
        <v>0.1050413</v>
      </c>
      <c r="I303" s="17" t="n">
        <v>0.1137045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17" t="n">
        <v>2.419</v>
      </c>
      <c r="H304" s="17" t="n">
        <v>2.34643</v>
      </c>
      <c r="I304" s="17" t="n">
        <v>2.53995</v>
      </c>
      <c r="J304" s="17" t="n"/>
      <c r="K304" s="2" t="n"/>
      <c r="L304" s="5" t="n"/>
      <c r="M304" s="16">
        <f>資金模擬!$B$5*V303</f>
        <v/>
      </c>
      <c r="N304" s="2">
        <f>IF(Z303=1,"已停止",IF(T303&gt;=M304,"已下單","資金不足略過"))</f>
        <v/>
      </c>
      <c r="O304" s="16">
        <f>IF(N304="已下單",M304*資金模擬!$B$7,0)</f>
        <v/>
      </c>
      <c r="P304" s="4" t="n"/>
      <c r="Q304" s="10" t="n">
        <v>0</v>
      </c>
      <c r="R304" s="10">
        <f>R303+Q304</f>
        <v/>
      </c>
      <c r="S304" s="16">
        <f>S303+IF(N304="已下單",M304,0)</f>
        <v/>
      </c>
      <c r="T304" s="16">
        <f>R304-S304</f>
        <v/>
      </c>
      <c r="U304" s="2">
        <f>U303+IF(N304="已下單",1,0)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17" t="n">
        <v>0.6353</v>
      </c>
      <c r="H305" s="17" t="n">
        <v>0.6162409999999999</v>
      </c>
      <c r="I305" s="17" t="n">
        <v>0.667065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17" t="n">
        <v>0.6353</v>
      </c>
      <c r="H306" s="17" t="n">
        <v>0.6162409999999999</v>
      </c>
      <c r="I306" s="17" t="n">
        <v>0.667065</v>
      </c>
      <c r="J306" s="17" t="n">
        <v>0.6162409999999999</v>
      </c>
      <c r="K306" s="2" t="inlineStr">
        <is>
          <t>止盈</t>
        </is>
      </c>
      <c r="L306" s="5">
        <f>交易明細!K156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交易明細!L156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17" t="n">
        <v>0.0154525</v>
      </c>
      <c r="H307" s="17" t="n">
        <v>0.015916075</v>
      </c>
      <c r="I307" s="17" t="n">
        <v>0.014679875</v>
      </c>
      <c r="J307" s="17" t="n">
        <v>0.015916075</v>
      </c>
      <c r="K307" s="2" t="inlineStr">
        <is>
          <t>止盈</t>
        </is>
      </c>
      <c r="L307" s="5">
        <f>交易明細!K149</f>
        <v/>
      </c>
      <c r="M307" s="16">
        <f>M296</f>
        <v/>
      </c>
      <c r="N307" s="2">
        <f>N296</f>
        <v/>
      </c>
      <c r="O307" s="16">
        <f>O296</f>
        <v/>
      </c>
      <c r="P307" s="4">
        <f>交易明細!L149</f>
        <v/>
      </c>
      <c r="Q307" s="10">
        <f>IF(N307="已下單",O307*P307,0)</f>
        <v/>
      </c>
      <c r="R307" s="10">
        <f>R306+Q307</f>
        <v/>
      </c>
      <c r="S307" s="16">
        <f>S306-IF(N307="已下單",M307,0)</f>
        <v/>
      </c>
      <c r="T307" s="16">
        <f>R307-S307</f>
        <v/>
      </c>
      <c r="U307" s="2">
        <f>U306-IF(N307="已下單",1,0)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17" t="n">
        <v>0.10829</v>
      </c>
      <c r="H308" s="17" t="n">
        <v>0.1050413</v>
      </c>
      <c r="I308" s="17" t="n">
        <v>0.1137045</v>
      </c>
      <c r="J308" s="17" t="n">
        <v>0.1050413</v>
      </c>
      <c r="K308" s="2" t="inlineStr">
        <is>
          <t>止盈</t>
        </is>
      </c>
      <c r="L308" s="5">
        <f>交易明細!K154</f>
        <v/>
      </c>
      <c r="M308" s="16">
        <f>M303</f>
        <v/>
      </c>
      <c r="N308" s="2">
        <f>N303</f>
        <v/>
      </c>
      <c r="O308" s="16">
        <f>O303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17" t="n">
        <v>0.23822</v>
      </c>
      <c r="H309" s="17" t="n">
        <v>0.2310734</v>
      </c>
      <c r="I309" s="17" t="n">
        <v>0.250131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17" t="n">
        <v>0.23822</v>
      </c>
      <c r="H310" s="17" t="n">
        <v>0.2310734</v>
      </c>
      <c r="I310" s="17" t="n">
        <v>0.250131</v>
      </c>
      <c r="J310" s="17" t="n">
        <v>0.250131</v>
      </c>
      <c r="K310" s="2" t="inlineStr">
        <is>
          <t>止損</t>
        </is>
      </c>
      <c r="L310" s="5">
        <f>交易明細!K157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交易明細!L157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17" t="n">
        <v>256.91</v>
      </c>
      <c r="H311" s="17" t="n">
        <v>249.2027</v>
      </c>
      <c r="I311" s="17" t="n">
        <v>269.7555</v>
      </c>
      <c r="J311" s="17" t="n">
        <v>249.2027</v>
      </c>
      <c r="K311" s="2" t="inlineStr">
        <is>
          <t>止盈</t>
        </is>
      </c>
      <c r="L311" s="5">
        <f>交易明細!K97</f>
        <v/>
      </c>
      <c r="M311" s="16">
        <f>M190</f>
        <v/>
      </c>
      <c r="N311" s="2">
        <f>N190</f>
        <v/>
      </c>
      <c r="O311" s="16">
        <f>O190</f>
        <v/>
      </c>
      <c r="P311" s="4">
        <f>交易明細!L97</f>
        <v/>
      </c>
      <c r="Q311" s="10">
        <f>IF(N311="已下單",O311*P311,0)</f>
        <v/>
      </c>
      <c r="R311" s="10">
        <f>R310+Q311</f>
        <v/>
      </c>
      <c r="S311" s="16">
        <f>S310-IF(N311="已下單",M311,0)</f>
        <v/>
      </c>
      <c r="T311" s="16">
        <f>R311-S311</f>
        <v/>
      </c>
      <c r="U311" s="2">
        <f>U310-IF(N311="已下單",1,0)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17" t="n">
        <v>24.415</v>
      </c>
      <c r="H312" s="17" t="n">
        <v>25.14745</v>
      </c>
      <c r="I312" s="17" t="n">
        <v>23.19425</v>
      </c>
      <c r="J312" s="17" t="n">
        <v>23.19425</v>
      </c>
      <c r="K312" s="2" t="inlineStr">
        <is>
          <t>止損</t>
        </is>
      </c>
      <c r="L312" s="5">
        <f>交易明細!K152</f>
        <v/>
      </c>
      <c r="M312" s="16">
        <f>M301</f>
        <v/>
      </c>
      <c r="N312" s="2">
        <f>N301</f>
        <v/>
      </c>
      <c r="O312" s="16">
        <f>O301</f>
        <v/>
      </c>
      <c r="P312" s="4">
        <f>交易明細!L152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17" t="n">
        <v>1.286</v>
      </c>
      <c r="H313" s="17" t="n">
        <v>1.24742</v>
      </c>
      <c r="I313" s="17" t="n">
        <v>1.3503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17" t="n">
        <v>0.1116</v>
      </c>
      <c r="H314" s="17" t="n">
        <v>0.114948</v>
      </c>
      <c r="I314" s="17" t="n">
        <v>0.10602</v>
      </c>
      <c r="J314" s="17" t="n"/>
      <c r="K314" s="2" t="n"/>
      <c r="L314" s="5" t="n"/>
      <c r="M314" s="16">
        <f>資金模擬!$B$5*V313</f>
        <v/>
      </c>
      <c r="N314" s="2">
        <f>IF(Z313=1,"已停止",IF(T313&gt;=M314,"已下單","資金不足略過"))</f>
        <v/>
      </c>
      <c r="O314" s="16">
        <f>IF(N314="已下單",M314*資金模擬!$B$7,0)</f>
        <v/>
      </c>
      <c r="P314" s="4" t="n"/>
      <c r="Q314" s="10" t="n">
        <v>0</v>
      </c>
      <c r="R314" s="10">
        <f>R313+Q314</f>
        <v/>
      </c>
      <c r="S314" s="16">
        <f>S313+IF(N314="已下單",M314,0)</f>
        <v/>
      </c>
      <c r="T314" s="16">
        <f>R314-S314</f>
        <v/>
      </c>
      <c r="U314" s="2">
        <f>U313+IF(N314="已下單",1,0)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17" t="n">
        <v>0.1116</v>
      </c>
      <c r="H315" s="17" t="n">
        <v>0.114948</v>
      </c>
      <c r="I315" s="17" t="n">
        <v>0.10602</v>
      </c>
      <c r="J315" s="17" t="n">
        <v>0.114948</v>
      </c>
      <c r="K315" s="2" t="inlineStr">
        <is>
          <t>止盈</t>
        </is>
      </c>
      <c r="L315" s="5">
        <f>交易明細!K159</f>
        <v/>
      </c>
      <c r="M315" s="16">
        <f>M314</f>
        <v/>
      </c>
      <c r="N315" s="2">
        <f>N314</f>
        <v/>
      </c>
      <c r="O315" s="16">
        <f>O314</f>
        <v/>
      </c>
      <c r="P315" s="4">
        <f>交易明細!L159</f>
        <v/>
      </c>
      <c r="Q315" s="10">
        <f>IF(N315="已下單",O315*P315,0)</f>
        <v/>
      </c>
      <c r="R315" s="10">
        <f>R314+Q315</f>
        <v/>
      </c>
      <c r="S315" s="16">
        <f>S314-IF(N315="已下單",M315,0)</f>
        <v/>
      </c>
      <c r="T315" s="16">
        <f>R315-S315</f>
        <v/>
      </c>
      <c r="U315" s="2">
        <f>U314-IF(N315="已下單",1,0)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17" t="n">
        <v>0.07895000000000001</v>
      </c>
      <c r="H316" s="17" t="n">
        <v>0.07658150000000001</v>
      </c>
      <c r="I316" s="17" t="n">
        <v>0.08289750000000001</v>
      </c>
      <c r="J316" s="17" t="n"/>
      <c r="K316" s="2" t="n"/>
      <c r="L316" s="5" t="n"/>
      <c r="M316" s="16">
        <f>資金模擬!$B$5*V315</f>
        <v/>
      </c>
      <c r="N316" s="2">
        <f>IF(Z315=1,"已停止",IF(T315&gt;=M316,"已下單","資金不足略過"))</f>
        <v/>
      </c>
      <c r="O316" s="16">
        <f>IF(N316="已下單",M316*資金模擬!$B$7,0)</f>
        <v/>
      </c>
      <c r="P316" s="4" t="n"/>
      <c r="Q316" s="10" t="n">
        <v>0</v>
      </c>
      <c r="R316" s="10">
        <f>R315+Q316</f>
        <v/>
      </c>
      <c r="S316" s="16">
        <f>S315+IF(N316="已下單",M316,0)</f>
        <v/>
      </c>
      <c r="T316" s="16">
        <f>R316-S316</f>
        <v/>
      </c>
      <c r="U316" s="2">
        <f>U315+IF(N316="已下單",1,0)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17" t="n">
        <v>0.08391999999999999</v>
      </c>
      <c r="H317" s="17" t="n">
        <v>0.0864376</v>
      </c>
      <c r="I317" s="17" t="n">
        <v>0.07972399999999999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17" t="n">
        <v>0.08391999999999999</v>
      </c>
      <c r="H318" s="17" t="n">
        <v>0.0864376</v>
      </c>
      <c r="I318" s="17" t="n">
        <v>0.07972399999999999</v>
      </c>
      <c r="J318" s="17" t="n">
        <v>0.0864376</v>
      </c>
      <c r="K318" s="2" t="inlineStr">
        <is>
          <t>止盈</t>
        </is>
      </c>
      <c r="L318" s="5">
        <f>交易明細!K161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交易明細!L161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17" t="n">
        <v>0.6104000000000001</v>
      </c>
      <c r="H319" s="17" t="n">
        <v>0.628712</v>
      </c>
      <c r="I319" s="17" t="n">
        <v>0.5798800000000001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17" t="n">
        <v>0.24506</v>
      </c>
      <c r="H320" s="17" t="n">
        <v>0.2524118</v>
      </c>
      <c r="I320" s="17" t="n">
        <v>0.232807</v>
      </c>
      <c r="J320" s="17" t="n"/>
      <c r="K320" s="2" t="n"/>
      <c r="L320" s="5" t="n"/>
      <c r="M320" s="16">
        <f>資金模擬!$B$5*V319</f>
        <v/>
      </c>
      <c r="N320" s="2">
        <f>IF(Z319=1,"已停止",IF(T319&gt;=M320,"已下單","資金不足略過"))</f>
        <v/>
      </c>
      <c r="O320" s="16">
        <f>IF(N320="已下單",M320*資金模擬!$B$7,0)</f>
        <v/>
      </c>
      <c r="P320" s="4" t="n"/>
      <c r="Q320" s="10" t="n">
        <v>0</v>
      </c>
      <c r="R320" s="10">
        <f>R319+Q320</f>
        <v/>
      </c>
      <c r="S320" s="16">
        <f>S319+IF(N320="已下單",M320,0)</f>
        <v/>
      </c>
      <c r="T320" s="16">
        <f>R320-S320</f>
        <v/>
      </c>
      <c r="U320" s="2">
        <f>U319+IF(N320="已下單",1,0)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17" t="n">
        <v>25.016</v>
      </c>
      <c r="H321" s="17" t="n">
        <v>25.76648</v>
      </c>
      <c r="I321" s="17" t="n">
        <v>23.7652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17" t="n">
        <v>4.481</v>
      </c>
      <c r="H322" s="17" t="n">
        <v>4.34657</v>
      </c>
      <c r="I322" s="17" t="n">
        <v>4.70505</v>
      </c>
      <c r="J322" s="17" t="n">
        <v>4.34657</v>
      </c>
      <c r="K322" s="2" t="inlineStr">
        <is>
          <t>止盈</t>
        </is>
      </c>
      <c r="L322" s="5">
        <f>交易明細!K153</f>
        <v/>
      </c>
      <c r="M322" s="16">
        <f>M302</f>
        <v/>
      </c>
      <c r="N322" s="2">
        <f>N302</f>
        <v/>
      </c>
      <c r="O322" s="16">
        <f>O302</f>
        <v/>
      </c>
      <c r="P322" s="4">
        <f>交易明細!L153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17" t="n">
        <v>0.07895000000000001</v>
      </c>
      <c r="H323" s="17" t="n">
        <v>0.07658150000000001</v>
      </c>
      <c r="I323" s="17" t="n">
        <v>0.08289750000000001</v>
      </c>
      <c r="J323" s="17" t="n">
        <v>0.07658150000000001</v>
      </c>
      <c r="K323" s="2" t="inlineStr">
        <is>
          <t>止盈</t>
        </is>
      </c>
      <c r="L323" s="5">
        <f>交易明細!K160</f>
        <v/>
      </c>
      <c r="M323" s="16">
        <f>M316</f>
        <v/>
      </c>
      <c r="N323" s="2">
        <f>N316</f>
        <v/>
      </c>
      <c r="O323" s="16">
        <f>O316</f>
        <v/>
      </c>
      <c r="P323" s="4">
        <f>交易明細!L160</f>
        <v/>
      </c>
      <c r="Q323" s="10">
        <f>IF(N323="已下單",O323*P323,0)</f>
        <v/>
      </c>
      <c r="R323" s="10">
        <f>R322+Q323</f>
        <v/>
      </c>
      <c r="S323" s="16">
        <f>S322-IF(N323="已下單",M323,0)</f>
        <v/>
      </c>
      <c r="T323" s="16">
        <f>R323-S323</f>
        <v/>
      </c>
      <c r="U323" s="2">
        <f>U322-IF(N323="已下單",1,0)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17" t="n">
        <v>0.24506</v>
      </c>
      <c r="H324" s="17" t="n">
        <v>0.2524118</v>
      </c>
      <c r="I324" s="17" t="n">
        <v>0.232807</v>
      </c>
      <c r="J324" s="17" t="n">
        <v>0.2524118</v>
      </c>
      <c r="K324" s="2" t="inlineStr">
        <is>
          <t>止盈</t>
        </is>
      </c>
      <c r="L324" s="5">
        <f>交易明細!K163</f>
        <v/>
      </c>
      <c r="M324" s="16">
        <f>M320</f>
        <v/>
      </c>
      <c r="N324" s="2">
        <f>N320</f>
        <v/>
      </c>
      <c r="O324" s="16">
        <f>O320</f>
        <v/>
      </c>
      <c r="P324" s="4">
        <f>交易明細!L163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17" t="n">
        <v>1.286</v>
      </c>
      <c r="H325" s="17" t="n">
        <v>1.24742</v>
      </c>
      <c r="I325" s="17" t="n">
        <v>1.3503</v>
      </c>
      <c r="J325" s="17" t="n">
        <v>1.3503</v>
      </c>
      <c r="K325" s="2" t="inlineStr">
        <is>
          <t>止損</t>
        </is>
      </c>
      <c r="L325" s="5">
        <f>交易明細!K158</f>
        <v/>
      </c>
      <c r="M325" s="16">
        <f>M313</f>
        <v/>
      </c>
      <c r="N325" s="2">
        <f>N313</f>
        <v/>
      </c>
      <c r="O325" s="16">
        <f>O313</f>
        <v/>
      </c>
      <c r="P325" s="4">
        <f>交易明細!L158</f>
        <v/>
      </c>
      <c r="Q325" s="10">
        <f>IF(N325="已下單",O325*P325,0)</f>
        <v/>
      </c>
      <c r="R325" s="10">
        <f>R324+Q325</f>
        <v/>
      </c>
      <c r="S325" s="16">
        <f>S324-IF(N325="已下單",M325,0)</f>
        <v/>
      </c>
      <c r="T325" s="16">
        <f>R325-S325</f>
        <v/>
      </c>
      <c r="U325" s="2">
        <f>U324-IF(N325="已下單",1,0)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17" t="n">
        <v>0.6104000000000001</v>
      </c>
      <c r="H326" s="17" t="n">
        <v>0.628712</v>
      </c>
      <c r="I326" s="17" t="n">
        <v>0.5798800000000001</v>
      </c>
      <c r="J326" s="17" t="n">
        <v>0.5798800000000001</v>
      </c>
      <c r="K326" s="2" t="inlineStr">
        <is>
          <t>止損</t>
        </is>
      </c>
      <c r="L326" s="5">
        <f>交易明細!K162</f>
        <v/>
      </c>
      <c r="M326" s="16">
        <f>M319</f>
        <v/>
      </c>
      <c r="N326" s="2">
        <f>N319</f>
        <v/>
      </c>
      <c r="O326" s="16">
        <f>O319</f>
        <v/>
      </c>
      <c r="P326" s="4">
        <f>交易明細!L162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17" t="n">
        <v>2.419</v>
      </c>
      <c r="H327" s="17" t="n">
        <v>2.34643</v>
      </c>
      <c r="I327" s="17" t="n">
        <v>2.53995</v>
      </c>
      <c r="J327" s="17" t="n">
        <v>2.53995</v>
      </c>
      <c r="K327" s="2" t="inlineStr">
        <is>
          <t>止損</t>
        </is>
      </c>
      <c r="L327" s="5">
        <f>交易明細!K155</f>
        <v/>
      </c>
      <c r="M327" s="16">
        <f>M304</f>
        <v/>
      </c>
      <c r="N327" s="2">
        <f>N304</f>
        <v/>
      </c>
      <c r="O327" s="16">
        <f>O304</f>
        <v/>
      </c>
      <c r="P327" s="4">
        <f>交易明細!L155</f>
        <v/>
      </c>
      <c r="Q327" s="10">
        <f>IF(N327="已下單",O327*P327,0)</f>
        <v/>
      </c>
      <c r="R327" s="10">
        <f>R326+Q327</f>
        <v/>
      </c>
      <c r="S327" s="16">
        <f>S326-IF(N327="已下單",M327,0)</f>
        <v/>
      </c>
      <c r="T327" s="16">
        <f>R327-S327</f>
        <v/>
      </c>
      <c r="U327" s="2">
        <f>U326-IF(N327="已下單",1,0)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17" t="n">
        <v>0.003721</v>
      </c>
      <c r="H328" s="17" t="n">
        <v>0.00360937</v>
      </c>
      <c r="I328" s="17" t="n">
        <v>0.00390705</v>
      </c>
      <c r="J328" s="17" t="n"/>
      <c r="K328" s="2" t="n"/>
      <c r="L328" s="5" t="n"/>
      <c r="M328" s="16">
        <f>資金模擬!$B$5*V327</f>
        <v/>
      </c>
      <c r="N328" s="2">
        <f>IF(Z327=1,"已停止",IF(T327&gt;=M328,"已下單","資金不足略過"))</f>
        <v/>
      </c>
      <c r="O328" s="16">
        <f>IF(N328="已下單",M328*資金模擬!$B$7,0)</f>
        <v/>
      </c>
      <c r="P328" s="4" t="n"/>
      <c r="Q328" s="10" t="n">
        <v>0</v>
      </c>
      <c r="R328" s="10">
        <f>R327+Q328</f>
        <v/>
      </c>
      <c r="S328" s="16">
        <f>S327+IF(N328="已下單",M328,0)</f>
        <v/>
      </c>
      <c r="T328" s="16">
        <f>R328-S328</f>
        <v/>
      </c>
      <c r="U328" s="2">
        <f>U327+IF(N328="已下單",1,0)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17" t="n">
        <v>4.288</v>
      </c>
      <c r="H329" s="17" t="n">
        <v>4.15936</v>
      </c>
      <c r="I329" s="17" t="n">
        <v>4.502400000000001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17" t="n">
        <v>25.016</v>
      </c>
      <c r="H330" s="17" t="n">
        <v>25.76648</v>
      </c>
      <c r="I330" s="17" t="n">
        <v>23.7652</v>
      </c>
      <c r="J330" s="17" t="n">
        <v>23.7652</v>
      </c>
      <c r="K330" s="2" t="inlineStr">
        <is>
          <t>止損</t>
        </is>
      </c>
      <c r="L330" s="5">
        <f>交易明細!K164</f>
        <v/>
      </c>
      <c r="M330" s="16">
        <f>M321</f>
        <v/>
      </c>
      <c r="N330" s="2">
        <f>N321</f>
        <v/>
      </c>
      <c r="O330" s="16">
        <f>O321</f>
        <v/>
      </c>
      <c r="P330" s="4">
        <f>交易明細!L164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17" t="n">
        <v>2.418</v>
      </c>
      <c r="H331" s="17" t="n">
        <v>2.34546</v>
      </c>
      <c r="I331" s="17" t="n">
        <v>2.5389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17" t="n">
        <v>0.003721</v>
      </c>
      <c r="H332" s="17" t="n">
        <v>0.00360937</v>
      </c>
      <c r="I332" s="17" t="n">
        <v>0.00390705</v>
      </c>
      <c r="J332" s="17" t="n">
        <v>0.00360937</v>
      </c>
      <c r="K332" s="2" t="inlineStr">
        <is>
          <t>止盈</t>
        </is>
      </c>
      <c r="L332" s="5">
        <f>交易明細!K165</f>
        <v/>
      </c>
      <c r="M332" s="16">
        <f>M328</f>
        <v/>
      </c>
      <c r="N332" s="2">
        <f>N328</f>
        <v/>
      </c>
      <c r="O332" s="16">
        <f>O328</f>
        <v/>
      </c>
      <c r="P332" s="4">
        <f>交易明細!L165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17" t="n">
        <v>0.07525999999999999</v>
      </c>
      <c r="H333" s="17" t="n">
        <v>0.07300219999999999</v>
      </c>
      <c r="I333" s="17" t="n">
        <v>0.079023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17" t="n">
        <v>23.446</v>
      </c>
      <c r="H334" s="17" t="n">
        <v>22.74262</v>
      </c>
      <c r="I334" s="17" t="n">
        <v>24.6183</v>
      </c>
      <c r="J334" s="17" t="n"/>
      <c r="K334" s="2" t="n"/>
      <c r="L334" s="5" t="n"/>
      <c r="M334" s="16">
        <f>資金模擬!$B$5*V333</f>
        <v/>
      </c>
      <c r="N334" s="2">
        <f>IF(Z333=1,"已停止",IF(T333&gt;=M334,"已下單","資金不足略過"))</f>
        <v/>
      </c>
      <c r="O334" s="16">
        <f>IF(N334="已下單",M334*資金模擬!$B$7,0)</f>
        <v/>
      </c>
      <c r="P334" s="4" t="n"/>
      <c r="Q334" s="10" t="n">
        <v>0</v>
      </c>
      <c r="R334" s="10">
        <f>R333+Q334</f>
        <v/>
      </c>
      <c r="S334" s="16">
        <f>S333+IF(N334="已下單",M334,0)</f>
        <v/>
      </c>
      <c r="T334" s="16">
        <f>R334-S334</f>
        <v/>
      </c>
      <c r="U334" s="2">
        <f>U333+IF(N334="已下單",1,0)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17" t="n">
        <v>0.07525999999999999</v>
      </c>
      <c r="H335" s="17" t="n">
        <v>0.07300219999999999</v>
      </c>
      <c r="I335" s="17" t="n">
        <v>0.079023</v>
      </c>
      <c r="J335" s="17" t="n">
        <v>0.079023</v>
      </c>
      <c r="K335" s="2" t="inlineStr">
        <is>
          <t>止損</t>
        </is>
      </c>
      <c r="L335" s="5">
        <f>交易明細!K168</f>
        <v/>
      </c>
      <c r="M335" s="16">
        <f>M333</f>
        <v/>
      </c>
      <c r="N335" s="2">
        <f>N333</f>
        <v/>
      </c>
      <c r="O335" s="16">
        <f>O333</f>
        <v/>
      </c>
      <c r="P335" s="4">
        <f>交易明細!L168</f>
        <v/>
      </c>
      <c r="Q335" s="10">
        <f>IF(N335="已下單",O335*P335,0)</f>
        <v/>
      </c>
      <c r="R335" s="10">
        <f>R334+Q335</f>
        <v/>
      </c>
      <c r="S335" s="16">
        <f>S334-IF(N335="已下單",M335,0)</f>
        <v/>
      </c>
      <c r="T335" s="16">
        <f>R335-S335</f>
        <v/>
      </c>
      <c r="U335" s="2">
        <f>U334-IF(N335="已下單",1,0)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17" t="n">
        <v>4.288</v>
      </c>
      <c r="H336" s="17" t="n">
        <v>4.15936</v>
      </c>
      <c r="I336" s="17" t="n">
        <v>4.502400000000001</v>
      </c>
      <c r="J336" s="17" t="n">
        <v>4.502400000000001</v>
      </c>
      <c r="K336" s="2" t="inlineStr">
        <is>
          <t>止損</t>
        </is>
      </c>
      <c r="L336" s="5">
        <f>交易明細!K166</f>
        <v/>
      </c>
      <c r="M336" s="16">
        <f>M329</f>
        <v/>
      </c>
      <c r="N336" s="2">
        <f>N329</f>
        <v/>
      </c>
      <c r="O336" s="16">
        <f>O329</f>
        <v/>
      </c>
      <c r="P336" s="4">
        <f>交易明細!L166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17" t="n">
        <v>23.446</v>
      </c>
      <c r="H337" s="17" t="n">
        <v>22.74262</v>
      </c>
      <c r="I337" s="17" t="n">
        <v>24.6183</v>
      </c>
      <c r="J337" s="17" t="n">
        <v>24.6183</v>
      </c>
      <c r="K337" s="2" t="inlineStr">
        <is>
          <t>止損</t>
        </is>
      </c>
      <c r="L337" s="5">
        <f>交易明細!K169</f>
        <v/>
      </c>
      <c r="M337" s="16">
        <f>M334</f>
        <v/>
      </c>
      <c r="N337" s="2">
        <f>N334</f>
        <v/>
      </c>
      <c r="O337" s="16">
        <f>O334</f>
        <v/>
      </c>
      <c r="P337" s="4">
        <f>交易明細!L169</f>
        <v/>
      </c>
      <c r="Q337" s="10">
        <f>IF(N337="已下單",O337*P337,0)</f>
        <v/>
      </c>
      <c r="R337" s="10">
        <f>R336+Q337</f>
        <v/>
      </c>
      <c r="S337" s="16">
        <f>S336-IF(N337="已下單",M337,0)</f>
        <v/>
      </c>
      <c r="T337" s="16">
        <f>R337-S337</f>
        <v/>
      </c>
      <c r="U337" s="2">
        <f>U336-IF(N337="已下單",1,0)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17" t="n">
        <v>0.6024</v>
      </c>
      <c r="H338" s="17" t="n">
        <v>0.5843280000000001</v>
      </c>
      <c r="I338" s="17" t="n">
        <v>0.6325200000000001</v>
      </c>
      <c r="J338" s="17" t="n"/>
      <c r="K338" s="2" t="n"/>
      <c r="L338" s="5" t="n"/>
      <c r="M338" s="16">
        <f>資金模擬!$B$5*V337</f>
        <v/>
      </c>
      <c r="N338" s="2">
        <f>IF(Z337=1,"已停止",IF(T337&gt;=M338,"已下單","資金不足略過"))</f>
        <v/>
      </c>
      <c r="O338" s="16">
        <f>IF(N338="已下單",M338*資金模擬!$B$7,0)</f>
        <v/>
      </c>
      <c r="P338" s="4" t="n"/>
      <c r="Q338" s="10" t="n">
        <v>0</v>
      </c>
      <c r="R338" s="10">
        <f>R337+Q338</f>
        <v/>
      </c>
      <c r="S338" s="16">
        <f>S337+IF(N338="已下單",M338,0)</f>
        <v/>
      </c>
      <c r="T338" s="16">
        <f>R338-S338</f>
        <v/>
      </c>
      <c r="U338" s="2">
        <f>U337+IF(N338="已下單",1,0)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17" t="n">
        <v>0.6024</v>
      </c>
      <c r="H339" s="17" t="n">
        <v>0.5843280000000001</v>
      </c>
      <c r="I339" s="17" t="n">
        <v>0.6325200000000001</v>
      </c>
      <c r="J339" s="17" t="n">
        <v>0.6325200000000001</v>
      </c>
      <c r="K339" s="2" t="inlineStr">
        <is>
          <t>止損</t>
        </is>
      </c>
      <c r="L339" s="5">
        <f>交易明細!K170</f>
        <v/>
      </c>
      <c r="M339" s="16">
        <f>M338</f>
        <v/>
      </c>
      <c r="N339" s="2">
        <f>N338</f>
        <v/>
      </c>
      <c r="O339" s="16">
        <f>O338</f>
        <v/>
      </c>
      <c r="P339" s="4">
        <f>交易明細!L170</f>
        <v/>
      </c>
      <c r="Q339" s="10">
        <f>IF(N339="已下單",O339*P339,0)</f>
        <v/>
      </c>
      <c r="R339" s="10">
        <f>R338+Q339</f>
        <v/>
      </c>
      <c r="S339" s="16">
        <f>S338-IF(N339="已下單",M339,0)</f>
        <v/>
      </c>
      <c r="T339" s="16">
        <f>R339-S339</f>
        <v/>
      </c>
      <c r="U339" s="2">
        <f>U338-IF(N339="已下單",1,0)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17" t="n">
        <v>0.000976</v>
      </c>
      <c r="H340" s="17" t="n">
        <v>0.00094672</v>
      </c>
      <c r="I340" s="17" t="n">
        <v>0.0010248</v>
      </c>
      <c r="J340" s="17" t="n"/>
      <c r="K340" s="2" t="n"/>
      <c r="L340" s="5" t="n"/>
      <c r="M340" s="16">
        <f>資金模擬!$B$5*V339</f>
        <v/>
      </c>
      <c r="N340" s="2">
        <f>IF(Z339=1,"已停止",IF(T339&gt;=M340,"已下單","資金不足略過"))</f>
        <v/>
      </c>
      <c r="O340" s="16">
        <f>IF(N340="已下單",M340*資金模擬!$B$7,0)</f>
        <v/>
      </c>
      <c r="P340" s="4" t="n"/>
      <c r="Q340" s="10" t="n">
        <v>0</v>
      </c>
      <c r="R340" s="10">
        <f>R339+Q340</f>
        <v/>
      </c>
      <c r="S340" s="16">
        <f>S339+IF(N340="已下單",M340,0)</f>
        <v/>
      </c>
      <c r="T340" s="16">
        <f>R340-S340</f>
        <v/>
      </c>
      <c r="U340" s="2">
        <f>U339+IF(N340="已下單",1,0)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17" t="n">
        <v>0.000976</v>
      </c>
      <c r="H341" s="17" t="n">
        <v>0.00094672</v>
      </c>
      <c r="I341" s="17" t="n">
        <v>0.0010248</v>
      </c>
      <c r="J341" s="17" t="n">
        <v>0.00094672</v>
      </c>
      <c r="K341" s="2" t="inlineStr">
        <is>
          <t>止盈</t>
        </is>
      </c>
      <c r="L341" s="5">
        <f>交易明細!K171</f>
        <v/>
      </c>
      <c r="M341" s="16">
        <f>M340</f>
        <v/>
      </c>
      <c r="N341" s="2">
        <f>N340</f>
        <v/>
      </c>
      <c r="O341" s="16">
        <f>O340</f>
        <v/>
      </c>
      <c r="P341" s="4">
        <f>交易明細!L171</f>
        <v/>
      </c>
      <c r="Q341" s="10">
        <f>IF(N341="已下單",O341*P341,0)</f>
        <v/>
      </c>
      <c r="R341" s="10">
        <f>R340+Q341</f>
        <v/>
      </c>
      <c r="S341" s="16">
        <f>S340-IF(N341="已下單",M341,0)</f>
        <v/>
      </c>
      <c r="T341" s="16">
        <f>R341-S341</f>
        <v/>
      </c>
      <c r="U341" s="2">
        <f>U340-IF(N341="已下單",1,0)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17" t="n">
        <v>24.665</v>
      </c>
      <c r="H342" s="17" t="n">
        <v>25.40495</v>
      </c>
      <c r="I342" s="17" t="n">
        <v>23.43175</v>
      </c>
      <c r="J342" s="17" t="n"/>
      <c r="K342" s="2" t="n"/>
      <c r="L342" s="5" t="n"/>
      <c r="M342" s="16">
        <f>資金模擬!$B$5*V341</f>
        <v/>
      </c>
      <c r="N342" s="2">
        <f>IF(Z341=1,"已停止",IF(T341&gt;=M342,"已下單","資金不足略過"))</f>
        <v/>
      </c>
      <c r="O342" s="16">
        <f>IF(N342="已下單",M342*資金模擬!$B$7,0)</f>
        <v/>
      </c>
      <c r="P342" s="4" t="n"/>
      <c r="Q342" s="10" t="n">
        <v>0</v>
      </c>
      <c r="R342" s="10">
        <f>R341+Q342</f>
        <v/>
      </c>
      <c r="S342" s="16">
        <f>S341+IF(N342="已下單",M342,0)</f>
        <v/>
      </c>
      <c r="T342" s="16">
        <f>R342-S342</f>
        <v/>
      </c>
      <c r="U342" s="2">
        <f>U341+IF(N342="已下單",1,0)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17" t="n">
        <v>2.418</v>
      </c>
      <c r="H343" s="17" t="n">
        <v>2.34546</v>
      </c>
      <c r="I343" s="17" t="n">
        <v>2.5389</v>
      </c>
      <c r="J343" s="17" t="n">
        <v>2.5389</v>
      </c>
      <c r="K343" s="2" t="inlineStr">
        <is>
          <t>止損</t>
        </is>
      </c>
      <c r="L343" s="5">
        <f>交易明細!K167</f>
        <v/>
      </c>
      <c r="M343" s="16">
        <f>M331</f>
        <v/>
      </c>
      <c r="N343" s="2">
        <f>N331</f>
        <v/>
      </c>
      <c r="O343" s="16">
        <f>O331</f>
        <v/>
      </c>
      <c r="P343" s="4">
        <f>交易明細!L167</f>
        <v/>
      </c>
      <c r="Q343" s="10">
        <f>IF(N343="已下單",O343*P343,0)</f>
        <v/>
      </c>
      <c r="R343" s="10">
        <f>R342+Q343</f>
        <v/>
      </c>
      <c r="S343" s="16">
        <f>S342-IF(N343="已下單",M343,0)</f>
        <v/>
      </c>
      <c r="T343" s="16">
        <f>R343-S343</f>
        <v/>
      </c>
      <c r="U343" s="2">
        <f>U342-IF(N343="已下單",1,0)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17" t="n">
        <v>24.665</v>
      </c>
      <c r="H344" s="17" t="n">
        <v>25.40495</v>
      </c>
      <c r="I344" s="17" t="n">
        <v>23.43175</v>
      </c>
      <c r="J344" s="17" t="n">
        <v>25.40495</v>
      </c>
      <c r="K344" s="2" t="inlineStr">
        <is>
          <t>止盈</t>
        </is>
      </c>
      <c r="L344" s="5">
        <f>交易明細!K172</f>
        <v/>
      </c>
      <c r="M344" s="16">
        <f>M342</f>
        <v/>
      </c>
      <c r="N344" s="2">
        <f>N342</f>
        <v/>
      </c>
      <c r="O344" s="16">
        <f>O342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17" t="n">
        <v>4.659</v>
      </c>
      <c r="H345" s="17" t="n">
        <v>4.79877</v>
      </c>
      <c r="I345" s="17" t="n">
        <v>4.42605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17" t="n">
        <v>0.6194</v>
      </c>
      <c r="H346" s="17" t="n">
        <v>0.6379819999999999</v>
      </c>
      <c r="I346" s="17" t="n">
        <v>0.5884299999999999</v>
      </c>
      <c r="J346" s="17" t="n"/>
      <c r="K346" s="2" t="n"/>
      <c r="L346" s="5" t="n"/>
      <c r="M346" s="16">
        <f>資金模擬!$B$5*V345</f>
        <v/>
      </c>
      <c r="N346" s="2">
        <f>IF(Z345=1,"已停止",IF(T345&gt;=M346,"已下單","資金不足略過"))</f>
        <v/>
      </c>
      <c r="O346" s="16">
        <f>IF(N346="已下單",M346*資金模擬!$B$7,0)</f>
        <v/>
      </c>
      <c r="P346" s="4" t="n"/>
      <c r="Q346" s="10" t="n">
        <v>0</v>
      </c>
      <c r="R346" s="10">
        <f>R345+Q346</f>
        <v/>
      </c>
      <c r="S346" s="16">
        <f>S345+IF(N346="已下單",M346,0)</f>
        <v/>
      </c>
      <c r="T346" s="16">
        <f>R346-S346</f>
        <v/>
      </c>
      <c r="U346" s="2">
        <f>U345+IF(N346="已下單",1,0)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17" t="n">
        <v>1150.81</v>
      </c>
      <c r="H347" s="17" t="n">
        <v>1185.3343</v>
      </c>
      <c r="I347" s="17" t="n">
        <v>1093.2695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17" t="n">
        <v>0.6194</v>
      </c>
      <c r="H348" s="17" t="n">
        <v>0.6379819999999999</v>
      </c>
      <c r="I348" s="17" t="n">
        <v>0.5884299999999999</v>
      </c>
      <c r="J348" s="17" t="n">
        <v>0.6379819999999999</v>
      </c>
      <c r="K348" s="2" t="inlineStr">
        <is>
          <t>止盈</t>
        </is>
      </c>
      <c r="L348" s="5">
        <f>交易明細!K174</f>
        <v/>
      </c>
      <c r="M348" s="16">
        <f>M346</f>
        <v/>
      </c>
      <c r="N348" s="2">
        <f>N346</f>
        <v/>
      </c>
      <c r="O348" s="16">
        <f>O346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17" t="n">
        <v>1150.81</v>
      </c>
      <c r="H349" s="17" t="n">
        <v>1185.3343</v>
      </c>
      <c r="I349" s="17" t="n">
        <v>1093.2695</v>
      </c>
      <c r="J349" s="17" t="n">
        <v>1185.3343</v>
      </c>
      <c r="K349" s="2" t="inlineStr">
        <is>
          <t>止盈</t>
        </is>
      </c>
      <c r="L349" s="5">
        <f>交易明細!K175</f>
        <v/>
      </c>
      <c r="M349" s="16">
        <f>M347</f>
        <v/>
      </c>
      <c r="N349" s="2">
        <f>N347</f>
        <v/>
      </c>
      <c r="O349" s="16">
        <f>O347</f>
        <v/>
      </c>
      <c r="P349" s="4">
        <f>交易明細!L175</f>
        <v/>
      </c>
      <c r="Q349" s="10">
        <f>IF(N349="已下單",O349*P349,0)</f>
        <v/>
      </c>
      <c r="R349" s="10">
        <f>R348+Q349</f>
        <v/>
      </c>
      <c r="S349" s="16">
        <f>S348-IF(N349="已下單",M349,0)</f>
        <v/>
      </c>
      <c r="T349" s="16">
        <f>R349-S349</f>
        <v/>
      </c>
      <c r="U349" s="2">
        <f>U348-IF(N349="已下單",1,0)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17" t="n">
        <v>0.003843</v>
      </c>
      <c r="H350" s="17" t="n">
        <v>0.003958290000000001</v>
      </c>
      <c r="I350" s="17" t="n">
        <v>0.00365085</v>
      </c>
      <c r="J350" s="17" t="n"/>
      <c r="K350" s="2" t="n"/>
      <c r="L350" s="5" t="n"/>
      <c r="M350" s="16">
        <f>資金模擬!$B$5*V349</f>
        <v/>
      </c>
      <c r="N350" s="2">
        <f>IF(Z349=1,"已停止",IF(T349&gt;=M350,"已下單","資金不足略過"))</f>
        <v/>
      </c>
      <c r="O350" s="16">
        <f>IF(N350="已下單",M350*資金模擬!$B$7,0)</f>
        <v/>
      </c>
      <c r="P350" s="4" t="n"/>
      <c r="Q350" s="10" t="n">
        <v>0</v>
      </c>
      <c r="R350" s="10">
        <f>R349+Q350</f>
        <v/>
      </c>
      <c r="S350" s="16">
        <f>S349+IF(N350="已下單",M350,0)</f>
        <v/>
      </c>
      <c r="T350" s="16">
        <f>R350-S350</f>
        <v/>
      </c>
      <c r="U350" s="2">
        <f>U349+IF(N350="已下單",1,0)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17" t="n">
        <v>4.659</v>
      </c>
      <c r="H351" s="17" t="n">
        <v>4.79877</v>
      </c>
      <c r="I351" s="17" t="n">
        <v>4.42605</v>
      </c>
      <c r="J351" s="17" t="n">
        <v>4.79877</v>
      </c>
      <c r="K351" s="2" t="inlineStr">
        <is>
          <t>止盈</t>
        </is>
      </c>
      <c r="L351" s="5">
        <f>交易明細!K173</f>
        <v/>
      </c>
      <c r="M351" s="16">
        <f>M345</f>
        <v/>
      </c>
      <c r="N351" s="2">
        <f>N345</f>
        <v/>
      </c>
      <c r="O351" s="16">
        <f>O345</f>
        <v/>
      </c>
      <c r="P351" s="4">
        <f>交易明細!L173</f>
        <v/>
      </c>
      <c r="Q351" s="10">
        <f>IF(N351="已下單",O351*P351,0)</f>
        <v/>
      </c>
      <c r="R351" s="10">
        <f>R350+Q351</f>
        <v/>
      </c>
      <c r="S351" s="16">
        <f>S350-IF(N351="已下單",M351,0)</f>
        <v/>
      </c>
      <c r="T351" s="16">
        <f>R351-S351</f>
        <v/>
      </c>
      <c r="U351" s="2">
        <f>U350-IF(N351="已下單",1,0)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17" t="n">
        <v>0.003843</v>
      </c>
      <c r="H352" s="17" t="n">
        <v>0.003958290000000001</v>
      </c>
      <c r="I352" s="17" t="n">
        <v>0.00365085</v>
      </c>
      <c r="J352" s="17" t="n">
        <v>0.00365085</v>
      </c>
      <c r="K352" s="2" t="inlineStr">
        <is>
          <t>止損</t>
        </is>
      </c>
      <c r="L352" s="5">
        <f>交易明細!K176</f>
        <v/>
      </c>
      <c r="M352" s="16">
        <f>M350</f>
        <v/>
      </c>
      <c r="N352" s="2">
        <f>N350</f>
        <v/>
      </c>
      <c r="O352" s="16">
        <f>O350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17" t="n">
        <v>0.6084000000000001</v>
      </c>
      <c r="H353" s="17" t="n">
        <v>0.590148</v>
      </c>
      <c r="I353" s="17" t="n">
        <v>0.6388200000000001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17" t="n">
        <v>0.000895</v>
      </c>
      <c r="H354" s="17" t="n">
        <v>0.0008681499999999999</v>
      </c>
      <c r="I354" s="17" t="n">
        <v>0.00093975</v>
      </c>
      <c r="J354" s="17" t="n"/>
      <c r="K354" s="2" t="n"/>
      <c r="L354" s="5" t="n"/>
      <c r="M354" s="16">
        <f>資金模擬!$B$5*V353</f>
        <v/>
      </c>
      <c r="N354" s="2">
        <f>IF(Z353=1,"已停止",IF(T353&gt;=M354,"已下單","資金不足略過"))</f>
        <v/>
      </c>
      <c r="O354" s="16">
        <f>IF(N354="已下單",M354*資金模擬!$B$7,0)</f>
        <v/>
      </c>
      <c r="P354" s="4" t="n"/>
      <c r="Q354" s="10" t="n">
        <v>0</v>
      </c>
      <c r="R354" s="10">
        <f>R353+Q354</f>
        <v/>
      </c>
      <c r="S354" s="16">
        <f>S353+IF(N354="已下單",M354,0)</f>
        <v/>
      </c>
      <c r="T354" s="16">
        <f>R354-S354</f>
        <v/>
      </c>
      <c r="U354" s="2">
        <f>U353+IF(N354="已下單",1,0)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17" t="n">
        <v>0.1418</v>
      </c>
      <c r="H355" s="17" t="n">
        <v>0.137546</v>
      </c>
      <c r="I355" s="17" t="n">
        <v>0.14889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17" t="n">
        <v>0.12248</v>
      </c>
      <c r="H356" s="17" t="n">
        <v>0.1188056</v>
      </c>
      <c r="I356" s="17" t="n">
        <v>0.128604</v>
      </c>
      <c r="J356" s="17" t="n"/>
      <c r="K356" s="2" t="n"/>
      <c r="L356" s="5" t="n"/>
      <c r="M356" s="16">
        <f>資金模擬!$B$5*V355</f>
        <v/>
      </c>
      <c r="N356" s="2">
        <f>IF(Z355=1,"已停止",IF(T355&gt;=M356,"已下單","資金不足略過"))</f>
        <v/>
      </c>
      <c r="O356" s="16">
        <f>IF(N356="已下單",M356*資金模擬!$B$7,0)</f>
        <v/>
      </c>
      <c r="P356" s="4" t="n"/>
      <c r="Q356" s="10" t="n">
        <v>0</v>
      </c>
      <c r="R356" s="10">
        <f>R355+Q356</f>
        <v/>
      </c>
      <c r="S356" s="16">
        <f>S355+IF(N356="已下單",M356,0)</f>
        <v/>
      </c>
      <c r="T356" s="16">
        <f>R356-S356</f>
        <v/>
      </c>
      <c r="U356" s="2">
        <f>U355+IF(N356="已下單",1,0)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17" t="n">
        <v>0.003537</v>
      </c>
      <c r="H357" s="17" t="n">
        <v>0.00343089</v>
      </c>
      <c r="I357" s="17" t="n">
        <v>0.00371385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17" t="n">
        <v>0.22299</v>
      </c>
      <c r="H358" s="17" t="n">
        <v>0.2163003</v>
      </c>
      <c r="I358" s="17" t="n">
        <v>0.2341395</v>
      </c>
      <c r="J358" s="17" t="n"/>
      <c r="K358" s="2" t="n"/>
      <c r="L358" s="5" t="n"/>
      <c r="M358" s="16">
        <f>資金模擬!$B$5*V357</f>
        <v/>
      </c>
      <c r="N358" s="2">
        <f>IF(Z357=1,"已停止",IF(T357&gt;=M358,"已下單","資金不足略過"))</f>
        <v/>
      </c>
      <c r="O358" s="16">
        <f>IF(N358="已下單",M358*資金模擬!$B$7,0)</f>
        <v/>
      </c>
      <c r="P358" s="4" t="n"/>
      <c r="Q358" s="10" t="n">
        <v>0</v>
      </c>
      <c r="R358" s="10">
        <f>R357+Q358</f>
        <v/>
      </c>
      <c r="S358" s="16">
        <f>S357+IF(N358="已下單",M358,0)</f>
        <v/>
      </c>
      <c r="T358" s="16">
        <f>R358-S358</f>
        <v/>
      </c>
      <c r="U358" s="2">
        <f>U357+IF(N358="已下單",1,0)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17" t="n">
        <v>0.6084000000000001</v>
      </c>
      <c r="H359" s="17" t="n">
        <v>0.590148</v>
      </c>
      <c r="I359" s="17" t="n">
        <v>0.6388200000000001</v>
      </c>
      <c r="J359" s="17" t="n">
        <v>0.590148</v>
      </c>
      <c r="K359" s="2" t="inlineStr">
        <is>
          <t>止盈</t>
        </is>
      </c>
      <c r="L359" s="5">
        <f>交易明細!K177</f>
        <v/>
      </c>
      <c r="M359" s="16">
        <f>M353</f>
        <v/>
      </c>
      <c r="N359" s="2">
        <f>N353</f>
        <v/>
      </c>
      <c r="O359" s="16">
        <f>O353</f>
        <v/>
      </c>
      <c r="P359" s="4">
        <f>交易明細!L177</f>
        <v/>
      </c>
      <c r="Q359" s="10">
        <f>IF(N359="已下單",O359*P359,0)</f>
        <v/>
      </c>
      <c r="R359" s="10">
        <f>R358+Q359</f>
        <v/>
      </c>
      <c r="S359" s="16">
        <f>S358-IF(N359="已下單",M359,0)</f>
        <v/>
      </c>
      <c r="T359" s="16">
        <f>R359-S359</f>
        <v/>
      </c>
      <c r="U359" s="2">
        <f>U358-IF(N359="已下單",1,0)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17" t="n">
        <v>0.22299</v>
      </c>
      <c r="H360" s="17" t="n">
        <v>0.2163003</v>
      </c>
      <c r="I360" s="17" t="n">
        <v>0.2341395</v>
      </c>
      <c r="J360" s="17" t="n">
        <v>0.2163003</v>
      </c>
      <c r="K360" s="2" t="inlineStr">
        <is>
          <t>止盈</t>
        </is>
      </c>
      <c r="L360" s="5">
        <f>交易明細!K182</f>
        <v/>
      </c>
      <c r="M360" s="16">
        <f>M358</f>
        <v/>
      </c>
      <c r="N360" s="2">
        <f>N358</f>
        <v/>
      </c>
      <c r="O360" s="16">
        <f>O358</f>
        <v/>
      </c>
      <c r="P360" s="4">
        <f>交易明細!L182</f>
        <v/>
      </c>
      <c r="Q360" s="10">
        <f>IF(N360="已下單",O360*P360,0)</f>
        <v/>
      </c>
      <c r="R360" s="10">
        <f>R359+Q360</f>
        <v/>
      </c>
      <c r="S360" s="16">
        <f>S359-IF(N360="已下單",M360,0)</f>
        <v/>
      </c>
      <c r="T360" s="16">
        <f>R360-S360</f>
        <v/>
      </c>
      <c r="U360" s="2">
        <f>U359-IF(N360="已下單",1,0)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17" t="n">
        <v>0.5886</v>
      </c>
      <c r="H361" s="17" t="n">
        <v>0.5709419999999999</v>
      </c>
      <c r="I361" s="17" t="n">
        <v>0.6180300000000001</v>
      </c>
      <c r="J361" s="17" t="n"/>
      <c r="K361" s="2" t="n"/>
      <c r="L361" s="5" t="n"/>
      <c r="M361" s="16">
        <f>資金模擬!$B$5*V360</f>
        <v/>
      </c>
      <c r="N361" s="2">
        <f>IF(Z360=1,"已停止",IF(T360&gt;=M361,"已下單","資金不足略過"))</f>
        <v/>
      </c>
      <c r="O361" s="16">
        <f>IF(N361="已下單",M361*資金模擬!$B$7,0)</f>
        <v/>
      </c>
      <c r="P361" s="4" t="n"/>
      <c r="Q361" s="10" t="n">
        <v>0</v>
      </c>
      <c r="R361" s="10">
        <f>R360+Q361</f>
        <v/>
      </c>
      <c r="S361" s="16">
        <f>S360+IF(N361="已下單",M361,0)</f>
        <v/>
      </c>
      <c r="T361" s="16">
        <f>R361-S361</f>
        <v/>
      </c>
      <c r="U361" s="2">
        <f>U360+IF(N361="已下單",1,0)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17" t="n">
        <v>0.000895</v>
      </c>
      <c r="H362" s="17" t="n">
        <v>0.0008681499999999999</v>
      </c>
      <c r="I362" s="17" t="n">
        <v>0.00093975</v>
      </c>
      <c r="J362" s="17" t="n">
        <v>0.0008681499999999999</v>
      </c>
      <c r="K362" s="2" t="inlineStr">
        <is>
          <t>止盈</t>
        </is>
      </c>
      <c r="L362" s="5">
        <f>交易明細!K178</f>
        <v/>
      </c>
      <c r="M362" s="16">
        <f>M354</f>
        <v/>
      </c>
      <c r="N362" s="2">
        <f>N354</f>
        <v/>
      </c>
      <c r="O362" s="16">
        <f>O354</f>
        <v/>
      </c>
      <c r="P362" s="4">
        <f>交易明細!L178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17" t="n">
        <v>0.12248</v>
      </c>
      <c r="H363" s="17" t="n">
        <v>0.1188056</v>
      </c>
      <c r="I363" s="17" t="n">
        <v>0.128604</v>
      </c>
      <c r="J363" s="17" t="n">
        <v>0.1188056</v>
      </c>
      <c r="K363" s="2" t="inlineStr">
        <is>
          <t>止盈</t>
        </is>
      </c>
      <c r="L363" s="5">
        <f>交易明細!K180</f>
        <v/>
      </c>
      <c r="M363" s="16">
        <f>M356</f>
        <v/>
      </c>
      <c r="N363" s="2">
        <f>N356</f>
        <v/>
      </c>
      <c r="O363" s="16">
        <f>O356</f>
        <v/>
      </c>
      <c r="P363" s="4">
        <f>交易明細!L180</f>
        <v/>
      </c>
      <c r="Q363" s="10">
        <f>IF(N363="已下單",O363*P363,0)</f>
        <v/>
      </c>
      <c r="R363" s="10">
        <f>R362+Q363</f>
        <v/>
      </c>
      <c r="S363" s="16">
        <f>S362-IF(N363="已下單",M363,0)</f>
        <v/>
      </c>
      <c r="T363" s="16">
        <f>R363-S363</f>
        <v/>
      </c>
      <c r="U363" s="2">
        <f>U362-IF(N363="已下單",1,0)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17" t="n">
        <v>0.5694</v>
      </c>
      <c r="H364" s="17" t="n">
        <v>0.552318</v>
      </c>
      <c r="I364" s="17" t="n">
        <v>0.59787</v>
      </c>
      <c r="J364" s="17" t="n"/>
      <c r="K364" s="2" t="n"/>
      <c r="L364" s="5" t="n"/>
      <c r="M364" s="16">
        <f>資金模擬!$B$5*V363</f>
        <v/>
      </c>
      <c r="N364" s="2">
        <f>IF(Z363=1,"已停止",IF(T363&gt;=M364,"已下單","資金不足略過"))</f>
        <v/>
      </c>
      <c r="O364" s="16">
        <f>IF(N364="已下單",M364*資金模擬!$B$7,0)</f>
        <v/>
      </c>
      <c r="P364" s="4" t="n"/>
      <c r="Q364" s="10" t="n">
        <v>0</v>
      </c>
      <c r="R364" s="10">
        <f>R363+Q364</f>
        <v/>
      </c>
      <c r="S364" s="16">
        <f>S363+IF(N364="已下單",M364,0)</f>
        <v/>
      </c>
      <c r="T364" s="16">
        <f>R364-S364</f>
        <v/>
      </c>
      <c r="U364" s="2">
        <f>U363+IF(N364="已下單",1,0)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17" t="n">
        <v>0.21674</v>
      </c>
      <c r="H365" s="17" t="n">
        <v>0.2102378</v>
      </c>
      <c r="I365" s="17" t="n">
        <v>0.227577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17" t="n">
        <v>0.5886</v>
      </c>
      <c r="H366" s="17" t="n">
        <v>0.5709419999999999</v>
      </c>
      <c r="I366" s="17" t="n">
        <v>0.6180300000000001</v>
      </c>
      <c r="J366" s="17" t="n">
        <v>0.5709419999999999</v>
      </c>
      <c r="K366" s="2" t="inlineStr">
        <is>
          <t>止盈</t>
        </is>
      </c>
      <c r="L366" s="5">
        <f>交易明細!K183</f>
        <v/>
      </c>
      <c r="M366" s="16">
        <f>M361</f>
        <v/>
      </c>
      <c r="N366" s="2">
        <f>N361</f>
        <v/>
      </c>
      <c r="O366" s="16">
        <f>O361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17" t="n">
        <v>1.716</v>
      </c>
      <c r="H367" s="17" t="n">
        <v>1.76748</v>
      </c>
      <c r="I367" s="17" t="n">
        <v>1.6302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17" t="n">
        <v>0.21674</v>
      </c>
      <c r="H368" s="17" t="n">
        <v>0.2102378</v>
      </c>
      <c r="I368" s="17" t="n">
        <v>0.227577</v>
      </c>
      <c r="J368" s="17" t="n">
        <v>0.227577</v>
      </c>
      <c r="K368" s="2" t="inlineStr">
        <is>
          <t>止損</t>
        </is>
      </c>
      <c r="L368" s="5">
        <f>交易明細!K185</f>
        <v/>
      </c>
      <c r="M368" s="16">
        <f>M365</f>
        <v/>
      </c>
      <c r="N368" s="2">
        <f>N365</f>
        <v/>
      </c>
      <c r="O368" s="16">
        <f>O365</f>
        <v/>
      </c>
      <c r="P368" s="4">
        <f>交易明細!L185</f>
        <v/>
      </c>
      <c r="Q368" s="10">
        <f>IF(N368="已下單",O368*P368,0)</f>
        <v/>
      </c>
      <c r="R368" s="10">
        <f>R367+Q368</f>
        <v/>
      </c>
      <c r="S368" s="16">
        <f>S367-IF(N368="已下單",M368,0)</f>
        <v/>
      </c>
      <c r="T368" s="16">
        <f>R368-S368</f>
        <v/>
      </c>
      <c r="U368" s="2">
        <f>U367-IF(N368="已下單",1,0)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17" t="n">
        <v>1.716</v>
      </c>
      <c r="H369" s="17" t="n">
        <v>1.76748</v>
      </c>
      <c r="I369" s="17" t="n">
        <v>1.6302</v>
      </c>
      <c r="J369" s="17" t="n">
        <v>1.6302</v>
      </c>
      <c r="K369" s="2" t="inlineStr">
        <is>
          <t>止損</t>
        </is>
      </c>
      <c r="L369" s="5">
        <f>交易明細!K186</f>
        <v/>
      </c>
      <c r="M369" s="16">
        <f>M367</f>
        <v/>
      </c>
      <c r="N369" s="2">
        <f>N367</f>
        <v/>
      </c>
      <c r="O369" s="16">
        <f>O367</f>
        <v/>
      </c>
      <c r="P369" s="4">
        <f>交易明細!L186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17" t="n">
        <v>0.0143414</v>
      </c>
      <c r="H370" s="17" t="n">
        <v>0.014771642</v>
      </c>
      <c r="I370" s="17" t="n">
        <v>0.01362433</v>
      </c>
      <c r="J370" s="17" t="n"/>
      <c r="K370" s="2" t="n"/>
      <c r="L370" s="5" t="n"/>
      <c r="M370" s="16">
        <f>資金模擬!$B$5*V369</f>
        <v/>
      </c>
      <c r="N370" s="2">
        <f>IF(Z369=1,"已停止",IF(T369&gt;=M370,"已下單","資金不足略過"))</f>
        <v/>
      </c>
      <c r="O370" s="16">
        <f>IF(N370="已下單",M370*資金模擬!$B$7,0)</f>
        <v/>
      </c>
      <c r="P370" s="4" t="n"/>
      <c r="Q370" s="10" t="n">
        <v>0</v>
      </c>
      <c r="R370" s="10">
        <f>R369+Q370</f>
        <v/>
      </c>
      <c r="S370" s="16">
        <f>S369+IF(N370="已下單",M370,0)</f>
        <v/>
      </c>
      <c r="T370" s="16">
        <f>R370-S370</f>
        <v/>
      </c>
      <c r="U370" s="2">
        <f>U369+IF(N370="已下單",1,0)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17" t="n">
        <v>0.0143414</v>
      </c>
      <c r="H371" s="17" t="n">
        <v>0.014771642</v>
      </c>
      <c r="I371" s="17" t="n">
        <v>0.01362433</v>
      </c>
      <c r="J371" s="17" t="n">
        <v>0.014771642</v>
      </c>
      <c r="K371" s="2" t="inlineStr">
        <is>
          <t>止盈</t>
        </is>
      </c>
      <c r="L371" s="5">
        <f>交易明細!K187</f>
        <v/>
      </c>
      <c r="M371" s="16">
        <f>M370</f>
        <v/>
      </c>
      <c r="N371" s="2">
        <f>N370</f>
        <v/>
      </c>
      <c r="O371" s="16">
        <f>O370</f>
        <v/>
      </c>
      <c r="P371" s="4">
        <f>交易明細!L187</f>
        <v/>
      </c>
      <c r="Q371" s="10">
        <f>IF(N371="已下單",O371*P371,0)</f>
        <v/>
      </c>
      <c r="R371" s="10">
        <f>R370+Q371</f>
        <v/>
      </c>
      <c r="S371" s="16">
        <f>S370-IF(N371="已下單",M371,0)</f>
        <v/>
      </c>
      <c r="T371" s="16">
        <f>R371-S371</f>
        <v/>
      </c>
      <c r="U371" s="2">
        <f>U370-IF(N371="已下單",1,0)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17" t="n">
        <v>0.6982</v>
      </c>
      <c r="H372" s="17" t="n">
        <v>0.7191460000000001</v>
      </c>
      <c r="I372" s="17" t="n">
        <v>0.66329</v>
      </c>
      <c r="J372" s="17" t="n"/>
      <c r="K372" s="2" t="n"/>
      <c r="L372" s="5" t="n"/>
      <c r="M372" s="16">
        <f>資金模擬!$B$5*V371</f>
        <v/>
      </c>
      <c r="N372" s="2">
        <f>IF(Z371=1,"已停止",IF(T371&gt;=M372,"已下單","資金不足略過"))</f>
        <v/>
      </c>
      <c r="O372" s="16">
        <f>IF(N372="已下單",M372*資金模擬!$B$7,0)</f>
        <v/>
      </c>
      <c r="P372" s="4" t="n"/>
      <c r="Q372" s="10" t="n">
        <v>0</v>
      </c>
      <c r="R372" s="10">
        <f>R371+Q372</f>
        <v/>
      </c>
      <c r="S372" s="16">
        <f>S371+IF(N372="已下單",M372,0)</f>
        <v/>
      </c>
      <c r="T372" s="16">
        <f>R372-S372</f>
        <v/>
      </c>
      <c r="U372" s="2">
        <f>U371+IF(N372="已下單",1,0)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17" t="n">
        <v>0.6982</v>
      </c>
      <c r="H373" s="17" t="n">
        <v>0.7191460000000001</v>
      </c>
      <c r="I373" s="17" t="n">
        <v>0.66329</v>
      </c>
      <c r="J373" s="17" t="n">
        <v>0.7191460000000001</v>
      </c>
      <c r="K373" s="2" t="inlineStr">
        <is>
          <t>止盈</t>
        </is>
      </c>
      <c r="L373" s="5">
        <f>交易明細!K188</f>
        <v/>
      </c>
      <c r="M373" s="16">
        <f>M372</f>
        <v/>
      </c>
      <c r="N373" s="2">
        <f>N372</f>
        <v/>
      </c>
      <c r="O373" s="16">
        <f>O372</f>
        <v/>
      </c>
      <c r="P373" s="4">
        <f>交易明細!L188</f>
        <v/>
      </c>
      <c r="Q373" s="10">
        <f>IF(N373="已下單",O373*P373,0)</f>
        <v/>
      </c>
      <c r="R373" s="10">
        <f>R372+Q373</f>
        <v/>
      </c>
      <c r="S373" s="16">
        <f>S372-IF(N373="已下單",M373,0)</f>
        <v/>
      </c>
      <c r="T373" s="16">
        <f>R373-S373</f>
        <v/>
      </c>
      <c r="U373" s="2">
        <f>U372-IF(N373="已下單",1,0)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17" t="n">
        <v>0.2336</v>
      </c>
      <c r="H374" s="17" t="n">
        <v>0.226592</v>
      </c>
      <c r="I374" s="17" t="n">
        <v>0.24528</v>
      </c>
      <c r="J374" s="17" t="n"/>
      <c r="K374" s="2" t="n"/>
      <c r="L374" s="5" t="n"/>
      <c r="M374" s="16">
        <f>資金模擬!$B$5*V373</f>
        <v/>
      </c>
      <c r="N374" s="2">
        <f>IF(Z373=1,"已停止",IF(T373&gt;=M374,"已下單","資金不足略過"))</f>
        <v/>
      </c>
      <c r="O374" s="16">
        <f>IF(N374="已下單",M374*資金模擬!$B$7,0)</f>
        <v/>
      </c>
      <c r="P374" s="4" t="n"/>
      <c r="Q374" s="10" t="n">
        <v>0</v>
      </c>
      <c r="R374" s="10">
        <f>R373+Q374</f>
        <v/>
      </c>
      <c r="S374" s="16">
        <f>S373+IF(N374="已下單",M374,0)</f>
        <v/>
      </c>
      <c r="T374" s="16">
        <f>R374-S374</f>
        <v/>
      </c>
      <c r="U374" s="2">
        <f>U373+IF(N374="已下單",1,0)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17" t="n">
        <v>0.12973</v>
      </c>
      <c r="H375" s="17" t="n">
        <v>0.1258381</v>
      </c>
      <c r="I375" s="17" t="n">
        <v>0.1362165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17" t="n">
        <v>0.2336</v>
      </c>
      <c r="H376" s="17" t="n">
        <v>0.226592</v>
      </c>
      <c r="I376" s="17" t="n">
        <v>0.24528</v>
      </c>
      <c r="J376" s="17" t="n">
        <v>0.24528</v>
      </c>
      <c r="K376" s="2" t="inlineStr">
        <is>
          <t>止損</t>
        </is>
      </c>
      <c r="L376" s="5">
        <f>交易明細!K189</f>
        <v/>
      </c>
      <c r="M376" s="16">
        <f>M374</f>
        <v/>
      </c>
      <c r="N376" s="2">
        <f>N374</f>
        <v/>
      </c>
      <c r="O376" s="16">
        <f>O374</f>
        <v/>
      </c>
      <c r="P376" s="4">
        <f>交易明細!L189</f>
        <v/>
      </c>
      <c r="Q376" s="10">
        <f>IF(N376="已下單",O376*P376,0)</f>
        <v/>
      </c>
      <c r="R376" s="10">
        <f>R375+Q376</f>
        <v/>
      </c>
      <c r="S376" s="16">
        <f>S375-IF(N376="已下單",M376,0)</f>
        <v/>
      </c>
      <c r="T376" s="16">
        <f>R376-S376</f>
        <v/>
      </c>
      <c r="U376" s="2">
        <f>U375-IF(N376="已下單",1,0)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17" t="n">
        <v>0.12973</v>
      </c>
      <c r="H377" s="17" t="n">
        <v>0.1258381</v>
      </c>
      <c r="I377" s="17" t="n">
        <v>0.1362165</v>
      </c>
      <c r="J377" s="17" t="n">
        <v>0.1362165</v>
      </c>
      <c r="K377" s="2" t="inlineStr">
        <is>
          <t>止損</t>
        </is>
      </c>
      <c r="L377" s="5">
        <f>交易明細!K190</f>
        <v/>
      </c>
      <c r="M377" s="16">
        <f>M375</f>
        <v/>
      </c>
      <c r="N377" s="2">
        <f>N375</f>
        <v/>
      </c>
      <c r="O377" s="16">
        <f>O375</f>
        <v/>
      </c>
      <c r="P377" s="4">
        <f>交易明細!L190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17" t="n">
        <v>0.07699</v>
      </c>
      <c r="H378" s="17" t="n">
        <v>0.0792997</v>
      </c>
      <c r="I378" s="17" t="n">
        <v>0.0731405</v>
      </c>
      <c r="J378" s="17" t="n"/>
      <c r="K378" s="2" t="n"/>
      <c r="L378" s="5" t="n"/>
      <c r="M378" s="16">
        <f>資金模擬!$B$5*V377</f>
        <v/>
      </c>
      <c r="N378" s="2">
        <f>IF(Z377=1,"已停止",IF(T377&gt;=M378,"已下單","資金不足略過"))</f>
        <v/>
      </c>
      <c r="O378" s="16">
        <f>IF(N378="已下單",M378*資金模擬!$B$7,0)</f>
        <v/>
      </c>
      <c r="P378" s="4" t="n"/>
      <c r="Q378" s="10" t="n">
        <v>0</v>
      </c>
      <c r="R378" s="10">
        <f>R377+Q378</f>
        <v/>
      </c>
      <c r="S378" s="16">
        <f>S377+IF(N378="已下單",M378,0)</f>
        <v/>
      </c>
      <c r="T378" s="16">
        <f>R378-S378</f>
        <v/>
      </c>
      <c r="U378" s="2">
        <f>U377+IF(N378="已下單",1,0)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17" t="n">
        <v>0.07699</v>
      </c>
      <c r="H379" s="17" t="n">
        <v>0.0792997</v>
      </c>
      <c r="I379" s="17" t="n">
        <v>0.0731405</v>
      </c>
      <c r="J379" s="17" t="n">
        <v>0.0731405</v>
      </c>
      <c r="K379" s="2" t="inlineStr">
        <is>
          <t>止損</t>
        </is>
      </c>
      <c r="L379" s="5">
        <f>交易明細!K191</f>
        <v/>
      </c>
      <c r="M379" s="16">
        <f>M378</f>
        <v/>
      </c>
      <c r="N379" s="2">
        <f>N378</f>
        <v/>
      </c>
      <c r="O379" s="16">
        <f>O378</f>
        <v/>
      </c>
      <c r="P379" s="4">
        <f>交易明細!L191</f>
        <v/>
      </c>
      <c r="Q379" s="10">
        <f>IF(N379="已下單",O379*P379,0)</f>
        <v/>
      </c>
      <c r="R379" s="10">
        <f>R378+Q379</f>
        <v/>
      </c>
      <c r="S379" s="16">
        <f>S378-IF(N379="已下單",M379,0)</f>
        <v/>
      </c>
      <c r="T379" s="16">
        <f>R379-S379</f>
        <v/>
      </c>
      <c r="U379" s="2">
        <f>U378-IF(N379="已下單",1,0)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17" t="n">
        <v>0.13578</v>
      </c>
      <c r="H380" s="17" t="n">
        <v>0.1398534</v>
      </c>
      <c r="I380" s="17" t="n">
        <v>0.128991</v>
      </c>
      <c r="J380" s="17" t="n"/>
      <c r="K380" s="2" t="n"/>
      <c r="L380" s="5" t="n"/>
      <c r="M380" s="16">
        <f>資金模擬!$B$5*V379</f>
        <v/>
      </c>
      <c r="N380" s="2">
        <f>IF(Z379=1,"已停止",IF(T379&gt;=M380,"已下單","資金不足略過"))</f>
        <v/>
      </c>
      <c r="O380" s="16">
        <f>IF(N380="已下單",M380*資金模擬!$B$7,0)</f>
        <v/>
      </c>
      <c r="P380" s="4" t="n"/>
      <c r="Q380" s="10" t="n">
        <v>0</v>
      </c>
      <c r="R380" s="10">
        <f>R379+Q380</f>
        <v/>
      </c>
      <c r="S380" s="16">
        <f>S379+IF(N380="已下單",M380,0)</f>
        <v/>
      </c>
      <c r="T380" s="16">
        <f>R380-S380</f>
        <v/>
      </c>
      <c r="U380" s="2">
        <f>U379+IF(N380="已下單",1,0)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17" t="n">
        <v>0.11779</v>
      </c>
      <c r="H381" s="17" t="n">
        <v>0.1142563</v>
      </c>
      <c r="I381" s="17" t="n">
        <v>0.1236795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17" t="n">
        <v>0.6118</v>
      </c>
      <c r="H382" s="17" t="n">
        <v>0.593446</v>
      </c>
      <c r="I382" s="17" t="n">
        <v>0.64239</v>
      </c>
      <c r="J382" s="17" t="n"/>
      <c r="K382" s="2" t="n"/>
      <c r="L382" s="5" t="n"/>
      <c r="M382" s="16">
        <f>資金模擬!$B$5*V381</f>
        <v/>
      </c>
      <c r="N382" s="2">
        <f>IF(Z381=1,"已停止",IF(T381&gt;=M382,"已下單","資金不足略過"))</f>
        <v/>
      </c>
      <c r="O382" s="16">
        <f>IF(N382="已下單",M382*資金模擬!$B$7,0)</f>
        <v/>
      </c>
      <c r="P382" s="4" t="n"/>
      <c r="Q382" s="10" t="n">
        <v>0</v>
      </c>
      <c r="R382" s="10">
        <f>R381+Q382</f>
        <v/>
      </c>
      <c r="S382" s="16">
        <f>S381+IF(N382="已下單",M382,0)</f>
        <v/>
      </c>
      <c r="T382" s="16">
        <f>R382-S382</f>
        <v/>
      </c>
      <c r="U382" s="2">
        <f>U381+IF(N382="已下單",1,0)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17" t="n">
        <v>0.003537</v>
      </c>
      <c r="H383" s="17" t="n">
        <v>0.00343089</v>
      </c>
      <c r="I383" s="17" t="n">
        <v>0.00371385</v>
      </c>
      <c r="J383" s="17" t="n">
        <v>0.00371385</v>
      </c>
      <c r="K383" s="2" t="inlineStr">
        <is>
          <t>止損</t>
        </is>
      </c>
      <c r="L383" s="5">
        <f>交易明細!K181</f>
        <v/>
      </c>
      <c r="M383" s="16">
        <f>M357</f>
        <v/>
      </c>
      <c r="N383" s="2">
        <f>N357</f>
        <v/>
      </c>
      <c r="O383" s="16">
        <f>O357</f>
        <v/>
      </c>
      <c r="P383" s="4">
        <f>交易明細!L181</f>
        <v/>
      </c>
      <c r="Q383" s="10">
        <f>IF(N383="已下單",O383*P383,0)</f>
        <v/>
      </c>
      <c r="R383" s="10">
        <f>R382+Q383</f>
        <v/>
      </c>
      <c r="S383" s="16">
        <f>S382-IF(N383="已下單",M383,0)</f>
        <v/>
      </c>
      <c r="T383" s="16">
        <f>R383-S383</f>
        <v/>
      </c>
      <c r="U383" s="2">
        <f>U382-IF(N383="已下單",1,0)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17" t="n">
        <v>0.13578</v>
      </c>
      <c r="H384" s="17" t="n">
        <v>0.1398534</v>
      </c>
      <c r="I384" s="17" t="n">
        <v>0.128991</v>
      </c>
      <c r="J384" s="17" t="n">
        <v>0.128991</v>
      </c>
      <c r="K384" s="2" t="inlineStr">
        <is>
          <t>止損</t>
        </is>
      </c>
      <c r="L384" s="5">
        <f>交易明細!K192</f>
        <v/>
      </c>
      <c r="M384" s="16">
        <f>M380</f>
        <v/>
      </c>
      <c r="N384" s="2">
        <f>N380</f>
        <v/>
      </c>
      <c r="O384" s="16">
        <f>O380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17" t="n">
        <v>1.412</v>
      </c>
      <c r="H385" s="17" t="n">
        <v>1.45436</v>
      </c>
      <c r="I385" s="17" t="n">
        <v>1.3414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17" t="n">
        <v>0.23269</v>
      </c>
      <c r="H386" s="17" t="n">
        <v>0.2396707</v>
      </c>
      <c r="I386" s="17" t="n">
        <v>0.2210555</v>
      </c>
      <c r="J386" s="17" t="n"/>
      <c r="K386" s="2" t="n"/>
      <c r="L386" s="5" t="n"/>
      <c r="M386" s="16">
        <f>資金模擬!$B$5*V385</f>
        <v/>
      </c>
      <c r="N386" s="2">
        <f>IF(Z385=1,"已停止",IF(T385&gt;=M386,"已下單","資金不足略過"))</f>
        <v/>
      </c>
      <c r="O386" s="16">
        <f>IF(N386="已下單",M386*資金模擬!$B$7,0)</f>
        <v/>
      </c>
      <c r="P386" s="4" t="n"/>
      <c r="Q386" s="10" t="n">
        <v>0</v>
      </c>
      <c r="R386" s="10">
        <f>R385+Q386</f>
        <v/>
      </c>
      <c r="S386" s="16">
        <f>S385+IF(N386="已下單",M386,0)</f>
        <v/>
      </c>
      <c r="T386" s="16">
        <f>R386-S386</f>
        <v/>
      </c>
      <c r="U386" s="2">
        <f>U385+IF(N386="已下單",1,0)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17" t="n">
        <v>0.6118</v>
      </c>
      <c r="H387" s="17" t="n">
        <v>0.593446</v>
      </c>
      <c r="I387" s="17" t="n">
        <v>0.64239</v>
      </c>
      <c r="J387" s="17" t="n">
        <v>0.593446</v>
      </c>
      <c r="K387" s="2" t="inlineStr">
        <is>
          <t>止盈</t>
        </is>
      </c>
      <c r="L387" s="5">
        <f>交易明細!K194</f>
        <v/>
      </c>
      <c r="M387" s="16">
        <f>M382</f>
        <v/>
      </c>
      <c r="N387" s="2">
        <f>N382</f>
        <v/>
      </c>
      <c r="O387" s="16">
        <f>O382</f>
        <v/>
      </c>
      <c r="P387" s="4">
        <f>交易明細!L194</f>
        <v/>
      </c>
      <c r="Q387" s="10">
        <f>IF(N387="已下單",O387*P387,0)</f>
        <v/>
      </c>
      <c r="R387" s="10">
        <f>R386+Q387</f>
        <v/>
      </c>
      <c r="S387" s="16">
        <f>S386-IF(N387="已下單",M387,0)</f>
        <v/>
      </c>
      <c r="T387" s="16">
        <f>R387-S387</f>
        <v/>
      </c>
      <c r="U387" s="2">
        <f>U386-IF(N387="已下單",1,0)</f>
        <v/>
      </c>
      <c r="V387" s="16">
        <f>IF(資金模擬!$B$9=2,MAX(R387,0),MAX(V386,FLOOR(MAX(R387,0),資金模擬!$B$6)))</f>
        <v/>
      </c>
      <c r="W387" s="10">
        <f>MAX(W386,R387)</f>
        <v/>
      </c>
      <c r="X387" s="4">
        <f>IF(W387&gt;0,R387/W387-1,-1)</f>
        <v/>
      </c>
      <c r="Y387" s="16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17" t="n">
        <v>1.412</v>
      </c>
      <c r="H388" s="17" t="n">
        <v>1.45436</v>
      </c>
      <c r="I388" s="17" t="n">
        <v>1.3414</v>
      </c>
      <c r="J388" s="17" t="n">
        <v>1.45436</v>
      </c>
      <c r="K388" s="2" t="inlineStr">
        <is>
          <t>止盈</t>
        </is>
      </c>
      <c r="L388" s="5">
        <f>交易明細!K195</f>
        <v/>
      </c>
      <c r="M388" s="16">
        <f>M385</f>
        <v/>
      </c>
      <c r="N388" s="2">
        <f>N385</f>
        <v/>
      </c>
      <c r="O388" s="16">
        <f>O385</f>
        <v/>
      </c>
      <c r="P388" s="4">
        <f>交易明細!L195</f>
        <v/>
      </c>
      <c r="Q388" s="10">
        <f>IF(N388="已下單",O388*P388,0)</f>
        <v/>
      </c>
      <c r="R388" s="10">
        <f>R387+Q388</f>
        <v/>
      </c>
      <c r="S388" s="16">
        <f>S387-IF(N388="已下單",M388,0)</f>
        <v/>
      </c>
      <c r="T388" s="16">
        <f>R388-S388</f>
        <v/>
      </c>
      <c r="U388" s="2">
        <f>U387-IF(N388="已下單",1,0)</f>
        <v/>
      </c>
      <c r="V388" s="16">
        <f>IF(資金模擬!$B$9=2,MAX(R388,0),MAX(V387,FLOOR(MAX(R388,0),資金模擬!$B$6)))</f>
        <v/>
      </c>
      <c r="W388" s="10">
        <f>MAX(W387,R388)</f>
        <v/>
      </c>
      <c r="X388" s="4">
        <f>IF(W388&gt;0,R388/W388-1,-1)</f>
        <v/>
      </c>
      <c r="Y388" s="16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17" t="n">
        <v>23.956</v>
      </c>
      <c r="H389" s="17" t="n">
        <v>24.67468</v>
      </c>
      <c r="I389" s="17" t="n">
        <v>22.7582</v>
      </c>
      <c r="J389" s="17" t="n"/>
      <c r="K389" s="2" t="n"/>
      <c r="L389" s="5" t="n"/>
      <c r="M389" s="16">
        <f>資金模擬!$B$5*V388</f>
        <v/>
      </c>
      <c r="N389" s="2">
        <f>IF(Z388=1,"已停止",IF(T388&gt;=M389,"已下單","資金不足略過"))</f>
        <v/>
      </c>
      <c r="O389" s="16">
        <f>IF(N389="已下單",M389*資金模擬!$B$7,0)</f>
        <v/>
      </c>
      <c r="P389" s="4" t="n"/>
      <c r="Q389" s="10" t="n">
        <v>0</v>
      </c>
      <c r="R389" s="10">
        <f>R388+Q389</f>
        <v/>
      </c>
      <c r="S389" s="16">
        <f>S388+IF(N389="已下單",M389,0)</f>
        <v/>
      </c>
      <c r="T389" s="16">
        <f>R389-S389</f>
        <v/>
      </c>
      <c r="U389" s="2">
        <f>U388+IF(N389="已下單",1,0)</f>
        <v/>
      </c>
      <c r="V389" s="16">
        <f>IF(資金模擬!$B$9=2,MAX(R389,0),MAX(V388,FLOOR(MAX(R389,0),資金模擬!$B$6)))</f>
        <v/>
      </c>
      <c r="W389" s="10">
        <f>MAX(W388,R389)</f>
        <v/>
      </c>
      <c r="X389" s="4">
        <f>IF(W389&gt;0,R389/W389-1,-1)</f>
        <v/>
      </c>
      <c r="Y389" s="16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17" t="n">
        <v>23.956</v>
      </c>
      <c r="H390" s="17" t="n">
        <v>24.67468</v>
      </c>
      <c r="I390" s="17" t="n">
        <v>22.7582</v>
      </c>
      <c r="J390" s="17" t="n">
        <v>24.67468</v>
      </c>
      <c r="K390" s="2" t="inlineStr">
        <is>
          <t>止盈</t>
        </is>
      </c>
      <c r="L390" s="5">
        <f>交易明細!K197</f>
        <v/>
      </c>
      <c r="M390" s="16">
        <f>M389</f>
        <v/>
      </c>
      <c r="N390" s="2">
        <f>N389</f>
        <v/>
      </c>
      <c r="O390" s="16">
        <f>O389</f>
        <v/>
      </c>
      <c r="P390" s="4">
        <f>交易明細!L197</f>
        <v/>
      </c>
      <c r="Q390" s="10">
        <f>IF(N390="已下單",O390*P390,0)</f>
        <v/>
      </c>
      <c r="R390" s="10">
        <f>R389+Q390</f>
        <v/>
      </c>
      <c r="S390" s="16">
        <f>S389-IF(N390="已下單",M390,0)</f>
        <v/>
      </c>
      <c r="T390" s="16">
        <f>R390-S390</f>
        <v/>
      </c>
      <c r="U390" s="2">
        <f>U389-IF(N390="已下單",1,0)</f>
        <v/>
      </c>
      <c r="V390" s="16">
        <f>IF(資金模擬!$B$9=2,MAX(R390,0),MAX(V389,FLOOR(MAX(R390,0),資金模擬!$B$6)))</f>
        <v/>
      </c>
      <c r="W390" s="10">
        <f>MAX(W389,R390)</f>
        <v/>
      </c>
      <c r="X390" s="4">
        <f>IF(W390&gt;0,R390/W390-1,-1)</f>
        <v/>
      </c>
      <c r="Y390" s="16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17" t="n">
        <v>0.11779</v>
      </c>
      <c r="H391" s="17" t="n">
        <v>0.1142563</v>
      </c>
      <c r="I391" s="17" t="n">
        <v>0.1236795</v>
      </c>
      <c r="J391" s="17" t="n">
        <v>0.1236795</v>
      </c>
      <c r="K391" s="2" t="inlineStr">
        <is>
          <t>止損</t>
        </is>
      </c>
      <c r="L391" s="5">
        <f>交易明細!K193</f>
        <v/>
      </c>
      <c r="M391" s="16">
        <f>M381</f>
        <v/>
      </c>
      <c r="N391" s="2">
        <f>N381</f>
        <v/>
      </c>
      <c r="O391" s="16">
        <f>O381</f>
        <v/>
      </c>
      <c r="P391" s="4">
        <f>交易明細!L193</f>
        <v/>
      </c>
      <c r="Q391" s="10">
        <f>IF(N391="已下單",O391*P391,0)</f>
        <v/>
      </c>
      <c r="R391" s="10">
        <f>R390+Q391</f>
        <v/>
      </c>
      <c r="S391" s="16">
        <f>S390-IF(N391="已下單",M391,0)</f>
        <v/>
      </c>
      <c r="T391" s="16">
        <f>R391-S391</f>
        <v/>
      </c>
      <c r="U391" s="2">
        <f>U390-IF(N391="已下單",1,0)</f>
        <v/>
      </c>
      <c r="V391" s="16">
        <f>IF(資金模擬!$B$9=2,MAX(R391,0),MAX(V390,FLOOR(MAX(R391,0),資金模擬!$B$6)))</f>
        <v/>
      </c>
      <c r="W391" s="10">
        <f>MAX(W390,R391)</f>
        <v/>
      </c>
      <c r="X391" s="4">
        <f>IF(W391&gt;0,R391/W391-1,-1)</f>
        <v/>
      </c>
      <c r="Y391" s="16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17" t="n">
        <v>0.0164847</v>
      </c>
      <c r="H392" s="17" t="n">
        <v>0.016979241</v>
      </c>
      <c r="I392" s="17" t="n">
        <v>0.015660465</v>
      </c>
      <c r="J392" s="17" t="n"/>
      <c r="K392" s="2" t="n"/>
      <c r="L392" s="5" t="n"/>
      <c r="M392" s="16">
        <f>資金模擬!$B$5*V391</f>
        <v/>
      </c>
      <c r="N392" s="2">
        <f>IF(Z391=1,"已停止",IF(T391&gt;=M392,"已下單","資金不足略過"))</f>
        <v/>
      </c>
      <c r="O392" s="16">
        <f>IF(N392="已下單",M392*資金模擬!$B$7,0)</f>
        <v/>
      </c>
      <c r="P392" s="4" t="n"/>
      <c r="Q392" s="10" t="n">
        <v>0</v>
      </c>
      <c r="R392" s="10">
        <f>R391+Q392</f>
        <v/>
      </c>
      <c r="S392" s="16">
        <f>S391+IF(N392="已下單",M392,0)</f>
        <v/>
      </c>
      <c r="T392" s="16">
        <f>R392-S392</f>
        <v/>
      </c>
      <c r="U392" s="2">
        <f>U391+IF(N392="已下單",1,0)</f>
        <v/>
      </c>
      <c r="V392" s="16">
        <f>IF(資金模擬!$B$9=2,MAX(R392,0),MAX(V391,FLOOR(MAX(R392,0),資金模擬!$B$6)))</f>
        <v/>
      </c>
      <c r="W392" s="10">
        <f>MAX(W391,R392)</f>
        <v/>
      </c>
      <c r="X392" s="4">
        <f>IF(W392&gt;0,R392/W392-1,-1)</f>
        <v/>
      </c>
      <c r="Y392" s="16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17" t="n">
        <v>0.5901999999999999</v>
      </c>
      <c r="H393" s="17" t="n">
        <v>0.5724939999999999</v>
      </c>
      <c r="I393" s="17" t="n">
        <v>0.61971</v>
      </c>
      <c r="J393" s="17" t="n"/>
      <c r="K393" s="2" t="n"/>
      <c r="L393" s="5" t="n"/>
      <c r="M393" s="16">
        <f>資金模擬!$B$5*V392</f>
        <v/>
      </c>
      <c r="N393" s="2">
        <f>IF(Z392=1,"已停止",IF(T392&gt;=M393,"已下單","資金不足略過"))</f>
        <v/>
      </c>
      <c r="O393" s="16">
        <f>IF(N393="已下單",M393*資金模擬!$B$7,0)</f>
        <v/>
      </c>
      <c r="P393" s="4" t="n"/>
      <c r="Q393" s="10" t="n">
        <v>0</v>
      </c>
      <c r="R393" s="10">
        <f>R392+Q393</f>
        <v/>
      </c>
      <c r="S393" s="16">
        <f>S392+IF(N393="已下單",M393,0)</f>
        <v/>
      </c>
      <c r="T393" s="16">
        <f>R393-S393</f>
        <v/>
      </c>
      <c r="U393" s="2">
        <f>U392+IF(N393="已下單",1,0)</f>
        <v/>
      </c>
      <c r="V393" s="16">
        <f>IF(資金模擬!$B$9=2,MAX(R393,0),MAX(V392,FLOOR(MAX(R393,0),資金模擬!$B$6)))</f>
        <v/>
      </c>
      <c r="W393" s="10">
        <f>MAX(W392,R393)</f>
        <v/>
      </c>
      <c r="X393" s="4">
        <f>IF(W393&gt;0,R393/W393-1,-1)</f>
        <v/>
      </c>
      <c r="Y393" s="16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17" t="n">
        <v>0.23269</v>
      </c>
      <c r="H394" s="17" t="n">
        <v>0.2396707</v>
      </c>
      <c r="I394" s="17" t="n">
        <v>0.2210555</v>
      </c>
      <c r="J394" s="17" t="n">
        <v>0.2396707</v>
      </c>
      <c r="K394" s="2" t="inlineStr">
        <is>
          <t>止盈</t>
        </is>
      </c>
      <c r="L394" s="5">
        <f>交易明細!K196</f>
        <v/>
      </c>
      <c r="M394" s="16">
        <f>M386</f>
        <v/>
      </c>
      <c r="N394" s="2">
        <f>N386</f>
        <v/>
      </c>
      <c r="O394" s="16">
        <f>O386</f>
        <v/>
      </c>
      <c r="P394" s="4">
        <f>交易明細!L196</f>
        <v/>
      </c>
      <c r="Q394" s="10">
        <f>IF(N394="已下單",O394*P394,0)</f>
        <v/>
      </c>
      <c r="R394" s="10">
        <f>R393+Q394</f>
        <v/>
      </c>
      <c r="S394" s="16">
        <f>S393-IF(N394="已下單",M394,0)</f>
        <v/>
      </c>
      <c r="T394" s="16">
        <f>R394-S394</f>
        <v/>
      </c>
      <c r="U394" s="2">
        <f>U393-IF(N394="已下單",1,0)</f>
        <v/>
      </c>
      <c r="V394" s="16">
        <f>IF(資金模擬!$B$9=2,MAX(R394,0),MAX(V393,FLOOR(MAX(R394,0),資金模擬!$B$6)))</f>
        <v/>
      </c>
      <c r="W394" s="10">
        <f>MAX(W393,R394)</f>
        <v/>
      </c>
      <c r="X394" s="4">
        <f>IF(W394&gt;0,R394/W394-1,-1)</f>
        <v/>
      </c>
      <c r="Y394" s="16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17" t="n">
        <v>0.11416</v>
      </c>
      <c r="H395" s="17" t="n">
        <v>0.1107352</v>
      </c>
      <c r="I395" s="17" t="n">
        <v>0.119868</v>
      </c>
      <c r="J395" s="17" t="n"/>
      <c r="K395" s="2" t="n"/>
      <c r="L395" s="5" t="n"/>
      <c r="M395" s="16">
        <f>資金模擬!$B$5*V394</f>
        <v/>
      </c>
      <c r="N395" s="2">
        <f>IF(Z394=1,"已停止",IF(T394&gt;=M395,"已下單","資金不足略過"))</f>
        <v/>
      </c>
      <c r="O395" s="16">
        <f>IF(N395="已下單",M395*資金模擬!$B$7,0)</f>
        <v/>
      </c>
      <c r="P395" s="4" t="n"/>
      <c r="Q395" s="10" t="n">
        <v>0</v>
      </c>
      <c r="R395" s="10">
        <f>R394+Q395</f>
        <v/>
      </c>
      <c r="S395" s="16">
        <f>S394+IF(N395="已下單",M395,0)</f>
        <v/>
      </c>
      <c r="T395" s="16">
        <f>R395-S395</f>
        <v/>
      </c>
      <c r="U395" s="2">
        <f>U394+IF(N395="已下單",1,0)</f>
        <v/>
      </c>
      <c r="V395" s="16">
        <f>IF(資金模擬!$B$9=2,MAX(R395,0),MAX(V394,FLOOR(MAX(R395,0),資金模擬!$B$6)))</f>
        <v/>
      </c>
      <c r="W395" s="10">
        <f>MAX(W394,R395)</f>
        <v/>
      </c>
      <c r="X395" s="4">
        <f>IF(W395&gt;0,R395/W395-1,-1)</f>
        <v/>
      </c>
      <c r="Y395" s="16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17" t="n">
        <v>1.261</v>
      </c>
      <c r="H396" s="17" t="n">
        <v>1.22317</v>
      </c>
      <c r="I396" s="17" t="n">
        <v>1.32405</v>
      </c>
      <c r="J396" s="17" t="n"/>
      <c r="K396" s="2" t="n"/>
      <c r="L396" s="5" t="n"/>
      <c r="M396" s="16">
        <f>資金模擬!$B$5*V395</f>
        <v/>
      </c>
      <c r="N396" s="2">
        <f>IF(Z395=1,"已停止",IF(T395&gt;=M396,"已下單","資金不足略過"))</f>
        <v/>
      </c>
      <c r="O396" s="16">
        <f>IF(N396="已下單",M396*資金模擬!$B$7,0)</f>
        <v/>
      </c>
      <c r="P396" s="4" t="n"/>
      <c r="Q396" s="10" t="n">
        <v>0</v>
      </c>
      <c r="R396" s="10">
        <f>R395+Q396</f>
        <v/>
      </c>
      <c r="S396" s="16">
        <f>S395+IF(N396="已下單",M396,0)</f>
        <v/>
      </c>
      <c r="T396" s="16">
        <f>R396-S396</f>
        <v/>
      </c>
      <c r="U396" s="2">
        <f>U395+IF(N396="已下單",1,0)</f>
        <v/>
      </c>
      <c r="V396" s="16">
        <f>IF(資金模擬!$B$9=2,MAX(R396,0),MAX(V395,FLOOR(MAX(R396,0),資金模擬!$B$6)))</f>
        <v/>
      </c>
      <c r="W396" s="10">
        <f>MAX(W395,R396)</f>
        <v/>
      </c>
      <c r="X396" s="4">
        <f>IF(W396&gt;0,R396/W396-1,-1)</f>
        <v/>
      </c>
      <c r="Y396" s="16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17" t="n">
        <v>0.0164847</v>
      </c>
      <c r="H397" s="17" t="n">
        <v>0.016979241</v>
      </c>
      <c r="I397" s="17" t="n">
        <v>0.015660465</v>
      </c>
      <c r="J397" s="17" t="n">
        <v>0.015660465</v>
      </c>
      <c r="K397" s="2" t="inlineStr">
        <is>
          <t>止損</t>
        </is>
      </c>
      <c r="L397" s="5">
        <f>交易明細!K198</f>
        <v/>
      </c>
      <c r="M397" s="16">
        <f>M392</f>
        <v/>
      </c>
      <c r="N397" s="2">
        <f>N392</f>
        <v/>
      </c>
      <c r="O397" s="16">
        <f>O392</f>
        <v/>
      </c>
      <c r="P397" s="4">
        <f>交易明細!L198</f>
        <v/>
      </c>
      <c r="Q397" s="10">
        <f>IF(N397="已下單",O397*P397,0)</f>
        <v/>
      </c>
      <c r="R397" s="10">
        <f>R396+Q397</f>
        <v/>
      </c>
      <c r="S397" s="16">
        <f>S396-IF(N397="已下單",M397,0)</f>
        <v/>
      </c>
      <c r="T397" s="16">
        <f>R397-S397</f>
        <v/>
      </c>
      <c r="U397" s="2">
        <f>U396-IF(N397="已下單",1,0)</f>
        <v/>
      </c>
      <c r="V397" s="16">
        <f>IF(資金模擬!$B$9=2,MAX(R397,0),MAX(V396,FLOOR(MAX(R397,0),資金模擬!$B$6)))</f>
        <v/>
      </c>
      <c r="W397" s="10">
        <f>MAX(W396,R397)</f>
        <v/>
      </c>
      <c r="X397" s="4">
        <f>IF(W397&gt;0,R397/W397-1,-1)</f>
        <v/>
      </c>
      <c r="Y397" s="16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17" t="n">
        <v>0.5901999999999999</v>
      </c>
      <c r="H398" s="17" t="n">
        <v>0.5724939999999999</v>
      </c>
      <c r="I398" s="17" t="n">
        <v>0.61971</v>
      </c>
      <c r="J398" s="17" t="n">
        <v>0.5724939999999999</v>
      </c>
      <c r="K398" s="2" t="inlineStr">
        <is>
          <t>止盈</t>
        </is>
      </c>
      <c r="L398" s="5">
        <f>交易明細!K199</f>
        <v/>
      </c>
      <c r="M398" s="16">
        <f>M393</f>
        <v/>
      </c>
      <c r="N398" s="2">
        <f>N393</f>
        <v/>
      </c>
      <c r="O398" s="16">
        <f>O393</f>
        <v/>
      </c>
      <c r="P398" s="4">
        <f>交易明細!L199</f>
        <v/>
      </c>
      <c r="Q398" s="10">
        <f>IF(N398="已下單",O398*P398,0)</f>
        <v/>
      </c>
      <c r="R398" s="10">
        <f>R397+Q398</f>
        <v/>
      </c>
      <c r="S398" s="16">
        <f>S397-IF(N398="已下單",M398,0)</f>
        <v/>
      </c>
      <c r="T398" s="16">
        <f>R398-S398</f>
        <v/>
      </c>
      <c r="U398" s="2">
        <f>U397-IF(N398="已下單",1,0)</f>
        <v/>
      </c>
      <c r="V398" s="16">
        <f>IF(資金模擬!$B$9=2,MAX(R398,0),MAX(V397,FLOOR(MAX(R398,0),資金模擬!$B$6)))</f>
        <v/>
      </c>
      <c r="W398" s="10">
        <f>MAX(W397,R398)</f>
        <v/>
      </c>
      <c r="X398" s="4">
        <f>IF(W398&gt;0,R398/W398-1,-1)</f>
        <v/>
      </c>
      <c r="Y398" s="16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17" t="n">
        <v>0.11416</v>
      </c>
      <c r="H399" s="17" t="n">
        <v>0.1107352</v>
      </c>
      <c r="I399" s="17" t="n">
        <v>0.119868</v>
      </c>
      <c r="J399" s="17" t="n">
        <v>0.119868</v>
      </c>
      <c r="K399" s="2" t="inlineStr">
        <is>
          <t>止損</t>
        </is>
      </c>
      <c r="L399" s="5">
        <f>交易明細!K200</f>
        <v/>
      </c>
      <c r="M399" s="16">
        <f>M395</f>
        <v/>
      </c>
      <c r="N399" s="2">
        <f>N395</f>
        <v/>
      </c>
      <c r="O399" s="16">
        <f>O395</f>
        <v/>
      </c>
      <c r="P399" s="4">
        <f>交易明細!L200</f>
        <v/>
      </c>
      <c r="Q399" s="10">
        <f>IF(N399="已下單",O399*P399,0)</f>
        <v/>
      </c>
      <c r="R399" s="10">
        <f>R398+Q399</f>
        <v/>
      </c>
      <c r="S399" s="16">
        <f>S398-IF(N399="已下單",M399,0)</f>
        <v/>
      </c>
      <c r="T399" s="16">
        <f>R399-S399</f>
        <v/>
      </c>
      <c r="U399" s="2">
        <f>U398-IF(N399="已下單",1,0)</f>
        <v/>
      </c>
      <c r="V399" s="16">
        <f>IF(資金模擬!$B$9=2,MAX(R399,0),MAX(V398,FLOOR(MAX(R399,0),資金模擬!$B$6)))</f>
        <v/>
      </c>
      <c r="W399" s="10">
        <f>MAX(W398,R399)</f>
        <v/>
      </c>
      <c r="X399" s="4">
        <f>IF(W399&gt;0,R399/W399-1,-1)</f>
        <v/>
      </c>
      <c r="Y399" s="16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17" t="n">
        <v>0.003747</v>
      </c>
      <c r="H400" s="17" t="n">
        <v>0.00363459</v>
      </c>
      <c r="I400" s="17" t="n">
        <v>0.00393435</v>
      </c>
      <c r="J400" s="17" t="n"/>
      <c r="K400" s="2" t="n"/>
      <c r="L400" s="5" t="n"/>
      <c r="M400" s="16">
        <f>資金模擬!$B$5*V399</f>
        <v/>
      </c>
      <c r="N400" s="2">
        <f>IF(Z399=1,"已停止",IF(T399&gt;=M400,"已下單","資金不足略過"))</f>
        <v/>
      </c>
      <c r="O400" s="16">
        <f>IF(N400="已下單",M400*資金模擬!$B$7,0)</f>
        <v/>
      </c>
      <c r="P400" s="4" t="n"/>
      <c r="Q400" s="10" t="n">
        <v>0</v>
      </c>
      <c r="R400" s="10">
        <f>R399+Q400</f>
        <v/>
      </c>
      <c r="S400" s="16">
        <f>S399+IF(N400="已下單",M400,0)</f>
        <v/>
      </c>
      <c r="T400" s="16">
        <f>R400-S400</f>
        <v/>
      </c>
      <c r="U400" s="2">
        <f>U399+IF(N400="已下單",1,0)</f>
        <v/>
      </c>
      <c r="V400" s="16">
        <f>IF(資金模擬!$B$9=2,MAX(R400,0),MAX(V399,FLOOR(MAX(R400,0),資金模擬!$B$6)))</f>
        <v/>
      </c>
      <c r="W400" s="10">
        <f>MAX(W399,R400)</f>
        <v/>
      </c>
      <c r="X400" s="4">
        <f>IF(W400&gt;0,R400/W400-1,-1)</f>
        <v/>
      </c>
      <c r="Y400" s="16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17" t="n">
        <v>0.22444</v>
      </c>
      <c r="H401" s="17" t="n">
        <v>0.2177068</v>
      </c>
      <c r="I401" s="17" t="n">
        <v>0.235662</v>
      </c>
      <c r="J401" s="17" t="n"/>
      <c r="K401" s="2" t="n"/>
      <c r="L401" s="5" t="n"/>
      <c r="M401" s="16">
        <f>資金模擬!$B$5*V400</f>
        <v/>
      </c>
      <c r="N401" s="2">
        <f>IF(Z400=1,"已停止",IF(T400&gt;=M401,"已下單","資金不足略過"))</f>
        <v/>
      </c>
      <c r="O401" s="16">
        <f>IF(N401="已下單",M401*資金模擬!$B$7,0)</f>
        <v/>
      </c>
      <c r="P401" s="4" t="n"/>
      <c r="Q401" s="10" t="n">
        <v>0</v>
      </c>
      <c r="R401" s="10">
        <f>R400+Q401</f>
        <v/>
      </c>
      <c r="S401" s="16">
        <f>S400+IF(N401="已下單",M401,0)</f>
        <v/>
      </c>
      <c r="T401" s="16">
        <f>R401-S401</f>
        <v/>
      </c>
      <c r="U401" s="2">
        <f>U400+IF(N401="已下單",1,0)</f>
        <v/>
      </c>
      <c r="V401" s="16">
        <f>IF(資金模擬!$B$9=2,MAX(R401,0),MAX(V400,FLOOR(MAX(R401,0),資金模擬!$B$6)))</f>
        <v/>
      </c>
      <c r="W401" s="10">
        <f>MAX(W400,R401)</f>
        <v/>
      </c>
      <c r="X401" s="4">
        <f>IF(W401&gt;0,R401/W401-1,-1)</f>
        <v/>
      </c>
      <c r="Y401" s="16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17" t="n">
        <v>1.261</v>
      </c>
      <c r="H402" s="17" t="n">
        <v>1.22317</v>
      </c>
      <c r="I402" s="17" t="n">
        <v>1.32405</v>
      </c>
      <c r="J402" s="17" t="n">
        <v>1.22317</v>
      </c>
      <c r="K402" s="2" t="inlineStr">
        <is>
          <t>止盈</t>
        </is>
      </c>
      <c r="L402" s="5">
        <f>交易明細!K201</f>
        <v/>
      </c>
      <c r="M402" s="16">
        <f>M396</f>
        <v/>
      </c>
      <c r="N402" s="2">
        <f>N396</f>
        <v/>
      </c>
      <c r="O402" s="16">
        <f>O396</f>
        <v/>
      </c>
      <c r="P402" s="4">
        <f>交易明細!L201</f>
        <v/>
      </c>
      <c r="Q402" s="10">
        <f>IF(N402="已下單",O402*P402,0)</f>
        <v/>
      </c>
      <c r="R402" s="10">
        <f>R401+Q402</f>
        <v/>
      </c>
      <c r="S402" s="16">
        <f>S401-IF(N402="已下單",M402,0)</f>
        <v/>
      </c>
      <c r="T402" s="16">
        <f>R402-S402</f>
        <v/>
      </c>
      <c r="U402" s="2">
        <f>U401-IF(N402="已下單",1,0)</f>
        <v/>
      </c>
      <c r="V402" s="16">
        <f>IF(資金模擬!$B$9=2,MAX(R402,0),MAX(V401,FLOOR(MAX(R402,0),資金模擬!$B$6)))</f>
        <v/>
      </c>
      <c r="W402" s="10">
        <f>MAX(W401,R402)</f>
        <v/>
      </c>
      <c r="X402" s="4">
        <f>IF(W402&gt;0,R402/W402-1,-1)</f>
        <v/>
      </c>
      <c r="Y402" s="16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17" t="n">
        <v>0.06694</v>
      </c>
      <c r="H403" s="17" t="n">
        <v>0.0649318</v>
      </c>
      <c r="I403" s="17" t="n">
        <v>0.070287</v>
      </c>
      <c r="J403" s="17" t="n"/>
      <c r="K403" s="2" t="n"/>
      <c r="L403" s="5" t="n"/>
      <c r="M403" s="16">
        <f>資金模擬!$B$5*V402</f>
        <v/>
      </c>
      <c r="N403" s="2">
        <f>IF(Z402=1,"已停止",IF(T402&gt;=M403,"已下單","資金不足略過"))</f>
        <v/>
      </c>
      <c r="O403" s="16">
        <f>IF(N403="已下單",M403*資金模擬!$B$7,0)</f>
        <v/>
      </c>
      <c r="P403" s="4" t="n"/>
      <c r="Q403" s="10" t="n">
        <v>0</v>
      </c>
      <c r="R403" s="10">
        <f>R402+Q403</f>
        <v/>
      </c>
      <c r="S403" s="16">
        <f>S402+IF(N403="已下單",M403,0)</f>
        <v/>
      </c>
      <c r="T403" s="16">
        <f>R403-S403</f>
        <v/>
      </c>
      <c r="U403" s="2">
        <f>U402+IF(N403="已下單",1,0)</f>
        <v/>
      </c>
      <c r="V403" s="16">
        <f>IF(資金模擬!$B$9=2,MAX(R403,0),MAX(V402,FLOOR(MAX(R403,0),資金模擬!$B$6)))</f>
        <v/>
      </c>
      <c r="W403" s="10">
        <f>MAX(W402,R403)</f>
        <v/>
      </c>
      <c r="X403" s="4">
        <f>IF(W403&gt;0,R403/W403-1,-1)</f>
        <v/>
      </c>
      <c r="Y403" s="16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17" t="n">
        <v>22.673</v>
      </c>
      <c r="H404" s="17" t="n">
        <v>21.99281</v>
      </c>
      <c r="I404" s="17" t="n">
        <v>23.80665</v>
      </c>
      <c r="J404" s="17" t="n"/>
      <c r="K404" s="2" t="n"/>
      <c r="L404" s="5" t="n"/>
      <c r="M404" s="16">
        <f>資金模擬!$B$5*V403</f>
        <v/>
      </c>
      <c r="N404" s="2">
        <f>IF(Z403=1,"已停止",IF(T403&gt;=M404,"已下單","資金不足略過"))</f>
        <v/>
      </c>
      <c r="O404" s="16">
        <f>IF(N404="已下單",M404*資金模擬!$B$7,0)</f>
        <v/>
      </c>
      <c r="P404" s="4" t="n"/>
      <c r="Q404" s="10" t="n">
        <v>0</v>
      </c>
      <c r="R404" s="10">
        <f>R403+Q404</f>
        <v/>
      </c>
      <c r="S404" s="16">
        <f>S403+IF(N404="已下單",M404,0)</f>
        <v/>
      </c>
      <c r="T404" s="16">
        <f>R404-S404</f>
        <v/>
      </c>
      <c r="U404" s="2">
        <f>U403+IF(N404="已下單",1,0)</f>
        <v/>
      </c>
      <c r="V404" s="16">
        <f>IF(資金模擬!$B$9=2,MAX(R404,0),MAX(V403,FLOOR(MAX(R404,0),資金模擬!$B$6)))</f>
        <v/>
      </c>
      <c r="W404" s="10">
        <f>MAX(W403,R404)</f>
        <v/>
      </c>
      <c r="X404" s="4">
        <f>IF(W404&gt;0,R404/W404-1,-1)</f>
        <v/>
      </c>
      <c r="Y404" s="16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17" t="n">
        <v>0.13497</v>
      </c>
      <c r="H405" s="17" t="n">
        <v>0.1309209</v>
      </c>
      <c r="I405" s="17" t="n">
        <v>0.1417185</v>
      </c>
      <c r="J405" s="17" t="n"/>
      <c r="K405" s="2" t="n"/>
      <c r="L405" s="5" t="n"/>
      <c r="M405" s="16">
        <f>資金模擬!$B$5*V404</f>
        <v/>
      </c>
      <c r="N405" s="2">
        <f>IF(Z404=1,"已停止",IF(T404&gt;=M405,"已下單","資金不足略過"))</f>
        <v/>
      </c>
      <c r="O405" s="16">
        <f>IF(N405="已下單",M405*資金模擬!$B$7,0)</f>
        <v/>
      </c>
      <c r="P405" s="4" t="n"/>
      <c r="Q405" s="10" t="n">
        <v>0</v>
      </c>
      <c r="R405" s="10">
        <f>R404+Q405</f>
        <v/>
      </c>
      <c r="S405" s="16">
        <f>S404+IF(N405="已下單",M405,0)</f>
        <v/>
      </c>
      <c r="T405" s="16">
        <f>R405-S405</f>
        <v/>
      </c>
      <c r="U405" s="2">
        <f>U404+IF(N405="已下單",1,0)</f>
        <v/>
      </c>
      <c r="V405" s="16">
        <f>IF(資金模擬!$B$9=2,MAX(R405,0),MAX(V404,FLOOR(MAX(R405,0),資金模擬!$B$6)))</f>
        <v/>
      </c>
      <c r="W405" s="10">
        <f>MAX(W404,R405)</f>
        <v/>
      </c>
      <c r="X405" s="4">
        <f>IF(W405&gt;0,R405/W405-1,-1)</f>
        <v/>
      </c>
      <c r="Y405" s="16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17" t="n">
        <v>0.003747</v>
      </c>
      <c r="H406" s="17" t="n">
        <v>0.00363459</v>
      </c>
      <c r="I406" s="17" t="n">
        <v>0.00393435</v>
      </c>
      <c r="J406" s="17" t="n">
        <v>0.00363459</v>
      </c>
      <c r="K406" s="2" t="inlineStr">
        <is>
          <t>止盈</t>
        </is>
      </c>
      <c r="L406" s="5">
        <f>交易明細!K202</f>
        <v/>
      </c>
      <c r="M406" s="16">
        <f>M400</f>
        <v/>
      </c>
      <c r="N406" s="2">
        <f>N400</f>
        <v/>
      </c>
      <c r="O406" s="16">
        <f>O400</f>
        <v/>
      </c>
      <c r="P406" s="4">
        <f>交易明細!L202</f>
        <v/>
      </c>
      <c r="Q406" s="10">
        <f>IF(N406="已下單",O406*P406,0)</f>
        <v/>
      </c>
      <c r="R406" s="10">
        <f>R405+Q406</f>
        <v/>
      </c>
      <c r="S406" s="16">
        <f>S405-IF(N406="已下單",M406,0)</f>
        <v/>
      </c>
      <c r="T406" s="16">
        <f>R406-S406</f>
        <v/>
      </c>
      <c r="U406" s="2">
        <f>U405-IF(N406="已下單",1,0)</f>
        <v/>
      </c>
      <c r="V406" s="16">
        <f>IF(資金模擬!$B$9=2,MAX(R406,0),MAX(V405,FLOOR(MAX(R406,0),資金模擬!$B$6)))</f>
        <v/>
      </c>
      <c r="W406" s="10">
        <f>MAX(W405,R406)</f>
        <v/>
      </c>
      <c r="X406" s="4">
        <f>IF(W406&gt;0,R406/W406-1,-1)</f>
        <v/>
      </c>
      <c r="Y406" s="16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17" t="n">
        <v>0.13497</v>
      </c>
      <c r="H407" s="17" t="n">
        <v>0.1309209</v>
      </c>
      <c r="I407" s="17" t="n">
        <v>0.1417185</v>
      </c>
      <c r="J407" s="17" t="n">
        <v>0.1309209</v>
      </c>
      <c r="K407" s="2" t="inlineStr">
        <is>
          <t>止盈</t>
        </is>
      </c>
      <c r="L407" s="5">
        <f>交易明細!K206</f>
        <v/>
      </c>
      <c r="M407" s="16">
        <f>M405</f>
        <v/>
      </c>
      <c r="N407" s="2">
        <f>N405</f>
        <v/>
      </c>
      <c r="O407" s="16">
        <f>O405</f>
        <v/>
      </c>
      <c r="P407" s="4">
        <f>交易明細!L206</f>
        <v/>
      </c>
      <c r="Q407" s="10">
        <f>IF(N407="已下單",O407*P407,0)</f>
        <v/>
      </c>
      <c r="R407" s="10">
        <f>R406+Q407</f>
        <v/>
      </c>
      <c r="S407" s="16">
        <f>S406-IF(N407="已下單",M407,0)</f>
        <v/>
      </c>
      <c r="T407" s="16">
        <f>R407-S407</f>
        <v/>
      </c>
      <c r="U407" s="2">
        <f>U406-IF(N407="已下單",1,0)</f>
        <v/>
      </c>
      <c r="V407" s="16">
        <f>IF(資金模擬!$B$9=2,MAX(R407,0),MAX(V406,FLOOR(MAX(R407,0),資金模擬!$B$6)))</f>
        <v/>
      </c>
      <c r="W407" s="10">
        <f>MAX(W406,R407)</f>
        <v/>
      </c>
      <c r="X407" s="4">
        <f>IF(W407&gt;0,R407/W407-1,-1)</f>
        <v/>
      </c>
      <c r="Y407" s="16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17" t="n">
        <v>0.22444</v>
      </c>
      <c r="H408" s="17" t="n">
        <v>0.2177068</v>
      </c>
      <c r="I408" s="17" t="n">
        <v>0.235662</v>
      </c>
      <c r="J408" s="17" t="n">
        <v>0.2177068</v>
      </c>
      <c r="K408" s="2" t="inlineStr">
        <is>
          <t>止盈</t>
        </is>
      </c>
      <c r="L408" s="5">
        <f>交易明細!K203</f>
        <v/>
      </c>
      <c r="M408" s="16">
        <f>M401</f>
        <v/>
      </c>
      <c r="N408" s="2">
        <f>N401</f>
        <v/>
      </c>
      <c r="O408" s="16">
        <f>O401</f>
        <v/>
      </c>
      <c r="P408" s="4">
        <f>交易明細!L203</f>
        <v/>
      </c>
      <c r="Q408" s="10">
        <f>IF(N408="已下單",O408*P408,0)</f>
        <v/>
      </c>
      <c r="R408" s="10">
        <f>R407+Q408</f>
        <v/>
      </c>
      <c r="S408" s="16">
        <f>S407-IF(N408="已下單",M408,0)</f>
        <v/>
      </c>
      <c r="T408" s="16">
        <f>R408-S408</f>
        <v/>
      </c>
      <c r="U408" s="2">
        <f>U407-IF(N408="已下單",1,0)</f>
        <v/>
      </c>
      <c r="V408" s="16">
        <f>IF(資金模擬!$B$9=2,MAX(R408,0),MAX(V407,FLOOR(MAX(R408,0),資金模擬!$B$6)))</f>
        <v/>
      </c>
      <c r="W408" s="10">
        <f>MAX(W407,R408)</f>
        <v/>
      </c>
      <c r="X408" s="4">
        <f>IF(W408&gt;0,R408/W408-1,-1)</f>
        <v/>
      </c>
      <c r="Y408" s="16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17" t="n">
        <v>0.06694</v>
      </c>
      <c r="H409" s="17" t="n">
        <v>0.0649318</v>
      </c>
      <c r="I409" s="17" t="n">
        <v>0.070287</v>
      </c>
      <c r="J409" s="17" t="n">
        <v>0.0649318</v>
      </c>
      <c r="K409" s="2" t="inlineStr">
        <is>
          <t>止盈</t>
        </is>
      </c>
      <c r="L409" s="5">
        <f>交易明細!K204</f>
        <v/>
      </c>
      <c r="M409" s="16">
        <f>M403</f>
        <v/>
      </c>
      <c r="N409" s="2">
        <f>N403</f>
        <v/>
      </c>
      <c r="O409" s="16">
        <f>O403</f>
        <v/>
      </c>
      <c r="P409" s="4">
        <f>交易明細!L204</f>
        <v/>
      </c>
      <c r="Q409" s="10">
        <f>IF(N409="已下單",O409*P409,0)</f>
        <v/>
      </c>
      <c r="R409" s="10">
        <f>R408+Q409</f>
        <v/>
      </c>
      <c r="S409" s="16">
        <f>S408-IF(N409="已下單",M409,0)</f>
        <v/>
      </c>
      <c r="T409" s="16">
        <f>R409-S409</f>
        <v/>
      </c>
      <c r="U409" s="2">
        <f>U408-IF(N409="已下單",1,0)</f>
        <v/>
      </c>
      <c r="V409" s="16">
        <f>IF(資金模擬!$B$9=2,MAX(R409,0),MAX(V408,FLOOR(MAX(R409,0),資金模擬!$B$6)))</f>
        <v/>
      </c>
      <c r="W409" s="10">
        <f>MAX(W408,R409)</f>
        <v/>
      </c>
      <c r="X409" s="4">
        <f>IF(W409&gt;0,R409/W409-1,-1)</f>
        <v/>
      </c>
      <c r="Y409" s="16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17" t="n">
        <v>0.1418</v>
      </c>
      <c r="H410" s="17" t="n">
        <v>0.137546</v>
      </c>
      <c r="I410" s="17" t="n">
        <v>0.14889</v>
      </c>
      <c r="J410" s="17" t="n">
        <v>0.137546</v>
      </c>
      <c r="K410" s="2" t="inlineStr">
        <is>
          <t>止盈</t>
        </is>
      </c>
      <c r="L410" s="5">
        <f>交易明細!K179</f>
        <v/>
      </c>
      <c r="M410" s="16">
        <f>M355</f>
        <v/>
      </c>
      <c r="N410" s="2">
        <f>N355</f>
        <v/>
      </c>
      <c r="O410" s="16">
        <f>O355</f>
        <v/>
      </c>
      <c r="P410" s="4">
        <f>交易明細!L179</f>
        <v/>
      </c>
      <c r="Q410" s="10">
        <f>IF(N410="已下單",O410*P410,0)</f>
        <v/>
      </c>
      <c r="R410" s="10">
        <f>R409+Q410</f>
        <v/>
      </c>
      <c r="S410" s="16">
        <f>S409-IF(N410="已下單",M410,0)</f>
        <v/>
      </c>
      <c r="T410" s="16">
        <f>R410-S410</f>
        <v/>
      </c>
      <c r="U410" s="2">
        <f>U409-IF(N410="已下單",1,0)</f>
        <v/>
      </c>
      <c r="V410" s="16">
        <f>IF(資金模擬!$B$9=2,MAX(R410,0),MAX(V409,FLOOR(MAX(R410,0),資金模擬!$B$6)))</f>
        <v/>
      </c>
      <c r="W410" s="10">
        <f>MAX(W409,R410)</f>
        <v/>
      </c>
      <c r="X410" s="4">
        <f>IF(W410&gt;0,R410/W410-1,-1)</f>
        <v/>
      </c>
      <c r="Y410" s="16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17" t="n">
        <v>22.673</v>
      </c>
      <c r="H411" s="17" t="n">
        <v>21.99281</v>
      </c>
      <c r="I411" s="17" t="n">
        <v>23.80665</v>
      </c>
      <c r="J411" s="17" t="n">
        <v>21.99281</v>
      </c>
      <c r="K411" s="2" t="inlineStr">
        <is>
          <t>止盈</t>
        </is>
      </c>
      <c r="L411" s="5">
        <f>交易明細!K205</f>
        <v/>
      </c>
      <c r="M411" s="16">
        <f>M404</f>
        <v/>
      </c>
      <c r="N411" s="2">
        <f>N404</f>
        <v/>
      </c>
      <c r="O411" s="16">
        <f>O404</f>
        <v/>
      </c>
      <c r="P411" s="4">
        <f>交易明細!L205</f>
        <v/>
      </c>
      <c r="Q411" s="10">
        <f>IF(N411="已下單",O411*P411,0)</f>
        <v/>
      </c>
      <c r="R411" s="10">
        <f>R410+Q411</f>
        <v/>
      </c>
      <c r="S411" s="16">
        <f>S410-IF(N411="已下單",M411,0)</f>
        <v/>
      </c>
      <c r="T411" s="16">
        <f>R411-S411</f>
        <v/>
      </c>
      <c r="U411" s="2">
        <f>U410-IF(N411="已下單",1,0)</f>
        <v/>
      </c>
      <c r="V411" s="16">
        <f>IF(資金模擬!$B$9=2,MAX(R411,0),MAX(V410,FLOOR(MAX(R411,0),資金模擬!$B$6)))</f>
        <v/>
      </c>
      <c r="W411" s="10">
        <f>MAX(W410,R411)</f>
        <v/>
      </c>
      <c r="X411" s="4">
        <f>IF(W411&gt;0,R411/W411-1,-1)</f>
        <v/>
      </c>
      <c r="Y411" s="16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17" t="n">
        <v>0.06630999999999999</v>
      </c>
      <c r="H412" s="17" t="n">
        <v>0.06432069999999999</v>
      </c>
      <c r="I412" s="17" t="n">
        <v>0.06962549999999999</v>
      </c>
      <c r="J412" s="17" t="n"/>
      <c r="K412" s="2" t="n"/>
      <c r="L412" s="5" t="n"/>
      <c r="M412" s="16">
        <f>資金模擬!$B$5*V411</f>
        <v/>
      </c>
      <c r="N412" s="2">
        <f>IF(Z411=1,"已停止",IF(T411&gt;=M412,"已下單","資金不足略過"))</f>
        <v/>
      </c>
      <c r="O412" s="16">
        <f>IF(N412="已下單",M412*資金模擬!$B$7,0)</f>
        <v/>
      </c>
      <c r="P412" s="4" t="n"/>
      <c r="Q412" s="10" t="n">
        <v>0</v>
      </c>
      <c r="R412" s="10">
        <f>R411+Q412</f>
        <v/>
      </c>
      <c r="S412" s="16">
        <f>S411+IF(N412="已下單",M412,0)</f>
        <v/>
      </c>
      <c r="T412" s="16">
        <f>R412-S412</f>
        <v/>
      </c>
      <c r="U412" s="2">
        <f>U411+IF(N412="已下單",1,0)</f>
        <v/>
      </c>
      <c r="V412" s="16">
        <f>IF(資金模擬!$B$9=2,MAX(R412,0),MAX(V411,FLOOR(MAX(R412,0),資金模擬!$B$6)))</f>
        <v/>
      </c>
      <c r="W412" s="10">
        <f>MAX(W411,R412)</f>
        <v/>
      </c>
      <c r="X412" s="4">
        <f>IF(W412&gt;0,R412/W412-1,-1)</f>
        <v/>
      </c>
      <c r="Y412" s="16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17" t="n">
        <v>0.06630999999999999</v>
      </c>
      <c r="H413" s="17" t="n">
        <v>0.06432069999999999</v>
      </c>
      <c r="I413" s="17" t="n">
        <v>0.06962549999999999</v>
      </c>
      <c r="J413" s="17" t="n">
        <v>0.06962549999999999</v>
      </c>
      <c r="K413" s="2" t="inlineStr">
        <is>
          <t>止損</t>
        </is>
      </c>
      <c r="L413" s="5">
        <f>交易明細!K207</f>
        <v/>
      </c>
      <c r="M413" s="16">
        <f>M412</f>
        <v/>
      </c>
      <c r="N413" s="2">
        <f>N412</f>
        <v/>
      </c>
      <c r="O413" s="16">
        <f>O412</f>
        <v/>
      </c>
      <c r="P413" s="4">
        <f>交易明細!L207</f>
        <v/>
      </c>
      <c r="Q413" s="10">
        <f>IF(N413="已下單",O413*P413,0)</f>
        <v/>
      </c>
      <c r="R413" s="10">
        <f>R412+Q413</f>
        <v/>
      </c>
      <c r="S413" s="16">
        <f>S412-IF(N413="已下單",M413,0)</f>
        <v/>
      </c>
      <c r="T413" s="16">
        <f>R413-S413</f>
        <v/>
      </c>
      <c r="U413" s="2">
        <f>U412-IF(N413="已下單",1,0)</f>
        <v/>
      </c>
      <c r="V413" s="16">
        <f>IF(資金模擬!$B$9=2,MAX(R413,0),MAX(V412,FLOOR(MAX(R413,0),資金模擬!$B$6)))</f>
        <v/>
      </c>
      <c r="W413" s="10">
        <f>MAX(W412,R413)</f>
        <v/>
      </c>
      <c r="X413" s="4">
        <f>IF(W413&gt;0,R413/W413-1,-1)</f>
        <v/>
      </c>
      <c r="Y413" s="16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17" t="n">
        <v>0.003569</v>
      </c>
      <c r="H414" s="17" t="n">
        <v>0.00346193</v>
      </c>
      <c r="I414" s="17" t="n">
        <v>0.00374745</v>
      </c>
      <c r="J414" s="17" t="n"/>
      <c r="K414" s="2" t="n"/>
      <c r="L414" s="5" t="n"/>
      <c r="M414" s="16">
        <f>資金模擬!$B$5*V413</f>
        <v/>
      </c>
      <c r="N414" s="2">
        <f>IF(Z413=1,"已停止",IF(T413&gt;=M414,"已下單","資金不足略過"))</f>
        <v/>
      </c>
      <c r="O414" s="16">
        <f>IF(N414="已下單",M414*資金模擬!$B$7,0)</f>
        <v/>
      </c>
      <c r="P414" s="4" t="n"/>
      <c r="Q414" s="10" t="n">
        <v>0</v>
      </c>
      <c r="R414" s="10">
        <f>R413+Q414</f>
        <v/>
      </c>
      <c r="S414" s="16">
        <f>S413+IF(N414="已下單",M414,0)</f>
        <v/>
      </c>
      <c r="T414" s="16">
        <f>R414-S414</f>
        <v/>
      </c>
      <c r="U414" s="2">
        <f>U413+IF(N414="已下單",1,0)</f>
        <v/>
      </c>
      <c r="V414" s="16">
        <f>IF(資金模擬!$B$9=2,MAX(R414,0),MAX(V413,FLOOR(MAX(R414,0),資金模擬!$B$6)))</f>
        <v/>
      </c>
      <c r="W414" s="10">
        <f>MAX(W413,R414)</f>
        <v/>
      </c>
      <c r="X414" s="4">
        <f>IF(W414&gt;0,R414/W414-1,-1)</f>
        <v/>
      </c>
      <c r="Y414" s="16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17" t="n">
        <v>0.06729</v>
      </c>
      <c r="H415" s="17" t="n">
        <v>0.0652713</v>
      </c>
      <c r="I415" s="17" t="n">
        <v>0.07065450000000001</v>
      </c>
      <c r="J415" s="17" t="n"/>
      <c r="K415" s="2" t="n"/>
      <c r="L415" s="5" t="n"/>
      <c r="M415" s="16">
        <f>資金模擬!$B$5*V414</f>
        <v/>
      </c>
      <c r="N415" s="2">
        <f>IF(Z414=1,"已停止",IF(T414&gt;=M415,"已下單","資金不足略過"))</f>
        <v/>
      </c>
      <c r="O415" s="16">
        <f>IF(N415="已下單",M415*資金模擬!$B$7,0)</f>
        <v/>
      </c>
      <c r="P415" s="4" t="n"/>
      <c r="Q415" s="10" t="n">
        <v>0</v>
      </c>
      <c r="R415" s="10">
        <f>R414+Q415</f>
        <v/>
      </c>
      <c r="S415" s="16">
        <f>S414+IF(N415="已下單",M415,0)</f>
        <v/>
      </c>
      <c r="T415" s="16">
        <f>R415-S415</f>
        <v/>
      </c>
      <c r="U415" s="2">
        <f>U414+IF(N415="已下單",1,0)</f>
        <v/>
      </c>
      <c r="V415" s="16">
        <f>IF(資金模擬!$B$9=2,MAX(R415,0),MAX(V414,FLOOR(MAX(R415,0),資金模擬!$B$6)))</f>
        <v/>
      </c>
      <c r="W415" s="10">
        <f>MAX(W414,R415)</f>
        <v/>
      </c>
      <c r="X415" s="4">
        <f>IF(W415&gt;0,R415/W415-1,-1)</f>
        <v/>
      </c>
      <c r="Y415" s="16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17" t="n">
        <v>0.06729</v>
      </c>
      <c r="H416" s="17" t="n">
        <v>0.0652713</v>
      </c>
      <c r="I416" s="17" t="n">
        <v>0.07065450000000001</v>
      </c>
      <c r="J416" s="17" t="n">
        <v>0.0652713</v>
      </c>
      <c r="K416" s="2" t="inlineStr">
        <is>
          <t>止盈</t>
        </is>
      </c>
      <c r="L416" s="5">
        <f>交易明細!K209</f>
        <v/>
      </c>
      <c r="M416" s="16">
        <f>M415</f>
        <v/>
      </c>
      <c r="N416" s="2">
        <f>N415</f>
        <v/>
      </c>
      <c r="O416" s="16">
        <f>O415</f>
        <v/>
      </c>
      <c r="P416" s="4">
        <f>交易明細!L209</f>
        <v/>
      </c>
      <c r="Q416" s="10">
        <f>IF(N416="已下單",O416*P416,0)</f>
        <v/>
      </c>
      <c r="R416" s="10">
        <f>R415+Q416</f>
        <v/>
      </c>
      <c r="S416" s="16">
        <f>S415-IF(N416="已下單",M416,0)</f>
        <v/>
      </c>
      <c r="T416" s="16">
        <f>R416-S416</f>
        <v/>
      </c>
      <c r="U416" s="2">
        <f>U415-IF(N416="已下單",1,0)</f>
        <v/>
      </c>
      <c r="V416" s="16">
        <f>IF(資金模擬!$B$9=2,MAX(R416,0),MAX(V415,FLOOR(MAX(R416,0),資金模擬!$B$6)))</f>
        <v/>
      </c>
      <c r="W416" s="10">
        <f>MAX(W415,R416)</f>
        <v/>
      </c>
      <c r="X416" s="4">
        <f>IF(W416&gt;0,R416/W416-1,-1)</f>
        <v/>
      </c>
      <c r="Y416" s="16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17" t="n">
        <v>0.21683</v>
      </c>
      <c r="H417" s="17" t="n">
        <v>0.2103251</v>
      </c>
      <c r="I417" s="17" t="n">
        <v>0.2276715</v>
      </c>
      <c r="J417" s="17" t="n"/>
      <c r="K417" s="2" t="n"/>
      <c r="L417" s="5" t="n"/>
      <c r="M417" s="16">
        <f>資金模擬!$B$5*V416</f>
        <v/>
      </c>
      <c r="N417" s="2">
        <f>IF(Z416=1,"已停止",IF(T416&gt;=M417,"已下單","資金不足略過"))</f>
        <v/>
      </c>
      <c r="O417" s="16">
        <f>IF(N417="已下單",M417*資金模擬!$B$7,0)</f>
        <v/>
      </c>
      <c r="P417" s="4" t="n"/>
      <c r="Q417" s="10" t="n">
        <v>0</v>
      </c>
      <c r="R417" s="10">
        <f>R416+Q417</f>
        <v/>
      </c>
      <c r="S417" s="16">
        <f>S416+IF(N417="已下單",M417,0)</f>
        <v/>
      </c>
      <c r="T417" s="16">
        <f>R417-S417</f>
        <v/>
      </c>
      <c r="U417" s="2">
        <f>U416+IF(N417="已下單",1,0)</f>
        <v/>
      </c>
      <c r="V417" s="16">
        <f>IF(資金模擬!$B$9=2,MAX(R417,0),MAX(V416,FLOOR(MAX(R417,0),資金模擬!$B$6)))</f>
        <v/>
      </c>
      <c r="W417" s="10">
        <f>MAX(W416,R417)</f>
        <v/>
      </c>
      <c r="X417" s="4">
        <f>IF(W417&gt;0,R417/W417-1,-1)</f>
        <v/>
      </c>
      <c r="Y417" s="16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17" t="n">
        <v>21.468</v>
      </c>
      <c r="H418" s="17" t="n">
        <v>20.82396</v>
      </c>
      <c r="I418" s="17" t="n">
        <v>22.5414</v>
      </c>
      <c r="J418" s="17" t="n"/>
      <c r="K418" s="2" t="n"/>
      <c r="L418" s="5" t="n"/>
      <c r="M418" s="16">
        <f>資金模擬!$B$5*V417</f>
        <v/>
      </c>
      <c r="N418" s="2">
        <f>IF(Z417=1,"已停止",IF(T417&gt;=M418,"已下單","資金不足略過"))</f>
        <v/>
      </c>
      <c r="O418" s="16">
        <f>IF(N418="已下單",M418*資金模擬!$B$7,0)</f>
        <v/>
      </c>
      <c r="P418" s="4" t="n"/>
      <c r="Q418" s="10" t="n">
        <v>0</v>
      </c>
      <c r="R418" s="10">
        <f>R417+Q418</f>
        <v/>
      </c>
      <c r="S418" s="16">
        <f>S417+IF(N418="已下單",M418,0)</f>
        <v/>
      </c>
      <c r="T418" s="16">
        <f>R418-S418</f>
        <v/>
      </c>
      <c r="U418" s="2">
        <f>U417+IF(N418="已下單",1,0)</f>
        <v/>
      </c>
      <c r="V418" s="16">
        <f>IF(資金模擬!$B$9=2,MAX(R418,0),MAX(V417,FLOOR(MAX(R418,0),資金模擬!$B$6)))</f>
        <v/>
      </c>
      <c r="W418" s="10">
        <f>MAX(W417,R418)</f>
        <v/>
      </c>
      <c r="X418" s="4">
        <f>IF(W418&gt;0,R418/W418-1,-1)</f>
        <v/>
      </c>
      <c r="Y418" s="16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17" t="n">
        <v>0.003569</v>
      </c>
      <c r="H419" s="17" t="n">
        <v>0.00346193</v>
      </c>
      <c r="I419" s="17" t="n">
        <v>0.00374745</v>
      </c>
      <c r="J419" s="17" t="n">
        <v>0.00346193</v>
      </c>
      <c r="K419" s="2" t="inlineStr">
        <is>
          <t>止盈</t>
        </is>
      </c>
      <c r="L419" s="5">
        <f>交易明細!K208</f>
        <v/>
      </c>
      <c r="M419" s="16">
        <f>M414</f>
        <v/>
      </c>
      <c r="N419" s="2">
        <f>N414</f>
        <v/>
      </c>
      <c r="O419" s="16">
        <f>O414</f>
        <v/>
      </c>
      <c r="P419" s="4">
        <f>交易明細!L208</f>
        <v/>
      </c>
      <c r="Q419" s="10">
        <f>IF(N419="已下單",O419*P419,0)</f>
        <v/>
      </c>
      <c r="R419" s="10">
        <f>R418+Q419</f>
        <v/>
      </c>
      <c r="S419" s="16">
        <f>S418-IF(N419="已下單",M419,0)</f>
        <v/>
      </c>
      <c r="T419" s="16">
        <f>R419-S419</f>
        <v/>
      </c>
      <c r="U419" s="2">
        <f>U418-IF(N419="已下單",1,0)</f>
        <v/>
      </c>
      <c r="V419" s="16">
        <f>IF(資金模擬!$B$9=2,MAX(R419,0),MAX(V418,FLOOR(MAX(R419,0),資金模擬!$B$6)))</f>
        <v/>
      </c>
      <c r="W419" s="10">
        <f>MAX(W418,R419)</f>
        <v/>
      </c>
      <c r="X419" s="4">
        <f>IF(W419&gt;0,R419/W419-1,-1)</f>
        <v/>
      </c>
      <c r="Y419" s="16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17" t="n">
        <v>0.21683</v>
      </c>
      <c r="H420" s="17" t="n">
        <v>0.2103251</v>
      </c>
      <c r="I420" s="17" t="n">
        <v>0.2276715</v>
      </c>
      <c r="J420" s="17" t="n">
        <v>0.2103251</v>
      </c>
      <c r="K420" s="2" t="inlineStr">
        <is>
          <t>止盈</t>
        </is>
      </c>
      <c r="L420" s="5">
        <f>交易明細!K210</f>
        <v/>
      </c>
      <c r="M420" s="16">
        <f>M417</f>
        <v/>
      </c>
      <c r="N420" s="2">
        <f>N417</f>
        <v/>
      </c>
      <c r="O420" s="16">
        <f>O417</f>
        <v/>
      </c>
      <c r="P420" s="4">
        <f>交易明細!L210</f>
        <v/>
      </c>
      <c r="Q420" s="10">
        <f>IF(N420="已下單",O420*P420,0)</f>
        <v/>
      </c>
      <c r="R420" s="10">
        <f>R419+Q420</f>
        <v/>
      </c>
      <c r="S420" s="16">
        <f>S419-IF(N420="已下單",M420,0)</f>
        <v/>
      </c>
      <c r="T420" s="16">
        <f>R420-S420</f>
        <v/>
      </c>
      <c r="U420" s="2">
        <f>U419-IF(N420="已下單",1,0)</f>
        <v/>
      </c>
      <c r="V420" s="16">
        <f>IF(資金模擬!$B$9=2,MAX(R420,0),MAX(V419,FLOOR(MAX(R420,0),資金模擬!$B$6)))</f>
        <v/>
      </c>
      <c r="W420" s="10">
        <f>MAX(W419,R420)</f>
        <v/>
      </c>
      <c r="X420" s="4">
        <f>IF(W420&gt;0,R420/W420-1,-1)</f>
        <v/>
      </c>
      <c r="Y420" s="16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17" t="n">
        <v>0.70762</v>
      </c>
      <c r="H421" s="17" t="n">
        <v>0.7288486000000001</v>
      </c>
      <c r="I421" s="17" t="n">
        <v>0.672239</v>
      </c>
      <c r="J421" s="17" t="n"/>
      <c r="K421" s="2" t="n"/>
      <c r="L421" s="5" t="n"/>
      <c r="M421" s="16">
        <f>資金模擬!$B$5*V420</f>
        <v/>
      </c>
      <c r="N421" s="2">
        <f>IF(Z420=1,"已停止",IF(T420&gt;=M421,"已下單","資金不足略過"))</f>
        <v/>
      </c>
      <c r="O421" s="16">
        <f>IF(N421="已下單",M421*資金模擬!$B$7,0)</f>
        <v/>
      </c>
      <c r="P421" s="4" t="n"/>
      <c r="Q421" s="10" t="n">
        <v>0</v>
      </c>
      <c r="R421" s="10">
        <f>R420+Q421</f>
        <v/>
      </c>
      <c r="S421" s="16">
        <f>S420+IF(N421="已下單",M421,0)</f>
        <v/>
      </c>
      <c r="T421" s="16">
        <f>R421-S421</f>
        <v/>
      </c>
      <c r="U421" s="2">
        <f>U420+IF(N421="已下單",1,0)</f>
        <v/>
      </c>
      <c r="V421" s="16">
        <f>IF(資金模擬!$B$9=2,MAX(R421,0),MAX(V420,FLOOR(MAX(R421,0),資金模擬!$B$6)))</f>
        <v/>
      </c>
      <c r="W421" s="10">
        <f>MAX(W420,R421)</f>
        <v/>
      </c>
      <c r="X421" s="4">
        <f>IF(W421&gt;0,R421/W421-1,-1)</f>
        <v/>
      </c>
      <c r="Y421" s="16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17" t="n">
        <v>21.468</v>
      </c>
      <c r="H422" s="17" t="n">
        <v>20.82396</v>
      </c>
      <c r="I422" s="17" t="n">
        <v>22.5414</v>
      </c>
      <c r="J422" s="17" t="n">
        <v>22.5414</v>
      </c>
      <c r="K422" s="2" t="inlineStr">
        <is>
          <t>止損</t>
        </is>
      </c>
      <c r="L422" s="5">
        <f>交易明細!K211</f>
        <v/>
      </c>
      <c r="M422" s="16">
        <f>M418</f>
        <v/>
      </c>
      <c r="N422" s="2">
        <f>N418</f>
        <v/>
      </c>
      <c r="O422" s="16">
        <f>O418</f>
        <v/>
      </c>
      <c r="P422" s="4">
        <f>交易明細!L211</f>
        <v/>
      </c>
      <c r="Q422" s="10">
        <f>IF(N422="已下單",O422*P422,0)</f>
        <v/>
      </c>
      <c r="R422" s="10">
        <f>R421+Q422</f>
        <v/>
      </c>
      <c r="S422" s="16">
        <f>S421-IF(N422="已下單",M422,0)</f>
        <v/>
      </c>
      <c r="T422" s="16">
        <f>R422-S422</f>
        <v/>
      </c>
      <c r="U422" s="2">
        <f>U421-IF(N422="已下單",1,0)</f>
        <v/>
      </c>
      <c r="V422" s="16">
        <f>IF(資金模擬!$B$9=2,MAX(R422,0),MAX(V421,FLOOR(MAX(R422,0),資金模擬!$B$6)))</f>
        <v/>
      </c>
      <c r="W422" s="10">
        <f>MAX(W421,R422)</f>
        <v/>
      </c>
      <c r="X422" s="4">
        <f>IF(W422&gt;0,R422/W422-1,-1)</f>
        <v/>
      </c>
      <c r="Y422" s="16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17" t="n">
        <v>0.70762</v>
      </c>
      <c r="H423" s="17" t="n">
        <v>0.7288486000000001</v>
      </c>
      <c r="I423" s="17" t="n">
        <v>0.672239</v>
      </c>
      <c r="J423" s="17" t="n">
        <v>0.672239</v>
      </c>
      <c r="K423" s="2" t="inlineStr">
        <is>
          <t>止損</t>
        </is>
      </c>
      <c r="L423" s="5">
        <f>交易明細!K212</f>
        <v/>
      </c>
      <c r="M423" s="16">
        <f>M421</f>
        <v/>
      </c>
      <c r="N423" s="2">
        <f>N421</f>
        <v/>
      </c>
      <c r="O423" s="16">
        <f>O421</f>
        <v/>
      </c>
      <c r="P423" s="4">
        <f>交易明細!L212</f>
        <v/>
      </c>
      <c r="Q423" s="10">
        <f>IF(N423="已下單",O423*P423,0)</f>
        <v/>
      </c>
      <c r="R423" s="10">
        <f>R422+Q423</f>
        <v/>
      </c>
      <c r="S423" s="16">
        <f>S422-IF(N423="已下單",M423,0)</f>
        <v/>
      </c>
      <c r="T423" s="16">
        <f>R423-S423</f>
        <v/>
      </c>
      <c r="U423" s="2">
        <f>U422-IF(N423="已下單",1,0)</f>
        <v/>
      </c>
      <c r="V423" s="16">
        <f>IF(資金模擬!$B$9=2,MAX(R423,0),MAX(V422,FLOOR(MAX(R423,0),資金模擬!$B$6)))</f>
        <v/>
      </c>
      <c r="W423" s="10">
        <f>MAX(W422,R423)</f>
        <v/>
      </c>
      <c r="X423" s="4">
        <f>IF(W423&gt;0,R423/W423-1,-1)</f>
        <v/>
      </c>
      <c r="Y423" s="16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17" t="n">
        <v>0.11776</v>
      </c>
      <c r="H424" s="17" t="n">
        <v>0.1142272</v>
      </c>
      <c r="I424" s="17" t="n">
        <v>0.123648</v>
      </c>
      <c r="J424" s="17" t="n"/>
      <c r="K424" s="2" t="n"/>
      <c r="L424" s="5" t="n"/>
      <c r="M424" s="16">
        <f>資金模擬!$B$5*V423</f>
        <v/>
      </c>
      <c r="N424" s="2">
        <f>IF(Z423=1,"已停止",IF(T423&gt;=M424,"已下單","資金不足略過"))</f>
        <v/>
      </c>
      <c r="O424" s="16">
        <f>IF(N424="已下單",M424*資金模擬!$B$7,0)</f>
        <v/>
      </c>
      <c r="P424" s="4" t="n"/>
      <c r="Q424" s="10" t="n">
        <v>0</v>
      </c>
      <c r="R424" s="10">
        <f>R423+Q424</f>
        <v/>
      </c>
      <c r="S424" s="16">
        <f>S423+IF(N424="已下單",M424,0)</f>
        <v/>
      </c>
      <c r="T424" s="16">
        <f>R424-S424</f>
        <v/>
      </c>
      <c r="U424" s="2">
        <f>U423+IF(N424="已下單",1,0)</f>
        <v/>
      </c>
      <c r="V424" s="16">
        <f>IF(資金模擬!$B$9=2,MAX(R424,0),MAX(V423,FLOOR(MAX(R424,0),資金模擬!$B$6)))</f>
        <v/>
      </c>
      <c r="W424" s="10">
        <f>MAX(W423,R424)</f>
        <v/>
      </c>
      <c r="X424" s="4">
        <f>IF(W424&gt;0,R424/W424-1,-1)</f>
        <v/>
      </c>
      <c r="Y424" s="16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17" t="n">
        <v>0.11776</v>
      </c>
      <c r="H425" s="17" t="n">
        <v>0.1142272</v>
      </c>
      <c r="I425" s="17" t="n">
        <v>0.123648</v>
      </c>
      <c r="J425" s="17" t="n">
        <v>0.123648</v>
      </c>
      <c r="K425" s="2" t="inlineStr">
        <is>
          <t>止損</t>
        </is>
      </c>
      <c r="L425" s="5">
        <f>交易明細!K213</f>
        <v/>
      </c>
      <c r="M425" s="16">
        <f>M424</f>
        <v/>
      </c>
      <c r="N425" s="2">
        <f>N424</f>
        <v/>
      </c>
      <c r="O425" s="16">
        <f>O424</f>
        <v/>
      </c>
      <c r="P425" s="4">
        <f>交易明細!L213</f>
        <v/>
      </c>
      <c r="Q425" s="10">
        <f>IF(N425="已下單",O425*P425,0)</f>
        <v/>
      </c>
      <c r="R425" s="10">
        <f>R424+Q425</f>
        <v/>
      </c>
      <c r="S425" s="16">
        <f>S424-IF(N425="已下單",M425,0)</f>
        <v/>
      </c>
      <c r="T425" s="16">
        <f>R425-S425</f>
        <v/>
      </c>
      <c r="U425" s="2">
        <f>U424-IF(N425="已下單",1,0)</f>
        <v/>
      </c>
      <c r="V425" s="16">
        <f>IF(資金模擬!$B$9=2,MAX(R425,0),MAX(V424,FLOOR(MAX(R425,0),資金模擬!$B$6)))</f>
        <v/>
      </c>
      <c r="W425" s="10">
        <f>MAX(W424,R425)</f>
        <v/>
      </c>
      <c r="X425" s="4">
        <f>IF(W425&gt;0,R425/W425-1,-1)</f>
        <v/>
      </c>
      <c r="Y425" s="16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17" t="n">
        <v>0.996</v>
      </c>
      <c r="H426" s="17" t="n">
        <v>1.02588</v>
      </c>
      <c r="I426" s="17" t="n">
        <v>0.9461999999999999</v>
      </c>
      <c r="J426" s="17" t="n"/>
      <c r="K426" s="2" t="n"/>
      <c r="L426" s="5" t="n"/>
      <c r="M426" s="16">
        <f>資金模擬!$B$5*V425</f>
        <v/>
      </c>
      <c r="N426" s="2">
        <f>IF(Z425=1,"已停止",IF(T425&gt;=M426,"已下單","資金不足略過"))</f>
        <v/>
      </c>
      <c r="O426" s="16">
        <f>IF(N426="已下單",M426*資金模擬!$B$7,0)</f>
        <v/>
      </c>
      <c r="P426" s="4" t="n"/>
      <c r="Q426" s="10" t="n">
        <v>0</v>
      </c>
      <c r="R426" s="10">
        <f>R425+Q426</f>
        <v/>
      </c>
      <c r="S426" s="16">
        <f>S425+IF(N426="已下單",M426,0)</f>
        <v/>
      </c>
      <c r="T426" s="16">
        <f>R426-S426</f>
        <v/>
      </c>
      <c r="U426" s="2">
        <f>U425+IF(N426="已下單",1,0)</f>
        <v/>
      </c>
      <c r="V426" s="16">
        <f>IF(資金模擬!$B$9=2,MAX(R426,0),MAX(V425,FLOOR(MAX(R426,0),資金模擬!$B$6)))</f>
        <v/>
      </c>
      <c r="W426" s="10">
        <f>MAX(W425,R426)</f>
        <v/>
      </c>
      <c r="X426" s="4">
        <f>IF(W426&gt;0,R426/W426-1,-1)</f>
        <v/>
      </c>
      <c r="Y426" s="16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17" t="n">
        <v>0.9222</v>
      </c>
      <c r="H427" s="17" t="n">
        <v>0.9498660000000001</v>
      </c>
      <c r="I427" s="17" t="n">
        <v>0.8760899999999999</v>
      </c>
      <c r="J427" s="17" t="n"/>
      <c r="K427" s="2" t="n"/>
      <c r="L427" s="5" t="n"/>
      <c r="M427" s="16">
        <f>資金模擬!$B$5*V426</f>
        <v/>
      </c>
      <c r="N427" s="2">
        <f>IF(Z426=1,"已停止",IF(T426&gt;=M427,"已下單","資金不足略過"))</f>
        <v/>
      </c>
      <c r="O427" s="16">
        <f>IF(N427="已下單",M427*資金模擬!$B$7,0)</f>
        <v/>
      </c>
      <c r="P427" s="4" t="n"/>
      <c r="Q427" s="10" t="n">
        <v>0</v>
      </c>
      <c r="R427" s="10">
        <f>R426+Q427</f>
        <v/>
      </c>
      <c r="S427" s="16">
        <f>S426+IF(N427="已下單",M427,0)</f>
        <v/>
      </c>
      <c r="T427" s="16">
        <f>R427-S427</f>
        <v/>
      </c>
      <c r="U427" s="2">
        <f>U426+IF(N427="已下單",1,0)</f>
        <v/>
      </c>
      <c r="V427" s="16">
        <f>IF(資金模擬!$B$9=2,MAX(R427,0),MAX(V426,FLOOR(MAX(R427,0),資金模擬!$B$6)))</f>
        <v/>
      </c>
      <c r="W427" s="10">
        <f>MAX(W426,R427)</f>
        <v/>
      </c>
      <c r="X427" s="4">
        <f>IF(W427&gt;0,R427/W427-1,-1)</f>
        <v/>
      </c>
      <c r="Y427" s="16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17" t="n">
        <v>0.5661</v>
      </c>
      <c r="H428" s="17" t="n">
        <v>0.583083</v>
      </c>
      <c r="I428" s="17" t="n">
        <v>0.537795</v>
      </c>
      <c r="J428" s="17" t="n"/>
      <c r="K428" s="2" t="n"/>
      <c r="L428" s="5" t="n"/>
      <c r="M428" s="16">
        <f>資金模擬!$B$5*V427</f>
        <v/>
      </c>
      <c r="N428" s="2">
        <f>IF(Z427=1,"已停止",IF(T427&gt;=M428,"已下單","資金不足略過"))</f>
        <v/>
      </c>
      <c r="O428" s="16">
        <f>IF(N428="已下單",M428*資金模擬!$B$7,0)</f>
        <v/>
      </c>
      <c r="P428" s="4" t="n"/>
      <c r="Q428" s="10" t="n">
        <v>0</v>
      </c>
      <c r="R428" s="10">
        <f>R427+Q428</f>
        <v/>
      </c>
      <c r="S428" s="16">
        <f>S427+IF(N428="已下單",M428,0)</f>
        <v/>
      </c>
      <c r="T428" s="16">
        <f>R428-S428</f>
        <v/>
      </c>
      <c r="U428" s="2">
        <f>U427+IF(N428="已下單",1,0)</f>
        <v/>
      </c>
      <c r="V428" s="16">
        <f>IF(資金模擬!$B$9=2,MAX(R428,0),MAX(V427,FLOOR(MAX(R428,0),資金模擬!$B$6)))</f>
        <v/>
      </c>
      <c r="W428" s="10">
        <f>MAX(W427,R428)</f>
        <v/>
      </c>
      <c r="X428" s="4">
        <f>IF(W428&gt;0,R428/W428-1,-1)</f>
        <v/>
      </c>
      <c r="Y428" s="16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17" t="n">
        <v>0.12014</v>
      </c>
      <c r="H429" s="17" t="n">
        <v>0.1165358</v>
      </c>
      <c r="I429" s="17" t="n">
        <v>0.126147</v>
      </c>
      <c r="J429" s="17" t="n"/>
      <c r="K429" s="2" t="n"/>
      <c r="L429" s="5" t="n"/>
      <c r="M429" s="16">
        <f>資金模擬!$B$5*V428</f>
        <v/>
      </c>
      <c r="N429" s="2">
        <f>IF(Z428=1,"已停止",IF(T428&gt;=M429,"已下單","資金不足略過"))</f>
        <v/>
      </c>
      <c r="O429" s="16">
        <f>IF(N429="已下單",M429*資金模擬!$B$7,0)</f>
        <v/>
      </c>
      <c r="P429" s="4" t="n"/>
      <c r="Q429" s="10" t="n">
        <v>0</v>
      </c>
      <c r="R429" s="10">
        <f>R428+Q429</f>
        <v/>
      </c>
      <c r="S429" s="16">
        <f>S428+IF(N429="已下單",M429,0)</f>
        <v/>
      </c>
      <c r="T429" s="16">
        <f>R429-S429</f>
        <v/>
      </c>
      <c r="U429" s="2">
        <f>U428+IF(N429="已下單",1,0)</f>
        <v/>
      </c>
      <c r="V429" s="16">
        <f>IF(資金模擬!$B$9=2,MAX(R429,0),MAX(V428,FLOOR(MAX(R429,0),資金模擬!$B$6)))</f>
        <v/>
      </c>
      <c r="W429" s="10">
        <f>MAX(W428,R429)</f>
        <v/>
      </c>
      <c r="X429" s="4">
        <f>IF(W429&gt;0,R429/W429-1,-1)</f>
        <v/>
      </c>
      <c r="Y429" s="16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17" t="n">
        <v>0.9222</v>
      </c>
      <c r="H430" s="17" t="n">
        <v>0.9498660000000001</v>
      </c>
      <c r="I430" s="17" t="n">
        <v>0.8760899999999999</v>
      </c>
      <c r="J430" s="17" t="n">
        <v>0.9498660000000001</v>
      </c>
      <c r="K430" s="2" t="inlineStr">
        <is>
          <t>止盈</t>
        </is>
      </c>
      <c r="L430" s="5">
        <f>交易明細!K215</f>
        <v/>
      </c>
      <c r="M430" s="16">
        <f>M427</f>
        <v/>
      </c>
      <c r="N430" s="2">
        <f>N427</f>
        <v/>
      </c>
      <c r="O430" s="16">
        <f>O427</f>
        <v/>
      </c>
      <c r="P430" s="4">
        <f>交易明細!L215</f>
        <v/>
      </c>
      <c r="Q430" s="10">
        <f>IF(N430="已下單",O430*P430,0)</f>
        <v/>
      </c>
      <c r="R430" s="10">
        <f>R429+Q430</f>
        <v/>
      </c>
      <c r="S430" s="16">
        <f>S429-IF(N430="已下單",M430,0)</f>
        <v/>
      </c>
      <c r="T430" s="16">
        <f>R430-S430</f>
        <v/>
      </c>
      <c r="U430" s="2">
        <f>U429-IF(N430="已下單",1,0)</f>
        <v/>
      </c>
      <c r="V430" s="16">
        <f>IF(資金模擬!$B$9=2,MAX(R430,0),MAX(V429,FLOOR(MAX(R430,0),資金模擬!$B$6)))</f>
        <v/>
      </c>
      <c r="W430" s="10">
        <f>MAX(W429,R430)</f>
        <v/>
      </c>
      <c r="X430" s="4">
        <f>IF(W430&gt;0,R430/W430-1,-1)</f>
        <v/>
      </c>
      <c r="Y430" s="16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17" t="n">
        <v>0.12014</v>
      </c>
      <c r="H431" s="17" t="n">
        <v>0.1165358</v>
      </c>
      <c r="I431" s="17" t="n">
        <v>0.126147</v>
      </c>
      <c r="J431" s="17" t="n">
        <v>0.1165358</v>
      </c>
      <c r="K431" s="2" t="inlineStr">
        <is>
          <t>止盈</t>
        </is>
      </c>
      <c r="L431" s="5">
        <f>交易明細!K217</f>
        <v/>
      </c>
      <c r="M431" s="16">
        <f>M429</f>
        <v/>
      </c>
      <c r="N431" s="2">
        <f>N429</f>
        <v/>
      </c>
      <c r="O431" s="16">
        <f>O429</f>
        <v/>
      </c>
      <c r="P431" s="4">
        <f>交易明細!L217</f>
        <v/>
      </c>
      <c r="Q431" s="10">
        <f>IF(N431="已下單",O431*P431,0)</f>
        <v/>
      </c>
      <c r="R431" s="10">
        <f>R430+Q431</f>
        <v/>
      </c>
      <c r="S431" s="16">
        <f>S430-IF(N431="已下單",M431,0)</f>
        <v/>
      </c>
      <c r="T431" s="16">
        <f>R431-S431</f>
        <v/>
      </c>
      <c r="U431" s="2">
        <f>U430-IF(N431="已下單",1,0)</f>
        <v/>
      </c>
      <c r="V431" s="16">
        <f>IF(資金模擬!$B$9=2,MAX(R431,0),MAX(V430,FLOOR(MAX(R431,0),資金模擬!$B$6)))</f>
        <v/>
      </c>
      <c r="W431" s="10">
        <f>MAX(W430,R431)</f>
        <v/>
      </c>
      <c r="X431" s="4">
        <f>IF(W431&gt;0,R431/W431-1,-1)</f>
        <v/>
      </c>
      <c r="Y431" s="16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17" t="n">
        <v>0.20271</v>
      </c>
      <c r="H432" s="17" t="n">
        <v>0.1966287</v>
      </c>
      <c r="I432" s="17" t="n">
        <v>0.2128455</v>
      </c>
      <c r="J432" s="17" t="n"/>
      <c r="K432" s="2" t="n"/>
      <c r="L432" s="5" t="n"/>
      <c r="M432" s="16">
        <f>資金模擬!$B$5*V431</f>
        <v/>
      </c>
      <c r="N432" s="2">
        <f>IF(Z431=1,"已停止",IF(T431&gt;=M432,"已下單","資金不足略過"))</f>
        <v/>
      </c>
      <c r="O432" s="16">
        <f>IF(N432="已下單",M432*資金模擬!$B$7,0)</f>
        <v/>
      </c>
      <c r="P432" s="4" t="n"/>
      <c r="Q432" s="10" t="n">
        <v>0</v>
      </c>
      <c r="R432" s="10">
        <f>R431+Q432</f>
        <v/>
      </c>
      <c r="S432" s="16">
        <f>S431+IF(N432="已下單",M432,0)</f>
        <v/>
      </c>
      <c r="T432" s="16">
        <f>R432-S432</f>
        <v/>
      </c>
      <c r="U432" s="2">
        <f>U431+IF(N432="已下單",1,0)</f>
        <v/>
      </c>
      <c r="V432" s="16">
        <f>IF(資金模擬!$B$9=2,MAX(R432,0),MAX(V431,FLOOR(MAX(R432,0),資金模擬!$B$6)))</f>
        <v/>
      </c>
      <c r="W432" s="10">
        <f>MAX(W431,R432)</f>
        <v/>
      </c>
      <c r="X432" s="4">
        <f>IF(W432&gt;0,R432/W432-1,-1)</f>
        <v/>
      </c>
      <c r="Y432" s="16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17" t="n">
        <v>0.996</v>
      </c>
      <c r="H433" s="17" t="n">
        <v>1.02588</v>
      </c>
      <c r="I433" s="17" t="n">
        <v>0.9461999999999999</v>
      </c>
      <c r="J433" s="17" t="n">
        <v>1.02588</v>
      </c>
      <c r="K433" s="2" t="inlineStr">
        <is>
          <t>止盈</t>
        </is>
      </c>
      <c r="L433" s="5">
        <f>交易明細!K214</f>
        <v/>
      </c>
      <c r="M433" s="16">
        <f>M426</f>
        <v/>
      </c>
      <c r="N433" s="2">
        <f>N426</f>
        <v/>
      </c>
      <c r="O433" s="16">
        <f>O426</f>
        <v/>
      </c>
      <c r="P433" s="4">
        <f>交易明細!L214</f>
        <v/>
      </c>
      <c r="Q433" s="10">
        <f>IF(N433="已下單",O433*P433,0)</f>
        <v/>
      </c>
      <c r="R433" s="10">
        <f>R432+Q433</f>
        <v/>
      </c>
      <c r="S433" s="16">
        <f>S432-IF(N433="已下單",M433,0)</f>
        <v/>
      </c>
      <c r="T433" s="16">
        <f>R433-S433</f>
        <v/>
      </c>
      <c r="U433" s="2">
        <f>U432-IF(N433="已下單",1,0)</f>
        <v/>
      </c>
      <c r="V433" s="16">
        <f>IF(資金模擬!$B$9=2,MAX(R433,0),MAX(V432,FLOOR(MAX(R433,0),資金模擬!$B$6)))</f>
        <v/>
      </c>
      <c r="W433" s="10">
        <f>MAX(W432,R433)</f>
        <v/>
      </c>
      <c r="X433" s="4">
        <f>IF(W433&gt;0,R433/W433-1,-1)</f>
        <v/>
      </c>
      <c r="Y433" s="16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17" t="n">
        <v>0.8768</v>
      </c>
      <c r="H434" s="17" t="n">
        <v>0.850496</v>
      </c>
      <c r="I434" s="17" t="n">
        <v>0.92064</v>
      </c>
      <c r="J434" s="17" t="n"/>
      <c r="K434" s="2" t="n"/>
      <c r="L434" s="5" t="n"/>
      <c r="M434" s="16">
        <f>資金模擬!$B$5*V433</f>
        <v/>
      </c>
      <c r="N434" s="2">
        <f>IF(Z433=1,"已停止",IF(T433&gt;=M434,"已下單","資金不足略過"))</f>
        <v/>
      </c>
      <c r="O434" s="16">
        <f>IF(N434="已下單",M434*資金模擬!$B$7,0)</f>
        <v/>
      </c>
      <c r="P434" s="4" t="n"/>
      <c r="Q434" s="10" t="n">
        <v>0</v>
      </c>
      <c r="R434" s="10">
        <f>R433+Q434</f>
        <v/>
      </c>
      <c r="S434" s="16">
        <f>S433+IF(N434="已下單",M434,0)</f>
        <v/>
      </c>
      <c r="T434" s="16">
        <f>R434-S434</f>
        <v/>
      </c>
      <c r="U434" s="2">
        <f>U433+IF(N434="已下單",1,0)</f>
        <v/>
      </c>
      <c r="V434" s="16">
        <f>IF(資金模擬!$B$9=2,MAX(R434,0),MAX(V433,FLOOR(MAX(R434,0),資金模擬!$B$6)))</f>
        <v/>
      </c>
      <c r="W434" s="10">
        <f>MAX(W433,R434)</f>
        <v/>
      </c>
      <c r="X434" s="4">
        <f>IF(W434&gt;0,R434/W434-1,-1)</f>
        <v/>
      </c>
      <c r="Y434" s="16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17" t="n">
        <v>0.8768</v>
      </c>
      <c r="H435" s="17" t="n">
        <v>0.850496</v>
      </c>
      <c r="I435" s="17" t="n">
        <v>0.92064</v>
      </c>
      <c r="J435" s="17" t="n">
        <v>0.850496</v>
      </c>
      <c r="K435" s="2" t="inlineStr">
        <is>
          <t>止盈</t>
        </is>
      </c>
      <c r="L435" s="5">
        <f>交易明細!K219</f>
        <v/>
      </c>
      <c r="M435" s="16">
        <f>M434</f>
        <v/>
      </c>
      <c r="N435" s="2">
        <f>N434</f>
        <v/>
      </c>
      <c r="O435" s="16">
        <f>O434</f>
        <v/>
      </c>
      <c r="P435" s="4">
        <f>交易明細!L219</f>
        <v/>
      </c>
      <c r="Q435" s="10">
        <f>IF(N435="已下單",O435*P435,0)</f>
        <v/>
      </c>
      <c r="R435" s="10">
        <f>R434+Q435</f>
        <v/>
      </c>
      <c r="S435" s="16">
        <f>S434-IF(N435="已下單",M435,0)</f>
        <v/>
      </c>
      <c r="T435" s="16">
        <f>R435-S435</f>
        <v/>
      </c>
      <c r="U435" s="2">
        <f>U434-IF(N435="已下單",1,0)</f>
        <v/>
      </c>
      <c r="V435" s="16">
        <f>IF(資金模擬!$B$9=2,MAX(R435,0),MAX(V434,FLOOR(MAX(R435,0),資金模擬!$B$6)))</f>
        <v/>
      </c>
      <c r="W435" s="10">
        <f>MAX(W434,R435)</f>
        <v/>
      </c>
      <c r="X435" s="4">
        <f>IF(W435&gt;0,R435/W435-1,-1)</f>
        <v/>
      </c>
      <c r="Y435" s="16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17" t="n">
        <v>0.20271</v>
      </c>
      <c r="H436" s="17" t="n">
        <v>0.1966287</v>
      </c>
      <c r="I436" s="17" t="n">
        <v>0.2128455</v>
      </c>
      <c r="J436" s="17" t="n">
        <v>0.1966287</v>
      </c>
      <c r="K436" s="2" t="inlineStr">
        <is>
          <t>止盈</t>
        </is>
      </c>
      <c r="L436" s="5">
        <f>交易明細!K218</f>
        <v/>
      </c>
      <c r="M436" s="16">
        <f>M432</f>
        <v/>
      </c>
      <c r="N436" s="2">
        <f>N432</f>
        <v/>
      </c>
      <c r="O436" s="16">
        <f>O432</f>
        <v/>
      </c>
      <c r="P436" s="4">
        <f>交易明細!L218</f>
        <v/>
      </c>
      <c r="Q436" s="10">
        <f>IF(N436="已下單",O436*P436,0)</f>
        <v/>
      </c>
      <c r="R436" s="10">
        <f>R435+Q436</f>
        <v/>
      </c>
      <c r="S436" s="16">
        <f>S435-IF(N436="已下單",M436,0)</f>
        <v/>
      </c>
      <c r="T436" s="16">
        <f>R436-S436</f>
        <v/>
      </c>
      <c r="U436" s="2">
        <f>U435-IF(N436="已下單",1,0)</f>
        <v/>
      </c>
      <c r="V436" s="16">
        <f>IF(資金模擬!$B$9=2,MAX(R436,0),MAX(V435,FLOOR(MAX(R436,0),資金模擬!$B$6)))</f>
        <v/>
      </c>
      <c r="W436" s="10">
        <f>MAX(W435,R436)</f>
        <v/>
      </c>
      <c r="X436" s="4">
        <f>IF(W436&gt;0,R436/W436-1,-1)</f>
        <v/>
      </c>
      <c r="Y436" s="16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17" t="n">
        <v>0.5661</v>
      </c>
      <c r="H437" s="17" t="n">
        <v>0.583083</v>
      </c>
      <c r="I437" s="17" t="n">
        <v>0.537795</v>
      </c>
      <c r="J437" s="17" t="n">
        <v>0.537795</v>
      </c>
      <c r="K437" s="2" t="inlineStr">
        <is>
          <t>止損</t>
        </is>
      </c>
      <c r="L437" s="5">
        <f>交易明細!K216</f>
        <v/>
      </c>
      <c r="M437" s="16">
        <f>M428</f>
        <v/>
      </c>
      <c r="N437" s="2">
        <f>N428</f>
        <v/>
      </c>
      <c r="O437" s="16">
        <f>O428</f>
        <v/>
      </c>
      <c r="P437" s="4">
        <f>交易明細!L216</f>
        <v/>
      </c>
      <c r="Q437" s="10">
        <f>IF(N437="已下單",O437*P437,0)</f>
        <v/>
      </c>
      <c r="R437" s="10">
        <f>R436+Q437</f>
        <v/>
      </c>
      <c r="S437" s="16">
        <f>S436-IF(N437="已下單",M437,0)</f>
        <v/>
      </c>
      <c r="T437" s="16">
        <f>R437-S437</f>
        <v/>
      </c>
      <c r="U437" s="2">
        <f>U436-IF(N437="已下單",1,0)</f>
        <v/>
      </c>
      <c r="V437" s="16">
        <f>IF(資金模擬!$B$9=2,MAX(R437,0),MAX(V436,FLOOR(MAX(R437,0),資金模擬!$B$6)))</f>
        <v/>
      </c>
      <c r="W437" s="10">
        <f>MAX(W436,R437)</f>
        <v/>
      </c>
      <c r="X437" s="4">
        <f>IF(W437&gt;0,R437/W437-1,-1)</f>
        <v/>
      </c>
      <c r="Y437" s="16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17" t="n">
        <v>0.5794</v>
      </c>
      <c r="H438" s="17" t="n">
        <v>0.596782</v>
      </c>
      <c r="I438" s="17" t="n">
        <v>0.55043</v>
      </c>
      <c r="J438" s="17" t="n"/>
      <c r="K438" s="2" t="n"/>
      <c r="L438" s="5" t="n"/>
      <c r="M438" s="16">
        <f>資金模擬!$B$5*V437</f>
        <v/>
      </c>
      <c r="N438" s="2">
        <f>IF(Z437=1,"已停止",IF(T437&gt;=M438,"已下單","資金不足略過"))</f>
        <v/>
      </c>
      <c r="O438" s="16">
        <f>IF(N438="已下單",M438*資金模擬!$B$7,0)</f>
        <v/>
      </c>
      <c r="P438" s="4" t="n"/>
      <c r="Q438" s="10" t="n">
        <v>0</v>
      </c>
      <c r="R438" s="10">
        <f>R437+Q438</f>
        <v/>
      </c>
      <c r="S438" s="16">
        <f>S437+IF(N438="已下單",M438,0)</f>
        <v/>
      </c>
      <c r="T438" s="16">
        <f>R438-S438</f>
        <v/>
      </c>
      <c r="U438" s="2">
        <f>U437+IF(N438="已下單",1,0)</f>
        <v/>
      </c>
      <c r="V438" s="16">
        <f>IF(資金模擬!$B$9=2,MAX(R438,0),MAX(V437,FLOOR(MAX(R438,0),資金模擬!$B$6)))</f>
        <v/>
      </c>
      <c r="W438" s="10">
        <f>MAX(W437,R438)</f>
        <v/>
      </c>
      <c r="X438" s="4">
        <f>IF(W438&gt;0,R438/W438-1,-1)</f>
        <v/>
      </c>
      <c r="Y438" s="16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17" t="n">
        <v>0.5794</v>
      </c>
      <c r="H439" s="17" t="n">
        <v>0.596782</v>
      </c>
      <c r="I439" s="17" t="n">
        <v>0.55043</v>
      </c>
      <c r="J439" s="17" t="n">
        <v>0.596782</v>
      </c>
      <c r="K439" s="2" t="inlineStr">
        <is>
          <t>止盈</t>
        </is>
      </c>
      <c r="L439" s="5">
        <f>交易明細!K220</f>
        <v/>
      </c>
      <c r="M439" s="16">
        <f>M438</f>
        <v/>
      </c>
      <c r="N439" s="2">
        <f>N438</f>
        <v/>
      </c>
      <c r="O439" s="16">
        <f>O438</f>
        <v/>
      </c>
      <c r="P439" s="4">
        <f>交易明細!L220</f>
        <v/>
      </c>
      <c r="Q439" s="10">
        <f>IF(N439="已下單",O439*P439,0)</f>
        <v/>
      </c>
      <c r="R439" s="10">
        <f>R438+Q439</f>
        <v/>
      </c>
      <c r="S439" s="16">
        <f>S438-IF(N439="已下單",M439,0)</f>
        <v/>
      </c>
      <c r="T439" s="16">
        <f>R439-S439</f>
        <v/>
      </c>
      <c r="U439" s="2">
        <f>U438-IF(N439="已下單",1,0)</f>
        <v/>
      </c>
      <c r="V439" s="16">
        <f>IF(資金模擬!$B$9=2,MAX(R439,0),MAX(V438,FLOOR(MAX(R439,0),資金模擬!$B$6)))</f>
        <v/>
      </c>
      <c r="W439" s="10">
        <f>MAX(W438,R439)</f>
        <v/>
      </c>
      <c r="X439" s="4">
        <f>IF(W439&gt;0,R439/W439-1,-1)</f>
        <v/>
      </c>
      <c r="Y439" s="16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17" t="n">
        <v>0.953</v>
      </c>
      <c r="H440" s="17" t="n">
        <v>0.92441</v>
      </c>
      <c r="I440" s="17" t="n">
        <v>1.00065</v>
      </c>
      <c r="J440" s="17" t="n"/>
      <c r="K440" s="2" t="n"/>
      <c r="L440" s="5" t="n"/>
      <c r="M440" s="16">
        <f>資金模擬!$B$5*V439</f>
        <v/>
      </c>
      <c r="N440" s="2">
        <f>IF(Z439=1,"已停止",IF(T439&gt;=M440,"已下單","資金不足略過"))</f>
        <v/>
      </c>
      <c r="O440" s="16">
        <f>IF(N440="已下單",M440*資金模擬!$B$7,0)</f>
        <v/>
      </c>
      <c r="P440" s="4" t="n"/>
      <c r="Q440" s="10" t="n">
        <v>0</v>
      </c>
      <c r="R440" s="10">
        <f>R439+Q440</f>
        <v/>
      </c>
      <c r="S440" s="16">
        <f>S439+IF(N440="已下單",M440,0)</f>
        <v/>
      </c>
      <c r="T440" s="16">
        <f>R440-S440</f>
        <v/>
      </c>
      <c r="U440" s="2">
        <f>U439+IF(N440="已下單",1,0)</f>
        <v/>
      </c>
      <c r="V440" s="16">
        <f>IF(資金模擬!$B$9=2,MAX(R440,0),MAX(V439,FLOOR(MAX(R440,0),資金模擬!$B$6)))</f>
        <v/>
      </c>
      <c r="W440" s="10">
        <f>MAX(W439,R440)</f>
        <v/>
      </c>
      <c r="X440" s="4">
        <f>IF(W440&gt;0,R440/W440-1,-1)</f>
        <v/>
      </c>
      <c r="Y440" s="16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17" t="n">
        <v>0.21527</v>
      </c>
      <c r="H441" s="17" t="n">
        <v>0.2217281</v>
      </c>
      <c r="I441" s="17" t="n">
        <v>0.2045065</v>
      </c>
      <c r="J441" s="17" t="n"/>
      <c r="K441" s="2" t="n"/>
      <c r="L441" s="5" t="n"/>
      <c r="M441" s="16">
        <f>資金模擬!$B$5*V440</f>
        <v/>
      </c>
      <c r="N441" s="2">
        <f>IF(Z440=1,"已停止",IF(T440&gt;=M441,"已下單","資金不足略過"))</f>
        <v/>
      </c>
      <c r="O441" s="16">
        <f>IF(N441="已下單",M441*資金模擬!$B$7,0)</f>
        <v/>
      </c>
      <c r="P441" s="4" t="n"/>
      <c r="Q441" s="10" t="n">
        <v>0</v>
      </c>
      <c r="R441" s="10">
        <f>R440+Q441</f>
        <v/>
      </c>
      <c r="S441" s="16">
        <f>S440+IF(N441="已下單",M441,0)</f>
        <v/>
      </c>
      <c r="T441" s="16">
        <f>R441-S441</f>
        <v/>
      </c>
      <c r="U441" s="2">
        <f>U440+IF(N441="已下單",1,0)</f>
        <v/>
      </c>
      <c r="V441" s="16">
        <f>IF(資金模擬!$B$9=2,MAX(R441,0),MAX(V440,FLOOR(MAX(R441,0),資金模擬!$B$6)))</f>
        <v/>
      </c>
      <c r="W441" s="10">
        <f>MAX(W440,R441)</f>
        <v/>
      </c>
      <c r="X441" s="4">
        <f>IF(W441&gt;0,R441/W441-1,-1)</f>
        <v/>
      </c>
      <c r="Y441" s="16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17" t="n">
        <v>4.538</v>
      </c>
      <c r="H442" s="17" t="n">
        <v>4.67414</v>
      </c>
      <c r="I442" s="17" t="n">
        <v>4.3111</v>
      </c>
      <c r="J442" s="17" t="n"/>
      <c r="K442" s="2" t="n"/>
      <c r="L442" s="5" t="n"/>
      <c r="M442" s="16">
        <f>資金模擬!$B$5*V441</f>
        <v/>
      </c>
      <c r="N442" s="2">
        <f>IF(Z441=1,"已停止",IF(T441&gt;=M442,"已下單","資金不足略過"))</f>
        <v/>
      </c>
      <c r="O442" s="16">
        <f>IF(N442="已下單",M442*資金模擬!$B$7,0)</f>
        <v/>
      </c>
      <c r="P442" s="4" t="n"/>
      <c r="Q442" s="10" t="n">
        <v>0</v>
      </c>
      <c r="R442" s="10">
        <f>R441+Q442</f>
        <v/>
      </c>
      <c r="S442" s="16">
        <f>S441+IF(N442="已下單",M442,0)</f>
        <v/>
      </c>
      <c r="T442" s="16">
        <f>R442-S442</f>
        <v/>
      </c>
      <c r="U442" s="2">
        <f>U441+IF(N442="已下單",1,0)</f>
        <v/>
      </c>
      <c r="V442" s="16">
        <f>IF(資金模擬!$B$9=2,MAX(R442,0),MAX(V441,FLOOR(MAX(R442,0),資金模擬!$B$6)))</f>
        <v/>
      </c>
      <c r="W442" s="10">
        <f>MAX(W441,R442)</f>
        <v/>
      </c>
      <c r="X442" s="4">
        <f>IF(W442&gt;0,R442/W442-1,-1)</f>
        <v/>
      </c>
      <c r="Y442" s="16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17" t="n">
        <v>0.21527</v>
      </c>
      <c r="H443" s="17" t="n">
        <v>0.2217281</v>
      </c>
      <c r="I443" s="17" t="n">
        <v>0.2045065</v>
      </c>
      <c r="J443" s="17" t="n">
        <v>0.2045065</v>
      </c>
      <c r="K443" s="2" t="inlineStr">
        <is>
          <t>止損</t>
        </is>
      </c>
      <c r="L443" s="5">
        <f>交易明細!K222</f>
        <v/>
      </c>
      <c r="M443" s="16">
        <f>M441</f>
        <v/>
      </c>
      <c r="N443" s="2">
        <f>N441</f>
        <v/>
      </c>
      <c r="O443" s="16">
        <f>O441</f>
        <v/>
      </c>
      <c r="P443" s="4">
        <f>交易明細!L222</f>
        <v/>
      </c>
      <c r="Q443" s="10">
        <f>IF(N443="已下單",O443*P443,0)</f>
        <v/>
      </c>
      <c r="R443" s="10">
        <f>R442+Q443</f>
        <v/>
      </c>
      <c r="S443" s="16">
        <f>S442-IF(N443="已下單",M443,0)</f>
        <v/>
      </c>
      <c r="T443" s="16">
        <f>R443-S443</f>
        <v/>
      </c>
      <c r="U443" s="2">
        <f>U442-IF(N443="已下單",1,0)</f>
        <v/>
      </c>
      <c r="V443" s="16">
        <f>IF(資金模擬!$B$9=2,MAX(R443,0),MAX(V442,FLOOR(MAX(R443,0),資金模擬!$B$6)))</f>
        <v/>
      </c>
      <c r="W443" s="10">
        <f>MAX(W442,R443)</f>
        <v/>
      </c>
      <c r="X443" s="4">
        <f>IF(W443&gt;0,R443/W443-1,-1)</f>
        <v/>
      </c>
      <c r="Y443" s="16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17" t="n">
        <v>0.953</v>
      </c>
      <c r="H444" s="17" t="n">
        <v>0.92441</v>
      </c>
      <c r="I444" s="17" t="n">
        <v>1.00065</v>
      </c>
      <c r="J444" s="17" t="n">
        <v>0.92441</v>
      </c>
      <c r="K444" s="2" t="inlineStr">
        <is>
          <t>止盈</t>
        </is>
      </c>
      <c r="L444" s="5">
        <f>交易明細!K221</f>
        <v/>
      </c>
      <c r="M444" s="16">
        <f>M440</f>
        <v/>
      </c>
      <c r="N444" s="2">
        <f>N440</f>
        <v/>
      </c>
      <c r="O444" s="16">
        <f>O440</f>
        <v/>
      </c>
      <c r="P444" s="4">
        <f>交易明細!L221</f>
        <v/>
      </c>
      <c r="Q444" s="10">
        <f>IF(N444="已下單",O444*P444,0)</f>
        <v/>
      </c>
      <c r="R444" s="10">
        <f>R443+Q444</f>
        <v/>
      </c>
      <c r="S444" s="16">
        <f>S443-IF(N444="已下單",M444,0)</f>
        <v/>
      </c>
      <c r="T444" s="16">
        <f>R444-S444</f>
        <v/>
      </c>
      <c r="U444" s="2">
        <f>U443-IF(N444="已下單",1,0)</f>
        <v/>
      </c>
      <c r="V444" s="16">
        <f>IF(資金模擬!$B$9=2,MAX(R444,0),MAX(V443,FLOOR(MAX(R444,0),資金模擬!$B$6)))</f>
        <v/>
      </c>
      <c r="W444" s="10">
        <f>MAX(W443,R444)</f>
        <v/>
      </c>
      <c r="X444" s="4">
        <f>IF(W444&gt;0,R444/W444-1,-1)</f>
        <v/>
      </c>
      <c r="Y444" s="16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17" t="n">
        <v>0.1125</v>
      </c>
      <c r="H445" s="17" t="n">
        <v>0.109125</v>
      </c>
      <c r="I445" s="17" t="n">
        <v>0.118125</v>
      </c>
      <c r="J445" s="17" t="n"/>
      <c r="K445" s="2" t="n"/>
      <c r="L445" s="5" t="n"/>
      <c r="M445" s="16">
        <f>資金模擬!$B$5*V444</f>
        <v/>
      </c>
      <c r="N445" s="2">
        <f>IF(Z444=1,"已停止",IF(T444&gt;=M445,"已下單","資金不足略過"))</f>
        <v/>
      </c>
      <c r="O445" s="16">
        <f>IF(N445="已下單",M445*資金模擬!$B$7,0)</f>
        <v/>
      </c>
      <c r="P445" s="4" t="n"/>
      <c r="Q445" s="10" t="n">
        <v>0</v>
      </c>
      <c r="R445" s="10">
        <f>R444+Q445</f>
        <v/>
      </c>
      <c r="S445" s="16">
        <f>S444+IF(N445="已下單",M445,0)</f>
        <v/>
      </c>
      <c r="T445" s="16">
        <f>R445-S445</f>
        <v/>
      </c>
      <c r="U445" s="2">
        <f>U444+IF(N445="已下單",1,0)</f>
        <v/>
      </c>
      <c r="V445" s="16">
        <f>IF(資金模擬!$B$9=2,MAX(R445,0),MAX(V444,FLOOR(MAX(R445,0),資金模擬!$B$6)))</f>
        <v/>
      </c>
      <c r="W445" s="10">
        <f>MAX(W444,R445)</f>
        <v/>
      </c>
      <c r="X445" s="4">
        <f>IF(W445&gt;0,R445/W445-1,-1)</f>
        <v/>
      </c>
      <c r="Y445" s="16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17" t="n">
        <v>4.538</v>
      </c>
      <c r="H446" s="17" t="n">
        <v>4.67414</v>
      </c>
      <c r="I446" s="17" t="n">
        <v>4.3111</v>
      </c>
      <c r="J446" s="17" t="n">
        <v>4.3111</v>
      </c>
      <c r="K446" s="2" t="inlineStr">
        <is>
          <t>止損</t>
        </is>
      </c>
      <c r="L446" s="5">
        <f>交易明細!K223</f>
        <v/>
      </c>
      <c r="M446" s="16">
        <f>M442</f>
        <v/>
      </c>
      <c r="N446" s="2">
        <f>N442</f>
        <v/>
      </c>
      <c r="O446" s="16">
        <f>O442</f>
        <v/>
      </c>
      <c r="P446" s="4">
        <f>交易明細!L223</f>
        <v/>
      </c>
      <c r="Q446" s="10">
        <f>IF(N446="已下單",O446*P446,0)</f>
        <v/>
      </c>
      <c r="R446" s="10">
        <f>R445+Q446</f>
        <v/>
      </c>
      <c r="S446" s="16">
        <f>S445-IF(N446="已下單",M446,0)</f>
        <v/>
      </c>
      <c r="T446" s="16">
        <f>R446-S446</f>
        <v/>
      </c>
      <c r="U446" s="2">
        <f>U445-IF(N446="已下單",1,0)</f>
        <v/>
      </c>
      <c r="V446" s="16">
        <f>IF(資金模擬!$B$9=2,MAX(R446,0),MAX(V445,FLOOR(MAX(R446,0),資金模擬!$B$6)))</f>
        <v/>
      </c>
      <c r="W446" s="10">
        <f>MAX(W445,R446)</f>
        <v/>
      </c>
      <c r="X446" s="4">
        <f>IF(W446&gt;0,R446/W446-1,-1)</f>
        <v/>
      </c>
      <c r="Y446" s="16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17" t="n">
        <v>0.1125</v>
      </c>
      <c r="H447" s="17" t="n">
        <v>0.109125</v>
      </c>
      <c r="I447" s="17" t="n">
        <v>0.118125</v>
      </c>
      <c r="J447" s="17" t="n">
        <v>0.109125</v>
      </c>
      <c r="K447" s="2" t="inlineStr">
        <is>
          <t>止盈</t>
        </is>
      </c>
      <c r="L447" s="5">
        <f>交易明細!K224</f>
        <v/>
      </c>
      <c r="M447" s="16">
        <f>M445</f>
        <v/>
      </c>
      <c r="N447" s="2">
        <f>N445</f>
        <v/>
      </c>
      <c r="O447" s="16">
        <f>O445</f>
        <v/>
      </c>
      <c r="P447" s="4">
        <f>交易明細!L224</f>
        <v/>
      </c>
      <c r="Q447" s="10">
        <f>IF(N447="已下單",O447*P447,0)</f>
        <v/>
      </c>
      <c r="R447" s="10">
        <f>R446+Q447</f>
        <v/>
      </c>
      <c r="S447" s="16">
        <f>S446-IF(N447="已下單",M447,0)</f>
        <v/>
      </c>
      <c r="T447" s="16">
        <f>R447-S447</f>
        <v/>
      </c>
      <c r="U447" s="2">
        <f>U446-IF(N447="已下單",1,0)</f>
        <v/>
      </c>
      <c r="V447" s="16">
        <f>IF(資金模擬!$B$9=2,MAX(R447,0),MAX(V446,FLOOR(MAX(R447,0),資金模擬!$B$6)))</f>
        <v/>
      </c>
      <c r="W447" s="10">
        <f>MAX(W446,R447)</f>
        <v/>
      </c>
      <c r="X447" s="4">
        <f>IF(W447&gt;0,R447/W447-1,-1)</f>
        <v/>
      </c>
      <c r="Y447" s="16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17" t="n">
        <v>0.5694</v>
      </c>
      <c r="H448" s="17" t="n">
        <v>0.552318</v>
      </c>
      <c r="I448" s="17" t="n">
        <v>0.59787</v>
      </c>
      <c r="J448" s="17" t="n">
        <v>0.552318</v>
      </c>
      <c r="K448" s="2" t="inlineStr">
        <is>
          <t>止盈</t>
        </is>
      </c>
      <c r="L448" s="5">
        <f>交易明細!K184</f>
        <v/>
      </c>
      <c r="M448" s="16">
        <f>M364</f>
        <v/>
      </c>
      <c r="N448" s="2">
        <f>N364</f>
        <v/>
      </c>
      <c r="O448" s="16">
        <f>O364</f>
        <v/>
      </c>
      <c r="P448" s="4">
        <f>交易明細!L184</f>
        <v/>
      </c>
      <c r="Q448" s="10">
        <f>IF(N448="已下單",O448*P448,0)</f>
        <v/>
      </c>
      <c r="R448" s="10">
        <f>R447+Q448</f>
        <v/>
      </c>
      <c r="S448" s="16">
        <f>S447-IF(N448="已下單",M448,0)</f>
        <v/>
      </c>
      <c r="T448" s="16">
        <f>R448-S448</f>
        <v/>
      </c>
      <c r="U448" s="2">
        <f>U447-IF(N448="已下單",1,0)</f>
        <v/>
      </c>
      <c r="V448" s="16">
        <f>IF(資金模擬!$B$9=2,MAX(R448,0),MAX(V447,FLOOR(MAX(R448,0),資金模擬!$B$6)))</f>
        <v/>
      </c>
      <c r="W448" s="10">
        <f>MAX(W447,R448)</f>
        <v/>
      </c>
      <c r="X448" s="4">
        <f>IF(W448&gt;0,R448/W448-1,-1)</f>
        <v/>
      </c>
      <c r="Y448" s="16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17" t="n">
        <v>0.6313</v>
      </c>
      <c r="H449" s="17" t="n">
        <v>0.650239</v>
      </c>
      <c r="I449" s="17" t="n">
        <v>0.5997349999999999</v>
      </c>
      <c r="J449" s="17" t="n"/>
      <c r="K449" s="2" t="n"/>
      <c r="L449" s="5" t="n"/>
      <c r="M449" s="16">
        <f>資金模擬!$B$5*V448</f>
        <v/>
      </c>
      <c r="N449" s="2">
        <f>IF(Z448=1,"已停止",IF(T448&gt;=M449,"已下單","資金不足略過"))</f>
        <v/>
      </c>
      <c r="O449" s="16">
        <f>IF(N449="已下單",M449*資金模擬!$B$7,0)</f>
        <v/>
      </c>
      <c r="P449" s="4" t="n"/>
      <c r="Q449" s="10" t="n">
        <v>0</v>
      </c>
      <c r="R449" s="10">
        <f>R448+Q449</f>
        <v/>
      </c>
      <c r="S449" s="16">
        <f>S448+IF(N449="已下單",M449,0)</f>
        <v/>
      </c>
      <c r="T449" s="16">
        <f>R449-S449</f>
        <v/>
      </c>
      <c r="U449" s="2">
        <f>U448+IF(N449="已下單",1,0)</f>
        <v/>
      </c>
      <c r="V449" s="16">
        <f>IF(資金模擬!$B$9=2,MAX(R449,0),MAX(V448,FLOOR(MAX(R449,0),資金模擬!$B$6)))</f>
        <v/>
      </c>
      <c r="W449" s="10">
        <f>MAX(W448,R449)</f>
        <v/>
      </c>
      <c r="X449" s="4">
        <f>IF(W449&gt;0,R449/W449-1,-1)</f>
        <v/>
      </c>
      <c r="Y449" s="16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17" t="n">
        <v>0.20512</v>
      </c>
      <c r="H450" s="17" t="n">
        <v>0.2112736</v>
      </c>
      <c r="I450" s="17" t="n">
        <v>0.194864</v>
      </c>
      <c r="J450" s="17" t="n"/>
      <c r="K450" s="2" t="n"/>
      <c r="L450" s="5" t="n"/>
      <c r="M450" s="16">
        <f>資金模擬!$B$5*V449</f>
        <v/>
      </c>
      <c r="N450" s="2">
        <f>IF(Z449=1,"已停止",IF(T449&gt;=M450,"已下單","資金不足略過"))</f>
        <v/>
      </c>
      <c r="O450" s="16">
        <f>IF(N450="已下單",M450*資金模擬!$B$7,0)</f>
        <v/>
      </c>
      <c r="P450" s="4" t="n"/>
      <c r="Q450" s="10" t="n">
        <v>0</v>
      </c>
      <c r="R450" s="10">
        <f>R449+Q450</f>
        <v/>
      </c>
      <c r="S450" s="16">
        <f>S449+IF(N450="已下單",M450,0)</f>
        <v/>
      </c>
      <c r="T450" s="16">
        <f>R450-S450</f>
        <v/>
      </c>
      <c r="U450" s="2">
        <f>U449+IF(N450="已下單",1,0)</f>
        <v/>
      </c>
      <c r="V450" s="16">
        <f>IF(資金模擬!$B$9=2,MAX(R450,0),MAX(V449,FLOOR(MAX(R450,0),資金模擬!$B$6)))</f>
        <v/>
      </c>
      <c r="W450" s="10">
        <f>MAX(W449,R450)</f>
        <v/>
      </c>
      <c r="X450" s="4">
        <f>IF(W450&gt;0,R450/W450-1,-1)</f>
        <v/>
      </c>
      <c r="Y450" s="16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17" t="n">
        <v>0.6313</v>
      </c>
      <c r="H451" s="17" t="n">
        <v>0.650239</v>
      </c>
      <c r="I451" s="17" t="n">
        <v>0.5997349999999999</v>
      </c>
      <c r="J451" s="17" t="n">
        <v>0.5997349999999999</v>
      </c>
      <c r="K451" s="2" t="inlineStr">
        <is>
          <t>止損</t>
        </is>
      </c>
      <c r="L451" s="5">
        <f>交易明細!K225</f>
        <v/>
      </c>
      <c r="M451" s="16">
        <f>M449</f>
        <v/>
      </c>
      <c r="N451" s="2">
        <f>N449</f>
        <v/>
      </c>
      <c r="O451" s="16">
        <f>O449</f>
        <v/>
      </c>
      <c r="P451" s="4">
        <f>交易明細!L225</f>
        <v/>
      </c>
      <c r="Q451" s="10">
        <f>IF(N451="已下單",O451*P451,0)</f>
        <v/>
      </c>
      <c r="R451" s="10">
        <f>R450+Q451</f>
        <v/>
      </c>
      <c r="S451" s="16">
        <f>S450-IF(N451="已下單",M451,0)</f>
        <v/>
      </c>
      <c r="T451" s="16">
        <f>R451-S451</f>
        <v/>
      </c>
      <c r="U451" s="2">
        <f>U450-IF(N451="已下單",1,0)</f>
        <v/>
      </c>
      <c r="V451" s="16">
        <f>IF(資金模擬!$B$9=2,MAX(R451,0),MAX(V450,FLOOR(MAX(R451,0),資金模擬!$B$6)))</f>
        <v/>
      </c>
      <c r="W451" s="10">
        <f>MAX(W450,R451)</f>
        <v/>
      </c>
      <c r="X451" s="4">
        <f>IF(W451&gt;0,R451/W451-1,-1)</f>
        <v/>
      </c>
      <c r="Y451" s="16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17" t="n">
        <v>0.3894</v>
      </c>
      <c r="H452" s="17" t="n">
        <v>0.377718</v>
      </c>
      <c r="I452" s="17" t="n">
        <v>0.4088700000000001</v>
      </c>
      <c r="J452" s="17" t="n"/>
      <c r="K452" s="2" t="n"/>
      <c r="L452" s="5" t="n"/>
      <c r="M452" s="16">
        <f>資金模擬!$B$5*V451</f>
        <v/>
      </c>
      <c r="N452" s="2">
        <f>IF(Z451=1,"已停止",IF(T451&gt;=M452,"已下單","資金不足略過"))</f>
        <v/>
      </c>
      <c r="O452" s="16">
        <f>IF(N452="已下單",M452*資金模擬!$B$7,0)</f>
        <v/>
      </c>
      <c r="P452" s="4" t="n"/>
      <c r="Q452" s="10" t="n">
        <v>0</v>
      </c>
      <c r="R452" s="10">
        <f>R451+Q452</f>
        <v/>
      </c>
      <c r="S452" s="16">
        <f>S451+IF(N452="已下單",M452,0)</f>
        <v/>
      </c>
      <c r="T452" s="16">
        <f>R452-S452</f>
        <v/>
      </c>
      <c r="U452" s="2">
        <f>U451+IF(N452="已下單",1,0)</f>
        <v/>
      </c>
      <c r="V452" s="16">
        <f>IF(資金模擬!$B$9=2,MAX(R452,0),MAX(V451,FLOOR(MAX(R452,0),資金模擬!$B$6)))</f>
        <v/>
      </c>
      <c r="W452" s="10">
        <f>MAX(W451,R452)</f>
        <v/>
      </c>
      <c r="X452" s="4">
        <f>IF(W452&gt;0,R452/W452-1,-1)</f>
        <v/>
      </c>
      <c r="Y452" s="16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17" t="n">
        <v>0.3894</v>
      </c>
      <c r="H453" s="17" t="n">
        <v>0.377718</v>
      </c>
      <c r="I453" s="17" t="n">
        <v>0.4088700000000001</v>
      </c>
      <c r="J453" s="17" t="n">
        <v>0.377718</v>
      </c>
      <c r="K453" s="2" t="inlineStr">
        <is>
          <t>止盈</t>
        </is>
      </c>
      <c r="L453" s="5">
        <f>交易明細!K227</f>
        <v/>
      </c>
      <c r="M453" s="16">
        <f>M452</f>
        <v/>
      </c>
      <c r="N453" s="2">
        <f>N452</f>
        <v/>
      </c>
      <c r="O453" s="16">
        <f>O452</f>
        <v/>
      </c>
      <c r="P453" s="4">
        <f>交易明細!L227</f>
        <v/>
      </c>
      <c r="Q453" s="10">
        <f>IF(N453="已下單",O453*P453,0)</f>
        <v/>
      </c>
      <c r="R453" s="10">
        <f>R452+Q453</f>
        <v/>
      </c>
      <c r="S453" s="16">
        <f>S452-IF(N453="已下單",M453,0)</f>
        <v/>
      </c>
      <c r="T453" s="16">
        <f>R453-S453</f>
        <v/>
      </c>
      <c r="U453" s="2">
        <f>U452-IF(N453="已下單",1,0)</f>
        <v/>
      </c>
      <c r="V453" s="16">
        <f>IF(資金模擬!$B$9=2,MAX(R453,0),MAX(V452,FLOOR(MAX(R453,0),資金模擬!$B$6)))</f>
        <v/>
      </c>
      <c r="W453" s="10">
        <f>MAX(W452,R453)</f>
        <v/>
      </c>
      <c r="X453" s="4">
        <f>IF(W453&gt;0,R453/W453-1,-1)</f>
        <v/>
      </c>
      <c r="Y453" s="16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17" t="n">
        <v>0.06137</v>
      </c>
      <c r="H454" s="17" t="n">
        <v>0.0595289</v>
      </c>
      <c r="I454" s="17" t="n">
        <v>0.06443850000000001</v>
      </c>
      <c r="J454" s="17" t="n"/>
      <c r="K454" s="2" t="n"/>
      <c r="L454" s="5" t="n"/>
      <c r="M454" s="16">
        <f>資金模擬!$B$5*V453</f>
        <v/>
      </c>
      <c r="N454" s="2">
        <f>IF(Z453=1,"已停止",IF(T453&gt;=M454,"已下單","資金不足略過"))</f>
        <v/>
      </c>
      <c r="O454" s="16">
        <f>IF(N454="已下單",M454*資金模擬!$B$7,0)</f>
        <v/>
      </c>
      <c r="P454" s="4" t="n"/>
      <c r="Q454" s="10" t="n">
        <v>0</v>
      </c>
      <c r="R454" s="10">
        <f>R453+Q454</f>
        <v/>
      </c>
      <c r="S454" s="16">
        <f>S453+IF(N454="已下單",M454,0)</f>
        <v/>
      </c>
      <c r="T454" s="16">
        <f>R454-S454</f>
        <v/>
      </c>
      <c r="U454" s="2">
        <f>U453+IF(N454="已下單",1,0)</f>
        <v/>
      </c>
      <c r="V454" s="16">
        <f>IF(資金模擬!$B$9=2,MAX(R454,0),MAX(V453,FLOOR(MAX(R454,0),資金模擬!$B$6)))</f>
        <v/>
      </c>
      <c r="W454" s="10">
        <f>MAX(W453,R454)</f>
        <v/>
      </c>
      <c r="X454" s="4">
        <f>IF(W454&gt;0,R454/W454-1,-1)</f>
        <v/>
      </c>
      <c r="Y454" s="16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17" t="n">
        <v>0.20512</v>
      </c>
      <c r="H455" s="17" t="n">
        <v>0.2112736</v>
      </c>
      <c r="I455" s="17" t="n">
        <v>0.194864</v>
      </c>
      <c r="J455" s="17" t="n">
        <v>0.2112736</v>
      </c>
      <c r="K455" s="2" t="inlineStr">
        <is>
          <t>止盈</t>
        </is>
      </c>
      <c r="L455" s="5">
        <f>交易明細!K226</f>
        <v/>
      </c>
      <c r="M455" s="16">
        <f>M450</f>
        <v/>
      </c>
      <c r="N455" s="2">
        <f>N450</f>
        <v/>
      </c>
      <c r="O455" s="16">
        <f>O450</f>
        <v/>
      </c>
      <c r="P455" s="4">
        <f>交易明細!L226</f>
        <v/>
      </c>
      <c r="Q455" s="10">
        <f>IF(N455="已下單",O455*P455,0)</f>
        <v/>
      </c>
      <c r="R455" s="10">
        <f>R454+Q455</f>
        <v/>
      </c>
      <c r="S455" s="16">
        <f>S454-IF(N455="已下單",M455,0)</f>
        <v/>
      </c>
      <c r="T455" s="16">
        <f>R455-S455</f>
        <v/>
      </c>
      <c r="U455" s="2">
        <f>U454-IF(N455="已下單",1,0)</f>
        <v/>
      </c>
      <c r="V455" s="16">
        <f>IF(資金模擬!$B$9=2,MAX(R455,0),MAX(V454,FLOOR(MAX(R455,0),資金模擬!$B$6)))</f>
        <v/>
      </c>
      <c r="W455" s="10">
        <f>MAX(W454,R455)</f>
        <v/>
      </c>
      <c r="X455" s="4">
        <f>IF(W455&gt;0,R455/W455-1,-1)</f>
        <v/>
      </c>
      <c r="Y455" s="16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17" t="n">
        <v>0.06137</v>
      </c>
      <c r="H456" s="17" t="n">
        <v>0.0595289</v>
      </c>
      <c r="I456" s="17" t="n">
        <v>0.06443850000000001</v>
      </c>
      <c r="J456" s="17" t="n">
        <v>0.06443850000000001</v>
      </c>
      <c r="K456" s="2" t="inlineStr">
        <is>
          <t>止損</t>
        </is>
      </c>
      <c r="L456" s="5">
        <f>交易明細!K228</f>
        <v/>
      </c>
      <c r="M456" s="16">
        <f>M454</f>
        <v/>
      </c>
      <c r="N456" s="2">
        <f>N454</f>
        <v/>
      </c>
      <c r="O456" s="16">
        <f>O454</f>
        <v/>
      </c>
      <c r="P456" s="4">
        <f>交易明細!L228</f>
        <v/>
      </c>
      <c r="Q456" s="10">
        <f>IF(N456="已下單",O456*P456,0)</f>
        <v/>
      </c>
      <c r="R456" s="10">
        <f>R455+Q456</f>
        <v/>
      </c>
      <c r="S456" s="16">
        <f>S455-IF(N456="已下單",M456,0)</f>
        <v/>
      </c>
      <c r="T456" s="16">
        <f>R456-S456</f>
        <v/>
      </c>
      <c r="U456" s="2">
        <f>U455-IF(N456="已下單",1,0)</f>
        <v/>
      </c>
      <c r="V456" s="16">
        <f>IF(資金模擬!$B$9=2,MAX(R456,0),MAX(V455,FLOOR(MAX(R456,0),資金模擬!$B$6)))</f>
        <v/>
      </c>
      <c r="W456" s="10">
        <f>MAX(W455,R456)</f>
        <v/>
      </c>
      <c r="X456" s="4">
        <f>IF(W456&gt;0,R456/W456-1,-1)</f>
        <v/>
      </c>
      <c r="Y456" s="16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17" t="n">
        <v>0.11513</v>
      </c>
      <c r="H457" s="17" t="n">
        <v>0.1116761</v>
      </c>
      <c r="I457" s="17" t="n">
        <v>0.1208865</v>
      </c>
      <c r="J457" s="17" t="n"/>
      <c r="K457" s="2" t="n"/>
      <c r="L457" s="5" t="n"/>
      <c r="M457" s="16">
        <f>資金模擬!$B$5*V456</f>
        <v/>
      </c>
      <c r="N457" s="2">
        <f>IF(Z456=1,"已停止",IF(T456&gt;=M457,"已下單","資金不足略過"))</f>
        <v/>
      </c>
      <c r="O457" s="16">
        <f>IF(N457="已下單",M457*資金模擬!$B$7,0)</f>
        <v/>
      </c>
      <c r="P457" s="4" t="n"/>
      <c r="Q457" s="10" t="n">
        <v>0</v>
      </c>
      <c r="R457" s="10">
        <f>R456+Q457</f>
        <v/>
      </c>
      <c r="S457" s="16">
        <f>S456+IF(N457="已下單",M457,0)</f>
        <v/>
      </c>
      <c r="T457" s="16">
        <f>R457-S457</f>
        <v/>
      </c>
      <c r="U457" s="2">
        <f>U456+IF(N457="已下單",1,0)</f>
        <v/>
      </c>
      <c r="V457" s="16">
        <f>IF(資金模擬!$B$9=2,MAX(R457,0),MAX(V456,FLOOR(MAX(R457,0),資金模擬!$B$6)))</f>
        <v/>
      </c>
      <c r="W457" s="10">
        <f>MAX(W456,R457)</f>
        <v/>
      </c>
      <c r="X457" s="4">
        <f>IF(W457&gt;0,R457/W457-1,-1)</f>
        <v/>
      </c>
      <c r="Y457" s="16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17" t="n">
        <v>0.11513</v>
      </c>
      <c r="H458" s="17" t="n">
        <v>0.1116761</v>
      </c>
      <c r="I458" s="17" t="n">
        <v>0.1208865</v>
      </c>
      <c r="J458" s="17" t="n">
        <v>0.1116761</v>
      </c>
      <c r="K458" s="2" t="inlineStr">
        <is>
          <t>止盈</t>
        </is>
      </c>
      <c r="L458" s="5">
        <f>交易明細!K229</f>
        <v/>
      </c>
      <c r="M458" s="16">
        <f>M457</f>
        <v/>
      </c>
      <c r="N458" s="2">
        <f>N457</f>
        <v/>
      </c>
      <c r="O458" s="16">
        <f>O457</f>
        <v/>
      </c>
      <c r="P458" s="4">
        <f>交易明細!L229</f>
        <v/>
      </c>
      <c r="Q458" s="10">
        <f>IF(N458="已下單",O458*P458,0)</f>
        <v/>
      </c>
      <c r="R458" s="10">
        <f>R457+Q458</f>
        <v/>
      </c>
      <c r="S458" s="16">
        <f>S457-IF(N458="已下單",M458,0)</f>
        <v/>
      </c>
      <c r="T458" s="16">
        <f>R458-S458</f>
        <v/>
      </c>
      <c r="U458" s="2">
        <f>U457-IF(N458="已下單",1,0)</f>
        <v/>
      </c>
      <c r="V458" s="16">
        <f>IF(資金模擬!$B$9=2,MAX(R458,0),MAX(V457,FLOOR(MAX(R458,0),資金模擬!$B$6)))</f>
        <v/>
      </c>
      <c r="W458" s="10">
        <f>MAX(W457,R458)</f>
        <v/>
      </c>
      <c r="X458" s="4">
        <f>IF(W458&gt;0,R458/W458-1,-1)</f>
        <v/>
      </c>
      <c r="Y458" s="16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17" t="n">
        <v>4.209</v>
      </c>
      <c r="H459" s="17" t="n">
        <v>4.08273</v>
      </c>
      <c r="I459" s="17" t="n">
        <v>4.419449999999999</v>
      </c>
      <c r="J459" s="17" t="n"/>
      <c r="K459" s="2" t="n"/>
      <c r="L459" s="5" t="n"/>
      <c r="M459" s="16">
        <f>資金模擬!$B$5*V458</f>
        <v/>
      </c>
      <c r="N459" s="2">
        <f>IF(Z458=1,"已停止",IF(T458&gt;=M459,"已下單","資金不足略過"))</f>
        <v/>
      </c>
      <c r="O459" s="16">
        <f>IF(N459="已下單",M459*資金模擬!$B$7,0)</f>
        <v/>
      </c>
      <c r="P459" s="4" t="n"/>
      <c r="Q459" s="10" t="n">
        <v>0</v>
      </c>
      <c r="R459" s="10">
        <f>R458+Q459</f>
        <v/>
      </c>
      <c r="S459" s="16">
        <f>S458+IF(N459="已下單",M459,0)</f>
        <v/>
      </c>
      <c r="T459" s="16">
        <f>R459-S459</f>
        <v/>
      </c>
      <c r="U459" s="2">
        <f>U458+IF(N459="已下單",1,0)</f>
        <v/>
      </c>
      <c r="V459" s="16">
        <f>IF(資金模擬!$B$9=2,MAX(R459,0),MAX(V458,FLOOR(MAX(R459,0),資金模擬!$B$6)))</f>
        <v/>
      </c>
      <c r="W459" s="10">
        <f>MAX(W458,R459)</f>
        <v/>
      </c>
      <c r="X459" s="4">
        <f>IF(W459&gt;0,R459/W459-1,-1)</f>
        <v/>
      </c>
      <c r="Y459" s="16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17" t="n">
        <v>0.6319</v>
      </c>
      <c r="H460" s="17" t="n">
        <v>0.612943</v>
      </c>
      <c r="I460" s="17" t="n">
        <v>0.6634950000000001</v>
      </c>
      <c r="J460" s="17" t="n"/>
      <c r="K460" s="2" t="n"/>
      <c r="L460" s="5" t="n"/>
      <c r="M460" s="16">
        <f>資金模擬!$B$5*V459</f>
        <v/>
      </c>
      <c r="N460" s="2">
        <f>IF(Z459=1,"已停止",IF(T459&gt;=M460,"已下單","資金不足略過"))</f>
        <v/>
      </c>
      <c r="O460" s="16">
        <f>IF(N460="已下單",M460*資金模擬!$B$7,0)</f>
        <v/>
      </c>
      <c r="P460" s="4" t="n"/>
      <c r="Q460" s="10" t="n">
        <v>0</v>
      </c>
      <c r="R460" s="10">
        <f>R459+Q460</f>
        <v/>
      </c>
      <c r="S460" s="16">
        <f>S459+IF(N460="已下單",M460,0)</f>
        <v/>
      </c>
      <c r="T460" s="16">
        <f>R460-S460</f>
        <v/>
      </c>
      <c r="U460" s="2">
        <f>U459+IF(N460="已下單",1,0)</f>
        <v/>
      </c>
      <c r="V460" s="16">
        <f>IF(資金模擬!$B$9=2,MAX(R460,0),MAX(V459,FLOOR(MAX(R460,0),資金模擬!$B$6)))</f>
        <v/>
      </c>
      <c r="W460" s="10">
        <f>MAX(W459,R460)</f>
        <v/>
      </c>
      <c r="X460" s="4">
        <f>IF(W460&gt;0,R460/W460-1,-1)</f>
        <v/>
      </c>
      <c r="Y460" s="16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17" t="n">
        <v>6.252</v>
      </c>
      <c r="H461" s="17" t="n">
        <v>6.064439999999999</v>
      </c>
      <c r="I461" s="17" t="n">
        <v>6.5646</v>
      </c>
      <c r="J461" s="17" t="n"/>
      <c r="K461" s="2" t="n"/>
      <c r="L461" s="5" t="n"/>
      <c r="M461" s="16">
        <f>資金模擬!$B$5*V460</f>
        <v/>
      </c>
      <c r="N461" s="2">
        <f>IF(Z460=1,"已停止",IF(T460&gt;=M461,"已下單","資金不足略過"))</f>
        <v/>
      </c>
      <c r="O461" s="16">
        <f>IF(N461="已下單",M461*資金模擬!$B$7,0)</f>
        <v/>
      </c>
      <c r="P461" s="4" t="n"/>
      <c r="Q461" s="10" t="n">
        <v>0</v>
      </c>
      <c r="R461" s="10">
        <f>R460+Q461</f>
        <v/>
      </c>
      <c r="S461" s="16">
        <f>S460+IF(N461="已下單",M461,0)</f>
        <v/>
      </c>
      <c r="T461" s="16">
        <f>R461-S461</f>
        <v/>
      </c>
      <c r="U461" s="2">
        <f>U460+IF(N461="已下單",1,0)</f>
        <v/>
      </c>
      <c r="V461" s="16">
        <f>IF(資金模擬!$B$9=2,MAX(R461,0),MAX(V460,FLOOR(MAX(R461,0),資金模擬!$B$6)))</f>
        <v/>
      </c>
      <c r="W461" s="10">
        <f>MAX(W460,R461)</f>
        <v/>
      </c>
      <c r="X461" s="4">
        <f>IF(W461&gt;0,R461/W461-1,-1)</f>
        <v/>
      </c>
      <c r="Y461" s="16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17" t="n">
        <v>0.17359</v>
      </c>
      <c r="H462" s="17" t="n">
        <v>0.1787977</v>
      </c>
      <c r="I462" s="17" t="n">
        <v>0.1649105</v>
      </c>
      <c r="J462" s="17" t="n"/>
      <c r="K462" s="2" t="n"/>
      <c r="L462" s="5" t="n"/>
      <c r="M462" s="16">
        <f>資金模擬!$B$5*V461</f>
        <v/>
      </c>
      <c r="N462" s="2">
        <f>IF(Z461=1,"已停止",IF(T461&gt;=M462,"已下單","資金不足略過"))</f>
        <v/>
      </c>
      <c r="O462" s="16">
        <f>IF(N462="已下單",M462*資金模擬!$B$7,0)</f>
        <v/>
      </c>
      <c r="P462" s="4" t="n"/>
      <c r="Q462" s="10" t="n">
        <v>0</v>
      </c>
      <c r="R462" s="10">
        <f>R461+Q462</f>
        <v/>
      </c>
      <c r="S462" s="16">
        <f>S461+IF(N462="已下單",M462,0)</f>
        <v/>
      </c>
      <c r="T462" s="16">
        <f>R462-S462</f>
        <v/>
      </c>
      <c r="U462" s="2">
        <f>U461+IF(N462="已下單",1,0)</f>
        <v/>
      </c>
      <c r="V462" s="16">
        <f>IF(資金模擬!$B$9=2,MAX(R462,0),MAX(V461,FLOOR(MAX(R462,0),資金模擬!$B$6)))</f>
        <v/>
      </c>
      <c r="W462" s="10">
        <f>MAX(W461,R462)</f>
        <v/>
      </c>
      <c r="X462" s="4">
        <f>IF(W462&gt;0,R462/W462-1,-1)</f>
        <v/>
      </c>
      <c r="Y462" s="16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17" t="n">
        <v>4.209</v>
      </c>
      <c r="H463" s="17" t="n">
        <v>4.08273</v>
      </c>
      <c r="I463" s="17" t="n">
        <v>4.419449999999999</v>
      </c>
      <c r="J463" s="17" t="n">
        <v>4.08273</v>
      </c>
      <c r="K463" s="2" t="inlineStr">
        <is>
          <t>止盈</t>
        </is>
      </c>
      <c r="L463" s="5">
        <f>交易明細!K230</f>
        <v/>
      </c>
      <c r="M463" s="16">
        <f>M459</f>
        <v/>
      </c>
      <c r="N463" s="2">
        <f>N459</f>
        <v/>
      </c>
      <c r="O463" s="16">
        <f>O459</f>
        <v/>
      </c>
      <c r="P463" s="4">
        <f>交易明細!L230</f>
        <v/>
      </c>
      <c r="Q463" s="10">
        <f>IF(N463="已下單",O463*P463,0)</f>
        <v/>
      </c>
      <c r="R463" s="10">
        <f>R462+Q463</f>
        <v/>
      </c>
      <c r="S463" s="16">
        <f>S462-IF(N463="已下單",M463,0)</f>
        <v/>
      </c>
      <c r="T463" s="16">
        <f>R463-S463</f>
        <v/>
      </c>
      <c r="U463" s="2">
        <f>U462-IF(N463="已下單",1,0)</f>
        <v/>
      </c>
      <c r="V463" s="16">
        <f>IF(資金模擬!$B$9=2,MAX(R463,0),MAX(V462,FLOOR(MAX(R463,0),資金模擬!$B$6)))</f>
        <v/>
      </c>
      <c r="W463" s="10">
        <f>MAX(W462,R463)</f>
        <v/>
      </c>
      <c r="X463" s="4">
        <f>IF(W463&gt;0,R463/W463-1,-1)</f>
        <v/>
      </c>
      <c r="Y463" s="16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17" t="n">
        <v>0.6319</v>
      </c>
      <c r="H464" s="17" t="n">
        <v>0.612943</v>
      </c>
      <c r="I464" s="17" t="n">
        <v>0.6634950000000001</v>
      </c>
      <c r="J464" s="17" t="n">
        <v>0.6634950000000001</v>
      </c>
      <c r="K464" s="2" t="inlineStr">
        <is>
          <t>止損</t>
        </is>
      </c>
      <c r="L464" s="5">
        <f>交易明細!K231</f>
        <v/>
      </c>
      <c r="M464" s="16">
        <f>M460</f>
        <v/>
      </c>
      <c r="N464" s="2">
        <f>N460</f>
        <v/>
      </c>
      <c r="O464" s="16">
        <f>O460</f>
        <v/>
      </c>
      <c r="P464" s="4">
        <f>交易明細!L231</f>
        <v/>
      </c>
      <c r="Q464" s="10">
        <f>IF(N464="已下單",O464*P464,0)</f>
        <v/>
      </c>
      <c r="R464" s="10">
        <f>R463+Q464</f>
        <v/>
      </c>
      <c r="S464" s="16">
        <f>S463-IF(N464="已下單",M464,0)</f>
        <v/>
      </c>
      <c r="T464" s="16">
        <f>R464-S464</f>
        <v/>
      </c>
      <c r="U464" s="2">
        <f>U463-IF(N464="已下單",1,0)</f>
        <v/>
      </c>
      <c r="V464" s="16">
        <f>IF(資金模擬!$B$9=2,MAX(R464,0),MAX(V463,FLOOR(MAX(R464,0),資金模擬!$B$6)))</f>
        <v/>
      </c>
      <c r="W464" s="10">
        <f>MAX(W463,R464)</f>
        <v/>
      </c>
      <c r="X464" s="4">
        <f>IF(W464&gt;0,R464/W464-1,-1)</f>
        <v/>
      </c>
      <c r="Y464" s="16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17" t="n">
        <v>0.17359</v>
      </c>
      <c r="H465" s="17" t="n">
        <v>0.1787977</v>
      </c>
      <c r="I465" s="17" t="n">
        <v>0.1649105</v>
      </c>
      <c r="J465" s="17" t="n">
        <v>0.1787977</v>
      </c>
      <c r="K465" s="2" t="inlineStr">
        <is>
          <t>止盈</t>
        </is>
      </c>
      <c r="L465" s="5">
        <f>交易明細!K233</f>
        <v/>
      </c>
      <c r="M465" s="16">
        <f>M462</f>
        <v/>
      </c>
      <c r="N465" s="2">
        <f>N462</f>
        <v/>
      </c>
      <c r="O465" s="16">
        <f>O462</f>
        <v/>
      </c>
      <c r="P465" s="4">
        <f>交易明細!L233</f>
        <v/>
      </c>
      <c r="Q465" s="10">
        <f>IF(N465="已下單",O465*P465,0)</f>
        <v/>
      </c>
      <c r="R465" s="10">
        <f>R464+Q465</f>
        <v/>
      </c>
      <c r="S465" s="16">
        <f>S464-IF(N465="已下單",M465,0)</f>
        <v/>
      </c>
      <c r="T465" s="16">
        <f>R465-S465</f>
        <v/>
      </c>
      <c r="U465" s="2">
        <f>U464-IF(N465="已下單",1,0)</f>
        <v/>
      </c>
      <c r="V465" s="16">
        <f>IF(資金模擬!$B$9=2,MAX(R465,0),MAX(V464,FLOOR(MAX(R465,0),資金模擬!$B$6)))</f>
        <v/>
      </c>
      <c r="W465" s="10">
        <f>MAX(W464,R465)</f>
        <v/>
      </c>
      <c r="X465" s="4">
        <f>IF(W465&gt;0,R465/W465-1,-1)</f>
        <v/>
      </c>
      <c r="Y465" s="16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17" t="n">
        <v>0.21036</v>
      </c>
      <c r="H466" s="17" t="n">
        <v>0.2166708</v>
      </c>
      <c r="I466" s="17" t="n">
        <v>0.199842</v>
      </c>
      <c r="J466" s="17" t="n"/>
      <c r="K466" s="2" t="n"/>
      <c r="L466" s="5" t="n"/>
      <c r="M466" s="16">
        <f>資金模擬!$B$5*V465</f>
        <v/>
      </c>
      <c r="N466" s="2">
        <f>IF(Z465=1,"已停止",IF(T465&gt;=M466,"已下單","資金不足略過"))</f>
        <v/>
      </c>
      <c r="O466" s="16">
        <f>IF(N466="已下單",M466*資金模擬!$B$7,0)</f>
        <v/>
      </c>
      <c r="P466" s="4" t="n"/>
      <c r="Q466" s="10" t="n">
        <v>0</v>
      </c>
      <c r="R466" s="10">
        <f>R465+Q466</f>
        <v/>
      </c>
      <c r="S466" s="16">
        <f>S465+IF(N466="已下單",M466,0)</f>
        <v/>
      </c>
      <c r="T466" s="16">
        <f>R466-S466</f>
        <v/>
      </c>
      <c r="U466" s="2">
        <f>U465+IF(N466="已下單",1,0)</f>
        <v/>
      </c>
      <c r="V466" s="16">
        <f>IF(資金模擬!$B$9=2,MAX(R466,0),MAX(V465,FLOOR(MAX(R466,0),資金模擬!$B$6)))</f>
        <v/>
      </c>
      <c r="W466" s="10">
        <f>MAX(W465,R466)</f>
        <v/>
      </c>
      <c r="X466" s="4">
        <f>IF(W466&gt;0,R466/W466-1,-1)</f>
        <v/>
      </c>
      <c r="Y466" s="16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17" t="n">
        <v>6.252</v>
      </c>
      <c r="H467" s="17" t="n">
        <v>6.064439999999999</v>
      </c>
      <c r="I467" s="17" t="n">
        <v>6.5646</v>
      </c>
      <c r="J467" s="17" t="n">
        <v>6.5646</v>
      </c>
      <c r="K467" s="2" t="inlineStr">
        <is>
          <t>止損</t>
        </is>
      </c>
      <c r="L467" s="5">
        <f>交易明細!K232</f>
        <v/>
      </c>
      <c r="M467" s="16">
        <f>M461</f>
        <v/>
      </c>
      <c r="N467" s="2">
        <f>N461</f>
        <v/>
      </c>
      <c r="O467" s="16">
        <f>O461</f>
        <v/>
      </c>
      <c r="P467" s="4">
        <f>交易明細!L232</f>
        <v/>
      </c>
      <c r="Q467" s="10">
        <f>IF(N467="已下單",O467*P467,0)</f>
        <v/>
      </c>
      <c r="R467" s="10">
        <f>R466+Q467</f>
        <v/>
      </c>
      <c r="S467" s="16">
        <f>S466-IF(N467="已下單",M467,0)</f>
        <v/>
      </c>
      <c r="T467" s="16">
        <f>R467-S467</f>
        <v/>
      </c>
      <c r="U467" s="2">
        <f>U466-IF(N467="已下單",1,0)</f>
        <v/>
      </c>
      <c r="V467" s="16">
        <f>IF(資金模擬!$B$9=2,MAX(R467,0),MAX(V466,FLOOR(MAX(R467,0),資金模擬!$B$6)))</f>
        <v/>
      </c>
      <c r="W467" s="10">
        <f>MAX(W466,R467)</f>
        <v/>
      </c>
      <c r="X467" s="4">
        <f>IF(W467&gt;0,R467/W467-1,-1)</f>
        <v/>
      </c>
      <c r="Y467" s="16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17" t="n">
        <v>0.21036</v>
      </c>
      <c r="H468" s="17" t="n">
        <v>0.2166708</v>
      </c>
      <c r="I468" s="17" t="n">
        <v>0.199842</v>
      </c>
      <c r="J468" s="17" t="n">
        <v>0.2166708</v>
      </c>
      <c r="K468" s="2" t="inlineStr">
        <is>
          <t>止盈</t>
        </is>
      </c>
      <c r="L468" s="5">
        <f>交易明細!K234</f>
        <v/>
      </c>
      <c r="M468" s="16">
        <f>M466</f>
        <v/>
      </c>
      <c r="N468" s="2">
        <f>N466</f>
        <v/>
      </c>
      <c r="O468" s="16">
        <f>O466</f>
        <v/>
      </c>
      <c r="P468" s="4">
        <f>交易明細!L234</f>
        <v/>
      </c>
      <c r="Q468" s="10">
        <f>IF(N468="已下單",O468*P468,0)</f>
        <v/>
      </c>
      <c r="R468" s="10">
        <f>R467+Q468</f>
        <v/>
      </c>
      <c r="S468" s="16">
        <f>S467-IF(N468="已下單",M468,0)</f>
        <v/>
      </c>
      <c r="T468" s="16">
        <f>R468-S468</f>
        <v/>
      </c>
      <c r="U468" s="2">
        <f>U467-IF(N468="已下單",1,0)</f>
        <v/>
      </c>
      <c r="V468" s="16">
        <f>IF(資金模擬!$B$9=2,MAX(R468,0),MAX(V467,FLOOR(MAX(R468,0),資金模擬!$B$6)))</f>
        <v/>
      </c>
      <c r="W468" s="10">
        <f>MAX(W467,R468)</f>
        <v/>
      </c>
      <c r="X468" s="4">
        <f>IF(W468&gt;0,R468/W468-1,-1)</f>
        <v/>
      </c>
      <c r="Y468" s="16">
        <f>IF(R468&gt;0,S468*資金模擬!$B$7/R468,0)</f>
        <v/>
      </c>
      <c r="Z468" s="2">
        <f>IF(OR(Z467=1,R468&lt;=資金模擬!$B$10),1,0)</f>
        <v/>
      </c>
    </row>
  </sheetData>
  <autoFilter ref="A1:Z468"/>
  <conditionalFormatting sqref="K2:K4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02:16（Dry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19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IFERROR(AVERAGE(交易明細!$AC$2:$AC$234),(B6+2*B7)/(B5+B6))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17" t="n">
        <v>0.01515</v>
      </c>
      <c r="F2" s="17" t="n">
        <v>0.0156045</v>
      </c>
      <c r="G2" s="17" t="n">
        <v>0.0143925</v>
      </c>
      <c r="H2" s="7" t="n">
        <v>46266.08333333334</v>
      </c>
      <c r="I2" s="17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19" t="n">
        <v>30338196</v>
      </c>
      <c r="R2" s="19" t="n">
        <v>2527661.32773</v>
      </c>
      <c r="S2" s="4" t="n">
        <v>0.03</v>
      </c>
      <c r="T2" s="4" t="n">
        <v>0</v>
      </c>
      <c r="U2" s="16" t="n">
        <v>1.495606184646306</v>
      </c>
      <c r="V2" s="16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17" t="n">
        <v>0.0548</v>
      </c>
      <c r="F3" s="17" t="n">
        <v>0.053156</v>
      </c>
      <c r="G3" s="17" t="n">
        <v>0.05754</v>
      </c>
      <c r="H3" s="7" t="n">
        <v>46266.33333333334</v>
      </c>
      <c r="I3" s="17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19" t="n">
        <v>-39041574</v>
      </c>
      <c r="R3" s="19" t="n">
        <v>3589003.914609999</v>
      </c>
      <c r="S3" s="4" t="n">
        <v>0.03</v>
      </c>
      <c r="T3" s="4" t="n">
        <v>0.02317518248175188</v>
      </c>
      <c r="U3" s="16" t="n">
        <v>1.368973465594542</v>
      </c>
      <c r="V3" s="16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17" t="n">
        <v>531.58</v>
      </c>
      <c r="F4" s="17" t="n">
        <v>547.5274000000001</v>
      </c>
      <c r="G4" s="17" t="n">
        <v>505.001</v>
      </c>
      <c r="H4" s="7" t="n">
        <v>46267</v>
      </c>
      <c r="I4" s="17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19" t="n">
        <v>1601.156000000001</v>
      </c>
      <c r="R4" s="19" t="n">
        <v>2853090.69898</v>
      </c>
      <c r="S4" s="4" t="n">
        <v>0.002539598931487141</v>
      </c>
      <c r="T4" s="4" t="n">
        <v>0.05</v>
      </c>
      <c r="U4" s="16" t="n">
        <v>1.128300625507329</v>
      </c>
      <c r="V4" s="16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17" t="n">
        <v>0.028369</v>
      </c>
      <c r="F5" s="17" t="n">
        <v>0.02922007</v>
      </c>
      <c r="G5" s="17" t="n">
        <v>0.02695055</v>
      </c>
      <c r="H5" s="7" t="n">
        <v>46266.29166666666</v>
      </c>
      <c r="I5" s="17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19" t="n">
        <v>9164683</v>
      </c>
      <c r="R5" s="19" t="n">
        <v>8694027.935574001</v>
      </c>
      <c r="S5" s="4" t="n">
        <v>0.03</v>
      </c>
      <c r="T5" s="4" t="n">
        <v>0</v>
      </c>
      <c r="U5" s="16" t="n">
        <v>0.4509423838395649</v>
      </c>
      <c r="V5" s="16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17" t="n">
        <v>0.004605</v>
      </c>
      <c r="F6" s="17" t="n">
        <v>0.00474315</v>
      </c>
      <c r="G6" s="17" t="n">
        <v>0.004374749999999999</v>
      </c>
      <c r="H6" s="7" t="n">
        <v>46266.75</v>
      </c>
      <c r="I6" s="17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19" t="n">
        <v>1426177257</v>
      </c>
      <c r="R6" s="19" t="n">
        <v>14089272.884552</v>
      </c>
      <c r="S6" s="4" t="n">
        <v>0.007383279044516966</v>
      </c>
      <c r="T6" s="4" t="n">
        <v>0.05</v>
      </c>
      <c r="U6" s="16" t="n">
        <v>1.917056464477756</v>
      </c>
      <c r="V6" s="16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17" t="n">
        <v>0.1099</v>
      </c>
      <c r="F7" s="17" t="n">
        <v>0.113197</v>
      </c>
      <c r="G7" s="17" t="n">
        <v>0.104405</v>
      </c>
      <c r="H7" s="7" t="n">
        <v>46266.79166666666</v>
      </c>
      <c r="I7" s="17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19" t="n">
        <v>2948217.4</v>
      </c>
      <c r="R7" s="19" t="n">
        <v>1581318.66542</v>
      </c>
      <c r="S7" s="4" t="n">
        <v>0.03</v>
      </c>
      <c r="T7" s="4" t="n">
        <v>0</v>
      </c>
      <c r="U7" s="16" t="n">
        <v>4.184123517013983</v>
      </c>
      <c r="V7" s="16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17" t="n">
        <v>0.09113</v>
      </c>
      <c r="F8" s="17" t="n">
        <v>0.0938639</v>
      </c>
      <c r="G8" s="17" t="n">
        <v>0.0865735</v>
      </c>
      <c r="H8" s="7" t="n">
        <v>46266.79166666666</v>
      </c>
      <c r="I8" s="17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19" t="n">
        <v>4835282</v>
      </c>
      <c r="R8" s="19" t="n">
        <v>3907392.8932</v>
      </c>
      <c r="S8" s="4" t="n">
        <v>0.03</v>
      </c>
      <c r="T8" s="4" t="n">
        <v>0</v>
      </c>
      <c r="U8" s="16" t="n">
        <v>0.8352760034916105</v>
      </c>
      <c r="V8" s="16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17" t="n">
        <v>0.0161</v>
      </c>
      <c r="F9" s="17" t="n">
        <v>0.016583</v>
      </c>
      <c r="G9" s="17" t="n">
        <v>0.015295</v>
      </c>
      <c r="H9" s="7" t="n">
        <v>46267</v>
      </c>
      <c r="I9" s="17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19" t="n">
        <v>21786432</v>
      </c>
      <c r="R9" s="19" t="n">
        <v>2485334.30933</v>
      </c>
      <c r="S9" s="4" t="n">
        <v>0.03</v>
      </c>
      <c r="T9" s="4" t="n">
        <v>0.03229813664596271</v>
      </c>
      <c r="U9" s="16" t="n">
        <v>0.4854555047945848</v>
      </c>
      <c r="V9" s="16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17" t="n">
        <v>0.004467</v>
      </c>
      <c r="F10" s="17" t="n">
        <v>0.00460101</v>
      </c>
      <c r="G10" s="17" t="n">
        <v>0.00424365</v>
      </c>
      <c r="H10" s="7" t="n">
        <v>46267.125</v>
      </c>
      <c r="I10" s="17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19" t="n">
        <v>275449570</v>
      </c>
      <c r="R10" s="19" t="n">
        <v>7439037.937779999</v>
      </c>
      <c r="S10" s="4" t="n">
        <v>0.008506827848668186</v>
      </c>
      <c r="T10" s="4" t="n">
        <v>0.05</v>
      </c>
      <c r="U10" s="16" t="n">
        <v>1.643469630173643</v>
      </c>
      <c r="V10" s="16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17" t="n">
        <v>0.01546</v>
      </c>
      <c r="F11" s="17" t="n">
        <v>0.0149962</v>
      </c>
      <c r="G11" s="17" t="n">
        <v>0.016233</v>
      </c>
      <c r="H11" s="7" t="n">
        <v>46267.16666666666</v>
      </c>
      <c r="I11" s="17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19" t="n">
        <v>-8331572</v>
      </c>
      <c r="R11" s="19" t="n">
        <v>1791699.90477</v>
      </c>
      <c r="S11" s="4" t="n">
        <v>0.03</v>
      </c>
      <c r="T11" s="4" t="n">
        <v>0.0226390685640363</v>
      </c>
      <c r="U11" s="16" t="n">
        <v>1.171279734701298</v>
      </c>
      <c r="V11" s="16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17" t="n">
        <v>0.004146</v>
      </c>
      <c r="F12" s="17" t="n">
        <v>0.00402162</v>
      </c>
      <c r="G12" s="17" t="n">
        <v>0.004353300000000001</v>
      </c>
      <c r="H12" s="7" t="n">
        <v>46268.29166666666</v>
      </c>
      <c r="I12" s="17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19" t="n">
        <v>-426829056</v>
      </c>
      <c r="R12" s="19" t="n">
        <v>6398366.633454001</v>
      </c>
      <c r="S12" s="4" t="n">
        <v>0.03</v>
      </c>
      <c r="T12" s="4" t="n">
        <v>0.04896285576459225</v>
      </c>
      <c r="U12" s="16" t="n">
        <v>11.39017319214903</v>
      </c>
      <c r="V12" s="16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17" t="n">
        <v>0.08327</v>
      </c>
      <c r="F13" s="17" t="n">
        <v>0.08077189999999999</v>
      </c>
      <c r="G13" s="17" t="n">
        <v>0.0874335</v>
      </c>
      <c r="H13" s="7" t="n">
        <v>46267.45833333334</v>
      </c>
      <c r="I13" s="17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19" t="n">
        <v>-1142275</v>
      </c>
      <c r="R13" s="19" t="n">
        <v>1439472.26043</v>
      </c>
      <c r="S13" s="4" t="n">
        <v>0.03</v>
      </c>
      <c r="T13" s="4" t="n">
        <v>0</v>
      </c>
      <c r="U13" s="16" t="n">
        <v>1.127056935082819</v>
      </c>
      <c r="V13" s="16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17" t="n">
        <v>6.019</v>
      </c>
      <c r="F14" s="17" t="n">
        <v>6.19957</v>
      </c>
      <c r="G14" s="17" t="n">
        <v>5.71805</v>
      </c>
      <c r="H14" s="7" t="n">
        <v>46267.54166666666</v>
      </c>
      <c r="I14" s="17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19" t="n">
        <v>57862</v>
      </c>
      <c r="R14" s="19" t="n">
        <v>5340979.182999999</v>
      </c>
      <c r="S14" s="4" t="n">
        <v>0.03</v>
      </c>
      <c r="T14" s="4" t="n">
        <v>0.00930387107492936</v>
      </c>
      <c r="U14" s="16" t="n">
        <v>1.166212519579696</v>
      </c>
      <c r="V14" s="16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17" t="n">
        <v>0.3838</v>
      </c>
      <c r="F15" s="17" t="n">
        <v>0.395314</v>
      </c>
      <c r="G15" s="17" t="n">
        <v>0.3646099999999999</v>
      </c>
      <c r="H15" s="7" t="n">
        <v>46267.79166666666</v>
      </c>
      <c r="I15" s="17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19" t="n">
        <v>830427.7000000002</v>
      </c>
      <c r="R15" s="19" t="n">
        <v>1422562.09482</v>
      </c>
      <c r="S15" s="4" t="n">
        <v>0.003908285565398684</v>
      </c>
      <c r="T15" s="4" t="n">
        <v>0.05</v>
      </c>
      <c r="U15" s="16" t="n">
        <v>1.260294498787033</v>
      </c>
      <c r="V15" s="16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17" t="n">
        <v>0.022381</v>
      </c>
      <c r="F16" s="17" t="n">
        <v>0.02170957</v>
      </c>
      <c r="G16" s="17" t="n">
        <v>0.02350005</v>
      </c>
      <c r="H16" s="7" t="n">
        <v>46267.58333333334</v>
      </c>
      <c r="I16" s="17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19" t="n">
        <v>-49097315</v>
      </c>
      <c r="R16" s="19" t="n">
        <v>3136147.261192</v>
      </c>
      <c r="S16" s="4" t="n">
        <v>0.02336803538715881</v>
      </c>
      <c r="T16" s="4" t="n">
        <v>0.05</v>
      </c>
      <c r="U16" s="16" t="n">
        <v>2.064305068077037</v>
      </c>
      <c r="V16" s="16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17" t="n">
        <v>0.08776</v>
      </c>
      <c r="F17" s="17" t="n">
        <v>0.09039280000000001</v>
      </c>
      <c r="G17" s="17" t="n">
        <v>0.083372</v>
      </c>
      <c r="H17" s="7" t="n">
        <v>46267.58333333334</v>
      </c>
      <c r="I17" s="17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19" t="n">
        <v>683387</v>
      </c>
      <c r="R17" s="19" t="n">
        <v>1408907.35188</v>
      </c>
      <c r="S17" s="4" t="n">
        <v>0.03</v>
      </c>
      <c r="T17" s="4" t="n">
        <v>0</v>
      </c>
      <c r="U17" s="16" t="n">
        <v>0.7479348006410231</v>
      </c>
      <c r="V17" s="16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17" t="n">
        <v>0.4351</v>
      </c>
      <c r="F18" s="17" t="n">
        <v>0.448153</v>
      </c>
      <c r="G18" s="17" t="n">
        <v>0.413345</v>
      </c>
      <c r="H18" s="7" t="n">
        <v>46267.66666666666</v>
      </c>
      <c r="I18" s="17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19" t="n">
        <v>816855</v>
      </c>
      <c r="R18" s="19" t="n">
        <v>1808502.8962</v>
      </c>
      <c r="S18" s="4" t="n">
        <v>0</v>
      </c>
      <c r="T18" s="4" t="n">
        <v>0.05</v>
      </c>
      <c r="U18" s="16" t="n">
        <v>1.090697890115798</v>
      </c>
      <c r="V18" s="16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17" t="n">
        <v>0.01439</v>
      </c>
      <c r="F19" s="17" t="n">
        <v>0.0139583</v>
      </c>
      <c r="G19" s="17" t="n">
        <v>0.0151095</v>
      </c>
      <c r="H19" s="7" t="n">
        <v>46267.66666666666</v>
      </c>
      <c r="I19" s="17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19" t="n">
        <v>-1169435</v>
      </c>
      <c r="R19" s="19" t="n">
        <v>1908493.63956</v>
      </c>
      <c r="S19" s="4" t="n">
        <v>0</v>
      </c>
      <c r="T19" s="4" t="n">
        <v>0.05</v>
      </c>
      <c r="U19" s="16" t="n">
        <v>1.186128783121517</v>
      </c>
      <c r="V19" s="16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17" t="n">
        <v>0.02203</v>
      </c>
      <c r="F20" s="17" t="n">
        <v>0.0213691</v>
      </c>
      <c r="G20" s="17" t="n">
        <v>0.0231315</v>
      </c>
      <c r="H20" s="7" t="n">
        <v>46267.66666666666</v>
      </c>
      <c r="I20" s="17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19" t="n">
        <v>-15164838</v>
      </c>
      <c r="R20" s="19" t="n">
        <v>3097417.315483</v>
      </c>
      <c r="S20" s="4" t="n">
        <v>0.03</v>
      </c>
      <c r="T20" s="4" t="n">
        <v>0</v>
      </c>
      <c r="U20" s="16" t="n">
        <v>1.209725302882777</v>
      </c>
      <c r="V20" s="16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17" t="n">
        <v>0.10669</v>
      </c>
      <c r="F21" s="17" t="n">
        <v>0.1034893</v>
      </c>
      <c r="G21" s="17" t="n">
        <v>0.1120245</v>
      </c>
      <c r="H21" s="7" t="n">
        <v>46267.79166666666</v>
      </c>
      <c r="I21" s="17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19" t="n">
        <v>-5434054</v>
      </c>
      <c r="R21" s="19" t="n">
        <v>7681110.42926</v>
      </c>
      <c r="S21" s="4" t="n">
        <v>0.03</v>
      </c>
      <c r="T21" s="4" t="n">
        <v>0</v>
      </c>
      <c r="U21" s="16" t="n">
        <v>0.9670140137041019</v>
      </c>
      <c r="V21" s="16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17" t="n">
        <v>0.5241</v>
      </c>
      <c r="F22" s="17" t="n">
        <v>0.508377</v>
      </c>
      <c r="G22" s="17" t="n">
        <v>0.550305</v>
      </c>
      <c r="H22" s="7" t="n">
        <v>46267.875</v>
      </c>
      <c r="I22" s="17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19" t="n">
        <v>-795267</v>
      </c>
      <c r="R22" s="19" t="n">
        <v>4210824.7711</v>
      </c>
      <c r="S22" s="4" t="n">
        <v>0.02976531196336585</v>
      </c>
      <c r="T22" s="4" t="n">
        <v>0.05</v>
      </c>
      <c r="U22" s="16" t="n">
        <v>2.619757497596312</v>
      </c>
      <c r="V22" s="16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17" t="n">
        <v>0.19257</v>
      </c>
      <c r="F23" s="17" t="n">
        <v>0.1867929</v>
      </c>
      <c r="G23" s="17" t="n">
        <v>0.2021985</v>
      </c>
      <c r="H23" s="7" t="n">
        <v>46267.875</v>
      </c>
      <c r="I23" s="17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19" t="n">
        <v>-1654553.749999993</v>
      </c>
      <c r="R23" s="19" t="n">
        <v>2513068.0053246</v>
      </c>
      <c r="S23" s="4" t="n">
        <v>0.03</v>
      </c>
      <c r="T23" s="4" t="n">
        <v>0</v>
      </c>
      <c r="U23" s="16" t="n">
        <v>1.581615562742938</v>
      </c>
      <c r="V23" s="16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17" t="n">
        <v>0.1076</v>
      </c>
      <c r="F24" s="17" t="n">
        <v>0.104372</v>
      </c>
      <c r="G24" s="17" t="n">
        <v>0.11298</v>
      </c>
      <c r="H24" s="7" t="n">
        <v>46267.95833333334</v>
      </c>
      <c r="I24" s="17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19" t="n">
        <v>-782584.100000001</v>
      </c>
      <c r="R24" s="19" t="n">
        <v>1241321.93288</v>
      </c>
      <c r="S24" s="4" t="n">
        <v>0.00371747211895912</v>
      </c>
      <c r="T24" s="4" t="n">
        <v>0.05</v>
      </c>
      <c r="U24" s="16" t="n">
        <v>2.387393816524527</v>
      </c>
      <c r="V24" s="16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17" t="n">
        <v>5.744</v>
      </c>
      <c r="F25" s="17" t="n">
        <v>5.57168</v>
      </c>
      <c r="G25" s="17" t="n">
        <v>6.0312</v>
      </c>
      <c r="H25" s="7" t="n">
        <v>46268.75</v>
      </c>
      <c r="I25" s="17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19" t="n">
        <v>-61964</v>
      </c>
      <c r="R25" s="19" t="n">
        <v>5926643.259000001</v>
      </c>
      <c r="S25" s="4" t="n">
        <v>0.01880222841225621</v>
      </c>
      <c r="T25" s="4" t="n">
        <v>0.05</v>
      </c>
      <c r="U25" s="16" t="n">
        <v>1.300484464954263</v>
      </c>
      <c r="V25" s="16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17" t="n">
        <v>0.415</v>
      </c>
      <c r="F26" s="17" t="n">
        <v>0.42745</v>
      </c>
      <c r="G26" s="17" t="n">
        <v>0.39425</v>
      </c>
      <c r="H26" s="7" t="n">
        <v>46267.95833333334</v>
      </c>
      <c r="I26" s="17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19" t="n">
        <v>701572</v>
      </c>
      <c r="R26" s="19" t="n">
        <v>3206596.5472</v>
      </c>
      <c r="S26" s="4" t="n">
        <v>0</v>
      </c>
      <c r="T26" s="4" t="n">
        <v>0.05</v>
      </c>
      <c r="U26" s="16" t="n">
        <v>2.425318178458414</v>
      </c>
      <c r="V26" s="16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17" t="n">
        <v>3.672</v>
      </c>
      <c r="F27" s="17" t="n">
        <v>3.78216</v>
      </c>
      <c r="G27" s="17" t="n">
        <v>3.4884</v>
      </c>
      <c r="H27" s="7" t="n">
        <v>46268.08333333334</v>
      </c>
      <c r="I27" s="17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19" t="n">
        <v>134118.8999999999</v>
      </c>
      <c r="R27" s="19" t="n">
        <v>2562400.075900001</v>
      </c>
      <c r="S27" s="4" t="n">
        <v>0.03</v>
      </c>
      <c r="T27" s="4" t="n">
        <v>0.001089324618736343</v>
      </c>
      <c r="U27" s="16" t="n">
        <v>1.25538625351542</v>
      </c>
      <c r="V27" s="16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17" t="n">
        <v>0.01528</v>
      </c>
      <c r="F28" s="17" t="n">
        <v>0.0157384</v>
      </c>
      <c r="G28" s="17" t="n">
        <v>0.014516</v>
      </c>
      <c r="H28" s="7" t="n">
        <v>46268.08333333334</v>
      </c>
      <c r="I28" s="17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19" t="n">
        <v>2348995</v>
      </c>
      <c r="R28" s="19" t="n">
        <v>1834088.15453</v>
      </c>
      <c r="S28" s="4" t="n">
        <v>0.03</v>
      </c>
      <c r="T28" s="4" t="n">
        <v>0</v>
      </c>
      <c r="U28" s="16" t="n">
        <v>1.03282950550985</v>
      </c>
      <c r="V28" s="16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17" t="n">
        <v>0.01431</v>
      </c>
      <c r="F29" s="17" t="n">
        <v>0.0138807</v>
      </c>
      <c r="G29" s="17" t="n">
        <v>0.0150255</v>
      </c>
      <c r="H29" s="7" t="n">
        <v>46268.16666666666</v>
      </c>
      <c r="I29" s="17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19" t="n">
        <v>-2655675</v>
      </c>
      <c r="R29" s="19" t="n">
        <v>1858306.46737</v>
      </c>
      <c r="S29" s="4" t="n">
        <v>0.03</v>
      </c>
      <c r="T29" s="4" t="n">
        <v>0</v>
      </c>
      <c r="U29" s="16" t="n">
        <v>0.4579468997457073</v>
      </c>
      <c r="V29" s="16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17" t="n">
        <v>0.06269</v>
      </c>
      <c r="F30" s="17" t="n">
        <v>0.0608093</v>
      </c>
      <c r="G30" s="17" t="n">
        <v>0.06582449999999999</v>
      </c>
      <c r="H30" s="7" t="n">
        <v>46268.375</v>
      </c>
      <c r="I30" s="17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19" t="n">
        <v>-3762358</v>
      </c>
      <c r="R30" s="19" t="n">
        <v>1201508.19612</v>
      </c>
      <c r="S30" s="4" t="n">
        <v>0.03</v>
      </c>
      <c r="T30" s="4" t="n">
        <v>0.01595150741745099</v>
      </c>
      <c r="U30" s="16" t="n">
        <v>2.080518871091662</v>
      </c>
      <c r="V30" s="16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17" t="n">
        <v>0.51536</v>
      </c>
      <c r="F31" s="17" t="n">
        <v>0.4998992</v>
      </c>
      <c r="G31" s="17" t="n">
        <v>0.5411280000000001</v>
      </c>
      <c r="H31" s="7" t="n">
        <v>46268.33333333334</v>
      </c>
      <c r="I31" s="17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19" t="n">
        <v>-428420</v>
      </c>
      <c r="R31" s="19" t="n">
        <v>3198859.6078</v>
      </c>
      <c r="S31" s="4" t="n">
        <v>0.03</v>
      </c>
      <c r="T31" s="4" t="n">
        <v>0</v>
      </c>
      <c r="U31" s="16" t="n">
        <v>0.9850008513716346</v>
      </c>
      <c r="V31" s="16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17" t="n">
        <v>3.783</v>
      </c>
      <c r="F32" s="17" t="n">
        <v>3.89649</v>
      </c>
      <c r="G32" s="17" t="n">
        <v>3.59385</v>
      </c>
      <c r="H32" s="7" t="n">
        <v>46268.375</v>
      </c>
      <c r="I32" s="17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19" t="n">
        <v>194510.6000000001</v>
      </c>
      <c r="R32" s="19" t="n">
        <v>2112813.9268</v>
      </c>
      <c r="S32" s="4" t="n">
        <v>0.03</v>
      </c>
      <c r="T32" s="4" t="n">
        <v>0</v>
      </c>
      <c r="U32" s="16" t="n">
        <v>0.9553524247338154</v>
      </c>
      <c r="V32" s="16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17" t="n">
        <v>0.022336</v>
      </c>
      <c r="F33" s="17" t="n">
        <v>0.02166592</v>
      </c>
      <c r="G33" s="17" t="n">
        <v>0.0234528</v>
      </c>
      <c r="H33" s="7" t="n">
        <v>46268.45833333334</v>
      </c>
      <c r="I33" s="17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19" t="n">
        <v>-25430815</v>
      </c>
      <c r="R33" s="19" t="n">
        <v>1993873.877972</v>
      </c>
      <c r="S33" s="4" t="n">
        <v>0.03</v>
      </c>
      <c r="T33" s="4" t="n">
        <v>0</v>
      </c>
      <c r="U33" s="16" t="n">
        <v>1.25061882633497</v>
      </c>
      <c r="V33" s="16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17" t="n">
        <v>0.01608</v>
      </c>
      <c r="F34" s="17" t="n">
        <v>0.0165624</v>
      </c>
      <c r="G34" s="17" t="n">
        <v>0.015276</v>
      </c>
      <c r="H34" s="7" t="n">
        <v>46268.79166666666</v>
      </c>
      <c r="I34" s="17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19" t="n">
        <v>3899446</v>
      </c>
      <c r="R34" s="19" t="n">
        <v>1802329.99498</v>
      </c>
      <c r="S34" s="4" t="n">
        <v>0.03</v>
      </c>
      <c r="T34" s="4" t="n">
        <v>0</v>
      </c>
      <c r="U34" s="16" t="n">
        <v>0.6606785029846948</v>
      </c>
      <c r="V34" s="16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17" t="n">
        <v>3.935</v>
      </c>
      <c r="F35" s="17" t="n">
        <v>4.05305</v>
      </c>
      <c r="G35" s="17" t="n">
        <v>3.73825</v>
      </c>
      <c r="H35" s="7" t="n">
        <v>46269</v>
      </c>
      <c r="I35" s="17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19" t="n">
        <v>72287.39999999991</v>
      </c>
      <c r="R35" s="19" t="n">
        <v>2586180.5533</v>
      </c>
      <c r="S35" s="4" t="n">
        <v>0.03</v>
      </c>
      <c r="T35" s="4" t="n">
        <v>0.008894536213468918</v>
      </c>
      <c r="U35" s="16" t="n">
        <v>1.082972593637594</v>
      </c>
      <c r="V35" s="16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17" t="n">
        <v>0.04945</v>
      </c>
      <c r="F36" s="17" t="n">
        <v>0.0509335</v>
      </c>
      <c r="G36" s="17" t="n">
        <v>0.0469775</v>
      </c>
      <c r="H36" s="7" t="n">
        <v>46269</v>
      </c>
      <c r="I36" s="17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19" t="n">
        <v>1986953</v>
      </c>
      <c r="R36" s="19" t="n">
        <v>4007565.20066</v>
      </c>
      <c r="S36" s="4" t="n">
        <v>0</v>
      </c>
      <c r="T36" s="4" t="n">
        <v>0.05</v>
      </c>
      <c r="U36" s="16" t="n">
        <v>0.5232849663588574</v>
      </c>
      <c r="V36" s="16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17" t="n">
        <v>0.01679</v>
      </c>
      <c r="F37" s="17" t="n">
        <v>0.0172937</v>
      </c>
      <c r="G37" s="17" t="n">
        <v>0.0159505</v>
      </c>
      <c r="H37" s="7" t="n">
        <v>46269.04166666666</v>
      </c>
      <c r="I37" s="17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19" t="n">
        <v>10234301</v>
      </c>
      <c r="R37" s="19" t="n">
        <v>1785837.04738</v>
      </c>
      <c r="S37" s="4" t="n">
        <v>0</v>
      </c>
      <c r="T37" s="4" t="n">
        <v>0.05</v>
      </c>
      <c r="U37" s="16" t="n">
        <v>0.6681337820991659</v>
      </c>
      <c r="V37" s="16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17" t="n">
        <v>6.266</v>
      </c>
      <c r="F38" s="17" t="n">
        <v>6.45398</v>
      </c>
      <c r="G38" s="17" t="n">
        <v>5.9527</v>
      </c>
      <c r="H38" s="7" t="n">
        <v>46269.25</v>
      </c>
      <c r="I38" s="17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19" t="n">
        <v>131264</v>
      </c>
      <c r="R38" s="19" t="n">
        <v>4774839.972</v>
      </c>
      <c r="S38" s="4" t="n">
        <v>0.03</v>
      </c>
      <c r="T38" s="4" t="n">
        <v>0.01244813278008305</v>
      </c>
      <c r="U38" s="16" t="n">
        <v>0.7356997057201177</v>
      </c>
      <c r="V38" s="16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17" t="n">
        <v>0.004273</v>
      </c>
      <c r="F39" s="17" t="n">
        <v>0.00414481</v>
      </c>
      <c r="G39" s="17" t="n">
        <v>0.00448665</v>
      </c>
      <c r="H39" s="7" t="n">
        <v>46269.375</v>
      </c>
      <c r="I39" s="17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19" t="n">
        <v>-20645662</v>
      </c>
      <c r="R39" s="19" t="n">
        <v>8456282.635321001</v>
      </c>
      <c r="S39" s="4" t="n">
        <v>0.03</v>
      </c>
      <c r="T39" s="4" t="n">
        <v>0.01404165691551618</v>
      </c>
      <c r="U39" s="16" t="n">
        <v>0.5760907647352584</v>
      </c>
      <c r="V39" s="16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17" t="n">
        <v>2.334</v>
      </c>
      <c r="F40" s="17" t="n">
        <v>2.26398</v>
      </c>
      <c r="G40" s="17" t="n">
        <v>2.4507</v>
      </c>
      <c r="H40" s="7" t="n">
        <v>46269.875</v>
      </c>
      <c r="I40" s="17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19" t="n">
        <v>-77474.39999999991</v>
      </c>
      <c r="R40" s="19" t="n">
        <v>1531665.9201</v>
      </c>
      <c r="S40" s="4" t="n">
        <v>0.03</v>
      </c>
      <c r="T40" s="4" t="n">
        <v>0.04841473864610113</v>
      </c>
      <c r="U40" s="16" t="n">
        <v>1.121029757953661</v>
      </c>
      <c r="V40" s="16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17" t="n">
        <v>0.3675</v>
      </c>
      <c r="F41" s="17" t="n">
        <v>0.378525</v>
      </c>
      <c r="G41" s="17" t="n">
        <v>0.349125</v>
      </c>
      <c r="H41" s="7" t="n">
        <v>46269.625</v>
      </c>
      <c r="I41" s="17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19" t="n">
        <v>4726</v>
      </c>
      <c r="R41" s="19" t="n">
        <v>1540599.185</v>
      </c>
      <c r="S41" s="4" t="n">
        <v>0.03</v>
      </c>
      <c r="T41" s="4" t="n">
        <v>0</v>
      </c>
      <c r="U41" s="16" t="n">
        <v>0.3654697253375122</v>
      </c>
      <c r="V41" s="16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17" t="n">
        <v>0.0548</v>
      </c>
      <c r="F42" s="17" t="n">
        <v>0.053156</v>
      </c>
      <c r="G42" s="17" t="n">
        <v>0.05754</v>
      </c>
      <c r="H42" s="7" t="n">
        <v>46269.75</v>
      </c>
      <c r="I42" s="17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19" t="n">
        <v>-1211245</v>
      </c>
      <c r="R42" s="19" t="n">
        <v>1458633.77091</v>
      </c>
      <c r="S42" s="4" t="n">
        <v>0.018065693430657</v>
      </c>
      <c r="T42" s="4" t="n">
        <v>0.05</v>
      </c>
      <c r="U42" s="16" t="n">
        <v>1.556560758762703</v>
      </c>
      <c r="V42" s="16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17" t="n">
        <v>0.6479</v>
      </c>
      <c r="F43" s="17" t="n">
        <v>0.6673370000000001</v>
      </c>
      <c r="G43" s="17" t="n">
        <v>0.615505</v>
      </c>
      <c r="H43" s="7" t="n">
        <v>46269.70833333334</v>
      </c>
      <c r="I43" s="17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19" t="n">
        <v>1552204</v>
      </c>
      <c r="R43" s="19" t="n">
        <v>8431855.6786</v>
      </c>
      <c r="S43" s="4" t="n">
        <v>0.03</v>
      </c>
      <c r="T43" s="4" t="n">
        <v>0</v>
      </c>
      <c r="U43" s="16" t="n">
        <v>0.8339566738177931</v>
      </c>
      <c r="V43" s="16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17" t="n">
        <v>0.3446</v>
      </c>
      <c r="F44" s="17" t="n">
        <v>0.334262</v>
      </c>
      <c r="G44" s="17" t="n">
        <v>0.36183</v>
      </c>
      <c r="H44" s="7" t="n">
        <v>46269.70833333334</v>
      </c>
      <c r="I44" s="17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19" t="n">
        <v>-292527</v>
      </c>
      <c r="R44" s="19" t="n">
        <v>1296885.2537</v>
      </c>
      <c r="S44" s="4" t="n">
        <v>0</v>
      </c>
      <c r="T44" s="4" t="n">
        <v>0.05</v>
      </c>
      <c r="U44" s="16" t="n">
        <v>3.488179702462242</v>
      </c>
      <c r="V44" s="16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17" t="n">
        <v>0.03347</v>
      </c>
      <c r="F45" s="17" t="n">
        <v>0.0344741</v>
      </c>
      <c r="G45" s="17" t="n">
        <v>0.0317965</v>
      </c>
      <c r="H45" s="7" t="n">
        <v>46269.75</v>
      </c>
      <c r="I45" s="17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19" t="n">
        <v>13823348</v>
      </c>
      <c r="R45" s="19" t="n">
        <v>3040756.21394</v>
      </c>
      <c r="S45" s="4" t="n">
        <v>0.03</v>
      </c>
      <c r="T45" s="4" t="n">
        <v>0</v>
      </c>
      <c r="U45" s="16" t="n">
        <v>1.228717919642171</v>
      </c>
      <c r="V45" s="16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17" t="n">
        <v>6.366</v>
      </c>
      <c r="F46" s="17" t="n">
        <v>6.55698</v>
      </c>
      <c r="G46" s="17" t="n">
        <v>6.047699999999999</v>
      </c>
      <c r="H46" s="7" t="n">
        <v>46269.91666666666</v>
      </c>
      <c r="I46" s="17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19" t="n">
        <v>107746</v>
      </c>
      <c r="R46" s="19" t="n">
        <v>5820666.546999999</v>
      </c>
      <c r="S46" s="4" t="n">
        <v>0.01586553565818405</v>
      </c>
      <c r="T46" s="4" t="n">
        <v>0.05</v>
      </c>
      <c r="U46" s="16" t="n">
        <v>0.7391591360381419</v>
      </c>
      <c r="V46" s="16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17" t="n">
        <v>0.096</v>
      </c>
      <c r="F47" s="17" t="n">
        <v>0.09888000000000001</v>
      </c>
      <c r="G47" s="17" t="n">
        <v>0.0912</v>
      </c>
      <c r="H47" s="7" t="n">
        <v>46269.83333333334</v>
      </c>
      <c r="I47" s="17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19" t="n">
        <v>2248906</v>
      </c>
      <c r="R47" s="19" t="n">
        <v>1369194.4473</v>
      </c>
      <c r="S47" s="4" t="n">
        <v>0.03</v>
      </c>
      <c r="T47" s="4" t="n">
        <v>0.007291666666666696</v>
      </c>
      <c r="U47" s="16" t="n">
        <v>1.172574097486803</v>
      </c>
      <c r="V47" s="16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17" t="n">
        <v>0.1404</v>
      </c>
      <c r="F48" s="17" t="n">
        <v>0.144612</v>
      </c>
      <c r="G48" s="17" t="n">
        <v>0.13338</v>
      </c>
      <c r="H48" s="7" t="n">
        <v>46269.875</v>
      </c>
      <c r="I48" s="17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19" t="n">
        <v>1976499.500000006</v>
      </c>
      <c r="R48" s="19" t="n">
        <v>2424307.18175</v>
      </c>
      <c r="S48" s="4" t="n">
        <v>0.002136752136752129</v>
      </c>
      <c r="T48" s="4" t="n">
        <v>0.05</v>
      </c>
      <c r="U48" s="16" t="n">
        <v>1.361732847326615</v>
      </c>
      <c r="V48" s="16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17" t="n">
        <v>0.05138</v>
      </c>
      <c r="F49" s="17" t="n">
        <v>0.0529214</v>
      </c>
      <c r="G49" s="17" t="n">
        <v>0.048811</v>
      </c>
      <c r="H49" s="7" t="n">
        <v>46269.875</v>
      </c>
      <c r="I49" s="17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19" t="n">
        <v>11673981</v>
      </c>
      <c r="R49" s="19" t="n">
        <v>2670920.15831</v>
      </c>
      <c r="S49" s="4" t="n">
        <v>0.0001946282600233662</v>
      </c>
      <c r="T49" s="4" t="n">
        <v>0.05</v>
      </c>
      <c r="U49" s="16" t="n">
        <v>0.6156411633660568</v>
      </c>
      <c r="V49" s="16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17" t="n">
        <v>0.6109</v>
      </c>
      <c r="F50" s="17" t="n">
        <v>0.592573</v>
      </c>
      <c r="G50" s="17" t="n">
        <v>0.641445</v>
      </c>
      <c r="H50" s="7" t="n">
        <v>46269.875</v>
      </c>
      <c r="I50" s="17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19" t="n">
        <v>-174673</v>
      </c>
      <c r="R50" s="19" t="n">
        <v>1770534.5799</v>
      </c>
      <c r="S50" s="4" t="n">
        <v>0.0157145195613031</v>
      </c>
      <c r="T50" s="4" t="n">
        <v>0.05</v>
      </c>
      <c r="U50" s="16" t="n">
        <v>1.757869923771654</v>
      </c>
      <c r="V50" s="16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17" t="n">
        <v>0.03417</v>
      </c>
      <c r="F51" s="17" t="n">
        <v>0.0351951</v>
      </c>
      <c r="G51" s="17" t="n">
        <v>0.0324615</v>
      </c>
      <c r="H51" s="7" t="n">
        <v>46269.83333333334</v>
      </c>
      <c r="I51" s="17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19" t="n">
        <v>5386058</v>
      </c>
      <c r="R51" s="19" t="n">
        <v>2917025.35578</v>
      </c>
      <c r="S51" s="4" t="n">
        <v>0.03</v>
      </c>
      <c r="T51" s="4" t="n">
        <v>0</v>
      </c>
      <c r="U51" s="16" t="n">
        <v>0.537512668098401</v>
      </c>
      <c r="V51" s="16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17" t="n">
        <v>0.1636</v>
      </c>
      <c r="F52" s="17" t="n">
        <v>0.158692</v>
      </c>
      <c r="G52" s="17" t="n">
        <v>0.17178</v>
      </c>
      <c r="H52" s="7" t="n">
        <v>46271.25</v>
      </c>
      <c r="I52" s="17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19" t="n">
        <v>-20487327</v>
      </c>
      <c r="R52" s="19" t="n">
        <v>9707039.205199998</v>
      </c>
      <c r="S52" s="4" t="n">
        <v>0.0171149144254279</v>
      </c>
      <c r="T52" s="4" t="n">
        <v>0.05</v>
      </c>
      <c r="U52" s="16" t="n">
        <v>3.183787135398965</v>
      </c>
      <c r="V52" s="16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17" t="n">
        <v>0.008347</v>
      </c>
      <c r="F53" s="17" t="n">
        <v>0.008096590000000001</v>
      </c>
      <c r="G53" s="17" t="n">
        <v>0.008764350000000001</v>
      </c>
      <c r="H53" s="7" t="n">
        <v>46271.375</v>
      </c>
      <c r="I53" s="17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19" t="n">
        <v>-96582575</v>
      </c>
      <c r="R53" s="19" t="n">
        <v>2366655.084075</v>
      </c>
      <c r="S53" s="4" t="n">
        <v>0.02551815023361681</v>
      </c>
      <c r="T53" s="4" t="n">
        <v>0.05</v>
      </c>
      <c r="U53" s="16" t="n">
        <v>3.271059749280652</v>
      </c>
      <c r="V53" s="16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17" t="n">
        <v>0.004101</v>
      </c>
      <c r="F54" s="17" t="n">
        <v>0.00397797</v>
      </c>
      <c r="G54" s="17" t="n">
        <v>0.00430605</v>
      </c>
      <c r="H54" s="7" t="n">
        <v>46269.91666666666</v>
      </c>
      <c r="I54" s="17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19" t="n">
        <v>-645002882</v>
      </c>
      <c r="R54" s="19" t="n">
        <v>9570907.211240999</v>
      </c>
      <c r="S54" s="4" t="n">
        <v>0</v>
      </c>
      <c r="T54" s="4" t="n">
        <v>0.05</v>
      </c>
      <c r="U54" s="16" t="n">
        <v>2.045795785573698</v>
      </c>
      <c r="V54" s="16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17" t="n">
        <v>0.092</v>
      </c>
      <c r="F55" s="17" t="n">
        <v>0.08924</v>
      </c>
      <c r="G55" s="17" t="n">
        <v>0.09660000000000001</v>
      </c>
      <c r="H55" s="7" t="n">
        <v>46272.25</v>
      </c>
      <c r="I55" s="17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19" t="n">
        <v>-6880508</v>
      </c>
      <c r="R55" s="19" t="n">
        <v>1918239.2299</v>
      </c>
      <c r="S55" s="4" t="n">
        <v>0.03</v>
      </c>
      <c r="T55" s="4" t="n">
        <v>0.04673913043478262</v>
      </c>
      <c r="U55" s="16" t="n">
        <v>16.25940944638446</v>
      </c>
      <c r="V55" s="16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17" t="n">
        <v>0.1319</v>
      </c>
      <c r="F56" s="17" t="n">
        <v>0.127943</v>
      </c>
      <c r="G56" s="17" t="n">
        <v>0.138495</v>
      </c>
      <c r="H56" s="7" t="n">
        <v>46271.08333333334</v>
      </c>
      <c r="I56" s="17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19" t="n">
        <v>-2211790.699999999</v>
      </c>
      <c r="R56" s="19" t="n">
        <v>2930632.13217</v>
      </c>
      <c r="S56" s="4" t="n">
        <v>0.02198635329795284</v>
      </c>
      <c r="T56" s="4" t="n">
        <v>0.05</v>
      </c>
      <c r="U56" s="16" t="n">
        <v>0.7719742250526247</v>
      </c>
      <c r="V56" s="16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17" t="n">
        <v>0.05085</v>
      </c>
      <c r="F57" s="17" t="n">
        <v>0.0523755</v>
      </c>
      <c r="G57" s="17" t="n">
        <v>0.0483075</v>
      </c>
      <c r="H57" s="7" t="n">
        <v>46270.16666666666</v>
      </c>
      <c r="I57" s="17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19" t="n">
        <v>7519842</v>
      </c>
      <c r="R57" s="19" t="n">
        <v>1853033.87427</v>
      </c>
      <c r="S57" s="4" t="n">
        <v>0.03</v>
      </c>
      <c r="T57" s="4" t="n">
        <v>0.04365781710914451</v>
      </c>
      <c r="U57" s="16" t="n">
        <v>0.8379137305704665</v>
      </c>
      <c r="V57" s="16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17" t="n">
        <v>0.6034</v>
      </c>
      <c r="F58" s="17" t="n">
        <v>0.585298</v>
      </c>
      <c r="G58" s="17" t="n">
        <v>0.6335700000000001</v>
      </c>
      <c r="H58" s="7" t="n">
        <v>46270.04166666666</v>
      </c>
      <c r="I58" s="17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19" t="n">
        <v>-285323</v>
      </c>
      <c r="R58" s="19" t="n">
        <v>1725425.0278</v>
      </c>
      <c r="S58" s="4" t="n">
        <v>0.03</v>
      </c>
      <c r="T58" s="4" t="n">
        <v>0.002983095790520141</v>
      </c>
      <c r="U58" s="16" t="n">
        <v>0.524672190684464</v>
      </c>
      <c r="V58" s="16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17" t="n">
        <v>0.1626</v>
      </c>
      <c r="F59" s="17" t="n">
        <v>0.157722</v>
      </c>
      <c r="G59" s="17" t="n">
        <v>0.17073</v>
      </c>
      <c r="H59" s="7" t="n">
        <v>46271.04166666666</v>
      </c>
      <c r="I59" s="17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19" t="n">
        <v>-1459066.5</v>
      </c>
      <c r="R59" s="19" t="n">
        <v>1214533.65472</v>
      </c>
      <c r="S59" s="4" t="n">
        <v>0.01045510455104559</v>
      </c>
      <c r="T59" s="4" t="n">
        <v>0.05</v>
      </c>
      <c r="U59" s="16" t="n">
        <v>1.307897414253236</v>
      </c>
      <c r="V59" s="16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17" t="n">
        <v>0.004196</v>
      </c>
      <c r="F60" s="17" t="n">
        <v>0.00407012</v>
      </c>
      <c r="G60" s="17" t="n">
        <v>0.004405800000000001</v>
      </c>
      <c r="H60" s="7" t="n">
        <v>46270.04166666666</v>
      </c>
      <c r="I60" s="17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19" t="n">
        <v>-558146088</v>
      </c>
      <c r="R60" s="19" t="n">
        <v>12115990.878203</v>
      </c>
      <c r="S60" s="4" t="n">
        <v>0.004051477597712072</v>
      </c>
      <c r="T60" s="4" t="n">
        <v>0.05</v>
      </c>
      <c r="U60" s="16" t="n">
        <v>7.760563773215896</v>
      </c>
      <c r="V60" s="16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17" t="n">
        <v>0.23932</v>
      </c>
      <c r="F61" s="17" t="n">
        <v>0.2464996</v>
      </c>
      <c r="G61" s="17" t="n">
        <v>0.227354</v>
      </c>
      <c r="H61" s="7" t="n">
        <v>46270.125</v>
      </c>
      <c r="I61" s="17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19" t="n">
        <v>6137488</v>
      </c>
      <c r="R61" s="19" t="n">
        <v>16292911.13047</v>
      </c>
      <c r="S61" s="4" t="n">
        <v>0.03</v>
      </c>
      <c r="T61" s="4" t="n">
        <v>0.02874811967240509</v>
      </c>
      <c r="U61" s="16" t="n">
        <v>0.5204797063782687</v>
      </c>
      <c r="V61" s="16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17" t="n">
        <v>0.0049</v>
      </c>
      <c r="F62" s="17" t="n">
        <v>0.005047</v>
      </c>
      <c r="G62" s="17" t="n">
        <v>0.004654999999999999</v>
      </c>
      <c r="H62" s="7" t="n">
        <v>46270.33333333334</v>
      </c>
      <c r="I62" s="17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19" t="n">
        <v>84680385</v>
      </c>
      <c r="R62" s="19" t="n">
        <v>1402062.6577</v>
      </c>
      <c r="S62" s="4" t="n">
        <v>0.03</v>
      </c>
      <c r="T62" s="4" t="n">
        <v>0.02857142857142847</v>
      </c>
      <c r="U62" s="16" t="n">
        <v>0.5373183085388367</v>
      </c>
      <c r="V62" s="16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17" t="n">
        <v>0.6736</v>
      </c>
      <c r="F63" s="17" t="n">
        <v>0.653392</v>
      </c>
      <c r="G63" s="17" t="n">
        <v>0.70728</v>
      </c>
      <c r="H63" s="7" t="n">
        <v>46270.33333333334</v>
      </c>
      <c r="I63" s="17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19" t="n">
        <v>-2414881</v>
      </c>
      <c r="R63" s="19" t="n">
        <v>14023919.0095</v>
      </c>
      <c r="S63" s="4" t="n">
        <v>0.01944774346793354</v>
      </c>
      <c r="T63" s="4" t="n">
        <v>0.05</v>
      </c>
      <c r="U63" s="16" t="n">
        <v>0.397331166499677</v>
      </c>
      <c r="V63" s="16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17" t="n">
        <v>4.817</v>
      </c>
      <c r="F64" s="17" t="n">
        <v>4.961510000000001</v>
      </c>
      <c r="G64" s="17" t="n">
        <v>4.57615</v>
      </c>
      <c r="H64" s="7" t="n">
        <v>46271.75</v>
      </c>
      <c r="I64" s="17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19" t="n">
        <v>325116.0000000005</v>
      </c>
      <c r="R64" s="19" t="n">
        <v>6427242.6301</v>
      </c>
      <c r="S64" s="4" t="n">
        <v>0.01100269877517124</v>
      </c>
      <c r="T64" s="4" t="n">
        <v>0.05</v>
      </c>
      <c r="U64" s="16" t="n">
        <v>0.5755823858458273</v>
      </c>
      <c r="V64" s="16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17" t="n">
        <v>0.443</v>
      </c>
      <c r="F65" s="17" t="n">
        <v>0.42971</v>
      </c>
      <c r="G65" s="17" t="n">
        <v>0.46515</v>
      </c>
      <c r="H65" s="7" t="n">
        <v>46270.70833333334</v>
      </c>
      <c r="I65" s="17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19" t="n">
        <v>-1349009</v>
      </c>
      <c r="R65" s="19" t="n">
        <v>3437781.0374</v>
      </c>
      <c r="S65" s="4" t="n">
        <v>0.0169300225733634</v>
      </c>
      <c r="T65" s="4" t="n">
        <v>0.05</v>
      </c>
      <c r="U65" s="16" t="n">
        <v>1.098587559887944</v>
      </c>
      <c r="V65" s="16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17" t="n">
        <v>0.19456</v>
      </c>
      <c r="F66" s="17" t="n">
        <v>0.2003968</v>
      </c>
      <c r="G66" s="17" t="n">
        <v>0.184832</v>
      </c>
      <c r="H66" s="7" t="n">
        <v>46270.75</v>
      </c>
      <c r="I66" s="17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19" t="n">
        <v>3426518</v>
      </c>
      <c r="R66" s="19" t="n">
        <v>11313272.11309</v>
      </c>
      <c r="S66" s="4" t="n">
        <v>0.03</v>
      </c>
      <c r="T66" s="4" t="n">
        <v>0</v>
      </c>
      <c r="U66" s="16" t="n">
        <v>0.6096169503983833</v>
      </c>
      <c r="V66" s="16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17" t="n">
        <v>0.23397</v>
      </c>
      <c r="F67" s="17" t="n">
        <v>0.2269509</v>
      </c>
      <c r="G67" s="17" t="n">
        <v>0.2456685</v>
      </c>
      <c r="H67" s="7" t="n">
        <v>46270.91666666666</v>
      </c>
      <c r="I67" s="17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19" t="n">
        <v>-824851</v>
      </c>
      <c r="R67" s="19" t="n">
        <v>11148789.01949</v>
      </c>
      <c r="S67" s="4" t="n">
        <v>0.02295166046929098</v>
      </c>
      <c r="T67" s="4" t="n">
        <v>0.05</v>
      </c>
      <c r="U67" s="16" t="n">
        <v>0.8740356287791156</v>
      </c>
      <c r="V67" s="16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17" t="n">
        <v>0.02597</v>
      </c>
      <c r="F68" s="17" t="n">
        <v>0.0267491</v>
      </c>
      <c r="G68" s="17" t="n">
        <v>0.0246715</v>
      </c>
      <c r="H68" s="7" t="n">
        <v>46270.91666666666</v>
      </c>
      <c r="I68" s="17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19" t="n">
        <v>24650626</v>
      </c>
      <c r="R68" s="19" t="n">
        <v>2314478.3529</v>
      </c>
      <c r="S68" s="4" t="n">
        <v>0.03</v>
      </c>
      <c r="T68" s="4" t="n">
        <v>0</v>
      </c>
      <c r="U68" s="16" t="n">
        <v>0.7829040135091946</v>
      </c>
      <c r="V68" s="16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17" t="n">
        <v>0.02716</v>
      </c>
      <c r="F69" s="17" t="n">
        <v>0.0279748</v>
      </c>
      <c r="G69" s="17" t="n">
        <v>0.025802</v>
      </c>
      <c r="H69" s="7" t="n">
        <v>46271.04166666666</v>
      </c>
      <c r="I69" s="17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19" t="n">
        <v>15075684</v>
      </c>
      <c r="R69" s="19" t="n">
        <v>2492898.93811</v>
      </c>
      <c r="S69" s="4" t="n">
        <v>0.03</v>
      </c>
      <c r="T69" s="4" t="n">
        <v>0</v>
      </c>
      <c r="U69" s="16" t="n">
        <v>0.5446360923393501</v>
      </c>
      <c r="V69" s="16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17" t="n">
        <v>2.251</v>
      </c>
      <c r="F70" s="17" t="n">
        <v>2.31853</v>
      </c>
      <c r="G70" s="17" t="n">
        <v>2.13845</v>
      </c>
      <c r="H70" s="7" t="n">
        <v>46271.70833333334</v>
      </c>
      <c r="I70" s="17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19" t="n">
        <v>120209</v>
      </c>
      <c r="R70" s="19" t="n">
        <v>3776189.788</v>
      </c>
      <c r="S70" s="4" t="n">
        <v>0.03</v>
      </c>
      <c r="T70" s="4" t="n">
        <v>0.03998223011994662</v>
      </c>
      <c r="U70" s="16" t="n">
        <v>0.7975812818373547</v>
      </c>
      <c r="V70" s="16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17" t="n">
        <v>6.91</v>
      </c>
      <c r="F71" s="17" t="n">
        <v>6.7027</v>
      </c>
      <c r="G71" s="17" t="n">
        <v>7.255500000000001</v>
      </c>
      <c r="H71" s="7" t="n">
        <v>46271.54166666666</v>
      </c>
      <c r="I71" s="17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19" t="n">
        <v>-20744.19999999999</v>
      </c>
      <c r="R71" s="19" t="n">
        <v>1722877.8389</v>
      </c>
      <c r="S71" s="4" t="n">
        <v>0.009696092619392194</v>
      </c>
      <c r="T71" s="4" t="n">
        <v>0.05</v>
      </c>
      <c r="U71" s="16" t="n">
        <v>0.6143393998569466</v>
      </c>
      <c r="V71" s="16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17" t="n">
        <v>0.019459</v>
      </c>
      <c r="F72" s="17" t="n">
        <v>0.02004277</v>
      </c>
      <c r="G72" s="17" t="n">
        <v>0.01848605</v>
      </c>
      <c r="H72" s="7" t="n">
        <v>46271.29166666666</v>
      </c>
      <c r="I72" s="17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19" t="n">
        <v>83082653</v>
      </c>
      <c r="R72" s="19" t="n">
        <v>7443358.975299699</v>
      </c>
      <c r="S72" s="4" t="n">
        <v>0.006999331928670527</v>
      </c>
      <c r="T72" s="4" t="n">
        <v>0.05</v>
      </c>
      <c r="U72" s="16" t="n">
        <v>0.4265014454975002</v>
      </c>
      <c r="V72" s="16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17" t="n">
        <v>0.11871</v>
      </c>
      <c r="F73" s="17" t="n">
        <v>0.1222713</v>
      </c>
      <c r="G73" s="17" t="n">
        <v>0.1127745</v>
      </c>
      <c r="H73" s="7" t="n">
        <v>46271.29166666666</v>
      </c>
      <c r="I73" s="17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19" t="n">
        <v>2096077</v>
      </c>
      <c r="R73" s="19" t="n">
        <v>1853887.39315</v>
      </c>
      <c r="S73" s="4" t="n">
        <v>0.03</v>
      </c>
      <c r="T73" s="4" t="n">
        <v>0</v>
      </c>
      <c r="U73" s="16" t="n">
        <v>0.4713961912980948</v>
      </c>
      <c r="V73" s="16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17" t="n">
        <v>69.19</v>
      </c>
      <c r="F74" s="17" t="n">
        <v>71.2657</v>
      </c>
      <c r="G74" s="17" t="n">
        <v>65.73049999999999</v>
      </c>
      <c r="H74" s="7" t="n">
        <v>46271.54166666666</v>
      </c>
      <c r="I74" s="17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19" t="n">
        <v>7844.672999999995</v>
      </c>
      <c r="R74" s="19" t="n">
        <v>3182116.17652</v>
      </c>
      <c r="S74" s="4" t="n">
        <v>0.03</v>
      </c>
      <c r="T74" s="4" t="n">
        <v>0.03280820927879746</v>
      </c>
      <c r="U74" s="16" t="n">
        <v>0.4997138526263688</v>
      </c>
      <c r="V74" s="16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17" t="n">
        <v>0.01166</v>
      </c>
      <c r="F75" s="17" t="n">
        <v>0.0113102</v>
      </c>
      <c r="G75" s="17" t="n">
        <v>0.012243</v>
      </c>
      <c r="H75" s="7" t="n">
        <v>46271.54166666666</v>
      </c>
      <c r="I75" s="17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19" t="n">
        <v>-60572711</v>
      </c>
      <c r="R75" s="19" t="n">
        <v>1222480.36925</v>
      </c>
      <c r="S75" s="4" t="n">
        <v>0.03</v>
      </c>
      <c r="T75" s="4" t="n">
        <v>0</v>
      </c>
      <c r="U75" s="16" t="n">
        <v>0.7248367471056822</v>
      </c>
      <c r="V75" s="16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17" t="n">
        <v>0.01128</v>
      </c>
      <c r="F76" s="17" t="n">
        <v>0.0109416</v>
      </c>
      <c r="G76" s="17" t="n">
        <v>0.011844</v>
      </c>
      <c r="H76" s="7" t="n">
        <v>46271.75</v>
      </c>
      <c r="I76" s="17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19" t="n">
        <v>-65936388</v>
      </c>
      <c r="R76" s="19" t="n">
        <v>1231916.4476</v>
      </c>
      <c r="S76" s="4" t="n">
        <v>0.00265957446808518</v>
      </c>
      <c r="T76" s="4" t="n">
        <v>0.05</v>
      </c>
      <c r="U76" s="16" t="n">
        <v>0.3502152078149993</v>
      </c>
      <c r="V76" s="16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17" t="n">
        <v>0.9263</v>
      </c>
      <c r="F77" s="17" t="n">
        <v>0.9540890000000001</v>
      </c>
      <c r="G77" s="17" t="n">
        <v>0.879985</v>
      </c>
      <c r="H77" s="7" t="n">
        <v>46271.83333333334</v>
      </c>
      <c r="I77" s="17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19" t="n">
        <v>3591741</v>
      </c>
      <c r="R77" s="19" t="n">
        <v>10728374.9275</v>
      </c>
      <c r="S77" s="4" t="n">
        <v>0.03</v>
      </c>
      <c r="T77" s="4" t="n">
        <v>0.03584152002590957</v>
      </c>
      <c r="U77" s="16" t="n">
        <v>1.206720839265955</v>
      </c>
      <c r="V77" s="16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17" t="n">
        <v>0.5347</v>
      </c>
      <c r="F78" s="17" t="n">
        <v>0.518659</v>
      </c>
      <c r="G78" s="17" t="n">
        <v>0.561435</v>
      </c>
      <c r="H78" s="7" t="n">
        <v>46271.95833333334</v>
      </c>
      <c r="I78" s="17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19" t="n">
        <v>-1062918</v>
      </c>
      <c r="R78" s="19" t="n">
        <v>5160090.6448</v>
      </c>
      <c r="S78" s="4" t="n">
        <v>0.0237516364316438</v>
      </c>
      <c r="T78" s="4" t="n">
        <v>0.05</v>
      </c>
      <c r="U78" s="16" t="n">
        <v>0.9326138521704536</v>
      </c>
      <c r="V78" s="16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17" t="n">
        <v>4.533</v>
      </c>
      <c r="F79" s="17" t="n">
        <v>4.39701</v>
      </c>
      <c r="G79" s="17" t="n">
        <v>4.759650000000001</v>
      </c>
      <c r="H79" s="7" t="n">
        <v>46272.54166666666</v>
      </c>
      <c r="I79" s="17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19" t="n">
        <v>-49244.10000000149</v>
      </c>
      <c r="R79" s="19" t="n">
        <v>3687645.7244</v>
      </c>
      <c r="S79" s="4" t="n">
        <v>0.03</v>
      </c>
      <c r="T79" s="4" t="n">
        <v>0.04787116699757332</v>
      </c>
      <c r="U79" s="16" t="n">
        <v>0.7670897701603352</v>
      </c>
      <c r="V79" s="16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17" t="n">
        <v>0.1862</v>
      </c>
      <c r="F80" s="17" t="n">
        <v>0.180614</v>
      </c>
      <c r="G80" s="17" t="n">
        <v>0.19551</v>
      </c>
      <c r="H80" s="7" t="n">
        <v>46272.5</v>
      </c>
      <c r="I80" s="17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19" t="n">
        <v>-2146168.2</v>
      </c>
      <c r="R80" s="19" t="n">
        <v>6861448.897129999</v>
      </c>
      <c r="S80" s="4" t="n">
        <v>0.03</v>
      </c>
      <c r="T80" s="4" t="n">
        <v>0.03061224489795911</v>
      </c>
      <c r="U80" s="16" t="n">
        <v>2.51942219716008</v>
      </c>
      <c r="V80" s="16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17" t="n">
        <v>67.53</v>
      </c>
      <c r="F81" s="17" t="n">
        <v>65.50409999999999</v>
      </c>
      <c r="G81" s="17" t="n">
        <v>70.90650000000001</v>
      </c>
      <c r="H81" s="7" t="n">
        <v>46272.125</v>
      </c>
      <c r="I81" s="17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19" t="n">
        <v>-405.6010000000024</v>
      </c>
      <c r="R81" s="19" t="n">
        <v>3888972.18861</v>
      </c>
      <c r="S81" s="4" t="n">
        <v>0.01554864504664588</v>
      </c>
      <c r="T81" s="4" t="n">
        <v>0.05</v>
      </c>
      <c r="U81" s="16" t="n">
        <v>0.6172389244500216</v>
      </c>
      <c r="V81" s="16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17" t="n">
        <v>0.0756</v>
      </c>
      <c r="F82" s="17" t="n">
        <v>0.07333199999999999</v>
      </c>
      <c r="G82" s="17" t="n">
        <v>0.07938000000000001</v>
      </c>
      <c r="H82" s="7" t="n">
        <v>46272.08333333334</v>
      </c>
      <c r="I82" s="17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19" t="n">
        <v>-23173212</v>
      </c>
      <c r="R82" s="19" t="n">
        <v>9565261.78688</v>
      </c>
      <c r="S82" s="4" t="n">
        <v>0.03</v>
      </c>
      <c r="T82" s="4" t="n">
        <v>0.03981481481481475</v>
      </c>
      <c r="U82" s="16" t="n">
        <v>1.373187858726033</v>
      </c>
      <c r="V82" s="16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17" t="n">
        <v>2.427</v>
      </c>
      <c r="F83" s="17" t="n">
        <v>2.49981</v>
      </c>
      <c r="G83" s="17" t="n">
        <v>2.30565</v>
      </c>
      <c r="H83" s="7" t="n">
        <v>46272.66666666666</v>
      </c>
      <c r="I83" s="17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19" t="n">
        <v>276139</v>
      </c>
      <c r="R83" s="19" t="n">
        <v>3224744.108</v>
      </c>
      <c r="S83" s="4" t="n">
        <v>0.02884219200659244</v>
      </c>
      <c r="T83" s="4" t="n">
        <v>0.05</v>
      </c>
      <c r="U83" s="16" t="n">
        <v>0.6276957226326096</v>
      </c>
      <c r="V83" s="16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17" t="n">
        <v>0.0145755</v>
      </c>
      <c r="F84" s="17" t="n">
        <v>0.014138235</v>
      </c>
      <c r="G84" s="17" t="n">
        <v>0.015304275</v>
      </c>
      <c r="H84" s="7" t="n">
        <v>46272.29166666666</v>
      </c>
      <c r="I84" s="17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19" t="n">
        <v>-142288129</v>
      </c>
      <c r="R84" s="19" t="n">
        <v>4025553.8793134</v>
      </c>
      <c r="S84" s="4" t="n">
        <v>0.03</v>
      </c>
      <c r="T84" s="4" t="n">
        <v>0.03615656409728651</v>
      </c>
      <c r="U84" s="16" t="n">
        <v>0.8978939917775784</v>
      </c>
      <c r="V84" s="16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17" t="n">
        <v>1.253</v>
      </c>
      <c r="F85" s="17" t="n">
        <v>1.29059</v>
      </c>
      <c r="G85" s="17" t="n">
        <v>1.19035</v>
      </c>
      <c r="H85" s="7" t="n">
        <v>46272.33333333334</v>
      </c>
      <c r="I85" s="17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19" t="n">
        <v>733663.5000000001</v>
      </c>
      <c r="R85" s="19" t="n">
        <v>4216683.6979</v>
      </c>
      <c r="S85" s="4" t="n">
        <v>0.03</v>
      </c>
      <c r="T85" s="4" t="n">
        <v>0.01197126895450906</v>
      </c>
      <c r="U85" s="16" t="n">
        <v>0.8849819378003992</v>
      </c>
      <c r="V85" s="16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17" t="n">
        <v>0.07263</v>
      </c>
      <c r="F86" s="17" t="n">
        <v>0.0704511</v>
      </c>
      <c r="G86" s="17" t="n">
        <v>0.07626150000000001</v>
      </c>
      <c r="H86" s="7" t="n">
        <v>46272.5</v>
      </c>
      <c r="I86" s="17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19" t="n">
        <v>-13997287</v>
      </c>
      <c r="R86" s="19" t="n">
        <v>5974493.69372</v>
      </c>
      <c r="S86" s="4" t="n">
        <v>0.003442103813851016</v>
      </c>
      <c r="T86" s="4" t="n">
        <v>0.05</v>
      </c>
      <c r="U86" s="16" t="n">
        <v>0.5448392640153334</v>
      </c>
      <c r="V86" s="16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17" t="n">
        <v>67.29000000000001</v>
      </c>
      <c r="F87" s="17" t="n">
        <v>65.27130000000001</v>
      </c>
      <c r="G87" s="17" t="n">
        <v>70.65450000000001</v>
      </c>
      <c r="H87" s="7" t="n">
        <v>46273</v>
      </c>
      <c r="I87" s="17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19" t="n">
        <v>-5619.18</v>
      </c>
      <c r="R87" s="19" t="n">
        <v>2920882.1209</v>
      </c>
      <c r="S87" s="4" t="n">
        <v>0.03</v>
      </c>
      <c r="T87" s="4" t="n">
        <v>0.02660127805023027</v>
      </c>
      <c r="U87" s="16" t="n">
        <v>1.277949497183152</v>
      </c>
      <c r="V87" s="16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17" t="n">
        <v>0.6192</v>
      </c>
      <c r="F88" s="17" t="n">
        <v>0.637776</v>
      </c>
      <c r="G88" s="17" t="n">
        <v>0.58824</v>
      </c>
      <c r="H88" s="7" t="n">
        <v>46272.62569444445</v>
      </c>
      <c r="I88" s="17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19" t="n">
        <v>1377218</v>
      </c>
      <c r="R88" s="19" t="n">
        <v>3044404.6498</v>
      </c>
      <c r="S88" s="4" t="n">
        <v>0.03</v>
      </c>
      <c r="T88" s="4" t="n">
        <v>0</v>
      </c>
      <c r="U88" s="16" t="n">
        <v>2.280732115794299</v>
      </c>
      <c r="V88" s="16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17" t="n">
        <v>0.6352</v>
      </c>
      <c r="F89" s="17" t="n">
        <v>0.6542559999999999</v>
      </c>
      <c r="G89" s="17" t="n">
        <v>0.60344</v>
      </c>
      <c r="H89" s="7" t="n">
        <v>46272.875</v>
      </c>
      <c r="I89" s="17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19" t="n">
        <v>1167915</v>
      </c>
      <c r="R89" s="19" t="n">
        <v>2785005.0864</v>
      </c>
      <c r="S89" s="4" t="n">
        <v>0.03</v>
      </c>
      <c r="T89" s="4" t="n">
        <v>0.0110201511335013</v>
      </c>
      <c r="U89" s="16" t="n">
        <v>0.7191251894160159</v>
      </c>
      <c r="V89" s="16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17" t="n">
        <v>0.22899</v>
      </c>
      <c r="F90" s="17" t="n">
        <v>0.2358597</v>
      </c>
      <c r="G90" s="17" t="n">
        <v>0.2175405</v>
      </c>
      <c r="H90" s="7" t="n">
        <v>46272.79166666666</v>
      </c>
      <c r="I90" s="17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19" t="n">
        <v>2526131</v>
      </c>
      <c r="R90" s="19" t="n">
        <v>4051103.39009</v>
      </c>
      <c r="S90" s="4" t="n">
        <v>0.03</v>
      </c>
      <c r="T90" s="4" t="n">
        <v>0</v>
      </c>
      <c r="U90" s="16" t="n">
        <v>1.780923829286979</v>
      </c>
      <c r="V90" s="16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17" t="n">
        <v>0.2333</v>
      </c>
      <c r="F91" s="17" t="n">
        <v>0.240299</v>
      </c>
      <c r="G91" s="17" t="n">
        <v>0.221635</v>
      </c>
      <c r="H91" s="7" t="n">
        <v>46273</v>
      </c>
      <c r="I91" s="17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19" t="n">
        <v>1514607</v>
      </c>
      <c r="R91" s="19" t="n">
        <v>4220849.740920001</v>
      </c>
      <c r="S91" s="4" t="n">
        <v>0.006043720531504482</v>
      </c>
      <c r="T91" s="4" t="n">
        <v>0.05</v>
      </c>
      <c r="U91" s="16" t="n">
        <v>0.7086490846600303</v>
      </c>
      <c r="V91" s="16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17" t="n">
        <v>1.177</v>
      </c>
      <c r="F92" s="17" t="n">
        <v>1.14169</v>
      </c>
      <c r="G92" s="17" t="n">
        <v>1.23585</v>
      </c>
      <c r="H92" s="7" t="n">
        <v>46273.5</v>
      </c>
      <c r="I92" s="17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19" t="n">
        <v>-480078.0999999999</v>
      </c>
      <c r="R92" s="19" t="n">
        <v>3560306.627</v>
      </c>
      <c r="S92" s="4" t="n">
        <v>0.0263381478334751</v>
      </c>
      <c r="T92" s="4" t="n">
        <v>0.05</v>
      </c>
      <c r="U92" s="16" t="n">
        <v>0.4533770567023754</v>
      </c>
      <c r="V92" s="16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17" t="n">
        <v>0.08132</v>
      </c>
      <c r="F93" s="17" t="n">
        <v>0.0837596</v>
      </c>
      <c r="G93" s="17" t="n">
        <v>0.077254</v>
      </c>
      <c r="H93" s="7" t="n">
        <v>46273.08333333334</v>
      </c>
      <c r="I93" s="17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19" t="n">
        <v>10386393</v>
      </c>
      <c r="R93" s="19" t="n">
        <v>5000476.82497</v>
      </c>
      <c r="S93" s="4" t="n">
        <v>0.008853910477127469</v>
      </c>
      <c r="T93" s="4" t="n">
        <v>0.05</v>
      </c>
      <c r="U93" s="16" t="n">
        <v>1.276691685867297</v>
      </c>
      <c r="V93" s="16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17" t="n">
        <v>0.16448</v>
      </c>
      <c r="F94" s="17" t="n">
        <v>0.1595456</v>
      </c>
      <c r="G94" s="17" t="n">
        <v>0.172704</v>
      </c>
      <c r="H94" s="7" t="n">
        <v>46273</v>
      </c>
      <c r="I94" s="17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19" t="n">
        <v>-2662116</v>
      </c>
      <c r="R94" s="19" t="n">
        <v>3986280.0175</v>
      </c>
      <c r="S94" s="4" t="n">
        <v>0.03</v>
      </c>
      <c r="T94" s="4" t="n">
        <v>0</v>
      </c>
      <c r="U94" s="16" t="n">
        <v>0.8094372541640309</v>
      </c>
      <c r="V94" s="16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17" t="n">
        <v>0.7688</v>
      </c>
      <c r="F95" s="17" t="n">
        <v>0.7457360000000001</v>
      </c>
      <c r="G95" s="17" t="n">
        <v>0.8072400000000001</v>
      </c>
      <c r="H95" s="7" t="n">
        <v>46273</v>
      </c>
      <c r="I95" s="17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19" t="n">
        <v>-664130</v>
      </c>
      <c r="R95" s="19" t="n">
        <v>9320456.253099998</v>
      </c>
      <c r="S95" s="4" t="n">
        <v>0.03</v>
      </c>
      <c r="T95" s="4" t="n">
        <v>0</v>
      </c>
      <c r="U95" s="16" t="n">
        <v>1.120041307199291</v>
      </c>
      <c r="V95" s="16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17" t="n">
        <v>2.293</v>
      </c>
      <c r="F96" s="17" t="n">
        <v>2.22421</v>
      </c>
      <c r="G96" s="17" t="n">
        <v>2.40765</v>
      </c>
      <c r="H96" s="7" t="n">
        <v>46274</v>
      </c>
      <c r="I96" s="17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19" t="n">
        <v>-145860</v>
      </c>
      <c r="R96" s="19" t="n">
        <v>3276794.468</v>
      </c>
      <c r="S96" s="4" t="n">
        <v>0.02224160488443094</v>
      </c>
      <c r="T96" s="4" t="n">
        <v>0.05</v>
      </c>
      <c r="U96" s="16" t="n">
        <v>0.8607491759473834</v>
      </c>
      <c r="V96" s="16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17" t="n">
        <v>256.91</v>
      </c>
      <c r="F97" s="17" t="n">
        <v>249.2027</v>
      </c>
      <c r="G97" s="17" t="n">
        <v>269.7555</v>
      </c>
      <c r="H97" s="7" t="n">
        <v>46275.875</v>
      </c>
      <c r="I97" s="17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19" t="n">
        <v>-8043.290000000001</v>
      </c>
      <c r="R97" s="19" t="n">
        <v>6242053.50556</v>
      </c>
      <c r="S97" s="4" t="n">
        <v>0.03</v>
      </c>
      <c r="T97" s="4" t="n">
        <v>0.04978397104044197</v>
      </c>
      <c r="U97" s="16" t="n">
        <v>2.605393596492347</v>
      </c>
      <c r="V97" s="16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17" t="n">
        <v>6.779</v>
      </c>
      <c r="F98" s="17" t="n">
        <v>6.575629999999999</v>
      </c>
      <c r="G98" s="17" t="n">
        <v>7.11795</v>
      </c>
      <c r="H98" s="7" t="n">
        <v>46273.41666666666</v>
      </c>
      <c r="I98" s="17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19" t="n">
        <v>-235299</v>
      </c>
      <c r="R98" s="19" t="n">
        <v>5465559.277</v>
      </c>
      <c r="S98" s="4" t="n">
        <v>0.009440920489747762</v>
      </c>
      <c r="T98" s="4" t="n">
        <v>0.05</v>
      </c>
      <c r="U98" s="16" t="n">
        <v>2.956580761631296</v>
      </c>
      <c r="V98" s="16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17" t="n">
        <v>1146.22</v>
      </c>
      <c r="F99" s="17" t="n">
        <v>1111.8334</v>
      </c>
      <c r="G99" s="17" t="n">
        <v>1203.531</v>
      </c>
      <c r="H99" s="7" t="n">
        <v>46273.29166666666</v>
      </c>
      <c r="I99" s="17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19" t="n">
        <v>-451.9539999999979</v>
      </c>
      <c r="R99" s="19" t="n">
        <v>30735386.01163</v>
      </c>
      <c r="S99" s="4" t="n">
        <v>0.03</v>
      </c>
      <c r="T99" s="4" t="n">
        <v>0.02275304915286758</v>
      </c>
      <c r="U99" s="16" t="n">
        <v>1.298387849389584</v>
      </c>
      <c r="V99" s="16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17" t="n">
        <v>0.004388</v>
      </c>
      <c r="F100" s="17" t="n">
        <v>0.00451964</v>
      </c>
      <c r="G100" s="17" t="n">
        <v>0.004168600000000001</v>
      </c>
      <c r="H100" s="7" t="n">
        <v>46273.41666666666</v>
      </c>
      <c r="I100" s="17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19" t="n">
        <v>97252765</v>
      </c>
      <c r="R100" s="19" t="n">
        <v>7545747.542938001</v>
      </c>
      <c r="S100" s="4" t="n">
        <v>0.03</v>
      </c>
      <c r="T100" s="4" t="n">
        <v>0.02552415679124886</v>
      </c>
      <c r="U100" s="16" t="n">
        <v>1.4451701676271</v>
      </c>
      <c r="V100" s="16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17" t="n">
        <v>63.95</v>
      </c>
      <c r="F101" s="17" t="n">
        <v>62.0315</v>
      </c>
      <c r="G101" s="17" t="n">
        <v>67.14750000000001</v>
      </c>
      <c r="H101" s="7" t="n">
        <v>46273.70833333334</v>
      </c>
      <c r="I101" s="17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19" t="n">
        <v>-7722.464000000007</v>
      </c>
      <c r="R101" s="19" t="n">
        <v>1804728.26135</v>
      </c>
      <c r="S101" s="4" t="n">
        <v>0.03</v>
      </c>
      <c r="T101" s="4" t="n">
        <v>0.0164190774042221</v>
      </c>
      <c r="U101" s="16" t="n">
        <v>1.249455549729876</v>
      </c>
      <c r="V101" s="16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17" t="n">
        <v>0.23052</v>
      </c>
      <c r="F102" s="17" t="n">
        <v>0.2374356</v>
      </c>
      <c r="G102" s="17" t="n">
        <v>0.218994</v>
      </c>
      <c r="H102" s="7" t="n">
        <v>46273.45833333334</v>
      </c>
      <c r="I102" s="17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19" t="n">
        <v>417106</v>
      </c>
      <c r="R102" s="19" t="n">
        <v>4258716.81757</v>
      </c>
      <c r="S102" s="4" t="n">
        <v>0.03</v>
      </c>
      <c r="T102" s="4" t="n">
        <v>0.02147319104633005</v>
      </c>
      <c r="U102" s="16" t="n">
        <v>0.983558103105627</v>
      </c>
      <c r="V102" s="16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17" t="n">
        <v>0.15102</v>
      </c>
      <c r="F103" s="17" t="n">
        <v>0.1464894</v>
      </c>
      <c r="G103" s="17" t="n">
        <v>0.158571</v>
      </c>
      <c r="H103" s="7" t="n">
        <v>46273.5</v>
      </c>
      <c r="I103" s="17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19" t="n">
        <v>-470663</v>
      </c>
      <c r="R103" s="19" t="n">
        <v>2644066.64596</v>
      </c>
      <c r="S103" s="4" t="n">
        <v>0.03</v>
      </c>
      <c r="T103" s="4" t="n">
        <v>0.04045821745464173</v>
      </c>
      <c r="U103" s="16" t="n">
        <v>0.5722550930861432</v>
      </c>
      <c r="V103" s="16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17" t="n">
        <v>0.08141</v>
      </c>
      <c r="F104" s="17" t="n">
        <v>0.0838523</v>
      </c>
      <c r="G104" s="17" t="n">
        <v>0.07733949999999999</v>
      </c>
      <c r="H104" s="7" t="n">
        <v>46273.58333333334</v>
      </c>
      <c r="I104" s="17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19" t="n">
        <v>2515952</v>
      </c>
      <c r="R104" s="19" t="n">
        <v>4265232.30074</v>
      </c>
      <c r="S104" s="4" t="n">
        <v>0.01928510011055162</v>
      </c>
      <c r="T104" s="4" t="n">
        <v>0.05</v>
      </c>
      <c r="U104" s="16" t="n">
        <v>0.9544996519540856</v>
      </c>
      <c r="V104" s="16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17" t="n">
        <v>0.000941</v>
      </c>
      <c r="F105" s="17" t="n">
        <v>0.0009692300000000001</v>
      </c>
      <c r="G105" s="17" t="n">
        <v>0.0008939499999999999</v>
      </c>
      <c r="H105" s="7" t="n">
        <v>46273.5</v>
      </c>
      <c r="I105" s="17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19" t="n">
        <v>225683598</v>
      </c>
      <c r="R105" s="19" t="n">
        <v>2501561.764947</v>
      </c>
      <c r="S105" s="4" t="n">
        <v>0.03</v>
      </c>
      <c r="T105" s="4" t="n">
        <v>0.01275239107332626</v>
      </c>
      <c r="U105" s="16" t="n">
        <v>0.6087334046657858</v>
      </c>
      <c r="V105" s="16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17" t="n">
        <v>0.0169276</v>
      </c>
      <c r="F106" s="17" t="n">
        <v>0.017435428</v>
      </c>
      <c r="G106" s="17" t="n">
        <v>0.01608122</v>
      </c>
      <c r="H106" s="7" t="n">
        <v>46273.5</v>
      </c>
      <c r="I106" s="17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19" t="n">
        <v>19540172</v>
      </c>
      <c r="R106" s="19" t="n">
        <v>5375178.414786</v>
      </c>
      <c r="S106" s="4" t="n">
        <v>0.03</v>
      </c>
      <c r="T106" s="4" t="n">
        <v>0</v>
      </c>
      <c r="U106" s="16" t="n">
        <v>0.5221903482826789</v>
      </c>
      <c r="V106" s="16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17" t="n">
        <v>0.7033</v>
      </c>
      <c r="F107" s="17" t="n">
        <v>0.6822010000000001</v>
      </c>
      <c r="G107" s="17" t="n">
        <v>0.738465</v>
      </c>
      <c r="H107" s="7" t="n">
        <v>46273.5</v>
      </c>
      <c r="I107" s="17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19" t="n">
        <v>-262696</v>
      </c>
      <c r="R107" s="19" t="n">
        <v>11270953.971</v>
      </c>
      <c r="S107" s="4" t="n">
        <v>0.03</v>
      </c>
      <c r="T107" s="4" t="n">
        <v>0</v>
      </c>
      <c r="U107" s="16" t="n">
        <v>0.8730207937001421</v>
      </c>
      <c r="V107" s="16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17" t="n">
        <v>4.589</v>
      </c>
      <c r="F108" s="17" t="n">
        <v>4.45133</v>
      </c>
      <c r="G108" s="17" t="n">
        <v>4.81845</v>
      </c>
      <c r="H108" s="7" t="n">
        <v>46273.75</v>
      </c>
      <c r="I108" s="17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19" t="n">
        <v>-45008.80000000028</v>
      </c>
      <c r="R108" s="19" t="n">
        <v>2781263.1439</v>
      </c>
      <c r="S108" s="4" t="n">
        <v>0.003922423185879431</v>
      </c>
      <c r="T108" s="4" t="n">
        <v>0.05</v>
      </c>
      <c r="U108" s="16" t="n">
        <v>2.569586879950852</v>
      </c>
      <c r="V108" s="16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17" t="n">
        <v>0.17709</v>
      </c>
      <c r="F109" s="17" t="n">
        <v>0.1717773</v>
      </c>
      <c r="G109" s="17" t="n">
        <v>0.1859445</v>
      </c>
      <c r="H109" s="7" t="n">
        <v>46273.625</v>
      </c>
      <c r="I109" s="17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19" t="n">
        <v>-899525.450000003</v>
      </c>
      <c r="R109" s="19" t="n">
        <v>1391602.7817447</v>
      </c>
      <c r="S109" s="4" t="n">
        <v>0.03</v>
      </c>
      <c r="T109" s="4" t="n">
        <v>0</v>
      </c>
      <c r="U109" s="16" t="n">
        <v>0.6587984018347764</v>
      </c>
      <c r="V109" s="16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17" t="n">
        <v>0.03482</v>
      </c>
      <c r="F110" s="17" t="n">
        <v>0.0337754</v>
      </c>
      <c r="G110" s="17" t="n">
        <v>0.036561</v>
      </c>
      <c r="H110" s="7" t="n">
        <v>46273.95833333334</v>
      </c>
      <c r="I110" s="17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19" t="n">
        <v>-2623682</v>
      </c>
      <c r="R110" s="19" t="n">
        <v>2101397.66373</v>
      </c>
      <c r="S110" s="4" t="n">
        <v>0.02785755313038485</v>
      </c>
      <c r="T110" s="4" t="n">
        <v>0.05</v>
      </c>
      <c r="U110" s="16" t="n">
        <v>0.4550342197094706</v>
      </c>
      <c r="V110" s="16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17" t="n">
        <v>0.1747</v>
      </c>
      <c r="F111" s="17" t="n">
        <v>0.179941</v>
      </c>
      <c r="G111" s="17" t="n">
        <v>0.165965</v>
      </c>
      <c r="H111" s="7" t="n">
        <v>46273.91666666666</v>
      </c>
      <c r="I111" s="17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19" t="n">
        <v>1218160.9</v>
      </c>
      <c r="R111" s="19" t="n">
        <v>3947550.52323</v>
      </c>
      <c r="S111" s="4" t="n">
        <v>0.02232398397252444</v>
      </c>
      <c r="T111" s="4" t="n">
        <v>0.05</v>
      </c>
      <c r="U111" s="16" t="n">
        <v>1.889260099230201</v>
      </c>
      <c r="V111" s="16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17" t="n">
        <v>0.24093</v>
      </c>
      <c r="F112" s="17" t="n">
        <v>0.2481579</v>
      </c>
      <c r="G112" s="17" t="n">
        <v>0.2288835</v>
      </c>
      <c r="H112" s="7" t="n">
        <v>46273.625</v>
      </c>
      <c r="I112" s="17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19" t="n">
        <v>679513</v>
      </c>
      <c r="R112" s="19" t="n">
        <v>4215211.47851</v>
      </c>
      <c r="S112" s="4" t="n">
        <v>0.03</v>
      </c>
      <c r="T112" s="4" t="n">
        <v>0</v>
      </c>
      <c r="U112" s="16" t="n">
        <v>0.8052885806174136</v>
      </c>
      <c r="V112" s="16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17" t="n">
        <v>0.004183</v>
      </c>
      <c r="F113" s="17" t="n">
        <v>0.00405751</v>
      </c>
      <c r="G113" s="17" t="n">
        <v>0.00439215</v>
      </c>
      <c r="H113" s="7" t="n">
        <v>46273.79166666666</v>
      </c>
      <c r="I113" s="17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19" t="n">
        <v>-129299457</v>
      </c>
      <c r="R113" s="19" t="n">
        <v>9851697.301605999</v>
      </c>
      <c r="S113" s="4" t="n">
        <v>0.002629691608893037</v>
      </c>
      <c r="T113" s="4" t="n">
        <v>0.05</v>
      </c>
      <c r="U113" s="16" t="n">
        <v>0.5836086467967079</v>
      </c>
      <c r="V113" s="16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17" t="n">
        <v>0.4788</v>
      </c>
      <c r="F114" s="17" t="n">
        <v>0.493164</v>
      </c>
      <c r="G114" s="17" t="n">
        <v>0.45486</v>
      </c>
      <c r="H114" s="7" t="n">
        <v>46274</v>
      </c>
      <c r="I114" s="17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19" t="n">
        <v>964062</v>
      </c>
      <c r="R114" s="19" t="n">
        <v>3277692.0117</v>
      </c>
      <c r="S114" s="4" t="n">
        <v>0.03</v>
      </c>
      <c r="T114" s="4" t="n">
        <v>0.03613199665831246</v>
      </c>
      <c r="U114" s="16" t="n">
        <v>0.7774894474618331</v>
      </c>
      <c r="V114" s="16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17" t="n">
        <v>0.2406</v>
      </c>
      <c r="F115" s="17" t="n">
        <v>0.247818</v>
      </c>
      <c r="G115" s="17" t="n">
        <v>0.22857</v>
      </c>
      <c r="H115" s="7" t="n">
        <v>46273.75</v>
      </c>
      <c r="I115" s="17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19" t="n">
        <v>1117995</v>
      </c>
      <c r="R115" s="19" t="n">
        <v>4054225.12811</v>
      </c>
      <c r="S115" s="4" t="n">
        <v>0.03</v>
      </c>
      <c r="T115" s="4" t="n">
        <v>0</v>
      </c>
      <c r="U115" s="16" t="n">
        <v>1.06824364590281</v>
      </c>
      <c r="V115" s="16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17" t="n">
        <v>0.6424</v>
      </c>
      <c r="F116" s="17" t="n">
        <v>0.661672</v>
      </c>
      <c r="G116" s="17" t="n">
        <v>0.6102799999999999</v>
      </c>
      <c r="H116" s="7" t="n">
        <v>46274.125</v>
      </c>
      <c r="I116" s="17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19" t="n">
        <v>115721.4000000003</v>
      </c>
      <c r="R116" s="19" t="n">
        <v>2979004.4445</v>
      </c>
      <c r="S116" s="4" t="n">
        <v>0.02132627646326291</v>
      </c>
      <c r="T116" s="4" t="n">
        <v>0.05</v>
      </c>
      <c r="U116" s="16" t="n">
        <v>0.786151850585577</v>
      </c>
      <c r="V116" s="16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17" t="n">
        <v>0.7282999999999999</v>
      </c>
      <c r="F117" s="17" t="n">
        <v>0.750149</v>
      </c>
      <c r="G117" s="17" t="n">
        <v>0.691885</v>
      </c>
      <c r="H117" s="7" t="n">
        <v>46273.83333333334</v>
      </c>
      <c r="I117" s="17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19" t="n">
        <v>1249843</v>
      </c>
      <c r="R117" s="19" t="n">
        <v>5140456.2015</v>
      </c>
      <c r="S117" s="4" t="n">
        <v>0.03</v>
      </c>
      <c r="T117" s="4" t="n">
        <v>0.006453384594260481</v>
      </c>
      <c r="U117" s="16" t="n">
        <v>1.068646902945055</v>
      </c>
      <c r="V117" s="16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17" t="n">
        <v>0.1787</v>
      </c>
      <c r="F118" s="17" t="n">
        <v>0.173339</v>
      </c>
      <c r="G118" s="17" t="n">
        <v>0.187635</v>
      </c>
      <c r="H118" s="7" t="n">
        <v>46273.875</v>
      </c>
      <c r="I118" s="17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19" t="n">
        <v>-608095</v>
      </c>
      <c r="R118" s="19" t="n">
        <v>1922965.0831</v>
      </c>
      <c r="S118" s="4" t="n">
        <v>0.03</v>
      </c>
      <c r="T118" s="4" t="n">
        <v>0.006715165081141672</v>
      </c>
      <c r="U118" s="16" t="n">
        <v>2.678733376469101</v>
      </c>
      <c r="V118" s="16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17" t="n">
        <v>4.848</v>
      </c>
      <c r="F119" s="17" t="n">
        <v>4.99344</v>
      </c>
      <c r="G119" s="17" t="n">
        <v>4.6056</v>
      </c>
      <c r="H119" s="7" t="n">
        <v>46274.54166666666</v>
      </c>
      <c r="I119" s="17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19" t="n">
        <v>90316</v>
      </c>
      <c r="R119" s="19" t="n">
        <v>3639353.3035</v>
      </c>
      <c r="S119" s="4" t="n">
        <v>0.03</v>
      </c>
      <c r="T119" s="4" t="n">
        <v>0.04290429042904298</v>
      </c>
      <c r="U119" s="16" t="n">
        <v>1.36772845210372</v>
      </c>
      <c r="V119" s="16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17" t="n">
        <v>0.7527</v>
      </c>
      <c r="F120" s="17" t="n">
        <v>0.7752810000000001</v>
      </c>
      <c r="G120" s="17" t="n">
        <v>0.715065</v>
      </c>
      <c r="H120" s="7" t="n">
        <v>46273.91666666666</v>
      </c>
      <c r="I120" s="17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19" t="n">
        <v>6853449</v>
      </c>
      <c r="R120" s="19" t="n">
        <v>12535656.0709</v>
      </c>
      <c r="S120" s="4" t="n">
        <v>0.03</v>
      </c>
      <c r="T120" s="4" t="n">
        <v>0</v>
      </c>
      <c r="U120" s="16" t="n">
        <v>1.134336771587354</v>
      </c>
      <c r="V120" s="16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17" t="n">
        <v>1.123</v>
      </c>
      <c r="F121" s="17" t="n">
        <v>1.15669</v>
      </c>
      <c r="G121" s="17" t="n">
        <v>1.06685</v>
      </c>
      <c r="H121" s="7" t="n">
        <v>46274</v>
      </c>
      <c r="I121" s="17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19" t="n">
        <v>111960.8999999999</v>
      </c>
      <c r="R121" s="19" t="n">
        <v>2741631.4739</v>
      </c>
      <c r="S121" s="4" t="n">
        <v>0.03</v>
      </c>
      <c r="T121" s="4" t="n">
        <v>0</v>
      </c>
      <c r="U121" s="16" t="n">
        <v>1.872915871665088</v>
      </c>
      <c r="V121" s="16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17" t="n">
        <v>6.534</v>
      </c>
      <c r="F122" s="17" t="n">
        <v>6.73002</v>
      </c>
      <c r="G122" s="17" t="n">
        <v>6.207299999999999</v>
      </c>
      <c r="H122" s="7" t="n">
        <v>46274.79166666666</v>
      </c>
      <c r="I122" s="17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19" t="n">
        <v>8623.600000000013</v>
      </c>
      <c r="R122" s="19" t="n">
        <v>4616788.334</v>
      </c>
      <c r="S122" s="4" t="n">
        <v>0.005050505050505194</v>
      </c>
      <c r="T122" s="4" t="n">
        <v>0.05</v>
      </c>
      <c r="U122" s="16" t="n">
        <v>1.258024063199622</v>
      </c>
      <c r="V122" s="16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17" t="n">
        <v>2.963</v>
      </c>
      <c r="F123" s="17" t="n">
        <v>2.87411</v>
      </c>
      <c r="G123" s="17" t="n">
        <v>3.11115</v>
      </c>
      <c r="H123" s="7" t="n">
        <v>46274.45833333334</v>
      </c>
      <c r="I123" s="17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19" t="n">
        <v>-422886</v>
      </c>
      <c r="R123" s="19" t="n">
        <v>7911871.461</v>
      </c>
      <c r="S123" s="4" t="n">
        <v>0.03</v>
      </c>
      <c r="T123" s="4" t="n">
        <v>0.002362470469119193</v>
      </c>
      <c r="U123" s="16" t="n">
        <v>0.9650820911192399</v>
      </c>
      <c r="V123" s="16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17" t="n">
        <v>0.13851</v>
      </c>
      <c r="F124" s="17" t="n">
        <v>0.1343547</v>
      </c>
      <c r="G124" s="17" t="n">
        <v>0.1454355</v>
      </c>
      <c r="H124" s="7" t="n">
        <v>46274.20833333334</v>
      </c>
      <c r="I124" s="17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19" t="n">
        <v>-3642859</v>
      </c>
      <c r="R124" s="19" t="n">
        <v>2573723.70106</v>
      </c>
      <c r="S124" s="4" t="n">
        <v>0.03</v>
      </c>
      <c r="T124" s="4" t="n">
        <v>0.01797704136885425</v>
      </c>
      <c r="U124" s="16" t="n">
        <v>0.8598768796509205</v>
      </c>
      <c r="V124" s="16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17" t="n">
        <v>0.7446</v>
      </c>
      <c r="F125" s="17" t="n">
        <v>0.766938</v>
      </c>
      <c r="G125" s="17" t="n">
        <v>0.7073700000000001</v>
      </c>
      <c r="H125" s="7" t="n">
        <v>46274.20833333334</v>
      </c>
      <c r="I125" s="17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19" t="n">
        <v>1024515</v>
      </c>
      <c r="R125" s="19" t="n">
        <v>4766286.3946</v>
      </c>
      <c r="S125" s="4" t="n">
        <v>0.003491807681976766</v>
      </c>
      <c r="T125" s="4" t="n">
        <v>0.05</v>
      </c>
      <c r="U125" s="16" t="n">
        <v>0.7723512405947648</v>
      </c>
      <c r="V125" s="16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17" t="n">
        <v>0.004415</v>
      </c>
      <c r="F126" s="17" t="n">
        <v>0.00454745</v>
      </c>
      <c r="G126" s="17" t="n">
        <v>0.004194249999999999</v>
      </c>
      <c r="H126" s="7" t="n">
        <v>46274.625</v>
      </c>
      <c r="I126" s="17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19" t="n">
        <v>42353615</v>
      </c>
      <c r="R126" s="19" t="n">
        <v>4256449.039159</v>
      </c>
      <c r="S126" s="4" t="n">
        <v>0.03</v>
      </c>
      <c r="T126" s="4" t="n">
        <v>0.01041902604756517</v>
      </c>
      <c r="U126" s="16" t="n">
        <v>0.7383883424620865</v>
      </c>
      <c r="V126" s="16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17" t="n">
        <v>0.7438</v>
      </c>
      <c r="F127" s="17" t="n">
        <v>0.7661140000000001</v>
      </c>
      <c r="G127" s="17" t="n">
        <v>0.70661</v>
      </c>
      <c r="H127" s="7" t="n">
        <v>46274.58333333334</v>
      </c>
      <c r="I127" s="17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19" t="n">
        <v>730563</v>
      </c>
      <c r="R127" s="19" t="n">
        <v>3871168.9563</v>
      </c>
      <c r="S127" s="4" t="n">
        <v>0</v>
      </c>
      <c r="T127" s="4" t="n">
        <v>0.05</v>
      </c>
      <c r="U127" s="16" t="n">
        <v>0.8614060557989802</v>
      </c>
      <c r="V127" s="16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17" t="n">
        <v>0.000857</v>
      </c>
      <c r="F128" s="17" t="n">
        <v>0.0008312899999999999</v>
      </c>
      <c r="G128" s="17" t="n">
        <v>0.0008998500000000001</v>
      </c>
      <c r="H128" s="7" t="n">
        <v>46274.54166666666</v>
      </c>
      <c r="I128" s="17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19" t="n">
        <v>-152704396</v>
      </c>
      <c r="R128" s="19" t="n">
        <v>1821513.247362</v>
      </c>
      <c r="S128" s="4" t="n">
        <v>0</v>
      </c>
      <c r="T128" s="4" t="n">
        <v>0.05</v>
      </c>
      <c r="U128" s="16" t="n">
        <v>1.111824073263994</v>
      </c>
      <c r="V128" s="16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17" t="n">
        <v>0.09710000000000001</v>
      </c>
      <c r="F129" s="17" t="n">
        <v>0.09418700000000001</v>
      </c>
      <c r="G129" s="17" t="n">
        <v>0.101955</v>
      </c>
      <c r="H129" s="7" t="n">
        <v>46275</v>
      </c>
      <c r="I129" s="17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19" t="n">
        <v>-3281546</v>
      </c>
      <c r="R129" s="19" t="n">
        <v>1210874.6298</v>
      </c>
      <c r="S129" s="4" t="n">
        <v>0.03</v>
      </c>
      <c r="T129" s="4" t="n">
        <v>0.02574665293511824</v>
      </c>
      <c r="U129" s="16" t="n">
        <v>0.6742122447118076</v>
      </c>
      <c r="V129" s="16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17" t="n">
        <v>64.79000000000001</v>
      </c>
      <c r="F130" s="17" t="n">
        <v>66.73370000000001</v>
      </c>
      <c r="G130" s="17" t="n">
        <v>61.5505</v>
      </c>
      <c r="H130" s="7" t="n">
        <v>46275.25</v>
      </c>
      <c r="I130" s="17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19" t="n">
        <v>11375.907</v>
      </c>
      <c r="R130" s="19" t="n">
        <v>2439474.88492</v>
      </c>
      <c r="S130" s="4" t="n">
        <v>0.02361475536348179</v>
      </c>
      <c r="T130" s="4" t="n">
        <v>0.05</v>
      </c>
      <c r="U130" s="16" t="n">
        <v>1.125007412142245</v>
      </c>
      <c r="V130" s="16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17" t="n">
        <v>0.8091</v>
      </c>
      <c r="F131" s="17" t="n">
        <v>0.833373</v>
      </c>
      <c r="G131" s="17" t="n">
        <v>0.768645</v>
      </c>
      <c r="H131" s="7" t="n">
        <v>46274.70833333334</v>
      </c>
      <c r="I131" s="17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19" t="n">
        <v>5419793</v>
      </c>
      <c r="R131" s="19" t="n">
        <v>11243844.1629</v>
      </c>
      <c r="S131" s="4" t="n">
        <v>0.03</v>
      </c>
      <c r="T131" s="4" t="n">
        <v>0.02410085279940688</v>
      </c>
      <c r="U131" s="16" t="n">
        <v>0.6149788240205761</v>
      </c>
      <c r="V131" s="16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17" t="n">
        <v>0.29433</v>
      </c>
      <c r="F132" s="17" t="n">
        <v>0.3031599</v>
      </c>
      <c r="G132" s="17" t="n">
        <v>0.2796135</v>
      </c>
      <c r="H132" s="7" t="n">
        <v>46274.58333333334</v>
      </c>
      <c r="I132" s="17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19" t="n">
        <v>6113083</v>
      </c>
      <c r="R132" s="19" t="n">
        <v>11277342.91036</v>
      </c>
      <c r="S132" s="4" t="n">
        <v>0.03</v>
      </c>
      <c r="T132" s="4" t="n">
        <v>0</v>
      </c>
      <c r="U132" s="16" t="n">
        <v>1.056596246365362</v>
      </c>
      <c r="V132" s="16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17" t="n">
        <v>2.393</v>
      </c>
      <c r="F133" s="17" t="n">
        <v>2.46479</v>
      </c>
      <c r="G133" s="17" t="n">
        <v>2.27335</v>
      </c>
      <c r="H133" s="7" t="n">
        <v>46274.66666666666</v>
      </c>
      <c r="I133" s="17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19" t="n">
        <v>96786</v>
      </c>
      <c r="R133" s="19" t="n">
        <v>4162375.795</v>
      </c>
      <c r="S133" s="4" t="n">
        <v>0.03</v>
      </c>
      <c r="T133" s="4" t="n">
        <v>0</v>
      </c>
      <c r="U133" s="16" t="n">
        <v>1.642785689777653</v>
      </c>
      <c r="V133" s="16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17" t="n">
        <v>0.07983</v>
      </c>
      <c r="F134" s="17" t="n">
        <v>0.0822249</v>
      </c>
      <c r="G134" s="17" t="n">
        <v>0.07583849999999999</v>
      </c>
      <c r="H134" s="7" t="n">
        <v>46274.75</v>
      </c>
      <c r="I134" s="17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19" t="n">
        <v>185494</v>
      </c>
      <c r="R134" s="19" t="n">
        <v>1714640.3982</v>
      </c>
      <c r="S134" s="4" t="n">
        <v>0.03</v>
      </c>
      <c r="T134" s="4" t="n">
        <v>0</v>
      </c>
      <c r="U134" s="16" t="n">
        <v>2.257015579100294</v>
      </c>
      <c r="V134" s="16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17" t="n">
        <v>0.15464</v>
      </c>
      <c r="F135" s="17" t="n">
        <v>0.1592792</v>
      </c>
      <c r="G135" s="17" t="n">
        <v>0.146908</v>
      </c>
      <c r="H135" s="7" t="n">
        <v>46274.75</v>
      </c>
      <c r="I135" s="17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19" t="n">
        <v>773788</v>
      </c>
      <c r="R135" s="19" t="n">
        <v>1793648.90954</v>
      </c>
      <c r="S135" s="4" t="n">
        <v>0.03</v>
      </c>
      <c r="T135" s="4" t="n">
        <v>0</v>
      </c>
      <c r="U135" s="16" t="n">
        <v>1.095872431245166</v>
      </c>
      <c r="V135" s="16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17" t="n">
        <v>0.4456</v>
      </c>
      <c r="F136" s="17" t="n">
        <v>0.432232</v>
      </c>
      <c r="G136" s="17" t="n">
        <v>0.46788</v>
      </c>
      <c r="H136" s="7" t="n">
        <v>46275</v>
      </c>
      <c r="I136" s="17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19" t="n">
        <v>-187183</v>
      </c>
      <c r="R136" s="19" t="n">
        <v>1411793.6703</v>
      </c>
      <c r="S136" s="4" t="n">
        <v>0.03</v>
      </c>
      <c r="T136" s="4" t="n">
        <v>0.02176840215439846</v>
      </c>
      <c r="U136" s="16" t="n">
        <v>2.03583722335109</v>
      </c>
      <c r="V136" s="16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17" t="n">
        <v>26.225</v>
      </c>
      <c r="F137" s="17" t="n">
        <v>27.01175</v>
      </c>
      <c r="G137" s="17" t="n">
        <v>24.91375</v>
      </c>
      <c r="H137" s="7" t="n">
        <v>46274.83333333334</v>
      </c>
      <c r="I137" s="17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19" t="n">
        <v>10316.69999999997</v>
      </c>
      <c r="R137" s="19" t="n">
        <v>12372708.74157</v>
      </c>
      <c r="S137" s="4" t="n">
        <v>0.03</v>
      </c>
      <c r="T137" s="4" t="n">
        <v>0</v>
      </c>
      <c r="U137" s="16" t="n">
        <v>0.8287536617025847</v>
      </c>
      <c r="V137" s="16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17" t="n">
        <v>0.004602</v>
      </c>
      <c r="F138" s="17" t="n">
        <v>0.00474006</v>
      </c>
      <c r="G138" s="17" t="n">
        <v>0.0043719</v>
      </c>
      <c r="H138" s="7" t="n">
        <v>46274.875</v>
      </c>
      <c r="I138" s="17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19" t="n">
        <v>127764236</v>
      </c>
      <c r="R138" s="19" t="n">
        <v>4847507.429121</v>
      </c>
      <c r="S138" s="4" t="n">
        <v>0.03</v>
      </c>
      <c r="T138" s="4" t="n">
        <v>0</v>
      </c>
      <c r="U138" s="16" t="n">
        <v>4.045779838619979</v>
      </c>
      <c r="V138" s="16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17" t="n">
        <v>0.08321000000000001</v>
      </c>
      <c r="F139" s="17" t="n">
        <v>0.08570630000000001</v>
      </c>
      <c r="G139" s="17" t="n">
        <v>0.07904950000000001</v>
      </c>
      <c r="H139" s="7" t="n">
        <v>46274.91666666666</v>
      </c>
      <c r="I139" s="17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19" t="n">
        <v>9279213</v>
      </c>
      <c r="R139" s="19" t="n">
        <v>1716997.93514</v>
      </c>
      <c r="S139" s="4" t="n">
        <v>0.03</v>
      </c>
      <c r="T139" s="4" t="n">
        <v>0</v>
      </c>
      <c r="U139" s="16" t="n">
        <v>15.97198728469662</v>
      </c>
      <c r="V139" s="16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17" t="n">
        <v>0.8066</v>
      </c>
      <c r="F140" s="17" t="n">
        <v>0.830798</v>
      </c>
      <c r="G140" s="17" t="n">
        <v>0.7662699999999999</v>
      </c>
      <c r="H140" s="7" t="n">
        <v>46274.95833333334</v>
      </c>
      <c r="I140" s="17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19" t="n">
        <v>466047</v>
      </c>
      <c r="R140" s="19" t="n">
        <v>10103179.1206</v>
      </c>
      <c r="S140" s="4" t="n">
        <v>0.002603520952144889</v>
      </c>
      <c r="T140" s="4" t="n">
        <v>0.05</v>
      </c>
      <c r="U140" s="16" t="n">
        <v>1.648022119137153</v>
      </c>
      <c r="V140" s="16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17" t="n">
        <v>1.132</v>
      </c>
      <c r="F141" s="17" t="n">
        <v>1.09804</v>
      </c>
      <c r="G141" s="17" t="n">
        <v>1.1886</v>
      </c>
      <c r="H141" s="7" t="n">
        <v>46275.29166666666</v>
      </c>
      <c r="I141" s="17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19" t="n">
        <v>-270114.6999999997</v>
      </c>
      <c r="R141" s="19" t="n">
        <v>3541739.0673</v>
      </c>
      <c r="S141" s="4" t="n">
        <v>0.03</v>
      </c>
      <c r="T141" s="4" t="n">
        <v>0.007950530035335746</v>
      </c>
      <c r="U141" s="16" t="n">
        <v>1.482383660972677</v>
      </c>
      <c r="V141" s="16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17" t="n">
        <v>0.13075</v>
      </c>
      <c r="F142" s="17" t="n">
        <v>0.1268275</v>
      </c>
      <c r="G142" s="17" t="n">
        <v>0.1372875</v>
      </c>
      <c r="H142" s="7" t="n">
        <v>46275</v>
      </c>
      <c r="I142" s="17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19" t="n">
        <v>-602478</v>
      </c>
      <c r="R142" s="19" t="n">
        <v>3010863.64812</v>
      </c>
      <c r="S142" s="4" t="n">
        <v>0.03</v>
      </c>
      <c r="T142" s="4" t="n">
        <v>0</v>
      </c>
      <c r="U142" s="16" t="n">
        <v>0.9586415265909578</v>
      </c>
      <c r="V142" s="16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17" t="n">
        <v>0.1563</v>
      </c>
      <c r="F143" s="17" t="n">
        <v>0.151611</v>
      </c>
      <c r="G143" s="17" t="n">
        <v>0.164115</v>
      </c>
      <c r="H143" s="7" t="n">
        <v>46275.25</v>
      </c>
      <c r="I143" s="17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19" t="n">
        <v>-5648234</v>
      </c>
      <c r="R143" s="19" t="n">
        <v>3937096.3957</v>
      </c>
      <c r="S143" s="4" t="n">
        <v>0.03</v>
      </c>
      <c r="T143" s="4" t="n">
        <v>0.01343570057581589</v>
      </c>
      <c r="U143" s="16" t="n">
        <v>2.837922980872801</v>
      </c>
      <c r="V143" s="16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17" t="n">
        <v>0.0151607</v>
      </c>
      <c r="F144" s="17" t="n">
        <v>0.014705879</v>
      </c>
      <c r="G144" s="17" t="n">
        <v>0.015918735</v>
      </c>
      <c r="H144" s="7" t="n">
        <v>46275.29166666666</v>
      </c>
      <c r="I144" s="17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19" t="n">
        <v>-13040704</v>
      </c>
      <c r="R144" s="19" t="n">
        <v>3092940.1034152</v>
      </c>
      <c r="S144" s="4" t="n">
        <v>0.03</v>
      </c>
      <c r="T144" s="4" t="n">
        <v>0.03028883890585532</v>
      </c>
      <c r="U144" s="16" t="n">
        <v>8.31398505972493</v>
      </c>
      <c r="V144" s="16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17" t="n">
        <v>0.004769</v>
      </c>
      <c r="F145" s="17" t="n">
        <v>0.00491207</v>
      </c>
      <c r="G145" s="17" t="n">
        <v>0.00453055</v>
      </c>
      <c r="H145" s="7" t="n">
        <v>46275.16666666666</v>
      </c>
      <c r="I145" s="17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19" t="n">
        <v>312133448</v>
      </c>
      <c r="R145" s="19" t="n">
        <v>6069782.965766</v>
      </c>
      <c r="S145" s="4" t="n">
        <v>0.01216187880058706</v>
      </c>
      <c r="T145" s="4" t="n">
        <v>0.05</v>
      </c>
      <c r="U145" s="16" t="n">
        <v>2.180372118293235</v>
      </c>
      <c r="V145" s="16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17" t="n">
        <v>1.365</v>
      </c>
      <c r="F146" s="17" t="n">
        <v>1.40595</v>
      </c>
      <c r="G146" s="17" t="n">
        <v>1.29675</v>
      </c>
      <c r="H146" s="7" t="n">
        <v>46275.16666666666</v>
      </c>
      <c r="I146" s="17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19" t="n">
        <v>228613.4000000001</v>
      </c>
      <c r="R146" s="19" t="n">
        <v>2431364.9724</v>
      </c>
      <c r="S146" s="4" t="n">
        <v>0.02710622710622701</v>
      </c>
      <c r="T146" s="4" t="n">
        <v>0.05</v>
      </c>
      <c r="U146" s="16" t="n">
        <v>0.9511020296400551</v>
      </c>
      <c r="V146" s="16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17" t="n">
        <v>0.0160605</v>
      </c>
      <c r="F147" s="17" t="n">
        <v>0.016542315</v>
      </c>
      <c r="G147" s="17" t="n">
        <v>0.015257475</v>
      </c>
      <c r="H147" s="7" t="n">
        <v>46275.5</v>
      </c>
      <c r="I147" s="17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19" t="n">
        <v>29408404</v>
      </c>
      <c r="R147" s="19" t="n">
        <v>2804101.2334157</v>
      </c>
      <c r="S147" s="4" t="n">
        <v>0.002976246069549493</v>
      </c>
      <c r="T147" s="4" t="n">
        <v>0.05</v>
      </c>
      <c r="U147" s="16" t="n">
        <v>1.105813507966635</v>
      </c>
      <c r="V147" s="16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17" t="n">
        <v>0.00549</v>
      </c>
      <c r="F148" s="17" t="n">
        <v>0.0053253</v>
      </c>
      <c r="G148" s="17" t="n">
        <v>0.005764500000000001</v>
      </c>
      <c r="H148" s="7" t="n">
        <v>46275.54166666666</v>
      </c>
      <c r="I148" s="17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19" t="n">
        <v>-195187</v>
      </c>
      <c r="R148" s="19" t="n">
        <v>1588257.254743</v>
      </c>
      <c r="S148" s="4" t="n">
        <v>0.03</v>
      </c>
      <c r="T148" s="4" t="n">
        <v>0.01438979963570119</v>
      </c>
      <c r="U148" s="16" t="n">
        <v>3.019475028667117</v>
      </c>
      <c r="V148" s="16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17" t="n">
        <v>0.0154525</v>
      </c>
      <c r="F149" s="17" t="n">
        <v>0.015916075</v>
      </c>
      <c r="G149" s="17" t="n">
        <v>0.014679875</v>
      </c>
      <c r="H149" s="7" t="n">
        <v>46275.75</v>
      </c>
      <c r="I149" s="17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19" t="n">
        <v>35488477</v>
      </c>
      <c r="R149" s="19" t="n">
        <v>3063002.323005</v>
      </c>
      <c r="S149" s="4" t="n">
        <v>0.03</v>
      </c>
      <c r="T149" s="4" t="n">
        <v>0.02697298171816853</v>
      </c>
      <c r="U149" s="16" t="n">
        <v>1.572832235173192</v>
      </c>
      <c r="V149" s="16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17" t="n">
        <v>0.08887</v>
      </c>
      <c r="F150" s="17" t="n">
        <v>0.09153610000000001</v>
      </c>
      <c r="G150" s="17" t="n">
        <v>0.0844265</v>
      </c>
      <c r="H150" s="7" t="n">
        <v>46275.58333333334</v>
      </c>
      <c r="I150" s="17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19" t="n">
        <v>16933466</v>
      </c>
      <c r="R150" s="19" t="n">
        <v>2483470.87492</v>
      </c>
      <c r="S150" s="4" t="n">
        <v>0.03</v>
      </c>
      <c r="T150" s="4" t="n">
        <v>0</v>
      </c>
      <c r="U150" s="16" t="n">
        <v>1.162474389333257</v>
      </c>
      <c r="V150" s="16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17" t="n">
        <v>1.33</v>
      </c>
      <c r="F151" s="17" t="n">
        <v>1.3699</v>
      </c>
      <c r="G151" s="17" t="n">
        <v>1.2635</v>
      </c>
      <c r="H151" s="7" t="n">
        <v>46275.58333333334</v>
      </c>
      <c r="I151" s="17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19" t="n">
        <v>13454.30000000028</v>
      </c>
      <c r="R151" s="19" t="n">
        <v>2474062.1371</v>
      </c>
      <c r="S151" s="4" t="n">
        <v>0.03</v>
      </c>
      <c r="T151" s="4" t="n">
        <v>0</v>
      </c>
      <c r="U151" s="16" t="n">
        <v>1.260890814524471</v>
      </c>
      <c r="V151" s="16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17" t="n">
        <v>24.415</v>
      </c>
      <c r="F152" s="17" t="n">
        <v>25.14745</v>
      </c>
      <c r="G152" s="17" t="n">
        <v>23.19425</v>
      </c>
      <c r="H152" s="7" t="n">
        <v>46275.875</v>
      </c>
      <c r="I152" s="17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19" t="n">
        <v>921.6600000000035</v>
      </c>
      <c r="R152" s="19" t="n">
        <v>11828522.19119</v>
      </c>
      <c r="S152" s="4" t="n">
        <v>0.007782101167315147</v>
      </c>
      <c r="T152" s="4" t="n">
        <v>0.05</v>
      </c>
      <c r="U152" s="16" t="n">
        <v>0.9534333756072091</v>
      </c>
      <c r="V152" s="16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17" t="n">
        <v>4.481</v>
      </c>
      <c r="F153" s="17" t="n">
        <v>4.34657</v>
      </c>
      <c r="G153" s="17" t="n">
        <v>4.70505</v>
      </c>
      <c r="H153" s="7" t="n">
        <v>46276.125</v>
      </c>
      <c r="I153" s="17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19" t="n">
        <v>-512836.4000000013</v>
      </c>
      <c r="R153" s="19" t="n">
        <v>6425780.0345</v>
      </c>
      <c r="S153" s="4" t="n">
        <v>0.03</v>
      </c>
      <c r="T153" s="4" t="n">
        <v>0.03392099977683549</v>
      </c>
      <c r="U153" s="16" t="n">
        <v>0.6670573531680229</v>
      </c>
      <c r="V153" s="16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17" t="n">
        <v>0.10829</v>
      </c>
      <c r="F154" s="17" t="n">
        <v>0.1050413</v>
      </c>
      <c r="G154" s="17" t="n">
        <v>0.1137045</v>
      </c>
      <c r="H154" s="7" t="n">
        <v>46275.75</v>
      </c>
      <c r="I154" s="17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19" t="n">
        <v>-2756843</v>
      </c>
      <c r="R154" s="19" t="n">
        <v>1930634.73827</v>
      </c>
      <c r="S154" s="4" t="n">
        <v>0.03</v>
      </c>
      <c r="T154" s="4" t="n">
        <v>0.009142118385815801</v>
      </c>
      <c r="U154" s="16" t="n">
        <v>0.5904915096154797</v>
      </c>
      <c r="V154" s="16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17" t="n">
        <v>2.419</v>
      </c>
      <c r="F155" s="17" t="n">
        <v>2.34643</v>
      </c>
      <c r="G155" s="17" t="n">
        <v>2.53995</v>
      </c>
      <c r="H155" s="7" t="n">
        <v>46276.29166666666</v>
      </c>
      <c r="I155" s="17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19" t="n">
        <v>-1250947</v>
      </c>
      <c r="R155" s="19" t="n">
        <v>8651020.495999999</v>
      </c>
      <c r="S155" s="4" t="n">
        <v>0.02439024390243905</v>
      </c>
      <c r="T155" s="4" t="n">
        <v>0.05</v>
      </c>
      <c r="U155" s="16" t="n">
        <v>1.774749000078394</v>
      </c>
      <c r="V155" s="16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17" t="n">
        <v>0.6353</v>
      </c>
      <c r="F156" s="17" t="n">
        <v>0.6162409999999999</v>
      </c>
      <c r="G156" s="17" t="n">
        <v>0.667065</v>
      </c>
      <c r="H156" s="7" t="n">
        <v>46275.70833333334</v>
      </c>
      <c r="I156" s="17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19" t="n">
        <v>-3926328</v>
      </c>
      <c r="R156" s="19" t="n">
        <v>18666016.1518</v>
      </c>
      <c r="S156" s="4" t="n">
        <v>0.03</v>
      </c>
      <c r="T156" s="4" t="n">
        <v>0</v>
      </c>
      <c r="U156" s="16" t="n">
        <v>1.130555201594619</v>
      </c>
      <c r="V156" s="16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17" t="n">
        <v>0.23822</v>
      </c>
      <c r="F157" s="17" t="n">
        <v>0.2310734</v>
      </c>
      <c r="G157" s="17" t="n">
        <v>0.250131</v>
      </c>
      <c r="H157" s="7" t="n">
        <v>46275.83333333334</v>
      </c>
      <c r="I157" s="17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19" t="n">
        <v>-2078876</v>
      </c>
      <c r="R157" s="19" t="n">
        <v>10928567.0415</v>
      </c>
      <c r="S157" s="4" t="n">
        <v>0.004491646377298264</v>
      </c>
      <c r="T157" s="4" t="n">
        <v>0.05</v>
      </c>
      <c r="U157" s="16" t="n">
        <v>1.296193316790149</v>
      </c>
      <c r="V157" s="16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17" t="n">
        <v>1.286</v>
      </c>
      <c r="F158" s="17" t="n">
        <v>1.24742</v>
      </c>
      <c r="G158" s="17" t="n">
        <v>1.3503</v>
      </c>
      <c r="H158" s="7" t="n">
        <v>46276.16666666666</v>
      </c>
      <c r="I158" s="17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19" t="n">
        <v>-237735.5999999999</v>
      </c>
      <c r="R158" s="19" t="n">
        <v>2421626.3634</v>
      </c>
      <c r="S158" s="4" t="n">
        <v>0.02643856920684295</v>
      </c>
      <c r="T158" s="4" t="n">
        <v>0.05</v>
      </c>
      <c r="U158" s="16" t="n">
        <v>0.6488037141102702</v>
      </c>
      <c r="V158" s="16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17" t="n">
        <v>0.1116</v>
      </c>
      <c r="F159" s="17" t="n">
        <v>0.114948</v>
      </c>
      <c r="G159" s="17" t="n">
        <v>0.10602</v>
      </c>
      <c r="H159" s="7" t="n">
        <v>46275.95833333334</v>
      </c>
      <c r="I159" s="17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19" t="n">
        <v>617572</v>
      </c>
      <c r="R159" s="19" t="n">
        <v>1861033.44856</v>
      </c>
      <c r="S159" s="4" t="n">
        <v>0.03</v>
      </c>
      <c r="T159" s="4" t="n">
        <v>0</v>
      </c>
      <c r="U159" s="16" t="n">
        <v>6.478792621252301</v>
      </c>
      <c r="V159" s="16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17" t="n">
        <v>0.07895000000000001</v>
      </c>
      <c r="F160" s="17" t="n">
        <v>0.07658150000000001</v>
      </c>
      <c r="G160" s="17" t="n">
        <v>0.08289750000000001</v>
      </c>
      <c r="H160" s="7" t="n">
        <v>46276.125</v>
      </c>
      <c r="I160" s="17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19" t="n">
        <v>-1920336</v>
      </c>
      <c r="R160" s="19" t="n">
        <v>2056048.17594</v>
      </c>
      <c r="S160" s="4" t="n">
        <v>0.03</v>
      </c>
      <c r="T160" s="4" t="n">
        <v>0.02077264091196951</v>
      </c>
      <c r="U160" s="16" t="n">
        <v>0.4162600534530905</v>
      </c>
      <c r="V160" s="16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17" t="n">
        <v>0.08391999999999999</v>
      </c>
      <c r="F161" s="17" t="n">
        <v>0.0864376</v>
      </c>
      <c r="G161" s="17" t="n">
        <v>0.07972399999999999</v>
      </c>
      <c r="H161" s="7" t="n">
        <v>46276</v>
      </c>
      <c r="I161" s="17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19" t="n">
        <v>3178567</v>
      </c>
      <c r="R161" s="19" t="n">
        <v>1896867.83884</v>
      </c>
      <c r="S161" s="4" t="n">
        <v>0.03</v>
      </c>
      <c r="T161" s="4" t="n">
        <v>0</v>
      </c>
      <c r="U161" s="16" t="n">
        <v>2.726887724337139</v>
      </c>
      <c r="V161" s="16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17" t="n">
        <v>0.6104000000000001</v>
      </c>
      <c r="F162" s="17" t="n">
        <v>0.628712</v>
      </c>
      <c r="G162" s="17" t="n">
        <v>0.5798800000000001</v>
      </c>
      <c r="H162" s="7" t="n">
        <v>46276.16666666666</v>
      </c>
      <c r="I162" s="17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19" t="n">
        <v>1124790</v>
      </c>
      <c r="R162" s="19" t="n">
        <v>17152219.7176</v>
      </c>
      <c r="S162" s="4" t="n">
        <v>0</v>
      </c>
      <c r="T162" s="4" t="n">
        <v>0.05</v>
      </c>
      <c r="U162" s="16" t="n">
        <v>1.379313132101726</v>
      </c>
      <c r="V162" s="16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17" t="n">
        <v>0.24506</v>
      </c>
      <c r="F163" s="17" t="n">
        <v>0.2524118</v>
      </c>
      <c r="G163" s="17" t="n">
        <v>0.232807</v>
      </c>
      <c r="H163" s="7" t="n">
        <v>46276.125</v>
      </c>
      <c r="I163" s="17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19" t="n">
        <v>22032143</v>
      </c>
      <c r="R163" s="19" t="n">
        <v>14015079.88265</v>
      </c>
      <c r="S163" s="4" t="n">
        <v>0.03</v>
      </c>
      <c r="T163" s="4" t="n">
        <v>0</v>
      </c>
      <c r="U163" s="16" t="n">
        <v>1.410910958961266</v>
      </c>
      <c r="V163" s="16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17" t="n">
        <v>25.016</v>
      </c>
      <c r="F164" s="17" t="n">
        <v>25.76648</v>
      </c>
      <c r="G164" s="17" t="n">
        <v>23.7652</v>
      </c>
      <c r="H164" s="7" t="n">
        <v>46276.375</v>
      </c>
      <c r="I164" s="17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19" t="n">
        <v>6747.979999999996</v>
      </c>
      <c r="R164" s="19" t="n">
        <v>9187643.20025</v>
      </c>
      <c r="S164" s="4" t="n">
        <v>0.02630316597377691</v>
      </c>
      <c r="T164" s="4" t="n">
        <v>0.05</v>
      </c>
      <c r="U164" s="16" t="n">
        <v>1.09901111874392</v>
      </c>
      <c r="V164" s="16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17" t="n">
        <v>0.003721</v>
      </c>
      <c r="F165" s="17" t="n">
        <v>0.00360937</v>
      </c>
      <c r="G165" s="17" t="n">
        <v>0.00390705</v>
      </c>
      <c r="H165" s="7" t="n">
        <v>46276.45833333334</v>
      </c>
      <c r="I165" s="17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19" t="n">
        <v>-307877275</v>
      </c>
      <c r="R165" s="19" t="n">
        <v>4237847.540595</v>
      </c>
      <c r="S165" s="4" t="n">
        <v>0.03</v>
      </c>
      <c r="T165" s="4" t="n">
        <v>0.008868583714055411</v>
      </c>
      <c r="U165" s="16" t="n">
        <v>1.375112200070955</v>
      </c>
      <c r="V165" s="16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17" t="n">
        <v>4.288</v>
      </c>
      <c r="F166" s="17" t="n">
        <v>4.15936</v>
      </c>
      <c r="G166" s="17" t="n">
        <v>4.502400000000001</v>
      </c>
      <c r="H166" s="7" t="n">
        <v>46276.58333333334</v>
      </c>
      <c r="I166" s="17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19" t="n">
        <v>-47034.29999999981</v>
      </c>
      <c r="R166" s="19" t="n">
        <v>4017450.1276</v>
      </c>
      <c r="S166" s="4" t="n">
        <v>0.003031716417910446</v>
      </c>
      <c r="T166" s="4" t="n">
        <v>0.05</v>
      </c>
      <c r="U166" s="16" t="n">
        <v>2.260241505767399</v>
      </c>
      <c r="V166" s="16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17" t="n">
        <v>2.418</v>
      </c>
      <c r="F167" s="17" t="n">
        <v>2.34546</v>
      </c>
      <c r="G167" s="17" t="n">
        <v>2.5389</v>
      </c>
      <c r="H167" s="7" t="n">
        <v>46276.875</v>
      </c>
      <c r="I167" s="17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19" t="n">
        <v>-443413</v>
      </c>
      <c r="R167" s="19" t="n">
        <v>9649532.063999999</v>
      </c>
      <c r="S167" s="4" t="n">
        <v>0.01612903225806461</v>
      </c>
      <c r="T167" s="4" t="n">
        <v>0.05</v>
      </c>
      <c r="U167" s="16" t="n">
        <v>1.038194278635516</v>
      </c>
      <c r="V167" s="16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17" t="n">
        <v>0.07525999999999999</v>
      </c>
      <c r="F168" s="17" t="n">
        <v>0.07300219999999999</v>
      </c>
      <c r="G168" s="17" t="n">
        <v>0.079023</v>
      </c>
      <c r="H168" s="7" t="n">
        <v>46276.54166666666</v>
      </c>
      <c r="I168" s="17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19" t="n">
        <v>-4500436</v>
      </c>
      <c r="R168" s="19" t="n">
        <v>1429060.99886</v>
      </c>
      <c r="S168" s="4" t="n">
        <v>0.0001328727079457082</v>
      </c>
      <c r="T168" s="4" t="n">
        <v>0.05</v>
      </c>
      <c r="U168" s="16" t="n">
        <v>1.179648508398454</v>
      </c>
      <c r="V168" s="16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17" t="n">
        <v>23.446</v>
      </c>
      <c r="F169" s="17" t="n">
        <v>22.74262</v>
      </c>
      <c r="G169" s="17" t="n">
        <v>24.6183</v>
      </c>
      <c r="H169" s="7" t="n">
        <v>46276.58333333334</v>
      </c>
      <c r="I169" s="17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19" t="n">
        <v>-56586.84000000003</v>
      </c>
      <c r="R169" s="19" t="n">
        <v>7115164.396330001</v>
      </c>
      <c r="S169" s="4" t="n">
        <v>0.005331399812334769</v>
      </c>
      <c r="T169" s="4" t="n">
        <v>0.05</v>
      </c>
      <c r="U169" s="16" t="n">
        <v>0.477057045992042</v>
      </c>
      <c r="V169" s="16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17" t="n">
        <v>0.6024</v>
      </c>
      <c r="F170" s="17" t="n">
        <v>0.5843280000000001</v>
      </c>
      <c r="G170" s="17" t="n">
        <v>0.6325200000000001</v>
      </c>
      <c r="H170" s="7" t="n">
        <v>46276.66666666666</v>
      </c>
      <c r="I170" s="17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19" t="n">
        <v>-403630</v>
      </c>
      <c r="R170" s="19" t="n">
        <v>1644007.6028</v>
      </c>
      <c r="S170" s="4" t="n">
        <v>0</v>
      </c>
      <c r="T170" s="4" t="n">
        <v>0.05</v>
      </c>
      <c r="U170" s="16" t="n">
        <v>0.7262307555325315</v>
      </c>
      <c r="V170" s="16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17" t="n">
        <v>0.000976</v>
      </c>
      <c r="F171" s="17" t="n">
        <v>0.00094672</v>
      </c>
      <c r="G171" s="17" t="n">
        <v>0.0010248</v>
      </c>
      <c r="H171" s="7" t="n">
        <v>46276.79166666666</v>
      </c>
      <c r="I171" s="17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19" t="n">
        <v>-365714631</v>
      </c>
      <c r="R171" s="19" t="n">
        <v>2040043.203048</v>
      </c>
      <c r="S171" s="4" t="n">
        <v>0.03</v>
      </c>
      <c r="T171" s="4" t="n">
        <v>0</v>
      </c>
      <c r="U171" s="16" t="n">
        <v>0.9412700473027332</v>
      </c>
      <c r="V171" s="16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17" t="n">
        <v>24.665</v>
      </c>
      <c r="F172" s="17" t="n">
        <v>25.40495</v>
      </c>
      <c r="G172" s="17" t="n">
        <v>23.43175</v>
      </c>
      <c r="H172" s="7" t="n">
        <v>46276.875</v>
      </c>
      <c r="I172" s="17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19" t="n">
        <v>22667.54999999996</v>
      </c>
      <c r="R172" s="19" t="n">
        <v>4813626.34929</v>
      </c>
      <c r="S172" s="4" t="n">
        <v>0.03</v>
      </c>
      <c r="T172" s="4" t="n">
        <v>0</v>
      </c>
      <c r="U172" s="16" t="n">
        <v>0.9058506016959673</v>
      </c>
      <c r="V172" s="16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17" t="n">
        <v>4.659</v>
      </c>
      <c r="F173" s="17" t="n">
        <v>4.79877</v>
      </c>
      <c r="G173" s="17" t="n">
        <v>4.42605</v>
      </c>
      <c r="H173" s="7" t="n">
        <v>46276.95833333334</v>
      </c>
      <c r="I173" s="17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19" t="n">
        <v>62052.09999999963</v>
      </c>
      <c r="R173" s="19" t="n">
        <v>3399677.786</v>
      </c>
      <c r="S173" s="4" t="n">
        <v>0.03</v>
      </c>
      <c r="T173" s="4" t="n">
        <v>0.01266366172998501</v>
      </c>
      <c r="U173" s="16" t="n">
        <v>2.748589569835663</v>
      </c>
      <c r="V173" s="16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17" t="n">
        <v>0.6194</v>
      </c>
      <c r="F174" s="17" t="n">
        <v>0.6379819999999999</v>
      </c>
      <c r="G174" s="17" t="n">
        <v>0.5884299999999999</v>
      </c>
      <c r="H174" s="7" t="n">
        <v>46276.91666666666</v>
      </c>
      <c r="I174" s="17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19" t="n">
        <v>20188</v>
      </c>
      <c r="R174" s="19" t="n">
        <v>6544877.766</v>
      </c>
      <c r="S174" s="4" t="n">
        <v>0.03</v>
      </c>
      <c r="T174" s="4" t="n">
        <v>0</v>
      </c>
      <c r="U174" s="16" t="n">
        <v>0.9174173609049526</v>
      </c>
      <c r="V174" s="16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17" t="n">
        <v>1150.81</v>
      </c>
      <c r="F175" s="17" t="n">
        <v>1185.3343</v>
      </c>
      <c r="G175" s="17" t="n">
        <v>1093.2695</v>
      </c>
      <c r="H175" s="7" t="n">
        <v>46276.91666666666</v>
      </c>
      <c r="I175" s="17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19" t="n">
        <v>3050.965999999993</v>
      </c>
      <c r="R175" s="19" t="n">
        <v>31858591.84966</v>
      </c>
      <c r="S175" s="4" t="n">
        <v>0.03</v>
      </c>
      <c r="T175" s="4" t="n">
        <v>0</v>
      </c>
      <c r="U175" s="16" t="n">
        <v>3.527958566583369</v>
      </c>
      <c r="V175" s="16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17" t="n">
        <v>0.003843</v>
      </c>
      <c r="F176" s="17" t="n">
        <v>0.003958290000000001</v>
      </c>
      <c r="G176" s="17" t="n">
        <v>0.00365085</v>
      </c>
      <c r="H176" s="7" t="n">
        <v>46277</v>
      </c>
      <c r="I176" s="17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19" t="n">
        <v>51460715</v>
      </c>
      <c r="R176" s="19" t="n">
        <v>5504621.711578</v>
      </c>
      <c r="S176" s="4" t="n">
        <v>0.009888108248763849</v>
      </c>
      <c r="T176" s="4" t="n">
        <v>0.05</v>
      </c>
      <c r="U176" s="16" t="n">
        <v>2.069726197212137</v>
      </c>
      <c r="V176" s="16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17" t="n">
        <v>0.6084000000000001</v>
      </c>
      <c r="F177" s="17" t="n">
        <v>0.590148</v>
      </c>
      <c r="G177" s="17" t="n">
        <v>0.6388200000000001</v>
      </c>
      <c r="H177" s="7" t="n">
        <v>46277.16666666666</v>
      </c>
      <c r="I177" s="17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19" t="n">
        <v>-1884620</v>
      </c>
      <c r="R177" s="19" t="n">
        <v>7189657.9305</v>
      </c>
      <c r="S177" s="4" t="n">
        <v>0.03</v>
      </c>
      <c r="T177" s="4" t="n">
        <v>0.02925706771860614</v>
      </c>
      <c r="U177" s="16" t="n">
        <v>0.9158699230400815</v>
      </c>
      <c r="V177" s="16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17" t="n">
        <v>0.000895</v>
      </c>
      <c r="F178" s="17" t="n">
        <v>0.0008681499999999999</v>
      </c>
      <c r="G178" s="17" t="n">
        <v>0.00093975</v>
      </c>
      <c r="H178" s="7" t="n">
        <v>46277.25</v>
      </c>
      <c r="I178" s="17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19" t="n">
        <v>-80556021</v>
      </c>
      <c r="R178" s="19" t="n">
        <v>1426890.264431</v>
      </c>
      <c r="S178" s="4" t="n">
        <v>0.03</v>
      </c>
      <c r="T178" s="4" t="n">
        <v>0.003351955307262733</v>
      </c>
      <c r="U178" s="16" t="n">
        <v>0.5173070279746069</v>
      </c>
      <c r="V178" s="16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17" t="n">
        <v>0.1418</v>
      </c>
      <c r="F179" s="17" t="n">
        <v>0.137546</v>
      </c>
      <c r="G179" s="17" t="n">
        <v>0.14889</v>
      </c>
      <c r="H179" s="7" t="n">
        <v>46278.91666666666</v>
      </c>
      <c r="I179" s="17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19" t="n">
        <v>-26921233</v>
      </c>
      <c r="R179" s="19" t="n">
        <v>7836145.6262</v>
      </c>
      <c r="S179" s="4" t="n">
        <v>0.03</v>
      </c>
      <c r="T179" s="4" t="n">
        <v>0.01410437235543016</v>
      </c>
      <c r="U179" s="16" t="n">
        <v>1.201993217794421</v>
      </c>
      <c r="V179" s="16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17" t="n">
        <v>0.12248</v>
      </c>
      <c r="F180" s="17" t="n">
        <v>0.1188056</v>
      </c>
      <c r="G180" s="17" t="n">
        <v>0.128604</v>
      </c>
      <c r="H180" s="7" t="n">
        <v>46277.25</v>
      </c>
      <c r="I180" s="17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19" t="n">
        <v>-1661631</v>
      </c>
      <c r="R180" s="19" t="n">
        <v>4420156.18964</v>
      </c>
      <c r="S180" s="4" t="n">
        <v>0.03</v>
      </c>
      <c r="T180" s="4" t="n">
        <v>0.02188112344872617</v>
      </c>
      <c r="U180" s="16" t="n">
        <v>0.7162961934991695</v>
      </c>
      <c r="V180" s="16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17" t="n">
        <v>0.003537</v>
      </c>
      <c r="F181" s="17" t="n">
        <v>0.00343089</v>
      </c>
      <c r="G181" s="17" t="n">
        <v>0.00371385</v>
      </c>
      <c r="H181" s="7" t="n">
        <v>46278.08333333334</v>
      </c>
      <c r="I181" s="17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19" t="n">
        <v>-178806568</v>
      </c>
      <c r="R181" s="19" t="n">
        <v>6297088.56239</v>
      </c>
      <c r="S181" s="4" t="n">
        <v>0.006502685891998872</v>
      </c>
      <c r="T181" s="4" t="n">
        <v>0.05</v>
      </c>
      <c r="U181" s="16" t="n">
        <v>1.224382173297189</v>
      </c>
      <c r="V181" s="16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17" t="n">
        <v>0.22299</v>
      </c>
      <c r="F182" s="17" t="n">
        <v>0.2163003</v>
      </c>
      <c r="G182" s="17" t="n">
        <v>0.2341395</v>
      </c>
      <c r="H182" s="7" t="n">
        <v>46277.16666666666</v>
      </c>
      <c r="I182" s="17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19" t="n">
        <v>-2047242</v>
      </c>
      <c r="R182" s="19" t="n">
        <v>6798765.46783</v>
      </c>
      <c r="S182" s="4" t="n">
        <v>0.03</v>
      </c>
      <c r="T182" s="4" t="n">
        <v>0</v>
      </c>
      <c r="U182" s="16" t="n">
        <v>0.9914632778234673</v>
      </c>
      <c r="V182" s="16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17" t="n">
        <v>0.5886</v>
      </c>
      <c r="F183" s="17" t="n">
        <v>0.5709419999999999</v>
      </c>
      <c r="G183" s="17" t="n">
        <v>0.6180300000000001</v>
      </c>
      <c r="H183" s="7" t="n">
        <v>46277.33333333334</v>
      </c>
      <c r="I183" s="17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19" t="n">
        <v>-1615071</v>
      </c>
      <c r="R183" s="19" t="n">
        <v>6250085.110300001</v>
      </c>
      <c r="S183" s="4" t="n">
        <v>0.03</v>
      </c>
      <c r="T183" s="4" t="n">
        <v>0.01376146788990829</v>
      </c>
      <c r="U183" s="16" t="n">
        <v>0.8199632796621746</v>
      </c>
      <c r="V183" s="16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17" t="n">
        <v>0.5694</v>
      </c>
      <c r="F184" s="17" t="n">
        <v>0.552318</v>
      </c>
      <c r="G184" s="17" t="n">
        <v>0.59787</v>
      </c>
      <c r="H184" s="7" t="n">
        <v>46280.54166666666</v>
      </c>
      <c r="I184" s="17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19" t="n">
        <v>-361831.8</v>
      </c>
      <c r="R184" s="19" t="n">
        <v>1281726.24259</v>
      </c>
      <c r="S184" s="4" t="n">
        <v>0.03</v>
      </c>
      <c r="T184" s="4" t="n">
        <v>0.0277485072005621</v>
      </c>
      <c r="U184" s="16" t="n">
        <v>1.01517167462681</v>
      </c>
      <c r="V184" s="16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17" t="n">
        <v>0.21674</v>
      </c>
      <c r="F185" s="17" t="n">
        <v>0.2102378</v>
      </c>
      <c r="G185" s="17" t="n">
        <v>0.227577</v>
      </c>
      <c r="H185" s="7" t="n">
        <v>46277.45833333334</v>
      </c>
      <c r="I185" s="17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19" t="n">
        <v>-1497454</v>
      </c>
      <c r="R185" s="19" t="n">
        <v>7028951.42274</v>
      </c>
      <c r="S185" s="4" t="n">
        <v>0.02159269170434619</v>
      </c>
      <c r="T185" s="4" t="n">
        <v>0.05</v>
      </c>
      <c r="U185" s="16" t="n">
        <v>0.7345015725800836</v>
      </c>
      <c r="V185" s="16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17" t="n">
        <v>1.716</v>
      </c>
      <c r="F186" s="17" t="n">
        <v>1.76748</v>
      </c>
      <c r="G186" s="17" t="n">
        <v>1.6302</v>
      </c>
      <c r="H186" s="7" t="n">
        <v>46277.5</v>
      </c>
      <c r="I186" s="17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19" t="n">
        <v>721092.5999999996</v>
      </c>
      <c r="R186" s="19" t="n">
        <v>4467953.1854</v>
      </c>
      <c r="S186" s="4" t="n">
        <v>0.01515151515151514</v>
      </c>
      <c r="T186" s="4" t="n">
        <v>0.05</v>
      </c>
      <c r="U186" s="16" t="n">
        <v>0.480733710492018</v>
      </c>
      <c r="V186" s="16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17" t="n">
        <v>0.0143414</v>
      </c>
      <c r="F187" s="17" t="n">
        <v>0.014771642</v>
      </c>
      <c r="G187" s="17" t="n">
        <v>0.01362433</v>
      </c>
      <c r="H187" s="7" t="n">
        <v>46277.625</v>
      </c>
      <c r="I187" s="17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19" t="n">
        <v>16563931</v>
      </c>
      <c r="R187" s="19" t="n">
        <v>1694418.2021095</v>
      </c>
      <c r="S187" s="4" t="n">
        <v>0.03</v>
      </c>
      <c r="T187" s="4" t="n">
        <v>0</v>
      </c>
      <c r="U187" s="16" t="n">
        <v>2.652559555943732</v>
      </c>
      <c r="V187" s="16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17" t="n">
        <v>0.6982</v>
      </c>
      <c r="F188" s="17" t="n">
        <v>0.7191460000000001</v>
      </c>
      <c r="G188" s="17" t="n">
        <v>0.66329</v>
      </c>
      <c r="H188" s="7" t="n">
        <v>46277.66666666666</v>
      </c>
      <c r="I188" s="17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19" t="n">
        <v>12818</v>
      </c>
      <c r="R188" s="19" t="n">
        <v>1384633.5535</v>
      </c>
      <c r="S188" s="4" t="n">
        <v>0.03</v>
      </c>
      <c r="T188" s="4" t="n">
        <v>0</v>
      </c>
      <c r="U188" s="16" t="n">
        <v>3.50905131059224</v>
      </c>
      <c r="V188" s="16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17" t="n">
        <v>0.2336</v>
      </c>
      <c r="F189" s="17" t="n">
        <v>0.226592</v>
      </c>
      <c r="G189" s="17" t="n">
        <v>0.24528</v>
      </c>
      <c r="H189" s="7" t="n">
        <v>46277.875</v>
      </c>
      <c r="I189" s="17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19" t="n">
        <v>-754680</v>
      </c>
      <c r="R189" s="19" t="n">
        <v>2069443.1059</v>
      </c>
      <c r="S189" s="4" t="n">
        <v>0</v>
      </c>
      <c r="T189" s="4" t="n">
        <v>0.05</v>
      </c>
      <c r="U189" s="16" t="n">
        <v>0.7686133324907366</v>
      </c>
      <c r="V189" s="16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17" t="n">
        <v>0.12973</v>
      </c>
      <c r="F190" s="17" t="n">
        <v>0.1258381</v>
      </c>
      <c r="G190" s="17" t="n">
        <v>0.1362165</v>
      </c>
      <c r="H190" s="7" t="n">
        <v>46277.875</v>
      </c>
      <c r="I190" s="17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19" t="n">
        <v>-4150037</v>
      </c>
      <c r="R190" s="19" t="n">
        <v>5480909.43373</v>
      </c>
      <c r="S190" s="4" t="n">
        <v>0.009095814383720091</v>
      </c>
      <c r="T190" s="4" t="n">
        <v>0.05</v>
      </c>
      <c r="U190" s="16" t="n">
        <v>0.735717001345907</v>
      </c>
      <c r="V190" s="16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17" t="n">
        <v>0.07699</v>
      </c>
      <c r="F191" s="17" t="n">
        <v>0.0792997</v>
      </c>
      <c r="G191" s="17" t="n">
        <v>0.0731405</v>
      </c>
      <c r="H191" s="7" t="n">
        <v>46277.95833333334</v>
      </c>
      <c r="I191" s="17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19" t="n">
        <v>34368837</v>
      </c>
      <c r="R191" s="19" t="n">
        <v>6857670.1932</v>
      </c>
      <c r="S191" s="4" t="n">
        <v>0.007793219898688086</v>
      </c>
      <c r="T191" s="4" t="n">
        <v>0.05</v>
      </c>
      <c r="U191" s="16" t="n">
        <v>0.8291217446110898</v>
      </c>
      <c r="V191" s="16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17" t="n">
        <v>0.13578</v>
      </c>
      <c r="F192" s="17" t="n">
        <v>0.1398534</v>
      </c>
      <c r="G192" s="17" t="n">
        <v>0.128991</v>
      </c>
      <c r="H192" s="7" t="n">
        <v>46278.08333333334</v>
      </c>
      <c r="I192" s="17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19" t="n">
        <v>2052353</v>
      </c>
      <c r="R192" s="19" t="n">
        <v>3011155.14336</v>
      </c>
      <c r="S192" s="4" t="n">
        <v>0.01119457946678448</v>
      </c>
      <c r="T192" s="4" t="n">
        <v>0.05</v>
      </c>
      <c r="U192" s="16" t="n">
        <v>0.4313868219392165</v>
      </c>
      <c r="V192" s="16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17" t="n">
        <v>0.11779</v>
      </c>
      <c r="F193" s="17" t="n">
        <v>0.1142563</v>
      </c>
      <c r="G193" s="17" t="n">
        <v>0.1236795</v>
      </c>
      <c r="H193" s="7" t="n">
        <v>46278.45833333334</v>
      </c>
      <c r="I193" s="17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19" t="n">
        <v>-5714544</v>
      </c>
      <c r="R193" s="19" t="n">
        <v>1817018.29532</v>
      </c>
      <c r="S193" s="4" t="n">
        <v>0.02385601494184575</v>
      </c>
      <c r="T193" s="4" t="n">
        <v>0.05</v>
      </c>
      <c r="U193" s="16" t="n">
        <v>2.875093831728709</v>
      </c>
      <c r="V193" s="16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17" t="n">
        <v>0.6118</v>
      </c>
      <c r="F194" s="17" t="n">
        <v>0.593446</v>
      </c>
      <c r="G194" s="17" t="n">
        <v>0.64239</v>
      </c>
      <c r="H194" s="7" t="n">
        <v>46278.125</v>
      </c>
      <c r="I194" s="17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19" t="n">
        <v>-482055</v>
      </c>
      <c r="R194" s="19" t="n">
        <v>2443822.4458</v>
      </c>
      <c r="S194" s="4" t="n">
        <v>0.03</v>
      </c>
      <c r="T194" s="4" t="n">
        <v>0.003269042170644054</v>
      </c>
      <c r="U194" s="16" t="n">
        <v>0.7277946313631973</v>
      </c>
      <c r="V194" s="16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17" t="n">
        <v>1.412</v>
      </c>
      <c r="F195" s="17" t="n">
        <v>1.45436</v>
      </c>
      <c r="G195" s="17" t="n">
        <v>1.3414</v>
      </c>
      <c r="H195" s="7" t="n">
        <v>46278.125</v>
      </c>
      <c r="I195" s="17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19" t="n">
        <v>358363.9</v>
      </c>
      <c r="R195" s="19" t="n">
        <v>2323206.5163</v>
      </c>
      <c r="S195" s="4" t="n">
        <v>0.03</v>
      </c>
      <c r="T195" s="4" t="n">
        <v>0</v>
      </c>
      <c r="U195" s="16" t="n">
        <v>1.628344958438214</v>
      </c>
      <c r="V195" s="16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17" t="n">
        <v>0.23269</v>
      </c>
      <c r="F196" s="17" t="n">
        <v>0.2396707</v>
      </c>
      <c r="G196" s="17" t="n">
        <v>0.2210555</v>
      </c>
      <c r="H196" s="7" t="n">
        <v>46278.5</v>
      </c>
      <c r="I196" s="17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19" t="n">
        <v>1450242</v>
      </c>
      <c r="R196" s="19" t="n">
        <v>3111990.00034</v>
      </c>
      <c r="S196" s="4" t="n">
        <v>0.03</v>
      </c>
      <c r="T196" s="4" t="n">
        <v>0.0336928961278955</v>
      </c>
      <c r="U196" s="16" t="n">
        <v>0.3783995304245745</v>
      </c>
      <c r="V196" s="16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17" t="n">
        <v>23.956</v>
      </c>
      <c r="F197" s="17" t="n">
        <v>24.67468</v>
      </c>
      <c r="G197" s="17" t="n">
        <v>22.7582</v>
      </c>
      <c r="H197" s="7" t="n">
        <v>46278.29166666666</v>
      </c>
      <c r="I197" s="17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19" t="n">
        <v>19198.86</v>
      </c>
      <c r="R197" s="19" t="n">
        <v>2454827.49017</v>
      </c>
      <c r="S197" s="4" t="n">
        <v>0.03</v>
      </c>
      <c r="T197" s="4" t="n">
        <v>0.004550008348639056</v>
      </c>
      <c r="U197" s="16" t="n">
        <v>2.355414085223603</v>
      </c>
      <c r="V197" s="16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17" t="n">
        <v>0.0164847</v>
      </c>
      <c r="F198" s="17" t="n">
        <v>0.016979241</v>
      </c>
      <c r="G198" s="17" t="n">
        <v>0.015660465</v>
      </c>
      <c r="H198" s="7" t="n">
        <v>46278.58333333334</v>
      </c>
      <c r="I198" s="17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19" t="n">
        <v>16627395</v>
      </c>
      <c r="R198" s="19" t="n">
        <v>1279492.2116761</v>
      </c>
      <c r="S198" s="4" t="n">
        <v>0.006266416737944702</v>
      </c>
      <c r="T198" s="4" t="n">
        <v>0.05</v>
      </c>
      <c r="U198" s="16" t="n">
        <v>1.16641888456675</v>
      </c>
      <c r="V198" s="16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17" t="n">
        <v>0.5901999999999999</v>
      </c>
      <c r="F199" s="17" t="n">
        <v>0.5724939999999999</v>
      </c>
      <c r="G199" s="17" t="n">
        <v>0.61971</v>
      </c>
      <c r="H199" s="7" t="n">
        <v>46278.625</v>
      </c>
      <c r="I199" s="17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19" t="n">
        <v>-538336</v>
      </c>
      <c r="R199" s="19" t="n">
        <v>1769968.569</v>
      </c>
      <c r="S199" s="4" t="n">
        <v>0.03</v>
      </c>
      <c r="T199" s="4" t="n">
        <v>0.01745171128431044</v>
      </c>
      <c r="U199" s="16" t="n">
        <v>0.684186904308496</v>
      </c>
      <c r="V199" s="16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17" t="n">
        <v>0.11416</v>
      </c>
      <c r="F200" s="17" t="n">
        <v>0.1107352</v>
      </c>
      <c r="G200" s="17" t="n">
        <v>0.119868</v>
      </c>
      <c r="H200" s="7" t="n">
        <v>46278.625</v>
      </c>
      <c r="I200" s="17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19" t="n">
        <v>-2353397</v>
      </c>
      <c r="R200" s="19" t="n">
        <v>1260378.77313</v>
      </c>
      <c r="S200" s="4" t="n">
        <v>0.01673090399439381</v>
      </c>
      <c r="T200" s="4" t="n">
        <v>0.05</v>
      </c>
      <c r="U200" s="16" t="n">
        <v>0.6845291252500373</v>
      </c>
      <c r="V200" s="16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17" t="n">
        <v>1.261</v>
      </c>
      <c r="F201" s="17" t="n">
        <v>1.22317</v>
      </c>
      <c r="G201" s="17" t="n">
        <v>1.32405</v>
      </c>
      <c r="H201" s="7" t="n">
        <v>46278.70833333334</v>
      </c>
      <c r="I201" s="17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19" t="n">
        <v>-166098.5</v>
      </c>
      <c r="R201" s="19" t="n">
        <v>1633132.5949</v>
      </c>
      <c r="S201" s="4" t="n">
        <v>0.03</v>
      </c>
      <c r="T201" s="4" t="n">
        <v>0.04203013481364004</v>
      </c>
      <c r="U201" s="16" t="n">
        <v>2.452428134930138</v>
      </c>
      <c r="V201" s="16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17" t="n">
        <v>0.003747</v>
      </c>
      <c r="F202" s="17" t="n">
        <v>0.00363459</v>
      </c>
      <c r="G202" s="17" t="n">
        <v>0.00393435</v>
      </c>
      <c r="H202" s="7" t="n">
        <v>46278.75</v>
      </c>
      <c r="I202" s="17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19" t="n">
        <v>-41085587</v>
      </c>
      <c r="R202" s="19" t="n">
        <v>2666544.507709</v>
      </c>
      <c r="S202" s="4" t="n">
        <v>0.03</v>
      </c>
      <c r="T202" s="4" t="n">
        <v>0.004536962903656239</v>
      </c>
      <c r="U202" s="16" t="n">
        <v>0.823158869101001</v>
      </c>
      <c r="V202" s="16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17" t="n">
        <v>0.22444</v>
      </c>
      <c r="F203" s="17" t="n">
        <v>0.2177068</v>
      </c>
      <c r="G203" s="17" t="n">
        <v>0.235662</v>
      </c>
      <c r="H203" s="7" t="n">
        <v>46278.83333333334</v>
      </c>
      <c r="I203" s="17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19" t="n">
        <v>-987624</v>
      </c>
      <c r="R203" s="19" t="n">
        <v>1943593.26169</v>
      </c>
      <c r="S203" s="4" t="n">
        <v>0.03</v>
      </c>
      <c r="T203" s="4" t="n">
        <v>0.03199073248975215</v>
      </c>
      <c r="U203" s="16" t="n">
        <v>1.125300022122543</v>
      </c>
      <c r="V203" s="16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17" t="n">
        <v>0.06694</v>
      </c>
      <c r="F204" s="17" t="n">
        <v>0.0649318</v>
      </c>
      <c r="G204" s="17" t="n">
        <v>0.070287</v>
      </c>
      <c r="H204" s="7" t="n">
        <v>46278.875</v>
      </c>
      <c r="I204" s="17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19" t="n">
        <v>-12550292</v>
      </c>
      <c r="R204" s="19" t="n">
        <v>3660542.31503</v>
      </c>
      <c r="S204" s="4" t="n">
        <v>0.03</v>
      </c>
      <c r="T204" s="4" t="n">
        <v>0.01210038840752925</v>
      </c>
      <c r="U204" s="16" t="n">
        <v>0.6170410304977394</v>
      </c>
      <c r="V204" s="16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17" t="n">
        <v>22.673</v>
      </c>
      <c r="F205" s="17" t="n">
        <v>21.99281</v>
      </c>
      <c r="G205" s="17" t="n">
        <v>23.80665</v>
      </c>
      <c r="H205" s="7" t="n">
        <v>46278.91666666666</v>
      </c>
      <c r="I205" s="17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19" t="n">
        <v>-7973.100000000006</v>
      </c>
      <c r="R205" s="19" t="n">
        <v>1862546.13313</v>
      </c>
      <c r="S205" s="4" t="n">
        <v>0.03</v>
      </c>
      <c r="T205" s="4" t="n">
        <v>0.0170246548758437</v>
      </c>
      <c r="U205" s="16" t="n">
        <v>1.542546484066931</v>
      </c>
      <c r="V205" s="16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17" t="n">
        <v>0.13497</v>
      </c>
      <c r="F206" s="17" t="n">
        <v>0.1309209</v>
      </c>
      <c r="G206" s="17" t="n">
        <v>0.1417185</v>
      </c>
      <c r="H206" s="7" t="n">
        <v>46278.75</v>
      </c>
      <c r="I206" s="17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19" t="n">
        <v>-4457033</v>
      </c>
      <c r="R206" s="19" t="n">
        <v>2751747.85932</v>
      </c>
      <c r="S206" s="4" t="n">
        <v>0.03</v>
      </c>
      <c r="T206" s="4" t="n">
        <v>0</v>
      </c>
      <c r="U206" s="16" t="n">
        <v>3.10622767745523</v>
      </c>
      <c r="V206" s="16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17" t="n">
        <v>0.06630999999999999</v>
      </c>
      <c r="F207" s="17" t="n">
        <v>0.06432069999999999</v>
      </c>
      <c r="G207" s="17" t="n">
        <v>0.06962549999999999</v>
      </c>
      <c r="H207" s="7" t="n">
        <v>46278.95833333334</v>
      </c>
      <c r="I207" s="17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19" t="n">
        <v>-3247400</v>
      </c>
      <c r="R207" s="19" t="n">
        <v>2692569.84842</v>
      </c>
      <c r="S207" s="4" t="n">
        <v>0</v>
      </c>
      <c r="T207" s="4" t="n">
        <v>0.05</v>
      </c>
      <c r="U207" s="16" t="n">
        <v>0.3851967586724329</v>
      </c>
      <c r="V207" s="16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17" t="n">
        <v>0.003569</v>
      </c>
      <c r="F208" s="17" t="n">
        <v>0.00346193</v>
      </c>
      <c r="G208" s="17" t="n">
        <v>0.00374745</v>
      </c>
      <c r="H208" s="7" t="n">
        <v>46279.375</v>
      </c>
      <c r="I208" s="17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19" t="n">
        <v>-126643814</v>
      </c>
      <c r="R208" s="19" t="n">
        <v>2834501.678442</v>
      </c>
      <c r="S208" s="4" t="n">
        <v>0.03</v>
      </c>
      <c r="T208" s="4" t="n">
        <v>0.02577752871952921</v>
      </c>
      <c r="U208" s="16" t="n">
        <v>1.170633405432124</v>
      </c>
      <c r="V208" s="16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17" t="n">
        <v>0.06729</v>
      </c>
      <c r="F209" s="17" t="n">
        <v>0.0652713</v>
      </c>
      <c r="G209" s="17" t="n">
        <v>0.07065450000000001</v>
      </c>
      <c r="H209" s="7" t="n">
        <v>46279.29166666666</v>
      </c>
      <c r="I209" s="17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19" t="n">
        <v>-158654</v>
      </c>
      <c r="R209" s="19" t="n">
        <v>2639902.52603</v>
      </c>
      <c r="S209" s="4" t="n">
        <v>0.03</v>
      </c>
      <c r="T209" s="4" t="n">
        <v>0.0306137613315498</v>
      </c>
      <c r="U209" s="16" t="n">
        <v>3.057108558523112</v>
      </c>
      <c r="V209" s="16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17" t="n">
        <v>0.21683</v>
      </c>
      <c r="F210" s="17" t="n">
        <v>0.2103251</v>
      </c>
      <c r="G210" s="17" t="n">
        <v>0.2276715</v>
      </c>
      <c r="H210" s="7" t="n">
        <v>46279.41666666666</v>
      </c>
      <c r="I210" s="17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19" t="n">
        <v>-3175872</v>
      </c>
      <c r="R210" s="19" t="n">
        <v>2128113.32288</v>
      </c>
      <c r="S210" s="4" t="n">
        <v>0.03</v>
      </c>
      <c r="T210" s="4" t="n">
        <v>0.01000784024350887</v>
      </c>
      <c r="U210" s="16" t="n">
        <v>0.5672975038799286</v>
      </c>
      <c r="V210" s="16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17" t="n">
        <v>21.468</v>
      </c>
      <c r="F211" s="17" t="n">
        <v>20.82396</v>
      </c>
      <c r="G211" s="17" t="n">
        <v>22.5414</v>
      </c>
      <c r="H211" s="7" t="n">
        <v>46279.5</v>
      </c>
      <c r="I211" s="17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19" t="n">
        <v>-14412.56</v>
      </c>
      <c r="R211" s="19" t="n">
        <v>1369833.00885</v>
      </c>
      <c r="S211" s="4" t="n">
        <v>0.01276318241103036</v>
      </c>
      <c r="T211" s="4" t="n">
        <v>0.05</v>
      </c>
      <c r="U211" s="16" t="n">
        <v>0.6271932459439219</v>
      </c>
      <c r="V211" s="16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17" t="n">
        <v>0.70762</v>
      </c>
      <c r="F212" s="17" t="n">
        <v>0.7288486000000001</v>
      </c>
      <c r="G212" s="17" t="n">
        <v>0.672239</v>
      </c>
      <c r="H212" s="7" t="n">
        <v>46279.5</v>
      </c>
      <c r="I212" s="17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19" t="n">
        <v>29072</v>
      </c>
      <c r="R212" s="19" t="n">
        <v>1249265.946402</v>
      </c>
      <c r="S212" s="4" t="n">
        <v>0</v>
      </c>
      <c r="T212" s="4" t="n">
        <v>0.05</v>
      </c>
      <c r="U212" s="16" t="n">
        <v>0.5619089762421139</v>
      </c>
      <c r="V212" s="16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17" t="n">
        <v>0.11776</v>
      </c>
      <c r="F213" s="17" t="n">
        <v>0.1142272</v>
      </c>
      <c r="G213" s="17" t="n">
        <v>0.123648</v>
      </c>
      <c r="H213" s="7" t="n">
        <v>46279.625</v>
      </c>
      <c r="I213" s="17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19" t="n">
        <v>-7024900</v>
      </c>
      <c r="R213" s="19" t="n">
        <v>2030342.06041</v>
      </c>
      <c r="S213" s="4" t="n">
        <v>0.02734375</v>
      </c>
      <c r="T213" s="4" t="n">
        <v>0.05</v>
      </c>
      <c r="U213" s="16" t="n">
        <v>0.4761997968648705</v>
      </c>
      <c r="V213" s="16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17" t="n">
        <v>0.996</v>
      </c>
      <c r="F214" s="17" t="n">
        <v>1.02588</v>
      </c>
      <c r="G214" s="17" t="n">
        <v>0.9461999999999999</v>
      </c>
      <c r="H214" s="7" t="n">
        <v>46279.75</v>
      </c>
      <c r="I214" s="17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19" t="n">
        <v>135858.4000000001</v>
      </c>
      <c r="R214" s="19" t="n">
        <v>2098980.9254</v>
      </c>
      <c r="S214" s="4" t="n">
        <v>0.03</v>
      </c>
      <c r="T214" s="4" t="n">
        <v>0.008032128514056214</v>
      </c>
      <c r="U214" s="16" t="n">
        <v>0.6920262478472113</v>
      </c>
      <c r="V214" s="16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17" t="n">
        <v>0.9222</v>
      </c>
      <c r="F215" s="17" t="n">
        <v>0.9498660000000001</v>
      </c>
      <c r="G215" s="17" t="n">
        <v>0.8760899999999999</v>
      </c>
      <c r="H215" s="7" t="n">
        <v>46279.70833333334</v>
      </c>
      <c r="I215" s="17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19" t="n">
        <v>1655425</v>
      </c>
      <c r="R215" s="19" t="n">
        <v>21319541.3692</v>
      </c>
      <c r="S215" s="4" t="n">
        <v>0.03</v>
      </c>
      <c r="T215" s="4" t="n">
        <v>0</v>
      </c>
      <c r="U215" s="16" t="n">
        <v>0.845950323524046</v>
      </c>
      <c r="V215" s="16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17" t="n">
        <v>0.5661</v>
      </c>
      <c r="F216" s="17" t="n">
        <v>0.583083</v>
      </c>
      <c r="G216" s="17" t="n">
        <v>0.537795</v>
      </c>
      <c r="H216" s="7" t="n">
        <v>46279.91666666666</v>
      </c>
      <c r="I216" s="17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19" t="n">
        <v>605808</v>
      </c>
      <c r="R216" s="19" t="n">
        <v>1677042.4063</v>
      </c>
      <c r="S216" s="4" t="n">
        <v>0.02402402402402393</v>
      </c>
      <c r="T216" s="4" t="n">
        <v>0.05</v>
      </c>
      <c r="U216" s="16" t="n">
        <v>1.433584458164734</v>
      </c>
      <c r="V216" s="16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17" t="n">
        <v>0.12014</v>
      </c>
      <c r="F217" s="17" t="n">
        <v>0.1165358</v>
      </c>
      <c r="G217" s="17" t="n">
        <v>0.126147</v>
      </c>
      <c r="H217" s="7" t="n">
        <v>46279.70833333334</v>
      </c>
      <c r="I217" s="17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19" t="n">
        <v>-2286112</v>
      </c>
      <c r="R217" s="19" t="n">
        <v>1877770.83223</v>
      </c>
      <c r="S217" s="4" t="n">
        <v>0.03</v>
      </c>
      <c r="T217" s="4" t="n">
        <v>0</v>
      </c>
      <c r="U217" s="16" t="n">
        <v>0.6989090661339149</v>
      </c>
      <c r="V217" s="16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17" t="n">
        <v>0.20271</v>
      </c>
      <c r="F218" s="17" t="n">
        <v>0.1966287</v>
      </c>
      <c r="G218" s="17" t="n">
        <v>0.2128455</v>
      </c>
      <c r="H218" s="7" t="n">
        <v>46279.83333333334</v>
      </c>
      <c r="I218" s="17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19" t="n">
        <v>-887001</v>
      </c>
      <c r="R218" s="19" t="n">
        <v>1992329.76383</v>
      </c>
      <c r="S218" s="4" t="n">
        <v>0.03</v>
      </c>
      <c r="T218" s="4" t="n">
        <v>0.02989492378274394</v>
      </c>
      <c r="U218" s="16" t="n">
        <v>1.088276490112146</v>
      </c>
      <c r="V218" s="16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17" t="n">
        <v>0.8768</v>
      </c>
      <c r="F219" s="17" t="n">
        <v>0.850496</v>
      </c>
      <c r="G219" s="17" t="n">
        <v>0.92064</v>
      </c>
      <c r="H219" s="7" t="n">
        <v>46279.79166666666</v>
      </c>
      <c r="I219" s="17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19" t="n">
        <v>-1081120</v>
      </c>
      <c r="R219" s="19" t="n">
        <v>21256200.9232</v>
      </c>
      <c r="S219" s="4" t="n">
        <v>0.03</v>
      </c>
      <c r="T219" s="4" t="n">
        <v>0</v>
      </c>
      <c r="U219" s="16" t="n">
        <v>0.8150563760825439</v>
      </c>
      <c r="V219" s="16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17" t="n">
        <v>0.5794</v>
      </c>
      <c r="F220" s="17" t="n">
        <v>0.596782</v>
      </c>
      <c r="G220" s="17" t="n">
        <v>0.55043</v>
      </c>
      <c r="H220" s="7" t="n">
        <v>46280</v>
      </c>
      <c r="I220" s="17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19" t="n">
        <v>593268</v>
      </c>
      <c r="R220" s="19" t="n">
        <v>1954273.9413</v>
      </c>
      <c r="S220" s="4" t="n">
        <v>0.03</v>
      </c>
      <c r="T220" s="4" t="n">
        <v>0</v>
      </c>
      <c r="U220" s="16" t="n">
        <v>2.871295855203831</v>
      </c>
      <c r="V220" s="16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17" t="n">
        <v>0.953</v>
      </c>
      <c r="F221" s="17" t="n">
        <v>0.92441</v>
      </c>
      <c r="G221" s="17" t="n">
        <v>1.00065</v>
      </c>
      <c r="H221" s="7" t="n">
        <v>46280.375</v>
      </c>
      <c r="I221" s="17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19" t="n">
        <v>-483300.7</v>
      </c>
      <c r="R221" s="19" t="n">
        <v>2616142.9346</v>
      </c>
      <c r="S221" s="4" t="n">
        <v>0.03</v>
      </c>
      <c r="T221" s="4" t="n">
        <v>0.01888772298006303</v>
      </c>
      <c r="U221" s="16" t="n">
        <v>1.332575490212957</v>
      </c>
      <c r="V221" s="16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17" t="n">
        <v>0.21527</v>
      </c>
      <c r="F222" s="17" t="n">
        <v>0.2217281</v>
      </c>
      <c r="G222" s="17" t="n">
        <v>0.2045065</v>
      </c>
      <c r="H222" s="7" t="n">
        <v>46280.25</v>
      </c>
      <c r="I222" s="17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19" t="n">
        <v>57563</v>
      </c>
      <c r="R222" s="19" t="n">
        <v>2142958.19727</v>
      </c>
      <c r="S222" s="4" t="n">
        <v>0.02870813397129202</v>
      </c>
      <c r="T222" s="4" t="n">
        <v>0.05</v>
      </c>
      <c r="U222" s="16" t="n">
        <v>2.695897368776979</v>
      </c>
      <c r="V222" s="16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17" t="n">
        <v>4.538</v>
      </c>
      <c r="F223" s="17" t="n">
        <v>4.67414</v>
      </c>
      <c r="G223" s="17" t="n">
        <v>4.3111</v>
      </c>
      <c r="H223" s="7" t="n">
        <v>46280.5</v>
      </c>
      <c r="I223" s="17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19" t="n">
        <v>44747.19999999972</v>
      </c>
      <c r="R223" s="19" t="n">
        <v>3149491.7076</v>
      </c>
      <c r="S223" s="4" t="n">
        <v>0.0202732481269281</v>
      </c>
      <c r="T223" s="4" t="n">
        <v>0.05</v>
      </c>
      <c r="U223" s="16" t="n">
        <v>1.101212313974368</v>
      </c>
      <c r="V223" s="16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17" t="n">
        <v>0.1125</v>
      </c>
      <c r="F224" s="17" t="n">
        <v>0.109125</v>
      </c>
      <c r="G224" s="17" t="n">
        <v>0.118125</v>
      </c>
      <c r="H224" s="7" t="n">
        <v>46280.5</v>
      </c>
      <c r="I224" s="17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19" t="n">
        <v>-4340925</v>
      </c>
      <c r="R224" s="19" t="n">
        <v>3147065.65734</v>
      </c>
      <c r="S224" s="4" t="n">
        <v>0.03</v>
      </c>
      <c r="T224" s="4" t="n">
        <v>0</v>
      </c>
      <c r="U224" s="16" t="n">
        <v>1.315326619284867</v>
      </c>
      <c r="V224" s="16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17" t="n">
        <v>0.6313</v>
      </c>
      <c r="F225" s="17" t="n">
        <v>0.650239</v>
      </c>
      <c r="G225" s="17" t="n">
        <v>0.5997349999999999</v>
      </c>
      <c r="H225" s="7" t="n">
        <v>46280.66666666666</v>
      </c>
      <c r="I225" s="17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19" t="n">
        <v>497440</v>
      </c>
      <c r="R225" s="19" t="n">
        <v>2733460.7658</v>
      </c>
      <c r="S225" s="4" t="n">
        <v>0.01092982734040882</v>
      </c>
      <c r="T225" s="4" t="n">
        <v>0.05</v>
      </c>
      <c r="U225" s="16" t="n">
        <v>0.8348760476846643</v>
      </c>
      <c r="V225" s="16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17" t="n">
        <v>0.20512</v>
      </c>
      <c r="F226" s="17" t="n">
        <v>0.2112736</v>
      </c>
      <c r="G226" s="17" t="n">
        <v>0.194864</v>
      </c>
      <c r="H226" s="7" t="n">
        <v>46280.875</v>
      </c>
      <c r="I226" s="17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19" t="n">
        <v>1093709</v>
      </c>
      <c r="R226" s="19" t="n">
        <v>1884084.0024</v>
      </c>
      <c r="S226" s="4" t="n">
        <v>0.03</v>
      </c>
      <c r="T226" s="4" t="n">
        <v>0.04051287051482055</v>
      </c>
      <c r="U226" s="16" t="n">
        <v>0.6198819809527375</v>
      </c>
      <c r="V226" s="16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17" t="n">
        <v>0.3894</v>
      </c>
      <c r="F227" s="17" t="n">
        <v>0.377718</v>
      </c>
      <c r="G227" s="17" t="n">
        <v>0.4088700000000001</v>
      </c>
      <c r="H227" s="7" t="n">
        <v>46280.79166666666</v>
      </c>
      <c r="I227" s="17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19" t="n">
        <v>-6448703</v>
      </c>
      <c r="R227" s="19" t="n">
        <v>15364261.8638</v>
      </c>
      <c r="S227" s="4" t="n">
        <v>0.03</v>
      </c>
      <c r="T227" s="4" t="n">
        <v>0</v>
      </c>
      <c r="U227" s="16" t="n">
        <v>0.6187481295028492</v>
      </c>
      <c r="V227" s="16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17" t="n">
        <v>0.06137</v>
      </c>
      <c r="F228" s="17" t="n">
        <v>0.0595289</v>
      </c>
      <c r="G228" s="17" t="n">
        <v>0.06443850000000001</v>
      </c>
      <c r="H228" s="7" t="n">
        <v>46280.875</v>
      </c>
      <c r="I228" s="17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19" t="n">
        <v>-2519277</v>
      </c>
      <c r="R228" s="19" t="n">
        <v>1798381.06354</v>
      </c>
      <c r="S228" s="4" t="n">
        <v>0.002770083102493159</v>
      </c>
      <c r="T228" s="4" t="n">
        <v>0.05</v>
      </c>
      <c r="U228" s="16" t="n">
        <v>0.7600169040732216</v>
      </c>
      <c r="V228" s="16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17" t="n">
        <v>0.11513</v>
      </c>
      <c r="F229" s="17" t="n">
        <v>0.1116761</v>
      </c>
      <c r="G229" s="17" t="n">
        <v>0.1208865</v>
      </c>
      <c r="H229" s="7" t="n">
        <v>46280.95833333334</v>
      </c>
      <c r="I229" s="17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19" t="n">
        <v>-13335483</v>
      </c>
      <c r="R229" s="19" t="n">
        <v>3947406.29375</v>
      </c>
      <c r="S229" s="4" t="n">
        <v>0.03</v>
      </c>
      <c r="T229" s="4" t="n">
        <v>0</v>
      </c>
      <c r="U229" s="16" t="n">
        <v>3.572201315293682</v>
      </c>
      <c r="V229" s="16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17" t="n">
        <v>4.209</v>
      </c>
      <c r="F230" s="17" t="n">
        <v>4.08273</v>
      </c>
      <c r="G230" s="17" t="n">
        <v>4.419449999999999</v>
      </c>
      <c r="H230" s="7" t="n">
        <v>46281.04166666666</v>
      </c>
      <c r="I230" s="17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19" t="n">
        <v>-382515.8999999999</v>
      </c>
      <c r="R230" s="19" t="n">
        <v>3309147.8667</v>
      </c>
      <c r="S230" s="4" t="n">
        <v>0.03</v>
      </c>
      <c r="T230" s="4" t="n">
        <v>0.0168686148728916</v>
      </c>
      <c r="U230" s="16" t="n">
        <v>3.199325144880385</v>
      </c>
      <c r="V230" s="16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17" t="n">
        <v>0.6319</v>
      </c>
      <c r="F231" s="17" t="n">
        <v>0.612943</v>
      </c>
      <c r="G231" s="17" t="n">
        <v>0.6634950000000001</v>
      </c>
      <c r="H231" s="7" t="n">
        <v>46281.04166666666</v>
      </c>
      <c r="I231" s="17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19" t="n">
        <v>-188505</v>
      </c>
      <c r="R231" s="19" t="n">
        <v>3708159.2401</v>
      </c>
      <c r="S231" s="4" t="n">
        <v>0.008229150181990774</v>
      </c>
      <c r="T231" s="4" t="n">
        <v>0.05</v>
      </c>
      <c r="U231" s="16" t="n">
        <v>2.135001569503176</v>
      </c>
      <c r="V231" s="16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17" t="n">
        <v>6.252</v>
      </c>
      <c r="F232" s="17" t="n">
        <v>6.064439999999999</v>
      </c>
      <c r="G232" s="17" t="n">
        <v>6.5646</v>
      </c>
      <c r="H232" s="7" t="n">
        <v>46281.08333333334</v>
      </c>
      <c r="I232" s="17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19" t="n">
        <v>-51002</v>
      </c>
      <c r="R232" s="19" t="n">
        <v>4383325.914</v>
      </c>
      <c r="S232" s="4" t="n">
        <v>0.00175943698016634</v>
      </c>
      <c r="T232" s="4" t="n">
        <v>0.05</v>
      </c>
      <c r="U232" s="16" t="n">
        <v>2.137314918319816</v>
      </c>
      <c r="V232" s="16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17" t="n">
        <v>0.17359</v>
      </c>
      <c r="F233" s="17" t="n">
        <v>0.1787977</v>
      </c>
      <c r="G233" s="17" t="n">
        <v>0.1649105</v>
      </c>
      <c r="H233" s="7" t="n">
        <v>46281.04166666666</v>
      </c>
      <c r="I233" s="17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19" t="n">
        <v>1254089</v>
      </c>
      <c r="R233" s="19" t="n">
        <v>3359749.00031</v>
      </c>
      <c r="S233" s="4" t="n">
        <v>0.03</v>
      </c>
      <c r="T233" s="4" t="n">
        <v>0</v>
      </c>
      <c r="U233" s="16" t="n">
        <v>0.4716771758509334</v>
      </c>
      <c r="V233" s="16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17" t="n">
        <v>0.21036</v>
      </c>
      <c r="F234" s="17" t="n">
        <v>0.2166708</v>
      </c>
      <c r="G234" s="17" t="n">
        <v>0.199842</v>
      </c>
      <c r="H234" s="7" t="n">
        <v>46281.08333333334</v>
      </c>
      <c r="I234" s="17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19" t="n">
        <v>295930</v>
      </c>
      <c r="R234" s="19" t="n">
        <v>1737965.62072</v>
      </c>
      <c r="S234" s="4" t="n">
        <v>0.03</v>
      </c>
      <c r="T234" s="4" t="n">
        <v>0</v>
      </c>
      <c r="U234" s="16" t="n">
        <v>1.905555903024474</v>
      </c>
      <c r="V234" s="16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</sheetData>
  <autoFilter ref="A1:AC234"/>
  <conditionalFormatting sqref="J2:J2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COUNTIFS(交易明細!$B$2:$B$234,$A2)</f>
        <v/>
      </c>
      <c r="C2" s="2">
        <f>COUNTIFS(交易明細!$B$2:$B$234,$A2,交易明細!$C$2:$C$234,"做多")</f>
        <v/>
      </c>
      <c r="D2" s="2">
        <f>COUNTIFS(交易明細!$B$2:$B$234,$A2,交易明細!$C$2:$C$234,"做空")</f>
        <v/>
      </c>
      <c r="E2" s="2">
        <f>F2+G2+COUNTIFS(交易明細!$B$2:$B$234,$A2,交易明細!$J$2:$J$234,"時間出場")</f>
        <v/>
      </c>
      <c r="F2" s="2">
        <f>COUNTIFS(交易明細!$B$2:$B$234,$A2,交易明細!$J$2:$J$234,"止盈")</f>
        <v/>
      </c>
      <c r="G2" s="2">
        <f>COUNTIFS(交易明細!$B$2:$B$234,$A2,交易明細!$J$2:$J$234,"止損")</f>
        <v/>
      </c>
      <c r="H2" s="4">
        <f>IFERROR(F2/E2,0)</f>
        <v/>
      </c>
      <c r="I2" s="4">
        <f>IFERROR(AVERAGEIFS(交易明細!$L$2:$L$234,交易明細!$B$2:$B$234,$A2,交易明細!$J$2:$J$234,"&lt;&gt;未平倉"),0)</f>
        <v/>
      </c>
      <c r="J2" s="4">
        <f>SUMIFS(交易明細!$L$2:$L$234,交易明細!$B$2:$B$234,$A2,交易明細!$J$2:$J$234,"&lt;&gt;未平倉")</f>
        <v/>
      </c>
      <c r="K2" s="5">
        <f>IFERROR(AVERAGEIFS(交易明細!$K$2:$K$234,交易明細!$B$2:$B$234,$A2,交易明細!$J$2:$J$234,"&lt;&gt;未平倉"),0)</f>
        <v/>
      </c>
      <c r="L2" s="2">
        <f>COUNTIFS(交易明細!$B$2:$B$234,$A2,交易明細!$J$2:$J$234,"未平倉")</f>
        <v/>
      </c>
    </row>
    <row r="3">
      <c r="A3" s="2" t="inlineStr">
        <is>
          <t>PONS_USDT_PERP</t>
        </is>
      </c>
      <c r="B3" s="2">
        <f>COUNTIFS(交易明細!$B$2:$B$234,$A3)</f>
        <v/>
      </c>
      <c r="C3" s="2">
        <f>COUNTIFS(交易明細!$B$2:$B$234,$A3,交易明細!$C$2:$C$234,"做多")</f>
        <v/>
      </c>
      <c r="D3" s="2">
        <f>COUNTIFS(交易明細!$B$2:$B$234,$A3,交易明細!$C$2:$C$234,"做空")</f>
        <v/>
      </c>
      <c r="E3" s="2">
        <f>F3+G3+COUNTIFS(交易明細!$B$2:$B$234,$A3,交易明細!$J$2:$J$234,"時間出場")</f>
        <v/>
      </c>
      <c r="F3" s="2">
        <f>COUNTIFS(交易明細!$B$2:$B$234,$A3,交易明細!$J$2:$J$234,"止盈")</f>
        <v/>
      </c>
      <c r="G3" s="2">
        <f>COUNTIFS(交易明細!$B$2:$B$234,$A3,交易明細!$J$2:$J$234,"止損")</f>
        <v/>
      </c>
      <c r="H3" s="4">
        <f>IFERROR(F3/E3,0)</f>
        <v/>
      </c>
      <c r="I3" s="4">
        <f>IFERROR(AVERAGEIFS(交易明細!$L$2:$L$234,交易明細!$B$2:$B$234,$A3,交易明細!$J$2:$J$234,"&lt;&gt;未平倉"),0)</f>
        <v/>
      </c>
      <c r="J3" s="4">
        <f>SUMIFS(交易明細!$L$2:$L$234,交易明細!$B$2:$B$234,$A3,交易明細!$J$2:$J$234,"&lt;&gt;未平倉")</f>
        <v/>
      </c>
      <c r="K3" s="5">
        <f>IFERROR(AVERAGEIFS(交易明細!$K$2:$K$234,交易明細!$B$2:$B$234,$A3,交易明細!$J$2:$J$234,"&lt;&gt;未平倉"),0)</f>
        <v/>
      </c>
      <c r="L3" s="2">
        <f>COUNTIFS(交易明細!$B$2:$B$234,$A3,交易明細!$J$2:$J$234,"未平倉")</f>
        <v/>
      </c>
    </row>
    <row r="4">
      <c r="A4" s="2" t="inlineStr">
        <is>
          <t>PUMP_USDT_PERP</t>
        </is>
      </c>
      <c r="B4" s="2">
        <f>COUNTIFS(交易明細!$B$2:$B$234,$A4)</f>
        <v/>
      </c>
      <c r="C4" s="2">
        <f>COUNTIFS(交易明細!$B$2:$B$234,$A4,交易明細!$C$2:$C$234,"做多")</f>
        <v/>
      </c>
      <c r="D4" s="2">
        <f>COUNTIFS(交易明細!$B$2:$B$234,$A4,交易明細!$C$2:$C$234,"做空")</f>
        <v/>
      </c>
      <c r="E4" s="2">
        <f>F4+G4+COUNTIFS(交易明細!$B$2:$B$234,$A4,交易明細!$J$2:$J$234,"時間出場")</f>
        <v/>
      </c>
      <c r="F4" s="2">
        <f>COUNTIFS(交易明細!$B$2:$B$234,$A4,交易明細!$J$2:$J$234,"止盈")</f>
        <v/>
      </c>
      <c r="G4" s="2">
        <f>COUNTIFS(交易明細!$B$2:$B$234,$A4,交易明細!$J$2:$J$234,"止損")</f>
        <v/>
      </c>
      <c r="H4" s="4">
        <f>IFERROR(F4/E4,0)</f>
        <v/>
      </c>
      <c r="I4" s="4">
        <f>IFERROR(AVERAGEIFS(交易明細!$L$2:$L$234,交易明細!$B$2:$B$234,$A4,交易明細!$J$2:$J$234,"&lt;&gt;未平倉"),0)</f>
        <v/>
      </c>
      <c r="J4" s="4">
        <f>SUMIFS(交易明細!$L$2:$L$234,交易明細!$B$2:$B$234,$A4,交易明細!$J$2:$J$234,"&lt;&gt;未平倉")</f>
        <v/>
      </c>
      <c r="K4" s="5">
        <f>IFERROR(AVERAGEIFS(交易明細!$K$2:$K$234,交易明細!$B$2:$B$234,$A4,交易明細!$J$2:$J$234,"&lt;&gt;未平倉"),0)</f>
        <v/>
      </c>
      <c r="L4" s="2">
        <f>COUNTIFS(交易明細!$B$2:$B$234,$A4,交易明細!$J$2:$J$234,"未平倉")</f>
        <v/>
      </c>
    </row>
    <row r="5">
      <c r="A5" s="2" t="inlineStr">
        <is>
          <t>UAI_USDT_PERP</t>
        </is>
      </c>
      <c r="B5" s="2">
        <f>COUNTIFS(交易明細!$B$2:$B$234,$A5)</f>
        <v/>
      </c>
      <c r="C5" s="2">
        <f>COUNTIFS(交易明細!$B$2:$B$234,$A5,交易明細!$C$2:$C$234,"做多")</f>
        <v/>
      </c>
      <c r="D5" s="2">
        <f>COUNTIFS(交易明細!$B$2:$B$234,$A5,交易明細!$C$2:$C$234,"做空")</f>
        <v/>
      </c>
      <c r="E5" s="2">
        <f>F5+G5+COUNTIFS(交易明細!$B$2:$B$234,$A5,交易明細!$J$2:$J$234,"時間出場")</f>
        <v/>
      </c>
      <c r="F5" s="2">
        <f>COUNTIFS(交易明細!$B$2:$B$234,$A5,交易明細!$J$2:$J$234,"止盈")</f>
        <v/>
      </c>
      <c r="G5" s="2">
        <f>COUNTIFS(交易明細!$B$2:$B$234,$A5,交易明細!$J$2:$J$234,"止損")</f>
        <v/>
      </c>
      <c r="H5" s="4">
        <f>IFERROR(F5/E5,0)</f>
        <v/>
      </c>
      <c r="I5" s="4">
        <f>IFERROR(AVERAGEIFS(交易明細!$L$2:$L$234,交易明細!$B$2:$B$234,$A5,交易明細!$J$2:$J$234,"&lt;&gt;未平倉"),0)</f>
        <v/>
      </c>
      <c r="J5" s="4">
        <f>SUMIFS(交易明細!$L$2:$L$234,交易明細!$B$2:$B$234,$A5,交易明細!$J$2:$J$234,"&lt;&gt;未平倉")</f>
        <v/>
      </c>
      <c r="K5" s="5">
        <f>IFERROR(AVERAGEIFS(交易明細!$K$2:$K$234,交易明細!$B$2:$B$234,$A5,交易明細!$J$2:$J$234,"&lt;&gt;未平倉"),0)</f>
        <v/>
      </c>
      <c r="L5" s="2">
        <f>COUNTIFS(交易明細!$B$2:$B$234,$A5,交易明細!$J$2:$J$234,"未平倉")</f>
        <v/>
      </c>
    </row>
    <row r="6">
      <c r="A6" s="2" t="inlineStr">
        <is>
          <t>LIT_USDT_PERP</t>
        </is>
      </c>
      <c r="B6" s="2">
        <f>COUNTIFS(交易明細!$B$2:$B$234,$A6)</f>
        <v/>
      </c>
      <c r="C6" s="2">
        <f>COUNTIFS(交易明細!$B$2:$B$234,$A6,交易明細!$C$2:$C$234,"做多")</f>
        <v/>
      </c>
      <c r="D6" s="2">
        <f>COUNTIFS(交易明細!$B$2:$B$234,$A6,交易明細!$C$2:$C$234,"做空")</f>
        <v/>
      </c>
      <c r="E6" s="2">
        <f>F6+G6+COUNTIFS(交易明細!$B$2:$B$234,$A6,交易明細!$J$2:$J$234,"時間出場")</f>
        <v/>
      </c>
      <c r="F6" s="2">
        <f>COUNTIFS(交易明細!$B$2:$B$234,$A6,交易明細!$J$2:$J$234,"止盈")</f>
        <v/>
      </c>
      <c r="G6" s="2">
        <f>COUNTIFS(交易明細!$B$2:$B$234,$A6,交易明細!$J$2:$J$234,"止損")</f>
        <v/>
      </c>
      <c r="H6" s="4">
        <f>IFERROR(F6/E6,0)</f>
        <v/>
      </c>
      <c r="I6" s="4">
        <f>IFERROR(AVERAGEIFS(交易明細!$L$2:$L$234,交易明細!$B$2:$B$234,$A6,交易明細!$J$2:$J$234,"&lt;&gt;未平倉"),0)</f>
        <v/>
      </c>
      <c r="J6" s="4">
        <f>SUMIFS(交易明細!$L$2:$L$234,交易明細!$B$2:$B$234,$A6,交易明細!$J$2:$J$234,"&lt;&gt;未平倉")</f>
        <v/>
      </c>
      <c r="K6" s="5">
        <f>IFERROR(AVERAGEIFS(交易明細!$K$2:$K$234,交易明細!$B$2:$B$234,$A6,交易明細!$J$2:$J$234,"&lt;&gt;未平倉"),0)</f>
        <v/>
      </c>
      <c r="L6" s="2">
        <f>COUNTIFS(交易明細!$B$2:$B$234,$A6,交易明細!$J$2:$J$234,"未平倉")</f>
        <v/>
      </c>
    </row>
    <row r="7">
      <c r="A7" s="2" t="inlineStr">
        <is>
          <t>牛来_USDT_PERP</t>
        </is>
      </c>
      <c r="B7" s="2">
        <f>COUNTIFS(交易明細!$B$2:$B$234,$A7)</f>
        <v/>
      </c>
      <c r="C7" s="2">
        <f>COUNTIFS(交易明細!$B$2:$B$234,$A7,交易明細!$C$2:$C$234,"做多")</f>
        <v/>
      </c>
      <c r="D7" s="2">
        <f>COUNTIFS(交易明細!$B$2:$B$234,$A7,交易明細!$C$2:$C$234,"做空")</f>
        <v/>
      </c>
      <c r="E7" s="2">
        <f>F7+G7+COUNTIFS(交易明細!$B$2:$B$234,$A7,交易明細!$J$2:$J$234,"時間出場")</f>
        <v/>
      </c>
      <c r="F7" s="2">
        <f>COUNTIFS(交易明細!$B$2:$B$234,$A7,交易明細!$J$2:$J$234,"止盈")</f>
        <v/>
      </c>
      <c r="G7" s="2">
        <f>COUNTIFS(交易明細!$B$2:$B$234,$A7,交易明細!$J$2:$J$234,"止損")</f>
        <v/>
      </c>
      <c r="H7" s="4">
        <f>IFERROR(F7/E7,0)</f>
        <v/>
      </c>
      <c r="I7" s="4">
        <f>IFERROR(AVERAGEIFS(交易明細!$L$2:$L$234,交易明細!$B$2:$B$234,$A7,交易明細!$J$2:$J$234,"&lt;&gt;未平倉"),0)</f>
        <v/>
      </c>
      <c r="J7" s="4">
        <f>SUMIFS(交易明細!$L$2:$L$234,交易明細!$B$2:$B$234,$A7,交易明細!$J$2:$J$234,"&lt;&gt;未平倉")</f>
        <v/>
      </c>
      <c r="K7" s="5">
        <f>IFERROR(AVERAGEIFS(交易明細!$K$2:$K$234,交易明細!$B$2:$B$234,$A7,交易明細!$J$2:$J$234,"&lt;&gt;未平倉"),0)</f>
        <v/>
      </c>
      <c r="L7" s="2">
        <f>COUNTIFS(交易明細!$B$2:$B$234,$A7,交易明細!$J$2:$J$234,"未平倉")</f>
        <v/>
      </c>
    </row>
    <row r="8">
      <c r="A8" s="2" t="inlineStr">
        <is>
          <t>MARSCOIN_USDT_PERP</t>
        </is>
      </c>
      <c r="B8" s="2">
        <f>COUNTIFS(交易明細!$B$2:$B$234,$A8)</f>
        <v/>
      </c>
      <c r="C8" s="2">
        <f>COUNTIFS(交易明細!$B$2:$B$234,$A8,交易明細!$C$2:$C$234,"做多")</f>
        <v/>
      </c>
      <c r="D8" s="2">
        <f>COUNTIFS(交易明細!$B$2:$B$234,$A8,交易明細!$C$2:$C$234,"做空")</f>
        <v/>
      </c>
      <c r="E8" s="2">
        <f>F8+G8+COUNTIFS(交易明細!$B$2:$B$234,$A8,交易明細!$J$2:$J$234,"時間出場")</f>
        <v/>
      </c>
      <c r="F8" s="2">
        <f>COUNTIFS(交易明細!$B$2:$B$234,$A8,交易明細!$J$2:$J$234,"止盈")</f>
        <v/>
      </c>
      <c r="G8" s="2">
        <f>COUNTIFS(交易明細!$B$2:$B$234,$A8,交易明細!$J$2:$J$234,"止損")</f>
        <v/>
      </c>
      <c r="H8" s="4">
        <f>IFERROR(F8/E8,0)</f>
        <v/>
      </c>
      <c r="I8" s="4">
        <f>IFERROR(AVERAGEIFS(交易明細!$L$2:$L$234,交易明細!$B$2:$B$234,$A8,交易明細!$J$2:$J$234,"&lt;&gt;未平倉"),0)</f>
        <v/>
      </c>
      <c r="J8" s="4">
        <f>SUMIFS(交易明細!$L$2:$L$234,交易明細!$B$2:$B$234,$A8,交易明細!$J$2:$J$234,"&lt;&gt;未平倉")</f>
        <v/>
      </c>
      <c r="K8" s="5">
        <f>IFERROR(AVERAGEIFS(交易明細!$K$2:$K$234,交易明細!$B$2:$B$234,$A8,交易明細!$J$2:$J$234,"&lt;&gt;未平倉"),0)</f>
        <v/>
      </c>
      <c r="L8" s="2">
        <f>COUNTIFS(交易明細!$B$2:$B$234,$A8,交易明細!$J$2:$J$234,"未平倉")</f>
        <v/>
      </c>
    </row>
    <row r="9">
      <c r="A9" s="2" t="inlineStr">
        <is>
          <t>BULLA_USDT_PERP</t>
        </is>
      </c>
      <c r="B9" s="2">
        <f>COUNTIFS(交易明細!$B$2:$B$234,$A9)</f>
        <v/>
      </c>
      <c r="C9" s="2">
        <f>COUNTIFS(交易明細!$B$2:$B$234,$A9,交易明細!$C$2:$C$234,"做多")</f>
        <v/>
      </c>
      <c r="D9" s="2">
        <f>COUNTIFS(交易明細!$B$2:$B$234,$A9,交易明細!$C$2:$C$234,"做空")</f>
        <v/>
      </c>
      <c r="E9" s="2">
        <f>F9+G9+COUNTIFS(交易明細!$B$2:$B$234,$A9,交易明細!$J$2:$J$234,"時間出場")</f>
        <v/>
      </c>
      <c r="F9" s="2">
        <f>COUNTIFS(交易明細!$B$2:$B$234,$A9,交易明細!$J$2:$J$234,"止盈")</f>
        <v/>
      </c>
      <c r="G9" s="2">
        <f>COUNTIFS(交易明細!$B$2:$B$234,$A9,交易明細!$J$2:$J$234,"止損")</f>
        <v/>
      </c>
      <c r="H9" s="4">
        <f>IFERROR(F9/E9,0)</f>
        <v/>
      </c>
      <c r="I9" s="4">
        <f>IFERROR(AVERAGEIFS(交易明細!$L$2:$L$234,交易明細!$B$2:$B$234,$A9,交易明細!$J$2:$J$234,"&lt;&gt;未平倉"),0)</f>
        <v/>
      </c>
      <c r="J9" s="4">
        <f>SUMIFS(交易明細!$L$2:$L$234,交易明細!$B$2:$B$234,$A9,交易明細!$J$2:$J$234,"&lt;&gt;未平倉")</f>
        <v/>
      </c>
      <c r="K9" s="5">
        <f>IFERROR(AVERAGEIFS(交易明細!$K$2:$K$234,交易明細!$B$2:$B$234,$A9,交易明細!$J$2:$J$234,"&lt;&gt;未平倉"),0)</f>
        <v/>
      </c>
      <c r="L9" s="2">
        <f>COUNTIFS(交易明細!$B$2:$B$234,$A9,交易明細!$J$2:$J$234,"未平倉")</f>
        <v/>
      </c>
    </row>
    <row r="10">
      <c r="A10" s="2" t="inlineStr">
        <is>
          <t>HEMI_USDT_PERP</t>
        </is>
      </c>
      <c r="B10" s="2">
        <f>COUNTIFS(交易明細!$B$2:$B$234,$A10)</f>
        <v/>
      </c>
      <c r="C10" s="2">
        <f>COUNTIFS(交易明細!$B$2:$B$234,$A10,交易明細!$C$2:$C$234,"做多")</f>
        <v/>
      </c>
      <c r="D10" s="2">
        <f>COUNTIFS(交易明細!$B$2:$B$234,$A10,交易明細!$C$2:$C$234,"做空")</f>
        <v/>
      </c>
      <c r="E10" s="2">
        <f>F10+G10+COUNTIFS(交易明細!$B$2:$B$234,$A10,交易明細!$J$2:$J$234,"時間出場")</f>
        <v/>
      </c>
      <c r="F10" s="2">
        <f>COUNTIFS(交易明細!$B$2:$B$234,$A10,交易明細!$J$2:$J$234,"止盈")</f>
        <v/>
      </c>
      <c r="G10" s="2">
        <f>COUNTIFS(交易明細!$B$2:$B$234,$A10,交易明細!$J$2:$J$234,"止損")</f>
        <v/>
      </c>
      <c r="H10" s="4">
        <f>IFERROR(F10/E10,0)</f>
        <v/>
      </c>
      <c r="I10" s="4">
        <f>IFERROR(AVERAGEIFS(交易明細!$L$2:$L$234,交易明細!$B$2:$B$234,$A10,交易明細!$J$2:$J$234,"&lt;&gt;未平倉"),0)</f>
        <v/>
      </c>
      <c r="J10" s="4">
        <f>SUMIFS(交易明細!$L$2:$L$234,交易明細!$B$2:$B$234,$A10,交易明細!$J$2:$J$234,"&lt;&gt;未平倉")</f>
        <v/>
      </c>
      <c r="K10" s="5">
        <f>IFERROR(AVERAGEIFS(交易明細!$K$2:$K$234,交易明細!$B$2:$B$234,$A10,交易明細!$J$2:$J$234,"&lt;&gt;未平倉"),0)</f>
        <v/>
      </c>
      <c r="L10" s="2">
        <f>COUNTIFS(交易明細!$B$2:$B$234,$A10,交易明細!$J$2:$J$234,"未平倉")</f>
        <v/>
      </c>
    </row>
    <row r="11">
      <c r="A11" s="2" t="inlineStr">
        <is>
          <t>AKE_USDT_PERP</t>
        </is>
      </c>
      <c r="B11" s="2">
        <f>COUNTIFS(交易明細!$B$2:$B$234,$A11)</f>
        <v/>
      </c>
      <c r="C11" s="2">
        <f>COUNTIFS(交易明細!$B$2:$B$234,$A11,交易明細!$C$2:$C$234,"做多")</f>
        <v/>
      </c>
      <c r="D11" s="2">
        <f>COUNTIFS(交易明細!$B$2:$B$234,$A11,交易明細!$C$2:$C$234,"做空")</f>
        <v/>
      </c>
      <c r="E11" s="2">
        <f>F11+G11+COUNTIFS(交易明細!$B$2:$B$234,$A11,交易明細!$J$2:$J$234,"時間出場")</f>
        <v/>
      </c>
      <c r="F11" s="2">
        <f>COUNTIFS(交易明細!$B$2:$B$234,$A11,交易明細!$J$2:$J$234,"止盈")</f>
        <v/>
      </c>
      <c r="G11" s="2">
        <f>COUNTIFS(交易明細!$B$2:$B$234,$A11,交易明細!$J$2:$J$234,"止損")</f>
        <v/>
      </c>
      <c r="H11" s="4">
        <f>IFERROR(F11/E11,0)</f>
        <v/>
      </c>
      <c r="I11" s="4">
        <f>IFERROR(AVERAGEIFS(交易明細!$L$2:$L$234,交易明細!$B$2:$B$234,$A11,交易明細!$J$2:$J$234,"&lt;&gt;未平倉"),0)</f>
        <v/>
      </c>
      <c r="J11" s="4">
        <f>SUMIFS(交易明細!$L$2:$L$234,交易明細!$B$2:$B$234,$A11,交易明細!$J$2:$J$234,"&lt;&gt;未平倉")</f>
        <v/>
      </c>
      <c r="K11" s="5">
        <f>IFERROR(AVERAGEIFS(交易明細!$K$2:$K$234,交易明細!$B$2:$B$234,$A11,交易明細!$J$2:$J$234,"&lt;&gt;未平倉"),0)</f>
        <v/>
      </c>
      <c r="L11" s="2">
        <f>COUNTIFS(交易明細!$B$2:$B$234,$A11,交易明細!$J$2:$J$234,"未平倉")</f>
        <v/>
      </c>
    </row>
    <row r="12">
      <c r="A12" s="2" t="inlineStr">
        <is>
          <t>VVV_USDT_PERP</t>
        </is>
      </c>
      <c r="B12" s="2">
        <f>COUNTIFS(交易明細!$B$2:$B$234,$A12)</f>
        <v/>
      </c>
      <c r="C12" s="2">
        <f>COUNTIFS(交易明細!$B$2:$B$234,$A12,交易明細!$C$2:$C$234,"做多")</f>
        <v/>
      </c>
      <c r="D12" s="2">
        <f>COUNTIFS(交易明細!$B$2:$B$234,$A12,交易明細!$C$2:$C$234,"做空")</f>
        <v/>
      </c>
      <c r="E12" s="2">
        <f>F12+G12+COUNTIFS(交易明細!$B$2:$B$234,$A12,交易明細!$J$2:$J$234,"時間出場")</f>
        <v/>
      </c>
      <c r="F12" s="2">
        <f>COUNTIFS(交易明細!$B$2:$B$234,$A12,交易明細!$J$2:$J$234,"止盈")</f>
        <v/>
      </c>
      <c r="G12" s="2">
        <f>COUNTIFS(交易明細!$B$2:$B$234,$A12,交易明細!$J$2:$J$234,"止損")</f>
        <v/>
      </c>
      <c r="H12" s="4">
        <f>IFERROR(F12/E12,0)</f>
        <v/>
      </c>
      <c r="I12" s="4">
        <f>IFERROR(AVERAGEIFS(交易明細!$L$2:$L$234,交易明細!$B$2:$B$234,$A12,交易明細!$J$2:$J$234,"&lt;&gt;未平倉"),0)</f>
        <v/>
      </c>
      <c r="J12" s="4">
        <f>SUMIFS(交易明細!$L$2:$L$234,交易明細!$B$2:$B$234,$A12,交易明細!$J$2:$J$234,"&lt;&gt;未平倉")</f>
        <v/>
      </c>
      <c r="K12" s="5">
        <f>IFERROR(AVERAGEIFS(交易明細!$K$2:$K$234,交易明細!$B$2:$B$234,$A12,交易明細!$J$2:$J$234,"&lt;&gt;未平倉"),0)</f>
        <v/>
      </c>
      <c r="L12" s="2">
        <f>COUNTIFS(交易明細!$B$2:$B$234,$A12,交易明細!$J$2:$J$234,"未平倉")</f>
        <v/>
      </c>
    </row>
    <row r="13">
      <c r="A13" s="2" t="inlineStr">
        <is>
          <t>ARB_USDT_PERP</t>
        </is>
      </c>
      <c r="B13" s="2">
        <f>COUNTIFS(交易明細!$B$2:$B$234,$A13)</f>
        <v/>
      </c>
      <c r="C13" s="2">
        <f>COUNTIFS(交易明細!$B$2:$B$234,$A13,交易明細!$C$2:$C$234,"做多")</f>
        <v/>
      </c>
      <c r="D13" s="2">
        <f>COUNTIFS(交易明細!$B$2:$B$234,$A13,交易明細!$C$2:$C$234,"做空")</f>
        <v/>
      </c>
      <c r="E13" s="2">
        <f>F13+G13+COUNTIFS(交易明細!$B$2:$B$234,$A13,交易明細!$J$2:$J$234,"時間出場")</f>
        <v/>
      </c>
      <c r="F13" s="2">
        <f>COUNTIFS(交易明細!$B$2:$B$234,$A13,交易明細!$J$2:$J$234,"止盈")</f>
        <v/>
      </c>
      <c r="G13" s="2">
        <f>COUNTIFS(交易明細!$B$2:$B$234,$A13,交易明細!$J$2:$J$234,"止損")</f>
        <v/>
      </c>
      <c r="H13" s="4">
        <f>IFERROR(F13/E13,0)</f>
        <v/>
      </c>
      <c r="I13" s="4">
        <f>IFERROR(AVERAGEIFS(交易明細!$L$2:$L$234,交易明細!$B$2:$B$234,$A13,交易明細!$J$2:$J$234,"&lt;&gt;未平倉"),0)</f>
        <v/>
      </c>
      <c r="J13" s="4">
        <f>SUMIFS(交易明細!$L$2:$L$234,交易明細!$B$2:$B$234,$A13,交易明細!$J$2:$J$234,"&lt;&gt;未平倉")</f>
        <v/>
      </c>
      <c r="K13" s="5">
        <f>IFERROR(AVERAGEIFS(交易明細!$K$2:$K$234,交易明細!$B$2:$B$234,$A13,交易明細!$J$2:$J$234,"&lt;&gt;未平倉"),0)</f>
        <v/>
      </c>
      <c r="L13" s="2">
        <f>COUNTIFS(交易明細!$B$2:$B$234,$A13,交易明細!$J$2:$J$234,"未平倉")</f>
        <v/>
      </c>
    </row>
    <row r="14">
      <c r="A14" s="2" t="inlineStr">
        <is>
          <t>UNI_USDT_PERP</t>
        </is>
      </c>
      <c r="B14" s="2">
        <f>COUNTIFS(交易明細!$B$2:$B$234,$A14)</f>
        <v/>
      </c>
      <c r="C14" s="2">
        <f>COUNTIFS(交易明細!$B$2:$B$234,$A14,交易明細!$C$2:$C$234,"做多")</f>
        <v/>
      </c>
      <c r="D14" s="2">
        <f>COUNTIFS(交易明細!$B$2:$B$234,$A14,交易明細!$C$2:$C$234,"做空")</f>
        <v/>
      </c>
      <c r="E14" s="2">
        <f>F14+G14+COUNTIFS(交易明細!$B$2:$B$234,$A14,交易明細!$J$2:$J$234,"時間出場")</f>
        <v/>
      </c>
      <c r="F14" s="2">
        <f>COUNTIFS(交易明細!$B$2:$B$234,$A14,交易明細!$J$2:$J$234,"止盈")</f>
        <v/>
      </c>
      <c r="G14" s="2">
        <f>COUNTIFS(交易明細!$B$2:$B$234,$A14,交易明細!$J$2:$J$234,"止損")</f>
        <v/>
      </c>
      <c r="H14" s="4">
        <f>IFERROR(F14/E14,0)</f>
        <v/>
      </c>
      <c r="I14" s="4">
        <f>IFERROR(AVERAGEIFS(交易明細!$L$2:$L$234,交易明細!$B$2:$B$234,$A14,交易明細!$J$2:$J$234,"&lt;&gt;未平倉"),0)</f>
        <v/>
      </c>
      <c r="J14" s="4">
        <f>SUMIFS(交易明細!$L$2:$L$234,交易明細!$B$2:$B$234,$A14,交易明細!$J$2:$J$234,"&lt;&gt;未平倉")</f>
        <v/>
      </c>
      <c r="K14" s="5">
        <f>IFERROR(AVERAGEIFS(交易明細!$K$2:$K$234,交易明細!$B$2:$B$234,$A14,交易明細!$J$2:$J$234,"&lt;&gt;未平倉"),0)</f>
        <v/>
      </c>
      <c r="L14" s="2">
        <f>COUNTIFS(交易明細!$B$2:$B$234,$A14,交易明細!$J$2:$J$234,"未平倉")</f>
        <v/>
      </c>
    </row>
    <row r="15">
      <c r="A15" s="2" t="inlineStr">
        <is>
          <t>NEAR_USDT_PERP</t>
        </is>
      </c>
      <c r="B15" s="2">
        <f>COUNTIFS(交易明細!$B$2:$B$234,$A15)</f>
        <v/>
      </c>
      <c r="C15" s="2">
        <f>COUNTIFS(交易明細!$B$2:$B$234,$A15,交易明細!$C$2:$C$234,"做多")</f>
        <v/>
      </c>
      <c r="D15" s="2">
        <f>COUNTIFS(交易明細!$B$2:$B$234,$A15,交易明細!$C$2:$C$234,"做空")</f>
        <v/>
      </c>
      <c r="E15" s="2">
        <f>F15+G15+COUNTIFS(交易明細!$B$2:$B$234,$A15,交易明細!$J$2:$J$234,"時間出場")</f>
        <v/>
      </c>
      <c r="F15" s="2">
        <f>COUNTIFS(交易明細!$B$2:$B$234,$A15,交易明細!$J$2:$J$234,"止盈")</f>
        <v/>
      </c>
      <c r="G15" s="2">
        <f>COUNTIFS(交易明細!$B$2:$B$234,$A15,交易明細!$J$2:$J$234,"止損")</f>
        <v/>
      </c>
      <c r="H15" s="4">
        <f>IFERROR(F15/E15,0)</f>
        <v/>
      </c>
      <c r="I15" s="4">
        <f>IFERROR(AVERAGEIFS(交易明細!$L$2:$L$234,交易明細!$B$2:$B$234,$A15,交易明細!$J$2:$J$234,"&lt;&gt;未平倉"),0)</f>
        <v/>
      </c>
      <c r="J15" s="4">
        <f>SUMIFS(交易明細!$L$2:$L$234,交易明細!$B$2:$B$234,$A15,交易明細!$J$2:$J$234,"&lt;&gt;未平倉")</f>
        <v/>
      </c>
      <c r="K15" s="5">
        <f>IFERROR(AVERAGEIFS(交易明細!$K$2:$K$234,交易明細!$B$2:$B$234,$A15,交易明細!$J$2:$J$234,"&lt;&gt;未平倉"),0)</f>
        <v/>
      </c>
      <c r="L15" s="2">
        <f>COUNTIFS(交易明細!$B$2:$B$234,$A15,交易明細!$J$2:$J$234,"未平倉")</f>
        <v/>
      </c>
    </row>
    <row r="16">
      <c r="A16" s="2" t="inlineStr">
        <is>
          <t>RAY_USDT_PERP</t>
        </is>
      </c>
      <c r="B16" s="2">
        <f>COUNTIFS(交易明細!$B$2:$B$234,$A16)</f>
        <v/>
      </c>
      <c r="C16" s="2">
        <f>COUNTIFS(交易明細!$B$2:$B$234,$A16,交易明細!$C$2:$C$234,"做多")</f>
        <v/>
      </c>
      <c r="D16" s="2">
        <f>COUNTIFS(交易明細!$B$2:$B$234,$A16,交易明細!$C$2:$C$234,"做空")</f>
        <v/>
      </c>
      <c r="E16" s="2">
        <f>F16+G16+COUNTIFS(交易明細!$B$2:$B$234,$A16,交易明細!$J$2:$J$234,"時間出場")</f>
        <v/>
      </c>
      <c r="F16" s="2">
        <f>COUNTIFS(交易明細!$B$2:$B$234,$A16,交易明細!$J$2:$J$234,"止盈")</f>
        <v/>
      </c>
      <c r="G16" s="2">
        <f>COUNTIFS(交易明細!$B$2:$B$234,$A16,交易明細!$J$2:$J$234,"止損")</f>
        <v/>
      </c>
      <c r="H16" s="4">
        <f>IFERROR(F16/E16,0)</f>
        <v/>
      </c>
      <c r="I16" s="4">
        <f>IFERROR(AVERAGEIFS(交易明細!$L$2:$L$234,交易明細!$B$2:$B$234,$A16,交易明細!$J$2:$J$234,"&lt;&gt;未平倉"),0)</f>
        <v/>
      </c>
      <c r="J16" s="4">
        <f>SUMIFS(交易明細!$L$2:$L$234,交易明細!$B$2:$B$234,$A16,交易明細!$J$2:$J$234,"&lt;&gt;未平倉")</f>
        <v/>
      </c>
      <c r="K16" s="5">
        <f>IFERROR(AVERAGEIFS(交易明細!$K$2:$K$234,交易明細!$B$2:$B$234,$A16,交易明細!$J$2:$J$234,"&lt;&gt;未平倉"),0)</f>
        <v/>
      </c>
      <c r="L16" s="2">
        <f>COUNTIFS(交易明細!$B$2:$B$234,$A16,交易明細!$J$2:$J$234,"未平倉")</f>
        <v/>
      </c>
    </row>
    <row r="17">
      <c r="A17" s="2" t="inlineStr">
        <is>
          <t>DASH_USDT_PERP</t>
        </is>
      </c>
      <c r="B17" s="2">
        <f>COUNTIFS(交易明細!$B$2:$B$234,$A17)</f>
        <v/>
      </c>
      <c r="C17" s="2">
        <f>COUNTIFS(交易明細!$B$2:$B$234,$A17,交易明細!$C$2:$C$234,"做多")</f>
        <v/>
      </c>
      <c r="D17" s="2">
        <f>COUNTIFS(交易明細!$B$2:$B$234,$A17,交易明細!$C$2:$C$234,"做空")</f>
        <v/>
      </c>
      <c r="E17" s="2">
        <f>F17+G17+COUNTIFS(交易明細!$B$2:$B$234,$A17,交易明細!$J$2:$J$234,"時間出場")</f>
        <v/>
      </c>
      <c r="F17" s="2">
        <f>COUNTIFS(交易明細!$B$2:$B$234,$A17,交易明細!$J$2:$J$234,"止盈")</f>
        <v/>
      </c>
      <c r="G17" s="2">
        <f>COUNTIFS(交易明細!$B$2:$B$234,$A17,交易明細!$J$2:$J$234,"止損")</f>
        <v/>
      </c>
      <c r="H17" s="4">
        <f>IFERROR(F17/E17,0)</f>
        <v/>
      </c>
      <c r="I17" s="4">
        <f>IFERROR(AVERAGEIFS(交易明細!$L$2:$L$234,交易明細!$B$2:$B$234,$A17,交易明細!$J$2:$J$234,"&lt;&gt;未平倉"),0)</f>
        <v/>
      </c>
      <c r="J17" s="4">
        <f>SUMIFS(交易明細!$L$2:$L$234,交易明細!$B$2:$B$234,$A17,交易明細!$J$2:$J$234,"&lt;&gt;未平倉")</f>
        <v/>
      </c>
      <c r="K17" s="5">
        <f>IFERROR(AVERAGEIFS(交易明細!$K$2:$K$234,交易明細!$B$2:$B$234,$A17,交易明細!$J$2:$J$234,"&lt;&gt;未平倉"),0)</f>
        <v/>
      </c>
      <c r="L17" s="2">
        <f>COUNTIFS(交易明細!$B$2:$B$234,$A17,交易明細!$J$2:$J$234,"未平倉")</f>
        <v/>
      </c>
    </row>
    <row r="18">
      <c r="A18" s="2" t="inlineStr">
        <is>
          <t>SKR_USDT_PERP</t>
        </is>
      </c>
      <c r="B18" s="2">
        <f>COUNTIFS(交易明細!$B$2:$B$234,$A18)</f>
        <v/>
      </c>
      <c r="C18" s="2">
        <f>COUNTIFS(交易明細!$B$2:$B$234,$A18,交易明細!$C$2:$C$234,"做多")</f>
        <v/>
      </c>
      <c r="D18" s="2">
        <f>COUNTIFS(交易明細!$B$2:$B$234,$A18,交易明細!$C$2:$C$234,"做空")</f>
        <v/>
      </c>
      <c r="E18" s="2">
        <f>F18+G18+COUNTIFS(交易明細!$B$2:$B$234,$A18,交易明細!$J$2:$J$234,"時間出場")</f>
        <v/>
      </c>
      <c r="F18" s="2">
        <f>COUNTIFS(交易明細!$B$2:$B$234,$A18,交易明細!$J$2:$J$234,"止盈")</f>
        <v/>
      </c>
      <c r="G18" s="2">
        <f>COUNTIFS(交易明細!$B$2:$B$234,$A18,交易明細!$J$2:$J$234,"止損")</f>
        <v/>
      </c>
      <c r="H18" s="4">
        <f>IFERROR(F18/E18,0)</f>
        <v/>
      </c>
      <c r="I18" s="4">
        <f>IFERROR(AVERAGEIFS(交易明細!$L$2:$L$234,交易明細!$B$2:$B$234,$A18,交易明細!$J$2:$J$234,"&lt;&gt;未平倉"),0)</f>
        <v/>
      </c>
      <c r="J18" s="4">
        <f>SUMIFS(交易明細!$L$2:$L$234,交易明細!$B$2:$B$234,$A18,交易明細!$J$2:$J$234,"&lt;&gt;未平倉")</f>
        <v/>
      </c>
      <c r="K18" s="5">
        <f>IFERROR(AVERAGEIFS(交易明細!$K$2:$K$234,交易明細!$B$2:$B$234,$A18,交易明細!$J$2:$J$234,"&lt;&gt;未平倉"),0)</f>
        <v/>
      </c>
      <c r="L18" s="2">
        <f>COUNTIFS(交易明細!$B$2:$B$234,$A18,交易明細!$J$2:$J$234,"未平倉")</f>
        <v/>
      </c>
    </row>
    <row r="19">
      <c r="A19" s="2" t="inlineStr">
        <is>
          <t>IOST_USDT_PERP</t>
        </is>
      </c>
      <c r="B19" s="2">
        <f>COUNTIFS(交易明細!$B$2:$B$234,$A19)</f>
        <v/>
      </c>
      <c r="C19" s="2">
        <f>COUNTIFS(交易明細!$B$2:$B$234,$A19,交易明細!$C$2:$C$234,"做多")</f>
        <v/>
      </c>
      <c r="D19" s="2">
        <f>COUNTIFS(交易明細!$B$2:$B$234,$A19,交易明細!$C$2:$C$234,"做空")</f>
        <v/>
      </c>
      <c r="E19" s="2">
        <f>F19+G19+COUNTIFS(交易明細!$B$2:$B$234,$A19,交易明細!$J$2:$J$234,"時間出場")</f>
        <v/>
      </c>
      <c r="F19" s="2">
        <f>COUNTIFS(交易明細!$B$2:$B$234,$A19,交易明細!$J$2:$J$234,"止盈")</f>
        <v/>
      </c>
      <c r="G19" s="2">
        <f>COUNTIFS(交易明細!$B$2:$B$234,$A19,交易明細!$J$2:$J$234,"止損")</f>
        <v/>
      </c>
      <c r="H19" s="4">
        <f>IFERROR(F19/E19,0)</f>
        <v/>
      </c>
      <c r="I19" s="4">
        <f>IFERROR(AVERAGEIFS(交易明細!$L$2:$L$234,交易明細!$B$2:$B$234,$A19,交易明細!$J$2:$J$234,"&lt;&gt;未平倉"),0)</f>
        <v/>
      </c>
      <c r="J19" s="4">
        <f>SUMIFS(交易明細!$L$2:$L$234,交易明細!$B$2:$B$234,$A19,交易明細!$J$2:$J$234,"&lt;&gt;未平倉")</f>
        <v/>
      </c>
      <c r="K19" s="5">
        <f>IFERROR(AVERAGEIFS(交易明細!$K$2:$K$234,交易明細!$B$2:$B$234,$A19,交易明細!$J$2:$J$234,"&lt;&gt;未平倉"),0)</f>
        <v/>
      </c>
      <c r="L19" s="2">
        <f>COUNTIFS(交易明細!$B$2:$B$234,$A19,交易明細!$J$2:$J$234,"未平倉")</f>
        <v/>
      </c>
    </row>
    <row r="20">
      <c r="A20" s="2" t="inlineStr">
        <is>
          <t>LAB_USDT_PERP</t>
        </is>
      </c>
      <c r="B20" s="2">
        <f>COUNTIFS(交易明細!$B$2:$B$234,$A20)</f>
        <v/>
      </c>
      <c r="C20" s="2">
        <f>COUNTIFS(交易明細!$B$2:$B$234,$A20,交易明細!$C$2:$C$234,"做多")</f>
        <v/>
      </c>
      <c r="D20" s="2">
        <f>COUNTIFS(交易明細!$B$2:$B$234,$A20,交易明細!$C$2:$C$234,"做空")</f>
        <v/>
      </c>
      <c r="E20" s="2">
        <f>F20+G20+COUNTIFS(交易明細!$B$2:$B$234,$A20,交易明細!$J$2:$J$234,"時間出場")</f>
        <v/>
      </c>
      <c r="F20" s="2">
        <f>COUNTIFS(交易明細!$B$2:$B$234,$A20,交易明細!$J$2:$J$234,"止盈")</f>
        <v/>
      </c>
      <c r="G20" s="2">
        <f>COUNTIFS(交易明細!$B$2:$B$234,$A20,交易明細!$J$2:$J$234,"止損")</f>
        <v/>
      </c>
      <c r="H20" s="4">
        <f>IFERROR(F20/E20,0)</f>
        <v/>
      </c>
      <c r="I20" s="4">
        <f>IFERROR(AVERAGEIFS(交易明細!$L$2:$L$234,交易明細!$B$2:$B$234,$A20,交易明細!$J$2:$J$234,"&lt;&gt;未平倉"),0)</f>
        <v/>
      </c>
      <c r="J20" s="4">
        <f>SUMIFS(交易明細!$L$2:$L$234,交易明細!$B$2:$B$234,$A20,交易明細!$J$2:$J$234,"&lt;&gt;未平倉")</f>
        <v/>
      </c>
      <c r="K20" s="5">
        <f>IFERROR(AVERAGEIFS(交易明細!$K$2:$K$234,交易明細!$B$2:$B$234,$A20,交易明細!$J$2:$J$234,"&lt;&gt;未平倉"),0)</f>
        <v/>
      </c>
      <c r="L20" s="2">
        <f>COUNTIFS(交易明細!$B$2:$B$234,$A20,交易明細!$J$2:$J$234,"未平倉")</f>
        <v/>
      </c>
    </row>
    <row r="21">
      <c r="A21" s="2" t="inlineStr">
        <is>
          <t>BTR_USDT_PERP</t>
        </is>
      </c>
      <c r="B21" s="2">
        <f>COUNTIFS(交易明細!$B$2:$B$234,$A21)</f>
        <v/>
      </c>
      <c r="C21" s="2">
        <f>COUNTIFS(交易明細!$B$2:$B$234,$A21,交易明細!$C$2:$C$234,"做多")</f>
        <v/>
      </c>
      <c r="D21" s="2">
        <f>COUNTIFS(交易明細!$B$2:$B$234,$A21,交易明細!$C$2:$C$234,"做空")</f>
        <v/>
      </c>
      <c r="E21" s="2">
        <f>F21+G21+COUNTIFS(交易明細!$B$2:$B$234,$A21,交易明細!$J$2:$J$234,"時間出場")</f>
        <v/>
      </c>
      <c r="F21" s="2">
        <f>COUNTIFS(交易明細!$B$2:$B$234,$A21,交易明細!$J$2:$J$234,"止盈")</f>
        <v/>
      </c>
      <c r="G21" s="2">
        <f>COUNTIFS(交易明細!$B$2:$B$234,$A21,交易明細!$J$2:$J$234,"止損")</f>
        <v/>
      </c>
      <c r="H21" s="4">
        <f>IFERROR(F21/E21,0)</f>
        <v/>
      </c>
      <c r="I21" s="4">
        <f>IFERROR(AVERAGEIFS(交易明細!$L$2:$L$234,交易明細!$B$2:$B$234,$A21,交易明細!$J$2:$J$234,"&lt;&gt;未平倉"),0)</f>
        <v/>
      </c>
      <c r="J21" s="4">
        <f>SUMIFS(交易明細!$L$2:$L$234,交易明細!$B$2:$B$234,$A21,交易明細!$J$2:$J$234,"&lt;&gt;未平倉")</f>
        <v/>
      </c>
      <c r="K21" s="5">
        <f>IFERROR(AVERAGEIFS(交易明細!$K$2:$K$234,交易明細!$B$2:$B$234,$A21,交易明細!$J$2:$J$234,"&lt;&gt;未平倉"),0)</f>
        <v/>
      </c>
      <c r="L21" s="2">
        <f>COUNTIFS(交易明細!$B$2:$B$234,$A21,交易明細!$J$2:$J$234,"未平倉")</f>
        <v/>
      </c>
    </row>
    <row r="22">
      <c r="A22" s="2" t="inlineStr">
        <is>
          <t>XPL_USDT_PERP</t>
        </is>
      </c>
      <c r="B22" s="2">
        <f>COUNTIFS(交易明細!$B$2:$B$234,$A22)</f>
        <v/>
      </c>
      <c r="C22" s="2">
        <f>COUNTIFS(交易明細!$B$2:$B$234,$A22,交易明細!$C$2:$C$234,"做多")</f>
        <v/>
      </c>
      <c r="D22" s="2">
        <f>COUNTIFS(交易明細!$B$2:$B$234,$A22,交易明細!$C$2:$C$234,"做空")</f>
        <v/>
      </c>
      <c r="E22" s="2">
        <f>F22+G22+COUNTIFS(交易明細!$B$2:$B$234,$A22,交易明細!$J$2:$J$234,"時間出場")</f>
        <v/>
      </c>
      <c r="F22" s="2">
        <f>COUNTIFS(交易明細!$B$2:$B$234,$A22,交易明細!$J$2:$J$234,"止盈")</f>
        <v/>
      </c>
      <c r="G22" s="2">
        <f>COUNTIFS(交易明細!$B$2:$B$234,$A22,交易明細!$J$2:$J$234,"止損")</f>
        <v/>
      </c>
      <c r="H22" s="4">
        <f>IFERROR(F22/E22,0)</f>
        <v/>
      </c>
      <c r="I22" s="4">
        <f>IFERROR(AVERAGEIFS(交易明細!$L$2:$L$234,交易明細!$B$2:$B$234,$A22,交易明細!$J$2:$J$234,"&lt;&gt;未平倉"),0)</f>
        <v/>
      </c>
      <c r="J22" s="4">
        <f>SUMIFS(交易明細!$L$2:$L$234,交易明細!$B$2:$B$234,$A22,交易明細!$J$2:$J$234,"&lt;&gt;未平倉")</f>
        <v/>
      </c>
      <c r="K22" s="5">
        <f>IFERROR(AVERAGEIFS(交易明細!$K$2:$K$234,交易明細!$B$2:$B$234,$A22,交易明細!$J$2:$J$234,"&lt;&gt;未平倉"),0)</f>
        <v/>
      </c>
      <c r="L22" s="2">
        <f>COUNTIFS(交易明細!$B$2:$B$234,$A22,交易明細!$J$2:$J$234,"未平倉")</f>
        <v/>
      </c>
    </row>
    <row r="23">
      <c r="A23" s="2" t="inlineStr">
        <is>
          <t>ENA_USDT_PERP</t>
        </is>
      </c>
      <c r="B23" s="2">
        <f>COUNTIFS(交易明細!$B$2:$B$234,$A23)</f>
        <v/>
      </c>
      <c r="C23" s="2">
        <f>COUNTIFS(交易明細!$B$2:$B$234,$A23,交易明細!$C$2:$C$234,"做多")</f>
        <v/>
      </c>
      <c r="D23" s="2">
        <f>COUNTIFS(交易明細!$B$2:$B$234,$A23,交易明細!$C$2:$C$234,"做空")</f>
        <v/>
      </c>
      <c r="E23" s="2">
        <f>F23+G23+COUNTIFS(交易明細!$B$2:$B$234,$A23,交易明細!$J$2:$J$234,"時間出場")</f>
        <v/>
      </c>
      <c r="F23" s="2">
        <f>COUNTIFS(交易明細!$B$2:$B$234,$A23,交易明細!$J$2:$J$234,"止盈")</f>
        <v/>
      </c>
      <c r="G23" s="2">
        <f>COUNTIFS(交易明細!$B$2:$B$234,$A23,交易明細!$J$2:$J$234,"止損")</f>
        <v/>
      </c>
      <c r="H23" s="4">
        <f>IFERROR(F23/E23,0)</f>
        <v/>
      </c>
      <c r="I23" s="4">
        <f>IFERROR(AVERAGEIFS(交易明細!$L$2:$L$234,交易明細!$B$2:$B$234,$A23,交易明細!$J$2:$J$234,"&lt;&gt;未平倉"),0)</f>
        <v/>
      </c>
      <c r="J23" s="4">
        <f>SUMIFS(交易明細!$L$2:$L$234,交易明細!$B$2:$B$234,$A23,交易明細!$J$2:$J$234,"&lt;&gt;未平倉")</f>
        <v/>
      </c>
      <c r="K23" s="5">
        <f>IFERROR(AVERAGEIFS(交易明細!$K$2:$K$234,交易明細!$B$2:$B$234,$A23,交易明細!$J$2:$J$234,"&lt;&gt;未平倉"),0)</f>
        <v/>
      </c>
      <c r="L23" s="2">
        <f>COUNTIFS(交易明細!$B$2:$B$234,$A23,交易明細!$J$2:$J$234,"未平倉")</f>
        <v/>
      </c>
    </row>
    <row r="24">
      <c r="A24" s="2" t="inlineStr">
        <is>
          <t>LSK_USDT_PERP</t>
        </is>
      </c>
      <c r="B24" s="2">
        <f>COUNTIFS(交易明細!$B$2:$B$234,$A24)</f>
        <v/>
      </c>
      <c r="C24" s="2">
        <f>COUNTIFS(交易明細!$B$2:$B$234,$A24,交易明細!$C$2:$C$234,"做多")</f>
        <v/>
      </c>
      <c r="D24" s="2">
        <f>COUNTIFS(交易明細!$B$2:$B$234,$A24,交易明細!$C$2:$C$234,"做空")</f>
        <v/>
      </c>
      <c r="E24" s="2">
        <f>F24+G24+COUNTIFS(交易明細!$B$2:$B$234,$A24,交易明細!$J$2:$J$234,"時間出場")</f>
        <v/>
      </c>
      <c r="F24" s="2">
        <f>COUNTIFS(交易明細!$B$2:$B$234,$A24,交易明細!$J$2:$J$234,"止盈")</f>
        <v/>
      </c>
      <c r="G24" s="2">
        <f>COUNTIFS(交易明細!$B$2:$B$234,$A24,交易明細!$J$2:$J$234,"止損")</f>
        <v/>
      </c>
      <c r="H24" s="4">
        <f>IFERROR(F24/E24,0)</f>
        <v/>
      </c>
      <c r="I24" s="4">
        <f>IFERROR(AVERAGEIFS(交易明細!$L$2:$L$234,交易明細!$B$2:$B$234,$A24,交易明細!$J$2:$J$234,"&lt;&gt;未平倉"),0)</f>
        <v/>
      </c>
      <c r="J24" s="4">
        <f>SUMIFS(交易明細!$L$2:$L$234,交易明細!$B$2:$B$234,$A24,交易明細!$J$2:$J$234,"&lt;&gt;未平倉")</f>
        <v/>
      </c>
      <c r="K24" s="5">
        <f>IFERROR(AVERAGEIFS(交易明細!$K$2:$K$234,交易明細!$B$2:$B$234,$A24,交易明細!$J$2:$J$234,"&lt;&gt;未平倉"),0)</f>
        <v/>
      </c>
      <c r="L24" s="2">
        <f>COUNTIFS(交易明細!$B$2:$B$234,$A24,交易明細!$J$2:$J$234,"未平倉")</f>
        <v/>
      </c>
    </row>
    <row r="25">
      <c r="A25" s="2" t="inlineStr">
        <is>
          <t>ACE_USDT_PERP</t>
        </is>
      </c>
      <c r="B25" s="2">
        <f>COUNTIFS(交易明細!$B$2:$B$234,$A25)</f>
        <v/>
      </c>
      <c r="C25" s="2">
        <f>COUNTIFS(交易明細!$B$2:$B$234,$A25,交易明細!$C$2:$C$234,"做多")</f>
        <v/>
      </c>
      <c r="D25" s="2">
        <f>COUNTIFS(交易明細!$B$2:$B$234,$A25,交易明細!$C$2:$C$234,"做空")</f>
        <v/>
      </c>
      <c r="E25" s="2">
        <f>F25+G25+COUNTIFS(交易明細!$B$2:$B$234,$A25,交易明細!$J$2:$J$234,"時間出場")</f>
        <v/>
      </c>
      <c r="F25" s="2">
        <f>COUNTIFS(交易明細!$B$2:$B$234,$A25,交易明細!$J$2:$J$234,"止盈")</f>
        <v/>
      </c>
      <c r="G25" s="2">
        <f>COUNTIFS(交易明細!$B$2:$B$234,$A25,交易明細!$J$2:$J$234,"止損")</f>
        <v/>
      </c>
      <c r="H25" s="4">
        <f>IFERROR(F25/E25,0)</f>
        <v/>
      </c>
      <c r="I25" s="4">
        <f>IFERROR(AVERAGEIFS(交易明細!$L$2:$L$234,交易明細!$B$2:$B$234,$A25,交易明細!$J$2:$J$234,"&lt;&gt;未平倉"),0)</f>
        <v/>
      </c>
      <c r="J25" s="4">
        <f>SUMIFS(交易明細!$L$2:$L$234,交易明細!$B$2:$B$234,$A25,交易明細!$J$2:$J$234,"&lt;&gt;未平倉")</f>
        <v/>
      </c>
      <c r="K25" s="5">
        <f>IFERROR(AVERAGEIFS(交易明細!$K$2:$K$234,交易明細!$B$2:$B$234,$A25,交易明細!$J$2:$J$234,"&lt;&gt;未平倉"),0)</f>
        <v/>
      </c>
      <c r="L25" s="2">
        <f>COUNTIFS(交易明細!$B$2:$B$234,$A25,交易明細!$J$2:$J$234,"未平倉")</f>
        <v/>
      </c>
    </row>
    <row r="26">
      <c r="A26" s="2" t="inlineStr">
        <is>
          <t>EDGE_USDT_PERP</t>
        </is>
      </c>
      <c r="B26" s="2">
        <f>COUNTIFS(交易明細!$B$2:$B$234,$A26)</f>
        <v/>
      </c>
      <c r="C26" s="2">
        <f>COUNTIFS(交易明細!$B$2:$B$234,$A26,交易明細!$C$2:$C$234,"做多")</f>
        <v/>
      </c>
      <c r="D26" s="2">
        <f>COUNTIFS(交易明細!$B$2:$B$234,$A26,交易明細!$C$2:$C$234,"做空")</f>
        <v/>
      </c>
      <c r="E26" s="2">
        <f>F26+G26+COUNTIFS(交易明細!$B$2:$B$234,$A26,交易明細!$J$2:$J$234,"時間出場")</f>
        <v/>
      </c>
      <c r="F26" s="2">
        <f>COUNTIFS(交易明細!$B$2:$B$234,$A26,交易明細!$J$2:$J$234,"止盈")</f>
        <v/>
      </c>
      <c r="G26" s="2">
        <f>COUNTIFS(交易明細!$B$2:$B$234,$A26,交易明細!$J$2:$J$234,"止損")</f>
        <v/>
      </c>
      <c r="H26" s="4">
        <f>IFERROR(F26/E26,0)</f>
        <v/>
      </c>
      <c r="I26" s="4">
        <f>IFERROR(AVERAGEIFS(交易明細!$L$2:$L$234,交易明細!$B$2:$B$234,$A26,交易明細!$J$2:$J$234,"&lt;&gt;未平倉"),0)</f>
        <v/>
      </c>
      <c r="J26" s="4">
        <f>SUMIFS(交易明細!$L$2:$L$234,交易明細!$B$2:$B$234,$A26,交易明細!$J$2:$J$234,"&lt;&gt;未平倉")</f>
        <v/>
      </c>
      <c r="K26" s="5">
        <f>IFERROR(AVERAGEIFS(交易明細!$K$2:$K$234,交易明細!$B$2:$B$234,$A26,交易明細!$J$2:$J$234,"&lt;&gt;未平倉"),0)</f>
        <v/>
      </c>
      <c r="L26" s="2">
        <f>COUNTIFS(交易明細!$B$2:$B$234,$A26,交易明細!$J$2:$J$234,"未平倉")</f>
        <v/>
      </c>
    </row>
    <row r="27">
      <c r="A27" s="2" t="inlineStr">
        <is>
          <t>4_USDT_PERP</t>
        </is>
      </c>
      <c r="B27" s="2">
        <f>COUNTIFS(交易明細!$B$2:$B$234,$A27)</f>
        <v/>
      </c>
      <c r="C27" s="2">
        <f>COUNTIFS(交易明細!$B$2:$B$234,$A27,交易明細!$C$2:$C$234,"做多")</f>
        <v/>
      </c>
      <c r="D27" s="2">
        <f>COUNTIFS(交易明細!$B$2:$B$234,$A27,交易明細!$C$2:$C$234,"做空")</f>
        <v/>
      </c>
      <c r="E27" s="2">
        <f>F27+G27+COUNTIFS(交易明細!$B$2:$B$234,$A27,交易明細!$J$2:$J$234,"時間出場")</f>
        <v/>
      </c>
      <c r="F27" s="2">
        <f>COUNTIFS(交易明細!$B$2:$B$234,$A27,交易明細!$J$2:$J$234,"止盈")</f>
        <v/>
      </c>
      <c r="G27" s="2">
        <f>COUNTIFS(交易明細!$B$2:$B$234,$A27,交易明細!$J$2:$J$234,"止損")</f>
        <v/>
      </c>
      <c r="H27" s="4">
        <f>IFERROR(F27/E27,0)</f>
        <v/>
      </c>
      <c r="I27" s="4">
        <f>IFERROR(AVERAGEIFS(交易明細!$L$2:$L$234,交易明細!$B$2:$B$234,$A27,交易明細!$J$2:$J$234,"&lt;&gt;未平倉"),0)</f>
        <v/>
      </c>
      <c r="J27" s="4">
        <f>SUMIFS(交易明細!$L$2:$L$234,交易明細!$B$2:$B$234,$A27,交易明細!$J$2:$J$234,"&lt;&gt;未平倉")</f>
        <v/>
      </c>
      <c r="K27" s="5">
        <f>IFERROR(AVERAGEIFS(交易明細!$K$2:$K$234,交易明細!$B$2:$B$234,$A27,交易明細!$J$2:$J$234,"&lt;&gt;未平倉"),0)</f>
        <v/>
      </c>
      <c r="L27" s="2">
        <f>COUNTIFS(交易明細!$B$2:$B$234,$A27,交易明細!$J$2:$J$234,"未平倉")</f>
        <v/>
      </c>
    </row>
    <row r="28">
      <c r="A28" s="2" t="inlineStr">
        <is>
          <t>ZEC_USDT_PERP</t>
        </is>
      </c>
      <c r="B28" s="2">
        <f>COUNTIFS(交易明細!$B$2:$B$234,$A28)</f>
        <v/>
      </c>
      <c r="C28" s="2">
        <f>COUNTIFS(交易明細!$B$2:$B$234,$A28,交易明細!$C$2:$C$234,"做多")</f>
        <v/>
      </c>
      <c r="D28" s="2">
        <f>COUNTIFS(交易明細!$B$2:$B$234,$A28,交易明細!$C$2:$C$234,"做空")</f>
        <v/>
      </c>
      <c r="E28" s="2">
        <f>F28+G28+COUNTIFS(交易明細!$B$2:$B$234,$A28,交易明細!$J$2:$J$234,"時間出場")</f>
        <v/>
      </c>
      <c r="F28" s="2">
        <f>COUNTIFS(交易明細!$B$2:$B$234,$A28,交易明細!$J$2:$J$234,"止盈")</f>
        <v/>
      </c>
      <c r="G28" s="2">
        <f>COUNTIFS(交易明細!$B$2:$B$234,$A28,交易明細!$J$2:$J$234,"止損")</f>
        <v/>
      </c>
      <c r="H28" s="4">
        <f>IFERROR(F28/E28,0)</f>
        <v/>
      </c>
      <c r="I28" s="4">
        <f>IFERROR(AVERAGEIFS(交易明細!$L$2:$L$234,交易明細!$B$2:$B$234,$A28,交易明細!$J$2:$J$234,"&lt;&gt;未平倉"),0)</f>
        <v/>
      </c>
      <c r="J28" s="4">
        <f>SUMIFS(交易明細!$L$2:$L$234,交易明細!$B$2:$B$234,$A28,交易明細!$J$2:$J$234,"&lt;&gt;未平倉")</f>
        <v/>
      </c>
      <c r="K28" s="5">
        <f>IFERROR(AVERAGEIFS(交易明細!$K$2:$K$234,交易明細!$B$2:$B$234,$A28,交易明細!$J$2:$J$234,"&lt;&gt;未平倉"),0)</f>
        <v/>
      </c>
      <c r="L28" s="2">
        <f>COUNTIFS(交易明細!$B$2:$B$234,$A28,交易明細!$J$2:$J$234,"未平倉")</f>
        <v/>
      </c>
    </row>
    <row r="29">
      <c r="A29" s="2" t="inlineStr">
        <is>
          <t>WLD_USDT_PERP</t>
        </is>
      </c>
      <c r="B29" s="2">
        <f>COUNTIFS(交易明細!$B$2:$B$234,$A29)</f>
        <v/>
      </c>
      <c r="C29" s="2">
        <f>COUNTIFS(交易明細!$B$2:$B$234,$A29,交易明細!$C$2:$C$234,"做多")</f>
        <v/>
      </c>
      <c r="D29" s="2">
        <f>COUNTIFS(交易明細!$B$2:$B$234,$A29,交易明細!$C$2:$C$234,"做空")</f>
        <v/>
      </c>
      <c r="E29" s="2">
        <f>F29+G29+COUNTIFS(交易明細!$B$2:$B$234,$A29,交易明細!$J$2:$J$234,"時間出場")</f>
        <v/>
      </c>
      <c r="F29" s="2">
        <f>COUNTIFS(交易明細!$B$2:$B$234,$A29,交易明細!$J$2:$J$234,"止盈")</f>
        <v/>
      </c>
      <c r="G29" s="2">
        <f>COUNTIFS(交易明細!$B$2:$B$234,$A29,交易明細!$J$2:$J$234,"止損")</f>
        <v/>
      </c>
      <c r="H29" s="4">
        <f>IFERROR(F29/E29,0)</f>
        <v/>
      </c>
      <c r="I29" s="4">
        <f>IFERROR(AVERAGEIFS(交易明細!$L$2:$L$234,交易明細!$B$2:$B$234,$A29,交易明細!$J$2:$J$234,"&lt;&gt;未平倉"),0)</f>
        <v/>
      </c>
      <c r="J29" s="4">
        <f>SUMIFS(交易明細!$L$2:$L$234,交易明細!$B$2:$B$234,$A29,交易明細!$J$2:$J$234,"&lt;&gt;未平倉")</f>
        <v/>
      </c>
      <c r="K29" s="5">
        <f>IFERROR(AVERAGEIFS(交易明細!$K$2:$K$234,交易明細!$B$2:$B$234,$A29,交易明細!$J$2:$J$234,"&lt;&gt;未平倉"),0)</f>
        <v/>
      </c>
      <c r="L29" s="2">
        <f>COUNTIFS(交易明細!$B$2:$B$234,$A29,交易明細!$J$2:$J$234,"未平倉")</f>
        <v/>
      </c>
    </row>
    <row r="30">
      <c r="A30" s="2" t="inlineStr">
        <is>
          <t>AERO_USDT_PERP</t>
        </is>
      </c>
      <c r="B30" s="2">
        <f>COUNTIFS(交易明細!$B$2:$B$234,$A30)</f>
        <v/>
      </c>
      <c r="C30" s="2">
        <f>COUNTIFS(交易明細!$B$2:$B$234,$A30,交易明細!$C$2:$C$234,"做多")</f>
        <v/>
      </c>
      <c r="D30" s="2">
        <f>COUNTIFS(交易明細!$B$2:$B$234,$A30,交易明細!$C$2:$C$234,"做空")</f>
        <v/>
      </c>
      <c r="E30" s="2">
        <f>F30+G30+COUNTIFS(交易明細!$B$2:$B$234,$A30,交易明細!$J$2:$J$234,"時間出場")</f>
        <v/>
      </c>
      <c r="F30" s="2">
        <f>COUNTIFS(交易明細!$B$2:$B$234,$A30,交易明細!$J$2:$J$234,"止盈")</f>
        <v/>
      </c>
      <c r="G30" s="2">
        <f>COUNTIFS(交易明細!$B$2:$B$234,$A30,交易明細!$J$2:$J$234,"止損")</f>
        <v/>
      </c>
      <c r="H30" s="4">
        <f>IFERROR(F30/E30,0)</f>
        <v/>
      </c>
      <c r="I30" s="4">
        <f>IFERROR(AVERAGEIFS(交易明細!$L$2:$L$234,交易明細!$B$2:$B$234,$A30,交易明細!$J$2:$J$234,"&lt;&gt;未平倉"),0)</f>
        <v/>
      </c>
      <c r="J30" s="4">
        <f>SUMIFS(交易明細!$L$2:$L$234,交易明細!$B$2:$B$234,$A30,交易明細!$J$2:$J$234,"&lt;&gt;未平倉")</f>
        <v/>
      </c>
      <c r="K30" s="5">
        <f>IFERROR(AVERAGEIFS(交易明細!$K$2:$K$234,交易明細!$B$2:$B$234,$A30,交易明細!$J$2:$J$234,"&lt;&gt;未平倉"),0)</f>
        <v/>
      </c>
      <c r="L30" s="2">
        <f>COUNTIFS(交易明細!$B$2:$B$234,$A30,交易明細!$J$2:$J$234,"未平倉")</f>
        <v/>
      </c>
    </row>
    <row r="31">
      <c r="A31" s="2" t="inlineStr">
        <is>
          <t>DOT_USDT_PERP</t>
        </is>
      </c>
      <c r="B31" s="2">
        <f>COUNTIFS(交易明細!$B$2:$B$234,$A31)</f>
        <v/>
      </c>
      <c r="C31" s="2">
        <f>COUNTIFS(交易明細!$B$2:$B$234,$A31,交易明細!$C$2:$C$234,"做多")</f>
        <v/>
      </c>
      <c r="D31" s="2">
        <f>COUNTIFS(交易明細!$B$2:$B$234,$A31,交易明細!$C$2:$C$234,"做空")</f>
        <v/>
      </c>
      <c r="E31" s="2">
        <f>F31+G31+COUNTIFS(交易明細!$B$2:$B$234,$A31,交易明細!$J$2:$J$234,"時間出場")</f>
        <v/>
      </c>
      <c r="F31" s="2">
        <f>COUNTIFS(交易明細!$B$2:$B$234,$A31,交易明細!$J$2:$J$234,"止盈")</f>
        <v/>
      </c>
      <c r="G31" s="2">
        <f>COUNTIFS(交易明細!$B$2:$B$234,$A31,交易明細!$J$2:$J$234,"止損")</f>
        <v/>
      </c>
      <c r="H31" s="4">
        <f>IFERROR(F31/E31,0)</f>
        <v/>
      </c>
      <c r="I31" s="4">
        <f>IFERROR(AVERAGEIFS(交易明細!$L$2:$L$234,交易明細!$B$2:$B$234,$A31,交易明細!$J$2:$J$234,"&lt;&gt;未平倉"),0)</f>
        <v/>
      </c>
      <c r="J31" s="4">
        <f>SUMIFS(交易明細!$L$2:$L$234,交易明細!$B$2:$B$234,$A31,交易明細!$J$2:$J$234,"&lt;&gt;未平倉")</f>
        <v/>
      </c>
      <c r="K31" s="5">
        <f>IFERROR(AVERAGEIFS(交易明細!$K$2:$K$234,交易明細!$B$2:$B$234,$A31,交易明細!$J$2:$J$234,"&lt;&gt;未平倉"),0)</f>
        <v/>
      </c>
      <c r="L31" s="2">
        <f>COUNTIFS(交易明細!$B$2:$B$234,$A31,交易明細!$J$2:$J$234,"未平倉")</f>
        <v/>
      </c>
    </row>
    <row r="32">
      <c r="A32" s="2" t="inlineStr">
        <is>
          <t>RIVER_USDT_PERP</t>
        </is>
      </c>
      <c r="B32" s="2">
        <f>COUNTIFS(交易明細!$B$2:$B$234,$A32)</f>
        <v/>
      </c>
      <c r="C32" s="2">
        <f>COUNTIFS(交易明細!$B$2:$B$234,$A32,交易明細!$C$2:$C$234,"做多")</f>
        <v/>
      </c>
      <c r="D32" s="2">
        <f>COUNTIFS(交易明細!$B$2:$B$234,$A32,交易明細!$C$2:$C$234,"做空")</f>
        <v/>
      </c>
      <c r="E32" s="2">
        <f>F32+G32+COUNTIFS(交易明細!$B$2:$B$234,$A32,交易明細!$J$2:$J$234,"時間出場")</f>
        <v/>
      </c>
      <c r="F32" s="2">
        <f>COUNTIFS(交易明細!$B$2:$B$234,$A32,交易明細!$J$2:$J$234,"止盈")</f>
        <v/>
      </c>
      <c r="G32" s="2">
        <f>COUNTIFS(交易明細!$B$2:$B$234,$A32,交易明細!$J$2:$J$234,"止損")</f>
        <v/>
      </c>
      <c r="H32" s="4">
        <f>IFERROR(F32/E32,0)</f>
        <v/>
      </c>
      <c r="I32" s="4">
        <f>IFERROR(AVERAGEIFS(交易明細!$L$2:$L$234,交易明細!$B$2:$B$234,$A32,交易明細!$J$2:$J$234,"&lt;&gt;未平倉"),0)</f>
        <v/>
      </c>
      <c r="J32" s="4">
        <f>SUMIFS(交易明細!$L$2:$L$234,交易明細!$B$2:$B$234,$A32,交易明細!$J$2:$J$234,"&lt;&gt;未平倉")</f>
        <v/>
      </c>
      <c r="K32" s="5">
        <f>IFERROR(AVERAGEIFS(交易明細!$K$2:$K$234,交易明細!$B$2:$B$234,$A32,交易明細!$J$2:$J$234,"&lt;&gt;未平倉"),0)</f>
        <v/>
      </c>
      <c r="L32" s="2">
        <f>COUNTIFS(交易明細!$B$2:$B$234,$A32,交易明細!$J$2:$J$234,"未平倉")</f>
        <v/>
      </c>
    </row>
    <row r="33">
      <c r="A33" s="2" t="inlineStr">
        <is>
          <t>FIL_USDT_PERP</t>
        </is>
      </c>
      <c r="B33" s="2">
        <f>COUNTIFS(交易明細!$B$2:$B$234,$A33)</f>
        <v/>
      </c>
      <c r="C33" s="2">
        <f>COUNTIFS(交易明細!$B$2:$B$234,$A33,交易明細!$C$2:$C$234,"做多")</f>
        <v/>
      </c>
      <c r="D33" s="2">
        <f>COUNTIFS(交易明細!$B$2:$B$234,$A33,交易明細!$C$2:$C$234,"做空")</f>
        <v/>
      </c>
      <c r="E33" s="2">
        <f>F33+G33+COUNTIFS(交易明細!$B$2:$B$234,$A33,交易明細!$J$2:$J$234,"時間出場")</f>
        <v/>
      </c>
      <c r="F33" s="2">
        <f>COUNTIFS(交易明細!$B$2:$B$234,$A33,交易明細!$J$2:$J$234,"止盈")</f>
        <v/>
      </c>
      <c r="G33" s="2">
        <f>COUNTIFS(交易明細!$B$2:$B$234,$A33,交易明細!$J$2:$J$234,"止損")</f>
        <v/>
      </c>
      <c r="H33" s="4">
        <f>IFERROR(F33/E33,0)</f>
        <v/>
      </c>
      <c r="I33" s="4">
        <f>IFERROR(AVERAGEIFS(交易明細!$L$2:$L$234,交易明細!$B$2:$B$234,$A33,交易明細!$J$2:$J$234,"&lt;&gt;未平倉"),0)</f>
        <v/>
      </c>
      <c r="J33" s="4">
        <f>SUMIFS(交易明細!$L$2:$L$234,交易明細!$B$2:$B$234,$A33,交易明細!$J$2:$J$234,"&lt;&gt;未平倉")</f>
        <v/>
      </c>
      <c r="K33" s="5">
        <f>IFERROR(AVERAGEIFS(交易明細!$K$2:$K$234,交易明細!$B$2:$B$234,$A33,交易明細!$J$2:$J$234,"&lt;&gt;未平倉"),0)</f>
        <v/>
      </c>
      <c r="L33" s="2">
        <f>COUNTIFS(交易明細!$B$2:$B$234,$A33,交易明細!$J$2:$J$234,"未平倉")</f>
        <v/>
      </c>
    </row>
    <row r="34">
      <c r="A34" s="2" t="inlineStr">
        <is>
          <t>SKYAI_USDT_PERP</t>
        </is>
      </c>
      <c r="B34" s="2">
        <f>COUNTIFS(交易明細!$B$2:$B$234,$A34)</f>
        <v/>
      </c>
      <c r="C34" s="2">
        <f>COUNTIFS(交易明細!$B$2:$B$234,$A34,交易明細!$C$2:$C$234,"做多")</f>
        <v/>
      </c>
      <c r="D34" s="2">
        <f>COUNTIFS(交易明細!$B$2:$B$234,$A34,交易明細!$C$2:$C$234,"做空")</f>
        <v/>
      </c>
      <c r="E34" s="2">
        <f>F34+G34+COUNTIFS(交易明細!$B$2:$B$234,$A34,交易明細!$J$2:$J$234,"時間出場")</f>
        <v/>
      </c>
      <c r="F34" s="2">
        <f>COUNTIFS(交易明細!$B$2:$B$234,$A34,交易明細!$J$2:$J$234,"止盈")</f>
        <v/>
      </c>
      <c r="G34" s="2">
        <f>COUNTIFS(交易明細!$B$2:$B$234,$A34,交易明細!$J$2:$J$234,"止損")</f>
        <v/>
      </c>
      <c r="H34" s="4">
        <f>IFERROR(F34/E34,0)</f>
        <v/>
      </c>
      <c r="I34" s="4">
        <f>IFERROR(AVERAGEIFS(交易明細!$L$2:$L$234,交易明細!$B$2:$B$234,$A34,交易明細!$J$2:$J$234,"&lt;&gt;未平倉"),0)</f>
        <v/>
      </c>
      <c r="J34" s="4">
        <f>SUMIFS(交易明細!$L$2:$L$234,交易明細!$B$2:$B$234,$A34,交易明細!$J$2:$J$234,"&lt;&gt;未平倉")</f>
        <v/>
      </c>
      <c r="K34" s="5">
        <f>IFERROR(AVERAGEIFS(交易明細!$K$2:$K$234,交易明細!$B$2:$B$234,$A34,交易明細!$J$2:$J$234,"&lt;&gt;未平倉"),0)</f>
        <v/>
      </c>
      <c r="L34" s="2">
        <f>COUNTIFS(交易明細!$B$2:$B$234,$A34,交易明細!$J$2:$J$234,"未平倉")</f>
        <v/>
      </c>
    </row>
    <row r="35">
      <c r="A35" s="2" t="inlineStr">
        <is>
          <t>XMR_USDT_PERP</t>
        </is>
      </c>
      <c r="B35" s="2">
        <f>COUNTIFS(交易明細!$B$2:$B$234,$A35)</f>
        <v/>
      </c>
      <c r="C35" s="2">
        <f>COUNTIFS(交易明細!$B$2:$B$234,$A35,交易明細!$C$2:$C$234,"做多")</f>
        <v/>
      </c>
      <c r="D35" s="2">
        <f>COUNTIFS(交易明細!$B$2:$B$234,$A35,交易明細!$C$2:$C$234,"做空")</f>
        <v/>
      </c>
      <c r="E35" s="2">
        <f>F35+G35+COUNTIFS(交易明細!$B$2:$B$234,$A35,交易明細!$J$2:$J$234,"時間出場")</f>
        <v/>
      </c>
      <c r="F35" s="2">
        <f>COUNTIFS(交易明細!$B$2:$B$234,$A35,交易明細!$J$2:$J$234,"止盈")</f>
        <v/>
      </c>
      <c r="G35" s="2">
        <f>COUNTIFS(交易明細!$B$2:$B$234,$A35,交易明細!$J$2:$J$234,"止損")</f>
        <v/>
      </c>
      <c r="H35" s="4">
        <f>IFERROR(F35/E35,0)</f>
        <v/>
      </c>
      <c r="I35" s="4">
        <f>IFERROR(AVERAGEIFS(交易明細!$L$2:$L$234,交易明細!$B$2:$B$234,$A35,交易明細!$J$2:$J$234,"&lt;&gt;未平倉"),0)</f>
        <v/>
      </c>
      <c r="J35" s="4">
        <f>SUMIFS(交易明細!$L$2:$L$234,交易明細!$B$2:$B$234,$A35,交易明細!$J$2:$J$234,"&lt;&gt;未平倉")</f>
        <v/>
      </c>
      <c r="K35" s="5">
        <f>IFERROR(AVERAGEIFS(交易明細!$K$2:$K$234,交易明細!$B$2:$B$234,$A35,交易明細!$J$2:$J$234,"&lt;&gt;未平倉"),0)</f>
        <v/>
      </c>
      <c r="L35" s="2">
        <f>COUNTIFS(交易明細!$B$2:$B$234,$A35,交易明細!$J$2:$J$234,"未平倉")</f>
        <v/>
      </c>
    </row>
    <row r="36">
      <c r="A36" s="2" t="inlineStr">
        <is>
          <t>CRV_USDT_PERP</t>
        </is>
      </c>
      <c r="B36" s="2">
        <f>COUNTIFS(交易明細!$B$2:$B$234,$A36)</f>
        <v/>
      </c>
      <c r="C36" s="2">
        <f>COUNTIFS(交易明細!$B$2:$B$234,$A36,交易明細!$C$2:$C$234,"做多")</f>
        <v/>
      </c>
      <c r="D36" s="2">
        <f>COUNTIFS(交易明細!$B$2:$B$234,$A36,交易明細!$C$2:$C$234,"做空")</f>
        <v/>
      </c>
      <c r="E36" s="2">
        <f>F36+G36+COUNTIFS(交易明細!$B$2:$B$234,$A36,交易明細!$J$2:$J$234,"時間出場")</f>
        <v/>
      </c>
      <c r="F36" s="2">
        <f>COUNTIFS(交易明細!$B$2:$B$234,$A36,交易明細!$J$2:$J$234,"止盈")</f>
        <v/>
      </c>
      <c r="G36" s="2">
        <f>COUNTIFS(交易明細!$B$2:$B$234,$A36,交易明細!$J$2:$J$234,"止損")</f>
        <v/>
      </c>
      <c r="H36" s="4">
        <f>IFERROR(F36/E36,0)</f>
        <v/>
      </c>
      <c r="I36" s="4">
        <f>IFERROR(AVERAGEIFS(交易明細!$L$2:$L$234,交易明細!$B$2:$B$234,$A36,交易明細!$J$2:$J$234,"&lt;&gt;未平倉"),0)</f>
        <v/>
      </c>
      <c r="J36" s="4">
        <f>SUMIFS(交易明細!$L$2:$L$234,交易明細!$B$2:$B$234,$A36,交易明細!$J$2:$J$234,"&lt;&gt;未平倉")</f>
        <v/>
      </c>
      <c r="K36" s="5">
        <f>IFERROR(AVERAGEIFS(交易明細!$K$2:$K$234,交易明細!$B$2:$B$234,$A36,交易明細!$J$2:$J$234,"&lt;&gt;未平倉"),0)</f>
        <v/>
      </c>
      <c r="L36" s="2">
        <f>COUNTIFS(交易明細!$B$2:$B$234,$A36,交易明細!$J$2:$J$234,"未平倉")</f>
        <v/>
      </c>
    </row>
    <row r="37">
      <c r="A37" s="2" t="inlineStr">
        <is>
          <t>MAGMA_USDT_PERP</t>
        </is>
      </c>
      <c r="B37" s="2">
        <f>COUNTIFS(交易明細!$B$2:$B$234,$A37)</f>
        <v/>
      </c>
      <c r="C37" s="2">
        <f>COUNTIFS(交易明細!$B$2:$B$234,$A37,交易明細!$C$2:$C$234,"做多")</f>
        <v/>
      </c>
      <c r="D37" s="2">
        <f>COUNTIFS(交易明細!$B$2:$B$234,$A37,交易明細!$C$2:$C$234,"做空")</f>
        <v/>
      </c>
      <c r="E37" s="2">
        <f>F37+G37+COUNTIFS(交易明細!$B$2:$B$234,$A37,交易明細!$J$2:$J$234,"時間出場")</f>
        <v/>
      </c>
      <c r="F37" s="2">
        <f>COUNTIFS(交易明細!$B$2:$B$234,$A37,交易明細!$J$2:$J$234,"止盈")</f>
        <v/>
      </c>
      <c r="G37" s="2">
        <f>COUNTIFS(交易明細!$B$2:$B$234,$A37,交易明細!$J$2:$J$234,"止損")</f>
        <v/>
      </c>
      <c r="H37" s="4">
        <f>IFERROR(F37/E37,0)</f>
        <v/>
      </c>
      <c r="I37" s="4">
        <f>IFERROR(AVERAGEIFS(交易明細!$L$2:$L$234,交易明細!$B$2:$B$234,$A37,交易明細!$J$2:$J$234,"&lt;&gt;未平倉"),0)</f>
        <v/>
      </c>
      <c r="J37" s="4">
        <f>SUMIFS(交易明細!$L$2:$L$234,交易明細!$B$2:$B$234,$A37,交易明細!$J$2:$J$234,"&lt;&gt;未平倉")</f>
        <v/>
      </c>
      <c r="K37" s="5">
        <f>IFERROR(AVERAGEIFS(交易明細!$K$2:$K$234,交易明細!$B$2:$B$234,$A37,交易明細!$J$2:$J$234,"&lt;&gt;未平倉"),0)</f>
        <v/>
      </c>
      <c r="L37" s="2">
        <f>COUNTIFS(交易明細!$B$2:$B$234,$A37,交易明細!$J$2:$J$234,"未平倉")</f>
        <v/>
      </c>
    </row>
    <row r="38">
      <c r="A38" s="2" t="inlineStr">
        <is>
          <t>TRUMP_USDT_PERP</t>
        </is>
      </c>
      <c r="B38" s="2">
        <f>COUNTIFS(交易明細!$B$2:$B$234,$A38)</f>
        <v/>
      </c>
      <c r="C38" s="2">
        <f>COUNTIFS(交易明細!$B$2:$B$234,$A38,交易明細!$C$2:$C$234,"做多")</f>
        <v/>
      </c>
      <c r="D38" s="2">
        <f>COUNTIFS(交易明細!$B$2:$B$234,$A38,交易明細!$C$2:$C$234,"做空")</f>
        <v/>
      </c>
      <c r="E38" s="2">
        <f>F38+G38+COUNTIFS(交易明細!$B$2:$B$234,$A38,交易明細!$J$2:$J$234,"時間出場")</f>
        <v/>
      </c>
      <c r="F38" s="2">
        <f>COUNTIFS(交易明細!$B$2:$B$234,$A38,交易明細!$J$2:$J$234,"止盈")</f>
        <v/>
      </c>
      <c r="G38" s="2">
        <f>COUNTIFS(交易明細!$B$2:$B$234,$A38,交易明細!$J$2:$J$234,"止損")</f>
        <v/>
      </c>
      <c r="H38" s="4">
        <f>IFERROR(F38/E38,0)</f>
        <v/>
      </c>
      <c r="I38" s="4">
        <f>IFERROR(AVERAGEIFS(交易明細!$L$2:$L$234,交易明細!$B$2:$B$234,$A38,交易明細!$J$2:$J$234,"&lt;&gt;未平倉"),0)</f>
        <v/>
      </c>
      <c r="J38" s="4">
        <f>SUMIFS(交易明細!$L$2:$L$234,交易明細!$B$2:$B$234,$A38,交易明細!$J$2:$J$234,"&lt;&gt;未平倉")</f>
        <v/>
      </c>
      <c r="K38" s="5">
        <f>IFERROR(AVERAGEIFS(交易明細!$K$2:$K$234,交易明細!$B$2:$B$234,$A38,交易明細!$J$2:$J$234,"&lt;&gt;未平倉"),0)</f>
        <v/>
      </c>
      <c r="L38" s="2">
        <f>COUNTIFS(交易明細!$B$2:$B$234,$A38,交易明細!$J$2:$J$234,"未平倉")</f>
        <v/>
      </c>
    </row>
    <row r="39">
      <c r="A39" s="2" t="inlineStr">
        <is>
          <t>CHIP_USDT_PERP</t>
        </is>
      </c>
      <c r="B39" s="2">
        <f>COUNTIFS(交易明細!$B$2:$B$234,$A39)</f>
        <v/>
      </c>
      <c r="C39" s="2">
        <f>COUNTIFS(交易明細!$B$2:$B$234,$A39,交易明細!$C$2:$C$234,"做多")</f>
        <v/>
      </c>
      <c r="D39" s="2">
        <f>COUNTIFS(交易明細!$B$2:$B$234,$A39,交易明細!$C$2:$C$234,"做空")</f>
        <v/>
      </c>
      <c r="E39" s="2">
        <f>F39+G39+COUNTIFS(交易明細!$B$2:$B$234,$A39,交易明細!$J$2:$J$234,"時間出場")</f>
        <v/>
      </c>
      <c r="F39" s="2">
        <f>COUNTIFS(交易明細!$B$2:$B$234,$A39,交易明細!$J$2:$J$234,"止盈")</f>
        <v/>
      </c>
      <c r="G39" s="2">
        <f>COUNTIFS(交易明細!$B$2:$B$234,$A39,交易明細!$J$2:$J$234,"止損")</f>
        <v/>
      </c>
      <c r="H39" s="4">
        <f>IFERROR(F39/E39,0)</f>
        <v/>
      </c>
      <c r="I39" s="4">
        <f>IFERROR(AVERAGEIFS(交易明細!$L$2:$L$234,交易明細!$B$2:$B$234,$A39,交易明細!$J$2:$J$234,"&lt;&gt;未平倉"),0)</f>
        <v/>
      </c>
      <c r="J39" s="4">
        <f>SUMIFS(交易明細!$L$2:$L$234,交易明細!$B$2:$B$234,$A39,交易明細!$J$2:$J$234,"&lt;&gt;未平倉")</f>
        <v/>
      </c>
      <c r="K39" s="5">
        <f>IFERROR(AVERAGEIFS(交易明細!$K$2:$K$234,交易明細!$B$2:$B$234,$A39,交易明細!$J$2:$J$234,"&lt;&gt;未平倉"),0)</f>
        <v/>
      </c>
      <c r="L39" s="2">
        <f>COUNTIFS(交易明細!$B$2:$B$234,$A39,交易明細!$J$2:$J$234,"未平倉")</f>
        <v/>
      </c>
    </row>
    <row r="40">
      <c r="A40" s="2" t="inlineStr">
        <is>
          <t>PENGU_USDT_PERP</t>
        </is>
      </c>
      <c r="B40" s="2">
        <f>COUNTIFS(交易明細!$B$2:$B$234,$A40)</f>
        <v/>
      </c>
      <c r="C40" s="2">
        <f>COUNTIFS(交易明細!$B$2:$B$234,$A40,交易明細!$C$2:$C$234,"做多")</f>
        <v/>
      </c>
      <c r="D40" s="2">
        <f>COUNTIFS(交易明細!$B$2:$B$234,$A40,交易明細!$C$2:$C$234,"做空")</f>
        <v/>
      </c>
      <c r="E40" s="2">
        <f>F40+G40+COUNTIFS(交易明細!$B$2:$B$234,$A40,交易明細!$J$2:$J$234,"時間出場")</f>
        <v/>
      </c>
      <c r="F40" s="2">
        <f>COUNTIFS(交易明細!$B$2:$B$234,$A40,交易明細!$J$2:$J$234,"止盈")</f>
        <v/>
      </c>
      <c r="G40" s="2">
        <f>COUNTIFS(交易明細!$B$2:$B$234,$A40,交易明細!$J$2:$J$234,"止損")</f>
        <v/>
      </c>
      <c r="H40" s="4">
        <f>IFERROR(F40/E40,0)</f>
        <v/>
      </c>
      <c r="I40" s="4">
        <f>IFERROR(AVERAGEIFS(交易明細!$L$2:$L$234,交易明細!$B$2:$B$234,$A40,交易明細!$J$2:$J$234,"&lt;&gt;未平倉"),0)</f>
        <v/>
      </c>
      <c r="J40" s="4">
        <f>SUMIFS(交易明細!$L$2:$L$234,交易明細!$B$2:$B$234,$A40,交易明細!$J$2:$J$234,"&lt;&gt;未平倉")</f>
        <v/>
      </c>
      <c r="K40" s="5">
        <f>IFERROR(AVERAGEIFS(交易明細!$K$2:$K$234,交易明細!$B$2:$B$234,$A40,交易明細!$J$2:$J$234,"&lt;&gt;未平倉"),0)</f>
        <v/>
      </c>
      <c r="L40" s="2">
        <f>COUNTIFS(交易明細!$B$2:$B$234,$A40,交易明細!$J$2:$J$234,"未平倉")</f>
        <v/>
      </c>
    </row>
    <row r="41">
      <c r="A41" s="2" t="inlineStr">
        <is>
          <t>FARTCOIN_USDT_PERP</t>
        </is>
      </c>
      <c r="B41" s="2">
        <f>COUNTIFS(交易明細!$B$2:$B$234,$A41)</f>
        <v/>
      </c>
      <c r="C41" s="2">
        <f>COUNTIFS(交易明細!$B$2:$B$234,$A41,交易明細!$C$2:$C$234,"做多")</f>
        <v/>
      </c>
      <c r="D41" s="2">
        <f>COUNTIFS(交易明細!$B$2:$B$234,$A41,交易明細!$C$2:$C$234,"做空")</f>
        <v/>
      </c>
      <c r="E41" s="2">
        <f>F41+G41+COUNTIFS(交易明細!$B$2:$B$234,$A41,交易明細!$J$2:$J$234,"時間出場")</f>
        <v/>
      </c>
      <c r="F41" s="2">
        <f>COUNTIFS(交易明細!$B$2:$B$234,$A41,交易明細!$J$2:$J$234,"止盈")</f>
        <v/>
      </c>
      <c r="G41" s="2">
        <f>COUNTIFS(交易明細!$B$2:$B$234,$A41,交易明細!$J$2:$J$234,"止損")</f>
        <v/>
      </c>
      <c r="H41" s="4">
        <f>IFERROR(F41/E41,0)</f>
        <v/>
      </c>
      <c r="I41" s="4">
        <f>IFERROR(AVERAGEIFS(交易明細!$L$2:$L$234,交易明細!$B$2:$B$234,$A41,交易明細!$J$2:$J$234,"&lt;&gt;未平倉"),0)</f>
        <v/>
      </c>
      <c r="J41" s="4">
        <f>SUMIFS(交易明細!$L$2:$L$234,交易明細!$B$2:$B$234,$A41,交易明細!$J$2:$J$234,"&lt;&gt;未平倉")</f>
        <v/>
      </c>
      <c r="K41" s="5">
        <f>IFERROR(AVERAGEIFS(交易明細!$K$2:$K$234,交易明細!$B$2:$B$234,$A41,交易明細!$J$2:$J$234,"&lt;&gt;未平倉"),0)</f>
        <v/>
      </c>
      <c r="L41" s="2">
        <f>COUNTIFS(交易明細!$B$2:$B$234,$A41,交易明細!$J$2:$J$234,"未平倉")</f>
        <v/>
      </c>
    </row>
    <row r="42">
      <c r="A42" s="2" t="inlineStr">
        <is>
          <t>TRIA_USDT_PERP</t>
        </is>
      </c>
      <c r="B42" s="2">
        <f>COUNTIFS(交易明細!$B$2:$B$234,$A42)</f>
        <v/>
      </c>
      <c r="C42" s="2">
        <f>COUNTIFS(交易明細!$B$2:$B$234,$A42,交易明細!$C$2:$C$234,"做多")</f>
        <v/>
      </c>
      <c r="D42" s="2">
        <f>COUNTIFS(交易明細!$B$2:$B$234,$A42,交易明細!$C$2:$C$234,"做空")</f>
        <v/>
      </c>
      <c r="E42" s="2">
        <f>F42+G42+COUNTIFS(交易明細!$B$2:$B$234,$A42,交易明細!$J$2:$J$234,"時間出場")</f>
        <v/>
      </c>
      <c r="F42" s="2">
        <f>COUNTIFS(交易明細!$B$2:$B$234,$A42,交易明細!$J$2:$J$234,"止盈")</f>
        <v/>
      </c>
      <c r="G42" s="2">
        <f>COUNTIFS(交易明細!$B$2:$B$234,$A42,交易明細!$J$2:$J$234,"止損")</f>
        <v/>
      </c>
      <c r="H42" s="4">
        <f>IFERROR(F42/E42,0)</f>
        <v/>
      </c>
      <c r="I42" s="4">
        <f>IFERROR(AVERAGEIFS(交易明細!$L$2:$L$234,交易明細!$B$2:$B$234,$A42,交易明細!$J$2:$J$234,"&lt;&gt;未平倉"),0)</f>
        <v/>
      </c>
      <c r="J42" s="4">
        <f>SUMIFS(交易明細!$L$2:$L$234,交易明細!$B$2:$B$234,$A42,交易明細!$J$2:$J$234,"&lt;&gt;未平倉")</f>
        <v/>
      </c>
      <c r="K42" s="5">
        <f>IFERROR(AVERAGEIFS(交易明細!$K$2:$K$234,交易明細!$B$2:$B$234,$A42,交易明細!$J$2:$J$234,"&lt;&gt;未平倉"),0)</f>
        <v/>
      </c>
      <c r="L42" s="2">
        <f>COUNTIFS(交易明細!$B$2:$B$234,$A42,交易明細!$J$2:$J$234,"未平倉")</f>
        <v/>
      </c>
    </row>
    <row r="43">
      <c r="A43" s="2" t="inlineStr">
        <is>
          <t>ZEN_USDT_PERP</t>
        </is>
      </c>
      <c r="B43" s="2">
        <f>COUNTIFS(交易明細!$B$2:$B$234,$A43)</f>
        <v/>
      </c>
      <c r="C43" s="2">
        <f>COUNTIFS(交易明細!$B$2:$B$234,$A43,交易明細!$C$2:$C$234,"做多")</f>
        <v/>
      </c>
      <c r="D43" s="2">
        <f>COUNTIFS(交易明細!$B$2:$B$234,$A43,交易明細!$C$2:$C$234,"做空")</f>
        <v/>
      </c>
      <c r="E43" s="2">
        <f>F43+G43+COUNTIFS(交易明細!$B$2:$B$234,$A43,交易明細!$J$2:$J$234,"時間出場")</f>
        <v/>
      </c>
      <c r="F43" s="2">
        <f>COUNTIFS(交易明細!$B$2:$B$234,$A43,交易明細!$J$2:$J$234,"止盈")</f>
        <v/>
      </c>
      <c r="G43" s="2">
        <f>COUNTIFS(交易明細!$B$2:$B$234,$A43,交易明細!$J$2:$J$234,"止損")</f>
        <v/>
      </c>
      <c r="H43" s="4">
        <f>IFERROR(F43/E43,0)</f>
        <v/>
      </c>
      <c r="I43" s="4">
        <f>IFERROR(AVERAGEIFS(交易明細!$L$2:$L$234,交易明細!$B$2:$B$234,$A43,交易明細!$J$2:$J$234,"&lt;&gt;未平倉"),0)</f>
        <v/>
      </c>
      <c r="J43" s="4">
        <f>SUMIFS(交易明細!$L$2:$L$234,交易明細!$B$2:$B$234,$A43,交易明細!$J$2:$J$234,"&lt;&gt;未平倉")</f>
        <v/>
      </c>
      <c r="K43" s="5">
        <f>IFERROR(AVERAGEIFS(交易明細!$K$2:$K$234,交易明細!$B$2:$B$234,$A43,交易明細!$J$2:$J$234,"&lt;&gt;未平倉"),0)</f>
        <v/>
      </c>
      <c r="L43" s="2">
        <f>COUNTIFS(交易明細!$B$2:$B$234,$A43,交易明細!$J$2:$J$234,"未平倉")</f>
        <v/>
      </c>
    </row>
    <row r="44">
      <c r="A44" s="2" t="inlineStr">
        <is>
          <t>TAO_USDT_PERP</t>
        </is>
      </c>
      <c r="B44" s="2">
        <f>COUNTIFS(交易明細!$B$2:$B$234,$A44)</f>
        <v/>
      </c>
      <c r="C44" s="2">
        <f>COUNTIFS(交易明細!$B$2:$B$234,$A44,交易明細!$C$2:$C$234,"做多")</f>
        <v/>
      </c>
      <c r="D44" s="2">
        <f>COUNTIFS(交易明細!$B$2:$B$234,$A44,交易明細!$C$2:$C$234,"做空")</f>
        <v/>
      </c>
      <c r="E44" s="2">
        <f>F44+G44+COUNTIFS(交易明細!$B$2:$B$234,$A44,交易明細!$J$2:$J$234,"時間出場")</f>
        <v/>
      </c>
      <c r="F44" s="2">
        <f>COUNTIFS(交易明細!$B$2:$B$234,$A44,交易明細!$J$2:$J$234,"止盈")</f>
        <v/>
      </c>
      <c r="G44" s="2">
        <f>COUNTIFS(交易明細!$B$2:$B$234,$A44,交易明細!$J$2:$J$234,"止損")</f>
        <v/>
      </c>
      <c r="H44" s="4">
        <f>IFERROR(F44/E44,0)</f>
        <v/>
      </c>
      <c r="I44" s="4">
        <f>IFERROR(AVERAGEIFS(交易明細!$L$2:$L$234,交易明細!$B$2:$B$234,$A44,交易明細!$J$2:$J$234,"&lt;&gt;未平倉"),0)</f>
        <v/>
      </c>
      <c r="J44" s="4">
        <f>SUMIFS(交易明細!$L$2:$L$234,交易明細!$B$2:$B$234,$A44,交易明細!$J$2:$J$234,"&lt;&gt;未平倉")</f>
        <v/>
      </c>
      <c r="K44" s="5">
        <f>IFERROR(AVERAGEIFS(交易明細!$K$2:$K$234,交易明細!$B$2:$B$234,$A44,交易明細!$J$2:$J$234,"&lt;&gt;未平倉"),0)</f>
        <v/>
      </c>
      <c r="L44" s="2">
        <f>COUNTIFS(交易明細!$B$2:$B$234,$A44,交易明細!$J$2:$J$234,"未平倉")</f>
        <v/>
      </c>
    </row>
    <row r="45">
      <c r="A45" s="2" t="inlineStr">
        <is>
          <t>KAS_USDT_PERP</t>
        </is>
      </c>
      <c r="B45" s="2">
        <f>COUNTIFS(交易明細!$B$2:$B$234,$A45)</f>
        <v/>
      </c>
      <c r="C45" s="2">
        <f>COUNTIFS(交易明細!$B$2:$B$234,$A45,交易明細!$C$2:$C$234,"做多")</f>
        <v/>
      </c>
      <c r="D45" s="2">
        <f>COUNTIFS(交易明細!$B$2:$B$234,$A45,交易明細!$C$2:$C$234,"做空")</f>
        <v/>
      </c>
      <c r="E45" s="2">
        <f>F45+G45+COUNTIFS(交易明細!$B$2:$B$234,$A45,交易明細!$J$2:$J$234,"時間出場")</f>
        <v/>
      </c>
      <c r="F45" s="2">
        <f>COUNTIFS(交易明細!$B$2:$B$234,$A45,交易明細!$J$2:$J$234,"止盈")</f>
        <v/>
      </c>
      <c r="G45" s="2">
        <f>COUNTIFS(交易明細!$B$2:$B$234,$A45,交易明細!$J$2:$J$234,"止損")</f>
        <v/>
      </c>
      <c r="H45" s="4">
        <f>IFERROR(F45/E45,0)</f>
        <v/>
      </c>
      <c r="I45" s="4">
        <f>IFERROR(AVERAGEIFS(交易明細!$L$2:$L$234,交易明細!$B$2:$B$234,$A45,交易明細!$J$2:$J$234,"&lt;&gt;未平倉"),0)</f>
        <v/>
      </c>
      <c r="J45" s="4">
        <f>SUMIFS(交易明細!$L$2:$L$234,交易明細!$B$2:$B$234,$A45,交易明細!$J$2:$J$234,"&lt;&gt;未平倉")</f>
        <v/>
      </c>
      <c r="K45" s="5">
        <f>IFERROR(AVERAGEIFS(交易明細!$K$2:$K$234,交易明細!$B$2:$B$234,$A45,交易明細!$J$2:$J$234,"&lt;&gt;未平倉"),0)</f>
        <v/>
      </c>
      <c r="L45" s="2">
        <f>COUNTIFS(交易明細!$B$2:$B$234,$A45,交易明細!$J$2:$J$234,"未平倉")</f>
        <v/>
      </c>
    </row>
    <row r="46">
      <c r="A46" s="2" t="inlineStr">
        <is>
          <t>CASHCAT_USDT_PERP</t>
        </is>
      </c>
      <c r="B46" s="2">
        <f>COUNTIFS(交易明細!$B$2:$B$234,$A46)</f>
        <v/>
      </c>
      <c r="C46" s="2">
        <f>COUNTIFS(交易明細!$B$2:$B$234,$A46,交易明細!$C$2:$C$234,"做多")</f>
        <v/>
      </c>
      <c r="D46" s="2">
        <f>COUNTIFS(交易明細!$B$2:$B$234,$A46,交易明細!$C$2:$C$234,"做空")</f>
        <v/>
      </c>
      <c r="E46" s="2">
        <f>F46+G46+COUNTIFS(交易明細!$B$2:$B$234,$A46,交易明細!$J$2:$J$234,"時間出場")</f>
        <v/>
      </c>
      <c r="F46" s="2">
        <f>COUNTIFS(交易明細!$B$2:$B$234,$A46,交易明細!$J$2:$J$234,"止盈")</f>
        <v/>
      </c>
      <c r="G46" s="2">
        <f>COUNTIFS(交易明細!$B$2:$B$234,$A46,交易明細!$J$2:$J$234,"止損")</f>
        <v/>
      </c>
      <c r="H46" s="4">
        <f>IFERROR(F46/E46,0)</f>
        <v/>
      </c>
      <c r="I46" s="4">
        <f>IFERROR(AVERAGEIFS(交易明細!$L$2:$L$234,交易明細!$B$2:$B$234,$A46,交易明細!$J$2:$J$234,"&lt;&gt;未平倉"),0)</f>
        <v/>
      </c>
      <c r="J46" s="4">
        <f>SUMIFS(交易明細!$L$2:$L$234,交易明細!$B$2:$B$234,$A46,交易明細!$J$2:$J$234,"&lt;&gt;未平倉")</f>
        <v/>
      </c>
      <c r="K46" s="5">
        <f>IFERROR(AVERAGEIFS(交易明細!$K$2:$K$234,交易明細!$B$2:$B$234,$A46,交易明細!$J$2:$J$234,"&lt;&gt;未平倉"),0)</f>
        <v/>
      </c>
      <c r="L46" s="2">
        <f>COUNTIFS(交易明細!$B$2:$B$234,$A46,交易明細!$J$2:$J$234,"未平倉")</f>
        <v/>
      </c>
    </row>
    <row r="47">
      <c r="A47" s="2" t="inlineStr">
        <is>
          <t>INJ_USDT_PERP</t>
        </is>
      </c>
      <c r="B47" s="2">
        <f>COUNTIFS(交易明細!$B$2:$B$234,$A47)</f>
        <v/>
      </c>
      <c r="C47" s="2">
        <f>COUNTIFS(交易明細!$B$2:$B$234,$A47,交易明細!$C$2:$C$234,"做多")</f>
        <v/>
      </c>
      <c r="D47" s="2">
        <f>COUNTIFS(交易明細!$B$2:$B$234,$A47,交易明細!$C$2:$C$234,"做空")</f>
        <v/>
      </c>
      <c r="E47" s="2">
        <f>F47+G47+COUNTIFS(交易明細!$B$2:$B$234,$A47,交易明細!$J$2:$J$234,"時間出場")</f>
        <v/>
      </c>
      <c r="F47" s="2">
        <f>COUNTIFS(交易明細!$B$2:$B$234,$A47,交易明細!$J$2:$J$234,"止盈")</f>
        <v/>
      </c>
      <c r="G47" s="2">
        <f>COUNTIFS(交易明細!$B$2:$B$234,$A47,交易明細!$J$2:$J$234,"止損")</f>
        <v/>
      </c>
      <c r="H47" s="4">
        <f>IFERROR(F47/E47,0)</f>
        <v/>
      </c>
      <c r="I47" s="4">
        <f>IFERROR(AVERAGEIFS(交易明細!$L$2:$L$234,交易明細!$B$2:$B$234,$A47,交易明細!$J$2:$J$234,"&lt;&gt;未平倉"),0)</f>
        <v/>
      </c>
      <c r="J47" s="4">
        <f>SUMIFS(交易明細!$L$2:$L$234,交易明細!$B$2:$B$234,$A47,交易明細!$J$2:$J$234,"&lt;&gt;未平倉")</f>
        <v/>
      </c>
      <c r="K47" s="5">
        <f>IFERROR(AVERAGEIFS(交易明細!$K$2:$K$234,交易明細!$B$2:$B$234,$A47,交易明細!$J$2:$J$234,"&lt;&gt;未平倉"),0)</f>
        <v/>
      </c>
      <c r="L47" s="2">
        <f>COUNTIFS(交易明細!$B$2:$B$234,$A47,交易明細!$J$2:$J$234,"未平倉")</f>
        <v/>
      </c>
    </row>
    <row r="48">
      <c r="A48" s="2" t="inlineStr">
        <is>
          <t>ICP_USDT_PERP</t>
        </is>
      </c>
      <c r="B48" s="2">
        <f>COUNTIFS(交易明細!$B$2:$B$234,$A48)</f>
        <v/>
      </c>
      <c r="C48" s="2">
        <f>COUNTIFS(交易明細!$B$2:$B$234,$A48,交易明細!$C$2:$C$234,"做多")</f>
        <v/>
      </c>
      <c r="D48" s="2">
        <f>COUNTIFS(交易明細!$B$2:$B$234,$A48,交易明細!$C$2:$C$234,"做空")</f>
        <v/>
      </c>
      <c r="E48" s="2">
        <f>F48+G48+COUNTIFS(交易明細!$B$2:$B$234,$A48,交易明細!$J$2:$J$234,"時間出場")</f>
        <v/>
      </c>
      <c r="F48" s="2">
        <f>COUNTIFS(交易明細!$B$2:$B$234,$A48,交易明細!$J$2:$J$234,"止盈")</f>
        <v/>
      </c>
      <c r="G48" s="2">
        <f>COUNTIFS(交易明細!$B$2:$B$234,$A48,交易明細!$J$2:$J$234,"止損")</f>
        <v/>
      </c>
      <c r="H48" s="4">
        <f>IFERROR(F48/E48,0)</f>
        <v/>
      </c>
      <c r="I48" s="4">
        <f>IFERROR(AVERAGEIFS(交易明細!$L$2:$L$234,交易明細!$B$2:$B$234,$A48,交易明細!$J$2:$J$234,"&lt;&gt;未平倉"),0)</f>
        <v/>
      </c>
      <c r="J48" s="4">
        <f>SUMIFS(交易明細!$L$2:$L$234,交易明細!$B$2:$B$234,$A48,交易明細!$J$2:$J$234,"&lt;&gt;未平倉")</f>
        <v/>
      </c>
      <c r="K48" s="5">
        <f>IFERROR(AVERAGEIFS(交易明細!$K$2:$K$234,交易明細!$B$2:$B$234,$A48,交易明細!$J$2:$J$234,"&lt;&gt;未平倉"),0)</f>
        <v/>
      </c>
      <c r="L48" s="2">
        <f>COUNTIFS(交易明細!$B$2:$B$234,$A48,交易明細!$J$2:$J$234,"未平倉")</f>
        <v/>
      </c>
    </row>
    <row r="49">
      <c r="A49" s="2" t="inlineStr">
        <is>
          <t>FF_USDT_PERP</t>
        </is>
      </c>
      <c r="B49" s="2">
        <f>COUNTIFS(交易明細!$B$2:$B$234,$A49)</f>
        <v/>
      </c>
      <c r="C49" s="2">
        <f>COUNTIFS(交易明細!$B$2:$B$234,$A49,交易明細!$C$2:$C$234,"做多")</f>
        <v/>
      </c>
      <c r="D49" s="2">
        <f>COUNTIFS(交易明細!$B$2:$B$234,$A49,交易明細!$C$2:$C$234,"做空")</f>
        <v/>
      </c>
      <c r="E49" s="2">
        <f>F49+G49+COUNTIFS(交易明細!$B$2:$B$234,$A49,交易明細!$J$2:$J$234,"時間出場")</f>
        <v/>
      </c>
      <c r="F49" s="2">
        <f>COUNTIFS(交易明細!$B$2:$B$234,$A49,交易明細!$J$2:$J$234,"止盈")</f>
        <v/>
      </c>
      <c r="G49" s="2">
        <f>COUNTIFS(交易明細!$B$2:$B$234,$A49,交易明細!$J$2:$J$234,"止損")</f>
        <v/>
      </c>
      <c r="H49" s="4">
        <f>IFERROR(F49/E49,0)</f>
        <v/>
      </c>
      <c r="I49" s="4">
        <f>IFERROR(AVERAGEIFS(交易明細!$L$2:$L$234,交易明細!$B$2:$B$234,$A49,交易明細!$J$2:$J$234,"&lt;&gt;未平倉"),0)</f>
        <v/>
      </c>
      <c r="J49" s="4">
        <f>SUMIFS(交易明細!$L$2:$L$234,交易明細!$B$2:$B$234,$A49,交易明細!$J$2:$J$234,"&lt;&gt;未平倉")</f>
        <v/>
      </c>
      <c r="K49" s="5">
        <f>IFERROR(AVERAGEIFS(交易明細!$K$2:$K$234,交易明細!$B$2:$B$234,$A49,交易明細!$J$2:$J$234,"&lt;&gt;未平倉"),0)</f>
        <v/>
      </c>
      <c r="L49" s="2">
        <f>COUNTIFS(交易明細!$B$2:$B$234,$A49,交易明細!$J$2:$J$234,"未平倉")</f>
        <v/>
      </c>
    </row>
    <row r="50">
      <c r="A50" s="2" t="inlineStr">
        <is>
          <t>KAT_USDT_PERP</t>
        </is>
      </c>
      <c r="B50" s="2">
        <f>COUNTIFS(交易明細!$B$2:$B$234,$A50)</f>
        <v/>
      </c>
      <c r="C50" s="2">
        <f>COUNTIFS(交易明細!$B$2:$B$234,$A50,交易明細!$C$2:$C$234,"做多")</f>
        <v/>
      </c>
      <c r="D50" s="2">
        <f>COUNTIFS(交易明細!$B$2:$B$234,$A50,交易明細!$C$2:$C$234,"做空")</f>
        <v/>
      </c>
      <c r="E50" s="2">
        <f>F50+G50+COUNTIFS(交易明細!$B$2:$B$234,$A50,交易明細!$J$2:$J$234,"時間出場")</f>
        <v/>
      </c>
      <c r="F50" s="2">
        <f>COUNTIFS(交易明細!$B$2:$B$234,$A50,交易明細!$J$2:$J$234,"止盈")</f>
        <v/>
      </c>
      <c r="G50" s="2">
        <f>COUNTIFS(交易明細!$B$2:$B$234,$A50,交易明細!$J$2:$J$234,"止損")</f>
        <v/>
      </c>
      <c r="H50" s="4">
        <f>IFERROR(F50/E50,0)</f>
        <v/>
      </c>
      <c r="I50" s="4">
        <f>IFERROR(AVERAGEIFS(交易明細!$L$2:$L$234,交易明細!$B$2:$B$234,$A50,交易明細!$J$2:$J$234,"&lt;&gt;未平倉"),0)</f>
        <v/>
      </c>
      <c r="J50" s="4">
        <f>SUMIFS(交易明細!$L$2:$L$234,交易明細!$B$2:$B$234,$A50,交易明細!$J$2:$J$234,"&lt;&gt;未平倉")</f>
        <v/>
      </c>
      <c r="K50" s="5">
        <f>IFERROR(AVERAGEIFS(交易明細!$K$2:$K$234,交易明細!$B$2:$B$234,$A50,交易明細!$J$2:$J$234,"&lt;&gt;未平倉"),0)</f>
        <v/>
      </c>
      <c r="L50" s="2">
        <f>COUNTIFS(交易明細!$B$2:$B$234,$A50,交易明細!$J$2:$J$234,"未平倉")</f>
        <v/>
      </c>
    </row>
    <row r="51">
      <c r="A51" s="2" t="inlineStr">
        <is>
          <t>MET_USDT_PERP</t>
        </is>
      </c>
      <c r="B51" s="2">
        <f>COUNTIFS(交易明細!$B$2:$B$234,$A51)</f>
        <v/>
      </c>
      <c r="C51" s="2">
        <f>COUNTIFS(交易明細!$B$2:$B$234,$A51,交易明細!$C$2:$C$234,"做多")</f>
        <v/>
      </c>
      <c r="D51" s="2">
        <f>COUNTIFS(交易明細!$B$2:$B$234,$A51,交易明細!$C$2:$C$234,"做空")</f>
        <v/>
      </c>
      <c r="E51" s="2">
        <f>F51+G51+COUNTIFS(交易明細!$B$2:$B$234,$A51,交易明細!$J$2:$J$234,"時間出場")</f>
        <v/>
      </c>
      <c r="F51" s="2">
        <f>COUNTIFS(交易明細!$B$2:$B$234,$A51,交易明細!$J$2:$J$234,"止盈")</f>
        <v/>
      </c>
      <c r="G51" s="2">
        <f>COUNTIFS(交易明細!$B$2:$B$234,$A51,交易明細!$J$2:$J$234,"止損")</f>
        <v/>
      </c>
      <c r="H51" s="4">
        <f>IFERROR(F51/E51,0)</f>
        <v/>
      </c>
      <c r="I51" s="4">
        <f>IFERROR(AVERAGEIFS(交易明細!$L$2:$L$234,交易明細!$B$2:$B$234,$A51,交易明細!$J$2:$J$234,"&lt;&gt;未平倉"),0)</f>
        <v/>
      </c>
      <c r="J51" s="4">
        <f>SUMIFS(交易明細!$L$2:$L$234,交易明細!$B$2:$B$234,$A51,交易明細!$J$2:$J$234,"&lt;&gt;未平倉")</f>
        <v/>
      </c>
      <c r="K51" s="5">
        <f>IFERROR(AVERAGEIFS(交易明細!$K$2:$K$234,交易明細!$B$2:$B$234,$A51,交易明細!$J$2:$J$234,"&lt;&gt;未平倉"),0)</f>
        <v/>
      </c>
      <c r="L51" s="2">
        <f>COUNTIFS(交易明細!$B$2:$B$234,$A51,交易明細!$J$2:$J$234,"未平倉")</f>
        <v/>
      </c>
    </row>
    <row r="52">
      <c r="A52" s="2" t="inlineStr">
        <is>
          <t>BTW_USDT_PERP</t>
        </is>
      </c>
      <c r="B52" s="2">
        <f>COUNTIFS(交易明細!$B$2:$B$234,$A52)</f>
        <v/>
      </c>
      <c r="C52" s="2">
        <f>COUNTIFS(交易明細!$B$2:$B$234,$A52,交易明細!$C$2:$C$234,"做多")</f>
        <v/>
      </c>
      <c r="D52" s="2">
        <f>COUNTIFS(交易明細!$B$2:$B$234,$A52,交易明細!$C$2:$C$234,"做空")</f>
        <v/>
      </c>
      <c r="E52" s="2">
        <f>F52+G52+COUNTIFS(交易明細!$B$2:$B$234,$A52,交易明細!$J$2:$J$234,"時間出場")</f>
        <v/>
      </c>
      <c r="F52" s="2">
        <f>COUNTIFS(交易明細!$B$2:$B$234,$A52,交易明細!$J$2:$J$234,"止盈")</f>
        <v/>
      </c>
      <c r="G52" s="2">
        <f>COUNTIFS(交易明細!$B$2:$B$234,$A52,交易明細!$J$2:$J$234,"止損")</f>
        <v/>
      </c>
      <c r="H52" s="4">
        <f>IFERROR(F52/E52,0)</f>
        <v/>
      </c>
      <c r="I52" s="4">
        <f>IFERROR(AVERAGEIFS(交易明細!$L$2:$L$234,交易明細!$B$2:$B$234,$A52,交易明細!$J$2:$J$234,"&lt;&gt;未平倉"),0)</f>
        <v/>
      </c>
      <c r="J52" s="4">
        <f>SUMIFS(交易明細!$L$2:$L$234,交易明細!$B$2:$B$234,$A52,交易明細!$J$2:$J$234,"&lt;&gt;未平倉")</f>
        <v/>
      </c>
      <c r="K52" s="5">
        <f>IFERROR(AVERAGEIFS(交易明細!$K$2:$K$234,交易明細!$B$2:$B$234,$A52,交易明細!$J$2:$J$234,"&lt;&gt;未平倉"),0)</f>
        <v/>
      </c>
      <c r="L52" s="2">
        <f>COUNTIFS(交易明細!$B$2:$B$234,$A52,交易明細!$J$2:$J$234,"未平倉")</f>
        <v/>
      </c>
    </row>
    <row r="53">
      <c r="A53" s="2" t="inlineStr">
        <is>
          <t>CAP_USDT_PERP</t>
        </is>
      </c>
      <c r="B53" s="2">
        <f>COUNTIFS(交易明細!$B$2:$B$234,$A53)</f>
        <v/>
      </c>
      <c r="C53" s="2">
        <f>COUNTIFS(交易明細!$B$2:$B$234,$A53,交易明細!$C$2:$C$234,"做多")</f>
        <v/>
      </c>
      <c r="D53" s="2">
        <f>COUNTIFS(交易明細!$B$2:$B$234,$A53,交易明細!$C$2:$C$234,"做空")</f>
        <v/>
      </c>
      <c r="E53" s="2">
        <f>F53+G53+COUNTIFS(交易明細!$B$2:$B$234,$A53,交易明細!$J$2:$J$234,"時間出場")</f>
        <v/>
      </c>
      <c r="F53" s="2">
        <f>COUNTIFS(交易明細!$B$2:$B$234,$A53,交易明細!$J$2:$J$234,"止盈")</f>
        <v/>
      </c>
      <c r="G53" s="2">
        <f>COUNTIFS(交易明細!$B$2:$B$234,$A53,交易明細!$J$2:$J$234,"止損")</f>
        <v/>
      </c>
      <c r="H53" s="4">
        <f>IFERROR(F53/E53,0)</f>
        <v/>
      </c>
      <c r="I53" s="4">
        <f>IFERROR(AVERAGEIFS(交易明細!$L$2:$L$234,交易明細!$B$2:$B$234,$A53,交易明細!$J$2:$J$234,"&lt;&gt;未平倉"),0)</f>
        <v/>
      </c>
      <c r="J53" s="4">
        <f>SUMIFS(交易明細!$L$2:$L$234,交易明細!$B$2:$B$234,$A53,交易明細!$J$2:$J$234,"&lt;&gt;未平倉")</f>
        <v/>
      </c>
      <c r="K53" s="5">
        <f>IFERROR(AVERAGEIFS(交易明細!$K$2:$K$234,交易明細!$B$2:$B$234,$A53,交易明細!$J$2:$J$234,"&lt;&gt;未平倉"),0)</f>
        <v/>
      </c>
      <c r="L53" s="2">
        <f>COUNTIFS(交易明細!$B$2:$B$234,$A53,交易明細!$J$2:$J$234,"未平倉")</f>
        <v/>
      </c>
    </row>
    <row r="54">
      <c r="A54" s="2" t="inlineStr">
        <is>
          <t>POWER_USDT_PERP</t>
        </is>
      </c>
      <c r="B54" s="2">
        <f>COUNTIFS(交易明細!$B$2:$B$234,$A54)</f>
        <v/>
      </c>
      <c r="C54" s="2">
        <f>COUNTIFS(交易明細!$B$2:$B$234,$A54,交易明細!$C$2:$C$234,"做多")</f>
        <v/>
      </c>
      <c r="D54" s="2">
        <f>COUNTIFS(交易明細!$B$2:$B$234,$A54,交易明細!$C$2:$C$234,"做空")</f>
        <v/>
      </c>
      <c r="E54" s="2">
        <f>F54+G54+COUNTIFS(交易明細!$B$2:$B$234,$A54,交易明細!$J$2:$J$234,"時間出場")</f>
        <v/>
      </c>
      <c r="F54" s="2">
        <f>COUNTIFS(交易明細!$B$2:$B$234,$A54,交易明細!$J$2:$J$234,"止盈")</f>
        <v/>
      </c>
      <c r="G54" s="2">
        <f>COUNTIFS(交易明細!$B$2:$B$234,$A54,交易明細!$J$2:$J$234,"止損")</f>
        <v/>
      </c>
      <c r="H54" s="4">
        <f>IFERROR(F54/E54,0)</f>
        <v/>
      </c>
      <c r="I54" s="4">
        <f>IFERROR(AVERAGEIFS(交易明細!$L$2:$L$234,交易明細!$B$2:$B$234,$A54,交易明細!$J$2:$J$234,"&lt;&gt;未平倉"),0)</f>
        <v/>
      </c>
      <c r="J54" s="4">
        <f>SUMIFS(交易明細!$L$2:$L$234,交易明細!$B$2:$B$234,$A54,交易明細!$J$2:$J$234,"&lt;&gt;未平倉")</f>
        <v/>
      </c>
      <c r="K54" s="5">
        <f>IFERROR(AVERAGEIFS(交易明細!$K$2:$K$234,交易明細!$B$2:$B$234,$A54,交易明細!$J$2:$J$234,"&lt;&gt;未平倉"),0)</f>
        <v/>
      </c>
      <c r="L54" s="2">
        <f>COUNTIFS(交易明細!$B$2:$B$234,$A54,交易明細!$J$2:$J$234,"未平倉")</f>
        <v/>
      </c>
    </row>
  </sheetData>
  <autoFilter ref="A1:L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2026-09-15T18:16:54Z</dcterms:created>
  <dcterms:modified xsi:type="dcterms:W3CDTF">2026-09-15T18:16:54Z</dcterms:modified>
</cp:coreProperties>
</file>