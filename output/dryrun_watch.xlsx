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運行紀錄" sheetId="2" state="visible" r:id="rId2"/>
    <sheet name="ATR區間監控" sheetId="3" state="visible" r:id="rId3"/>
    <sheet name="資金模擬" sheetId="4" state="visible" r:id="rId4"/>
    <sheet name="資金明細" sheetId="5" state="visible" r:id="rId5"/>
    <sheet name="參數" sheetId="6" state="visible" r:id="rId6"/>
    <sheet name="交易明細" sheetId="7" state="visible" r:id="rId7"/>
    <sheet name="幣種統計" sheetId="8" state="visible" r:id="rId8"/>
    <sheet name="掃描清單" sheetId="9" state="visible" r:id="rId9"/>
  </sheets>
  <definedNames>
    <definedName name="_xlnm._FilterDatabase" localSheetId="4" hidden="1">'資金明細'!$A$1:$Z$1014</definedName>
    <definedName name="_xlnm._FilterDatabase" localSheetId="6" hidden="1">'交易明細'!$A$1:$AC$509</definedName>
    <definedName name="_xlnm._FilterDatabase" localSheetId="7" hidden="1">'幣種統計'!$A$1:$L$89</definedName>
    <definedName name="_xlnm._FilterDatabase" localSheetId="8" hidden="1">'掃描清單'!$A$1:$H$444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yyyy-mm-dd h:mm:ss"/>
    <numFmt numFmtId="166" formatCode="yyyy-mm-dd hh:mm"/>
    <numFmt numFmtId="167" formatCode="0.00000000"/>
    <numFmt numFmtId="168" formatCode="0.0"/>
    <numFmt numFmtId="169" formatCode="0.0000"/>
    <numFmt numFmtId="170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b val="1"/>
      <sz val="10"/>
    </font>
    <font>
      <name val="Arial"/>
      <b val="1"/>
      <sz val="12"/>
    </font>
    <font>
      <name val="Arial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2" fillId="0" borderId="0" pivotButton="0" quotePrefix="0" xfId="0"/>
    <xf numFmtId="168" fontId="2" fillId="0" borderId="0" pivotButton="0" quotePrefix="0" xfId="0"/>
    <xf numFmtId="0" fontId="5" fillId="0" borderId="0" pivotButton="0" quotePrefix="0" xfId="0"/>
    <xf numFmtId="166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70" fontId="2" fillId="0" borderId="0" pivotButton="0" quotePrefix="0" xfId="0"/>
    <xf numFmtId="0" fontId="1" fillId="2" borderId="0" pivotButton="0" quotePrefix="0" xfId="0"/>
    <xf numFmtId="2" fontId="3" fillId="3" borderId="0" pivotButton="0" quotePrefix="0" xfId="0"/>
    <xf numFmtId="169" fontId="2" fillId="0" borderId="0" pivotButton="0" quotePrefix="0" xfId="0"/>
    <xf numFmtId="10" fontId="3" fillId="3" borderId="0" pivotButton="0" quotePrefix="0" xfId="0"/>
    <xf numFmtId="1" fontId="3" fillId="3" borderId="0" pivotButton="0" quotePrefix="0" xfId="0"/>
    <xf numFmtId="168" fontId="3" fillId="3" borderId="0" pivotButton="0" quotePrefix="0" xfId="0"/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167" fontId="2" fillId="0" borderId="0" pivotButton="0" quotePrefix="0" xfId="0"/>
    <xf numFmtId="164" fontId="3" fillId="3" borderId="0" pivotButton="0" quotePrefix="0" xfId="0"/>
    <xf numFmtId="3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剩餘本金（依事件順序）</a:t>
            </a:r>
          </a:p>
        </rich>
      </tx>
    </title>
    <plotArea>
      <lineChart>
        <grouping val="standard"/>
        <ser>
          <idx val="0"/>
          <order val="0"/>
          <tx>
            <strRef>
              <f>'資金明細'!R1</f>
            </strRef>
          </tx>
          <spPr>
            <a:ln w="1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'資金明細'!$R$2:$R$1014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事件序號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本金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5" customWidth="1" min="15" max="15"/>
    <col width="11" customWidth="1" min="16" max="16"/>
  </cols>
  <sheetData>
    <row r="1">
      <c r="A1" s="1" t="inlineStr">
        <is>
          <t>派網 USDT 交易對 動能策略回測總覽</t>
        </is>
      </c>
    </row>
    <row r="2">
      <c r="A2" s="2" t="inlineStr">
        <is>
          <t>回測區間：2026-09-01 00:00 ~ 2026-09-27 06:56（Dry Run）（台北時間）；市場：PERP；勝率 = 止盈筆數 ÷ 已平倉筆數；正報酬比例 = 報酬 &gt; 0 的筆數 ÷ 已平倉（含時間出場）</t>
        </is>
      </c>
    </row>
    <row r="4">
      <c r="A4" s="3" t="inlineStr">
        <is>
          <t>方向</t>
        </is>
      </c>
      <c r="B4" s="3" t="inlineStr">
        <is>
          <t>總筆數</t>
        </is>
      </c>
      <c r="C4" s="3" t="inlineStr">
        <is>
          <t>已平倉</t>
        </is>
      </c>
      <c r="D4" s="3" t="inlineStr">
        <is>
          <t>止盈</t>
        </is>
      </c>
      <c r="E4" s="3" t="inlineStr">
        <is>
          <t>止損</t>
        </is>
      </c>
      <c r="F4" s="3" t="inlineStr">
        <is>
          <t>時間出場</t>
        </is>
      </c>
      <c r="G4" s="3" t="inlineStr">
        <is>
          <t>未平倉</t>
        </is>
      </c>
      <c r="H4" s="3" t="inlineStr">
        <is>
          <t>勝率</t>
        </is>
      </c>
      <c r="I4" s="3" t="inlineStr">
        <is>
          <t>盈虧平衡勝率</t>
        </is>
      </c>
      <c r="J4" s="3" t="inlineStr">
        <is>
          <t>平均報酬/筆</t>
        </is>
      </c>
      <c r="K4" s="3" t="inlineStr">
        <is>
          <t>累計報酬(單利加總)</t>
        </is>
      </c>
      <c r="L4" s="3" t="inlineStr">
        <is>
          <t>平均持倉h</t>
        </is>
      </c>
      <c r="M4" s="3" t="inlineStr">
        <is>
          <t>止盈平均持倉h</t>
        </is>
      </c>
      <c r="N4" s="3" t="inlineStr">
        <is>
          <t>止損平均持倉h</t>
        </is>
      </c>
      <c r="O4" s="3" t="inlineStr">
        <is>
          <t>時間出場平均報酬</t>
        </is>
      </c>
      <c r="P4" s="3" t="inlineStr">
        <is>
          <t>正報酬比例</t>
        </is>
      </c>
    </row>
    <row r="5">
      <c r="A5" s="2" t="inlineStr">
        <is>
          <t>全部</t>
        </is>
      </c>
      <c r="B5" s="2">
        <f>COUNTIFS(交易明細!$B$2:$B$509,"&lt;&gt;")</f>
        <v/>
      </c>
      <c r="C5" s="2">
        <f>D5+E5+F5</f>
        <v/>
      </c>
      <c r="D5" s="2">
        <f>COUNTIFS(交易明細!$J$2:$J$509,"止盈")</f>
        <v/>
      </c>
      <c r="E5" s="2">
        <f>COUNTIFS(交易明細!$J$2:$J$509,"止損")</f>
        <v/>
      </c>
      <c r="F5" s="2">
        <f>COUNTIFS(交易明細!$J$2:$J$509,"時間出場")</f>
        <v/>
      </c>
      <c r="G5" s="2">
        <f>COUNTIFS(交易明細!$J$2:$J$509,"未平倉")</f>
        <v/>
      </c>
      <c r="H5" s="4">
        <f>IFERROR(D5/C5,0)</f>
        <v/>
      </c>
      <c r="I5" s="4">
        <f>IFERROR(AVERAGEIFS(交易明細!$AC$2:$AC$509,交易明細!$J$2:$J$509,"&lt;&gt;未平倉"),參數!$B$16)</f>
        <v/>
      </c>
      <c r="J5" s="4">
        <f>IFERROR(AVERAGEIFS(交易明細!$L$2:$L$509,交易明細!$J$2:$J$509,"&lt;&gt;未平倉"),0)</f>
        <v/>
      </c>
      <c r="K5" s="4">
        <f>SUMIFS(交易明細!$L$2:$L$509,交易明細!$J$2:$J$509,"&lt;&gt;未平倉")</f>
        <v/>
      </c>
      <c r="L5" s="5">
        <f>IFERROR(AVERAGEIFS(交易明細!$K$2:$K$509,交易明細!$J$2:$J$509,"&lt;&gt;未平倉"),0)</f>
        <v/>
      </c>
      <c r="M5" s="5">
        <f>IFERROR(AVERAGEIFS(交易明細!$K$2:$K$509,交易明細!$J$2:$J$509,"止盈"),0)</f>
        <v/>
      </c>
      <c r="N5" s="5">
        <f>IFERROR(AVERAGEIFS(交易明細!$K$2:$K$509,交易明細!$J$2:$J$509,"止損"),0)</f>
        <v/>
      </c>
      <c r="O5" s="4">
        <f>IFERROR(AVERAGEIFS(交易明細!$L$2:$L$509,交易明細!$J$2:$J$509,"時間出場"),0)</f>
        <v/>
      </c>
      <c r="P5" s="4">
        <f>IFERROR(COUNTIFS(交易明細!$J$2:$J$509,"&lt;&gt;未平倉",交易明細!$L$2:$L$509,"&gt;0")/C5,0)</f>
        <v/>
      </c>
    </row>
    <row r="6">
      <c r="A6" s="2" t="inlineStr">
        <is>
          <t>做多</t>
        </is>
      </c>
      <c r="B6" s="2">
        <f>COUNTIFS(交易明細!$C$2:$C$509,"做多",交易明細!$B$2:$B$509,"&lt;&gt;")</f>
        <v/>
      </c>
      <c r="C6" s="2">
        <f>D6+E6+F6</f>
        <v/>
      </c>
      <c r="D6" s="2">
        <f>COUNTIFS(交易明細!$C$2:$C$509,"做多",交易明細!$J$2:$J$509,"止盈")</f>
        <v/>
      </c>
      <c r="E6" s="2">
        <f>COUNTIFS(交易明細!$C$2:$C$509,"做多",交易明細!$J$2:$J$509,"止損")</f>
        <v/>
      </c>
      <c r="F6" s="2">
        <f>COUNTIFS(交易明細!$C$2:$C$509,"做多",交易明細!$J$2:$J$509,"時間出場")</f>
        <v/>
      </c>
      <c r="G6" s="2">
        <f>COUNTIFS(交易明細!$C$2:$C$509,"做多",交易明細!$J$2:$J$509,"未平倉")</f>
        <v/>
      </c>
      <c r="H6" s="4">
        <f>IFERROR(D6/C6,0)</f>
        <v/>
      </c>
      <c r="I6" s="4">
        <f>IFERROR(AVERAGEIFS(交易明細!$AC$2:$AC$509,交易明細!$C$2:$C$509,"做多",交易明細!$J$2:$J$509,"&lt;&gt;未平倉"),參數!$B$16)</f>
        <v/>
      </c>
      <c r="J6" s="4">
        <f>IFERROR(AVERAGEIFS(交易明細!$L$2:$L$509,交易明細!$C$2:$C$509,"做多",交易明細!$J$2:$J$509,"&lt;&gt;未平倉"),0)</f>
        <v/>
      </c>
      <c r="K6" s="4">
        <f>SUMIFS(交易明細!$L$2:$L$509,交易明細!$C$2:$C$509,"做多",交易明細!$J$2:$J$509,"&lt;&gt;未平倉")</f>
        <v/>
      </c>
      <c r="L6" s="5">
        <f>IFERROR(AVERAGEIFS(交易明細!$K$2:$K$509,交易明細!$C$2:$C$509,"做多",交易明細!$J$2:$J$509,"&lt;&gt;未平倉"),0)</f>
        <v/>
      </c>
      <c r="M6" s="5">
        <f>IFERROR(AVERAGEIFS(交易明細!$K$2:$K$509,交易明細!$C$2:$C$509,"做多",交易明細!$J$2:$J$509,"止盈"),0)</f>
        <v/>
      </c>
      <c r="N6" s="5">
        <f>IFERROR(AVERAGEIFS(交易明細!$K$2:$K$509,交易明細!$C$2:$C$509,"做多",交易明細!$J$2:$J$509,"止損"),0)</f>
        <v/>
      </c>
      <c r="O6" s="4">
        <f>IFERROR(AVERAGEIFS(交易明細!$L$2:$L$509,交易明細!$C$2:$C$509,"做多",交易明細!$J$2:$J$509,"時間出場"),0)</f>
        <v/>
      </c>
      <c r="P6" s="4">
        <f>IFERROR(COUNTIFS(交易明細!$C$2:$C$509,"做多",交易明細!$J$2:$J$509,"&lt;&gt;未平倉",交易明細!$L$2:$L$509,"&gt;0")/C6,0)</f>
        <v/>
      </c>
    </row>
    <row r="7">
      <c r="A7" s="2" t="inlineStr">
        <is>
          <t>做空</t>
        </is>
      </c>
      <c r="B7" s="2">
        <f>COUNTIFS(交易明細!$C$2:$C$509,"做空",交易明細!$B$2:$B$509,"&lt;&gt;")</f>
        <v/>
      </c>
      <c r="C7" s="2">
        <f>D7+E7+F7</f>
        <v/>
      </c>
      <c r="D7" s="2">
        <f>COUNTIFS(交易明細!$C$2:$C$509,"做空",交易明細!$J$2:$J$509,"止盈")</f>
        <v/>
      </c>
      <c r="E7" s="2">
        <f>COUNTIFS(交易明細!$C$2:$C$509,"做空",交易明細!$J$2:$J$509,"止損")</f>
        <v/>
      </c>
      <c r="F7" s="2">
        <f>COUNTIFS(交易明細!$C$2:$C$509,"做空",交易明細!$J$2:$J$509,"時間出場")</f>
        <v/>
      </c>
      <c r="G7" s="2">
        <f>COUNTIFS(交易明細!$C$2:$C$509,"做空",交易明細!$J$2:$J$509,"未平倉")</f>
        <v/>
      </c>
      <c r="H7" s="4">
        <f>IFERROR(D7/C7,0)</f>
        <v/>
      </c>
      <c r="I7" s="4">
        <f>IFERROR(AVERAGEIFS(交易明細!$AC$2:$AC$509,交易明細!$C$2:$C$509,"做空",交易明細!$J$2:$J$509,"&lt;&gt;未平倉"),參數!$B$16)</f>
        <v/>
      </c>
      <c r="J7" s="4">
        <f>IFERROR(AVERAGEIFS(交易明細!$L$2:$L$509,交易明細!$C$2:$C$509,"做空",交易明細!$J$2:$J$509,"&lt;&gt;未平倉"),0)</f>
        <v/>
      </c>
      <c r="K7" s="4">
        <f>SUMIFS(交易明細!$L$2:$L$509,交易明細!$C$2:$C$509,"做空",交易明細!$J$2:$J$509,"&lt;&gt;未平倉")</f>
        <v/>
      </c>
      <c r="L7" s="5">
        <f>IFERROR(AVERAGEIFS(交易明細!$K$2:$K$509,交易明細!$C$2:$C$509,"做空",交易明細!$J$2:$J$509,"&lt;&gt;未平倉"),0)</f>
        <v/>
      </c>
      <c r="M7" s="5">
        <f>IFERROR(AVERAGEIFS(交易明細!$K$2:$K$509,交易明細!$C$2:$C$509,"做空",交易明細!$J$2:$J$509,"止盈"),0)</f>
        <v/>
      </c>
      <c r="N7" s="5">
        <f>IFERROR(AVERAGEIFS(交易明細!$K$2:$K$509,交易明細!$C$2:$C$509,"做空",交易明細!$J$2:$J$509,"止損"),0)</f>
        <v/>
      </c>
      <c r="O7" s="4">
        <f>IFERROR(AVERAGEIFS(交易明細!$L$2:$L$509,交易明細!$C$2:$C$509,"做空",交易明細!$J$2:$J$509,"時間出場"),0)</f>
        <v/>
      </c>
      <c r="P7" s="4">
        <f>IFERROR(COUNTIFS(交易明細!$C$2:$C$509,"做空",交易明細!$J$2:$J$509,"&lt;&gt;未平倉",交易明細!$L$2:$L$509,"&gt;0")/C7,0)</f>
        <v/>
      </c>
    </row>
    <row r="9">
      <c r="A9" s="6" t="inlineStr">
        <is>
          <t>說明</t>
        </is>
      </c>
    </row>
    <row r="10">
      <c r="A10" s="2" t="inlineStr">
        <is>
          <t>・持倉時間以主K棒為精度（觸價當根收盤計）；同根雙觸發時改用更小週期K棒判定。</t>
        </is>
      </c>
    </row>
    <row r="11">
      <c r="A11" s="2" t="inlineStr">
        <is>
          <t>・止盈以止盈價成交；止損若遇開盤跳空穿越，以開盤價成交（較保守）。</t>
        </is>
      </c>
    </row>
    <row r="12">
      <c r="A12" s="2" t="inlineStr">
        <is>
          <t>・同一根1h同時碰到止盈與止損時，依參數頁設定判斷（見交易明細『判定說明』）。</t>
        </is>
      </c>
    </row>
    <row r="13">
      <c r="A13" s="2" t="inlineStr">
        <is>
          <t>・只含目前仍上架的交易對，已下架幣種不在內（存活者偏差，實際表現可能較差）。</t>
        </is>
      </c>
    </row>
    <row r="14">
      <c r="A14" s="2" t="inlineStr">
        <is>
          <t>・可在『參數』頁修改手續費，報酬率欄位會自動重算。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3" t="inlineStr">
        <is>
          <t>執行時間(台北)</t>
        </is>
      </c>
      <c r="B1" s="3" t="inlineStr">
        <is>
          <t>最新K棒(開盤時間)</t>
        </is>
      </c>
      <c r="C1" s="3" t="inlineStr">
        <is>
          <t>交易對數</t>
        </is>
      </c>
      <c r="D1" s="3" t="inlineStr">
        <is>
          <t>新開倉</t>
        </is>
      </c>
      <c r="E1" s="3" t="inlineStr">
        <is>
          <t>新平倉</t>
        </is>
      </c>
      <c r="F1" s="3" t="inlineStr">
        <is>
          <t>錯誤數</t>
        </is>
      </c>
      <c r="G1" s="3" t="inlineStr">
        <is>
          <t>耗時(秒)</t>
        </is>
      </c>
    </row>
    <row r="2">
      <c r="A2" s="7" t="n">
        <v>46292.28951247685</v>
      </c>
      <c r="B2" s="7" t="n">
        <v>46292.28819444445</v>
      </c>
      <c r="C2" s="2" t="n">
        <v>433</v>
      </c>
      <c r="D2" s="2" t="n">
        <v>0</v>
      </c>
      <c r="E2" s="2" t="n">
        <v>0</v>
      </c>
      <c r="F2" s="2" t="n">
        <v>0</v>
      </c>
      <c r="G2" s="2" t="n">
        <v>163.9</v>
      </c>
    </row>
    <row r="3">
      <c r="A3" s="7" t="n">
        <v>46292.28563091435</v>
      </c>
      <c r="B3" s="7" t="n">
        <v>46292.28472222222</v>
      </c>
      <c r="C3" s="2" t="n">
        <v>433</v>
      </c>
      <c r="D3" s="2" t="n">
        <v>2</v>
      </c>
      <c r="E3" s="2" t="n">
        <v>2</v>
      </c>
      <c r="F3" s="2" t="n">
        <v>0</v>
      </c>
      <c r="G3" s="2" t="n">
        <v>186.1</v>
      </c>
    </row>
    <row r="4">
      <c r="A4" s="7" t="n">
        <v>46292.16453692129</v>
      </c>
      <c r="B4" s="7" t="n">
        <v>46292.16319444445</v>
      </c>
      <c r="C4" s="2" t="n">
        <v>433</v>
      </c>
      <c r="D4" s="2" t="n">
        <v>0</v>
      </c>
      <c r="E4" s="2" t="n">
        <v>2</v>
      </c>
      <c r="F4" s="2" t="n">
        <v>0</v>
      </c>
      <c r="G4" s="2" t="n">
        <v>183.8</v>
      </c>
    </row>
    <row r="5">
      <c r="A5" s="7" t="n">
        <v>46292.05207142361</v>
      </c>
      <c r="B5" s="7" t="n">
        <v>46292.05069444444</v>
      </c>
      <c r="C5" s="2" t="n">
        <v>433</v>
      </c>
      <c r="D5" s="2" t="n">
        <v>4</v>
      </c>
      <c r="E5" s="2" t="n">
        <v>2</v>
      </c>
      <c r="F5" s="2" t="n">
        <v>0</v>
      </c>
      <c r="G5" s="2" t="n">
        <v>160.8</v>
      </c>
    </row>
    <row r="6">
      <c r="A6" s="7" t="n">
        <v>46291.98017201389</v>
      </c>
      <c r="B6" s="7" t="n">
        <v>46291.97916666666</v>
      </c>
      <c r="C6" s="2" t="n">
        <v>433</v>
      </c>
      <c r="D6" s="2" t="n">
        <v>2</v>
      </c>
      <c r="E6" s="2" t="n">
        <v>0</v>
      </c>
      <c r="F6" s="2" t="n">
        <v>0</v>
      </c>
      <c r="G6" s="2" t="n">
        <v>148.2</v>
      </c>
    </row>
    <row r="7">
      <c r="A7" s="7" t="n">
        <v>46291.93749069444</v>
      </c>
      <c r="B7" s="7" t="n">
        <v>46291.93611111111</v>
      </c>
      <c r="C7" s="2" t="n">
        <v>433</v>
      </c>
      <c r="D7" s="2" t="n">
        <v>0</v>
      </c>
      <c r="E7" s="2" t="n">
        <v>0</v>
      </c>
      <c r="F7" s="2" t="n">
        <v>0</v>
      </c>
      <c r="G7" s="2" t="n">
        <v>163.1</v>
      </c>
    </row>
    <row r="8">
      <c r="A8" s="7" t="n">
        <v>46291.88266193287</v>
      </c>
      <c r="B8" s="7" t="n">
        <v>46291.88194444445</v>
      </c>
      <c r="C8" s="2" t="n">
        <v>433</v>
      </c>
      <c r="D8" s="2" t="n">
        <v>0</v>
      </c>
      <c r="E8" s="2" t="n">
        <v>0</v>
      </c>
      <c r="F8" s="2" t="n">
        <v>0</v>
      </c>
      <c r="G8" s="2" t="n">
        <v>140.5</v>
      </c>
    </row>
    <row r="9">
      <c r="A9" s="7" t="n">
        <v>46291.83751681713</v>
      </c>
      <c r="B9" s="7" t="n">
        <v>46291.83680555555</v>
      </c>
      <c r="C9" s="2" t="n">
        <v>433</v>
      </c>
      <c r="D9" s="2" t="n">
        <v>0</v>
      </c>
      <c r="E9" s="2" t="n">
        <v>2</v>
      </c>
      <c r="F9" s="2" t="n">
        <v>0</v>
      </c>
      <c r="G9" s="2" t="n">
        <v>186.6</v>
      </c>
    </row>
    <row r="10">
      <c r="A10" s="7" t="n">
        <v>46291.78589450232</v>
      </c>
      <c r="B10" s="7" t="n">
        <v>46291.78472222222</v>
      </c>
      <c r="C10" s="2" t="n">
        <v>433</v>
      </c>
      <c r="D10" s="2" t="n">
        <v>5</v>
      </c>
      <c r="E10" s="2" t="n">
        <v>7</v>
      </c>
      <c r="F10" s="2" t="n">
        <v>0</v>
      </c>
      <c r="G10" s="2" t="n">
        <v>157.8</v>
      </c>
    </row>
    <row r="11">
      <c r="A11" s="7" t="n">
        <v>46291.65882908565</v>
      </c>
      <c r="B11" s="7" t="n">
        <v>46291.65763888889</v>
      </c>
      <c r="C11" s="2" t="n">
        <v>433</v>
      </c>
      <c r="D11" s="2" t="n">
        <v>0</v>
      </c>
      <c r="E11" s="2" t="n">
        <v>0</v>
      </c>
      <c r="F11" s="2" t="n">
        <v>0</v>
      </c>
      <c r="G11" s="2" t="n">
        <v>175.7</v>
      </c>
    </row>
    <row r="12">
      <c r="A12" s="7" t="n">
        <v>46291.63896155093</v>
      </c>
      <c r="B12" s="7" t="n">
        <v>46291.63819444444</v>
      </c>
      <c r="C12" s="2" t="n">
        <v>433</v>
      </c>
      <c r="D12" s="2" t="n">
        <v>0</v>
      </c>
      <c r="E12" s="2" t="n">
        <v>0</v>
      </c>
      <c r="F12" s="2" t="n">
        <v>0</v>
      </c>
      <c r="G12" s="2" t="n">
        <v>177.9</v>
      </c>
    </row>
    <row r="13">
      <c r="A13" s="7" t="n">
        <v>46291.63155474537</v>
      </c>
      <c r="B13" s="7" t="n">
        <v>46291.63055555556</v>
      </c>
      <c r="C13" s="2" t="n">
        <v>433</v>
      </c>
      <c r="D13" s="2" t="n">
        <v>1</v>
      </c>
      <c r="E13" s="2" t="n">
        <v>1</v>
      </c>
      <c r="F13" s="2" t="n">
        <v>0</v>
      </c>
      <c r="G13" s="2" t="n">
        <v>172.6</v>
      </c>
    </row>
    <row r="14">
      <c r="A14" s="7" t="n">
        <v>46291.58748165509</v>
      </c>
      <c r="B14" s="7" t="n">
        <v>46291.58611111111</v>
      </c>
      <c r="C14" s="2" t="n">
        <v>433</v>
      </c>
      <c r="D14" s="2" t="n">
        <v>2</v>
      </c>
      <c r="E14" s="2" t="n">
        <v>0</v>
      </c>
      <c r="F14" s="2" t="n">
        <v>0</v>
      </c>
      <c r="G14" s="2" t="n">
        <v>148</v>
      </c>
    </row>
    <row r="15">
      <c r="A15" s="7" t="n">
        <v>46291.52177836806</v>
      </c>
      <c r="B15" s="7" t="n">
        <v>46291.52083333334</v>
      </c>
      <c r="C15" s="2" t="n">
        <v>433</v>
      </c>
      <c r="D15" s="2" t="n">
        <v>2</v>
      </c>
      <c r="E15" s="2" t="n">
        <v>5</v>
      </c>
      <c r="F15" s="2" t="n">
        <v>0</v>
      </c>
      <c r="G15" s="2" t="n">
        <v>187.5</v>
      </c>
    </row>
    <row r="16">
      <c r="A16" s="7" t="n">
        <v>46291.40186751157</v>
      </c>
      <c r="B16" s="7" t="n">
        <v>46291.40069444444</v>
      </c>
      <c r="C16" s="2" t="n">
        <v>433</v>
      </c>
      <c r="D16" s="2" t="n">
        <v>0</v>
      </c>
      <c r="E16" s="2" t="n">
        <v>2</v>
      </c>
      <c r="F16" s="2" t="n">
        <v>0</v>
      </c>
      <c r="G16" s="2" t="n">
        <v>188.1</v>
      </c>
    </row>
    <row r="17">
      <c r="A17" s="7" t="n">
        <v>46291.36540915509</v>
      </c>
      <c r="B17" s="7" t="n">
        <v>46291.36458333334</v>
      </c>
      <c r="C17" s="2" t="n">
        <v>433</v>
      </c>
      <c r="D17" s="2" t="n">
        <v>3</v>
      </c>
      <c r="E17" s="2" t="n">
        <v>0</v>
      </c>
      <c r="F17" s="2" t="n">
        <v>0</v>
      </c>
      <c r="G17" s="2" t="n">
        <v>163.5</v>
      </c>
    </row>
    <row r="18">
      <c r="A18" s="7" t="n">
        <v>46291.26887001158</v>
      </c>
      <c r="B18" s="7" t="n">
        <v>46291.26805555556</v>
      </c>
      <c r="C18" s="2" t="n">
        <v>433</v>
      </c>
      <c r="D18" s="2" t="n">
        <v>0</v>
      </c>
      <c r="E18" s="2" t="n">
        <v>0</v>
      </c>
      <c r="F18" s="2" t="n">
        <v>0</v>
      </c>
      <c r="G18" s="2" t="n">
        <v>184.5</v>
      </c>
    </row>
    <row r="19">
      <c r="A19" s="7" t="n">
        <v>46291.2560487963</v>
      </c>
      <c r="B19" s="7" t="n">
        <v>46291.25486111111</v>
      </c>
      <c r="C19" s="2" t="n">
        <v>433</v>
      </c>
      <c r="D19" s="2" t="n">
        <v>3</v>
      </c>
      <c r="E19" s="2" t="n">
        <v>1</v>
      </c>
      <c r="F19" s="2" t="n">
        <v>0</v>
      </c>
      <c r="G19" s="2" t="n">
        <v>191.6</v>
      </c>
    </row>
    <row r="20">
      <c r="A20" s="7" t="n">
        <v>46291.11246790509</v>
      </c>
      <c r="B20" s="7" t="n">
        <v>46291.11111111111</v>
      </c>
      <c r="C20" s="2" t="n">
        <v>433</v>
      </c>
      <c r="D20" s="2" t="n">
        <v>2</v>
      </c>
      <c r="E20" s="2" t="n">
        <v>1</v>
      </c>
      <c r="F20" s="2" t="n">
        <v>0</v>
      </c>
      <c r="G20" s="2" t="n">
        <v>182.3</v>
      </c>
    </row>
    <row r="21">
      <c r="A21" s="7" t="n">
        <v>46291.02308788194</v>
      </c>
      <c r="B21" s="7" t="n">
        <v>46291.02222222222</v>
      </c>
      <c r="C21" s="2" t="n">
        <v>433</v>
      </c>
      <c r="D21" s="2" t="n">
        <v>1</v>
      </c>
      <c r="E21" s="2" t="n">
        <v>0</v>
      </c>
      <c r="F21" s="2" t="n">
        <v>0</v>
      </c>
      <c r="G21" s="2" t="n">
        <v>140.5</v>
      </c>
    </row>
    <row r="22">
      <c r="A22" s="7" t="n">
        <v>46290.9990443287</v>
      </c>
      <c r="B22" s="7" t="n">
        <v>46290.99791666667</v>
      </c>
      <c r="C22" s="2" t="n">
        <v>433</v>
      </c>
      <c r="D22" s="2" t="n">
        <v>1</v>
      </c>
      <c r="E22" s="2" t="n">
        <v>1</v>
      </c>
      <c r="F22" s="2" t="n">
        <v>0</v>
      </c>
      <c r="G22" s="2" t="n">
        <v>197.5</v>
      </c>
    </row>
    <row r="23">
      <c r="A23" s="7" t="n">
        <v>46290.91267655093</v>
      </c>
      <c r="B23" s="7" t="n">
        <v>46290.91180555556</v>
      </c>
      <c r="C23" s="2" t="n">
        <v>433</v>
      </c>
      <c r="D23" s="2" t="n">
        <v>2</v>
      </c>
      <c r="E23" s="2" t="n">
        <v>2</v>
      </c>
      <c r="F23" s="2" t="n">
        <v>0</v>
      </c>
      <c r="G23" s="2" t="n">
        <v>193.4</v>
      </c>
    </row>
    <row r="24">
      <c r="A24" s="7" t="n">
        <v>46290.82088560185</v>
      </c>
      <c r="B24" s="7" t="n">
        <v>46290.82013888889</v>
      </c>
      <c r="C24" s="2" t="n">
        <v>433</v>
      </c>
      <c r="D24" s="2" t="n">
        <v>1</v>
      </c>
      <c r="E24" s="2" t="n">
        <v>0</v>
      </c>
      <c r="F24" s="2" t="n">
        <v>0</v>
      </c>
      <c r="G24" s="2" t="n">
        <v>174.9</v>
      </c>
    </row>
    <row r="25">
      <c r="A25" s="7" t="n">
        <v>46290.76820827546</v>
      </c>
      <c r="B25" s="7" t="n">
        <v>46290.76736111111</v>
      </c>
      <c r="C25" s="2" t="n">
        <v>433</v>
      </c>
      <c r="D25" s="2" t="n">
        <v>0</v>
      </c>
      <c r="E25" s="2" t="n">
        <v>1</v>
      </c>
      <c r="F25" s="2" t="n">
        <v>0</v>
      </c>
      <c r="G25" s="2" t="n">
        <v>187</v>
      </c>
    </row>
    <row r="26">
      <c r="A26" s="7" t="n">
        <v>46290.709303125</v>
      </c>
      <c r="B26" s="7" t="n">
        <v>46290.70833333334</v>
      </c>
      <c r="C26" s="2" t="n">
        <v>433</v>
      </c>
      <c r="D26" s="2" t="n">
        <v>1</v>
      </c>
      <c r="E26" s="2" t="n">
        <v>3</v>
      </c>
      <c r="F26" s="2" t="n">
        <v>0</v>
      </c>
      <c r="G26" s="2" t="n">
        <v>187.6</v>
      </c>
    </row>
    <row r="27">
      <c r="A27" s="7" t="n">
        <v>46290.66382769676</v>
      </c>
      <c r="B27" s="7" t="n">
        <v>46290.6625</v>
      </c>
      <c r="C27" s="2" t="n">
        <v>433</v>
      </c>
      <c r="D27" s="2" t="n">
        <v>1</v>
      </c>
      <c r="E27" s="2" t="n">
        <v>0</v>
      </c>
      <c r="F27" s="2" t="n">
        <v>0</v>
      </c>
      <c r="G27" s="2" t="n">
        <v>185.1</v>
      </c>
    </row>
    <row r="28">
      <c r="A28" s="7" t="n">
        <v>46290.61757802084</v>
      </c>
      <c r="B28" s="7" t="n">
        <v>46290.61666666667</v>
      </c>
      <c r="C28" s="2" t="n">
        <v>433</v>
      </c>
      <c r="D28" s="2" t="n">
        <v>0</v>
      </c>
      <c r="E28" s="2" t="n">
        <v>2</v>
      </c>
      <c r="F28" s="2" t="n">
        <v>0</v>
      </c>
      <c r="G28" s="2" t="n">
        <v>178.9</v>
      </c>
    </row>
    <row r="29">
      <c r="A29" s="7" t="n">
        <v>46290.55632820602</v>
      </c>
      <c r="B29" s="7" t="n">
        <v>46290.55555555555</v>
      </c>
      <c r="C29" s="2" t="n">
        <v>433</v>
      </c>
      <c r="D29" s="2" t="n">
        <v>1</v>
      </c>
      <c r="E29" s="2" t="n">
        <v>0</v>
      </c>
      <c r="F29" s="2" t="n">
        <v>0</v>
      </c>
      <c r="G29" s="2" t="n">
        <v>179.4</v>
      </c>
    </row>
    <row r="30">
      <c r="A30" s="7" t="n">
        <v>46290.50409561343</v>
      </c>
      <c r="B30" s="7" t="n">
        <v>46290.50277777778</v>
      </c>
      <c r="C30" s="2" t="n">
        <v>433</v>
      </c>
      <c r="D30" s="2" t="n">
        <v>0</v>
      </c>
      <c r="E30" s="2" t="n">
        <v>1</v>
      </c>
      <c r="F30" s="2" t="n">
        <v>0</v>
      </c>
      <c r="G30" s="2" t="n">
        <v>174.5</v>
      </c>
    </row>
    <row r="31">
      <c r="A31" s="7" t="n">
        <v>46290.39966920139</v>
      </c>
      <c r="B31" s="7" t="n">
        <v>46290.39861111111</v>
      </c>
      <c r="C31" s="2" t="n">
        <v>433</v>
      </c>
      <c r="D31" s="2" t="n">
        <v>0</v>
      </c>
      <c r="E31" s="2" t="n">
        <v>0</v>
      </c>
      <c r="F31" s="2" t="n">
        <v>0</v>
      </c>
      <c r="G31" s="2" t="n">
        <v>189.8</v>
      </c>
    </row>
    <row r="32">
      <c r="A32" s="7" t="n">
        <v>46290.3483633912</v>
      </c>
      <c r="B32" s="7" t="n">
        <v>46290.34722222222</v>
      </c>
      <c r="C32" s="2" t="n">
        <v>433</v>
      </c>
      <c r="D32" s="2" t="n">
        <v>0</v>
      </c>
      <c r="E32" s="2" t="n">
        <v>1</v>
      </c>
      <c r="F32" s="2" t="n">
        <v>0</v>
      </c>
      <c r="G32" s="2" t="n">
        <v>163.4</v>
      </c>
    </row>
    <row r="33">
      <c r="A33" s="7" t="n">
        <v>46290.27195019676</v>
      </c>
      <c r="B33" s="7" t="n">
        <v>46290.27083333334</v>
      </c>
      <c r="C33" s="2" t="n">
        <v>433</v>
      </c>
      <c r="D33" s="2" t="n">
        <v>1</v>
      </c>
      <c r="E33" s="2" t="n">
        <v>1</v>
      </c>
      <c r="F33" s="2" t="n">
        <v>1</v>
      </c>
      <c r="G33" s="2" t="n">
        <v>182.9</v>
      </c>
    </row>
    <row r="34">
      <c r="A34" s="7" t="n">
        <v>46290.13587655093</v>
      </c>
      <c r="B34" s="7" t="n">
        <v>46290.13472222222</v>
      </c>
      <c r="C34" s="2" t="n">
        <v>433</v>
      </c>
      <c r="D34" s="2" t="n">
        <v>2</v>
      </c>
      <c r="E34" s="2" t="n">
        <v>6</v>
      </c>
      <c r="F34" s="2" t="n">
        <v>1</v>
      </c>
      <c r="G34" s="2" t="n">
        <v>191.6</v>
      </c>
    </row>
    <row r="35">
      <c r="A35" s="7" t="n">
        <v>46290.02908936342</v>
      </c>
      <c r="B35" s="7" t="n">
        <v>46290.02777777778</v>
      </c>
      <c r="C35" s="2" t="n">
        <v>433</v>
      </c>
      <c r="D35" s="2" t="n">
        <v>2</v>
      </c>
      <c r="E35" s="2" t="n">
        <v>0</v>
      </c>
      <c r="F35" s="2" t="n">
        <v>1</v>
      </c>
      <c r="G35" s="2" t="n">
        <v>166.2</v>
      </c>
    </row>
    <row r="36">
      <c r="A36" s="7" t="n">
        <v>46289.96715996528</v>
      </c>
      <c r="B36" s="7" t="n">
        <v>46289.96597222222</v>
      </c>
      <c r="C36" s="2" t="n">
        <v>433</v>
      </c>
      <c r="D36" s="2" t="n">
        <v>2</v>
      </c>
      <c r="E36" s="2" t="n">
        <v>8</v>
      </c>
      <c r="F36" s="2" t="n">
        <v>1</v>
      </c>
      <c r="G36" s="2" t="n">
        <v>190.1</v>
      </c>
    </row>
    <row r="37">
      <c r="A37" s="7" t="n">
        <v>46289.95004011574</v>
      </c>
      <c r="B37" s="7" t="n">
        <v>46289.94930555556</v>
      </c>
      <c r="C37" s="2" t="n">
        <v>433</v>
      </c>
      <c r="D37" s="2" t="n">
        <v>0</v>
      </c>
      <c r="E37" s="2" t="n">
        <v>0</v>
      </c>
      <c r="F37" s="2" t="n">
        <v>1</v>
      </c>
      <c r="G37" s="2" t="n">
        <v>178.4</v>
      </c>
    </row>
    <row r="38">
      <c r="A38" s="7" t="n">
        <v>46289.94135959491</v>
      </c>
      <c r="B38" s="7" t="n">
        <v>46289.94027777778</v>
      </c>
      <c r="C38" s="2" t="n">
        <v>433</v>
      </c>
      <c r="D38" s="2" t="n">
        <v>0</v>
      </c>
      <c r="E38" s="2" t="n">
        <v>0</v>
      </c>
      <c r="F38" s="2" t="n">
        <v>1</v>
      </c>
      <c r="G38" s="2" t="n">
        <v>183.8</v>
      </c>
    </row>
    <row r="39">
      <c r="A39" s="7" t="n">
        <v>46289.92565313658</v>
      </c>
      <c r="B39" s="7" t="n">
        <v>46289.92430555556</v>
      </c>
      <c r="C39" s="2" t="n">
        <v>433</v>
      </c>
      <c r="D39" s="2" t="n">
        <v>6</v>
      </c>
      <c r="E39" s="2" t="n">
        <v>3</v>
      </c>
      <c r="F39" s="2" t="n">
        <v>1</v>
      </c>
      <c r="G39" s="2" t="n">
        <v>226.2</v>
      </c>
    </row>
    <row r="40">
      <c r="A40" s="7" t="n">
        <v>46289.84896370371</v>
      </c>
      <c r="B40" s="7" t="n">
        <v>46289.84791666667</v>
      </c>
      <c r="C40" s="2" t="n">
        <v>433</v>
      </c>
      <c r="D40" s="2" t="n">
        <v>2</v>
      </c>
      <c r="E40" s="2" t="n">
        <v>2</v>
      </c>
      <c r="F40" s="2" t="n">
        <v>1</v>
      </c>
      <c r="G40" s="2" t="n">
        <v>147.5</v>
      </c>
    </row>
    <row r="41">
      <c r="A41" s="7" t="n">
        <v>46289.78526427083</v>
      </c>
      <c r="B41" s="7" t="n">
        <v>46289.78402777778</v>
      </c>
      <c r="C41" s="2" t="n">
        <v>433</v>
      </c>
      <c r="D41" s="2" t="n">
        <v>0</v>
      </c>
      <c r="E41" s="2" t="n">
        <v>0</v>
      </c>
      <c r="F41" s="2" t="n">
        <v>1</v>
      </c>
      <c r="G41" s="2" t="n">
        <v>186.8</v>
      </c>
    </row>
    <row r="42">
      <c r="A42" s="7" t="n">
        <v>46289.75543116898</v>
      </c>
      <c r="B42" s="7" t="n">
        <v>46289.75</v>
      </c>
      <c r="C42" s="2" t="n">
        <v>433</v>
      </c>
      <c r="D42" s="2" t="n">
        <v>15</v>
      </c>
      <c r="E42" s="2" t="n">
        <v>11</v>
      </c>
      <c r="F42" s="2" t="n">
        <v>1</v>
      </c>
      <c r="G42" s="2" t="n">
        <v>109.8</v>
      </c>
    </row>
    <row r="43">
      <c r="A43" s="7" t="n">
        <v>46289.54138961805</v>
      </c>
      <c r="B43" s="7" t="n">
        <v>46289.53472222222</v>
      </c>
      <c r="C43" s="2" t="n">
        <v>433</v>
      </c>
      <c r="D43" s="2" t="n">
        <v>2</v>
      </c>
      <c r="E43" s="2" t="n">
        <v>3</v>
      </c>
      <c r="F43" s="2" t="n">
        <v>1</v>
      </c>
      <c r="G43" s="2" t="n">
        <v>125.8</v>
      </c>
    </row>
    <row r="44">
      <c r="A44" s="7" t="n">
        <v>46289.32358565972</v>
      </c>
      <c r="B44" s="7" t="n">
        <v>46289.31944444445</v>
      </c>
      <c r="C44" s="2" t="n">
        <v>433</v>
      </c>
      <c r="D44" s="2" t="n">
        <v>2</v>
      </c>
      <c r="E44" s="2" t="n">
        <v>4</v>
      </c>
      <c r="F44" s="2" t="n">
        <v>1</v>
      </c>
      <c r="G44" s="2" t="n">
        <v>130.2</v>
      </c>
    </row>
    <row r="45">
      <c r="A45" s="7" t="n">
        <v>46289.18599210648</v>
      </c>
      <c r="B45" s="7" t="n">
        <v>46289.18055555555</v>
      </c>
      <c r="C45" s="2" t="n">
        <v>433</v>
      </c>
      <c r="D45" s="2" t="n">
        <v>3</v>
      </c>
      <c r="E45" s="2" t="n">
        <v>4</v>
      </c>
      <c r="F45" s="2" t="n">
        <v>1</v>
      </c>
      <c r="G45" s="2" t="n">
        <v>129.3</v>
      </c>
    </row>
    <row r="46">
      <c r="A46" s="7" t="n">
        <v>46289.04908521991</v>
      </c>
      <c r="B46" s="7" t="n">
        <v>46289.04513888889</v>
      </c>
      <c r="C46" s="2" t="n">
        <v>433</v>
      </c>
      <c r="D46" s="2" t="n">
        <v>2</v>
      </c>
      <c r="E46" s="2" t="n">
        <v>8</v>
      </c>
      <c r="F46" s="2" t="n">
        <v>1</v>
      </c>
      <c r="G46" s="2" t="n">
        <v>96.90000000000001</v>
      </c>
    </row>
    <row r="47">
      <c r="A47" s="7" t="n">
        <v>46289.00944646991</v>
      </c>
      <c r="B47" s="7" t="n">
        <v>46289.00347222222</v>
      </c>
      <c r="C47" s="2" t="n">
        <v>433</v>
      </c>
      <c r="D47" s="2" t="n">
        <v>26</v>
      </c>
      <c r="E47" s="2" t="n">
        <v>15</v>
      </c>
      <c r="F47" s="2" t="n">
        <v>1</v>
      </c>
      <c r="G47" s="2" t="n">
        <v>127</v>
      </c>
    </row>
    <row r="48">
      <c r="A48" s="7" t="n">
        <v>46288.82408041666</v>
      </c>
      <c r="B48" s="7" t="n">
        <v>46288.81944444445</v>
      </c>
      <c r="C48" s="2" t="n">
        <v>433</v>
      </c>
      <c r="D48" s="2" t="n">
        <v>1</v>
      </c>
      <c r="E48" s="2" t="n">
        <v>2</v>
      </c>
      <c r="F48" s="2" t="n">
        <v>2</v>
      </c>
      <c r="G48" s="2" t="n">
        <v>118.2</v>
      </c>
    </row>
    <row r="49">
      <c r="A49" s="7" t="n">
        <v>46288.75275025463</v>
      </c>
      <c r="B49" s="7" t="n">
        <v>46288.74652777778</v>
      </c>
      <c r="C49" s="2" t="n">
        <v>433</v>
      </c>
      <c r="D49" s="2" t="n">
        <v>4</v>
      </c>
      <c r="E49" s="2" t="n">
        <v>3</v>
      </c>
      <c r="F49" s="2" t="n">
        <v>2</v>
      </c>
      <c r="G49" s="2" t="n">
        <v>125.5</v>
      </c>
    </row>
    <row r="50">
      <c r="A50" s="7" t="n">
        <v>46288.58577883102</v>
      </c>
      <c r="B50" s="7" t="n">
        <v>46288.57986111111</v>
      </c>
      <c r="C50" s="2" t="n">
        <v>433</v>
      </c>
      <c r="D50" s="2" t="n">
        <v>0</v>
      </c>
      <c r="E50" s="2" t="n">
        <v>0</v>
      </c>
      <c r="F50" s="2" t="n">
        <v>2</v>
      </c>
      <c r="G50" s="2" t="n">
        <v>112.8</v>
      </c>
    </row>
    <row r="51">
      <c r="A51" s="7" t="n">
        <v>46288.57218969907</v>
      </c>
      <c r="B51" s="7" t="n">
        <v>46288.56597222222</v>
      </c>
      <c r="C51" s="2" t="n">
        <v>433</v>
      </c>
      <c r="D51" s="2" t="n">
        <v>4</v>
      </c>
      <c r="E51" s="2" t="n">
        <v>5</v>
      </c>
      <c r="F51" s="2" t="n">
        <v>2</v>
      </c>
      <c r="G51" s="2" t="n">
        <v>99.7</v>
      </c>
    </row>
    <row r="52">
      <c r="A52" s="7" t="n">
        <v>46288.36332482639</v>
      </c>
      <c r="B52" s="7" t="n">
        <v>46288.35763888889</v>
      </c>
      <c r="C52" s="2" t="n">
        <v>441</v>
      </c>
      <c r="D52" s="2" t="n">
        <v>2</v>
      </c>
      <c r="E52" s="2" t="n">
        <v>4</v>
      </c>
      <c r="F52" s="2" t="n">
        <v>2</v>
      </c>
      <c r="G52" s="2" t="n">
        <v>94.40000000000001</v>
      </c>
    </row>
    <row r="53">
      <c r="A53" s="7" t="n">
        <v>46288.26120461806</v>
      </c>
      <c r="B53" s="7" t="n">
        <v>46288.25694444445</v>
      </c>
      <c r="C53" s="2" t="n">
        <v>441</v>
      </c>
      <c r="D53" s="2" t="n">
        <v>0</v>
      </c>
      <c r="E53" s="2" t="n">
        <v>3</v>
      </c>
      <c r="F53" s="2" t="n">
        <v>2</v>
      </c>
      <c r="G53" s="2" t="n">
        <v>103.1</v>
      </c>
    </row>
    <row r="54">
      <c r="A54" s="7" t="n">
        <v>46288.12397528935</v>
      </c>
      <c r="B54" s="7" t="n">
        <v>46288.11805555555</v>
      </c>
      <c r="C54" s="2" t="n">
        <v>441</v>
      </c>
      <c r="D54" s="2" t="n">
        <v>7</v>
      </c>
      <c r="E54" s="2" t="n">
        <v>1</v>
      </c>
      <c r="F54" s="2" t="n">
        <v>2</v>
      </c>
      <c r="G54" s="2" t="n">
        <v>114.4</v>
      </c>
    </row>
    <row r="55">
      <c r="A55" s="7" t="n">
        <v>46287.95840076389</v>
      </c>
      <c r="B55" s="7" t="n">
        <v>46287.95486111111</v>
      </c>
      <c r="C55" s="2" t="n">
        <v>441</v>
      </c>
      <c r="D55" s="2" t="n">
        <v>6</v>
      </c>
      <c r="E55" s="2" t="n">
        <v>5</v>
      </c>
      <c r="F55" s="2" t="n">
        <v>2</v>
      </c>
      <c r="G55" s="2" t="n">
        <v>135.1</v>
      </c>
    </row>
    <row r="56">
      <c r="A56" s="7" t="n">
        <v>46287.75277884259</v>
      </c>
      <c r="B56" s="7" t="n">
        <v>46287.74652777778</v>
      </c>
      <c r="C56" s="2" t="n">
        <v>440</v>
      </c>
      <c r="D56" s="2" t="n">
        <v>1</v>
      </c>
      <c r="E56" s="2" t="n">
        <v>3</v>
      </c>
      <c r="F56" s="2" t="n">
        <v>0</v>
      </c>
      <c r="G56" s="2" t="n">
        <v>130.3</v>
      </c>
    </row>
    <row r="57">
      <c r="A57" s="7" t="n">
        <v>46287.6758560301</v>
      </c>
      <c r="B57" s="7" t="n">
        <v>46287.67013888889</v>
      </c>
      <c r="C57" s="2" t="n">
        <v>440</v>
      </c>
      <c r="D57" s="2" t="n">
        <v>4</v>
      </c>
      <c r="E57" s="2" t="n">
        <v>3</v>
      </c>
      <c r="F57" s="2" t="n">
        <v>0</v>
      </c>
      <c r="G57" s="2" t="n">
        <v>91.7</v>
      </c>
    </row>
    <row r="58">
      <c r="A58" s="7" t="n">
        <v>46287.54602564815</v>
      </c>
      <c r="B58" s="7" t="n">
        <v>46287.54166666666</v>
      </c>
      <c r="C58" s="2" t="n">
        <v>440</v>
      </c>
      <c r="D58" s="2" t="n">
        <v>1</v>
      </c>
      <c r="E58" s="2" t="n">
        <v>3</v>
      </c>
      <c r="F58" s="2" t="n">
        <v>0</v>
      </c>
      <c r="G58" s="2" t="n">
        <v>125.4</v>
      </c>
    </row>
    <row r="59">
      <c r="A59" s="7" t="n">
        <v>46287.51247143518</v>
      </c>
      <c r="B59" s="7" t="n">
        <v>46287.50694444445</v>
      </c>
      <c r="C59" s="2" t="n">
        <v>440</v>
      </c>
      <c r="D59" s="2" t="n">
        <v>7</v>
      </c>
      <c r="E59" s="2" t="n">
        <v>8</v>
      </c>
      <c r="F59" s="2" t="n">
        <v>0</v>
      </c>
      <c r="G59" s="2" t="n">
        <v>102.8</v>
      </c>
    </row>
    <row r="60">
      <c r="A60" s="7" t="n">
        <v>46287.30635083334</v>
      </c>
      <c r="B60" s="7" t="n">
        <v>46287.30208333334</v>
      </c>
      <c r="C60" s="2" t="n">
        <v>440</v>
      </c>
      <c r="D60" s="2" t="n">
        <v>9</v>
      </c>
      <c r="E60" s="2" t="n">
        <v>5</v>
      </c>
      <c r="F60" s="2" t="n">
        <v>0</v>
      </c>
      <c r="G60" s="2" t="n">
        <v>135.9</v>
      </c>
    </row>
    <row r="61">
      <c r="A61" s="7" t="n">
        <v>46287.14961865741</v>
      </c>
      <c r="B61" s="7" t="n">
        <v>46287.14583333334</v>
      </c>
      <c r="C61" s="2" t="n">
        <v>440</v>
      </c>
      <c r="D61" s="2" t="n">
        <v>6</v>
      </c>
      <c r="E61" s="2" t="n">
        <v>5</v>
      </c>
      <c r="F61" s="2" t="n">
        <v>0</v>
      </c>
      <c r="G61" s="2" t="n">
        <v>130.5</v>
      </c>
    </row>
    <row r="62">
      <c r="A62" s="7" t="n">
        <v>46286.92852005787</v>
      </c>
      <c r="B62" s="7" t="n">
        <v>46286.92361111111</v>
      </c>
      <c r="C62" s="2" t="n">
        <v>440</v>
      </c>
      <c r="D62" s="2" t="n">
        <v>2</v>
      </c>
      <c r="E62" s="2" t="n">
        <v>3</v>
      </c>
      <c r="F62" s="2" t="n">
        <v>0</v>
      </c>
      <c r="G62" s="2" t="n">
        <v>112.2</v>
      </c>
    </row>
    <row r="63">
      <c r="A63" s="7" t="n">
        <v>46286.83222814815</v>
      </c>
      <c r="B63" s="7" t="n">
        <v>46286.82638888889</v>
      </c>
      <c r="C63" s="2" t="n">
        <v>440</v>
      </c>
      <c r="D63" s="2" t="n">
        <v>5</v>
      </c>
      <c r="E63" s="2" t="n">
        <v>7</v>
      </c>
      <c r="F63" s="2" t="n">
        <v>0</v>
      </c>
      <c r="G63" s="2" t="n">
        <v>126.4</v>
      </c>
    </row>
    <row r="64">
      <c r="A64" s="7" t="n">
        <v>46286.60261268519</v>
      </c>
      <c r="B64" s="7" t="n">
        <v>46286.59722222222</v>
      </c>
      <c r="C64" s="2" t="n">
        <v>440</v>
      </c>
      <c r="D64" s="2" t="n">
        <v>8</v>
      </c>
      <c r="E64" s="2" t="n">
        <v>5</v>
      </c>
      <c r="F64" s="2" t="n">
        <v>0</v>
      </c>
      <c r="G64" s="2" t="n">
        <v>111.5</v>
      </c>
    </row>
    <row r="65">
      <c r="A65" s="7" t="n">
        <v>46286.38294268519</v>
      </c>
      <c r="B65" s="7" t="n">
        <v>46286.37847222222</v>
      </c>
      <c r="C65" s="2" t="n">
        <v>440</v>
      </c>
      <c r="D65" s="2" t="n">
        <v>3</v>
      </c>
      <c r="E65" s="2" t="n">
        <v>6</v>
      </c>
      <c r="F65" s="2" t="n">
        <v>0</v>
      </c>
      <c r="G65" s="2" t="n">
        <v>102.4</v>
      </c>
    </row>
    <row r="66">
      <c r="A66" s="7" t="n">
        <v>46286.27148542824</v>
      </c>
      <c r="B66" s="7" t="n">
        <v>46286.26736111111</v>
      </c>
      <c r="C66" s="2" t="n">
        <v>440</v>
      </c>
      <c r="D66" s="2" t="n">
        <v>2</v>
      </c>
      <c r="E66" s="2" t="n">
        <v>2</v>
      </c>
      <c r="F66" s="2" t="n">
        <v>0</v>
      </c>
      <c r="G66" s="2" t="n">
        <v>126.7</v>
      </c>
    </row>
    <row r="67">
      <c r="A67" s="7" t="n">
        <v>46286.14641391204</v>
      </c>
      <c r="B67" s="7" t="n">
        <v>46286.14236111111</v>
      </c>
      <c r="C67" s="2" t="n">
        <v>440</v>
      </c>
      <c r="D67" s="2" t="n">
        <v>4</v>
      </c>
      <c r="E67" s="2" t="n">
        <v>4</v>
      </c>
      <c r="F67" s="2" t="n">
        <v>0</v>
      </c>
      <c r="G67" s="2" t="n">
        <v>131.3</v>
      </c>
    </row>
    <row r="68">
      <c r="A68" s="7" t="n">
        <v>46286.03573545139</v>
      </c>
      <c r="B68" s="7" t="n">
        <v>46286.03125</v>
      </c>
      <c r="C68" s="2" t="n">
        <v>440</v>
      </c>
      <c r="D68" s="2" t="n">
        <v>0</v>
      </c>
      <c r="E68" s="2" t="n">
        <v>0</v>
      </c>
      <c r="F68" s="2" t="n">
        <v>0</v>
      </c>
      <c r="G68" s="2" t="n">
        <v>127.3</v>
      </c>
    </row>
    <row r="69">
      <c r="A69" s="7" t="n">
        <v>46286.00283136574</v>
      </c>
      <c r="B69" s="7" t="n">
        <v>46285.99652777778</v>
      </c>
      <c r="C69" s="2" t="n">
        <v>440</v>
      </c>
      <c r="D69" s="2" t="n">
        <v>5</v>
      </c>
      <c r="E69" s="2" t="n">
        <v>5</v>
      </c>
      <c r="F69" s="2" t="n">
        <v>0</v>
      </c>
      <c r="G69" s="2" t="n">
        <v>101.9</v>
      </c>
    </row>
    <row r="70">
      <c r="A70" s="7" t="n">
        <v>46285.85245594908</v>
      </c>
      <c r="B70" s="7" t="n">
        <v>46285.84722222222</v>
      </c>
      <c r="C70" s="2" t="n">
        <v>440</v>
      </c>
      <c r="D70" s="2" t="n">
        <v>7</v>
      </c>
      <c r="E70" s="2" t="n">
        <v>6</v>
      </c>
      <c r="F70" s="2" t="n">
        <v>0</v>
      </c>
      <c r="G70" s="2" t="n">
        <v>100.6</v>
      </c>
    </row>
    <row r="71">
      <c r="A71" s="7" t="n">
        <v>46285.60105145833</v>
      </c>
      <c r="B71" s="7" t="n">
        <v>46285.59722222222</v>
      </c>
      <c r="C71" s="2" t="n">
        <v>440</v>
      </c>
      <c r="D71" s="2" t="n">
        <v>9</v>
      </c>
      <c r="E71" s="2" t="n">
        <v>5</v>
      </c>
      <c r="F71" s="2" t="n">
        <v>0</v>
      </c>
      <c r="G71" s="2" t="n">
        <v>129.1</v>
      </c>
    </row>
    <row r="72">
      <c r="A72" s="7" t="n">
        <v>46285.38559789352</v>
      </c>
      <c r="B72" s="7" t="n">
        <v>46285.38194444445</v>
      </c>
      <c r="C72" s="2" t="n">
        <v>440</v>
      </c>
      <c r="D72" s="2" t="n">
        <v>1</v>
      </c>
      <c r="E72" s="2" t="n">
        <v>1</v>
      </c>
      <c r="F72" s="2" t="n">
        <v>0</v>
      </c>
      <c r="G72" s="2" t="n">
        <v>112.5</v>
      </c>
    </row>
    <row r="73">
      <c r="A73" s="7" t="n">
        <v>46285.29994834491</v>
      </c>
      <c r="B73" s="7" t="n">
        <v>46285.29513888889</v>
      </c>
      <c r="C73" s="2" t="n">
        <v>440</v>
      </c>
      <c r="D73" s="2" t="n">
        <v>1</v>
      </c>
      <c r="E73" s="2" t="n">
        <v>3</v>
      </c>
      <c r="F73" s="2" t="n">
        <v>0</v>
      </c>
      <c r="G73" s="2" t="n">
        <v>128.1</v>
      </c>
    </row>
    <row r="74">
      <c r="A74" s="7" t="n">
        <v>46285.19964518519</v>
      </c>
      <c r="B74" s="7" t="n">
        <v>46285.19444444445</v>
      </c>
      <c r="C74" s="2" t="n">
        <v>440</v>
      </c>
      <c r="D74" s="2" t="n">
        <v>2</v>
      </c>
      <c r="E74" s="2" t="n">
        <v>3</v>
      </c>
      <c r="F74" s="2" t="n">
        <v>0</v>
      </c>
      <c r="G74" s="2" t="n">
        <v>110.6</v>
      </c>
    </row>
    <row r="75">
      <c r="A75" s="7" t="n">
        <v>46285.08704527777</v>
      </c>
      <c r="B75" s="7" t="n">
        <v>46285.08333333334</v>
      </c>
      <c r="C75" s="2" t="n">
        <v>440</v>
      </c>
      <c r="D75" s="2" t="n">
        <v>3</v>
      </c>
      <c r="E75" s="2" t="n">
        <v>3</v>
      </c>
      <c r="F75" s="2" t="n">
        <v>0</v>
      </c>
      <c r="G75" s="2" t="n">
        <v>95.09999999999999</v>
      </c>
    </row>
    <row r="76">
      <c r="A76" s="7" t="n">
        <v>46284.93748335648</v>
      </c>
      <c r="B76" s="7" t="n">
        <v>46284.93055555555</v>
      </c>
      <c r="C76" s="2" t="n">
        <v>440</v>
      </c>
      <c r="D76" s="2" t="n">
        <v>2</v>
      </c>
      <c r="E76" s="2" t="n">
        <v>2</v>
      </c>
      <c r="F76" s="2" t="n">
        <v>0</v>
      </c>
      <c r="G76" s="2" t="n">
        <v>128.7</v>
      </c>
    </row>
    <row r="77">
      <c r="A77" s="7" t="n">
        <v>46284.79727659722</v>
      </c>
      <c r="B77" s="7" t="n">
        <v>46284.79166666666</v>
      </c>
      <c r="C77" s="2" t="n">
        <v>440</v>
      </c>
      <c r="D77" s="2" t="n">
        <v>4</v>
      </c>
      <c r="E77" s="2" t="n">
        <v>5</v>
      </c>
      <c r="F77" s="2" t="n">
        <v>0</v>
      </c>
      <c r="G77" s="2" t="n">
        <v>109.7</v>
      </c>
    </row>
    <row r="78">
      <c r="A78" s="7" t="n">
        <v>46284.58365538195</v>
      </c>
      <c r="B78" s="7" t="n">
        <v>46284.57986111111</v>
      </c>
      <c r="C78" s="2" t="n">
        <v>440</v>
      </c>
      <c r="D78" s="2" t="n">
        <v>5</v>
      </c>
      <c r="E78" s="2" t="n">
        <v>4</v>
      </c>
      <c r="F78" s="2" t="n">
        <v>0</v>
      </c>
      <c r="G78" s="2" t="n">
        <v>101.8</v>
      </c>
    </row>
    <row r="79">
      <c r="A79" s="7" t="n">
        <v>46284.38530752315</v>
      </c>
      <c r="B79" s="7" t="n">
        <v>46284.37847222222</v>
      </c>
      <c r="C79" s="2" t="n">
        <v>440</v>
      </c>
      <c r="D79" s="2" t="n">
        <v>2</v>
      </c>
      <c r="E79" s="2" t="n">
        <v>4</v>
      </c>
      <c r="F79" s="2" t="n">
        <v>0</v>
      </c>
      <c r="G79" s="2" t="n">
        <v>130.8</v>
      </c>
    </row>
    <row r="80">
      <c r="A80" s="7" t="n">
        <v>46284.27664920139</v>
      </c>
      <c r="B80" s="7" t="n">
        <v>46284.27083333334</v>
      </c>
      <c r="C80" s="2" t="n">
        <v>440</v>
      </c>
      <c r="D80" s="2" t="n">
        <v>4</v>
      </c>
      <c r="E80" s="2" t="n">
        <v>1</v>
      </c>
      <c r="F80" s="2" t="n">
        <v>0</v>
      </c>
      <c r="G80" s="2" t="n">
        <v>127.8</v>
      </c>
    </row>
    <row r="81">
      <c r="A81" s="7" t="n">
        <v>46284.15392047453</v>
      </c>
      <c r="B81" s="7" t="n">
        <v>46284.14930555555</v>
      </c>
      <c r="C81" s="2" t="n">
        <v>440</v>
      </c>
      <c r="D81" s="2" t="n">
        <v>3</v>
      </c>
      <c r="E81" s="2" t="n">
        <v>2</v>
      </c>
      <c r="F81" s="2" t="n">
        <v>0</v>
      </c>
      <c r="G81" s="2" t="n">
        <v>135.6</v>
      </c>
    </row>
    <row r="82">
      <c r="A82" s="7" t="n">
        <v>46284.02123533565</v>
      </c>
      <c r="B82" s="7" t="n">
        <v>46284.01736111111</v>
      </c>
      <c r="C82" s="2" t="n">
        <v>440</v>
      </c>
      <c r="D82" s="2" t="n">
        <v>2</v>
      </c>
      <c r="E82" s="2" t="n">
        <v>1</v>
      </c>
      <c r="F82" s="2" t="n">
        <v>0</v>
      </c>
      <c r="G82" s="2" t="n">
        <v>102.8</v>
      </c>
    </row>
    <row r="83">
      <c r="A83" s="7" t="n">
        <v>46283.99753837963</v>
      </c>
      <c r="B83" s="7" t="n">
        <v>46283.99305555555</v>
      </c>
      <c r="C83" s="2" t="n">
        <v>440</v>
      </c>
      <c r="D83" s="2" t="n">
        <v>1</v>
      </c>
      <c r="E83" s="2" t="n">
        <v>3</v>
      </c>
      <c r="F83" s="2" t="n">
        <v>0</v>
      </c>
      <c r="G83" s="2" t="n">
        <v>129.8</v>
      </c>
    </row>
    <row r="84">
      <c r="A84" s="7" t="n">
        <v>46283.80859936342</v>
      </c>
      <c r="B84" s="7" t="n">
        <v>46283.80208333334</v>
      </c>
      <c r="C84" s="2" t="n">
        <v>440</v>
      </c>
      <c r="D84" s="2" t="n">
        <v>0</v>
      </c>
      <c r="E84" s="2" t="n">
        <v>1</v>
      </c>
      <c r="F84" s="2" t="n">
        <v>0</v>
      </c>
      <c r="G84" s="2" t="n">
        <v>127.7</v>
      </c>
    </row>
    <row r="85">
      <c r="A85" s="7" t="n">
        <v>46283.78916202546</v>
      </c>
      <c r="B85" s="7" t="n">
        <v>46283.78472222222</v>
      </c>
      <c r="C85" s="2" t="n">
        <v>440</v>
      </c>
      <c r="D85" s="2" t="n">
        <v>4</v>
      </c>
      <c r="E85" s="2" t="n">
        <v>3</v>
      </c>
      <c r="F85" s="2" t="n">
        <v>0</v>
      </c>
      <c r="G85" s="2" t="n">
        <v>119.1</v>
      </c>
    </row>
    <row r="86">
      <c r="A86" s="7" t="n">
        <v>46283.58323265046</v>
      </c>
      <c r="B86" s="7" t="n">
        <v>46283.57638888889</v>
      </c>
      <c r="C86" s="2" t="n">
        <v>440</v>
      </c>
      <c r="D86" s="2" t="n">
        <v>0</v>
      </c>
      <c r="E86" s="2" t="n">
        <v>0</v>
      </c>
      <c r="F86" s="2" t="n">
        <v>0</v>
      </c>
      <c r="G86" s="2" t="n">
        <v>126.7</v>
      </c>
    </row>
    <row r="87">
      <c r="A87" s="7" t="n">
        <v>46283.57323743056</v>
      </c>
      <c r="B87" s="7" t="n">
        <v>46283.56944444445</v>
      </c>
      <c r="C87" s="2" t="n">
        <v>440</v>
      </c>
      <c r="D87" s="2" t="n">
        <v>4</v>
      </c>
      <c r="E87" s="2" t="n">
        <v>6</v>
      </c>
      <c r="F87" s="2" t="n">
        <v>0</v>
      </c>
      <c r="G87" s="2" t="n">
        <v>94.3</v>
      </c>
    </row>
    <row r="88">
      <c r="A88" s="7" t="n">
        <v>46283.45181144676</v>
      </c>
      <c r="B88" s="7" t="n">
        <v>46283.44791666666</v>
      </c>
      <c r="C88" s="2" t="n">
        <v>440</v>
      </c>
      <c r="D88" s="2" t="n">
        <v>0</v>
      </c>
      <c r="E88" s="2" t="n">
        <v>0</v>
      </c>
      <c r="F88" s="2" t="n">
        <v>0</v>
      </c>
      <c r="G88" s="2" t="n">
        <v>132.3</v>
      </c>
    </row>
    <row r="89">
      <c r="A89" s="7" t="n">
        <v>46283.44134394676</v>
      </c>
      <c r="B89" s="7" t="n">
        <v>46283.4375</v>
      </c>
      <c r="C89" s="2" t="n">
        <v>440</v>
      </c>
      <c r="D89" s="2" t="n">
        <v>4</v>
      </c>
      <c r="E89" s="2" t="n">
        <v>2</v>
      </c>
      <c r="F89" s="2" t="n">
        <v>0</v>
      </c>
      <c r="G89" s="2" t="n">
        <v>373.5</v>
      </c>
    </row>
    <row r="90">
      <c r="A90" s="7" t="n">
        <v>46283.35273409722</v>
      </c>
      <c r="B90" s="7" t="n">
        <v>46283.34722222222</v>
      </c>
      <c r="C90" s="2" t="n">
        <v>440</v>
      </c>
      <c r="D90" s="2" t="n">
        <v>2</v>
      </c>
      <c r="E90" s="2" t="n">
        <v>1</v>
      </c>
      <c r="F90" s="2" t="n">
        <v>0</v>
      </c>
      <c r="G90" s="2" t="n">
        <v>132.3</v>
      </c>
    </row>
    <row r="91">
      <c r="A91" s="7" t="n">
        <v>46283.26014016203</v>
      </c>
      <c r="B91" s="7" t="n">
        <v>46283.25347222222</v>
      </c>
      <c r="C91" s="2" t="n">
        <v>440</v>
      </c>
      <c r="D91" s="2" t="n">
        <v>2</v>
      </c>
      <c r="E91" s="2" t="n">
        <v>0</v>
      </c>
      <c r="F91" s="2" t="n">
        <v>0</v>
      </c>
      <c r="G91" s="2" t="n">
        <v>129.5</v>
      </c>
    </row>
    <row r="92">
      <c r="A92" s="7" t="n">
        <v>46283.09637409722</v>
      </c>
      <c r="B92" s="7" t="n">
        <v>46283.09027777778</v>
      </c>
      <c r="C92" s="2" t="n">
        <v>440</v>
      </c>
      <c r="D92" s="2" t="n">
        <v>6</v>
      </c>
      <c r="E92" s="2" t="n">
        <v>8</v>
      </c>
      <c r="F92" s="2" t="n">
        <v>0</v>
      </c>
      <c r="G92" s="2" t="n">
        <v>131.2</v>
      </c>
    </row>
    <row r="93">
      <c r="A93" s="7" t="n">
        <v>46282.89824439815</v>
      </c>
      <c r="B93" s="7" t="n">
        <v>46282.89236111111</v>
      </c>
      <c r="C93" s="2" t="n">
        <v>440</v>
      </c>
      <c r="D93" s="2" t="n">
        <v>3</v>
      </c>
      <c r="E93" s="2" t="n">
        <v>1</v>
      </c>
      <c r="F93" s="2" t="n">
        <v>0</v>
      </c>
      <c r="G93" s="2" t="n">
        <v>137</v>
      </c>
    </row>
    <row r="94">
      <c r="A94" s="7" t="n">
        <v>46282.65711792824</v>
      </c>
      <c r="B94" s="7" t="n">
        <v>46282.65277777778</v>
      </c>
      <c r="C94" s="2" t="n">
        <v>440</v>
      </c>
      <c r="D94" s="2" t="n">
        <v>2</v>
      </c>
      <c r="E94" s="2" t="n">
        <v>2</v>
      </c>
      <c r="F94" s="2" t="n">
        <v>0</v>
      </c>
      <c r="G94" s="2" t="n">
        <v>126.6</v>
      </c>
    </row>
    <row r="95">
      <c r="A95" s="7" t="n">
        <v>46282.40350203704</v>
      </c>
      <c r="B95" s="7" t="n">
        <v>46282.39930555555</v>
      </c>
      <c r="C95" s="2" t="n">
        <v>440</v>
      </c>
      <c r="D95" s="2" t="n">
        <v>0</v>
      </c>
      <c r="E95" s="2" t="n">
        <v>0</v>
      </c>
      <c r="F95" s="2" t="n">
        <v>0</v>
      </c>
      <c r="G95" s="2" t="n">
        <v>323.7</v>
      </c>
    </row>
    <row r="96">
      <c r="A96" s="7" t="n">
        <v>46282.39577758102</v>
      </c>
      <c r="B96" s="7" t="n">
        <v>46282.33333333334</v>
      </c>
      <c r="C96" s="2" t="n">
        <v>440</v>
      </c>
      <c r="D96" s="2" t="n">
        <v>0</v>
      </c>
      <c r="E96" s="2" t="n">
        <v>6</v>
      </c>
      <c r="F96" s="2" t="n">
        <v>0</v>
      </c>
      <c r="G96" s="2" t="n">
        <v>50.5</v>
      </c>
    </row>
    <row r="97">
      <c r="A97" s="7" t="n">
        <v>46282.29222982639</v>
      </c>
      <c r="B97" s="7" t="n">
        <v>46282.25</v>
      </c>
      <c r="C97" s="2" t="n">
        <v>440</v>
      </c>
      <c r="D97" s="2" t="n">
        <v>2</v>
      </c>
      <c r="E97" s="2" t="n">
        <v>1</v>
      </c>
      <c r="F97" s="2" t="n">
        <v>0</v>
      </c>
      <c r="G97" s="2" t="n">
        <v>66.2</v>
      </c>
    </row>
    <row r="98">
      <c r="A98" s="7" t="n">
        <v>46282.17576607639</v>
      </c>
      <c r="B98" s="7" t="n">
        <v>46282.125</v>
      </c>
      <c r="C98" s="2" t="n">
        <v>440</v>
      </c>
      <c r="D98" s="2" t="n">
        <v>6</v>
      </c>
      <c r="E98" s="2" t="n">
        <v>1</v>
      </c>
      <c r="F98" s="2" t="n">
        <v>0</v>
      </c>
      <c r="G98" s="2" t="n">
        <v>67</v>
      </c>
    </row>
    <row r="99">
      <c r="A99" s="7" t="n">
        <v>46282.04552453704</v>
      </c>
      <c r="B99" s="7" t="n">
        <v>46282</v>
      </c>
      <c r="C99" s="2" t="n">
        <v>440</v>
      </c>
      <c r="D99" s="2" t="n">
        <v>2</v>
      </c>
      <c r="E99" s="2" t="n">
        <v>4</v>
      </c>
      <c r="F99" s="2" t="n">
        <v>0</v>
      </c>
      <c r="G99" s="2" t="n">
        <v>52.9</v>
      </c>
    </row>
    <row r="100">
      <c r="A100" s="7" t="n">
        <v>46281.82298537037</v>
      </c>
      <c r="B100" s="7" t="n">
        <v>46281.75</v>
      </c>
      <c r="C100" s="2" t="n">
        <v>440</v>
      </c>
      <c r="D100" s="2" t="n">
        <v>2</v>
      </c>
      <c r="E100" s="2" t="n">
        <v>4</v>
      </c>
      <c r="F100" s="2" t="n">
        <v>0</v>
      </c>
      <c r="G100" s="2" t="n">
        <v>65.7</v>
      </c>
    </row>
    <row r="101">
      <c r="A101" s="7" t="n">
        <v>46281.58829054398</v>
      </c>
      <c r="B101" s="7" t="n">
        <v>46281.54166666666</v>
      </c>
      <c r="C101" s="2" t="n">
        <v>440</v>
      </c>
      <c r="D101" s="2" t="n">
        <v>7</v>
      </c>
      <c r="E101" s="2" t="n">
        <v>3</v>
      </c>
      <c r="F101" s="2" t="n">
        <v>0</v>
      </c>
      <c r="G101" s="2" t="n">
        <v>54.5</v>
      </c>
    </row>
    <row r="102">
      <c r="A102" s="7" t="n">
        <v>46281.35205523148</v>
      </c>
      <c r="B102" s="7" t="n">
        <v>46281.29166666666</v>
      </c>
      <c r="C102" s="2" t="n">
        <v>442</v>
      </c>
      <c r="D102" s="2" t="n">
        <v>0</v>
      </c>
      <c r="E102" s="2" t="n">
        <v>0</v>
      </c>
      <c r="F102" s="2" t="n">
        <v>0</v>
      </c>
      <c r="G102" s="2" t="n">
        <v>66.90000000000001</v>
      </c>
    </row>
    <row r="103">
      <c r="A103" s="7" t="n">
        <v>46281.22963460648</v>
      </c>
      <c r="B103" s="7" t="n">
        <v>46281.16666666666</v>
      </c>
      <c r="C103" s="2" t="n">
        <v>442</v>
      </c>
      <c r="D103" s="2" t="n">
        <v>3</v>
      </c>
      <c r="E103" s="2" t="n">
        <v>2</v>
      </c>
      <c r="F103" s="2" t="n">
        <v>0</v>
      </c>
      <c r="G103" s="2" t="n">
        <v>61.9</v>
      </c>
    </row>
    <row r="104">
      <c r="A104" s="7" t="n">
        <v>46281.094529375</v>
      </c>
      <c r="B104" s="7" t="n">
        <v>46281.04166666666</v>
      </c>
      <c r="C104" s="2" t="n">
        <v>442</v>
      </c>
      <c r="D104" s="2" t="n">
        <v>6</v>
      </c>
      <c r="E104" s="2" t="n">
        <v>6</v>
      </c>
      <c r="F104" s="2" t="n">
        <v>0</v>
      </c>
      <c r="G104" s="2" t="n">
        <v>46.5</v>
      </c>
    </row>
    <row r="105">
      <c r="A105" s="7" t="n">
        <v>46280.9017994676</v>
      </c>
      <c r="B105" s="7" t="n">
        <v>46280.83333333334</v>
      </c>
      <c r="C105" s="2" t="n">
        <v>442</v>
      </c>
      <c r="D105" s="2" t="n">
        <v>2</v>
      </c>
      <c r="E105" s="2" t="n">
        <v>4</v>
      </c>
      <c r="F105" s="2" t="n">
        <v>0</v>
      </c>
      <c r="G105" s="2" t="n">
        <v>56.7</v>
      </c>
    </row>
    <row r="106">
      <c r="A106" s="7" t="n">
        <v>46280.66002480324</v>
      </c>
      <c r="B106" s="7" t="n">
        <v>46280.58333333334</v>
      </c>
      <c r="C106" s="2" t="n">
        <v>442</v>
      </c>
      <c r="D106" s="2" t="n">
        <v>2</v>
      </c>
      <c r="E106" s="2" t="n">
        <v>3</v>
      </c>
      <c r="F106" s="2" t="n">
        <v>0</v>
      </c>
      <c r="G106" s="2" t="n">
        <v>67.40000000000001</v>
      </c>
    </row>
    <row r="107">
      <c r="A107" s="7" t="n">
        <v>46280.4778358449</v>
      </c>
      <c r="B107" s="7" t="n">
        <v>46280.41666666666</v>
      </c>
      <c r="C107" s="2" t="n">
        <v>442</v>
      </c>
      <c r="D107" s="2" t="n">
        <v>1</v>
      </c>
      <c r="E107" s="2" t="n">
        <v>0</v>
      </c>
      <c r="F107" s="2" t="n">
        <v>0</v>
      </c>
      <c r="G107" s="2" t="n">
        <v>61.2</v>
      </c>
    </row>
    <row r="108">
      <c r="A108" s="7" t="n">
        <v>46280.39795681713</v>
      </c>
      <c r="B108" s="7" t="n">
        <v>46280.33333333334</v>
      </c>
      <c r="C108" s="2" t="n">
        <v>442</v>
      </c>
      <c r="D108" s="2" t="n">
        <v>0</v>
      </c>
      <c r="E108" s="2" t="n">
        <v>1</v>
      </c>
      <c r="F108" s="2" t="n">
        <v>0</v>
      </c>
      <c r="G108" s="2" t="n">
        <v>66.90000000000001</v>
      </c>
    </row>
    <row r="109">
      <c r="A109" s="7" t="n">
        <v>46280.29983445602</v>
      </c>
      <c r="B109" s="7" t="n">
        <v>46280.25</v>
      </c>
      <c r="C109" s="2" t="n">
        <v>442</v>
      </c>
      <c r="D109" s="2" t="n">
        <v>1</v>
      </c>
      <c r="E109" s="2" t="n">
        <v>1</v>
      </c>
      <c r="F109" s="2" t="n">
        <v>0</v>
      </c>
      <c r="G109" s="2" t="n">
        <v>51.6</v>
      </c>
    </row>
    <row r="110">
      <c r="A110" s="7" t="n">
        <v>46280.14350143519</v>
      </c>
      <c r="B110" s="7" t="n">
        <v>46280.08333333334</v>
      </c>
      <c r="C110" s="2" t="n">
        <v>442</v>
      </c>
      <c r="D110" s="2" t="n">
        <v>3</v>
      </c>
      <c r="E110" s="2" t="n">
        <v>1</v>
      </c>
      <c r="F110" s="2" t="n">
        <v>0</v>
      </c>
      <c r="G110" s="2" t="n">
        <v>57.3</v>
      </c>
    </row>
    <row r="111">
      <c r="A111" s="7" t="n">
        <v>46279.92418226852</v>
      </c>
      <c r="B111" s="7" t="n">
        <v>46279.875</v>
      </c>
      <c r="C111" s="2" t="n">
        <v>442</v>
      </c>
      <c r="D111" s="2" t="n">
        <v>6</v>
      </c>
      <c r="E111" s="2" t="n">
        <v>7</v>
      </c>
      <c r="F111" s="2" t="n">
        <v>0</v>
      </c>
      <c r="G111" s="2" t="n">
        <v>48.1</v>
      </c>
    </row>
    <row r="112">
      <c r="A112" s="7" t="n">
        <v>46279.59996445602</v>
      </c>
      <c r="B112" s="7" t="n">
        <v>46279.54166666666</v>
      </c>
      <c r="C112" s="2" t="n">
        <v>442</v>
      </c>
      <c r="D112" s="2" t="n">
        <v>2</v>
      </c>
      <c r="E112" s="2" t="n">
        <v>3</v>
      </c>
      <c r="F112" s="2" t="n">
        <v>0</v>
      </c>
      <c r="G112" s="2" t="n">
        <v>61</v>
      </c>
    </row>
    <row r="113">
      <c r="A113" s="7" t="n">
        <v>46279.38316741898</v>
      </c>
      <c r="B113" s="7" t="n">
        <v>46279.33333333334</v>
      </c>
      <c r="C113" s="2" t="n">
        <v>442</v>
      </c>
      <c r="D113" s="2" t="n">
        <v>2</v>
      </c>
      <c r="E113" s="2" t="n">
        <v>2</v>
      </c>
      <c r="F113" s="2" t="n">
        <v>0</v>
      </c>
      <c r="G113" s="2" t="n">
        <v>59.9</v>
      </c>
    </row>
    <row r="114">
      <c r="A114" s="7" t="n">
        <v>46279.26932584491</v>
      </c>
      <c r="B114" s="7" t="n">
        <v>46279.20833333334</v>
      </c>
      <c r="C114" s="2" t="n">
        <v>442</v>
      </c>
      <c r="D114" s="2" t="n">
        <v>0</v>
      </c>
      <c r="E114" s="2" t="n">
        <v>0</v>
      </c>
      <c r="F114" s="2" t="n">
        <v>0</v>
      </c>
      <c r="G114" s="2" t="n">
        <v>61.1</v>
      </c>
    </row>
    <row r="115">
      <c r="A115" s="7" t="n">
        <v>46279.14665413195</v>
      </c>
      <c r="B115" s="7" t="n">
        <v>46279.08333333334</v>
      </c>
      <c r="C115" s="2" t="n">
        <v>442</v>
      </c>
      <c r="D115" s="2" t="n">
        <v>1</v>
      </c>
      <c r="E115" s="2" t="n">
        <v>0</v>
      </c>
      <c r="F115" s="2" t="n">
        <v>0</v>
      </c>
      <c r="G115" s="2" t="n">
        <v>55.1</v>
      </c>
    </row>
    <row r="116">
      <c r="A116" s="7" t="n">
        <v>46279.01733591435</v>
      </c>
      <c r="B116" s="7" t="n">
        <v>46278.95833333334</v>
      </c>
      <c r="C116" s="2" t="n">
        <v>442</v>
      </c>
      <c r="D116" s="2" t="n">
        <v>2</v>
      </c>
      <c r="E116" s="2" t="n">
        <v>4</v>
      </c>
      <c r="F116" s="2" t="n">
        <v>0</v>
      </c>
      <c r="G116" s="2" t="n">
        <v>59.7</v>
      </c>
    </row>
    <row r="117">
      <c r="A117" s="7" t="n">
        <v>46278.83725055555</v>
      </c>
      <c r="B117" s="7" t="n">
        <v>46278.79166666666</v>
      </c>
      <c r="C117" s="2" t="n">
        <v>442</v>
      </c>
      <c r="D117" s="2" t="n">
        <v>0</v>
      </c>
      <c r="E117" s="2" t="n">
        <v>3</v>
      </c>
      <c r="F117" s="2" t="n">
        <v>0</v>
      </c>
      <c r="G117" s="2" t="n">
        <v>65.40000000000001</v>
      </c>
    </row>
    <row r="118">
      <c r="A118" s="7" t="n">
        <v>46278.71111972223</v>
      </c>
      <c r="B118" s="7" t="n">
        <v>46278.66666666666</v>
      </c>
      <c r="C118" s="2" t="n">
        <v>442</v>
      </c>
      <c r="D118" s="2" t="n">
        <v>3</v>
      </c>
      <c r="E118" s="2" t="n">
        <v>1</v>
      </c>
      <c r="F118" s="2" t="n">
        <v>0</v>
      </c>
      <c r="G118" s="2" t="n">
        <v>63.6</v>
      </c>
    </row>
    <row r="119">
      <c r="A119" s="7" t="n">
        <v>46278.68053923611</v>
      </c>
      <c r="B119" s="7" t="n">
        <v>46278.625</v>
      </c>
      <c r="C119" s="2" t="n">
        <v>442</v>
      </c>
      <c r="D119" s="2" t="n">
        <v>9</v>
      </c>
      <c r="E119" s="2" t="n">
        <v>10</v>
      </c>
      <c r="F119" s="2" t="n">
        <v>0</v>
      </c>
      <c r="G119" s="2" t="n">
        <v>63.6</v>
      </c>
    </row>
    <row r="120">
      <c r="A120" s="7" t="n">
        <v>46278.07354997685</v>
      </c>
      <c r="B120" s="7" t="n">
        <v>46278</v>
      </c>
      <c r="C120" s="2" t="n">
        <v>442</v>
      </c>
      <c r="D120" s="2" t="n">
        <v>3</v>
      </c>
      <c r="E120" s="2" t="n">
        <v>1</v>
      </c>
      <c r="F120" s="2" t="n">
        <v>0</v>
      </c>
      <c r="G120" s="2" t="n">
        <v>50.2</v>
      </c>
    </row>
    <row r="121">
      <c r="A121" s="7" t="n">
        <v>46277.94390239583</v>
      </c>
      <c r="B121" s="7" t="n">
        <v>46277.875</v>
      </c>
      <c r="C121" s="2" t="n">
        <v>442</v>
      </c>
      <c r="D121" s="2" t="n">
        <v>190</v>
      </c>
      <c r="E121" s="2" t="n">
        <v>186</v>
      </c>
      <c r="F121" s="2" t="n">
        <v>0</v>
      </c>
      <c r="G121" s="2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10" customWidth="1" min="19" max="19"/>
  </cols>
  <sheetData>
    <row r="1">
      <c r="A1" s="8" t="inlineStr">
        <is>
          <t>ATR 區間監控（資料來自觀察組：ATR ≥ 2%，其他條件與主策略相同）</t>
        </is>
      </c>
    </row>
    <row r="2">
      <c r="A2" s="9" t="inlineStr">
        <is>
          <t>近 1 個月最佳區間：8% 以上（每筆 +0.96%）</t>
        </is>
      </c>
    </row>
    <row r="3">
      <c r="A3" s="2" t="inlineStr">
        <is>
          <t>若最佳區間連續數個月不再是 4–5%，代表市場結構可能改變，需要重新檢查策略。</t>
        </is>
      </c>
    </row>
    <row r="5">
      <c r="A5" s="3" t="inlineStr">
        <is>
          <t>月份</t>
        </is>
      </c>
      <c r="B5" s="3" t="inlineStr">
        <is>
          <t>2%–3% 筆數</t>
        </is>
      </c>
      <c r="C5" s="3" t="inlineStr">
        <is>
          <t>2%–3% 勝率</t>
        </is>
      </c>
      <c r="D5" s="3" t="inlineStr">
        <is>
          <t>2%–3% 每筆報酬</t>
        </is>
      </c>
      <c r="E5" s="3" t="inlineStr">
        <is>
          <t>3%–4% 筆數</t>
        </is>
      </c>
      <c r="F5" s="3" t="inlineStr">
        <is>
          <t>3%–4% 勝率</t>
        </is>
      </c>
      <c r="G5" s="3" t="inlineStr">
        <is>
          <t>3%–4% 每筆報酬</t>
        </is>
      </c>
      <c r="H5" s="3" t="inlineStr">
        <is>
          <t>4%–5% 筆數</t>
        </is>
      </c>
      <c r="I5" s="3" t="inlineStr">
        <is>
          <t>4%–5% 勝率</t>
        </is>
      </c>
      <c r="J5" s="3" t="inlineStr">
        <is>
          <t>4%–5% 每筆報酬</t>
        </is>
      </c>
      <c r="K5" s="3" t="inlineStr">
        <is>
          <t>5%–6% 筆數</t>
        </is>
      </c>
      <c r="L5" s="3" t="inlineStr">
        <is>
          <t>5%–6% 勝率</t>
        </is>
      </c>
      <c r="M5" s="3" t="inlineStr">
        <is>
          <t>5%–6% 每筆報酬</t>
        </is>
      </c>
      <c r="N5" s="3" t="inlineStr">
        <is>
          <t>6%–8% 筆數</t>
        </is>
      </c>
      <c r="O5" s="3" t="inlineStr">
        <is>
          <t>6%–8% 勝率</t>
        </is>
      </c>
      <c r="P5" s="3" t="inlineStr">
        <is>
          <t>6%–8% 每筆報酬</t>
        </is>
      </c>
      <c r="Q5" s="3" t="inlineStr">
        <is>
          <t>8% 以上 筆數</t>
        </is>
      </c>
      <c r="R5" s="3" t="inlineStr">
        <is>
          <t>8% 以上 勝率</t>
        </is>
      </c>
      <c r="S5" s="3" t="inlineStr">
        <is>
          <t>8% 以上 每筆報酬</t>
        </is>
      </c>
    </row>
    <row r="6">
      <c r="A6" s="2" t="inlineStr">
        <is>
          <t>2026-09</t>
        </is>
      </c>
      <c r="B6" s="2" t="n">
        <v>189</v>
      </c>
      <c r="C6" s="10" t="n">
        <v>0.5767195767195767</v>
      </c>
      <c r="D6" s="4" t="n">
        <v>-0.004862433862433868</v>
      </c>
      <c r="E6" s="2" t="n">
        <v>92</v>
      </c>
      <c r="F6" s="10" t="n">
        <v>0.6304347826086957</v>
      </c>
      <c r="G6" s="4" t="n">
        <v>-0.0005652173913043544</v>
      </c>
      <c r="H6" s="2" t="n">
        <v>63</v>
      </c>
      <c r="I6" s="10" t="n">
        <v>0.6190476190476191</v>
      </c>
      <c r="J6" s="4" t="n">
        <v>-0.001476190476190481</v>
      </c>
      <c r="K6" s="2" t="n">
        <v>53</v>
      </c>
      <c r="L6" s="10" t="n">
        <v>0.6226415094339622</v>
      </c>
      <c r="M6" s="4" t="n">
        <v>-0.00118867924528302</v>
      </c>
      <c r="N6" s="2" t="n">
        <v>74</v>
      </c>
      <c r="O6" s="10" t="n">
        <v>0.6216216216216216</v>
      </c>
      <c r="P6" s="4" t="n">
        <v>-0.001270270270270271</v>
      </c>
      <c r="Q6" s="2" t="n">
        <v>33</v>
      </c>
      <c r="R6" s="10" t="n">
        <v>0.7575757575757576</v>
      </c>
      <c r="S6" s="4" t="n">
        <v>0.009606060606060611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24" customWidth="1" min="4" max="4"/>
    <col width="16" customWidth="1" min="5" max="5"/>
  </cols>
  <sheetData>
    <row r="1">
      <c r="A1" s="1" t="inlineStr">
        <is>
          <t>資金模擬：依訊號時間順序下單</t>
        </is>
      </c>
    </row>
    <row r="2">
      <c r="A2" s="2" t="inlineStr">
        <is>
          <t>藍字黃底的參數可直接修改，整份模擬會自動重算</t>
        </is>
      </c>
    </row>
    <row r="3">
      <c r="A3" s="11" t="inlineStr">
        <is>
          <t>參數</t>
        </is>
      </c>
      <c r="D3" s="11" t="inlineStr">
        <is>
          <t>績效摘要</t>
        </is>
      </c>
    </row>
    <row r="4">
      <c r="A4" s="2" t="inlineStr">
        <is>
          <t>初始本金</t>
        </is>
      </c>
      <c r="B4" s="12" t="n">
        <v>100</v>
      </c>
      <c r="D4" s="2" t="inlineStr">
        <is>
          <t>最終本金（已實現）</t>
        </is>
      </c>
      <c r="E4" s="13">
        <f>資金明細!R1014</f>
        <v/>
      </c>
    </row>
    <row r="5">
      <c r="A5" s="2" t="inlineStr">
        <is>
          <t>下單比例</t>
        </is>
      </c>
      <c r="B5" s="14" t="n">
        <v>0.02</v>
      </c>
      <c r="D5" s="2" t="inlineStr">
        <is>
          <t>總報酬率</t>
        </is>
      </c>
      <c r="E5" s="4">
        <f>E4/B4-1</f>
        <v/>
      </c>
    </row>
    <row r="6">
      <c r="A6" s="2" t="inlineStr">
        <is>
          <t>本金更新級距</t>
        </is>
      </c>
      <c r="B6" s="15" t="n">
        <v>50</v>
      </c>
      <c r="D6" s="2" t="inlineStr">
        <is>
          <t>最高本金</t>
        </is>
      </c>
      <c r="E6" s="13">
        <f>MAX(資金明細!$R$2:$R$1014)</f>
        <v/>
      </c>
    </row>
    <row r="7">
      <c r="A7" s="2" t="inlineStr">
        <is>
          <t>槓桿倍數</t>
        </is>
      </c>
      <c r="B7" s="16" t="n">
        <v>50</v>
      </c>
      <c r="D7" s="2" t="inlineStr">
        <is>
          <t>最低本金</t>
        </is>
      </c>
      <c r="E7" s="13">
        <f>MIN(資金明細!$R$2:$R$1014)</f>
        <v/>
      </c>
    </row>
    <row r="8">
      <c r="A8" s="2" t="inlineStr">
        <is>
          <t>單邊手續費</t>
        </is>
      </c>
      <c r="B8" s="17">
        <f>參數!B7</f>
        <v/>
      </c>
      <c r="D8" s="2" t="inlineStr">
        <is>
          <t>最大回撤</t>
        </is>
      </c>
      <c r="E8" s="4">
        <f>MIN(資金明細!$X$2:$X$1014)</f>
        <v/>
      </c>
    </row>
    <row r="9">
      <c r="A9" s="2" t="inlineStr">
        <is>
          <t>下單基準模式</t>
        </is>
      </c>
      <c r="B9" s="15" t="n">
        <v>2</v>
      </c>
      <c r="D9" s="2" t="inlineStr">
        <is>
          <t>已下單筆數</t>
        </is>
      </c>
      <c r="E9" s="18">
        <f>COUNTIFS(資金明細!$C$2:$C$1014,"進場",資金明細!$N$2:$N$1014,"已下單")</f>
        <v/>
      </c>
    </row>
    <row r="10">
      <c r="A10" s="2" t="inlineStr">
        <is>
          <t>停止交易門檻</t>
        </is>
      </c>
      <c r="B10" s="12" t="n">
        <v>0</v>
      </c>
      <c r="D10" s="2" t="inlineStr">
        <is>
          <t>資金不足略過</t>
        </is>
      </c>
      <c r="E10" s="18">
        <f>COUNTIFS(資金明細!$C$2:$C$1014,"進場",資金明細!$N$2:$N$1014,"資金不足略過")</f>
        <v/>
      </c>
    </row>
    <row r="11">
      <c r="D11" s="2" t="inlineStr">
        <is>
          <t>止盈筆數</t>
        </is>
      </c>
      <c r="E11" s="18">
        <f>COUNTIFS(資金明細!$C$2:$C$1014,"出場",資金明細!$N$2:$N$1014,"已下單",資金明細!$K$2:$K$1014,"止盈")</f>
        <v/>
      </c>
    </row>
    <row r="12">
      <c r="A12" s="2" t="inlineStr">
        <is>
          <t>每筆止損約虧本金</t>
        </is>
      </c>
      <c r="B12" s="4">
        <f>B5*B7*IFERROR(AVERAGE(交易明細!$AB$2:$AB$509),參數!B6)</f>
        <v/>
      </c>
      <c r="D12" s="2" t="inlineStr">
        <is>
          <t>止損筆數</t>
        </is>
      </c>
      <c r="E12" s="18">
        <f>COUNTIFS(資金明細!$C$2:$C$1014,"出場",資金明細!$N$2:$N$1014,"已下單",資金明細!$K$2:$K$1014,"止損")</f>
        <v/>
      </c>
    </row>
    <row r="13">
      <c r="A13" s="2" t="inlineStr">
        <is>
          <t>（以全倉、本金=基準本金計；模式1在本金回落時實際比例會更高）</t>
        </is>
      </c>
      <c r="D13" s="2" t="inlineStr">
        <is>
          <t>勝率</t>
        </is>
      </c>
      <c r="E13" s="4">
        <f>IFERROR(E11/COUNTIFS(資金明細!$C$2:$C$1014,"出場",資金明細!$N$2:$N$1014,"已下單"),0)</f>
        <v/>
      </c>
    </row>
    <row r="14">
      <c r="A14" s="2" t="inlineStr">
        <is>
          <t>下單基準模式：1=不回滾（原規則） 2=即時本金</t>
        </is>
      </c>
      <c r="D14" s="2" t="inlineStr">
        <is>
          <t>最大同時持倉</t>
        </is>
      </c>
      <c r="E14" s="18">
        <f>MAX(資金明細!$U$2:$U$1014)</f>
        <v/>
      </c>
    </row>
    <row r="15">
      <c r="A15" s="2" t="inlineStr">
        <is>
          <t>停止交易門檻：本金 ≤ 此值即停止開新倉</t>
        </is>
      </c>
      <c r="D15" s="2" t="inlineStr">
        <is>
          <t>最大占用保證金</t>
        </is>
      </c>
      <c r="E15" s="19">
        <f>MAX(資金明細!$S$2:$S$1014)</f>
        <v/>
      </c>
    </row>
    <row r="16">
      <c r="D16" s="2" t="inlineStr">
        <is>
          <t>期末下單金額</t>
        </is>
      </c>
      <c r="E16" s="19">
        <f>B5*資金明細!V1014</f>
        <v/>
      </c>
    </row>
    <row r="17">
      <c r="D17" s="2" t="inlineStr">
        <is>
          <t>未平倉浮動損益（未計入）</t>
        </is>
      </c>
      <c r="E17" s="13">
        <f>IF(資金明細!N1005="已下單",資金明細!O1005*交易明細!L504,0)+IF(資金明細!N1006="已下單",資金明細!O1006*交易明細!L505,0)+IF(資金明細!N1013="已下單",資金明細!O1013*交易明細!L508,0)+IF(資金明細!N1014="已下單",資金明細!O1014*交易明細!L509,0)</f>
        <v/>
      </c>
    </row>
    <row r="18">
      <c r="D18" s="2" t="inlineStr">
        <is>
          <t>最大總曝險倍數</t>
        </is>
      </c>
      <c r="E18" s="19">
        <f>MAX(資金明細!$Y$2:$Y$1014)</f>
        <v/>
      </c>
    </row>
    <row r="19">
      <c r="D19" s="2" t="inlineStr">
        <is>
          <t>當時全部止損約虧本金</t>
        </is>
      </c>
      <c r="E19" s="4">
        <f>E18*參數!B6</f>
        <v/>
      </c>
    </row>
    <row r="20">
      <c r="D20" s="2" t="inlineStr">
        <is>
          <t>停止交易時間</t>
        </is>
      </c>
      <c r="E20" s="7">
        <f>IFERROR(INDEX(資金明細!$B$2:$B$1014,MATCH(1,資金明細!$Z$2:$Z$1014,0)),"未觸發")</f>
        <v/>
      </c>
    </row>
    <row r="21">
      <c r="D21" s="2" t="inlineStr">
        <is>
          <t>停止後略過筆數</t>
        </is>
      </c>
      <c r="E21" s="18">
        <f>COUNTIFS(資金明細!$C$2:$C$1014,"進場",資金明細!$N$2:$N$1014,"已停止")</f>
        <v/>
      </c>
    </row>
    <row r="23">
      <c r="A23" s="6" t="inlineStr">
        <is>
          <t>規則說明</t>
        </is>
      </c>
    </row>
    <row r="24">
      <c r="A24" s="2" t="inlineStr">
        <is>
          <t>・下單金額 = 下單基準本金 × 下單比例。模式1：基準本金 = 本金曾達到的最高『級距倍數』（不回滾）；模式2：基準本金 = 當下本金。</t>
        </is>
      </c>
    </row>
    <row r="25">
      <c r="A25" s="2" t="inlineStr">
        <is>
          <t>・本金 ≤ 停止交易門檻後不再開新倉（已持有的單照常結算），避免模擬出現本金歸零後又『復活』的情況。</t>
        </is>
      </c>
    </row>
    <row r="26">
      <c r="A26" s="2" t="inlineStr">
        <is>
          <t>・剩餘本金 = 已實現本金（只在出場時結算）；可用資金 = 剩餘本金 − 占用保證金，不足下單金額時略過該訊號。</t>
        </is>
      </c>
    </row>
    <row r="27">
      <c r="A27" s="2" t="inlineStr">
        <is>
          <t>・同一時間點先處理出場再處理進場；報酬率已含進出場手續費。</t>
        </is>
      </c>
    </row>
    <row r="28">
      <c r="A28" s="2" t="inlineStr">
        <is>
          <t>・以全倉模式計算：總曝險倍數 = 所有持倉部位合計 ÷ 本金；未模擬持倉中的浮動虧損與維持保證金。</t>
        </is>
      </c>
    </row>
    <row r="29">
      <c r="A29" s="2" t="inlineStr">
        <is>
          <t>・回測結束仍持倉的交易不計入最終本金，浮動損益另列。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7" customWidth="1" min="3" max="3"/>
    <col width="8" customWidth="1" min="4" max="4"/>
    <col width="18" customWidth="1" min="5" max="5"/>
    <col width="7" customWidth="1" min="6" max="6"/>
    <col width="12" customWidth="1" min="7" max="7"/>
    <col width="12" customWidth="1" min="8" max="8"/>
    <col width="12" customWidth="1" min="9" max="9"/>
    <col width="12" customWidth="1" min="10" max="10"/>
    <col width="7" customWidth="1" min="11" max="11"/>
    <col width="9" customWidth="1" min="12" max="12"/>
    <col width="9" customWidth="1" min="13" max="13"/>
    <col width="12" customWidth="1" min="14" max="14"/>
    <col width="9" customWidth="1" min="15" max="15"/>
    <col width="11" customWidth="1" min="16" max="16"/>
    <col width="10" customWidth="1" min="17" max="17"/>
    <col width="11" customWidth="1" min="18" max="18"/>
    <col width="10" customWidth="1" min="19" max="19"/>
    <col width="10" customWidth="1" min="20" max="20"/>
    <col width="7" customWidth="1" min="21" max="21"/>
    <col width="11" customWidth="1" min="22" max="22"/>
    <col width="11" customWidth="1" min="23" max="23"/>
    <col width="9" customWidth="1" min="24" max="24"/>
    <col width="11" customWidth="1" min="25" max="25"/>
    <col width="8" customWidth="1" min="26" max="26"/>
  </cols>
  <sheetData>
    <row r="1">
      <c r="A1" s="3" t="inlineStr">
        <is>
          <t>序號</t>
        </is>
      </c>
      <c r="B1" s="3" t="inlineStr">
        <is>
          <t>時間</t>
        </is>
      </c>
      <c r="C1" s="3" t="inlineStr">
        <is>
          <t>種類</t>
        </is>
      </c>
      <c r="D1" s="3" t="inlineStr">
        <is>
          <t>交易編號</t>
        </is>
      </c>
      <c r="E1" s="3" t="inlineStr">
        <is>
          <t>交易對</t>
        </is>
      </c>
      <c r="F1" s="3" t="inlineStr">
        <is>
          <t>方向</t>
        </is>
      </c>
      <c r="G1" s="3" t="inlineStr">
        <is>
          <t>開倉價</t>
        </is>
      </c>
      <c r="H1" s="3" t="inlineStr">
        <is>
          <t>止盈價</t>
        </is>
      </c>
      <c r="I1" s="3" t="inlineStr">
        <is>
          <t>止損價</t>
        </is>
      </c>
      <c r="J1" s="3" t="inlineStr">
        <is>
          <t>出場價</t>
        </is>
      </c>
      <c r="K1" s="3" t="inlineStr">
        <is>
          <t>結果</t>
        </is>
      </c>
      <c r="L1" s="3" t="inlineStr">
        <is>
          <t>持倉小時</t>
        </is>
      </c>
      <c r="M1" s="3" t="inlineStr">
        <is>
          <t>下單金額</t>
        </is>
      </c>
      <c r="N1" s="3" t="inlineStr">
        <is>
          <t>狀態</t>
        </is>
      </c>
      <c r="O1" s="3" t="inlineStr">
        <is>
          <t>部位大小</t>
        </is>
      </c>
      <c r="P1" s="3" t="inlineStr">
        <is>
          <t>報酬率(含費)</t>
        </is>
      </c>
      <c r="Q1" s="3" t="inlineStr">
        <is>
          <t>損益</t>
        </is>
      </c>
      <c r="R1" s="3" t="inlineStr">
        <is>
          <t>剩餘本金</t>
        </is>
      </c>
      <c r="S1" s="3" t="inlineStr">
        <is>
          <t>占用保證金</t>
        </is>
      </c>
      <c r="T1" s="3" t="inlineStr">
        <is>
          <t>可用資金</t>
        </is>
      </c>
      <c r="U1" s="3" t="inlineStr">
        <is>
          <t>持倉數</t>
        </is>
      </c>
      <c r="V1" s="3" t="inlineStr">
        <is>
          <t>下單基準本金</t>
        </is>
      </c>
      <c r="W1" s="3" t="inlineStr">
        <is>
          <t>最高本金</t>
        </is>
      </c>
      <c r="X1" s="3" t="inlineStr">
        <is>
          <t>回撤</t>
        </is>
      </c>
      <c r="Y1" s="3" t="inlineStr">
        <is>
          <t>總曝險倍數</t>
        </is>
      </c>
      <c r="Z1" s="3" t="inlineStr">
        <is>
          <t>已停止</t>
        </is>
      </c>
    </row>
    <row r="2">
      <c r="A2" s="2" t="n">
        <v>0</v>
      </c>
      <c r="B2" s="7" t="n"/>
      <c r="C2" s="2" t="inlineStr">
        <is>
          <t>起始</t>
        </is>
      </c>
      <c r="D2" s="2" t="n"/>
      <c r="E2" s="2" t="n"/>
      <c r="F2" s="2" t="n"/>
      <c r="G2" s="20" t="n"/>
      <c r="H2" s="20" t="n"/>
      <c r="I2" s="20" t="n"/>
      <c r="J2" s="20" t="n"/>
      <c r="K2" s="2" t="n"/>
      <c r="L2" s="5" t="n"/>
      <c r="M2" s="19" t="n"/>
      <c r="N2" s="2" t="n"/>
      <c r="O2" s="19" t="n"/>
      <c r="P2" s="4" t="n"/>
      <c r="Q2" s="13" t="n">
        <v>0</v>
      </c>
      <c r="R2" s="13">
        <f>資金模擬!$B$4</f>
        <v/>
      </c>
      <c r="S2" s="19" t="n">
        <v>0</v>
      </c>
      <c r="T2" s="19">
        <f>R2-S2</f>
        <v/>
      </c>
      <c r="U2" s="2" t="n">
        <v>0</v>
      </c>
      <c r="V2" s="19">
        <f>資金模擬!$B$4</f>
        <v/>
      </c>
      <c r="W2" s="13">
        <f>R2</f>
        <v/>
      </c>
      <c r="X2" s="4" t="n">
        <v>0</v>
      </c>
      <c r="Y2" s="19" t="n">
        <v>0</v>
      </c>
      <c r="Z2" s="2" t="n">
        <v>0</v>
      </c>
    </row>
    <row r="3">
      <c r="A3" s="2" t="n">
        <v>1</v>
      </c>
      <c r="B3" s="7" t="n">
        <v>46266.04166666666</v>
      </c>
      <c r="C3" s="2" t="inlineStr">
        <is>
          <t>進場</t>
        </is>
      </c>
      <c r="D3" s="2" t="n">
        <v>1</v>
      </c>
      <c r="E3" s="2" t="inlineStr">
        <is>
          <t>HEMI_USDT_PERP</t>
        </is>
      </c>
      <c r="F3" s="2" t="inlineStr">
        <is>
          <t>做多</t>
        </is>
      </c>
      <c r="G3" s="20" t="n">
        <v>0.01515</v>
      </c>
      <c r="H3" s="20" t="n">
        <v>0.0156045</v>
      </c>
      <c r="I3" s="20" t="n">
        <v>0.0143925</v>
      </c>
      <c r="J3" s="20" t="n"/>
      <c r="K3" s="2" t="n"/>
      <c r="L3" s="5" t="n"/>
      <c r="M3" s="19">
        <f>資金模擬!$B$5*V2</f>
        <v/>
      </c>
      <c r="N3" s="2">
        <f>IF(Z2=1,"已停止",IF(T2&gt;=M3,"已下單","資金不足略過"))</f>
        <v/>
      </c>
      <c r="O3" s="19">
        <f>IF(N3="已下單",M3*資金模擬!$B$7,0)</f>
        <v/>
      </c>
      <c r="P3" s="4" t="n"/>
      <c r="Q3" s="13" t="n">
        <v>0</v>
      </c>
      <c r="R3" s="13">
        <f>R2+Q3</f>
        <v/>
      </c>
      <c r="S3" s="19">
        <f>S2+IF(N3="已下單",M3,0)</f>
        <v/>
      </c>
      <c r="T3" s="19">
        <f>R3-S3</f>
        <v/>
      </c>
      <c r="U3" s="2">
        <f>U2+IF(N3="已下單",1,0)</f>
        <v/>
      </c>
      <c r="V3" s="19">
        <f>IF(資金模擬!$B$9=2,MAX(R3,0),MAX(V2,FLOOR(MAX(R3,0),資金模擬!$B$6)))</f>
        <v/>
      </c>
      <c r="W3" s="13">
        <f>MAX(W2,R3)</f>
        <v/>
      </c>
      <c r="X3" s="4">
        <f>IF(W3&gt;0,R3/W3-1,-1)</f>
        <v/>
      </c>
      <c r="Y3" s="19">
        <f>IF(R3&gt;0,S3*資金模擬!$B$7/R3,0)</f>
        <v/>
      </c>
      <c r="Z3" s="2">
        <f>IF(OR(Z2=1,R3&lt;=資金模擬!$B$10),1,0)</f>
        <v/>
      </c>
    </row>
    <row r="4">
      <c r="A4" s="2" t="n">
        <v>2</v>
      </c>
      <c r="B4" s="7" t="n">
        <v>46266.04166666666</v>
      </c>
      <c r="C4" s="2" t="inlineStr">
        <is>
          <t>進場</t>
        </is>
      </c>
      <c r="D4" s="2" t="n">
        <v>2</v>
      </c>
      <c r="E4" s="2" t="inlineStr">
        <is>
          <t>SKYAI_USDT_PERP</t>
        </is>
      </c>
      <c r="F4" s="2" t="inlineStr">
        <is>
          <t>做空</t>
        </is>
      </c>
      <c r="G4" s="20" t="n">
        <v>0.0548</v>
      </c>
      <c r="H4" s="20" t="n">
        <v>0.053156</v>
      </c>
      <c r="I4" s="20" t="n">
        <v>0.05754</v>
      </c>
      <c r="J4" s="20" t="n"/>
      <c r="K4" s="2" t="n"/>
      <c r="L4" s="5" t="n"/>
      <c r="M4" s="19">
        <f>資金模擬!$B$5*V3</f>
        <v/>
      </c>
      <c r="N4" s="2">
        <f>IF(Z3=1,"已停止",IF(T3&gt;=M4,"已下單","資金不足略過"))</f>
        <v/>
      </c>
      <c r="O4" s="19">
        <f>IF(N4="已下單",M4*資金模擬!$B$7,0)</f>
        <v/>
      </c>
      <c r="P4" s="4" t="n"/>
      <c r="Q4" s="13" t="n">
        <v>0</v>
      </c>
      <c r="R4" s="13">
        <f>R3+Q4</f>
        <v/>
      </c>
      <c r="S4" s="19">
        <f>S3+IF(N4="已下單",M4,0)</f>
        <v/>
      </c>
      <c r="T4" s="19">
        <f>R4-S4</f>
        <v/>
      </c>
      <c r="U4" s="2">
        <f>U3+IF(N4="已下單",1,0)</f>
        <v/>
      </c>
      <c r="V4" s="19">
        <f>IF(資金模擬!$B$9=2,MAX(R4,0),MAX(V3,FLOOR(MAX(R4,0),資金模擬!$B$6)))</f>
        <v/>
      </c>
      <c r="W4" s="13">
        <f>MAX(W3,R4)</f>
        <v/>
      </c>
      <c r="X4" s="4">
        <f>IF(W4&gt;0,R4/W4-1,-1)</f>
        <v/>
      </c>
      <c r="Y4" s="19">
        <f>IF(R4&gt;0,S4*資金模擬!$B$7/R4,0)</f>
        <v/>
      </c>
      <c r="Z4" s="2">
        <f>IF(OR(Z3=1,R4&lt;=資金模擬!$B$10),1,0)</f>
        <v/>
      </c>
    </row>
    <row r="5">
      <c r="A5" s="2" t="n">
        <v>3</v>
      </c>
      <c r="B5" s="7" t="n">
        <v>46266.08333333334</v>
      </c>
      <c r="C5" s="2" t="inlineStr">
        <is>
          <t>出場</t>
        </is>
      </c>
      <c r="D5" s="2" t="n">
        <v>1</v>
      </c>
      <c r="E5" s="2" t="inlineStr">
        <is>
          <t>HEMI_USDT_PERP</t>
        </is>
      </c>
      <c r="F5" s="2" t="inlineStr">
        <is>
          <t>做多</t>
        </is>
      </c>
      <c r="G5" s="20" t="n">
        <v>0.01515</v>
      </c>
      <c r="H5" s="20" t="n">
        <v>0.0156045</v>
      </c>
      <c r="I5" s="20" t="n">
        <v>0.0143925</v>
      </c>
      <c r="J5" s="20" t="n">
        <v>0.0156045</v>
      </c>
      <c r="K5" s="2" t="inlineStr">
        <is>
          <t>止盈</t>
        </is>
      </c>
      <c r="L5" s="5">
        <f>交易明細!K2</f>
        <v/>
      </c>
      <c r="M5" s="19">
        <f>M3</f>
        <v/>
      </c>
      <c r="N5" s="2">
        <f>N3</f>
        <v/>
      </c>
      <c r="O5" s="19">
        <f>O3</f>
        <v/>
      </c>
      <c r="P5" s="4">
        <f>交易明細!L2</f>
        <v/>
      </c>
      <c r="Q5" s="13">
        <f>IF(N5="已下單",O5*P5,0)</f>
        <v/>
      </c>
      <c r="R5" s="13">
        <f>R4+Q5</f>
        <v/>
      </c>
      <c r="S5" s="19">
        <f>S4-IF(N5="已下單",M5,0)</f>
        <v/>
      </c>
      <c r="T5" s="19">
        <f>R5-S5</f>
        <v/>
      </c>
      <c r="U5" s="2">
        <f>U4-IF(N5="已下單",1,0)</f>
        <v/>
      </c>
      <c r="V5" s="19">
        <f>IF(資金模擬!$B$9=2,MAX(R5,0),MAX(V4,FLOOR(MAX(R5,0),資金模擬!$B$6)))</f>
        <v/>
      </c>
      <c r="W5" s="13">
        <f>MAX(W4,R5)</f>
        <v/>
      </c>
      <c r="X5" s="4">
        <f>IF(W5&gt;0,R5/W5-1,-1)</f>
        <v/>
      </c>
      <c r="Y5" s="19">
        <f>IF(R5&gt;0,S5*資金模擬!$B$7/R5,0)</f>
        <v/>
      </c>
      <c r="Z5" s="2">
        <f>IF(OR(Z4=1,R5&lt;=資金模擬!$B$10),1,0)</f>
        <v/>
      </c>
    </row>
    <row r="6">
      <c r="A6" s="2" t="n">
        <v>4</v>
      </c>
      <c r="B6" s="7" t="n">
        <v>46266.125</v>
      </c>
      <c r="C6" s="2" t="inlineStr">
        <is>
          <t>進場</t>
        </is>
      </c>
      <c r="D6" s="2" t="n">
        <v>3</v>
      </c>
      <c r="E6" s="2" t="inlineStr">
        <is>
          <t>XMR_USDT_PERP</t>
        </is>
      </c>
      <c r="F6" s="2" t="inlineStr">
        <is>
          <t>做多</t>
        </is>
      </c>
      <c r="G6" s="20" t="n">
        <v>531.58</v>
      </c>
      <c r="H6" s="20" t="n">
        <v>547.5274000000001</v>
      </c>
      <c r="I6" s="20" t="n">
        <v>505.001</v>
      </c>
      <c r="J6" s="20" t="n"/>
      <c r="K6" s="2" t="n"/>
      <c r="L6" s="5" t="n"/>
      <c r="M6" s="19">
        <f>資金模擬!$B$5*V5</f>
        <v/>
      </c>
      <c r="N6" s="2">
        <f>IF(Z5=1,"已停止",IF(T5&gt;=M6,"已下單","資金不足略過"))</f>
        <v/>
      </c>
      <c r="O6" s="19">
        <f>IF(N6="已下單",M6*資金模擬!$B$7,0)</f>
        <v/>
      </c>
      <c r="P6" s="4" t="n"/>
      <c r="Q6" s="13" t="n">
        <v>0</v>
      </c>
      <c r="R6" s="13">
        <f>R5+Q6</f>
        <v/>
      </c>
      <c r="S6" s="19">
        <f>S5+IF(N6="已下單",M6,0)</f>
        <v/>
      </c>
      <c r="T6" s="19">
        <f>R6-S6</f>
        <v/>
      </c>
      <c r="U6" s="2">
        <f>U5+IF(N6="已下單",1,0)</f>
        <v/>
      </c>
      <c r="V6" s="19">
        <f>IF(資金模擬!$B$9=2,MAX(R6,0),MAX(V5,FLOOR(MAX(R6,0),資金模擬!$B$6)))</f>
        <v/>
      </c>
      <c r="W6" s="13">
        <f>MAX(W5,R6)</f>
        <v/>
      </c>
      <c r="X6" s="4">
        <f>IF(W6&gt;0,R6/W6-1,-1)</f>
        <v/>
      </c>
      <c r="Y6" s="19">
        <f>IF(R6&gt;0,S6*資金模擬!$B$7/R6,0)</f>
        <v/>
      </c>
      <c r="Z6" s="2">
        <f>IF(OR(Z5=1,R6&lt;=資金模擬!$B$10),1,0)</f>
        <v/>
      </c>
    </row>
    <row r="7">
      <c r="A7" s="2" t="n">
        <v>5</v>
      </c>
      <c r="B7" s="7" t="n">
        <v>46266.25</v>
      </c>
      <c r="C7" s="2" t="inlineStr">
        <is>
          <t>進場</t>
        </is>
      </c>
      <c r="D7" s="2" t="n">
        <v>4</v>
      </c>
      <c r="E7" s="2" t="inlineStr">
        <is>
          <t>SKR_USDT_PERP</t>
        </is>
      </c>
      <c r="F7" s="2" t="inlineStr">
        <is>
          <t>做多</t>
        </is>
      </c>
      <c r="G7" s="20" t="n">
        <v>0.028369</v>
      </c>
      <c r="H7" s="20" t="n">
        <v>0.02922007</v>
      </c>
      <c r="I7" s="20" t="n">
        <v>0.02695055</v>
      </c>
      <c r="J7" s="20" t="n"/>
      <c r="K7" s="2" t="n"/>
      <c r="L7" s="5" t="n"/>
      <c r="M7" s="19">
        <f>資金模擬!$B$5*V6</f>
        <v/>
      </c>
      <c r="N7" s="2">
        <f>IF(Z6=1,"已停止",IF(T6&gt;=M7,"已下單","資金不足略過"))</f>
        <v/>
      </c>
      <c r="O7" s="19">
        <f>IF(N7="已下單",M7*資金模擬!$B$7,0)</f>
        <v/>
      </c>
      <c r="P7" s="4" t="n"/>
      <c r="Q7" s="13" t="n">
        <v>0</v>
      </c>
      <c r="R7" s="13">
        <f>R6+Q7</f>
        <v/>
      </c>
      <c r="S7" s="19">
        <f>S6+IF(N7="已下單",M7,0)</f>
        <v/>
      </c>
      <c r="T7" s="19">
        <f>R7-S7</f>
        <v/>
      </c>
      <c r="U7" s="2">
        <f>U6+IF(N7="已下單",1,0)</f>
        <v/>
      </c>
      <c r="V7" s="19">
        <f>IF(資金模擬!$B$9=2,MAX(R7,0),MAX(V6,FLOOR(MAX(R7,0),資金模擬!$B$6)))</f>
        <v/>
      </c>
      <c r="W7" s="13">
        <f>MAX(W6,R7)</f>
        <v/>
      </c>
      <c r="X7" s="4">
        <f>IF(W7&gt;0,R7/W7-1,-1)</f>
        <v/>
      </c>
      <c r="Y7" s="19">
        <f>IF(R7&gt;0,S7*資金模擬!$B$7/R7,0)</f>
        <v/>
      </c>
      <c r="Z7" s="2">
        <f>IF(OR(Z6=1,R7&lt;=資金模擬!$B$10),1,0)</f>
        <v/>
      </c>
    </row>
    <row r="8">
      <c r="A8" s="2" t="n">
        <v>6</v>
      </c>
      <c r="B8" s="7" t="n">
        <v>46266.29166666666</v>
      </c>
      <c r="C8" s="2" t="inlineStr">
        <is>
          <t>出場</t>
        </is>
      </c>
      <c r="D8" s="2" t="n">
        <v>4</v>
      </c>
      <c r="E8" s="2" t="inlineStr">
        <is>
          <t>SKR_USDT_PERP</t>
        </is>
      </c>
      <c r="F8" s="2" t="inlineStr">
        <is>
          <t>做多</t>
        </is>
      </c>
      <c r="G8" s="20" t="n">
        <v>0.028369</v>
      </c>
      <c r="H8" s="20" t="n">
        <v>0.02922007</v>
      </c>
      <c r="I8" s="20" t="n">
        <v>0.02695055</v>
      </c>
      <c r="J8" s="20" t="n">
        <v>0.02922007</v>
      </c>
      <c r="K8" s="2" t="inlineStr">
        <is>
          <t>止盈</t>
        </is>
      </c>
      <c r="L8" s="5">
        <f>交易明細!K5</f>
        <v/>
      </c>
      <c r="M8" s="19">
        <f>M7</f>
        <v/>
      </c>
      <c r="N8" s="2">
        <f>N7</f>
        <v/>
      </c>
      <c r="O8" s="19">
        <f>O7</f>
        <v/>
      </c>
      <c r="P8" s="4">
        <f>交易明細!L5</f>
        <v/>
      </c>
      <c r="Q8" s="13">
        <f>IF(N8="已下單",O8*P8,0)</f>
        <v/>
      </c>
      <c r="R8" s="13">
        <f>R7+Q8</f>
        <v/>
      </c>
      <c r="S8" s="19">
        <f>S7-IF(N8="已下單",M8,0)</f>
        <v/>
      </c>
      <c r="T8" s="19">
        <f>R8-S8</f>
        <v/>
      </c>
      <c r="U8" s="2">
        <f>U7-IF(N8="已下單",1,0)</f>
        <v/>
      </c>
      <c r="V8" s="19">
        <f>IF(資金模擬!$B$9=2,MAX(R8,0),MAX(V7,FLOOR(MAX(R8,0),資金模擬!$B$6)))</f>
        <v/>
      </c>
      <c r="W8" s="13">
        <f>MAX(W7,R8)</f>
        <v/>
      </c>
      <c r="X8" s="4">
        <f>IF(W8&gt;0,R8/W8-1,-1)</f>
        <v/>
      </c>
      <c r="Y8" s="19">
        <f>IF(R8&gt;0,S8*資金模擬!$B$7/R8,0)</f>
        <v/>
      </c>
      <c r="Z8" s="2">
        <f>IF(OR(Z7=1,R8&lt;=資金模擬!$B$10),1,0)</f>
        <v/>
      </c>
    </row>
    <row r="9">
      <c r="A9" s="2" t="n">
        <v>7</v>
      </c>
      <c r="B9" s="7" t="n">
        <v>46266.33333333334</v>
      </c>
      <c r="C9" s="2" t="inlineStr">
        <is>
          <t>出場</t>
        </is>
      </c>
      <c r="D9" s="2" t="n">
        <v>2</v>
      </c>
      <c r="E9" s="2" t="inlineStr">
        <is>
          <t>SKYAI_USDT_PERP</t>
        </is>
      </c>
      <c r="F9" s="2" t="inlineStr">
        <is>
          <t>做空</t>
        </is>
      </c>
      <c r="G9" s="20" t="n">
        <v>0.0548</v>
      </c>
      <c r="H9" s="20" t="n">
        <v>0.053156</v>
      </c>
      <c r="I9" s="20" t="n">
        <v>0.05754</v>
      </c>
      <c r="J9" s="20" t="n">
        <v>0.053156</v>
      </c>
      <c r="K9" s="2" t="inlineStr">
        <is>
          <t>止盈</t>
        </is>
      </c>
      <c r="L9" s="5">
        <f>交易明細!K3</f>
        <v/>
      </c>
      <c r="M9" s="19">
        <f>M4</f>
        <v/>
      </c>
      <c r="N9" s="2">
        <f>N4</f>
        <v/>
      </c>
      <c r="O9" s="19">
        <f>O4</f>
        <v/>
      </c>
      <c r="P9" s="4">
        <f>交易明細!L3</f>
        <v/>
      </c>
      <c r="Q9" s="13">
        <f>IF(N9="已下單",O9*P9,0)</f>
        <v/>
      </c>
      <c r="R9" s="13">
        <f>R8+Q9</f>
        <v/>
      </c>
      <c r="S9" s="19">
        <f>S8-IF(N9="已下單",M9,0)</f>
        <v/>
      </c>
      <c r="T9" s="19">
        <f>R9-S9</f>
        <v/>
      </c>
      <c r="U9" s="2">
        <f>U8-IF(N9="已下單",1,0)</f>
        <v/>
      </c>
      <c r="V9" s="19">
        <f>IF(資金模擬!$B$9=2,MAX(R9,0),MAX(V8,FLOOR(MAX(R9,0),資金模擬!$B$6)))</f>
        <v/>
      </c>
      <c r="W9" s="13">
        <f>MAX(W8,R9)</f>
        <v/>
      </c>
      <c r="X9" s="4">
        <f>IF(W9&gt;0,R9/W9-1,-1)</f>
        <v/>
      </c>
      <c r="Y9" s="19">
        <f>IF(R9&gt;0,S9*資金模擬!$B$7/R9,0)</f>
        <v/>
      </c>
      <c r="Z9" s="2">
        <f>IF(OR(Z8=1,R9&lt;=資金模擬!$B$10),1,0)</f>
        <v/>
      </c>
    </row>
    <row r="10">
      <c r="A10" s="2" t="n">
        <v>8</v>
      </c>
      <c r="B10" s="7" t="n">
        <v>46266.375</v>
      </c>
      <c r="C10" s="2" t="inlineStr">
        <is>
          <t>進場</t>
        </is>
      </c>
      <c r="D10" s="2" t="n">
        <v>5</v>
      </c>
      <c r="E10" s="2" t="inlineStr">
        <is>
          <t>PUMP_USDT_PERP</t>
        </is>
      </c>
      <c r="F10" s="2" t="inlineStr">
        <is>
          <t>做多</t>
        </is>
      </c>
      <c r="G10" s="20" t="n">
        <v>0.004605</v>
      </c>
      <c r="H10" s="20" t="n">
        <v>0.00474315</v>
      </c>
      <c r="I10" s="20" t="n">
        <v>0.004374749999999999</v>
      </c>
      <c r="J10" s="20" t="n"/>
      <c r="K10" s="2" t="n"/>
      <c r="L10" s="5" t="n"/>
      <c r="M10" s="19">
        <f>資金模擬!$B$5*V9</f>
        <v/>
      </c>
      <c r="N10" s="2">
        <f>IF(Z9=1,"已停止",IF(T9&gt;=M10,"已下單","資金不足略過"))</f>
        <v/>
      </c>
      <c r="O10" s="19">
        <f>IF(N10="已下單",M10*資金模擬!$B$7,0)</f>
        <v/>
      </c>
      <c r="P10" s="4" t="n"/>
      <c r="Q10" s="13" t="n">
        <v>0</v>
      </c>
      <c r="R10" s="13">
        <f>R9+Q10</f>
        <v/>
      </c>
      <c r="S10" s="19">
        <f>S9+IF(N10="已下單",M10,0)</f>
        <v/>
      </c>
      <c r="T10" s="19">
        <f>R10-S10</f>
        <v/>
      </c>
      <c r="U10" s="2">
        <f>U9+IF(N10="已下單",1,0)</f>
        <v/>
      </c>
      <c r="V10" s="19">
        <f>IF(資金模擬!$B$9=2,MAX(R10,0),MAX(V9,FLOOR(MAX(R10,0),資金模擬!$B$6)))</f>
        <v/>
      </c>
      <c r="W10" s="13">
        <f>MAX(W9,R10)</f>
        <v/>
      </c>
      <c r="X10" s="4">
        <f>IF(W10&gt;0,R10/W10-1,-1)</f>
        <v/>
      </c>
      <c r="Y10" s="19">
        <f>IF(R10&gt;0,S10*資金模擬!$B$7/R10,0)</f>
        <v/>
      </c>
      <c r="Z10" s="2">
        <f>IF(OR(Z9=1,R10&lt;=資金模擬!$B$10),1,0)</f>
        <v/>
      </c>
    </row>
    <row r="11">
      <c r="A11" s="2" t="n">
        <v>9</v>
      </c>
      <c r="B11" s="7" t="n">
        <v>46266.75</v>
      </c>
      <c r="C11" s="2" t="inlineStr">
        <is>
          <t>出場</t>
        </is>
      </c>
      <c r="D11" s="2" t="n">
        <v>5</v>
      </c>
      <c r="E11" s="2" t="inlineStr">
        <is>
          <t>PUMP_USDT_PERP</t>
        </is>
      </c>
      <c r="F11" s="2" t="inlineStr">
        <is>
          <t>做多</t>
        </is>
      </c>
      <c r="G11" s="20" t="n">
        <v>0.004605</v>
      </c>
      <c r="H11" s="20" t="n">
        <v>0.00474315</v>
      </c>
      <c r="I11" s="20" t="n">
        <v>0.004374749999999999</v>
      </c>
      <c r="J11" s="20" t="n">
        <v>0.004374749999999999</v>
      </c>
      <c r="K11" s="2" t="inlineStr">
        <is>
          <t>止損</t>
        </is>
      </c>
      <c r="L11" s="5">
        <f>交易明細!K6</f>
        <v/>
      </c>
      <c r="M11" s="19">
        <f>M10</f>
        <v/>
      </c>
      <c r="N11" s="2">
        <f>N10</f>
        <v/>
      </c>
      <c r="O11" s="19">
        <f>O10</f>
        <v/>
      </c>
      <c r="P11" s="4">
        <f>交易明細!L6</f>
        <v/>
      </c>
      <c r="Q11" s="13">
        <f>IF(N11="已下單",O11*P11,0)</f>
        <v/>
      </c>
      <c r="R11" s="13">
        <f>R10+Q11</f>
        <v/>
      </c>
      <c r="S11" s="19">
        <f>S10-IF(N11="已下單",M11,0)</f>
        <v/>
      </c>
      <c r="T11" s="19">
        <f>R11-S11</f>
        <v/>
      </c>
      <c r="U11" s="2">
        <f>U10-IF(N11="已下單",1,0)</f>
        <v/>
      </c>
      <c r="V11" s="19">
        <f>IF(資金模擬!$B$9=2,MAX(R11,0),MAX(V10,FLOOR(MAX(R11,0),資金模擬!$B$6)))</f>
        <v/>
      </c>
      <c r="W11" s="13">
        <f>MAX(W10,R11)</f>
        <v/>
      </c>
      <c r="X11" s="4">
        <f>IF(W11&gt;0,R11/W11-1,-1)</f>
        <v/>
      </c>
      <c r="Y11" s="19">
        <f>IF(R11&gt;0,S11*資金模擬!$B$7/R11,0)</f>
        <v/>
      </c>
      <c r="Z11" s="2">
        <f>IF(OR(Z10=1,R11&lt;=資金模擬!$B$10),1,0)</f>
        <v/>
      </c>
    </row>
    <row r="12">
      <c r="A12" s="2" t="n">
        <v>10</v>
      </c>
      <c r="B12" s="7" t="n">
        <v>46266.75</v>
      </c>
      <c r="C12" s="2" t="inlineStr">
        <is>
          <t>進場</t>
        </is>
      </c>
      <c r="D12" s="2" t="n">
        <v>6</v>
      </c>
      <c r="E12" s="2" t="inlineStr">
        <is>
          <t>ARB_USDT_PERP</t>
        </is>
      </c>
      <c r="F12" s="2" t="inlineStr">
        <is>
          <t>做多</t>
        </is>
      </c>
      <c r="G12" s="20" t="n">
        <v>0.1099</v>
      </c>
      <c r="H12" s="20" t="n">
        <v>0.113197</v>
      </c>
      <c r="I12" s="20" t="n">
        <v>0.104405</v>
      </c>
      <c r="J12" s="20" t="n"/>
      <c r="K12" s="2" t="n"/>
      <c r="L12" s="5" t="n"/>
      <c r="M12" s="19">
        <f>資金模擬!$B$5*V11</f>
        <v/>
      </c>
      <c r="N12" s="2">
        <f>IF(Z11=1,"已停止",IF(T11&gt;=M12,"已下單","資金不足略過"))</f>
        <v/>
      </c>
      <c r="O12" s="19">
        <f>IF(N12="已下單",M12*資金模擬!$B$7,0)</f>
        <v/>
      </c>
      <c r="P12" s="4" t="n"/>
      <c r="Q12" s="13" t="n">
        <v>0</v>
      </c>
      <c r="R12" s="13">
        <f>R11+Q12</f>
        <v/>
      </c>
      <c r="S12" s="19">
        <f>S11+IF(N12="已下單",M12,0)</f>
        <v/>
      </c>
      <c r="T12" s="19">
        <f>R12-S12</f>
        <v/>
      </c>
      <c r="U12" s="2">
        <f>U11+IF(N12="已下單",1,0)</f>
        <v/>
      </c>
      <c r="V12" s="19">
        <f>IF(資金模擬!$B$9=2,MAX(R12,0),MAX(V11,FLOOR(MAX(R12,0),資金模擬!$B$6)))</f>
        <v/>
      </c>
      <c r="W12" s="13">
        <f>MAX(W11,R12)</f>
        <v/>
      </c>
      <c r="X12" s="4">
        <f>IF(W12&gt;0,R12/W12-1,-1)</f>
        <v/>
      </c>
      <c r="Y12" s="19">
        <f>IF(R12&gt;0,S12*資金模擬!$B$7/R12,0)</f>
        <v/>
      </c>
      <c r="Z12" s="2">
        <f>IF(OR(Z11=1,R12&lt;=資金模擬!$B$10),1,0)</f>
        <v/>
      </c>
    </row>
    <row r="13">
      <c r="A13" s="2" t="n">
        <v>11</v>
      </c>
      <c r="B13" s="7" t="n">
        <v>46266.75</v>
      </c>
      <c r="C13" s="2" t="inlineStr">
        <is>
          <t>進場</t>
        </is>
      </c>
      <c r="D13" s="2" t="n">
        <v>7</v>
      </c>
      <c r="E13" s="2" t="inlineStr">
        <is>
          <t>USELESS_USDT_PERP</t>
        </is>
      </c>
      <c r="F13" s="2" t="inlineStr">
        <is>
          <t>做多</t>
        </is>
      </c>
      <c r="G13" s="20" t="n">
        <v>0.09113</v>
      </c>
      <c r="H13" s="20" t="n">
        <v>0.0938639</v>
      </c>
      <c r="I13" s="20" t="n">
        <v>0.0865735</v>
      </c>
      <c r="J13" s="20" t="n"/>
      <c r="K13" s="2" t="n"/>
      <c r="L13" s="5" t="n"/>
      <c r="M13" s="19">
        <f>資金模擬!$B$5*V12</f>
        <v/>
      </c>
      <c r="N13" s="2">
        <f>IF(Z12=1,"已停止",IF(T12&gt;=M13,"已下單","資金不足略過"))</f>
        <v/>
      </c>
      <c r="O13" s="19">
        <f>IF(N13="已下單",M13*資金模擬!$B$7,0)</f>
        <v/>
      </c>
      <c r="P13" s="4" t="n"/>
      <c r="Q13" s="13" t="n">
        <v>0</v>
      </c>
      <c r="R13" s="13">
        <f>R12+Q13</f>
        <v/>
      </c>
      <c r="S13" s="19">
        <f>S12+IF(N13="已下單",M13,0)</f>
        <v/>
      </c>
      <c r="T13" s="19">
        <f>R13-S13</f>
        <v/>
      </c>
      <c r="U13" s="2">
        <f>U12+IF(N13="已下單",1,0)</f>
        <v/>
      </c>
      <c r="V13" s="19">
        <f>IF(資金模擬!$B$9=2,MAX(R13,0),MAX(V12,FLOOR(MAX(R13,0),資金模擬!$B$6)))</f>
        <v/>
      </c>
      <c r="W13" s="13">
        <f>MAX(W12,R13)</f>
        <v/>
      </c>
      <c r="X13" s="4">
        <f>IF(W13&gt;0,R13/W13-1,-1)</f>
        <v/>
      </c>
      <c r="Y13" s="19">
        <f>IF(R13&gt;0,S13*資金模擬!$B$7/R13,0)</f>
        <v/>
      </c>
      <c r="Z13" s="2">
        <f>IF(OR(Z12=1,R13&lt;=資金模擬!$B$10),1,0)</f>
        <v/>
      </c>
    </row>
    <row r="14">
      <c r="A14" s="2" t="n">
        <v>12</v>
      </c>
      <c r="B14" s="7" t="n">
        <v>46266.79166666666</v>
      </c>
      <c r="C14" s="2" t="inlineStr">
        <is>
          <t>出場</t>
        </is>
      </c>
      <c r="D14" s="2" t="n">
        <v>6</v>
      </c>
      <c r="E14" s="2" t="inlineStr">
        <is>
          <t>ARB_USDT_PERP</t>
        </is>
      </c>
      <c r="F14" s="2" t="inlineStr">
        <is>
          <t>做多</t>
        </is>
      </c>
      <c r="G14" s="20" t="n">
        <v>0.1099</v>
      </c>
      <c r="H14" s="20" t="n">
        <v>0.113197</v>
      </c>
      <c r="I14" s="20" t="n">
        <v>0.104405</v>
      </c>
      <c r="J14" s="20" t="n">
        <v>0.113197</v>
      </c>
      <c r="K14" s="2" t="inlineStr">
        <is>
          <t>止盈</t>
        </is>
      </c>
      <c r="L14" s="5">
        <f>交易明細!K7</f>
        <v/>
      </c>
      <c r="M14" s="19">
        <f>M12</f>
        <v/>
      </c>
      <c r="N14" s="2">
        <f>N12</f>
        <v/>
      </c>
      <c r="O14" s="19">
        <f>O12</f>
        <v/>
      </c>
      <c r="P14" s="4">
        <f>交易明細!L7</f>
        <v/>
      </c>
      <c r="Q14" s="13">
        <f>IF(N14="已下單",O14*P14,0)</f>
        <v/>
      </c>
      <c r="R14" s="13">
        <f>R13+Q14</f>
        <v/>
      </c>
      <c r="S14" s="19">
        <f>S13-IF(N14="已下單",M14,0)</f>
        <v/>
      </c>
      <c r="T14" s="19">
        <f>R14-S14</f>
        <v/>
      </c>
      <c r="U14" s="2">
        <f>U13-IF(N14="已下單",1,0)</f>
        <v/>
      </c>
      <c r="V14" s="19">
        <f>IF(資金模擬!$B$9=2,MAX(R14,0),MAX(V13,FLOOR(MAX(R14,0),資金模擬!$B$6)))</f>
        <v/>
      </c>
      <c r="W14" s="13">
        <f>MAX(W13,R14)</f>
        <v/>
      </c>
      <c r="X14" s="4">
        <f>IF(W14&gt;0,R14/W14-1,-1)</f>
        <v/>
      </c>
      <c r="Y14" s="19">
        <f>IF(R14&gt;0,S14*資金模擬!$B$7/R14,0)</f>
        <v/>
      </c>
      <c r="Z14" s="2">
        <f>IF(OR(Z13=1,R14&lt;=資金模擬!$B$10),1,0)</f>
        <v/>
      </c>
    </row>
    <row r="15">
      <c r="A15" s="2" t="n">
        <v>13</v>
      </c>
      <c r="B15" s="7" t="n">
        <v>46266.79166666666</v>
      </c>
      <c r="C15" s="2" t="inlineStr">
        <is>
          <t>出場</t>
        </is>
      </c>
      <c r="D15" s="2" t="n">
        <v>7</v>
      </c>
      <c r="E15" s="2" t="inlineStr">
        <is>
          <t>USELESS_USDT_PERP</t>
        </is>
      </c>
      <c r="F15" s="2" t="inlineStr">
        <is>
          <t>做多</t>
        </is>
      </c>
      <c r="G15" s="20" t="n">
        <v>0.09113</v>
      </c>
      <c r="H15" s="20" t="n">
        <v>0.0938639</v>
      </c>
      <c r="I15" s="20" t="n">
        <v>0.0865735</v>
      </c>
      <c r="J15" s="20" t="n">
        <v>0.0938639</v>
      </c>
      <c r="K15" s="2" t="inlineStr">
        <is>
          <t>止盈</t>
        </is>
      </c>
      <c r="L15" s="5">
        <f>交易明細!K8</f>
        <v/>
      </c>
      <c r="M15" s="19">
        <f>M13</f>
        <v/>
      </c>
      <c r="N15" s="2">
        <f>N13</f>
        <v/>
      </c>
      <c r="O15" s="19">
        <f>O13</f>
        <v/>
      </c>
      <c r="P15" s="4">
        <f>交易明細!L8</f>
        <v/>
      </c>
      <c r="Q15" s="13">
        <f>IF(N15="已下單",O15*P15,0)</f>
        <v/>
      </c>
      <c r="R15" s="13">
        <f>R14+Q15</f>
        <v/>
      </c>
      <c r="S15" s="19">
        <f>S14-IF(N15="已下單",M15,0)</f>
        <v/>
      </c>
      <c r="T15" s="19">
        <f>R15-S15</f>
        <v/>
      </c>
      <c r="U15" s="2">
        <f>U14-IF(N15="已下單",1,0)</f>
        <v/>
      </c>
      <c r="V15" s="19">
        <f>IF(資金模擬!$B$9=2,MAX(R15,0),MAX(V14,FLOOR(MAX(R15,0),資金模擬!$B$6)))</f>
        <v/>
      </c>
      <c r="W15" s="13">
        <f>MAX(W14,R15)</f>
        <v/>
      </c>
      <c r="X15" s="4">
        <f>IF(W15&gt;0,R15/W15-1,-1)</f>
        <v/>
      </c>
      <c r="Y15" s="19">
        <f>IF(R15&gt;0,S15*資金模擬!$B$7/R15,0)</f>
        <v/>
      </c>
      <c r="Z15" s="2">
        <f>IF(OR(Z14=1,R15&lt;=資金模擬!$B$10),1,0)</f>
        <v/>
      </c>
    </row>
    <row r="16">
      <c r="A16" s="2" t="n">
        <v>14</v>
      </c>
      <c r="B16" s="7" t="n">
        <v>46266.83333333334</v>
      </c>
      <c r="C16" s="2" t="inlineStr">
        <is>
          <t>進場</t>
        </is>
      </c>
      <c r="D16" s="2" t="n">
        <v>8</v>
      </c>
      <c r="E16" s="2" t="inlineStr">
        <is>
          <t>HEMI_USDT_PERP</t>
        </is>
      </c>
      <c r="F16" s="2" t="inlineStr">
        <is>
          <t>做多</t>
        </is>
      </c>
      <c r="G16" s="20" t="n">
        <v>0.0161</v>
      </c>
      <c r="H16" s="20" t="n">
        <v>0.016583</v>
      </c>
      <c r="I16" s="20" t="n">
        <v>0.015295</v>
      </c>
      <c r="J16" s="20" t="n"/>
      <c r="K16" s="2" t="n"/>
      <c r="L16" s="5" t="n"/>
      <c r="M16" s="19">
        <f>資金模擬!$B$5*V15</f>
        <v/>
      </c>
      <c r="N16" s="2">
        <f>IF(Z15=1,"已停止",IF(T15&gt;=M16,"已下單","資金不足略過"))</f>
        <v/>
      </c>
      <c r="O16" s="19">
        <f>IF(N16="已下單",M16*資金模擬!$B$7,0)</f>
        <v/>
      </c>
      <c r="P16" s="4" t="n"/>
      <c r="Q16" s="13" t="n">
        <v>0</v>
      </c>
      <c r="R16" s="13">
        <f>R15+Q16</f>
        <v/>
      </c>
      <c r="S16" s="19">
        <f>S15+IF(N16="已下單",M16,0)</f>
        <v/>
      </c>
      <c r="T16" s="19">
        <f>R16-S16</f>
        <v/>
      </c>
      <c r="U16" s="2">
        <f>U15+IF(N16="已下單",1,0)</f>
        <v/>
      </c>
      <c r="V16" s="19">
        <f>IF(資金模擬!$B$9=2,MAX(R16,0),MAX(V15,FLOOR(MAX(R16,0),資金模擬!$B$6)))</f>
        <v/>
      </c>
      <c r="W16" s="13">
        <f>MAX(W15,R16)</f>
        <v/>
      </c>
      <c r="X16" s="4">
        <f>IF(W16&gt;0,R16/W16-1,-1)</f>
        <v/>
      </c>
      <c r="Y16" s="19">
        <f>IF(R16&gt;0,S16*資金模擬!$B$7/R16,0)</f>
        <v/>
      </c>
      <c r="Z16" s="2">
        <f>IF(OR(Z15=1,R16&lt;=資金模擬!$B$10),1,0)</f>
        <v/>
      </c>
    </row>
    <row r="17">
      <c r="A17" s="2" t="n">
        <v>15</v>
      </c>
      <c r="B17" s="7" t="n">
        <v>46266.91666666666</v>
      </c>
      <c r="C17" s="2" t="inlineStr">
        <is>
          <t>進場</t>
        </is>
      </c>
      <c r="D17" s="2" t="n">
        <v>9</v>
      </c>
      <c r="E17" s="2" t="inlineStr">
        <is>
          <t>PUMP_USDT_PERP</t>
        </is>
      </c>
      <c r="F17" s="2" t="inlineStr">
        <is>
          <t>做多</t>
        </is>
      </c>
      <c r="G17" s="20" t="n">
        <v>0.004467</v>
      </c>
      <c r="H17" s="20" t="n">
        <v>0.00460101</v>
      </c>
      <c r="I17" s="20" t="n">
        <v>0.00424365</v>
      </c>
      <c r="J17" s="20" t="n"/>
      <c r="K17" s="2" t="n"/>
      <c r="L17" s="5" t="n"/>
      <c r="M17" s="19">
        <f>資金模擬!$B$5*V16</f>
        <v/>
      </c>
      <c r="N17" s="2">
        <f>IF(Z16=1,"已停止",IF(T16&gt;=M17,"已下單","資金不足略過"))</f>
        <v/>
      </c>
      <c r="O17" s="19">
        <f>IF(N17="已下單",M17*資金模擬!$B$7,0)</f>
        <v/>
      </c>
      <c r="P17" s="4" t="n"/>
      <c r="Q17" s="13" t="n">
        <v>0</v>
      </c>
      <c r="R17" s="13">
        <f>R16+Q17</f>
        <v/>
      </c>
      <c r="S17" s="19">
        <f>S16+IF(N17="已下單",M17,0)</f>
        <v/>
      </c>
      <c r="T17" s="19">
        <f>R17-S17</f>
        <v/>
      </c>
      <c r="U17" s="2">
        <f>U16+IF(N17="已下單",1,0)</f>
        <v/>
      </c>
      <c r="V17" s="19">
        <f>IF(資金模擬!$B$9=2,MAX(R17,0),MAX(V16,FLOOR(MAX(R17,0),資金模擬!$B$6)))</f>
        <v/>
      </c>
      <c r="W17" s="13">
        <f>MAX(W16,R17)</f>
        <v/>
      </c>
      <c r="X17" s="4">
        <f>IF(W17&gt;0,R17/W17-1,-1)</f>
        <v/>
      </c>
      <c r="Y17" s="19">
        <f>IF(R17&gt;0,S17*資金模擬!$B$7/R17,0)</f>
        <v/>
      </c>
      <c r="Z17" s="2">
        <f>IF(OR(Z16=1,R17&lt;=資金模擬!$B$10),1,0)</f>
        <v/>
      </c>
    </row>
    <row r="18">
      <c r="A18" s="2" t="n">
        <v>16</v>
      </c>
      <c r="B18" s="7" t="n">
        <v>46267</v>
      </c>
      <c r="C18" s="2" t="inlineStr">
        <is>
          <t>出場</t>
        </is>
      </c>
      <c r="D18" s="2" t="n">
        <v>3</v>
      </c>
      <c r="E18" s="2" t="inlineStr">
        <is>
          <t>XMR_USDT_PERP</t>
        </is>
      </c>
      <c r="F18" s="2" t="inlineStr">
        <is>
          <t>做多</t>
        </is>
      </c>
      <c r="G18" s="20" t="n">
        <v>531.58</v>
      </c>
      <c r="H18" s="20" t="n">
        <v>547.5274000000001</v>
      </c>
      <c r="I18" s="20" t="n">
        <v>505.001</v>
      </c>
      <c r="J18" s="20" t="n">
        <v>505.001</v>
      </c>
      <c r="K18" s="2" t="inlineStr">
        <is>
          <t>止損</t>
        </is>
      </c>
      <c r="L18" s="5">
        <f>交易明細!K4</f>
        <v/>
      </c>
      <c r="M18" s="19">
        <f>M6</f>
        <v/>
      </c>
      <c r="N18" s="2">
        <f>N6</f>
        <v/>
      </c>
      <c r="O18" s="19">
        <f>O6</f>
        <v/>
      </c>
      <c r="P18" s="4">
        <f>交易明細!L4</f>
        <v/>
      </c>
      <c r="Q18" s="13">
        <f>IF(N18="已下單",O18*P18,0)</f>
        <v/>
      </c>
      <c r="R18" s="13">
        <f>R17+Q18</f>
        <v/>
      </c>
      <c r="S18" s="19">
        <f>S17-IF(N18="已下單",M18,0)</f>
        <v/>
      </c>
      <c r="T18" s="19">
        <f>R18-S18</f>
        <v/>
      </c>
      <c r="U18" s="2">
        <f>U17-IF(N18="已下單",1,0)</f>
        <v/>
      </c>
      <c r="V18" s="19">
        <f>IF(資金模擬!$B$9=2,MAX(R18,0),MAX(V17,FLOOR(MAX(R18,0),資金模擬!$B$6)))</f>
        <v/>
      </c>
      <c r="W18" s="13">
        <f>MAX(W17,R18)</f>
        <v/>
      </c>
      <c r="X18" s="4">
        <f>IF(W18&gt;0,R18/W18-1,-1)</f>
        <v/>
      </c>
      <c r="Y18" s="19">
        <f>IF(R18&gt;0,S18*資金模擬!$B$7/R18,0)</f>
        <v/>
      </c>
      <c r="Z18" s="2">
        <f>IF(OR(Z17=1,R18&lt;=資金模擬!$B$10),1,0)</f>
        <v/>
      </c>
    </row>
    <row r="19">
      <c r="A19" s="2" t="n">
        <v>17</v>
      </c>
      <c r="B19" s="7" t="n">
        <v>46267</v>
      </c>
      <c r="C19" s="2" t="inlineStr">
        <is>
          <t>出場</t>
        </is>
      </c>
      <c r="D19" s="2" t="n">
        <v>8</v>
      </c>
      <c r="E19" s="2" t="inlineStr">
        <is>
          <t>HEMI_USDT_PERP</t>
        </is>
      </c>
      <c r="F19" s="2" t="inlineStr">
        <is>
          <t>做多</t>
        </is>
      </c>
      <c r="G19" s="20" t="n">
        <v>0.0161</v>
      </c>
      <c r="H19" s="20" t="n">
        <v>0.016583</v>
      </c>
      <c r="I19" s="20" t="n">
        <v>0.015295</v>
      </c>
      <c r="J19" s="20" t="n">
        <v>0.016583</v>
      </c>
      <c r="K19" s="2" t="inlineStr">
        <is>
          <t>止盈</t>
        </is>
      </c>
      <c r="L19" s="5">
        <f>交易明細!K9</f>
        <v/>
      </c>
      <c r="M19" s="19">
        <f>M16</f>
        <v/>
      </c>
      <c r="N19" s="2">
        <f>N16</f>
        <v/>
      </c>
      <c r="O19" s="19">
        <f>O16</f>
        <v/>
      </c>
      <c r="P19" s="4">
        <f>交易明細!L9</f>
        <v/>
      </c>
      <c r="Q19" s="13">
        <f>IF(N19="已下單",O19*P19,0)</f>
        <v/>
      </c>
      <c r="R19" s="13">
        <f>R18+Q19</f>
        <v/>
      </c>
      <c r="S19" s="19">
        <f>S18-IF(N19="已下單",M19,0)</f>
        <v/>
      </c>
      <c r="T19" s="19">
        <f>R19-S19</f>
        <v/>
      </c>
      <c r="U19" s="2">
        <f>U18-IF(N19="已下單",1,0)</f>
        <v/>
      </c>
      <c r="V19" s="19">
        <f>IF(資金模擬!$B$9=2,MAX(R19,0),MAX(V18,FLOOR(MAX(R19,0),資金模擬!$B$6)))</f>
        <v/>
      </c>
      <c r="W19" s="13">
        <f>MAX(W18,R19)</f>
        <v/>
      </c>
      <c r="X19" s="4">
        <f>IF(W19&gt;0,R19/W19-1,-1)</f>
        <v/>
      </c>
      <c r="Y19" s="19">
        <f>IF(R19&gt;0,S19*資金模擬!$B$7/R19,0)</f>
        <v/>
      </c>
      <c r="Z19" s="2">
        <f>IF(OR(Z18=1,R19&lt;=資金模擬!$B$10),1,0)</f>
        <v/>
      </c>
    </row>
    <row r="20">
      <c r="A20" s="2" t="n">
        <v>18</v>
      </c>
      <c r="B20" s="7" t="n">
        <v>46267.08333333334</v>
      </c>
      <c r="C20" s="2" t="inlineStr">
        <is>
          <t>進場</t>
        </is>
      </c>
      <c r="D20" s="2" t="n">
        <v>10</v>
      </c>
      <c r="E20" s="2" t="inlineStr">
        <is>
          <t>HEMI_USDT_PERP</t>
        </is>
      </c>
      <c r="F20" s="2" t="inlineStr">
        <is>
          <t>做空</t>
        </is>
      </c>
      <c r="G20" s="20" t="n">
        <v>0.01546</v>
      </c>
      <c r="H20" s="20" t="n">
        <v>0.0149962</v>
      </c>
      <c r="I20" s="20" t="n">
        <v>0.016233</v>
      </c>
      <c r="J20" s="20" t="n"/>
      <c r="K20" s="2" t="n"/>
      <c r="L20" s="5" t="n"/>
      <c r="M20" s="19">
        <f>資金模擬!$B$5*V19</f>
        <v/>
      </c>
      <c r="N20" s="2">
        <f>IF(Z19=1,"已停止",IF(T19&gt;=M20,"已下單","資金不足略過"))</f>
        <v/>
      </c>
      <c r="O20" s="19">
        <f>IF(N20="已下單",M20*資金模擬!$B$7,0)</f>
        <v/>
      </c>
      <c r="P20" s="4" t="n"/>
      <c r="Q20" s="13" t="n">
        <v>0</v>
      </c>
      <c r="R20" s="13">
        <f>R19+Q20</f>
        <v/>
      </c>
      <c r="S20" s="19">
        <f>S19+IF(N20="已下單",M20,0)</f>
        <v/>
      </c>
      <c r="T20" s="19">
        <f>R20-S20</f>
        <v/>
      </c>
      <c r="U20" s="2">
        <f>U19+IF(N20="已下單",1,0)</f>
        <v/>
      </c>
      <c r="V20" s="19">
        <f>IF(資金模擬!$B$9=2,MAX(R20,0),MAX(V19,FLOOR(MAX(R20,0),資金模擬!$B$6)))</f>
        <v/>
      </c>
      <c r="W20" s="13">
        <f>MAX(W19,R20)</f>
        <v/>
      </c>
      <c r="X20" s="4">
        <f>IF(W20&gt;0,R20/W20-1,-1)</f>
        <v/>
      </c>
      <c r="Y20" s="19">
        <f>IF(R20&gt;0,S20*資金模擬!$B$7/R20,0)</f>
        <v/>
      </c>
      <c r="Z20" s="2">
        <f>IF(OR(Z19=1,R20&lt;=資金模擬!$B$10),1,0)</f>
        <v/>
      </c>
    </row>
    <row r="21">
      <c r="A21" s="2" t="n">
        <v>19</v>
      </c>
      <c r="B21" s="7" t="n">
        <v>46267.125</v>
      </c>
      <c r="C21" s="2" t="inlineStr">
        <is>
          <t>出場</t>
        </is>
      </c>
      <c r="D21" s="2" t="n">
        <v>9</v>
      </c>
      <c r="E21" s="2" t="inlineStr">
        <is>
          <t>PUMP_USDT_PERP</t>
        </is>
      </c>
      <c r="F21" s="2" t="inlineStr">
        <is>
          <t>做多</t>
        </is>
      </c>
      <c r="G21" s="20" t="n">
        <v>0.004467</v>
      </c>
      <c r="H21" s="20" t="n">
        <v>0.00460101</v>
      </c>
      <c r="I21" s="20" t="n">
        <v>0.00424365</v>
      </c>
      <c r="J21" s="20" t="n">
        <v>0.00424365</v>
      </c>
      <c r="K21" s="2" t="inlineStr">
        <is>
          <t>止損</t>
        </is>
      </c>
      <c r="L21" s="5">
        <f>交易明細!K10</f>
        <v/>
      </c>
      <c r="M21" s="19">
        <f>M17</f>
        <v/>
      </c>
      <c r="N21" s="2">
        <f>N17</f>
        <v/>
      </c>
      <c r="O21" s="19">
        <f>O17</f>
        <v/>
      </c>
      <c r="P21" s="4">
        <f>交易明細!L10</f>
        <v/>
      </c>
      <c r="Q21" s="13">
        <f>IF(N21="已下單",O21*P21,0)</f>
        <v/>
      </c>
      <c r="R21" s="13">
        <f>R20+Q21</f>
        <v/>
      </c>
      <c r="S21" s="19">
        <f>S20-IF(N21="已下單",M21,0)</f>
        <v/>
      </c>
      <c r="T21" s="19">
        <f>R21-S21</f>
        <v/>
      </c>
      <c r="U21" s="2">
        <f>U20-IF(N21="已下單",1,0)</f>
        <v/>
      </c>
      <c r="V21" s="19">
        <f>IF(資金模擬!$B$9=2,MAX(R21,0),MAX(V20,FLOOR(MAX(R21,0),資金模擬!$B$6)))</f>
        <v/>
      </c>
      <c r="W21" s="13">
        <f>MAX(W20,R21)</f>
        <v/>
      </c>
      <c r="X21" s="4">
        <f>IF(W21&gt;0,R21/W21-1,-1)</f>
        <v/>
      </c>
      <c r="Y21" s="19">
        <f>IF(R21&gt;0,S21*資金模擬!$B$7/R21,0)</f>
        <v/>
      </c>
      <c r="Z21" s="2">
        <f>IF(OR(Z20=1,R21&lt;=資金模擬!$B$10),1,0)</f>
        <v/>
      </c>
    </row>
    <row r="22">
      <c r="A22" s="2" t="n">
        <v>20</v>
      </c>
      <c r="B22" s="7" t="n">
        <v>46267.16666666666</v>
      </c>
      <c r="C22" s="2" t="inlineStr">
        <is>
          <t>出場</t>
        </is>
      </c>
      <c r="D22" s="2" t="n">
        <v>10</v>
      </c>
      <c r="E22" s="2" t="inlineStr">
        <is>
          <t>HEMI_USDT_PERP</t>
        </is>
      </c>
      <c r="F22" s="2" t="inlineStr">
        <is>
          <t>做空</t>
        </is>
      </c>
      <c r="G22" s="20" t="n">
        <v>0.01546</v>
      </c>
      <c r="H22" s="20" t="n">
        <v>0.0149962</v>
      </c>
      <c r="I22" s="20" t="n">
        <v>0.016233</v>
      </c>
      <c r="J22" s="20" t="n">
        <v>0.0149962</v>
      </c>
      <c r="K22" s="2" t="inlineStr">
        <is>
          <t>止盈</t>
        </is>
      </c>
      <c r="L22" s="5">
        <f>交易明細!K11</f>
        <v/>
      </c>
      <c r="M22" s="19">
        <f>M20</f>
        <v/>
      </c>
      <c r="N22" s="2">
        <f>N20</f>
        <v/>
      </c>
      <c r="O22" s="19">
        <f>O20</f>
        <v/>
      </c>
      <c r="P22" s="4">
        <f>交易明細!L11</f>
        <v/>
      </c>
      <c r="Q22" s="13">
        <f>IF(N22="已下單",O22*P22,0)</f>
        <v/>
      </c>
      <c r="R22" s="13">
        <f>R21+Q22</f>
        <v/>
      </c>
      <c r="S22" s="19">
        <f>S21-IF(N22="已下單",M22,0)</f>
        <v/>
      </c>
      <c r="T22" s="19">
        <f>R22-S22</f>
        <v/>
      </c>
      <c r="U22" s="2">
        <f>U21-IF(N22="已下單",1,0)</f>
        <v/>
      </c>
      <c r="V22" s="19">
        <f>IF(資金模擬!$B$9=2,MAX(R22,0),MAX(V21,FLOOR(MAX(R22,0),資金模擬!$B$6)))</f>
        <v/>
      </c>
      <c r="W22" s="13">
        <f>MAX(W21,R22)</f>
        <v/>
      </c>
      <c r="X22" s="4">
        <f>IF(W22&gt;0,R22/W22-1,-1)</f>
        <v/>
      </c>
      <c r="Y22" s="19">
        <f>IF(R22&gt;0,S22*資金模擬!$B$7/R22,0)</f>
        <v/>
      </c>
      <c r="Z22" s="2">
        <f>IF(OR(Z21=1,R22&lt;=資金模擬!$B$10),1,0)</f>
        <v/>
      </c>
    </row>
    <row r="23">
      <c r="A23" s="2" t="n">
        <v>21</v>
      </c>
      <c r="B23" s="7" t="n">
        <v>46267.41666666666</v>
      </c>
      <c r="C23" s="2" t="inlineStr">
        <is>
          <t>進場</t>
        </is>
      </c>
      <c r="D23" s="2" t="n">
        <v>11</v>
      </c>
      <c r="E23" s="2" t="inlineStr">
        <is>
          <t>PUMP_USDT_PERP</t>
        </is>
      </c>
      <c r="F23" s="2" t="inlineStr">
        <is>
          <t>做空</t>
        </is>
      </c>
      <c r="G23" s="20" t="n">
        <v>0.004146</v>
      </c>
      <c r="H23" s="20" t="n">
        <v>0.00402162</v>
      </c>
      <c r="I23" s="20" t="n">
        <v>0.004353300000000001</v>
      </c>
      <c r="J23" s="20" t="n"/>
      <c r="K23" s="2" t="n"/>
      <c r="L23" s="5" t="n"/>
      <c r="M23" s="19">
        <f>資金模擬!$B$5*V22</f>
        <v/>
      </c>
      <c r="N23" s="2">
        <f>IF(Z22=1,"已停止",IF(T22&gt;=M23,"已下單","資金不足略過"))</f>
        <v/>
      </c>
      <c r="O23" s="19">
        <f>IF(N23="已下單",M23*資金模擬!$B$7,0)</f>
        <v/>
      </c>
      <c r="P23" s="4" t="n"/>
      <c r="Q23" s="13" t="n">
        <v>0</v>
      </c>
      <c r="R23" s="13">
        <f>R22+Q23</f>
        <v/>
      </c>
      <c r="S23" s="19">
        <f>S22+IF(N23="已下單",M23,0)</f>
        <v/>
      </c>
      <c r="T23" s="19">
        <f>R23-S23</f>
        <v/>
      </c>
      <c r="U23" s="2">
        <f>U22+IF(N23="已下單",1,0)</f>
        <v/>
      </c>
      <c r="V23" s="19">
        <f>IF(資金模擬!$B$9=2,MAX(R23,0),MAX(V22,FLOOR(MAX(R23,0),資金模擬!$B$6)))</f>
        <v/>
      </c>
      <c r="W23" s="13">
        <f>MAX(W22,R23)</f>
        <v/>
      </c>
      <c r="X23" s="4">
        <f>IF(W23&gt;0,R23/W23-1,-1)</f>
        <v/>
      </c>
      <c r="Y23" s="19">
        <f>IF(R23&gt;0,S23*資金模擬!$B$7/R23,0)</f>
        <v/>
      </c>
      <c r="Z23" s="2">
        <f>IF(OR(Z22=1,R23&lt;=資金模擬!$B$10),1,0)</f>
        <v/>
      </c>
    </row>
    <row r="24">
      <c r="A24" s="2" t="n">
        <v>22</v>
      </c>
      <c r="B24" s="7" t="n">
        <v>46267.41666666666</v>
      </c>
      <c r="C24" s="2" t="inlineStr">
        <is>
          <t>進場</t>
        </is>
      </c>
      <c r="D24" s="2" t="n">
        <v>12</v>
      </c>
      <c r="E24" s="2" t="inlineStr">
        <is>
          <t>牛来_USDT_PERP</t>
        </is>
      </c>
      <c r="F24" s="2" t="inlineStr">
        <is>
          <t>做空</t>
        </is>
      </c>
      <c r="G24" s="20" t="n">
        <v>0.08327</v>
      </c>
      <c r="H24" s="20" t="n">
        <v>0.08077189999999999</v>
      </c>
      <c r="I24" s="20" t="n">
        <v>0.0874335</v>
      </c>
      <c r="J24" s="20" t="n"/>
      <c r="K24" s="2" t="n"/>
      <c r="L24" s="5" t="n"/>
      <c r="M24" s="19">
        <f>資金模擬!$B$5*V23</f>
        <v/>
      </c>
      <c r="N24" s="2">
        <f>IF(Z23=1,"已停止",IF(T23&gt;=M24,"已下單","資金不足略過"))</f>
        <v/>
      </c>
      <c r="O24" s="19">
        <f>IF(N24="已下單",M24*資金模擬!$B$7,0)</f>
        <v/>
      </c>
      <c r="P24" s="4" t="n"/>
      <c r="Q24" s="13" t="n">
        <v>0</v>
      </c>
      <c r="R24" s="13">
        <f>R23+Q24</f>
        <v/>
      </c>
      <c r="S24" s="19">
        <f>S23+IF(N24="已下單",M24,0)</f>
        <v/>
      </c>
      <c r="T24" s="19">
        <f>R24-S24</f>
        <v/>
      </c>
      <c r="U24" s="2">
        <f>U23+IF(N24="已下單",1,0)</f>
        <v/>
      </c>
      <c r="V24" s="19">
        <f>IF(資金模擬!$B$9=2,MAX(R24,0),MAX(V23,FLOOR(MAX(R24,0),資金模擬!$B$6)))</f>
        <v/>
      </c>
      <c r="W24" s="13">
        <f>MAX(W23,R24)</f>
        <v/>
      </c>
      <c r="X24" s="4">
        <f>IF(W24&gt;0,R24/W24-1,-1)</f>
        <v/>
      </c>
      <c r="Y24" s="19">
        <f>IF(R24&gt;0,S24*資金模擬!$B$7/R24,0)</f>
        <v/>
      </c>
      <c r="Z24" s="2">
        <f>IF(OR(Z23=1,R24&lt;=資金模擬!$B$10),1,0)</f>
        <v/>
      </c>
    </row>
    <row r="25">
      <c r="A25" s="2" t="n">
        <v>23</v>
      </c>
      <c r="B25" s="7" t="n">
        <v>46267.45833333334</v>
      </c>
      <c r="C25" s="2" t="inlineStr">
        <is>
          <t>出場</t>
        </is>
      </c>
      <c r="D25" s="2" t="n">
        <v>12</v>
      </c>
      <c r="E25" s="2" t="inlineStr">
        <is>
          <t>牛来_USDT_PERP</t>
        </is>
      </c>
      <c r="F25" s="2" t="inlineStr">
        <is>
          <t>做空</t>
        </is>
      </c>
      <c r="G25" s="20" t="n">
        <v>0.08327</v>
      </c>
      <c r="H25" s="20" t="n">
        <v>0.08077189999999999</v>
      </c>
      <c r="I25" s="20" t="n">
        <v>0.0874335</v>
      </c>
      <c r="J25" s="20" t="n">
        <v>0.08077189999999999</v>
      </c>
      <c r="K25" s="2" t="inlineStr">
        <is>
          <t>止盈</t>
        </is>
      </c>
      <c r="L25" s="5">
        <f>交易明細!K13</f>
        <v/>
      </c>
      <c r="M25" s="19">
        <f>M24</f>
        <v/>
      </c>
      <c r="N25" s="2">
        <f>N24</f>
        <v/>
      </c>
      <c r="O25" s="19">
        <f>O24</f>
        <v/>
      </c>
      <c r="P25" s="4">
        <f>交易明細!L13</f>
        <v/>
      </c>
      <c r="Q25" s="13">
        <f>IF(N25="已下單",O25*P25,0)</f>
        <v/>
      </c>
      <c r="R25" s="13">
        <f>R24+Q25</f>
        <v/>
      </c>
      <c r="S25" s="19">
        <f>S24-IF(N25="已下單",M25,0)</f>
        <v/>
      </c>
      <c r="T25" s="19">
        <f>R25-S25</f>
        <v/>
      </c>
      <c r="U25" s="2">
        <f>U24-IF(N25="已下單",1,0)</f>
        <v/>
      </c>
      <c r="V25" s="19">
        <f>IF(資金模擬!$B$9=2,MAX(R25,0),MAX(V24,FLOOR(MAX(R25,0),資金模擬!$B$6)))</f>
        <v/>
      </c>
      <c r="W25" s="13">
        <f>MAX(W24,R25)</f>
        <v/>
      </c>
      <c r="X25" s="4">
        <f>IF(W25&gt;0,R25/W25-1,-1)</f>
        <v/>
      </c>
      <c r="Y25" s="19">
        <f>IF(R25&gt;0,S25*資金模擬!$B$7/R25,0)</f>
        <v/>
      </c>
      <c r="Z25" s="2">
        <f>IF(OR(Z24=1,R25&lt;=資金模擬!$B$10),1,0)</f>
        <v/>
      </c>
    </row>
    <row r="26">
      <c r="A26" s="2" t="n">
        <v>24</v>
      </c>
      <c r="B26" s="7" t="n">
        <v>46267.45833333334</v>
      </c>
      <c r="C26" s="2" t="inlineStr">
        <is>
          <t>進場</t>
        </is>
      </c>
      <c r="D26" s="2" t="n">
        <v>13</v>
      </c>
      <c r="E26" s="2" t="inlineStr">
        <is>
          <t>UNI_USDT_PERP</t>
        </is>
      </c>
      <c r="F26" s="2" t="inlineStr">
        <is>
          <t>做多</t>
        </is>
      </c>
      <c r="G26" s="20" t="n">
        <v>6.019</v>
      </c>
      <c r="H26" s="20" t="n">
        <v>6.19957</v>
      </c>
      <c r="I26" s="20" t="n">
        <v>5.71805</v>
      </c>
      <c r="J26" s="20" t="n"/>
      <c r="K26" s="2" t="n"/>
      <c r="L26" s="5" t="n"/>
      <c r="M26" s="19">
        <f>資金模擬!$B$5*V25</f>
        <v/>
      </c>
      <c r="N26" s="2">
        <f>IF(Z25=1,"已停止",IF(T25&gt;=M26,"已下單","資金不足略過"))</f>
        <v/>
      </c>
      <c r="O26" s="19">
        <f>IF(N26="已下單",M26*資金模擬!$B$7,0)</f>
        <v/>
      </c>
      <c r="P26" s="4" t="n"/>
      <c r="Q26" s="13" t="n">
        <v>0</v>
      </c>
      <c r="R26" s="13">
        <f>R25+Q26</f>
        <v/>
      </c>
      <c r="S26" s="19">
        <f>S25+IF(N26="已下單",M26,0)</f>
        <v/>
      </c>
      <c r="T26" s="19">
        <f>R26-S26</f>
        <v/>
      </c>
      <c r="U26" s="2">
        <f>U25+IF(N26="已下單",1,0)</f>
        <v/>
      </c>
      <c r="V26" s="19">
        <f>IF(資金模擬!$B$9=2,MAX(R26,0),MAX(V25,FLOOR(MAX(R26,0),資金模擬!$B$6)))</f>
        <v/>
      </c>
      <c r="W26" s="13">
        <f>MAX(W25,R26)</f>
        <v/>
      </c>
      <c r="X26" s="4">
        <f>IF(W26&gt;0,R26/W26-1,-1)</f>
        <v/>
      </c>
      <c r="Y26" s="19">
        <f>IF(R26&gt;0,S26*資金模擬!$B$7/R26,0)</f>
        <v/>
      </c>
      <c r="Z26" s="2">
        <f>IF(OR(Z25=1,R26&lt;=資金模擬!$B$10),1,0)</f>
        <v/>
      </c>
    </row>
    <row r="27">
      <c r="A27" s="2" t="n">
        <v>25</v>
      </c>
      <c r="B27" s="7" t="n">
        <v>46267.5</v>
      </c>
      <c r="C27" s="2" t="inlineStr">
        <is>
          <t>進場</t>
        </is>
      </c>
      <c r="D27" s="2" t="n">
        <v>14</v>
      </c>
      <c r="E27" s="2" t="inlineStr">
        <is>
          <t>CRV_USDT_PERP</t>
        </is>
      </c>
      <c r="F27" s="2" t="inlineStr">
        <is>
          <t>做多</t>
        </is>
      </c>
      <c r="G27" s="20" t="n">
        <v>0.3838</v>
      </c>
      <c r="H27" s="20" t="n">
        <v>0.395314</v>
      </c>
      <c r="I27" s="20" t="n">
        <v>0.3646099999999999</v>
      </c>
      <c r="J27" s="20" t="n"/>
      <c r="K27" s="2" t="n"/>
      <c r="L27" s="5" t="n"/>
      <c r="M27" s="19">
        <f>資金模擬!$B$5*V26</f>
        <v/>
      </c>
      <c r="N27" s="2">
        <f>IF(Z26=1,"已停止",IF(T26&gt;=M27,"已下單","資金不足略過"))</f>
        <v/>
      </c>
      <c r="O27" s="19">
        <f>IF(N27="已下單",M27*資金模擬!$B$7,0)</f>
        <v/>
      </c>
      <c r="P27" s="4" t="n"/>
      <c r="Q27" s="13" t="n">
        <v>0</v>
      </c>
      <c r="R27" s="13">
        <f>R26+Q27</f>
        <v/>
      </c>
      <c r="S27" s="19">
        <f>S26+IF(N27="已下單",M27,0)</f>
        <v/>
      </c>
      <c r="T27" s="19">
        <f>R27-S27</f>
        <v/>
      </c>
      <c r="U27" s="2">
        <f>U26+IF(N27="已下單",1,0)</f>
        <v/>
      </c>
      <c r="V27" s="19">
        <f>IF(資金模擬!$B$9=2,MAX(R27,0),MAX(V26,FLOOR(MAX(R27,0),資金模擬!$B$6)))</f>
        <v/>
      </c>
      <c r="W27" s="13">
        <f>MAX(W26,R27)</f>
        <v/>
      </c>
      <c r="X27" s="4">
        <f>IF(W27&gt;0,R27/W27-1,-1)</f>
        <v/>
      </c>
      <c r="Y27" s="19">
        <f>IF(R27&gt;0,S27*資金模擬!$B$7/R27,0)</f>
        <v/>
      </c>
      <c r="Z27" s="2">
        <f>IF(OR(Z26=1,R27&lt;=資金模擬!$B$10),1,0)</f>
        <v/>
      </c>
    </row>
    <row r="28">
      <c r="A28" s="2" t="n">
        <v>26</v>
      </c>
      <c r="B28" s="7" t="n">
        <v>46267.5</v>
      </c>
      <c r="C28" s="2" t="inlineStr">
        <is>
          <t>進場</t>
        </is>
      </c>
      <c r="D28" s="2" t="n">
        <v>15</v>
      </c>
      <c r="E28" s="2" t="inlineStr">
        <is>
          <t>SKR_USDT_PERP</t>
        </is>
      </c>
      <c r="F28" s="2" t="inlineStr">
        <is>
          <t>做空</t>
        </is>
      </c>
      <c r="G28" s="20" t="n">
        <v>0.022381</v>
      </c>
      <c r="H28" s="20" t="n">
        <v>0.02170957</v>
      </c>
      <c r="I28" s="20" t="n">
        <v>0.02350005</v>
      </c>
      <c r="J28" s="20" t="n"/>
      <c r="K28" s="2" t="n"/>
      <c r="L28" s="5" t="n"/>
      <c r="M28" s="19">
        <f>資金模擬!$B$5*V27</f>
        <v/>
      </c>
      <c r="N28" s="2">
        <f>IF(Z27=1,"已停止",IF(T27&gt;=M28,"已下單","資金不足略過"))</f>
        <v/>
      </c>
      <c r="O28" s="19">
        <f>IF(N28="已下單",M28*資金模擬!$B$7,0)</f>
        <v/>
      </c>
      <c r="P28" s="4" t="n"/>
      <c r="Q28" s="13" t="n">
        <v>0</v>
      </c>
      <c r="R28" s="13">
        <f>R27+Q28</f>
        <v/>
      </c>
      <c r="S28" s="19">
        <f>S27+IF(N28="已下單",M28,0)</f>
        <v/>
      </c>
      <c r="T28" s="19">
        <f>R28-S28</f>
        <v/>
      </c>
      <c r="U28" s="2">
        <f>U27+IF(N28="已下單",1,0)</f>
        <v/>
      </c>
      <c r="V28" s="19">
        <f>IF(資金模擬!$B$9=2,MAX(R28,0),MAX(V27,FLOOR(MAX(R28,0),資金模擬!$B$6)))</f>
        <v/>
      </c>
      <c r="W28" s="13">
        <f>MAX(W27,R28)</f>
        <v/>
      </c>
      <c r="X28" s="4">
        <f>IF(W28&gt;0,R28/W28-1,-1)</f>
        <v/>
      </c>
      <c r="Y28" s="19">
        <f>IF(R28&gt;0,S28*資金模擬!$B$7/R28,0)</f>
        <v/>
      </c>
      <c r="Z28" s="2">
        <f>IF(OR(Z27=1,R28&lt;=資金模擬!$B$10),1,0)</f>
        <v/>
      </c>
    </row>
    <row r="29">
      <c r="A29" s="2" t="n">
        <v>27</v>
      </c>
      <c r="B29" s="7" t="n">
        <v>46267.54166666666</v>
      </c>
      <c r="C29" s="2" t="inlineStr">
        <is>
          <t>出場</t>
        </is>
      </c>
      <c r="D29" s="2" t="n">
        <v>13</v>
      </c>
      <c r="E29" s="2" t="inlineStr">
        <is>
          <t>UNI_USDT_PERP</t>
        </is>
      </c>
      <c r="F29" s="2" t="inlineStr">
        <is>
          <t>做多</t>
        </is>
      </c>
      <c r="G29" s="20" t="n">
        <v>6.019</v>
      </c>
      <c r="H29" s="20" t="n">
        <v>6.19957</v>
      </c>
      <c r="I29" s="20" t="n">
        <v>5.71805</v>
      </c>
      <c r="J29" s="20" t="n">
        <v>6.19957</v>
      </c>
      <c r="K29" s="2" t="inlineStr">
        <is>
          <t>止盈</t>
        </is>
      </c>
      <c r="L29" s="5">
        <f>交易明細!K14</f>
        <v/>
      </c>
      <c r="M29" s="19">
        <f>M26</f>
        <v/>
      </c>
      <c r="N29" s="2">
        <f>N26</f>
        <v/>
      </c>
      <c r="O29" s="19">
        <f>O26</f>
        <v/>
      </c>
      <c r="P29" s="4">
        <f>交易明細!L14</f>
        <v/>
      </c>
      <c r="Q29" s="13">
        <f>IF(N29="已下單",O29*P29,0)</f>
        <v/>
      </c>
      <c r="R29" s="13">
        <f>R28+Q29</f>
        <v/>
      </c>
      <c r="S29" s="19">
        <f>S28-IF(N29="已下單",M29,0)</f>
        <v/>
      </c>
      <c r="T29" s="19">
        <f>R29-S29</f>
        <v/>
      </c>
      <c r="U29" s="2">
        <f>U28-IF(N29="已下單",1,0)</f>
        <v/>
      </c>
      <c r="V29" s="19">
        <f>IF(資金模擬!$B$9=2,MAX(R29,0),MAX(V28,FLOOR(MAX(R29,0),資金模擬!$B$6)))</f>
        <v/>
      </c>
      <c r="W29" s="13">
        <f>MAX(W28,R29)</f>
        <v/>
      </c>
      <c r="X29" s="4">
        <f>IF(W29&gt;0,R29/W29-1,-1)</f>
        <v/>
      </c>
      <c r="Y29" s="19">
        <f>IF(R29&gt;0,S29*資金模擬!$B$7/R29,0)</f>
        <v/>
      </c>
      <c r="Z29" s="2">
        <f>IF(OR(Z28=1,R29&lt;=資金模擬!$B$10),1,0)</f>
        <v/>
      </c>
    </row>
    <row r="30">
      <c r="A30" s="2" t="n">
        <v>28</v>
      </c>
      <c r="B30" s="7" t="n">
        <v>46267.54166666666</v>
      </c>
      <c r="C30" s="2" t="inlineStr">
        <is>
          <t>進場</t>
        </is>
      </c>
      <c r="D30" s="2" t="n">
        <v>16</v>
      </c>
      <c r="E30" s="2" t="inlineStr">
        <is>
          <t>牛来_USDT_PERP</t>
        </is>
      </c>
      <c r="F30" s="2" t="inlineStr">
        <is>
          <t>做多</t>
        </is>
      </c>
      <c r="G30" s="20" t="n">
        <v>0.08776</v>
      </c>
      <c r="H30" s="20" t="n">
        <v>0.09039280000000001</v>
      </c>
      <c r="I30" s="20" t="n">
        <v>0.083372</v>
      </c>
      <c r="J30" s="20" t="n"/>
      <c r="K30" s="2" t="n"/>
      <c r="L30" s="5" t="n"/>
      <c r="M30" s="19">
        <f>資金模擬!$B$5*V29</f>
        <v/>
      </c>
      <c r="N30" s="2">
        <f>IF(Z29=1,"已停止",IF(T29&gt;=M30,"已下單","資金不足略過"))</f>
        <v/>
      </c>
      <c r="O30" s="19">
        <f>IF(N30="已下單",M30*資金模擬!$B$7,0)</f>
        <v/>
      </c>
      <c r="P30" s="4" t="n"/>
      <c r="Q30" s="13" t="n">
        <v>0</v>
      </c>
      <c r="R30" s="13">
        <f>R29+Q30</f>
        <v/>
      </c>
      <c r="S30" s="19">
        <f>S29+IF(N30="已下單",M30,0)</f>
        <v/>
      </c>
      <c r="T30" s="19">
        <f>R30-S30</f>
        <v/>
      </c>
      <c r="U30" s="2">
        <f>U29+IF(N30="已下單",1,0)</f>
        <v/>
      </c>
      <c r="V30" s="19">
        <f>IF(資金模擬!$B$9=2,MAX(R30,0),MAX(V29,FLOOR(MAX(R30,0),資金模擬!$B$6)))</f>
        <v/>
      </c>
      <c r="W30" s="13">
        <f>MAX(W29,R30)</f>
        <v/>
      </c>
      <c r="X30" s="4">
        <f>IF(W30&gt;0,R30/W30-1,-1)</f>
        <v/>
      </c>
      <c r="Y30" s="19">
        <f>IF(R30&gt;0,S30*資金模擬!$B$7/R30,0)</f>
        <v/>
      </c>
      <c r="Z30" s="2">
        <f>IF(OR(Z29=1,R30&lt;=資金模擬!$B$10),1,0)</f>
        <v/>
      </c>
    </row>
    <row r="31">
      <c r="A31" s="2" t="n">
        <v>29</v>
      </c>
      <c r="B31" s="7" t="n">
        <v>46267.58333333334</v>
      </c>
      <c r="C31" s="2" t="inlineStr">
        <is>
          <t>出場</t>
        </is>
      </c>
      <c r="D31" s="2" t="n">
        <v>15</v>
      </c>
      <c r="E31" s="2" t="inlineStr">
        <is>
          <t>SKR_USDT_PERP</t>
        </is>
      </c>
      <c r="F31" s="2" t="inlineStr">
        <is>
          <t>做空</t>
        </is>
      </c>
      <c r="G31" s="20" t="n">
        <v>0.022381</v>
      </c>
      <c r="H31" s="20" t="n">
        <v>0.02170957</v>
      </c>
      <c r="I31" s="20" t="n">
        <v>0.02350005</v>
      </c>
      <c r="J31" s="20" t="n">
        <v>0.02350005</v>
      </c>
      <c r="K31" s="2" t="inlineStr">
        <is>
          <t>止損</t>
        </is>
      </c>
      <c r="L31" s="5">
        <f>交易明細!K16</f>
        <v/>
      </c>
      <c r="M31" s="19">
        <f>M28</f>
        <v/>
      </c>
      <c r="N31" s="2">
        <f>N28</f>
        <v/>
      </c>
      <c r="O31" s="19">
        <f>O28</f>
        <v/>
      </c>
      <c r="P31" s="4">
        <f>交易明細!L16</f>
        <v/>
      </c>
      <c r="Q31" s="13">
        <f>IF(N31="已下單",O31*P31,0)</f>
        <v/>
      </c>
      <c r="R31" s="13">
        <f>R30+Q31</f>
        <v/>
      </c>
      <c r="S31" s="19">
        <f>S30-IF(N31="已下單",M31,0)</f>
        <v/>
      </c>
      <c r="T31" s="19">
        <f>R31-S31</f>
        <v/>
      </c>
      <c r="U31" s="2">
        <f>U30-IF(N31="已下單",1,0)</f>
        <v/>
      </c>
      <c r="V31" s="19">
        <f>IF(資金模擬!$B$9=2,MAX(R31,0),MAX(V30,FLOOR(MAX(R31,0),資金模擬!$B$6)))</f>
        <v/>
      </c>
      <c r="W31" s="13">
        <f>MAX(W30,R31)</f>
        <v/>
      </c>
      <c r="X31" s="4">
        <f>IF(W31&gt;0,R31/W31-1,-1)</f>
        <v/>
      </c>
      <c r="Y31" s="19">
        <f>IF(R31&gt;0,S31*資金模擬!$B$7/R31,0)</f>
        <v/>
      </c>
      <c r="Z31" s="2">
        <f>IF(OR(Z30=1,R31&lt;=資金模擬!$B$10),1,0)</f>
        <v/>
      </c>
    </row>
    <row r="32">
      <c r="A32" s="2" t="n">
        <v>30</v>
      </c>
      <c r="B32" s="7" t="n">
        <v>46267.58333333334</v>
      </c>
      <c r="C32" s="2" t="inlineStr">
        <is>
          <t>出場</t>
        </is>
      </c>
      <c r="D32" s="2" t="n">
        <v>16</v>
      </c>
      <c r="E32" s="2" t="inlineStr">
        <is>
          <t>牛来_USDT_PERP</t>
        </is>
      </c>
      <c r="F32" s="2" t="inlineStr">
        <is>
          <t>做多</t>
        </is>
      </c>
      <c r="G32" s="20" t="n">
        <v>0.08776</v>
      </c>
      <c r="H32" s="20" t="n">
        <v>0.09039280000000001</v>
      </c>
      <c r="I32" s="20" t="n">
        <v>0.083372</v>
      </c>
      <c r="J32" s="20" t="n">
        <v>0.09039280000000001</v>
      </c>
      <c r="K32" s="2" t="inlineStr">
        <is>
          <t>止盈</t>
        </is>
      </c>
      <c r="L32" s="5">
        <f>交易明細!K17</f>
        <v/>
      </c>
      <c r="M32" s="19">
        <f>M30</f>
        <v/>
      </c>
      <c r="N32" s="2">
        <f>N30</f>
        <v/>
      </c>
      <c r="O32" s="19">
        <f>O30</f>
        <v/>
      </c>
      <c r="P32" s="4">
        <f>交易明細!L17</f>
        <v/>
      </c>
      <c r="Q32" s="13">
        <f>IF(N32="已下單",O32*P32,0)</f>
        <v/>
      </c>
      <c r="R32" s="13">
        <f>R31+Q32</f>
        <v/>
      </c>
      <c r="S32" s="19">
        <f>S31-IF(N32="已下單",M32,0)</f>
        <v/>
      </c>
      <c r="T32" s="19">
        <f>R32-S32</f>
        <v/>
      </c>
      <c r="U32" s="2">
        <f>U31-IF(N32="已下單",1,0)</f>
        <v/>
      </c>
      <c r="V32" s="19">
        <f>IF(資金模擬!$B$9=2,MAX(R32,0),MAX(V31,FLOOR(MAX(R32,0),資金模擬!$B$6)))</f>
        <v/>
      </c>
      <c r="W32" s="13">
        <f>MAX(W31,R32)</f>
        <v/>
      </c>
      <c r="X32" s="4">
        <f>IF(W32&gt;0,R32/W32-1,-1)</f>
        <v/>
      </c>
      <c r="Y32" s="19">
        <f>IF(R32&gt;0,S32*資金模擬!$B$7/R32,0)</f>
        <v/>
      </c>
      <c r="Z32" s="2">
        <f>IF(OR(Z31=1,R32&lt;=資金模擬!$B$10),1,0)</f>
        <v/>
      </c>
    </row>
    <row r="33">
      <c r="A33" s="2" t="n">
        <v>31</v>
      </c>
      <c r="B33" s="7" t="n">
        <v>46267.58333333334</v>
      </c>
      <c r="C33" s="2" t="inlineStr">
        <is>
          <t>進場</t>
        </is>
      </c>
      <c r="D33" s="2" t="n">
        <v>17</v>
      </c>
      <c r="E33" s="2" t="inlineStr">
        <is>
          <t>PONS_USDT_PERP</t>
        </is>
      </c>
      <c r="F33" s="2" t="inlineStr">
        <is>
          <t>做多</t>
        </is>
      </c>
      <c r="G33" s="20" t="n">
        <v>0.4351</v>
      </c>
      <c r="H33" s="20" t="n">
        <v>0.448153</v>
      </c>
      <c r="I33" s="20" t="n">
        <v>0.413345</v>
      </c>
      <c r="J33" s="20" t="n"/>
      <c r="K33" s="2" t="n"/>
      <c r="L33" s="5" t="n"/>
      <c r="M33" s="19">
        <f>資金模擬!$B$5*V32</f>
        <v/>
      </c>
      <c r="N33" s="2">
        <f>IF(Z32=1,"已停止",IF(T32&gt;=M33,"已下單","資金不足略過"))</f>
        <v/>
      </c>
      <c r="O33" s="19">
        <f>IF(N33="已下單",M33*資金模擬!$B$7,0)</f>
        <v/>
      </c>
      <c r="P33" s="4" t="n"/>
      <c r="Q33" s="13" t="n">
        <v>0</v>
      </c>
      <c r="R33" s="13">
        <f>R32+Q33</f>
        <v/>
      </c>
      <c r="S33" s="19">
        <f>S32+IF(N33="已下單",M33,0)</f>
        <v/>
      </c>
      <c r="T33" s="19">
        <f>R33-S33</f>
        <v/>
      </c>
      <c r="U33" s="2">
        <f>U32+IF(N33="已下單",1,0)</f>
        <v/>
      </c>
      <c r="V33" s="19">
        <f>IF(資金模擬!$B$9=2,MAX(R33,0),MAX(V32,FLOOR(MAX(R33,0),資金模擬!$B$6)))</f>
        <v/>
      </c>
      <c r="W33" s="13">
        <f>MAX(W32,R33)</f>
        <v/>
      </c>
      <c r="X33" s="4">
        <f>IF(W33&gt;0,R33/W33-1,-1)</f>
        <v/>
      </c>
      <c r="Y33" s="19">
        <f>IF(R33&gt;0,S33*資金模擬!$B$7/R33,0)</f>
        <v/>
      </c>
      <c r="Z33" s="2">
        <f>IF(OR(Z32=1,R33&lt;=資金模擬!$B$10),1,0)</f>
        <v/>
      </c>
    </row>
    <row r="34">
      <c r="A34" s="2" t="n">
        <v>32</v>
      </c>
      <c r="B34" s="7" t="n">
        <v>46267.625</v>
      </c>
      <c r="C34" s="2" t="inlineStr">
        <is>
          <t>進場</t>
        </is>
      </c>
      <c r="D34" s="2" t="n">
        <v>18</v>
      </c>
      <c r="E34" s="2" t="inlineStr">
        <is>
          <t>HEMI_USDT_PERP</t>
        </is>
      </c>
      <c r="F34" s="2" t="inlineStr">
        <is>
          <t>做空</t>
        </is>
      </c>
      <c r="G34" s="20" t="n">
        <v>0.01439</v>
      </c>
      <c r="H34" s="20" t="n">
        <v>0.0139583</v>
      </c>
      <c r="I34" s="20" t="n">
        <v>0.0151095</v>
      </c>
      <c r="J34" s="20" t="n"/>
      <c r="K34" s="2" t="n"/>
      <c r="L34" s="5" t="n"/>
      <c r="M34" s="19">
        <f>資金模擬!$B$5*V33</f>
        <v/>
      </c>
      <c r="N34" s="2">
        <f>IF(Z33=1,"已停止",IF(T33&gt;=M34,"已下單","資金不足略過"))</f>
        <v/>
      </c>
      <c r="O34" s="19">
        <f>IF(N34="已下單",M34*資金模擬!$B$7,0)</f>
        <v/>
      </c>
      <c r="P34" s="4" t="n"/>
      <c r="Q34" s="13" t="n">
        <v>0</v>
      </c>
      <c r="R34" s="13">
        <f>R33+Q34</f>
        <v/>
      </c>
      <c r="S34" s="19">
        <f>S33+IF(N34="已下單",M34,0)</f>
        <v/>
      </c>
      <c r="T34" s="19">
        <f>R34-S34</f>
        <v/>
      </c>
      <c r="U34" s="2">
        <f>U33+IF(N34="已下單",1,0)</f>
        <v/>
      </c>
      <c r="V34" s="19">
        <f>IF(資金模擬!$B$9=2,MAX(R34,0),MAX(V33,FLOOR(MAX(R34,0),資金模擬!$B$6)))</f>
        <v/>
      </c>
      <c r="W34" s="13">
        <f>MAX(W33,R34)</f>
        <v/>
      </c>
      <c r="X34" s="4">
        <f>IF(W34&gt;0,R34/W34-1,-1)</f>
        <v/>
      </c>
      <c r="Y34" s="19">
        <f>IF(R34&gt;0,S34*資金模擬!$B$7/R34,0)</f>
        <v/>
      </c>
      <c r="Z34" s="2">
        <f>IF(OR(Z33=1,R34&lt;=資金模擬!$B$10),1,0)</f>
        <v/>
      </c>
    </row>
    <row r="35">
      <c r="A35" s="2" t="n">
        <v>33</v>
      </c>
      <c r="B35" s="7" t="n">
        <v>46267.625</v>
      </c>
      <c r="C35" s="2" t="inlineStr">
        <is>
          <t>進場</t>
        </is>
      </c>
      <c r="D35" s="2" t="n">
        <v>19</v>
      </c>
      <c r="E35" s="2" t="inlineStr">
        <is>
          <t>SKR_USDT_PERP</t>
        </is>
      </c>
      <c r="F35" s="2" t="inlineStr">
        <is>
          <t>做空</t>
        </is>
      </c>
      <c r="G35" s="20" t="n">
        <v>0.02203</v>
      </c>
      <c r="H35" s="20" t="n">
        <v>0.0213691</v>
      </c>
      <c r="I35" s="20" t="n">
        <v>0.0231315</v>
      </c>
      <c r="J35" s="20" t="n"/>
      <c r="K35" s="2" t="n"/>
      <c r="L35" s="5" t="n"/>
      <c r="M35" s="19">
        <f>資金模擬!$B$5*V34</f>
        <v/>
      </c>
      <c r="N35" s="2">
        <f>IF(Z34=1,"已停止",IF(T34&gt;=M35,"已下單","資金不足略過"))</f>
        <v/>
      </c>
      <c r="O35" s="19">
        <f>IF(N35="已下單",M35*資金模擬!$B$7,0)</f>
        <v/>
      </c>
      <c r="P35" s="4" t="n"/>
      <c r="Q35" s="13" t="n">
        <v>0</v>
      </c>
      <c r="R35" s="13">
        <f>R34+Q35</f>
        <v/>
      </c>
      <c r="S35" s="19">
        <f>S34+IF(N35="已下單",M35,0)</f>
        <v/>
      </c>
      <c r="T35" s="19">
        <f>R35-S35</f>
        <v/>
      </c>
      <c r="U35" s="2">
        <f>U34+IF(N35="已下單",1,0)</f>
        <v/>
      </c>
      <c r="V35" s="19">
        <f>IF(資金模擬!$B$9=2,MAX(R35,0),MAX(V34,FLOOR(MAX(R35,0),資金模擬!$B$6)))</f>
        <v/>
      </c>
      <c r="W35" s="13">
        <f>MAX(W34,R35)</f>
        <v/>
      </c>
      <c r="X35" s="4">
        <f>IF(W35&gt;0,R35/W35-1,-1)</f>
        <v/>
      </c>
      <c r="Y35" s="19">
        <f>IF(R35&gt;0,S35*資金模擬!$B$7/R35,0)</f>
        <v/>
      </c>
      <c r="Z35" s="2">
        <f>IF(OR(Z34=1,R35&lt;=資金模擬!$B$10),1,0)</f>
        <v/>
      </c>
    </row>
    <row r="36">
      <c r="A36" s="2" t="n">
        <v>34</v>
      </c>
      <c r="B36" s="7" t="n">
        <v>46267.66666666666</v>
      </c>
      <c r="C36" s="2" t="inlineStr">
        <is>
          <t>出場</t>
        </is>
      </c>
      <c r="D36" s="2" t="n">
        <v>17</v>
      </c>
      <c r="E36" s="2" t="inlineStr">
        <is>
          <t>PONS_USDT_PERP</t>
        </is>
      </c>
      <c r="F36" s="2" t="inlineStr">
        <is>
          <t>做多</t>
        </is>
      </c>
      <c r="G36" s="20" t="n">
        <v>0.4351</v>
      </c>
      <c r="H36" s="20" t="n">
        <v>0.448153</v>
      </c>
      <c r="I36" s="20" t="n">
        <v>0.413345</v>
      </c>
      <c r="J36" s="20" t="n">
        <v>0.413345</v>
      </c>
      <c r="K36" s="2" t="inlineStr">
        <is>
          <t>止損</t>
        </is>
      </c>
      <c r="L36" s="5">
        <f>交易明細!K18</f>
        <v/>
      </c>
      <c r="M36" s="19">
        <f>M33</f>
        <v/>
      </c>
      <c r="N36" s="2">
        <f>N33</f>
        <v/>
      </c>
      <c r="O36" s="19">
        <f>O33</f>
        <v/>
      </c>
      <c r="P36" s="4">
        <f>交易明細!L18</f>
        <v/>
      </c>
      <c r="Q36" s="13">
        <f>IF(N36="已下單",O36*P36,0)</f>
        <v/>
      </c>
      <c r="R36" s="13">
        <f>R35+Q36</f>
        <v/>
      </c>
      <c r="S36" s="19">
        <f>S35-IF(N36="已下單",M36,0)</f>
        <v/>
      </c>
      <c r="T36" s="19">
        <f>R36-S36</f>
        <v/>
      </c>
      <c r="U36" s="2">
        <f>U35-IF(N36="已下單",1,0)</f>
        <v/>
      </c>
      <c r="V36" s="19">
        <f>IF(資金模擬!$B$9=2,MAX(R36,0),MAX(V35,FLOOR(MAX(R36,0),資金模擬!$B$6)))</f>
        <v/>
      </c>
      <c r="W36" s="13">
        <f>MAX(W35,R36)</f>
        <v/>
      </c>
      <c r="X36" s="4">
        <f>IF(W36&gt;0,R36/W36-1,-1)</f>
        <v/>
      </c>
      <c r="Y36" s="19">
        <f>IF(R36&gt;0,S36*資金模擬!$B$7/R36,0)</f>
        <v/>
      </c>
      <c r="Z36" s="2">
        <f>IF(OR(Z35=1,R36&lt;=資金模擬!$B$10),1,0)</f>
        <v/>
      </c>
    </row>
    <row r="37">
      <c r="A37" s="2" t="n">
        <v>35</v>
      </c>
      <c r="B37" s="7" t="n">
        <v>46267.66666666666</v>
      </c>
      <c r="C37" s="2" t="inlineStr">
        <is>
          <t>出場</t>
        </is>
      </c>
      <c r="D37" s="2" t="n">
        <v>18</v>
      </c>
      <c r="E37" s="2" t="inlineStr">
        <is>
          <t>HEMI_USDT_PERP</t>
        </is>
      </c>
      <c r="F37" s="2" t="inlineStr">
        <is>
          <t>做空</t>
        </is>
      </c>
      <c r="G37" s="20" t="n">
        <v>0.01439</v>
      </c>
      <c r="H37" s="20" t="n">
        <v>0.0139583</v>
      </c>
      <c r="I37" s="20" t="n">
        <v>0.0151095</v>
      </c>
      <c r="J37" s="20" t="n">
        <v>0.0151095</v>
      </c>
      <c r="K37" s="2" t="inlineStr">
        <is>
          <t>止損</t>
        </is>
      </c>
      <c r="L37" s="5">
        <f>交易明細!K19</f>
        <v/>
      </c>
      <c r="M37" s="19">
        <f>M34</f>
        <v/>
      </c>
      <c r="N37" s="2">
        <f>N34</f>
        <v/>
      </c>
      <c r="O37" s="19">
        <f>O34</f>
        <v/>
      </c>
      <c r="P37" s="4">
        <f>交易明細!L19</f>
        <v/>
      </c>
      <c r="Q37" s="13">
        <f>IF(N37="已下單",O37*P37,0)</f>
        <v/>
      </c>
      <c r="R37" s="13">
        <f>R36+Q37</f>
        <v/>
      </c>
      <c r="S37" s="19">
        <f>S36-IF(N37="已下單",M37,0)</f>
        <v/>
      </c>
      <c r="T37" s="19">
        <f>R37-S37</f>
        <v/>
      </c>
      <c r="U37" s="2">
        <f>U36-IF(N37="已下單",1,0)</f>
        <v/>
      </c>
      <c r="V37" s="19">
        <f>IF(資金模擬!$B$9=2,MAX(R37,0),MAX(V36,FLOOR(MAX(R37,0),資金模擬!$B$6)))</f>
        <v/>
      </c>
      <c r="W37" s="13">
        <f>MAX(W36,R37)</f>
        <v/>
      </c>
      <c r="X37" s="4">
        <f>IF(W37&gt;0,R37/W37-1,-1)</f>
        <v/>
      </c>
      <c r="Y37" s="19">
        <f>IF(R37&gt;0,S37*資金模擬!$B$7/R37,0)</f>
        <v/>
      </c>
      <c r="Z37" s="2">
        <f>IF(OR(Z36=1,R37&lt;=資金模擬!$B$10),1,0)</f>
        <v/>
      </c>
    </row>
    <row r="38">
      <c r="A38" s="2" t="n">
        <v>36</v>
      </c>
      <c r="B38" s="7" t="n">
        <v>46267.66666666666</v>
      </c>
      <c r="C38" s="2" t="inlineStr">
        <is>
          <t>出場</t>
        </is>
      </c>
      <c r="D38" s="2" t="n">
        <v>19</v>
      </c>
      <c r="E38" s="2" t="inlineStr">
        <is>
          <t>SKR_USDT_PERP</t>
        </is>
      </c>
      <c r="F38" s="2" t="inlineStr">
        <is>
          <t>做空</t>
        </is>
      </c>
      <c r="G38" s="20" t="n">
        <v>0.02203</v>
      </c>
      <c r="H38" s="20" t="n">
        <v>0.0213691</v>
      </c>
      <c r="I38" s="20" t="n">
        <v>0.0231315</v>
      </c>
      <c r="J38" s="20" t="n">
        <v>0.0213691</v>
      </c>
      <c r="K38" s="2" t="inlineStr">
        <is>
          <t>止盈</t>
        </is>
      </c>
      <c r="L38" s="5">
        <f>交易明細!K20</f>
        <v/>
      </c>
      <c r="M38" s="19">
        <f>M35</f>
        <v/>
      </c>
      <c r="N38" s="2">
        <f>N35</f>
        <v/>
      </c>
      <c r="O38" s="19">
        <f>O35</f>
        <v/>
      </c>
      <c r="P38" s="4">
        <f>交易明細!L20</f>
        <v/>
      </c>
      <c r="Q38" s="13">
        <f>IF(N38="已下單",O38*P38,0)</f>
        <v/>
      </c>
      <c r="R38" s="13">
        <f>R37+Q38</f>
        <v/>
      </c>
      <c r="S38" s="19">
        <f>S37-IF(N38="已下單",M38,0)</f>
        <v/>
      </c>
      <c r="T38" s="19">
        <f>R38-S38</f>
        <v/>
      </c>
      <c r="U38" s="2">
        <f>U37-IF(N38="已下單",1,0)</f>
        <v/>
      </c>
      <c r="V38" s="19">
        <f>IF(資金模擬!$B$9=2,MAX(R38,0),MAX(V37,FLOOR(MAX(R38,0),資金模擬!$B$6)))</f>
        <v/>
      </c>
      <c r="W38" s="13">
        <f>MAX(W37,R38)</f>
        <v/>
      </c>
      <c r="X38" s="4">
        <f>IF(W38&gt;0,R38/W38-1,-1)</f>
        <v/>
      </c>
      <c r="Y38" s="19">
        <f>IF(R38&gt;0,S38*資金模擬!$B$7/R38,0)</f>
        <v/>
      </c>
      <c r="Z38" s="2">
        <f>IF(OR(Z37=1,R38&lt;=資金模擬!$B$10),1,0)</f>
        <v/>
      </c>
    </row>
    <row r="39">
      <c r="A39" s="2" t="n">
        <v>37</v>
      </c>
      <c r="B39" s="7" t="n">
        <v>46267.75</v>
      </c>
      <c r="C39" s="2" t="inlineStr">
        <is>
          <t>進場</t>
        </is>
      </c>
      <c r="D39" s="2" t="n">
        <v>20</v>
      </c>
      <c r="E39" s="2" t="inlineStr">
        <is>
          <t>USELESS_USDT_PERP</t>
        </is>
      </c>
      <c r="F39" s="2" t="inlineStr">
        <is>
          <t>做空</t>
        </is>
      </c>
      <c r="G39" s="20" t="n">
        <v>0.10669</v>
      </c>
      <c r="H39" s="20" t="n">
        <v>0.1034893</v>
      </c>
      <c r="I39" s="20" t="n">
        <v>0.1120245</v>
      </c>
      <c r="J39" s="20" t="n"/>
      <c r="K39" s="2" t="n"/>
      <c r="L39" s="5" t="n"/>
      <c r="M39" s="19">
        <f>資金模擬!$B$5*V38</f>
        <v/>
      </c>
      <c r="N39" s="2">
        <f>IF(Z38=1,"已停止",IF(T38&gt;=M39,"已下單","資金不足略過"))</f>
        <v/>
      </c>
      <c r="O39" s="19">
        <f>IF(N39="已下單",M39*資金模擬!$B$7,0)</f>
        <v/>
      </c>
      <c r="P39" s="4" t="n"/>
      <c r="Q39" s="13" t="n">
        <v>0</v>
      </c>
      <c r="R39" s="13">
        <f>R38+Q39</f>
        <v/>
      </c>
      <c r="S39" s="19">
        <f>S38+IF(N39="已下單",M39,0)</f>
        <v/>
      </c>
      <c r="T39" s="19">
        <f>R39-S39</f>
        <v/>
      </c>
      <c r="U39" s="2">
        <f>U38+IF(N39="已下單",1,0)</f>
        <v/>
      </c>
      <c r="V39" s="19">
        <f>IF(資金模擬!$B$9=2,MAX(R39,0),MAX(V38,FLOOR(MAX(R39,0),資金模擬!$B$6)))</f>
        <v/>
      </c>
      <c r="W39" s="13">
        <f>MAX(W38,R39)</f>
        <v/>
      </c>
      <c r="X39" s="4">
        <f>IF(W39&gt;0,R39/W39-1,-1)</f>
        <v/>
      </c>
      <c r="Y39" s="19">
        <f>IF(R39&gt;0,S39*資金模擬!$B$7/R39,0)</f>
        <v/>
      </c>
      <c r="Z39" s="2">
        <f>IF(OR(Z38=1,R39&lt;=資金模擬!$B$10),1,0)</f>
        <v/>
      </c>
    </row>
    <row r="40">
      <c r="A40" s="2" t="n">
        <v>38</v>
      </c>
      <c r="B40" s="7" t="n">
        <v>46267.79166666666</v>
      </c>
      <c r="C40" s="2" t="inlineStr">
        <is>
          <t>出場</t>
        </is>
      </c>
      <c r="D40" s="2" t="n">
        <v>14</v>
      </c>
      <c r="E40" s="2" t="inlineStr">
        <is>
          <t>CRV_USDT_PERP</t>
        </is>
      </c>
      <c r="F40" s="2" t="inlineStr">
        <is>
          <t>做多</t>
        </is>
      </c>
      <c r="G40" s="20" t="n">
        <v>0.3838</v>
      </c>
      <c r="H40" s="20" t="n">
        <v>0.395314</v>
      </c>
      <c r="I40" s="20" t="n">
        <v>0.3646099999999999</v>
      </c>
      <c r="J40" s="20" t="n">
        <v>0.3646099999999999</v>
      </c>
      <c r="K40" s="2" t="inlineStr">
        <is>
          <t>止損</t>
        </is>
      </c>
      <c r="L40" s="5">
        <f>交易明細!K15</f>
        <v/>
      </c>
      <c r="M40" s="19">
        <f>M27</f>
        <v/>
      </c>
      <c r="N40" s="2">
        <f>N27</f>
        <v/>
      </c>
      <c r="O40" s="19">
        <f>O27</f>
        <v/>
      </c>
      <c r="P40" s="4">
        <f>交易明細!L15</f>
        <v/>
      </c>
      <c r="Q40" s="13">
        <f>IF(N40="已下單",O40*P40,0)</f>
        <v/>
      </c>
      <c r="R40" s="13">
        <f>R39+Q40</f>
        <v/>
      </c>
      <c r="S40" s="19">
        <f>S39-IF(N40="已下單",M40,0)</f>
        <v/>
      </c>
      <c r="T40" s="19">
        <f>R40-S40</f>
        <v/>
      </c>
      <c r="U40" s="2">
        <f>U39-IF(N40="已下單",1,0)</f>
        <v/>
      </c>
      <c r="V40" s="19">
        <f>IF(資金模擬!$B$9=2,MAX(R40,0),MAX(V39,FLOOR(MAX(R40,0),資金模擬!$B$6)))</f>
        <v/>
      </c>
      <c r="W40" s="13">
        <f>MAX(W39,R40)</f>
        <v/>
      </c>
      <c r="X40" s="4">
        <f>IF(W40&gt;0,R40/W40-1,-1)</f>
        <v/>
      </c>
      <c r="Y40" s="19">
        <f>IF(R40&gt;0,S40*資金模擬!$B$7/R40,0)</f>
        <v/>
      </c>
      <c r="Z40" s="2">
        <f>IF(OR(Z39=1,R40&lt;=資金模擬!$B$10),1,0)</f>
        <v/>
      </c>
    </row>
    <row r="41">
      <c r="A41" s="2" t="n">
        <v>39</v>
      </c>
      <c r="B41" s="7" t="n">
        <v>46267.79166666666</v>
      </c>
      <c r="C41" s="2" t="inlineStr">
        <is>
          <t>出場</t>
        </is>
      </c>
      <c r="D41" s="2" t="n">
        <v>20</v>
      </c>
      <c r="E41" s="2" t="inlineStr">
        <is>
          <t>USELESS_USDT_PERP</t>
        </is>
      </c>
      <c r="F41" s="2" t="inlineStr">
        <is>
          <t>做空</t>
        </is>
      </c>
      <c r="G41" s="20" t="n">
        <v>0.10669</v>
      </c>
      <c r="H41" s="20" t="n">
        <v>0.1034893</v>
      </c>
      <c r="I41" s="20" t="n">
        <v>0.1120245</v>
      </c>
      <c r="J41" s="20" t="n">
        <v>0.1034893</v>
      </c>
      <c r="K41" s="2" t="inlineStr">
        <is>
          <t>止盈</t>
        </is>
      </c>
      <c r="L41" s="5">
        <f>交易明細!K21</f>
        <v/>
      </c>
      <c r="M41" s="19">
        <f>M39</f>
        <v/>
      </c>
      <c r="N41" s="2">
        <f>N39</f>
        <v/>
      </c>
      <c r="O41" s="19">
        <f>O39</f>
        <v/>
      </c>
      <c r="P41" s="4">
        <f>交易明細!L21</f>
        <v/>
      </c>
      <c r="Q41" s="13">
        <f>IF(N41="已下單",O41*P41,0)</f>
        <v/>
      </c>
      <c r="R41" s="13">
        <f>R40+Q41</f>
        <v/>
      </c>
      <c r="S41" s="19">
        <f>S40-IF(N41="已下單",M41,0)</f>
        <v/>
      </c>
      <c r="T41" s="19">
        <f>R41-S41</f>
        <v/>
      </c>
      <c r="U41" s="2">
        <f>U40-IF(N41="已下單",1,0)</f>
        <v/>
      </c>
      <c r="V41" s="19">
        <f>IF(資金模擬!$B$9=2,MAX(R41,0),MAX(V40,FLOOR(MAX(R41,0),資金模擬!$B$6)))</f>
        <v/>
      </c>
      <c r="W41" s="13">
        <f>MAX(W40,R41)</f>
        <v/>
      </c>
      <c r="X41" s="4">
        <f>IF(W41&gt;0,R41/W41-1,-1)</f>
        <v/>
      </c>
      <c r="Y41" s="19">
        <f>IF(R41&gt;0,S41*資金模擬!$B$7/R41,0)</f>
        <v/>
      </c>
      <c r="Z41" s="2">
        <f>IF(OR(Z40=1,R41&lt;=資金模擬!$B$10),1,0)</f>
        <v/>
      </c>
    </row>
    <row r="42">
      <c r="A42" s="2" t="n">
        <v>40</v>
      </c>
      <c r="B42" s="7" t="n">
        <v>46267.79166666666</v>
      </c>
      <c r="C42" s="2" t="inlineStr">
        <is>
          <t>進場</t>
        </is>
      </c>
      <c r="D42" s="2" t="n">
        <v>21</v>
      </c>
      <c r="E42" s="2" t="inlineStr">
        <is>
          <t>UAI_USDT_PERP</t>
        </is>
      </c>
      <c r="F42" s="2" t="inlineStr">
        <is>
          <t>做空</t>
        </is>
      </c>
      <c r="G42" s="20" t="n">
        <v>0.5241</v>
      </c>
      <c r="H42" s="20" t="n">
        <v>0.508377</v>
      </c>
      <c r="I42" s="20" t="n">
        <v>0.550305</v>
      </c>
      <c r="J42" s="20" t="n"/>
      <c r="K42" s="2" t="n"/>
      <c r="L42" s="5" t="n"/>
      <c r="M42" s="19">
        <f>資金模擬!$B$5*V41</f>
        <v/>
      </c>
      <c r="N42" s="2">
        <f>IF(Z41=1,"已停止",IF(T41&gt;=M42,"已下單","資金不足略過"))</f>
        <v/>
      </c>
      <c r="O42" s="19">
        <f>IF(N42="已下單",M42*資金模擬!$B$7,0)</f>
        <v/>
      </c>
      <c r="P42" s="4" t="n"/>
      <c r="Q42" s="13" t="n">
        <v>0</v>
      </c>
      <c r="R42" s="13">
        <f>R41+Q42</f>
        <v/>
      </c>
      <c r="S42" s="19">
        <f>S41+IF(N42="已下單",M42,0)</f>
        <v/>
      </c>
      <c r="T42" s="19">
        <f>R42-S42</f>
        <v/>
      </c>
      <c r="U42" s="2">
        <f>U41+IF(N42="已下單",1,0)</f>
        <v/>
      </c>
      <c r="V42" s="19">
        <f>IF(資金模擬!$B$9=2,MAX(R42,0),MAX(V41,FLOOR(MAX(R42,0),資金模擬!$B$6)))</f>
        <v/>
      </c>
      <c r="W42" s="13">
        <f>MAX(W41,R42)</f>
        <v/>
      </c>
      <c r="X42" s="4">
        <f>IF(W42&gt;0,R42/W42-1,-1)</f>
        <v/>
      </c>
      <c r="Y42" s="19">
        <f>IF(R42&gt;0,S42*資金模擬!$B$7/R42,0)</f>
        <v/>
      </c>
      <c r="Z42" s="2">
        <f>IF(OR(Z41=1,R42&lt;=資金模擬!$B$10),1,0)</f>
        <v/>
      </c>
    </row>
    <row r="43">
      <c r="A43" s="2" t="n">
        <v>41</v>
      </c>
      <c r="B43" s="7" t="n">
        <v>46267.83333333334</v>
      </c>
      <c r="C43" s="2" t="inlineStr">
        <is>
          <t>進場</t>
        </is>
      </c>
      <c r="D43" s="2" t="n">
        <v>22</v>
      </c>
      <c r="E43" s="2" t="inlineStr">
        <is>
          <t>ACE_USDT_PERP</t>
        </is>
      </c>
      <c r="F43" s="2" t="inlineStr">
        <is>
          <t>做空</t>
        </is>
      </c>
      <c r="G43" s="20" t="n">
        <v>0.19257</v>
      </c>
      <c r="H43" s="20" t="n">
        <v>0.1867929</v>
      </c>
      <c r="I43" s="20" t="n">
        <v>0.2021985</v>
      </c>
      <c r="J43" s="20" t="n"/>
      <c r="K43" s="2" t="n"/>
      <c r="L43" s="5" t="n"/>
      <c r="M43" s="19">
        <f>資金模擬!$B$5*V42</f>
        <v/>
      </c>
      <c r="N43" s="2">
        <f>IF(Z42=1,"已停止",IF(T42&gt;=M43,"已下單","資金不足略過"))</f>
        <v/>
      </c>
      <c r="O43" s="19">
        <f>IF(N43="已下單",M43*資金模擬!$B$7,0)</f>
        <v/>
      </c>
      <c r="P43" s="4" t="n"/>
      <c r="Q43" s="13" t="n">
        <v>0</v>
      </c>
      <c r="R43" s="13">
        <f>R42+Q43</f>
        <v/>
      </c>
      <c r="S43" s="19">
        <f>S42+IF(N43="已下單",M43,0)</f>
        <v/>
      </c>
      <c r="T43" s="19">
        <f>R43-S43</f>
        <v/>
      </c>
      <c r="U43" s="2">
        <f>U42+IF(N43="已下單",1,0)</f>
        <v/>
      </c>
      <c r="V43" s="19">
        <f>IF(資金模擬!$B$9=2,MAX(R43,0),MAX(V42,FLOOR(MAX(R43,0),資金模擬!$B$6)))</f>
        <v/>
      </c>
      <c r="W43" s="13">
        <f>MAX(W42,R43)</f>
        <v/>
      </c>
      <c r="X43" s="4">
        <f>IF(W43&gt;0,R43/W43-1,-1)</f>
        <v/>
      </c>
      <c r="Y43" s="19">
        <f>IF(R43&gt;0,S43*資金模擬!$B$7/R43,0)</f>
        <v/>
      </c>
      <c r="Z43" s="2">
        <f>IF(OR(Z42=1,R43&lt;=資金模擬!$B$10),1,0)</f>
        <v/>
      </c>
    </row>
    <row r="44">
      <c r="A44" s="2" t="n">
        <v>42</v>
      </c>
      <c r="B44" s="7" t="n">
        <v>46267.83333333334</v>
      </c>
      <c r="C44" s="2" t="inlineStr">
        <is>
          <t>進場</t>
        </is>
      </c>
      <c r="D44" s="2" t="n">
        <v>23</v>
      </c>
      <c r="E44" s="2" t="inlineStr">
        <is>
          <t>ARB_USDT_PERP</t>
        </is>
      </c>
      <c r="F44" s="2" t="inlineStr">
        <is>
          <t>做空</t>
        </is>
      </c>
      <c r="G44" s="20" t="n">
        <v>0.1076</v>
      </c>
      <c r="H44" s="20" t="n">
        <v>0.104372</v>
      </c>
      <c r="I44" s="20" t="n">
        <v>0.11298</v>
      </c>
      <c r="J44" s="20" t="n"/>
      <c r="K44" s="2" t="n"/>
      <c r="L44" s="5" t="n"/>
      <c r="M44" s="19">
        <f>資金模擬!$B$5*V43</f>
        <v/>
      </c>
      <c r="N44" s="2">
        <f>IF(Z43=1,"已停止",IF(T43&gt;=M44,"已下單","資金不足略過"))</f>
        <v/>
      </c>
      <c r="O44" s="19">
        <f>IF(N44="已下單",M44*資金模擬!$B$7,0)</f>
        <v/>
      </c>
      <c r="P44" s="4" t="n"/>
      <c r="Q44" s="13" t="n">
        <v>0</v>
      </c>
      <c r="R44" s="13">
        <f>R43+Q44</f>
        <v/>
      </c>
      <c r="S44" s="19">
        <f>S43+IF(N44="已下單",M44,0)</f>
        <v/>
      </c>
      <c r="T44" s="19">
        <f>R44-S44</f>
        <v/>
      </c>
      <c r="U44" s="2">
        <f>U43+IF(N44="已下單",1,0)</f>
        <v/>
      </c>
      <c r="V44" s="19">
        <f>IF(資金模擬!$B$9=2,MAX(R44,0),MAX(V43,FLOOR(MAX(R44,0),資金模擬!$B$6)))</f>
        <v/>
      </c>
      <c r="W44" s="13">
        <f>MAX(W43,R44)</f>
        <v/>
      </c>
      <c r="X44" s="4">
        <f>IF(W44&gt;0,R44/W44-1,-1)</f>
        <v/>
      </c>
      <c r="Y44" s="19">
        <f>IF(R44&gt;0,S44*資金模擬!$B$7/R44,0)</f>
        <v/>
      </c>
      <c r="Z44" s="2">
        <f>IF(OR(Z43=1,R44&lt;=資金模擬!$B$10),1,0)</f>
        <v/>
      </c>
    </row>
    <row r="45">
      <c r="A45" s="2" t="n">
        <v>43</v>
      </c>
      <c r="B45" s="7" t="n">
        <v>46267.83333333334</v>
      </c>
      <c r="C45" s="2" t="inlineStr">
        <is>
          <t>進場</t>
        </is>
      </c>
      <c r="D45" s="2" t="n">
        <v>24</v>
      </c>
      <c r="E45" s="2" t="inlineStr">
        <is>
          <t>UNI_USDT_PERP</t>
        </is>
      </c>
      <c r="F45" s="2" t="inlineStr">
        <is>
          <t>做空</t>
        </is>
      </c>
      <c r="G45" s="20" t="n">
        <v>5.744</v>
      </c>
      <c r="H45" s="20" t="n">
        <v>5.57168</v>
      </c>
      <c r="I45" s="20" t="n">
        <v>6.0312</v>
      </c>
      <c r="J45" s="20" t="n"/>
      <c r="K45" s="2" t="n"/>
      <c r="L45" s="5" t="n"/>
      <c r="M45" s="19">
        <f>資金模擬!$B$5*V44</f>
        <v/>
      </c>
      <c r="N45" s="2">
        <f>IF(Z44=1,"已停止",IF(T44&gt;=M45,"已下單","資金不足略過"))</f>
        <v/>
      </c>
      <c r="O45" s="19">
        <f>IF(N45="已下單",M45*資金模擬!$B$7,0)</f>
        <v/>
      </c>
      <c r="P45" s="4" t="n"/>
      <c r="Q45" s="13" t="n">
        <v>0</v>
      </c>
      <c r="R45" s="13">
        <f>R44+Q45</f>
        <v/>
      </c>
      <c r="S45" s="19">
        <f>S44+IF(N45="已下單",M45,0)</f>
        <v/>
      </c>
      <c r="T45" s="19">
        <f>R45-S45</f>
        <v/>
      </c>
      <c r="U45" s="2">
        <f>U44+IF(N45="已下單",1,0)</f>
        <v/>
      </c>
      <c r="V45" s="19">
        <f>IF(資金模擬!$B$9=2,MAX(R45,0),MAX(V44,FLOOR(MAX(R45,0),資金模擬!$B$6)))</f>
        <v/>
      </c>
      <c r="W45" s="13">
        <f>MAX(W44,R45)</f>
        <v/>
      </c>
      <c r="X45" s="4">
        <f>IF(W45&gt;0,R45/W45-1,-1)</f>
        <v/>
      </c>
      <c r="Y45" s="19">
        <f>IF(R45&gt;0,S45*資金模擬!$B$7/R45,0)</f>
        <v/>
      </c>
      <c r="Z45" s="2">
        <f>IF(OR(Z44=1,R45&lt;=資金模擬!$B$10),1,0)</f>
        <v/>
      </c>
    </row>
    <row r="46">
      <c r="A46" s="2" t="n">
        <v>44</v>
      </c>
      <c r="B46" s="7" t="n">
        <v>46267.875</v>
      </c>
      <c r="C46" s="2" t="inlineStr">
        <is>
          <t>出場</t>
        </is>
      </c>
      <c r="D46" s="2" t="n">
        <v>21</v>
      </c>
      <c r="E46" s="2" t="inlineStr">
        <is>
          <t>UAI_USDT_PERP</t>
        </is>
      </c>
      <c r="F46" s="2" t="inlineStr">
        <is>
          <t>做空</t>
        </is>
      </c>
      <c r="G46" s="20" t="n">
        <v>0.5241</v>
      </c>
      <c r="H46" s="20" t="n">
        <v>0.508377</v>
      </c>
      <c r="I46" s="20" t="n">
        <v>0.550305</v>
      </c>
      <c r="J46" s="20" t="n">
        <v>0.550305</v>
      </c>
      <c r="K46" s="2" t="inlineStr">
        <is>
          <t>止損</t>
        </is>
      </c>
      <c r="L46" s="5">
        <f>交易明細!K22</f>
        <v/>
      </c>
      <c r="M46" s="19">
        <f>M42</f>
        <v/>
      </c>
      <c r="N46" s="2">
        <f>N42</f>
        <v/>
      </c>
      <c r="O46" s="19">
        <f>O42</f>
        <v/>
      </c>
      <c r="P46" s="4">
        <f>交易明細!L22</f>
        <v/>
      </c>
      <c r="Q46" s="13">
        <f>IF(N46="已下單",O46*P46,0)</f>
        <v/>
      </c>
      <c r="R46" s="13">
        <f>R45+Q46</f>
        <v/>
      </c>
      <c r="S46" s="19">
        <f>S45-IF(N46="已下單",M46,0)</f>
        <v/>
      </c>
      <c r="T46" s="19">
        <f>R46-S46</f>
        <v/>
      </c>
      <c r="U46" s="2">
        <f>U45-IF(N46="已下單",1,0)</f>
        <v/>
      </c>
      <c r="V46" s="19">
        <f>IF(資金模擬!$B$9=2,MAX(R46,0),MAX(V45,FLOOR(MAX(R46,0),資金模擬!$B$6)))</f>
        <v/>
      </c>
      <c r="W46" s="13">
        <f>MAX(W45,R46)</f>
        <v/>
      </c>
      <c r="X46" s="4">
        <f>IF(W46&gt;0,R46/W46-1,-1)</f>
        <v/>
      </c>
      <c r="Y46" s="19">
        <f>IF(R46&gt;0,S46*資金模擬!$B$7/R46,0)</f>
        <v/>
      </c>
      <c r="Z46" s="2">
        <f>IF(OR(Z45=1,R46&lt;=資金模擬!$B$10),1,0)</f>
        <v/>
      </c>
    </row>
    <row r="47">
      <c r="A47" s="2" t="n">
        <v>45</v>
      </c>
      <c r="B47" s="7" t="n">
        <v>46267.875</v>
      </c>
      <c r="C47" s="2" t="inlineStr">
        <is>
          <t>出場</t>
        </is>
      </c>
      <c r="D47" s="2" t="n">
        <v>22</v>
      </c>
      <c r="E47" s="2" t="inlineStr">
        <is>
          <t>ACE_USDT_PERP</t>
        </is>
      </c>
      <c r="F47" s="2" t="inlineStr">
        <is>
          <t>做空</t>
        </is>
      </c>
      <c r="G47" s="20" t="n">
        <v>0.19257</v>
      </c>
      <c r="H47" s="20" t="n">
        <v>0.1867929</v>
      </c>
      <c r="I47" s="20" t="n">
        <v>0.2021985</v>
      </c>
      <c r="J47" s="20" t="n">
        <v>0.1867929</v>
      </c>
      <c r="K47" s="2" t="inlineStr">
        <is>
          <t>止盈</t>
        </is>
      </c>
      <c r="L47" s="5">
        <f>交易明細!K23</f>
        <v/>
      </c>
      <c r="M47" s="19">
        <f>M43</f>
        <v/>
      </c>
      <c r="N47" s="2">
        <f>N43</f>
        <v/>
      </c>
      <c r="O47" s="19">
        <f>O43</f>
        <v/>
      </c>
      <c r="P47" s="4">
        <f>交易明細!L23</f>
        <v/>
      </c>
      <c r="Q47" s="13">
        <f>IF(N47="已下單",O47*P47,0)</f>
        <v/>
      </c>
      <c r="R47" s="13">
        <f>R46+Q47</f>
        <v/>
      </c>
      <c r="S47" s="19">
        <f>S46-IF(N47="已下單",M47,0)</f>
        <v/>
      </c>
      <c r="T47" s="19">
        <f>R47-S47</f>
        <v/>
      </c>
      <c r="U47" s="2">
        <f>U46-IF(N47="已下單",1,0)</f>
        <v/>
      </c>
      <c r="V47" s="19">
        <f>IF(資金模擬!$B$9=2,MAX(R47,0),MAX(V46,FLOOR(MAX(R47,0),資金模擬!$B$6)))</f>
        <v/>
      </c>
      <c r="W47" s="13">
        <f>MAX(W46,R47)</f>
        <v/>
      </c>
      <c r="X47" s="4">
        <f>IF(W47&gt;0,R47/W47-1,-1)</f>
        <v/>
      </c>
      <c r="Y47" s="19">
        <f>IF(R47&gt;0,S47*資金模擬!$B$7/R47,0)</f>
        <v/>
      </c>
      <c r="Z47" s="2">
        <f>IF(OR(Z46=1,R47&lt;=資金模擬!$B$10),1,0)</f>
        <v/>
      </c>
    </row>
    <row r="48">
      <c r="A48" s="2" t="n">
        <v>46</v>
      </c>
      <c r="B48" s="7" t="n">
        <v>46267.91666666666</v>
      </c>
      <c r="C48" s="2" t="inlineStr">
        <is>
          <t>進場</t>
        </is>
      </c>
      <c r="D48" s="2" t="n">
        <v>25</v>
      </c>
      <c r="E48" s="2" t="inlineStr">
        <is>
          <t>PONS_USDT_PERP</t>
        </is>
      </c>
      <c r="F48" s="2" t="inlineStr">
        <is>
          <t>做多</t>
        </is>
      </c>
      <c r="G48" s="20" t="n">
        <v>0.415</v>
      </c>
      <c r="H48" s="20" t="n">
        <v>0.42745</v>
      </c>
      <c r="I48" s="20" t="n">
        <v>0.39425</v>
      </c>
      <c r="J48" s="20" t="n"/>
      <c r="K48" s="2" t="n"/>
      <c r="L48" s="5" t="n"/>
      <c r="M48" s="19">
        <f>資金模擬!$B$5*V47</f>
        <v/>
      </c>
      <c r="N48" s="2">
        <f>IF(Z47=1,"已停止",IF(T47&gt;=M48,"已下單","資金不足略過"))</f>
        <v/>
      </c>
      <c r="O48" s="19">
        <f>IF(N48="已下單",M48*資金模擬!$B$7,0)</f>
        <v/>
      </c>
      <c r="P48" s="4" t="n"/>
      <c r="Q48" s="13" t="n">
        <v>0</v>
      </c>
      <c r="R48" s="13">
        <f>R47+Q48</f>
        <v/>
      </c>
      <c r="S48" s="19">
        <f>S47+IF(N48="已下單",M48,0)</f>
        <v/>
      </c>
      <c r="T48" s="19">
        <f>R48-S48</f>
        <v/>
      </c>
      <c r="U48" s="2">
        <f>U47+IF(N48="已下單",1,0)</f>
        <v/>
      </c>
      <c r="V48" s="19">
        <f>IF(資金模擬!$B$9=2,MAX(R48,0),MAX(V47,FLOOR(MAX(R48,0),資金模擬!$B$6)))</f>
        <v/>
      </c>
      <c r="W48" s="13">
        <f>MAX(W47,R48)</f>
        <v/>
      </c>
      <c r="X48" s="4">
        <f>IF(W48&gt;0,R48/W48-1,-1)</f>
        <v/>
      </c>
      <c r="Y48" s="19">
        <f>IF(R48&gt;0,S48*資金模擬!$B$7/R48,0)</f>
        <v/>
      </c>
      <c r="Z48" s="2">
        <f>IF(OR(Z47=1,R48&lt;=資金模擬!$B$10),1,0)</f>
        <v/>
      </c>
    </row>
    <row r="49">
      <c r="A49" s="2" t="n">
        <v>47</v>
      </c>
      <c r="B49" s="7" t="n">
        <v>46267.95833333334</v>
      </c>
      <c r="C49" s="2" t="inlineStr">
        <is>
          <t>出場</t>
        </is>
      </c>
      <c r="D49" s="2" t="n">
        <v>23</v>
      </c>
      <c r="E49" s="2" t="inlineStr">
        <is>
          <t>ARB_USDT_PERP</t>
        </is>
      </c>
      <c r="F49" s="2" t="inlineStr">
        <is>
          <t>做空</t>
        </is>
      </c>
      <c r="G49" s="20" t="n">
        <v>0.1076</v>
      </c>
      <c r="H49" s="20" t="n">
        <v>0.104372</v>
      </c>
      <c r="I49" s="20" t="n">
        <v>0.11298</v>
      </c>
      <c r="J49" s="20" t="n">
        <v>0.11298</v>
      </c>
      <c r="K49" s="2" t="inlineStr">
        <is>
          <t>止損</t>
        </is>
      </c>
      <c r="L49" s="5">
        <f>交易明細!K24</f>
        <v/>
      </c>
      <c r="M49" s="19">
        <f>M44</f>
        <v/>
      </c>
      <c r="N49" s="2">
        <f>N44</f>
        <v/>
      </c>
      <c r="O49" s="19">
        <f>O44</f>
        <v/>
      </c>
      <c r="P49" s="4">
        <f>交易明細!L24</f>
        <v/>
      </c>
      <c r="Q49" s="13">
        <f>IF(N49="已下單",O49*P49,0)</f>
        <v/>
      </c>
      <c r="R49" s="13">
        <f>R48+Q49</f>
        <v/>
      </c>
      <c r="S49" s="19">
        <f>S48-IF(N49="已下單",M49,0)</f>
        <v/>
      </c>
      <c r="T49" s="19">
        <f>R49-S49</f>
        <v/>
      </c>
      <c r="U49" s="2">
        <f>U48-IF(N49="已下單",1,0)</f>
        <v/>
      </c>
      <c r="V49" s="19">
        <f>IF(資金模擬!$B$9=2,MAX(R49,0),MAX(V48,FLOOR(MAX(R49,0),資金模擬!$B$6)))</f>
        <v/>
      </c>
      <c r="W49" s="13">
        <f>MAX(W48,R49)</f>
        <v/>
      </c>
      <c r="X49" s="4">
        <f>IF(W49&gt;0,R49/W49-1,-1)</f>
        <v/>
      </c>
      <c r="Y49" s="19">
        <f>IF(R49&gt;0,S49*資金模擬!$B$7/R49,0)</f>
        <v/>
      </c>
      <c r="Z49" s="2">
        <f>IF(OR(Z48=1,R49&lt;=資金模擬!$B$10),1,0)</f>
        <v/>
      </c>
    </row>
    <row r="50">
      <c r="A50" s="2" t="n">
        <v>48</v>
      </c>
      <c r="B50" s="7" t="n">
        <v>46267.95833333334</v>
      </c>
      <c r="C50" s="2" t="inlineStr">
        <is>
          <t>出場</t>
        </is>
      </c>
      <c r="D50" s="2" t="n">
        <v>25</v>
      </c>
      <c r="E50" s="2" t="inlineStr">
        <is>
          <t>PONS_USDT_PERP</t>
        </is>
      </c>
      <c r="F50" s="2" t="inlineStr">
        <is>
          <t>做多</t>
        </is>
      </c>
      <c r="G50" s="20" t="n">
        <v>0.415</v>
      </c>
      <c r="H50" s="20" t="n">
        <v>0.42745</v>
      </c>
      <c r="I50" s="20" t="n">
        <v>0.39425</v>
      </c>
      <c r="J50" s="20" t="n">
        <v>0.39425</v>
      </c>
      <c r="K50" s="2" t="inlineStr">
        <is>
          <t>止損</t>
        </is>
      </c>
      <c r="L50" s="5">
        <f>交易明細!K26</f>
        <v/>
      </c>
      <c r="M50" s="19">
        <f>M48</f>
        <v/>
      </c>
      <c r="N50" s="2">
        <f>N48</f>
        <v/>
      </c>
      <c r="O50" s="19">
        <f>O48</f>
        <v/>
      </c>
      <c r="P50" s="4">
        <f>交易明細!L26</f>
        <v/>
      </c>
      <c r="Q50" s="13">
        <f>IF(N50="已下單",O50*P50,0)</f>
        <v/>
      </c>
      <c r="R50" s="13">
        <f>R49+Q50</f>
        <v/>
      </c>
      <c r="S50" s="19">
        <f>S49-IF(N50="已下單",M50,0)</f>
        <v/>
      </c>
      <c r="T50" s="19">
        <f>R50-S50</f>
        <v/>
      </c>
      <c r="U50" s="2">
        <f>U49-IF(N50="已下單",1,0)</f>
        <v/>
      </c>
      <c r="V50" s="19">
        <f>IF(資金模擬!$B$9=2,MAX(R50,0),MAX(V49,FLOOR(MAX(R50,0),資金模擬!$B$6)))</f>
        <v/>
      </c>
      <c r="W50" s="13">
        <f>MAX(W49,R50)</f>
        <v/>
      </c>
      <c r="X50" s="4">
        <f>IF(W50&gt;0,R50/W50-1,-1)</f>
        <v/>
      </c>
      <c r="Y50" s="19">
        <f>IF(R50&gt;0,S50*資金模擬!$B$7/R50,0)</f>
        <v/>
      </c>
      <c r="Z50" s="2">
        <f>IF(OR(Z49=1,R50&lt;=資金模擬!$B$10),1,0)</f>
        <v/>
      </c>
    </row>
    <row r="51">
      <c r="A51" s="2" t="n">
        <v>49</v>
      </c>
      <c r="B51" s="7" t="n">
        <v>46268</v>
      </c>
      <c r="C51" s="2" t="inlineStr">
        <is>
          <t>進場</t>
        </is>
      </c>
      <c r="D51" s="2" t="n">
        <v>26</v>
      </c>
      <c r="E51" s="2" t="inlineStr">
        <is>
          <t>LIT_USDT_PERP</t>
        </is>
      </c>
      <c r="F51" s="2" t="inlineStr">
        <is>
          <t>做多</t>
        </is>
      </c>
      <c r="G51" s="20" t="n">
        <v>3.672</v>
      </c>
      <c r="H51" s="20" t="n">
        <v>3.78216</v>
      </c>
      <c r="I51" s="20" t="n">
        <v>3.4884</v>
      </c>
      <c r="J51" s="20" t="n"/>
      <c r="K51" s="2" t="n"/>
      <c r="L51" s="5" t="n"/>
      <c r="M51" s="19">
        <f>資金模擬!$B$5*V50</f>
        <v/>
      </c>
      <c r="N51" s="2">
        <f>IF(Z50=1,"已停止",IF(T50&gt;=M51,"已下單","資金不足略過"))</f>
        <v/>
      </c>
      <c r="O51" s="19">
        <f>IF(N51="已下單",M51*資金模擬!$B$7,0)</f>
        <v/>
      </c>
      <c r="P51" s="4" t="n"/>
      <c r="Q51" s="13" t="n">
        <v>0</v>
      </c>
      <c r="R51" s="13">
        <f>R50+Q51</f>
        <v/>
      </c>
      <c r="S51" s="19">
        <f>S50+IF(N51="已下單",M51,0)</f>
        <v/>
      </c>
      <c r="T51" s="19">
        <f>R51-S51</f>
        <v/>
      </c>
      <c r="U51" s="2">
        <f>U50+IF(N51="已下單",1,0)</f>
        <v/>
      </c>
      <c r="V51" s="19">
        <f>IF(資金模擬!$B$9=2,MAX(R51,0),MAX(V50,FLOOR(MAX(R51,0),資金模擬!$B$6)))</f>
        <v/>
      </c>
      <c r="W51" s="13">
        <f>MAX(W50,R51)</f>
        <v/>
      </c>
      <c r="X51" s="4">
        <f>IF(W51&gt;0,R51/W51-1,-1)</f>
        <v/>
      </c>
      <c r="Y51" s="19">
        <f>IF(R51&gt;0,S51*資金模擬!$B$7/R51,0)</f>
        <v/>
      </c>
      <c r="Z51" s="2">
        <f>IF(OR(Z50=1,R51&lt;=資金模擬!$B$10),1,0)</f>
        <v/>
      </c>
    </row>
    <row r="52">
      <c r="A52" s="2" t="n">
        <v>50</v>
      </c>
      <c r="B52" s="7" t="n">
        <v>46268.04166666666</v>
      </c>
      <c r="C52" s="2" t="inlineStr">
        <is>
          <t>進場</t>
        </is>
      </c>
      <c r="D52" s="2" t="n">
        <v>27</v>
      </c>
      <c r="E52" s="2" t="inlineStr">
        <is>
          <t>HEMI_USDT_PERP</t>
        </is>
      </c>
      <c r="F52" s="2" t="inlineStr">
        <is>
          <t>做多</t>
        </is>
      </c>
      <c r="G52" s="20" t="n">
        <v>0.01528</v>
      </c>
      <c r="H52" s="20" t="n">
        <v>0.0157384</v>
      </c>
      <c r="I52" s="20" t="n">
        <v>0.014516</v>
      </c>
      <c r="J52" s="20" t="n"/>
      <c r="K52" s="2" t="n"/>
      <c r="L52" s="5" t="n"/>
      <c r="M52" s="19">
        <f>資金模擬!$B$5*V51</f>
        <v/>
      </c>
      <c r="N52" s="2">
        <f>IF(Z51=1,"已停止",IF(T51&gt;=M52,"已下單","資金不足略過"))</f>
        <v/>
      </c>
      <c r="O52" s="19">
        <f>IF(N52="已下單",M52*資金模擬!$B$7,0)</f>
        <v/>
      </c>
      <c r="P52" s="4" t="n"/>
      <c r="Q52" s="13" t="n">
        <v>0</v>
      </c>
      <c r="R52" s="13">
        <f>R51+Q52</f>
        <v/>
      </c>
      <c r="S52" s="19">
        <f>S51+IF(N52="已下單",M52,0)</f>
        <v/>
      </c>
      <c r="T52" s="19">
        <f>R52-S52</f>
        <v/>
      </c>
      <c r="U52" s="2">
        <f>U51+IF(N52="已下單",1,0)</f>
        <v/>
      </c>
      <c r="V52" s="19">
        <f>IF(資金模擬!$B$9=2,MAX(R52,0),MAX(V51,FLOOR(MAX(R52,0),資金模擬!$B$6)))</f>
        <v/>
      </c>
      <c r="W52" s="13">
        <f>MAX(W51,R52)</f>
        <v/>
      </c>
      <c r="X52" s="4">
        <f>IF(W52&gt;0,R52/W52-1,-1)</f>
        <v/>
      </c>
      <c r="Y52" s="19">
        <f>IF(R52&gt;0,S52*資金模擬!$B$7/R52,0)</f>
        <v/>
      </c>
      <c r="Z52" s="2">
        <f>IF(OR(Z51=1,R52&lt;=資金模擬!$B$10),1,0)</f>
        <v/>
      </c>
    </row>
    <row r="53">
      <c r="A53" s="2" t="n">
        <v>51</v>
      </c>
      <c r="B53" s="7" t="n">
        <v>46268.08333333334</v>
      </c>
      <c r="C53" s="2" t="inlineStr">
        <is>
          <t>出場</t>
        </is>
      </c>
      <c r="D53" s="2" t="n">
        <v>26</v>
      </c>
      <c r="E53" s="2" t="inlineStr">
        <is>
          <t>LIT_USDT_PERP</t>
        </is>
      </c>
      <c r="F53" s="2" t="inlineStr">
        <is>
          <t>做多</t>
        </is>
      </c>
      <c r="G53" s="20" t="n">
        <v>3.672</v>
      </c>
      <c r="H53" s="20" t="n">
        <v>3.78216</v>
      </c>
      <c r="I53" s="20" t="n">
        <v>3.4884</v>
      </c>
      <c r="J53" s="20" t="n">
        <v>3.78216</v>
      </c>
      <c r="K53" s="2" t="inlineStr">
        <is>
          <t>止盈</t>
        </is>
      </c>
      <c r="L53" s="5">
        <f>交易明細!K27</f>
        <v/>
      </c>
      <c r="M53" s="19">
        <f>M51</f>
        <v/>
      </c>
      <c r="N53" s="2">
        <f>N51</f>
        <v/>
      </c>
      <c r="O53" s="19">
        <f>O51</f>
        <v/>
      </c>
      <c r="P53" s="4">
        <f>交易明細!L27</f>
        <v/>
      </c>
      <c r="Q53" s="13">
        <f>IF(N53="已下單",O53*P53,0)</f>
        <v/>
      </c>
      <c r="R53" s="13">
        <f>R52+Q53</f>
        <v/>
      </c>
      <c r="S53" s="19">
        <f>S52-IF(N53="已下單",M53,0)</f>
        <v/>
      </c>
      <c r="T53" s="19">
        <f>R53-S53</f>
        <v/>
      </c>
      <c r="U53" s="2">
        <f>U52-IF(N53="已下單",1,0)</f>
        <v/>
      </c>
      <c r="V53" s="19">
        <f>IF(資金模擬!$B$9=2,MAX(R53,0),MAX(V52,FLOOR(MAX(R53,0),資金模擬!$B$6)))</f>
        <v/>
      </c>
      <c r="W53" s="13">
        <f>MAX(W52,R53)</f>
        <v/>
      </c>
      <c r="X53" s="4">
        <f>IF(W53&gt;0,R53/W53-1,-1)</f>
        <v/>
      </c>
      <c r="Y53" s="19">
        <f>IF(R53&gt;0,S53*資金模擬!$B$7/R53,0)</f>
        <v/>
      </c>
      <c r="Z53" s="2">
        <f>IF(OR(Z52=1,R53&lt;=資金模擬!$B$10),1,0)</f>
        <v/>
      </c>
    </row>
    <row r="54">
      <c r="A54" s="2" t="n">
        <v>52</v>
      </c>
      <c r="B54" s="7" t="n">
        <v>46268.08333333334</v>
      </c>
      <c r="C54" s="2" t="inlineStr">
        <is>
          <t>出場</t>
        </is>
      </c>
      <c r="D54" s="2" t="n">
        <v>27</v>
      </c>
      <c r="E54" s="2" t="inlineStr">
        <is>
          <t>HEMI_USDT_PERP</t>
        </is>
      </c>
      <c r="F54" s="2" t="inlineStr">
        <is>
          <t>做多</t>
        </is>
      </c>
      <c r="G54" s="20" t="n">
        <v>0.01528</v>
      </c>
      <c r="H54" s="20" t="n">
        <v>0.0157384</v>
      </c>
      <c r="I54" s="20" t="n">
        <v>0.014516</v>
      </c>
      <c r="J54" s="20" t="n">
        <v>0.0157384</v>
      </c>
      <c r="K54" s="2" t="inlineStr">
        <is>
          <t>止盈</t>
        </is>
      </c>
      <c r="L54" s="5">
        <f>交易明細!K28</f>
        <v/>
      </c>
      <c r="M54" s="19">
        <f>M52</f>
        <v/>
      </c>
      <c r="N54" s="2">
        <f>N52</f>
        <v/>
      </c>
      <c r="O54" s="19">
        <f>O52</f>
        <v/>
      </c>
      <c r="P54" s="4">
        <f>交易明細!L28</f>
        <v/>
      </c>
      <c r="Q54" s="13">
        <f>IF(N54="已下單",O54*P54,0)</f>
        <v/>
      </c>
      <c r="R54" s="13">
        <f>R53+Q54</f>
        <v/>
      </c>
      <c r="S54" s="19">
        <f>S53-IF(N54="已下單",M54,0)</f>
        <v/>
      </c>
      <c r="T54" s="19">
        <f>R54-S54</f>
        <v/>
      </c>
      <c r="U54" s="2">
        <f>U53-IF(N54="已下單",1,0)</f>
        <v/>
      </c>
      <c r="V54" s="19">
        <f>IF(資金模擬!$B$9=2,MAX(R54,0),MAX(V53,FLOOR(MAX(R54,0),資金模擬!$B$6)))</f>
        <v/>
      </c>
      <c r="W54" s="13">
        <f>MAX(W53,R54)</f>
        <v/>
      </c>
      <c r="X54" s="4">
        <f>IF(W54&gt;0,R54/W54-1,-1)</f>
        <v/>
      </c>
      <c r="Y54" s="19">
        <f>IF(R54&gt;0,S54*資金模擬!$B$7/R54,0)</f>
        <v/>
      </c>
      <c r="Z54" s="2">
        <f>IF(OR(Z53=1,R54&lt;=資金模擬!$B$10),1,0)</f>
        <v/>
      </c>
    </row>
    <row r="55">
      <c r="A55" s="2" t="n">
        <v>53</v>
      </c>
      <c r="B55" s="7" t="n">
        <v>46268.125</v>
      </c>
      <c r="C55" s="2" t="inlineStr">
        <is>
          <t>進場</t>
        </is>
      </c>
      <c r="D55" s="2" t="n">
        <v>28</v>
      </c>
      <c r="E55" s="2" t="inlineStr">
        <is>
          <t>HEMI_USDT_PERP</t>
        </is>
      </c>
      <c r="F55" s="2" t="inlineStr">
        <is>
          <t>做空</t>
        </is>
      </c>
      <c r="G55" s="20" t="n">
        <v>0.01431</v>
      </c>
      <c r="H55" s="20" t="n">
        <v>0.0138807</v>
      </c>
      <c r="I55" s="20" t="n">
        <v>0.0150255</v>
      </c>
      <c r="J55" s="20" t="n"/>
      <c r="K55" s="2" t="n"/>
      <c r="L55" s="5" t="n"/>
      <c r="M55" s="19">
        <f>資金模擬!$B$5*V54</f>
        <v/>
      </c>
      <c r="N55" s="2">
        <f>IF(Z54=1,"已停止",IF(T54&gt;=M55,"已下單","資金不足略過"))</f>
        <v/>
      </c>
      <c r="O55" s="19">
        <f>IF(N55="已下單",M55*資金模擬!$B$7,0)</f>
        <v/>
      </c>
      <c r="P55" s="4" t="n"/>
      <c r="Q55" s="13" t="n">
        <v>0</v>
      </c>
      <c r="R55" s="13">
        <f>R54+Q55</f>
        <v/>
      </c>
      <c r="S55" s="19">
        <f>S54+IF(N55="已下單",M55,0)</f>
        <v/>
      </c>
      <c r="T55" s="19">
        <f>R55-S55</f>
        <v/>
      </c>
      <c r="U55" s="2">
        <f>U54+IF(N55="已下單",1,0)</f>
        <v/>
      </c>
      <c r="V55" s="19">
        <f>IF(資金模擬!$B$9=2,MAX(R55,0),MAX(V54,FLOOR(MAX(R55,0),資金模擬!$B$6)))</f>
        <v/>
      </c>
      <c r="W55" s="13">
        <f>MAX(W54,R55)</f>
        <v/>
      </c>
      <c r="X55" s="4">
        <f>IF(W55&gt;0,R55/W55-1,-1)</f>
        <v/>
      </c>
      <c r="Y55" s="19">
        <f>IF(R55&gt;0,S55*資金模擬!$B$7/R55,0)</f>
        <v/>
      </c>
      <c r="Z55" s="2">
        <f>IF(OR(Z54=1,R55&lt;=資金模擬!$B$10),1,0)</f>
        <v/>
      </c>
    </row>
    <row r="56">
      <c r="A56" s="2" t="n">
        <v>54</v>
      </c>
      <c r="B56" s="7" t="n">
        <v>46268.16666666666</v>
      </c>
      <c r="C56" s="2" t="inlineStr">
        <is>
          <t>出場</t>
        </is>
      </c>
      <c r="D56" s="2" t="n">
        <v>28</v>
      </c>
      <c r="E56" s="2" t="inlineStr">
        <is>
          <t>HEMI_USDT_PERP</t>
        </is>
      </c>
      <c r="F56" s="2" t="inlineStr">
        <is>
          <t>做空</t>
        </is>
      </c>
      <c r="G56" s="20" t="n">
        <v>0.01431</v>
      </c>
      <c r="H56" s="20" t="n">
        <v>0.0138807</v>
      </c>
      <c r="I56" s="20" t="n">
        <v>0.0150255</v>
      </c>
      <c r="J56" s="20" t="n">
        <v>0.0138807</v>
      </c>
      <c r="K56" s="2" t="inlineStr">
        <is>
          <t>止盈</t>
        </is>
      </c>
      <c r="L56" s="5">
        <f>交易明細!K29</f>
        <v/>
      </c>
      <c r="M56" s="19">
        <f>M55</f>
        <v/>
      </c>
      <c r="N56" s="2">
        <f>N55</f>
        <v/>
      </c>
      <c r="O56" s="19">
        <f>O55</f>
        <v/>
      </c>
      <c r="P56" s="4">
        <f>交易明細!L29</f>
        <v/>
      </c>
      <c r="Q56" s="13">
        <f>IF(N56="已下單",O56*P56,0)</f>
        <v/>
      </c>
      <c r="R56" s="13">
        <f>R55+Q56</f>
        <v/>
      </c>
      <c r="S56" s="19">
        <f>S55-IF(N56="已下單",M56,0)</f>
        <v/>
      </c>
      <c r="T56" s="19">
        <f>R56-S56</f>
        <v/>
      </c>
      <c r="U56" s="2">
        <f>U55-IF(N56="已下單",1,0)</f>
        <v/>
      </c>
      <c r="V56" s="19">
        <f>IF(資金模擬!$B$9=2,MAX(R56,0),MAX(V55,FLOOR(MAX(R56,0),資金模擬!$B$6)))</f>
        <v/>
      </c>
      <c r="W56" s="13">
        <f>MAX(W55,R56)</f>
        <v/>
      </c>
      <c r="X56" s="4">
        <f>IF(W56&gt;0,R56/W56-1,-1)</f>
        <v/>
      </c>
      <c r="Y56" s="19">
        <f>IF(R56&gt;0,S56*資金模擬!$B$7/R56,0)</f>
        <v/>
      </c>
      <c r="Z56" s="2">
        <f>IF(OR(Z55=1,R56&lt;=資金模擬!$B$10),1,0)</f>
        <v/>
      </c>
    </row>
    <row r="57">
      <c r="A57" s="2" t="n">
        <v>55</v>
      </c>
      <c r="B57" s="7" t="n">
        <v>46268.25</v>
      </c>
      <c r="C57" s="2" t="inlineStr">
        <is>
          <t>進場</t>
        </is>
      </c>
      <c r="D57" s="2" t="n">
        <v>29</v>
      </c>
      <c r="E57" s="2" t="inlineStr">
        <is>
          <t>MARSCOIN_USDT_PERP</t>
        </is>
      </c>
      <c r="F57" s="2" t="inlineStr">
        <is>
          <t>做空</t>
        </is>
      </c>
      <c r="G57" s="20" t="n">
        <v>0.06269</v>
      </c>
      <c r="H57" s="20" t="n">
        <v>0.0608093</v>
      </c>
      <c r="I57" s="20" t="n">
        <v>0.06582449999999999</v>
      </c>
      <c r="J57" s="20" t="n"/>
      <c r="K57" s="2" t="n"/>
      <c r="L57" s="5" t="n"/>
      <c r="M57" s="19">
        <f>資金模擬!$B$5*V56</f>
        <v/>
      </c>
      <c r="N57" s="2">
        <f>IF(Z56=1,"已停止",IF(T56&gt;=M57,"已下單","資金不足略過"))</f>
        <v/>
      </c>
      <c r="O57" s="19">
        <f>IF(N57="已下單",M57*資金模擬!$B$7,0)</f>
        <v/>
      </c>
      <c r="P57" s="4" t="n"/>
      <c r="Q57" s="13" t="n">
        <v>0</v>
      </c>
      <c r="R57" s="13">
        <f>R56+Q57</f>
        <v/>
      </c>
      <c r="S57" s="19">
        <f>S56+IF(N57="已下單",M57,0)</f>
        <v/>
      </c>
      <c r="T57" s="19">
        <f>R57-S57</f>
        <v/>
      </c>
      <c r="U57" s="2">
        <f>U56+IF(N57="已下單",1,0)</f>
        <v/>
      </c>
      <c r="V57" s="19">
        <f>IF(資金模擬!$B$9=2,MAX(R57,0),MAX(V56,FLOOR(MAX(R57,0),資金模擬!$B$6)))</f>
        <v/>
      </c>
      <c r="W57" s="13">
        <f>MAX(W56,R57)</f>
        <v/>
      </c>
      <c r="X57" s="4">
        <f>IF(W57&gt;0,R57/W57-1,-1)</f>
        <v/>
      </c>
      <c r="Y57" s="19">
        <f>IF(R57&gt;0,S57*資金模擬!$B$7/R57,0)</f>
        <v/>
      </c>
      <c r="Z57" s="2">
        <f>IF(OR(Z56=1,R57&lt;=資金模擬!$B$10),1,0)</f>
        <v/>
      </c>
    </row>
    <row r="58">
      <c r="A58" s="2" t="n">
        <v>56</v>
      </c>
      <c r="B58" s="7" t="n">
        <v>46268.29166666666</v>
      </c>
      <c r="C58" s="2" t="inlineStr">
        <is>
          <t>出場</t>
        </is>
      </c>
      <c r="D58" s="2" t="n">
        <v>11</v>
      </c>
      <c r="E58" s="2" t="inlineStr">
        <is>
          <t>PUMP_USDT_PERP</t>
        </is>
      </c>
      <c r="F58" s="2" t="inlineStr">
        <is>
          <t>做空</t>
        </is>
      </c>
      <c r="G58" s="20" t="n">
        <v>0.004146</v>
      </c>
      <c r="H58" s="20" t="n">
        <v>0.00402162</v>
      </c>
      <c r="I58" s="20" t="n">
        <v>0.004353300000000001</v>
      </c>
      <c r="J58" s="20" t="n">
        <v>0.00402162</v>
      </c>
      <c r="K58" s="2" t="inlineStr">
        <is>
          <t>止盈</t>
        </is>
      </c>
      <c r="L58" s="5">
        <f>交易明細!K12</f>
        <v/>
      </c>
      <c r="M58" s="19">
        <f>M23</f>
        <v/>
      </c>
      <c r="N58" s="2">
        <f>N23</f>
        <v/>
      </c>
      <c r="O58" s="19">
        <f>O23</f>
        <v/>
      </c>
      <c r="P58" s="4">
        <f>交易明細!L12</f>
        <v/>
      </c>
      <c r="Q58" s="13">
        <f>IF(N58="已下單",O58*P58,0)</f>
        <v/>
      </c>
      <c r="R58" s="13">
        <f>R57+Q58</f>
        <v/>
      </c>
      <c r="S58" s="19">
        <f>S57-IF(N58="已下單",M58,0)</f>
        <v/>
      </c>
      <c r="T58" s="19">
        <f>R58-S58</f>
        <v/>
      </c>
      <c r="U58" s="2">
        <f>U57-IF(N58="已下單",1,0)</f>
        <v/>
      </c>
      <c r="V58" s="19">
        <f>IF(資金模擬!$B$9=2,MAX(R58,0),MAX(V57,FLOOR(MAX(R58,0),資金模擬!$B$6)))</f>
        <v/>
      </c>
      <c r="W58" s="13">
        <f>MAX(W57,R58)</f>
        <v/>
      </c>
      <c r="X58" s="4">
        <f>IF(W58&gt;0,R58/W58-1,-1)</f>
        <v/>
      </c>
      <c r="Y58" s="19">
        <f>IF(R58&gt;0,S58*資金模擬!$B$7/R58,0)</f>
        <v/>
      </c>
      <c r="Z58" s="2">
        <f>IF(OR(Z57=1,R58&lt;=資金模擬!$B$10),1,0)</f>
        <v/>
      </c>
    </row>
    <row r="59">
      <c r="A59" s="2" t="n">
        <v>57</v>
      </c>
      <c r="B59" s="7" t="n">
        <v>46268.29166666666</v>
      </c>
      <c r="C59" s="2" t="inlineStr">
        <is>
          <t>進場</t>
        </is>
      </c>
      <c r="D59" s="2" t="n">
        <v>30</v>
      </c>
      <c r="E59" s="2" t="inlineStr">
        <is>
          <t>MAGMA_USDT_PERP</t>
        </is>
      </c>
      <c r="F59" s="2" t="inlineStr">
        <is>
          <t>做空</t>
        </is>
      </c>
      <c r="G59" s="20" t="n">
        <v>0.51536</v>
      </c>
      <c r="H59" s="20" t="n">
        <v>0.4998992</v>
      </c>
      <c r="I59" s="20" t="n">
        <v>0.5411280000000001</v>
      </c>
      <c r="J59" s="20" t="n"/>
      <c r="K59" s="2" t="n"/>
      <c r="L59" s="5" t="n"/>
      <c r="M59" s="19">
        <f>資金模擬!$B$5*V58</f>
        <v/>
      </c>
      <c r="N59" s="2">
        <f>IF(Z58=1,"已停止",IF(T58&gt;=M59,"已下單","資金不足略過"))</f>
        <v/>
      </c>
      <c r="O59" s="19">
        <f>IF(N59="已下單",M59*資金模擬!$B$7,0)</f>
        <v/>
      </c>
      <c r="P59" s="4" t="n"/>
      <c r="Q59" s="13" t="n">
        <v>0</v>
      </c>
      <c r="R59" s="13">
        <f>R58+Q59</f>
        <v/>
      </c>
      <c r="S59" s="19">
        <f>S58+IF(N59="已下單",M59,0)</f>
        <v/>
      </c>
      <c r="T59" s="19">
        <f>R59-S59</f>
        <v/>
      </c>
      <c r="U59" s="2">
        <f>U58+IF(N59="已下單",1,0)</f>
        <v/>
      </c>
      <c r="V59" s="19">
        <f>IF(資金模擬!$B$9=2,MAX(R59,0),MAX(V58,FLOOR(MAX(R59,0),資金模擬!$B$6)))</f>
        <v/>
      </c>
      <c r="W59" s="13">
        <f>MAX(W58,R59)</f>
        <v/>
      </c>
      <c r="X59" s="4">
        <f>IF(W59&gt;0,R59/W59-1,-1)</f>
        <v/>
      </c>
      <c r="Y59" s="19">
        <f>IF(R59&gt;0,S59*資金模擬!$B$7/R59,0)</f>
        <v/>
      </c>
      <c r="Z59" s="2">
        <f>IF(OR(Z58=1,R59&lt;=資金模擬!$B$10),1,0)</f>
        <v/>
      </c>
    </row>
    <row r="60">
      <c r="A60" s="2" t="n">
        <v>58</v>
      </c>
      <c r="B60" s="7" t="n">
        <v>46268.33333333334</v>
      </c>
      <c r="C60" s="2" t="inlineStr">
        <is>
          <t>出場</t>
        </is>
      </c>
      <c r="D60" s="2" t="n">
        <v>30</v>
      </c>
      <c r="E60" s="2" t="inlineStr">
        <is>
          <t>MAGMA_USDT_PERP</t>
        </is>
      </c>
      <c r="F60" s="2" t="inlineStr">
        <is>
          <t>做空</t>
        </is>
      </c>
      <c r="G60" s="20" t="n">
        <v>0.51536</v>
      </c>
      <c r="H60" s="20" t="n">
        <v>0.4998992</v>
      </c>
      <c r="I60" s="20" t="n">
        <v>0.5411280000000001</v>
      </c>
      <c r="J60" s="20" t="n">
        <v>0.4998992</v>
      </c>
      <c r="K60" s="2" t="inlineStr">
        <is>
          <t>止盈</t>
        </is>
      </c>
      <c r="L60" s="5">
        <f>交易明細!K31</f>
        <v/>
      </c>
      <c r="M60" s="19">
        <f>M59</f>
        <v/>
      </c>
      <c r="N60" s="2">
        <f>N59</f>
        <v/>
      </c>
      <c r="O60" s="19">
        <f>O59</f>
        <v/>
      </c>
      <c r="P60" s="4">
        <f>交易明細!L31</f>
        <v/>
      </c>
      <c r="Q60" s="13">
        <f>IF(N60="已下單",O60*P60,0)</f>
        <v/>
      </c>
      <c r="R60" s="13">
        <f>R59+Q60</f>
        <v/>
      </c>
      <c r="S60" s="19">
        <f>S59-IF(N60="已下單",M60,0)</f>
        <v/>
      </c>
      <c r="T60" s="19">
        <f>R60-S60</f>
        <v/>
      </c>
      <c r="U60" s="2">
        <f>U59-IF(N60="已下單",1,0)</f>
        <v/>
      </c>
      <c r="V60" s="19">
        <f>IF(資金模擬!$B$9=2,MAX(R60,0),MAX(V59,FLOOR(MAX(R60,0),資金模擬!$B$6)))</f>
        <v/>
      </c>
      <c r="W60" s="13">
        <f>MAX(W59,R60)</f>
        <v/>
      </c>
      <c r="X60" s="4">
        <f>IF(W60&gt;0,R60/W60-1,-1)</f>
        <v/>
      </c>
      <c r="Y60" s="19">
        <f>IF(R60&gt;0,S60*資金模擬!$B$7/R60,0)</f>
        <v/>
      </c>
      <c r="Z60" s="2">
        <f>IF(OR(Z59=1,R60&lt;=資金模擬!$B$10),1,0)</f>
        <v/>
      </c>
    </row>
    <row r="61">
      <c r="A61" s="2" t="n">
        <v>59</v>
      </c>
      <c r="B61" s="7" t="n">
        <v>46268.33333333334</v>
      </c>
      <c r="C61" s="2" t="inlineStr">
        <is>
          <t>進場</t>
        </is>
      </c>
      <c r="D61" s="2" t="n">
        <v>31</v>
      </c>
      <c r="E61" s="2" t="inlineStr">
        <is>
          <t>LIT_USDT_PERP</t>
        </is>
      </c>
      <c r="F61" s="2" t="inlineStr">
        <is>
          <t>做多</t>
        </is>
      </c>
      <c r="G61" s="20" t="n">
        <v>3.783</v>
      </c>
      <c r="H61" s="20" t="n">
        <v>3.89649</v>
      </c>
      <c r="I61" s="20" t="n">
        <v>3.59385</v>
      </c>
      <c r="J61" s="20" t="n"/>
      <c r="K61" s="2" t="n"/>
      <c r="L61" s="5" t="n"/>
      <c r="M61" s="19">
        <f>資金模擬!$B$5*V60</f>
        <v/>
      </c>
      <c r="N61" s="2">
        <f>IF(Z60=1,"已停止",IF(T60&gt;=M61,"已下單","資金不足略過"))</f>
        <v/>
      </c>
      <c r="O61" s="19">
        <f>IF(N61="已下單",M61*資金模擬!$B$7,0)</f>
        <v/>
      </c>
      <c r="P61" s="4" t="n"/>
      <c r="Q61" s="13" t="n">
        <v>0</v>
      </c>
      <c r="R61" s="13">
        <f>R60+Q61</f>
        <v/>
      </c>
      <c r="S61" s="19">
        <f>S60+IF(N61="已下單",M61,0)</f>
        <v/>
      </c>
      <c r="T61" s="19">
        <f>R61-S61</f>
        <v/>
      </c>
      <c r="U61" s="2">
        <f>U60+IF(N61="已下單",1,0)</f>
        <v/>
      </c>
      <c r="V61" s="19">
        <f>IF(資金模擬!$B$9=2,MAX(R61,0),MAX(V60,FLOOR(MAX(R61,0),資金模擬!$B$6)))</f>
        <v/>
      </c>
      <c r="W61" s="13">
        <f>MAX(W60,R61)</f>
        <v/>
      </c>
      <c r="X61" s="4">
        <f>IF(W61&gt;0,R61/W61-1,-1)</f>
        <v/>
      </c>
      <c r="Y61" s="19">
        <f>IF(R61&gt;0,S61*資金模擬!$B$7/R61,0)</f>
        <v/>
      </c>
      <c r="Z61" s="2">
        <f>IF(OR(Z60=1,R61&lt;=資金模擬!$B$10),1,0)</f>
        <v/>
      </c>
    </row>
    <row r="62">
      <c r="A62" s="2" t="n">
        <v>60</v>
      </c>
      <c r="B62" s="7" t="n">
        <v>46268.375</v>
      </c>
      <c r="C62" s="2" t="inlineStr">
        <is>
          <t>出場</t>
        </is>
      </c>
      <c r="D62" s="2" t="n">
        <v>29</v>
      </c>
      <c r="E62" s="2" t="inlineStr">
        <is>
          <t>MARSCOIN_USDT_PERP</t>
        </is>
      </c>
      <c r="F62" s="2" t="inlineStr">
        <is>
          <t>做空</t>
        </is>
      </c>
      <c r="G62" s="20" t="n">
        <v>0.06269</v>
      </c>
      <c r="H62" s="20" t="n">
        <v>0.0608093</v>
      </c>
      <c r="I62" s="20" t="n">
        <v>0.06582449999999999</v>
      </c>
      <c r="J62" s="20" t="n">
        <v>0.0608093</v>
      </c>
      <c r="K62" s="2" t="inlineStr">
        <is>
          <t>止盈</t>
        </is>
      </c>
      <c r="L62" s="5">
        <f>交易明細!K30</f>
        <v/>
      </c>
      <c r="M62" s="19">
        <f>M57</f>
        <v/>
      </c>
      <c r="N62" s="2">
        <f>N57</f>
        <v/>
      </c>
      <c r="O62" s="19">
        <f>O57</f>
        <v/>
      </c>
      <c r="P62" s="4">
        <f>交易明細!L30</f>
        <v/>
      </c>
      <c r="Q62" s="13">
        <f>IF(N62="已下單",O62*P62,0)</f>
        <v/>
      </c>
      <c r="R62" s="13">
        <f>R61+Q62</f>
        <v/>
      </c>
      <c r="S62" s="19">
        <f>S61-IF(N62="已下單",M62,0)</f>
        <v/>
      </c>
      <c r="T62" s="19">
        <f>R62-S62</f>
        <v/>
      </c>
      <c r="U62" s="2">
        <f>U61-IF(N62="已下單",1,0)</f>
        <v/>
      </c>
      <c r="V62" s="19">
        <f>IF(資金模擬!$B$9=2,MAX(R62,0),MAX(V61,FLOOR(MAX(R62,0),資金模擬!$B$6)))</f>
        <v/>
      </c>
      <c r="W62" s="13">
        <f>MAX(W61,R62)</f>
        <v/>
      </c>
      <c r="X62" s="4">
        <f>IF(W62&gt;0,R62/W62-1,-1)</f>
        <v/>
      </c>
      <c r="Y62" s="19">
        <f>IF(R62&gt;0,S62*資金模擬!$B$7/R62,0)</f>
        <v/>
      </c>
      <c r="Z62" s="2">
        <f>IF(OR(Z61=1,R62&lt;=資金模擬!$B$10),1,0)</f>
        <v/>
      </c>
    </row>
    <row r="63">
      <c r="A63" s="2" t="n">
        <v>61</v>
      </c>
      <c r="B63" s="7" t="n">
        <v>46268.375</v>
      </c>
      <c r="C63" s="2" t="inlineStr">
        <is>
          <t>出場</t>
        </is>
      </c>
      <c r="D63" s="2" t="n">
        <v>31</v>
      </c>
      <c r="E63" s="2" t="inlineStr">
        <is>
          <t>LIT_USDT_PERP</t>
        </is>
      </c>
      <c r="F63" s="2" t="inlineStr">
        <is>
          <t>做多</t>
        </is>
      </c>
      <c r="G63" s="20" t="n">
        <v>3.783</v>
      </c>
      <c r="H63" s="20" t="n">
        <v>3.89649</v>
      </c>
      <c r="I63" s="20" t="n">
        <v>3.59385</v>
      </c>
      <c r="J63" s="20" t="n">
        <v>3.89649</v>
      </c>
      <c r="K63" s="2" t="inlineStr">
        <is>
          <t>止盈</t>
        </is>
      </c>
      <c r="L63" s="5">
        <f>交易明細!K32</f>
        <v/>
      </c>
      <c r="M63" s="19">
        <f>M61</f>
        <v/>
      </c>
      <c r="N63" s="2">
        <f>N61</f>
        <v/>
      </c>
      <c r="O63" s="19">
        <f>O61</f>
        <v/>
      </c>
      <c r="P63" s="4">
        <f>交易明細!L32</f>
        <v/>
      </c>
      <c r="Q63" s="13">
        <f>IF(N63="已下單",O63*P63,0)</f>
        <v/>
      </c>
      <c r="R63" s="13">
        <f>R62+Q63</f>
        <v/>
      </c>
      <c r="S63" s="19">
        <f>S62-IF(N63="已下單",M63,0)</f>
        <v/>
      </c>
      <c r="T63" s="19">
        <f>R63-S63</f>
        <v/>
      </c>
      <c r="U63" s="2">
        <f>U62-IF(N63="已下單",1,0)</f>
        <v/>
      </c>
      <c r="V63" s="19">
        <f>IF(資金模擬!$B$9=2,MAX(R63,0),MAX(V62,FLOOR(MAX(R63,0),資金模擬!$B$6)))</f>
        <v/>
      </c>
      <c r="W63" s="13">
        <f>MAX(W62,R63)</f>
        <v/>
      </c>
      <c r="X63" s="4">
        <f>IF(W63&gt;0,R63/W63-1,-1)</f>
        <v/>
      </c>
      <c r="Y63" s="19">
        <f>IF(R63&gt;0,S63*資金模擬!$B$7/R63,0)</f>
        <v/>
      </c>
      <c r="Z63" s="2">
        <f>IF(OR(Z62=1,R63&lt;=資金模擬!$B$10),1,0)</f>
        <v/>
      </c>
    </row>
    <row r="64">
      <c r="A64" s="2" t="n">
        <v>62</v>
      </c>
      <c r="B64" s="7" t="n">
        <v>46268.41666666666</v>
      </c>
      <c r="C64" s="2" t="inlineStr">
        <is>
          <t>進場</t>
        </is>
      </c>
      <c r="D64" s="2" t="n">
        <v>32</v>
      </c>
      <c r="E64" s="2" t="inlineStr">
        <is>
          <t>SKR_USDT_PERP</t>
        </is>
      </c>
      <c r="F64" s="2" t="inlineStr">
        <is>
          <t>做空</t>
        </is>
      </c>
      <c r="G64" s="20" t="n">
        <v>0.022336</v>
      </c>
      <c r="H64" s="20" t="n">
        <v>0.02166592</v>
      </c>
      <c r="I64" s="20" t="n">
        <v>0.0234528</v>
      </c>
      <c r="J64" s="20" t="n"/>
      <c r="K64" s="2" t="n"/>
      <c r="L64" s="5" t="n"/>
      <c r="M64" s="19">
        <f>資金模擬!$B$5*V63</f>
        <v/>
      </c>
      <c r="N64" s="2">
        <f>IF(Z63=1,"已停止",IF(T63&gt;=M64,"已下單","資金不足略過"))</f>
        <v/>
      </c>
      <c r="O64" s="19">
        <f>IF(N64="已下單",M64*資金模擬!$B$7,0)</f>
        <v/>
      </c>
      <c r="P64" s="4" t="n"/>
      <c r="Q64" s="13" t="n">
        <v>0</v>
      </c>
      <c r="R64" s="13">
        <f>R63+Q64</f>
        <v/>
      </c>
      <c r="S64" s="19">
        <f>S63+IF(N64="已下單",M64,0)</f>
        <v/>
      </c>
      <c r="T64" s="19">
        <f>R64-S64</f>
        <v/>
      </c>
      <c r="U64" s="2">
        <f>U63+IF(N64="已下單",1,0)</f>
        <v/>
      </c>
      <c r="V64" s="19">
        <f>IF(資金模擬!$B$9=2,MAX(R64,0),MAX(V63,FLOOR(MAX(R64,0),資金模擬!$B$6)))</f>
        <v/>
      </c>
      <c r="W64" s="13">
        <f>MAX(W63,R64)</f>
        <v/>
      </c>
      <c r="X64" s="4">
        <f>IF(W64&gt;0,R64/W64-1,-1)</f>
        <v/>
      </c>
      <c r="Y64" s="19">
        <f>IF(R64&gt;0,S64*資金模擬!$B$7/R64,0)</f>
        <v/>
      </c>
      <c r="Z64" s="2">
        <f>IF(OR(Z63=1,R64&lt;=資金模擬!$B$10),1,0)</f>
        <v/>
      </c>
    </row>
    <row r="65">
      <c r="A65" s="2" t="n">
        <v>63</v>
      </c>
      <c r="B65" s="7" t="n">
        <v>46268.45833333334</v>
      </c>
      <c r="C65" s="2" t="inlineStr">
        <is>
          <t>出場</t>
        </is>
      </c>
      <c r="D65" s="2" t="n">
        <v>32</v>
      </c>
      <c r="E65" s="2" t="inlineStr">
        <is>
          <t>SKR_USDT_PERP</t>
        </is>
      </c>
      <c r="F65" s="2" t="inlineStr">
        <is>
          <t>做空</t>
        </is>
      </c>
      <c r="G65" s="20" t="n">
        <v>0.022336</v>
      </c>
      <c r="H65" s="20" t="n">
        <v>0.02166592</v>
      </c>
      <c r="I65" s="20" t="n">
        <v>0.0234528</v>
      </c>
      <c r="J65" s="20" t="n">
        <v>0.02166592</v>
      </c>
      <c r="K65" s="2" t="inlineStr">
        <is>
          <t>止盈</t>
        </is>
      </c>
      <c r="L65" s="5">
        <f>交易明細!K33</f>
        <v/>
      </c>
      <c r="M65" s="19">
        <f>M64</f>
        <v/>
      </c>
      <c r="N65" s="2">
        <f>N64</f>
        <v/>
      </c>
      <c r="O65" s="19">
        <f>O64</f>
        <v/>
      </c>
      <c r="P65" s="4">
        <f>交易明細!L33</f>
        <v/>
      </c>
      <c r="Q65" s="13">
        <f>IF(N65="已下單",O65*P65,0)</f>
        <v/>
      </c>
      <c r="R65" s="13">
        <f>R64+Q65</f>
        <v/>
      </c>
      <c r="S65" s="19">
        <f>S64-IF(N65="已下單",M65,0)</f>
        <v/>
      </c>
      <c r="T65" s="19">
        <f>R65-S65</f>
        <v/>
      </c>
      <c r="U65" s="2">
        <f>U64-IF(N65="已下單",1,0)</f>
        <v/>
      </c>
      <c r="V65" s="19">
        <f>IF(資金模擬!$B$9=2,MAX(R65,0),MAX(V64,FLOOR(MAX(R65,0),資金模擬!$B$6)))</f>
        <v/>
      </c>
      <c r="W65" s="13">
        <f>MAX(W64,R65)</f>
        <v/>
      </c>
      <c r="X65" s="4">
        <f>IF(W65&gt;0,R65/W65-1,-1)</f>
        <v/>
      </c>
      <c r="Y65" s="19">
        <f>IF(R65&gt;0,S65*資金模擬!$B$7/R65,0)</f>
        <v/>
      </c>
      <c r="Z65" s="2">
        <f>IF(OR(Z64=1,R65&lt;=資金模擬!$B$10),1,0)</f>
        <v/>
      </c>
    </row>
    <row r="66">
      <c r="A66" s="2" t="n">
        <v>64</v>
      </c>
      <c r="B66" s="7" t="n">
        <v>46268.75</v>
      </c>
      <c r="C66" s="2" t="inlineStr">
        <is>
          <t>出場</t>
        </is>
      </c>
      <c r="D66" s="2" t="n">
        <v>24</v>
      </c>
      <c r="E66" s="2" t="inlineStr">
        <is>
          <t>UNI_USDT_PERP</t>
        </is>
      </c>
      <c r="F66" s="2" t="inlineStr">
        <is>
          <t>做空</t>
        </is>
      </c>
      <c r="G66" s="20" t="n">
        <v>5.744</v>
      </c>
      <c r="H66" s="20" t="n">
        <v>5.57168</v>
      </c>
      <c r="I66" s="20" t="n">
        <v>6.0312</v>
      </c>
      <c r="J66" s="20" t="n">
        <v>6.0312</v>
      </c>
      <c r="K66" s="2" t="inlineStr">
        <is>
          <t>止損</t>
        </is>
      </c>
      <c r="L66" s="5">
        <f>交易明細!K25</f>
        <v/>
      </c>
      <c r="M66" s="19">
        <f>M45</f>
        <v/>
      </c>
      <c r="N66" s="2">
        <f>N45</f>
        <v/>
      </c>
      <c r="O66" s="19">
        <f>O45</f>
        <v/>
      </c>
      <c r="P66" s="4">
        <f>交易明細!L25</f>
        <v/>
      </c>
      <c r="Q66" s="13">
        <f>IF(N66="已下單",O66*P66,0)</f>
        <v/>
      </c>
      <c r="R66" s="13">
        <f>R65+Q66</f>
        <v/>
      </c>
      <c r="S66" s="19">
        <f>S65-IF(N66="已下單",M66,0)</f>
        <v/>
      </c>
      <c r="T66" s="19">
        <f>R66-S66</f>
        <v/>
      </c>
      <c r="U66" s="2">
        <f>U65-IF(N66="已下單",1,0)</f>
        <v/>
      </c>
      <c r="V66" s="19">
        <f>IF(資金模擬!$B$9=2,MAX(R66,0),MAX(V65,FLOOR(MAX(R66,0),資金模擬!$B$6)))</f>
        <v/>
      </c>
      <c r="W66" s="13">
        <f>MAX(W65,R66)</f>
        <v/>
      </c>
      <c r="X66" s="4">
        <f>IF(W66&gt;0,R66/W66-1,-1)</f>
        <v/>
      </c>
      <c r="Y66" s="19">
        <f>IF(R66&gt;0,S66*資金模擬!$B$7/R66,0)</f>
        <v/>
      </c>
      <c r="Z66" s="2">
        <f>IF(OR(Z65=1,R66&lt;=資金模擬!$B$10),1,0)</f>
        <v/>
      </c>
    </row>
    <row r="67">
      <c r="A67" s="2" t="n">
        <v>65</v>
      </c>
      <c r="B67" s="7" t="n">
        <v>46268.75</v>
      </c>
      <c r="C67" s="2" t="inlineStr">
        <is>
          <t>進場</t>
        </is>
      </c>
      <c r="D67" s="2" t="n">
        <v>33</v>
      </c>
      <c r="E67" s="2" t="inlineStr">
        <is>
          <t>HEMI_USDT_PERP</t>
        </is>
      </c>
      <c r="F67" s="2" t="inlineStr">
        <is>
          <t>做多</t>
        </is>
      </c>
      <c r="G67" s="20" t="n">
        <v>0.01608</v>
      </c>
      <c r="H67" s="20" t="n">
        <v>0.0165624</v>
      </c>
      <c r="I67" s="20" t="n">
        <v>0.015276</v>
      </c>
      <c r="J67" s="20" t="n"/>
      <c r="K67" s="2" t="n"/>
      <c r="L67" s="5" t="n"/>
      <c r="M67" s="19">
        <f>資金模擬!$B$5*V66</f>
        <v/>
      </c>
      <c r="N67" s="2">
        <f>IF(Z66=1,"已停止",IF(T66&gt;=M67,"已下單","資金不足略過"))</f>
        <v/>
      </c>
      <c r="O67" s="19">
        <f>IF(N67="已下單",M67*資金模擬!$B$7,0)</f>
        <v/>
      </c>
      <c r="P67" s="4" t="n"/>
      <c r="Q67" s="13" t="n">
        <v>0</v>
      </c>
      <c r="R67" s="13">
        <f>R66+Q67</f>
        <v/>
      </c>
      <c r="S67" s="19">
        <f>S66+IF(N67="已下單",M67,0)</f>
        <v/>
      </c>
      <c r="T67" s="19">
        <f>R67-S67</f>
        <v/>
      </c>
      <c r="U67" s="2">
        <f>U66+IF(N67="已下單",1,0)</f>
        <v/>
      </c>
      <c r="V67" s="19">
        <f>IF(資金模擬!$B$9=2,MAX(R67,0),MAX(V66,FLOOR(MAX(R67,0),資金模擬!$B$6)))</f>
        <v/>
      </c>
      <c r="W67" s="13">
        <f>MAX(W66,R67)</f>
        <v/>
      </c>
      <c r="X67" s="4">
        <f>IF(W67&gt;0,R67/W67-1,-1)</f>
        <v/>
      </c>
      <c r="Y67" s="19">
        <f>IF(R67&gt;0,S67*資金模擬!$B$7/R67,0)</f>
        <v/>
      </c>
      <c r="Z67" s="2">
        <f>IF(OR(Z66=1,R67&lt;=資金模擬!$B$10),1,0)</f>
        <v/>
      </c>
    </row>
    <row r="68">
      <c r="A68" s="2" t="n">
        <v>66</v>
      </c>
      <c r="B68" s="7" t="n">
        <v>46268.79166666666</v>
      </c>
      <c r="C68" s="2" t="inlineStr">
        <is>
          <t>出場</t>
        </is>
      </c>
      <c r="D68" s="2" t="n">
        <v>33</v>
      </c>
      <c r="E68" s="2" t="inlineStr">
        <is>
          <t>HEMI_USDT_PERP</t>
        </is>
      </c>
      <c r="F68" s="2" t="inlineStr">
        <is>
          <t>做多</t>
        </is>
      </c>
      <c r="G68" s="20" t="n">
        <v>0.01608</v>
      </c>
      <c r="H68" s="20" t="n">
        <v>0.0165624</v>
      </c>
      <c r="I68" s="20" t="n">
        <v>0.015276</v>
      </c>
      <c r="J68" s="20" t="n">
        <v>0.0165624</v>
      </c>
      <c r="K68" s="2" t="inlineStr">
        <is>
          <t>止盈</t>
        </is>
      </c>
      <c r="L68" s="5">
        <f>交易明細!K34</f>
        <v/>
      </c>
      <c r="M68" s="19">
        <f>M67</f>
        <v/>
      </c>
      <c r="N68" s="2">
        <f>N67</f>
        <v/>
      </c>
      <c r="O68" s="19">
        <f>O67</f>
        <v/>
      </c>
      <c r="P68" s="4">
        <f>交易明細!L34</f>
        <v/>
      </c>
      <c r="Q68" s="13">
        <f>IF(N68="已下單",O68*P68,0)</f>
        <v/>
      </c>
      <c r="R68" s="13">
        <f>R67+Q68</f>
        <v/>
      </c>
      <c r="S68" s="19">
        <f>S67-IF(N68="已下單",M68,0)</f>
        <v/>
      </c>
      <c r="T68" s="19">
        <f>R68-S68</f>
        <v/>
      </c>
      <c r="U68" s="2">
        <f>U67-IF(N68="已下單",1,0)</f>
        <v/>
      </c>
      <c r="V68" s="19">
        <f>IF(資金模擬!$B$9=2,MAX(R68,0),MAX(V67,FLOOR(MAX(R68,0),資金模擬!$B$6)))</f>
        <v/>
      </c>
      <c r="W68" s="13">
        <f>MAX(W67,R68)</f>
        <v/>
      </c>
      <c r="X68" s="4">
        <f>IF(W68&gt;0,R68/W68-1,-1)</f>
        <v/>
      </c>
      <c r="Y68" s="19">
        <f>IF(R68&gt;0,S68*資金模擬!$B$7/R68,0)</f>
        <v/>
      </c>
      <c r="Z68" s="2">
        <f>IF(OR(Z67=1,R68&lt;=資金模擬!$B$10),1,0)</f>
        <v/>
      </c>
    </row>
    <row r="69">
      <c r="A69" s="2" t="n">
        <v>67</v>
      </c>
      <c r="B69" s="7" t="n">
        <v>46268.83333333334</v>
      </c>
      <c r="C69" s="2" t="inlineStr">
        <is>
          <t>進場</t>
        </is>
      </c>
      <c r="D69" s="2" t="n">
        <v>34</v>
      </c>
      <c r="E69" s="2" t="inlineStr">
        <is>
          <t>LIT_USDT_PERP</t>
        </is>
      </c>
      <c r="F69" s="2" t="inlineStr">
        <is>
          <t>做多</t>
        </is>
      </c>
      <c r="G69" s="20" t="n">
        <v>3.935</v>
      </c>
      <c r="H69" s="20" t="n">
        <v>4.05305</v>
      </c>
      <c r="I69" s="20" t="n">
        <v>3.73825</v>
      </c>
      <c r="J69" s="20" t="n"/>
      <c r="K69" s="2" t="n"/>
      <c r="L69" s="5" t="n"/>
      <c r="M69" s="19">
        <f>資金模擬!$B$5*V68</f>
        <v/>
      </c>
      <c r="N69" s="2">
        <f>IF(Z68=1,"已停止",IF(T68&gt;=M69,"已下單","資金不足略過"))</f>
        <v/>
      </c>
      <c r="O69" s="19">
        <f>IF(N69="已下單",M69*資金模擬!$B$7,0)</f>
        <v/>
      </c>
      <c r="P69" s="4" t="n"/>
      <c r="Q69" s="13" t="n">
        <v>0</v>
      </c>
      <c r="R69" s="13">
        <f>R68+Q69</f>
        <v/>
      </c>
      <c r="S69" s="19">
        <f>S68+IF(N69="已下單",M69,0)</f>
        <v/>
      </c>
      <c r="T69" s="19">
        <f>R69-S69</f>
        <v/>
      </c>
      <c r="U69" s="2">
        <f>U68+IF(N69="已下單",1,0)</f>
        <v/>
      </c>
      <c r="V69" s="19">
        <f>IF(資金模擬!$B$9=2,MAX(R69,0),MAX(V68,FLOOR(MAX(R69,0),資金模擬!$B$6)))</f>
        <v/>
      </c>
      <c r="W69" s="13">
        <f>MAX(W68,R69)</f>
        <v/>
      </c>
      <c r="X69" s="4">
        <f>IF(W69&gt;0,R69/W69-1,-1)</f>
        <v/>
      </c>
      <c r="Y69" s="19">
        <f>IF(R69&gt;0,S69*資金模擬!$B$7/R69,0)</f>
        <v/>
      </c>
      <c r="Z69" s="2">
        <f>IF(OR(Z68=1,R69&lt;=資金模擬!$B$10),1,0)</f>
        <v/>
      </c>
    </row>
    <row r="70">
      <c r="A70" s="2" t="n">
        <v>68</v>
      </c>
      <c r="B70" s="7" t="n">
        <v>46268.91666666666</v>
      </c>
      <c r="C70" s="2" t="inlineStr">
        <is>
          <t>進場</t>
        </is>
      </c>
      <c r="D70" s="2" t="n">
        <v>35</v>
      </c>
      <c r="E70" s="2" t="inlineStr">
        <is>
          <t>BTR_USDT_PERP</t>
        </is>
      </c>
      <c r="F70" s="2" t="inlineStr">
        <is>
          <t>做多</t>
        </is>
      </c>
      <c r="G70" s="20" t="n">
        <v>0.04945</v>
      </c>
      <c r="H70" s="20" t="n">
        <v>0.0509335</v>
      </c>
      <c r="I70" s="20" t="n">
        <v>0.0469775</v>
      </c>
      <c r="J70" s="20" t="n"/>
      <c r="K70" s="2" t="n"/>
      <c r="L70" s="5" t="n"/>
      <c r="M70" s="19">
        <f>資金模擬!$B$5*V69</f>
        <v/>
      </c>
      <c r="N70" s="2">
        <f>IF(Z69=1,"已停止",IF(T69&gt;=M70,"已下單","資金不足略過"))</f>
        <v/>
      </c>
      <c r="O70" s="19">
        <f>IF(N70="已下單",M70*資金模擬!$B$7,0)</f>
        <v/>
      </c>
      <c r="P70" s="4" t="n"/>
      <c r="Q70" s="13" t="n">
        <v>0</v>
      </c>
      <c r="R70" s="13">
        <f>R69+Q70</f>
        <v/>
      </c>
      <c r="S70" s="19">
        <f>S69+IF(N70="已下單",M70,0)</f>
        <v/>
      </c>
      <c r="T70" s="19">
        <f>R70-S70</f>
        <v/>
      </c>
      <c r="U70" s="2">
        <f>U69+IF(N70="已下單",1,0)</f>
        <v/>
      </c>
      <c r="V70" s="19">
        <f>IF(資金模擬!$B$9=2,MAX(R70,0),MAX(V69,FLOOR(MAX(R70,0),資金模擬!$B$6)))</f>
        <v/>
      </c>
      <c r="W70" s="13">
        <f>MAX(W69,R70)</f>
        <v/>
      </c>
      <c r="X70" s="4">
        <f>IF(W70&gt;0,R70/W70-1,-1)</f>
        <v/>
      </c>
      <c r="Y70" s="19">
        <f>IF(R70&gt;0,S70*資金模擬!$B$7/R70,0)</f>
        <v/>
      </c>
      <c r="Z70" s="2">
        <f>IF(OR(Z69=1,R70&lt;=資金模擬!$B$10),1,0)</f>
        <v/>
      </c>
    </row>
    <row r="71">
      <c r="A71" s="2" t="n">
        <v>69</v>
      </c>
      <c r="B71" s="7" t="n">
        <v>46269</v>
      </c>
      <c r="C71" s="2" t="inlineStr">
        <is>
          <t>出場</t>
        </is>
      </c>
      <c r="D71" s="2" t="n">
        <v>34</v>
      </c>
      <c r="E71" s="2" t="inlineStr">
        <is>
          <t>LIT_USDT_PERP</t>
        </is>
      </c>
      <c r="F71" s="2" t="inlineStr">
        <is>
          <t>做多</t>
        </is>
      </c>
      <c r="G71" s="20" t="n">
        <v>3.935</v>
      </c>
      <c r="H71" s="20" t="n">
        <v>4.05305</v>
      </c>
      <c r="I71" s="20" t="n">
        <v>3.73825</v>
      </c>
      <c r="J71" s="20" t="n">
        <v>4.05305</v>
      </c>
      <c r="K71" s="2" t="inlineStr">
        <is>
          <t>止盈</t>
        </is>
      </c>
      <c r="L71" s="5">
        <f>交易明細!K35</f>
        <v/>
      </c>
      <c r="M71" s="19">
        <f>M69</f>
        <v/>
      </c>
      <c r="N71" s="2">
        <f>N69</f>
        <v/>
      </c>
      <c r="O71" s="19">
        <f>O69</f>
        <v/>
      </c>
      <c r="P71" s="4">
        <f>交易明細!L35</f>
        <v/>
      </c>
      <c r="Q71" s="13">
        <f>IF(N71="已下單",O71*P71,0)</f>
        <v/>
      </c>
      <c r="R71" s="13">
        <f>R70+Q71</f>
        <v/>
      </c>
      <c r="S71" s="19">
        <f>S70-IF(N71="已下單",M71,0)</f>
        <v/>
      </c>
      <c r="T71" s="19">
        <f>R71-S71</f>
        <v/>
      </c>
      <c r="U71" s="2">
        <f>U70-IF(N71="已下單",1,0)</f>
        <v/>
      </c>
      <c r="V71" s="19">
        <f>IF(資金模擬!$B$9=2,MAX(R71,0),MAX(V70,FLOOR(MAX(R71,0),資金模擬!$B$6)))</f>
        <v/>
      </c>
      <c r="W71" s="13">
        <f>MAX(W70,R71)</f>
        <v/>
      </c>
      <c r="X71" s="4">
        <f>IF(W71&gt;0,R71/W71-1,-1)</f>
        <v/>
      </c>
      <c r="Y71" s="19">
        <f>IF(R71&gt;0,S71*資金模擬!$B$7/R71,0)</f>
        <v/>
      </c>
      <c r="Z71" s="2">
        <f>IF(OR(Z70=1,R71&lt;=資金模擬!$B$10),1,0)</f>
        <v/>
      </c>
    </row>
    <row r="72">
      <c r="A72" s="2" t="n">
        <v>70</v>
      </c>
      <c r="B72" s="7" t="n">
        <v>46269</v>
      </c>
      <c r="C72" s="2" t="inlineStr">
        <is>
          <t>出場</t>
        </is>
      </c>
      <c r="D72" s="2" t="n">
        <v>35</v>
      </c>
      <c r="E72" s="2" t="inlineStr">
        <is>
          <t>BTR_USDT_PERP</t>
        </is>
      </c>
      <c r="F72" s="2" t="inlineStr">
        <is>
          <t>做多</t>
        </is>
      </c>
      <c r="G72" s="20" t="n">
        <v>0.04945</v>
      </c>
      <c r="H72" s="20" t="n">
        <v>0.0509335</v>
      </c>
      <c r="I72" s="20" t="n">
        <v>0.0469775</v>
      </c>
      <c r="J72" s="20" t="n">
        <v>0.0469775</v>
      </c>
      <c r="K72" s="2" t="inlineStr">
        <is>
          <t>止損</t>
        </is>
      </c>
      <c r="L72" s="5">
        <f>交易明細!K36</f>
        <v/>
      </c>
      <c r="M72" s="19">
        <f>M70</f>
        <v/>
      </c>
      <c r="N72" s="2">
        <f>N70</f>
        <v/>
      </c>
      <c r="O72" s="19">
        <f>O70</f>
        <v/>
      </c>
      <c r="P72" s="4">
        <f>交易明細!L36</f>
        <v/>
      </c>
      <c r="Q72" s="13">
        <f>IF(N72="已下單",O72*P72,0)</f>
        <v/>
      </c>
      <c r="R72" s="13">
        <f>R71+Q72</f>
        <v/>
      </c>
      <c r="S72" s="19">
        <f>S71-IF(N72="已下單",M72,0)</f>
        <v/>
      </c>
      <c r="T72" s="19">
        <f>R72-S72</f>
        <v/>
      </c>
      <c r="U72" s="2">
        <f>U71-IF(N72="已下單",1,0)</f>
        <v/>
      </c>
      <c r="V72" s="19">
        <f>IF(資金模擬!$B$9=2,MAX(R72,0),MAX(V71,FLOOR(MAX(R72,0),資金模擬!$B$6)))</f>
        <v/>
      </c>
      <c r="W72" s="13">
        <f>MAX(W71,R72)</f>
        <v/>
      </c>
      <c r="X72" s="4">
        <f>IF(W72&gt;0,R72/W72-1,-1)</f>
        <v/>
      </c>
      <c r="Y72" s="19">
        <f>IF(R72&gt;0,S72*資金模擬!$B$7/R72,0)</f>
        <v/>
      </c>
      <c r="Z72" s="2">
        <f>IF(OR(Z71=1,R72&lt;=資金模擬!$B$10),1,0)</f>
        <v/>
      </c>
    </row>
    <row r="73">
      <c r="A73" s="2" t="n">
        <v>71</v>
      </c>
      <c r="B73" s="7" t="n">
        <v>46269</v>
      </c>
      <c r="C73" s="2" t="inlineStr">
        <is>
          <t>進場</t>
        </is>
      </c>
      <c r="D73" s="2" t="n">
        <v>36</v>
      </c>
      <c r="E73" s="2" t="inlineStr">
        <is>
          <t>HEMI_USDT_PERP</t>
        </is>
      </c>
      <c r="F73" s="2" t="inlineStr">
        <is>
          <t>做多</t>
        </is>
      </c>
      <c r="G73" s="20" t="n">
        <v>0.01679</v>
      </c>
      <c r="H73" s="20" t="n">
        <v>0.0172937</v>
      </c>
      <c r="I73" s="20" t="n">
        <v>0.0159505</v>
      </c>
      <c r="J73" s="20" t="n"/>
      <c r="K73" s="2" t="n"/>
      <c r="L73" s="5" t="n"/>
      <c r="M73" s="19">
        <f>資金模擬!$B$5*V72</f>
        <v/>
      </c>
      <c r="N73" s="2">
        <f>IF(Z72=1,"已停止",IF(T72&gt;=M73,"已下單","資金不足略過"))</f>
        <v/>
      </c>
      <c r="O73" s="19">
        <f>IF(N73="已下單",M73*資金模擬!$B$7,0)</f>
        <v/>
      </c>
      <c r="P73" s="4" t="n"/>
      <c r="Q73" s="13" t="n">
        <v>0</v>
      </c>
      <c r="R73" s="13">
        <f>R72+Q73</f>
        <v/>
      </c>
      <c r="S73" s="19">
        <f>S72+IF(N73="已下單",M73,0)</f>
        <v/>
      </c>
      <c r="T73" s="19">
        <f>R73-S73</f>
        <v/>
      </c>
      <c r="U73" s="2">
        <f>U72+IF(N73="已下單",1,0)</f>
        <v/>
      </c>
      <c r="V73" s="19">
        <f>IF(資金模擬!$B$9=2,MAX(R73,0),MAX(V72,FLOOR(MAX(R73,0),資金模擬!$B$6)))</f>
        <v/>
      </c>
      <c r="W73" s="13">
        <f>MAX(W72,R73)</f>
        <v/>
      </c>
      <c r="X73" s="4">
        <f>IF(W73&gt;0,R73/W73-1,-1)</f>
        <v/>
      </c>
      <c r="Y73" s="19">
        <f>IF(R73&gt;0,S73*資金模擬!$B$7/R73,0)</f>
        <v/>
      </c>
      <c r="Z73" s="2">
        <f>IF(OR(Z72=1,R73&lt;=資金模擬!$B$10),1,0)</f>
        <v/>
      </c>
    </row>
    <row r="74">
      <c r="A74" s="2" t="n">
        <v>72</v>
      </c>
      <c r="B74" s="7" t="n">
        <v>46269.04166666666</v>
      </c>
      <c r="C74" s="2" t="inlineStr">
        <is>
          <t>出場</t>
        </is>
      </c>
      <c r="D74" s="2" t="n">
        <v>36</v>
      </c>
      <c r="E74" s="2" t="inlineStr">
        <is>
          <t>HEMI_USDT_PERP</t>
        </is>
      </c>
      <c r="F74" s="2" t="inlineStr">
        <is>
          <t>做多</t>
        </is>
      </c>
      <c r="G74" s="20" t="n">
        <v>0.01679</v>
      </c>
      <c r="H74" s="20" t="n">
        <v>0.0172937</v>
      </c>
      <c r="I74" s="20" t="n">
        <v>0.0159505</v>
      </c>
      <c r="J74" s="20" t="n">
        <v>0.0159505</v>
      </c>
      <c r="K74" s="2" t="inlineStr">
        <is>
          <t>止損</t>
        </is>
      </c>
      <c r="L74" s="5">
        <f>交易明細!K37</f>
        <v/>
      </c>
      <c r="M74" s="19">
        <f>M73</f>
        <v/>
      </c>
      <c r="N74" s="2">
        <f>N73</f>
        <v/>
      </c>
      <c r="O74" s="19">
        <f>O73</f>
        <v/>
      </c>
      <c r="P74" s="4">
        <f>交易明細!L37</f>
        <v/>
      </c>
      <c r="Q74" s="13">
        <f>IF(N74="已下單",O74*P74,0)</f>
        <v/>
      </c>
      <c r="R74" s="13">
        <f>R73+Q74</f>
        <v/>
      </c>
      <c r="S74" s="19">
        <f>S73-IF(N74="已下單",M74,0)</f>
        <v/>
      </c>
      <c r="T74" s="19">
        <f>R74-S74</f>
        <v/>
      </c>
      <c r="U74" s="2">
        <f>U73-IF(N74="已下單",1,0)</f>
        <v/>
      </c>
      <c r="V74" s="19">
        <f>IF(資金模擬!$B$9=2,MAX(R74,0),MAX(V73,FLOOR(MAX(R74,0),資金模擬!$B$6)))</f>
        <v/>
      </c>
      <c r="W74" s="13">
        <f>MAX(W73,R74)</f>
        <v/>
      </c>
      <c r="X74" s="4">
        <f>IF(W74&gt;0,R74/W74-1,-1)</f>
        <v/>
      </c>
      <c r="Y74" s="19">
        <f>IF(R74&gt;0,S74*資金模擬!$B$7/R74,0)</f>
        <v/>
      </c>
      <c r="Z74" s="2">
        <f>IF(OR(Z73=1,R74&lt;=資金模擬!$B$10),1,0)</f>
        <v/>
      </c>
    </row>
    <row r="75">
      <c r="A75" s="2" t="n">
        <v>73</v>
      </c>
      <c r="B75" s="7" t="n">
        <v>46269.125</v>
      </c>
      <c r="C75" s="2" t="inlineStr">
        <is>
          <t>進場</t>
        </is>
      </c>
      <c r="D75" s="2" t="n">
        <v>37</v>
      </c>
      <c r="E75" s="2" t="inlineStr">
        <is>
          <t>UNI_USDT_PERP</t>
        </is>
      </c>
      <c r="F75" s="2" t="inlineStr">
        <is>
          <t>做多</t>
        </is>
      </c>
      <c r="G75" s="20" t="n">
        <v>6.266</v>
      </c>
      <c r="H75" s="20" t="n">
        <v>6.45398</v>
      </c>
      <c r="I75" s="20" t="n">
        <v>5.9527</v>
      </c>
      <c r="J75" s="20" t="n"/>
      <c r="K75" s="2" t="n"/>
      <c r="L75" s="5" t="n"/>
      <c r="M75" s="19">
        <f>資金模擬!$B$5*V74</f>
        <v/>
      </c>
      <c r="N75" s="2">
        <f>IF(Z74=1,"已停止",IF(T74&gt;=M75,"已下單","資金不足略過"))</f>
        <v/>
      </c>
      <c r="O75" s="19">
        <f>IF(N75="已下單",M75*資金模擬!$B$7,0)</f>
        <v/>
      </c>
      <c r="P75" s="4" t="n"/>
      <c r="Q75" s="13" t="n">
        <v>0</v>
      </c>
      <c r="R75" s="13">
        <f>R74+Q75</f>
        <v/>
      </c>
      <c r="S75" s="19">
        <f>S74+IF(N75="已下單",M75,0)</f>
        <v/>
      </c>
      <c r="T75" s="19">
        <f>R75-S75</f>
        <v/>
      </c>
      <c r="U75" s="2">
        <f>U74+IF(N75="已下單",1,0)</f>
        <v/>
      </c>
      <c r="V75" s="19">
        <f>IF(資金模擬!$B$9=2,MAX(R75,0),MAX(V74,FLOOR(MAX(R75,0),資金模擬!$B$6)))</f>
        <v/>
      </c>
      <c r="W75" s="13">
        <f>MAX(W74,R75)</f>
        <v/>
      </c>
      <c r="X75" s="4">
        <f>IF(W75&gt;0,R75/W75-1,-1)</f>
        <v/>
      </c>
      <c r="Y75" s="19">
        <f>IF(R75&gt;0,S75*資金模擬!$B$7/R75,0)</f>
        <v/>
      </c>
      <c r="Z75" s="2">
        <f>IF(OR(Z74=1,R75&lt;=資金模擬!$B$10),1,0)</f>
        <v/>
      </c>
    </row>
    <row r="76">
      <c r="A76" s="2" t="n">
        <v>74</v>
      </c>
      <c r="B76" s="7" t="n">
        <v>46269.25</v>
      </c>
      <c r="C76" s="2" t="inlineStr">
        <is>
          <t>出場</t>
        </is>
      </c>
      <c r="D76" s="2" t="n">
        <v>37</v>
      </c>
      <c r="E76" s="2" t="inlineStr">
        <is>
          <t>UNI_USDT_PERP</t>
        </is>
      </c>
      <c r="F76" s="2" t="inlineStr">
        <is>
          <t>做多</t>
        </is>
      </c>
      <c r="G76" s="20" t="n">
        <v>6.266</v>
      </c>
      <c r="H76" s="20" t="n">
        <v>6.45398</v>
      </c>
      <c r="I76" s="20" t="n">
        <v>5.9527</v>
      </c>
      <c r="J76" s="20" t="n">
        <v>6.45398</v>
      </c>
      <c r="K76" s="2" t="inlineStr">
        <is>
          <t>止盈</t>
        </is>
      </c>
      <c r="L76" s="5">
        <f>交易明細!K38</f>
        <v/>
      </c>
      <c r="M76" s="19">
        <f>M75</f>
        <v/>
      </c>
      <c r="N76" s="2">
        <f>N75</f>
        <v/>
      </c>
      <c r="O76" s="19">
        <f>O75</f>
        <v/>
      </c>
      <c r="P76" s="4">
        <f>交易明細!L38</f>
        <v/>
      </c>
      <c r="Q76" s="13">
        <f>IF(N76="已下單",O76*P76,0)</f>
        <v/>
      </c>
      <c r="R76" s="13">
        <f>R75+Q76</f>
        <v/>
      </c>
      <c r="S76" s="19">
        <f>S75-IF(N76="已下單",M76,0)</f>
        <v/>
      </c>
      <c r="T76" s="19">
        <f>R76-S76</f>
        <v/>
      </c>
      <c r="U76" s="2">
        <f>U75-IF(N76="已下單",1,0)</f>
        <v/>
      </c>
      <c r="V76" s="19">
        <f>IF(資金模擬!$B$9=2,MAX(R76,0),MAX(V75,FLOOR(MAX(R76,0),資金模擬!$B$6)))</f>
        <v/>
      </c>
      <c r="W76" s="13">
        <f>MAX(W75,R76)</f>
        <v/>
      </c>
      <c r="X76" s="4">
        <f>IF(W76&gt;0,R76/W76-1,-1)</f>
        <v/>
      </c>
      <c r="Y76" s="19">
        <f>IF(R76&gt;0,S76*資金模擬!$B$7/R76,0)</f>
        <v/>
      </c>
      <c r="Z76" s="2">
        <f>IF(OR(Z75=1,R76&lt;=資金模擬!$B$10),1,0)</f>
        <v/>
      </c>
    </row>
    <row r="77">
      <c r="A77" s="2" t="n">
        <v>75</v>
      </c>
      <c r="B77" s="7" t="n">
        <v>46269.29166666666</v>
      </c>
      <c r="C77" s="2" t="inlineStr">
        <is>
          <t>進場</t>
        </is>
      </c>
      <c r="D77" s="2" t="n">
        <v>38</v>
      </c>
      <c r="E77" s="2" t="inlineStr">
        <is>
          <t>PUMP_USDT_PERP</t>
        </is>
      </c>
      <c r="F77" s="2" t="inlineStr">
        <is>
          <t>做空</t>
        </is>
      </c>
      <c r="G77" s="20" t="n">
        <v>0.004273</v>
      </c>
      <c r="H77" s="20" t="n">
        <v>0.00414481</v>
      </c>
      <c r="I77" s="20" t="n">
        <v>0.00448665</v>
      </c>
      <c r="J77" s="20" t="n"/>
      <c r="K77" s="2" t="n"/>
      <c r="L77" s="5" t="n"/>
      <c r="M77" s="19">
        <f>資金模擬!$B$5*V76</f>
        <v/>
      </c>
      <c r="N77" s="2">
        <f>IF(Z76=1,"已停止",IF(T76&gt;=M77,"已下單","資金不足略過"))</f>
        <v/>
      </c>
      <c r="O77" s="19">
        <f>IF(N77="已下單",M77*資金模擬!$B$7,0)</f>
        <v/>
      </c>
      <c r="P77" s="4" t="n"/>
      <c r="Q77" s="13" t="n">
        <v>0</v>
      </c>
      <c r="R77" s="13">
        <f>R76+Q77</f>
        <v/>
      </c>
      <c r="S77" s="19">
        <f>S76+IF(N77="已下單",M77,0)</f>
        <v/>
      </c>
      <c r="T77" s="19">
        <f>R77-S77</f>
        <v/>
      </c>
      <c r="U77" s="2">
        <f>U76+IF(N77="已下單",1,0)</f>
        <v/>
      </c>
      <c r="V77" s="19">
        <f>IF(資金模擬!$B$9=2,MAX(R77,0),MAX(V76,FLOOR(MAX(R77,0),資金模擬!$B$6)))</f>
        <v/>
      </c>
      <c r="W77" s="13">
        <f>MAX(W76,R77)</f>
        <v/>
      </c>
      <c r="X77" s="4">
        <f>IF(W77&gt;0,R77/W77-1,-1)</f>
        <v/>
      </c>
      <c r="Y77" s="19">
        <f>IF(R77&gt;0,S77*資金模擬!$B$7/R77,0)</f>
        <v/>
      </c>
      <c r="Z77" s="2">
        <f>IF(OR(Z76=1,R77&lt;=資金模擬!$B$10),1,0)</f>
        <v/>
      </c>
    </row>
    <row r="78">
      <c r="A78" s="2" t="n">
        <v>76</v>
      </c>
      <c r="B78" s="7" t="n">
        <v>46269.375</v>
      </c>
      <c r="C78" s="2" t="inlineStr">
        <is>
          <t>出場</t>
        </is>
      </c>
      <c r="D78" s="2" t="n">
        <v>38</v>
      </c>
      <c r="E78" s="2" t="inlineStr">
        <is>
          <t>PUMP_USDT_PERP</t>
        </is>
      </c>
      <c r="F78" s="2" t="inlineStr">
        <is>
          <t>做空</t>
        </is>
      </c>
      <c r="G78" s="20" t="n">
        <v>0.004273</v>
      </c>
      <c r="H78" s="20" t="n">
        <v>0.00414481</v>
      </c>
      <c r="I78" s="20" t="n">
        <v>0.00448665</v>
      </c>
      <c r="J78" s="20" t="n">
        <v>0.00414481</v>
      </c>
      <c r="K78" s="2" t="inlineStr">
        <is>
          <t>止盈</t>
        </is>
      </c>
      <c r="L78" s="5">
        <f>交易明細!K39</f>
        <v/>
      </c>
      <c r="M78" s="19">
        <f>M77</f>
        <v/>
      </c>
      <c r="N78" s="2">
        <f>N77</f>
        <v/>
      </c>
      <c r="O78" s="19">
        <f>O77</f>
        <v/>
      </c>
      <c r="P78" s="4">
        <f>交易明細!L39</f>
        <v/>
      </c>
      <c r="Q78" s="13">
        <f>IF(N78="已下單",O78*P78,0)</f>
        <v/>
      </c>
      <c r="R78" s="13">
        <f>R77+Q78</f>
        <v/>
      </c>
      <c r="S78" s="19">
        <f>S77-IF(N78="已下單",M78,0)</f>
        <v/>
      </c>
      <c r="T78" s="19">
        <f>R78-S78</f>
        <v/>
      </c>
      <c r="U78" s="2">
        <f>U77-IF(N78="已下單",1,0)</f>
        <v/>
      </c>
      <c r="V78" s="19">
        <f>IF(資金模擬!$B$9=2,MAX(R78,0),MAX(V77,FLOOR(MAX(R78,0),資金模擬!$B$6)))</f>
        <v/>
      </c>
      <c r="W78" s="13">
        <f>MAX(W77,R78)</f>
        <v/>
      </c>
      <c r="X78" s="4">
        <f>IF(W78&gt;0,R78/W78-1,-1)</f>
        <v/>
      </c>
      <c r="Y78" s="19">
        <f>IF(R78&gt;0,S78*資金模擬!$B$7/R78,0)</f>
        <v/>
      </c>
      <c r="Z78" s="2">
        <f>IF(OR(Z77=1,R78&lt;=資金模擬!$B$10),1,0)</f>
        <v/>
      </c>
    </row>
    <row r="79">
      <c r="A79" s="2" t="n">
        <v>77</v>
      </c>
      <c r="B79" s="7" t="n">
        <v>46269.375</v>
      </c>
      <c r="C79" s="2" t="inlineStr">
        <is>
          <t>進場</t>
        </is>
      </c>
      <c r="D79" s="2" t="n">
        <v>39</v>
      </c>
      <c r="E79" s="2" t="inlineStr">
        <is>
          <t>TRUMP_USDT_PERP</t>
        </is>
      </c>
      <c r="F79" s="2" t="inlineStr">
        <is>
          <t>做空</t>
        </is>
      </c>
      <c r="G79" s="20" t="n">
        <v>2.334</v>
      </c>
      <c r="H79" s="20" t="n">
        <v>2.26398</v>
      </c>
      <c r="I79" s="20" t="n">
        <v>2.4507</v>
      </c>
      <c r="J79" s="20" t="n"/>
      <c r="K79" s="2" t="n"/>
      <c r="L79" s="5" t="n"/>
      <c r="M79" s="19">
        <f>資金模擬!$B$5*V78</f>
        <v/>
      </c>
      <c r="N79" s="2">
        <f>IF(Z78=1,"已停止",IF(T78&gt;=M79,"已下單","資金不足略過"))</f>
        <v/>
      </c>
      <c r="O79" s="19">
        <f>IF(N79="已下單",M79*資金模擬!$B$7,0)</f>
        <v/>
      </c>
      <c r="P79" s="4" t="n"/>
      <c r="Q79" s="13" t="n">
        <v>0</v>
      </c>
      <c r="R79" s="13">
        <f>R78+Q79</f>
        <v/>
      </c>
      <c r="S79" s="19">
        <f>S78+IF(N79="已下單",M79,0)</f>
        <v/>
      </c>
      <c r="T79" s="19">
        <f>R79-S79</f>
        <v/>
      </c>
      <c r="U79" s="2">
        <f>U78+IF(N79="已下單",1,0)</f>
        <v/>
      </c>
      <c r="V79" s="19">
        <f>IF(資金模擬!$B$9=2,MAX(R79,0),MAX(V78,FLOOR(MAX(R79,0),資金模擬!$B$6)))</f>
        <v/>
      </c>
      <c r="W79" s="13">
        <f>MAX(W78,R79)</f>
        <v/>
      </c>
      <c r="X79" s="4">
        <f>IF(W79&gt;0,R79/W79-1,-1)</f>
        <v/>
      </c>
      <c r="Y79" s="19">
        <f>IF(R79&gt;0,S79*資金模擬!$B$7/R79,0)</f>
        <v/>
      </c>
      <c r="Z79" s="2">
        <f>IF(OR(Z78=1,R79&lt;=資金模擬!$B$10),1,0)</f>
        <v/>
      </c>
    </row>
    <row r="80">
      <c r="A80" s="2" t="n">
        <v>78</v>
      </c>
      <c r="B80" s="7" t="n">
        <v>46269.58333333334</v>
      </c>
      <c r="C80" s="2" t="inlineStr">
        <is>
          <t>進場</t>
        </is>
      </c>
      <c r="D80" s="2" t="n">
        <v>40</v>
      </c>
      <c r="E80" s="2" t="inlineStr">
        <is>
          <t>UAI_USDT_PERP</t>
        </is>
      </c>
      <c r="F80" s="2" t="inlineStr">
        <is>
          <t>做多</t>
        </is>
      </c>
      <c r="G80" s="20" t="n">
        <v>0.3675</v>
      </c>
      <c r="H80" s="20" t="n">
        <v>0.378525</v>
      </c>
      <c r="I80" s="20" t="n">
        <v>0.349125</v>
      </c>
      <c r="J80" s="20" t="n"/>
      <c r="K80" s="2" t="n"/>
      <c r="L80" s="5" t="n"/>
      <c r="M80" s="19">
        <f>資金模擬!$B$5*V79</f>
        <v/>
      </c>
      <c r="N80" s="2">
        <f>IF(Z79=1,"已停止",IF(T79&gt;=M80,"已下單","資金不足略過"))</f>
        <v/>
      </c>
      <c r="O80" s="19">
        <f>IF(N80="已下單",M80*資金模擬!$B$7,0)</f>
        <v/>
      </c>
      <c r="P80" s="4" t="n"/>
      <c r="Q80" s="13" t="n">
        <v>0</v>
      </c>
      <c r="R80" s="13">
        <f>R79+Q80</f>
        <v/>
      </c>
      <c r="S80" s="19">
        <f>S79+IF(N80="已下單",M80,0)</f>
        <v/>
      </c>
      <c r="T80" s="19">
        <f>R80-S80</f>
        <v/>
      </c>
      <c r="U80" s="2">
        <f>U79+IF(N80="已下單",1,0)</f>
        <v/>
      </c>
      <c r="V80" s="19">
        <f>IF(資金模擬!$B$9=2,MAX(R80,0),MAX(V79,FLOOR(MAX(R80,0),資金模擬!$B$6)))</f>
        <v/>
      </c>
      <c r="W80" s="13">
        <f>MAX(W79,R80)</f>
        <v/>
      </c>
      <c r="X80" s="4">
        <f>IF(W80&gt;0,R80/W80-1,-1)</f>
        <v/>
      </c>
      <c r="Y80" s="19">
        <f>IF(R80&gt;0,S80*資金模擬!$B$7/R80,0)</f>
        <v/>
      </c>
      <c r="Z80" s="2">
        <f>IF(OR(Z79=1,R80&lt;=資金模擬!$B$10),1,0)</f>
        <v/>
      </c>
    </row>
    <row r="81">
      <c r="A81" s="2" t="n">
        <v>79</v>
      </c>
      <c r="B81" s="7" t="n">
        <v>46269.625</v>
      </c>
      <c r="C81" s="2" t="inlineStr">
        <is>
          <t>出場</t>
        </is>
      </c>
      <c r="D81" s="2" t="n">
        <v>40</v>
      </c>
      <c r="E81" s="2" t="inlineStr">
        <is>
          <t>UAI_USDT_PERP</t>
        </is>
      </c>
      <c r="F81" s="2" t="inlineStr">
        <is>
          <t>做多</t>
        </is>
      </c>
      <c r="G81" s="20" t="n">
        <v>0.3675</v>
      </c>
      <c r="H81" s="20" t="n">
        <v>0.378525</v>
      </c>
      <c r="I81" s="20" t="n">
        <v>0.349125</v>
      </c>
      <c r="J81" s="20" t="n">
        <v>0.378525</v>
      </c>
      <c r="K81" s="2" t="inlineStr">
        <is>
          <t>止盈</t>
        </is>
      </c>
      <c r="L81" s="5">
        <f>交易明細!K41</f>
        <v/>
      </c>
      <c r="M81" s="19">
        <f>M80</f>
        <v/>
      </c>
      <c r="N81" s="2">
        <f>N80</f>
        <v/>
      </c>
      <c r="O81" s="19">
        <f>O80</f>
        <v/>
      </c>
      <c r="P81" s="4">
        <f>交易明細!L41</f>
        <v/>
      </c>
      <c r="Q81" s="13">
        <f>IF(N81="已下單",O81*P81,0)</f>
        <v/>
      </c>
      <c r="R81" s="13">
        <f>R80+Q81</f>
        <v/>
      </c>
      <c r="S81" s="19">
        <f>S80-IF(N81="已下單",M81,0)</f>
        <v/>
      </c>
      <c r="T81" s="19">
        <f>R81-S81</f>
        <v/>
      </c>
      <c r="U81" s="2">
        <f>U80-IF(N81="已下單",1,0)</f>
        <v/>
      </c>
      <c r="V81" s="19">
        <f>IF(資金模擬!$B$9=2,MAX(R81,0),MAX(V80,FLOOR(MAX(R81,0),資金模擬!$B$6)))</f>
        <v/>
      </c>
      <c r="W81" s="13">
        <f>MAX(W80,R81)</f>
        <v/>
      </c>
      <c r="X81" s="4">
        <f>IF(W81&gt;0,R81/W81-1,-1)</f>
        <v/>
      </c>
      <c r="Y81" s="19">
        <f>IF(R81&gt;0,S81*資金模擬!$B$7/R81,0)</f>
        <v/>
      </c>
      <c r="Z81" s="2">
        <f>IF(OR(Z80=1,R81&lt;=資金模擬!$B$10),1,0)</f>
        <v/>
      </c>
    </row>
    <row r="82">
      <c r="A82" s="2" t="n">
        <v>80</v>
      </c>
      <c r="B82" s="7" t="n">
        <v>46269.625</v>
      </c>
      <c r="C82" s="2" t="inlineStr">
        <is>
          <t>進場</t>
        </is>
      </c>
      <c r="D82" s="2" t="n">
        <v>41</v>
      </c>
      <c r="E82" s="2" t="inlineStr">
        <is>
          <t>CHIP_USDT_PERP</t>
        </is>
      </c>
      <c r="F82" s="2" t="inlineStr">
        <is>
          <t>做空</t>
        </is>
      </c>
      <c r="G82" s="20" t="n">
        <v>0.0548</v>
      </c>
      <c r="H82" s="20" t="n">
        <v>0.053156</v>
      </c>
      <c r="I82" s="20" t="n">
        <v>0.05754</v>
      </c>
      <c r="J82" s="20" t="n"/>
      <c r="K82" s="2" t="n"/>
      <c r="L82" s="5" t="n"/>
      <c r="M82" s="19">
        <f>資金模擬!$B$5*V81</f>
        <v/>
      </c>
      <c r="N82" s="2">
        <f>IF(Z81=1,"已停止",IF(T81&gt;=M82,"已下單","資金不足略過"))</f>
        <v/>
      </c>
      <c r="O82" s="19">
        <f>IF(N82="已下單",M82*資金模擬!$B$7,0)</f>
        <v/>
      </c>
      <c r="P82" s="4" t="n"/>
      <c r="Q82" s="13" t="n">
        <v>0</v>
      </c>
      <c r="R82" s="13">
        <f>R81+Q82</f>
        <v/>
      </c>
      <c r="S82" s="19">
        <f>S81+IF(N82="已下單",M82,0)</f>
        <v/>
      </c>
      <c r="T82" s="19">
        <f>R82-S82</f>
        <v/>
      </c>
      <c r="U82" s="2">
        <f>U81+IF(N82="已下單",1,0)</f>
        <v/>
      </c>
      <c r="V82" s="19">
        <f>IF(資金模擬!$B$9=2,MAX(R82,0),MAX(V81,FLOOR(MAX(R82,0),資金模擬!$B$6)))</f>
        <v/>
      </c>
      <c r="W82" s="13">
        <f>MAX(W81,R82)</f>
        <v/>
      </c>
      <c r="X82" s="4">
        <f>IF(W82&gt;0,R82/W82-1,-1)</f>
        <v/>
      </c>
      <c r="Y82" s="19">
        <f>IF(R82&gt;0,S82*資金模擬!$B$7/R82,0)</f>
        <v/>
      </c>
      <c r="Z82" s="2">
        <f>IF(OR(Z81=1,R82&lt;=資金模擬!$B$10),1,0)</f>
        <v/>
      </c>
    </row>
    <row r="83">
      <c r="A83" s="2" t="n">
        <v>81</v>
      </c>
      <c r="B83" s="7" t="n">
        <v>46269.66666666666</v>
      </c>
      <c r="C83" s="2" t="inlineStr">
        <is>
          <t>進場</t>
        </is>
      </c>
      <c r="D83" s="2" t="n">
        <v>42</v>
      </c>
      <c r="E83" s="2" t="inlineStr">
        <is>
          <t>PONS_USDT_PERP</t>
        </is>
      </c>
      <c r="F83" s="2" t="inlineStr">
        <is>
          <t>做多</t>
        </is>
      </c>
      <c r="G83" s="20" t="n">
        <v>0.6479</v>
      </c>
      <c r="H83" s="20" t="n">
        <v>0.6673370000000001</v>
      </c>
      <c r="I83" s="20" t="n">
        <v>0.615505</v>
      </c>
      <c r="J83" s="20" t="n"/>
      <c r="K83" s="2" t="n"/>
      <c r="L83" s="5" t="n"/>
      <c r="M83" s="19">
        <f>資金模擬!$B$5*V82</f>
        <v/>
      </c>
      <c r="N83" s="2">
        <f>IF(Z82=1,"已停止",IF(T82&gt;=M83,"已下單","資金不足略過"))</f>
        <v/>
      </c>
      <c r="O83" s="19">
        <f>IF(N83="已下單",M83*資金模擬!$B$7,0)</f>
        <v/>
      </c>
      <c r="P83" s="4" t="n"/>
      <c r="Q83" s="13" t="n">
        <v>0</v>
      </c>
      <c r="R83" s="13">
        <f>R82+Q83</f>
        <v/>
      </c>
      <c r="S83" s="19">
        <f>S82+IF(N83="已下單",M83,0)</f>
        <v/>
      </c>
      <c r="T83" s="19">
        <f>R83-S83</f>
        <v/>
      </c>
      <c r="U83" s="2">
        <f>U82+IF(N83="已下單",1,0)</f>
        <v/>
      </c>
      <c r="V83" s="19">
        <f>IF(資金模擬!$B$9=2,MAX(R83,0),MAX(V82,FLOOR(MAX(R83,0),資金模擬!$B$6)))</f>
        <v/>
      </c>
      <c r="W83" s="13">
        <f>MAX(W82,R83)</f>
        <v/>
      </c>
      <c r="X83" s="4">
        <f>IF(W83&gt;0,R83/W83-1,-1)</f>
        <v/>
      </c>
      <c r="Y83" s="19">
        <f>IF(R83&gt;0,S83*資金模擬!$B$7/R83,0)</f>
        <v/>
      </c>
      <c r="Z83" s="2">
        <f>IF(OR(Z82=1,R83&lt;=資金模擬!$B$10),1,0)</f>
        <v/>
      </c>
    </row>
    <row r="84">
      <c r="A84" s="2" t="n">
        <v>82</v>
      </c>
      <c r="B84" s="7" t="n">
        <v>46269.66666666666</v>
      </c>
      <c r="C84" s="2" t="inlineStr">
        <is>
          <t>進場</t>
        </is>
      </c>
      <c r="D84" s="2" t="n">
        <v>43</v>
      </c>
      <c r="E84" s="2" t="inlineStr">
        <is>
          <t>UAI_USDT_PERP</t>
        </is>
      </c>
      <c r="F84" s="2" t="inlineStr">
        <is>
          <t>做空</t>
        </is>
      </c>
      <c r="G84" s="20" t="n">
        <v>0.3446</v>
      </c>
      <c r="H84" s="20" t="n">
        <v>0.334262</v>
      </c>
      <c r="I84" s="20" t="n">
        <v>0.36183</v>
      </c>
      <c r="J84" s="20" t="n"/>
      <c r="K84" s="2" t="n"/>
      <c r="L84" s="5" t="n"/>
      <c r="M84" s="19">
        <f>資金模擬!$B$5*V83</f>
        <v/>
      </c>
      <c r="N84" s="2">
        <f>IF(Z83=1,"已停止",IF(T83&gt;=M84,"已下單","資金不足略過"))</f>
        <v/>
      </c>
      <c r="O84" s="19">
        <f>IF(N84="已下單",M84*資金模擬!$B$7,0)</f>
        <v/>
      </c>
      <c r="P84" s="4" t="n"/>
      <c r="Q84" s="13" t="n">
        <v>0</v>
      </c>
      <c r="R84" s="13">
        <f>R83+Q84</f>
        <v/>
      </c>
      <c r="S84" s="19">
        <f>S83+IF(N84="已下單",M84,0)</f>
        <v/>
      </c>
      <c r="T84" s="19">
        <f>R84-S84</f>
        <v/>
      </c>
      <c r="U84" s="2">
        <f>U83+IF(N84="已下單",1,0)</f>
        <v/>
      </c>
      <c r="V84" s="19">
        <f>IF(資金模擬!$B$9=2,MAX(R84,0),MAX(V83,FLOOR(MAX(R84,0),資金模擬!$B$6)))</f>
        <v/>
      </c>
      <c r="W84" s="13">
        <f>MAX(W83,R84)</f>
        <v/>
      </c>
      <c r="X84" s="4">
        <f>IF(W84&gt;0,R84/W84-1,-1)</f>
        <v/>
      </c>
      <c r="Y84" s="19">
        <f>IF(R84&gt;0,S84*資金模擬!$B$7/R84,0)</f>
        <v/>
      </c>
      <c r="Z84" s="2">
        <f>IF(OR(Z83=1,R84&lt;=資金模擬!$B$10),1,0)</f>
        <v/>
      </c>
    </row>
    <row r="85">
      <c r="A85" s="2" t="n">
        <v>83</v>
      </c>
      <c r="B85" s="7" t="n">
        <v>46269.70833333334</v>
      </c>
      <c r="C85" s="2" t="inlineStr">
        <is>
          <t>出場</t>
        </is>
      </c>
      <c r="D85" s="2" t="n">
        <v>42</v>
      </c>
      <c r="E85" s="2" t="inlineStr">
        <is>
          <t>PONS_USDT_PERP</t>
        </is>
      </c>
      <c r="F85" s="2" t="inlineStr">
        <is>
          <t>做多</t>
        </is>
      </c>
      <c r="G85" s="20" t="n">
        <v>0.6479</v>
      </c>
      <c r="H85" s="20" t="n">
        <v>0.6673370000000001</v>
      </c>
      <c r="I85" s="20" t="n">
        <v>0.615505</v>
      </c>
      <c r="J85" s="20" t="n">
        <v>0.6673370000000001</v>
      </c>
      <c r="K85" s="2" t="inlineStr">
        <is>
          <t>止盈</t>
        </is>
      </c>
      <c r="L85" s="5">
        <f>交易明細!K43</f>
        <v/>
      </c>
      <c r="M85" s="19">
        <f>M83</f>
        <v/>
      </c>
      <c r="N85" s="2">
        <f>N83</f>
        <v/>
      </c>
      <c r="O85" s="19">
        <f>O83</f>
        <v/>
      </c>
      <c r="P85" s="4">
        <f>交易明細!L43</f>
        <v/>
      </c>
      <c r="Q85" s="13">
        <f>IF(N85="已下單",O85*P85,0)</f>
        <v/>
      </c>
      <c r="R85" s="13">
        <f>R84+Q85</f>
        <v/>
      </c>
      <c r="S85" s="19">
        <f>S84-IF(N85="已下單",M85,0)</f>
        <v/>
      </c>
      <c r="T85" s="19">
        <f>R85-S85</f>
        <v/>
      </c>
      <c r="U85" s="2">
        <f>U84-IF(N85="已下單",1,0)</f>
        <v/>
      </c>
      <c r="V85" s="19">
        <f>IF(資金模擬!$B$9=2,MAX(R85,0),MAX(V84,FLOOR(MAX(R85,0),資金模擬!$B$6)))</f>
        <v/>
      </c>
      <c r="W85" s="13">
        <f>MAX(W84,R85)</f>
        <v/>
      </c>
      <c r="X85" s="4">
        <f>IF(W85&gt;0,R85/W85-1,-1)</f>
        <v/>
      </c>
      <c r="Y85" s="19">
        <f>IF(R85&gt;0,S85*資金模擬!$B$7/R85,0)</f>
        <v/>
      </c>
      <c r="Z85" s="2">
        <f>IF(OR(Z84=1,R85&lt;=資金模擬!$B$10),1,0)</f>
        <v/>
      </c>
    </row>
    <row r="86">
      <c r="A86" s="2" t="n">
        <v>84</v>
      </c>
      <c r="B86" s="7" t="n">
        <v>46269.70833333334</v>
      </c>
      <c r="C86" s="2" t="inlineStr">
        <is>
          <t>出場</t>
        </is>
      </c>
      <c r="D86" s="2" t="n">
        <v>43</v>
      </c>
      <c r="E86" s="2" t="inlineStr">
        <is>
          <t>UAI_USDT_PERP</t>
        </is>
      </c>
      <c r="F86" s="2" t="inlineStr">
        <is>
          <t>做空</t>
        </is>
      </c>
      <c r="G86" s="20" t="n">
        <v>0.3446</v>
      </c>
      <c r="H86" s="20" t="n">
        <v>0.334262</v>
      </c>
      <c r="I86" s="20" t="n">
        <v>0.36183</v>
      </c>
      <c r="J86" s="20" t="n">
        <v>0.36183</v>
      </c>
      <c r="K86" s="2" t="inlineStr">
        <is>
          <t>止損</t>
        </is>
      </c>
      <c r="L86" s="5">
        <f>交易明細!K44</f>
        <v/>
      </c>
      <c r="M86" s="19">
        <f>M84</f>
        <v/>
      </c>
      <c r="N86" s="2">
        <f>N84</f>
        <v/>
      </c>
      <c r="O86" s="19">
        <f>O84</f>
        <v/>
      </c>
      <c r="P86" s="4">
        <f>交易明細!L44</f>
        <v/>
      </c>
      <c r="Q86" s="13">
        <f>IF(N86="已下單",O86*P86,0)</f>
        <v/>
      </c>
      <c r="R86" s="13">
        <f>R85+Q86</f>
        <v/>
      </c>
      <c r="S86" s="19">
        <f>S85-IF(N86="已下單",M86,0)</f>
        <v/>
      </c>
      <c r="T86" s="19">
        <f>R86-S86</f>
        <v/>
      </c>
      <c r="U86" s="2">
        <f>U85-IF(N86="已下單",1,0)</f>
        <v/>
      </c>
      <c r="V86" s="19">
        <f>IF(資金模擬!$B$9=2,MAX(R86,0),MAX(V85,FLOOR(MAX(R86,0),資金模擬!$B$6)))</f>
        <v/>
      </c>
      <c r="W86" s="13">
        <f>MAX(W85,R86)</f>
        <v/>
      </c>
      <c r="X86" s="4">
        <f>IF(W86&gt;0,R86/W86-1,-1)</f>
        <v/>
      </c>
      <c r="Y86" s="19">
        <f>IF(R86&gt;0,S86*資金模擬!$B$7/R86,0)</f>
        <v/>
      </c>
      <c r="Z86" s="2">
        <f>IF(OR(Z85=1,R86&lt;=資金模擬!$B$10),1,0)</f>
        <v/>
      </c>
    </row>
    <row r="87">
      <c r="A87" s="2" t="n">
        <v>85</v>
      </c>
      <c r="B87" s="7" t="n">
        <v>46269.70833333334</v>
      </c>
      <c r="C87" s="2" t="inlineStr">
        <is>
          <t>進場</t>
        </is>
      </c>
      <c r="D87" s="2" t="n">
        <v>44</v>
      </c>
      <c r="E87" s="2" t="inlineStr">
        <is>
          <t>BULLA_USDT_PERP</t>
        </is>
      </c>
      <c r="F87" s="2" t="inlineStr">
        <is>
          <t>做多</t>
        </is>
      </c>
      <c r="G87" s="20" t="n">
        <v>0.03347</v>
      </c>
      <c r="H87" s="20" t="n">
        <v>0.0344741</v>
      </c>
      <c r="I87" s="20" t="n">
        <v>0.0317965</v>
      </c>
      <c r="J87" s="20" t="n"/>
      <c r="K87" s="2" t="n"/>
      <c r="L87" s="5" t="n"/>
      <c r="M87" s="19">
        <f>資金模擬!$B$5*V86</f>
        <v/>
      </c>
      <c r="N87" s="2">
        <f>IF(Z86=1,"已停止",IF(T86&gt;=M87,"已下單","資金不足略過"))</f>
        <v/>
      </c>
      <c r="O87" s="19">
        <f>IF(N87="已下單",M87*資金模擬!$B$7,0)</f>
        <v/>
      </c>
      <c r="P87" s="4" t="n"/>
      <c r="Q87" s="13" t="n">
        <v>0</v>
      </c>
      <c r="R87" s="13">
        <f>R86+Q87</f>
        <v/>
      </c>
      <c r="S87" s="19">
        <f>S86+IF(N87="已下單",M87,0)</f>
        <v/>
      </c>
      <c r="T87" s="19">
        <f>R87-S87</f>
        <v/>
      </c>
      <c r="U87" s="2">
        <f>U86+IF(N87="已下單",1,0)</f>
        <v/>
      </c>
      <c r="V87" s="19">
        <f>IF(資金模擬!$B$9=2,MAX(R87,0),MAX(V86,FLOOR(MAX(R87,0),資金模擬!$B$6)))</f>
        <v/>
      </c>
      <c r="W87" s="13">
        <f>MAX(W86,R87)</f>
        <v/>
      </c>
      <c r="X87" s="4">
        <f>IF(W87&gt;0,R87/W87-1,-1)</f>
        <v/>
      </c>
      <c r="Y87" s="19">
        <f>IF(R87&gt;0,S87*資金模擬!$B$7/R87,0)</f>
        <v/>
      </c>
      <c r="Z87" s="2">
        <f>IF(OR(Z86=1,R87&lt;=資金模擬!$B$10),1,0)</f>
        <v/>
      </c>
    </row>
    <row r="88">
      <c r="A88" s="2" t="n">
        <v>86</v>
      </c>
      <c r="B88" s="7" t="n">
        <v>46269.70833333334</v>
      </c>
      <c r="C88" s="2" t="inlineStr">
        <is>
          <t>進場</t>
        </is>
      </c>
      <c r="D88" s="2" t="n">
        <v>45</v>
      </c>
      <c r="E88" s="2" t="inlineStr">
        <is>
          <t>UNI_USDT_PERP</t>
        </is>
      </c>
      <c r="F88" s="2" t="inlineStr">
        <is>
          <t>做多</t>
        </is>
      </c>
      <c r="G88" s="20" t="n">
        <v>6.366</v>
      </c>
      <c r="H88" s="20" t="n">
        <v>6.55698</v>
      </c>
      <c r="I88" s="20" t="n">
        <v>6.047699999999999</v>
      </c>
      <c r="J88" s="20" t="n"/>
      <c r="K88" s="2" t="n"/>
      <c r="L88" s="5" t="n"/>
      <c r="M88" s="19">
        <f>資金模擬!$B$5*V87</f>
        <v/>
      </c>
      <c r="N88" s="2">
        <f>IF(Z87=1,"已停止",IF(T87&gt;=M88,"已下單","資金不足略過"))</f>
        <v/>
      </c>
      <c r="O88" s="19">
        <f>IF(N88="已下單",M88*資金模擬!$B$7,0)</f>
        <v/>
      </c>
      <c r="P88" s="4" t="n"/>
      <c r="Q88" s="13" t="n">
        <v>0</v>
      </c>
      <c r="R88" s="13">
        <f>R87+Q88</f>
        <v/>
      </c>
      <c r="S88" s="19">
        <f>S87+IF(N88="已下單",M88,0)</f>
        <v/>
      </c>
      <c r="T88" s="19">
        <f>R88-S88</f>
        <v/>
      </c>
      <c r="U88" s="2">
        <f>U87+IF(N88="已下單",1,0)</f>
        <v/>
      </c>
      <c r="V88" s="19">
        <f>IF(資金模擬!$B$9=2,MAX(R88,0),MAX(V87,FLOOR(MAX(R88,0),資金模擬!$B$6)))</f>
        <v/>
      </c>
      <c r="W88" s="13">
        <f>MAX(W87,R88)</f>
        <v/>
      </c>
      <c r="X88" s="4">
        <f>IF(W88&gt;0,R88/W88-1,-1)</f>
        <v/>
      </c>
      <c r="Y88" s="19">
        <f>IF(R88&gt;0,S88*資金模擬!$B$7/R88,0)</f>
        <v/>
      </c>
      <c r="Z88" s="2">
        <f>IF(OR(Z87=1,R88&lt;=資金模擬!$B$10),1,0)</f>
        <v/>
      </c>
    </row>
    <row r="89">
      <c r="A89" s="2" t="n">
        <v>87</v>
      </c>
      <c r="B89" s="7" t="n">
        <v>46269.70833333334</v>
      </c>
      <c r="C89" s="2" t="inlineStr">
        <is>
          <t>進場</t>
        </is>
      </c>
      <c r="D89" s="2" t="n">
        <v>46</v>
      </c>
      <c r="E89" s="2" t="inlineStr">
        <is>
          <t>XPL_USDT_PERP</t>
        </is>
      </c>
      <c r="F89" s="2" t="inlineStr">
        <is>
          <t>做多</t>
        </is>
      </c>
      <c r="G89" s="20" t="n">
        <v>0.096</v>
      </c>
      <c r="H89" s="20" t="n">
        <v>0.09888000000000001</v>
      </c>
      <c r="I89" s="20" t="n">
        <v>0.0912</v>
      </c>
      <c r="J89" s="20" t="n"/>
      <c r="K89" s="2" t="n"/>
      <c r="L89" s="5" t="n"/>
      <c r="M89" s="19">
        <f>資金模擬!$B$5*V88</f>
        <v/>
      </c>
      <c r="N89" s="2">
        <f>IF(Z88=1,"已停止",IF(T88&gt;=M89,"已下單","資金不足略過"))</f>
        <v/>
      </c>
      <c r="O89" s="19">
        <f>IF(N89="已下單",M89*資金模擬!$B$7,0)</f>
        <v/>
      </c>
      <c r="P89" s="4" t="n"/>
      <c r="Q89" s="13" t="n">
        <v>0</v>
      </c>
      <c r="R89" s="13">
        <f>R88+Q89</f>
        <v/>
      </c>
      <c r="S89" s="19">
        <f>S88+IF(N89="已下單",M89,0)</f>
        <v/>
      </c>
      <c r="T89" s="19">
        <f>R89-S89</f>
        <v/>
      </c>
      <c r="U89" s="2">
        <f>U88+IF(N89="已下單",1,0)</f>
        <v/>
      </c>
      <c r="V89" s="19">
        <f>IF(資金模擬!$B$9=2,MAX(R89,0),MAX(V88,FLOOR(MAX(R89,0),資金模擬!$B$6)))</f>
        <v/>
      </c>
      <c r="W89" s="13">
        <f>MAX(W88,R89)</f>
        <v/>
      </c>
      <c r="X89" s="4">
        <f>IF(W89&gt;0,R89/W89-1,-1)</f>
        <v/>
      </c>
      <c r="Y89" s="19">
        <f>IF(R89&gt;0,S89*資金模擬!$B$7/R89,0)</f>
        <v/>
      </c>
      <c r="Z89" s="2">
        <f>IF(OR(Z88=1,R89&lt;=資金模擬!$B$10),1,0)</f>
        <v/>
      </c>
    </row>
    <row r="90">
      <c r="A90" s="2" t="n">
        <v>88</v>
      </c>
      <c r="B90" s="7" t="n">
        <v>46269.75</v>
      </c>
      <c r="C90" s="2" t="inlineStr">
        <is>
          <t>出場</t>
        </is>
      </c>
      <c r="D90" s="2" t="n">
        <v>41</v>
      </c>
      <c r="E90" s="2" t="inlineStr">
        <is>
          <t>CHIP_USDT_PERP</t>
        </is>
      </c>
      <c r="F90" s="2" t="inlineStr">
        <is>
          <t>做空</t>
        </is>
      </c>
      <c r="G90" s="20" t="n">
        <v>0.0548</v>
      </c>
      <c r="H90" s="20" t="n">
        <v>0.053156</v>
      </c>
      <c r="I90" s="20" t="n">
        <v>0.05754</v>
      </c>
      <c r="J90" s="20" t="n">
        <v>0.05754</v>
      </c>
      <c r="K90" s="2" t="inlineStr">
        <is>
          <t>止損</t>
        </is>
      </c>
      <c r="L90" s="5">
        <f>交易明細!K42</f>
        <v/>
      </c>
      <c r="M90" s="19">
        <f>M82</f>
        <v/>
      </c>
      <c r="N90" s="2">
        <f>N82</f>
        <v/>
      </c>
      <c r="O90" s="19">
        <f>O82</f>
        <v/>
      </c>
      <c r="P90" s="4">
        <f>交易明細!L42</f>
        <v/>
      </c>
      <c r="Q90" s="13">
        <f>IF(N90="已下單",O90*P90,0)</f>
        <v/>
      </c>
      <c r="R90" s="13">
        <f>R89+Q90</f>
        <v/>
      </c>
      <c r="S90" s="19">
        <f>S89-IF(N90="已下單",M90,0)</f>
        <v/>
      </c>
      <c r="T90" s="19">
        <f>R90-S90</f>
        <v/>
      </c>
      <c r="U90" s="2">
        <f>U89-IF(N90="已下單",1,0)</f>
        <v/>
      </c>
      <c r="V90" s="19">
        <f>IF(資金模擬!$B$9=2,MAX(R90,0),MAX(V89,FLOOR(MAX(R90,0),資金模擬!$B$6)))</f>
        <v/>
      </c>
      <c r="W90" s="13">
        <f>MAX(W89,R90)</f>
        <v/>
      </c>
      <c r="X90" s="4">
        <f>IF(W90&gt;0,R90/W90-1,-1)</f>
        <v/>
      </c>
      <c r="Y90" s="19">
        <f>IF(R90&gt;0,S90*資金模擬!$B$7/R90,0)</f>
        <v/>
      </c>
      <c r="Z90" s="2">
        <f>IF(OR(Z89=1,R90&lt;=資金模擬!$B$10),1,0)</f>
        <v/>
      </c>
    </row>
    <row r="91">
      <c r="A91" s="2" t="n">
        <v>89</v>
      </c>
      <c r="B91" s="7" t="n">
        <v>46269.75</v>
      </c>
      <c r="C91" s="2" t="inlineStr">
        <is>
          <t>出場</t>
        </is>
      </c>
      <c r="D91" s="2" t="n">
        <v>44</v>
      </c>
      <c r="E91" s="2" t="inlineStr">
        <is>
          <t>BULLA_USDT_PERP</t>
        </is>
      </c>
      <c r="F91" s="2" t="inlineStr">
        <is>
          <t>做多</t>
        </is>
      </c>
      <c r="G91" s="20" t="n">
        <v>0.03347</v>
      </c>
      <c r="H91" s="20" t="n">
        <v>0.0344741</v>
      </c>
      <c r="I91" s="20" t="n">
        <v>0.0317965</v>
      </c>
      <c r="J91" s="20" t="n">
        <v>0.0344741</v>
      </c>
      <c r="K91" s="2" t="inlineStr">
        <is>
          <t>止盈</t>
        </is>
      </c>
      <c r="L91" s="5">
        <f>交易明細!K45</f>
        <v/>
      </c>
      <c r="M91" s="19">
        <f>M87</f>
        <v/>
      </c>
      <c r="N91" s="2">
        <f>N87</f>
        <v/>
      </c>
      <c r="O91" s="19">
        <f>O87</f>
        <v/>
      </c>
      <c r="P91" s="4">
        <f>交易明細!L45</f>
        <v/>
      </c>
      <c r="Q91" s="13">
        <f>IF(N91="已下單",O91*P91,0)</f>
        <v/>
      </c>
      <c r="R91" s="13">
        <f>R90+Q91</f>
        <v/>
      </c>
      <c r="S91" s="19">
        <f>S90-IF(N91="已下單",M91,0)</f>
        <v/>
      </c>
      <c r="T91" s="19">
        <f>R91-S91</f>
        <v/>
      </c>
      <c r="U91" s="2">
        <f>U90-IF(N91="已下單",1,0)</f>
        <v/>
      </c>
      <c r="V91" s="19">
        <f>IF(資金模擬!$B$9=2,MAX(R91,0),MAX(V90,FLOOR(MAX(R91,0),資金模擬!$B$6)))</f>
        <v/>
      </c>
      <c r="W91" s="13">
        <f>MAX(W90,R91)</f>
        <v/>
      </c>
      <c r="X91" s="4">
        <f>IF(W91&gt;0,R91/W91-1,-1)</f>
        <v/>
      </c>
      <c r="Y91" s="19">
        <f>IF(R91&gt;0,S91*資金模擬!$B$7/R91,0)</f>
        <v/>
      </c>
      <c r="Z91" s="2">
        <f>IF(OR(Z90=1,R91&lt;=資金模擬!$B$10),1,0)</f>
        <v/>
      </c>
    </row>
    <row r="92">
      <c r="A92" s="2" t="n">
        <v>90</v>
      </c>
      <c r="B92" s="7" t="n">
        <v>46269.75</v>
      </c>
      <c r="C92" s="2" t="inlineStr">
        <is>
          <t>進場</t>
        </is>
      </c>
      <c r="D92" s="2" t="n">
        <v>47</v>
      </c>
      <c r="E92" s="2" t="inlineStr">
        <is>
          <t>ARB_USDT_PERP</t>
        </is>
      </c>
      <c r="F92" s="2" t="inlineStr">
        <is>
          <t>做多</t>
        </is>
      </c>
      <c r="G92" s="20" t="n">
        <v>0.1404</v>
      </c>
      <c r="H92" s="20" t="n">
        <v>0.144612</v>
      </c>
      <c r="I92" s="20" t="n">
        <v>0.13338</v>
      </c>
      <c r="J92" s="20" t="n"/>
      <c r="K92" s="2" t="n"/>
      <c r="L92" s="5" t="n"/>
      <c r="M92" s="19">
        <f>資金模擬!$B$5*V91</f>
        <v/>
      </c>
      <c r="N92" s="2">
        <f>IF(Z91=1,"已停止",IF(T91&gt;=M92,"已下單","資金不足略過"))</f>
        <v/>
      </c>
      <c r="O92" s="19">
        <f>IF(N92="已下單",M92*資金模擬!$B$7,0)</f>
        <v/>
      </c>
      <c r="P92" s="4" t="n"/>
      <c r="Q92" s="13" t="n">
        <v>0</v>
      </c>
      <c r="R92" s="13">
        <f>R91+Q92</f>
        <v/>
      </c>
      <c r="S92" s="19">
        <f>S91+IF(N92="已下單",M92,0)</f>
        <v/>
      </c>
      <c r="T92" s="19">
        <f>R92-S92</f>
        <v/>
      </c>
      <c r="U92" s="2">
        <f>U91+IF(N92="已下單",1,0)</f>
        <v/>
      </c>
      <c r="V92" s="19">
        <f>IF(資金模擬!$B$9=2,MAX(R92,0),MAX(V91,FLOOR(MAX(R92,0),資金模擬!$B$6)))</f>
        <v/>
      </c>
      <c r="W92" s="13">
        <f>MAX(W91,R92)</f>
        <v/>
      </c>
      <c r="X92" s="4">
        <f>IF(W92&gt;0,R92/W92-1,-1)</f>
        <v/>
      </c>
      <c r="Y92" s="19">
        <f>IF(R92&gt;0,S92*資金模擬!$B$7/R92,0)</f>
        <v/>
      </c>
      <c r="Z92" s="2">
        <f>IF(OR(Z91=1,R92&lt;=資金模擬!$B$10),1,0)</f>
        <v/>
      </c>
    </row>
    <row r="93">
      <c r="A93" s="2" t="n">
        <v>91</v>
      </c>
      <c r="B93" s="7" t="n">
        <v>46269.75</v>
      </c>
      <c r="C93" s="2" t="inlineStr">
        <is>
          <t>進場</t>
        </is>
      </c>
      <c r="D93" s="2" t="n">
        <v>48</v>
      </c>
      <c r="E93" s="2" t="inlineStr">
        <is>
          <t>BTR_USDT_PERP</t>
        </is>
      </c>
      <c r="F93" s="2" t="inlineStr">
        <is>
          <t>做多</t>
        </is>
      </c>
      <c r="G93" s="20" t="n">
        <v>0.05138</v>
      </c>
      <c r="H93" s="20" t="n">
        <v>0.0529214</v>
      </c>
      <c r="I93" s="20" t="n">
        <v>0.048811</v>
      </c>
      <c r="J93" s="20" t="n"/>
      <c r="K93" s="2" t="n"/>
      <c r="L93" s="5" t="n"/>
      <c r="M93" s="19">
        <f>資金模擬!$B$5*V92</f>
        <v/>
      </c>
      <c r="N93" s="2">
        <f>IF(Z92=1,"已停止",IF(T92&gt;=M93,"已下單","資金不足略過"))</f>
        <v/>
      </c>
      <c r="O93" s="19">
        <f>IF(N93="已下單",M93*資金模擬!$B$7,0)</f>
        <v/>
      </c>
      <c r="P93" s="4" t="n"/>
      <c r="Q93" s="13" t="n">
        <v>0</v>
      </c>
      <c r="R93" s="13">
        <f>R92+Q93</f>
        <v/>
      </c>
      <c r="S93" s="19">
        <f>S92+IF(N93="已下單",M93,0)</f>
        <v/>
      </c>
      <c r="T93" s="19">
        <f>R93-S93</f>
        <v/>
      </c>
      <c r="U93" s="2">
        <f>U92+IF(N93="已下單",1,0)</f>
        <v/>
      </c>
      <c r="V93" s="19">
        <f>IF(資金模擬!$B$9=2,MAX(R93,0),MAX(V92,FLOOR(MAX(R93,0),資金模擬!$B$6)))</f>
        <v/>
      </c>
      <c r="W93" s="13">
        <f>MAX(W92,R93)</f>
        <v/>
      </c>
      <c r="X93" s="4">
        <f>IF(W93&gt;0,R93/W93-1,-1)</f>
        <v/>
      </c>
      <c r="Y93" s="19">
        <f>IF(R93&gt;0,S93*資金模擬!$B$7/R93,0)</f>
        <v/>
      </c>
      <c r="Z93" s="2">
        <f>IF(OR(Z92=1,R93&lt;=資金模擬!$B$10),1,0)</f>
        <v/>
      </c>
    </row>
    <row r="94">
      <c r="A94" s="2" t="n">
        <v>92</v>
      </c>
      <c r="B94" s="7" t="n">
        <v>46269.75</v>
      </c>
      <c r="C94" s="2" t="inlineStr">
        <is>
          <t>進場</t>
        </is>
      </c>
      <c r="D94" s="2" t="n">
        <v>49</v>
      </c>
      <c r="E94" s="2" t="inlineStr">
        <is>
          <t>EDGE_USDT_PERP</t>
        </is>
      </c>
      <c r="F94" s="2" t="inlineStr">
        <is>
          <t>做空</t>
        </is>
      </c>
      <c r="G94" s="20" t="n">
        <v>0.6109</v>
      </c>
      <c r="H94" s="20" t="n">
        <v>0.592573</v>
      </c>
      <c r="I94" s="20" t="n">
        <v>0.641445</v>
      </c>
      <c r="J94" s="20" t="n"/>
      <c r="K94" s="2" t="n"/>
      <c r="L94" s="5" t="n"/>
      <c r="M94" s="19">
        <f>資金模擬!$B$5*V93</f>
        <v/>
      </c>
      <c r="N94" s="2">
        <f>IF(Z93=1,"已停止",IF(T93&gt;=M94,"已下單","資金不足略過"))</f>
        <v/>
      </c>
      <c r="O94" s="19">
        <f>IF(N94="已下單",M94*資金模擬!$B$7,0)</f>
        <v/>
      </c>
      <c r="P94" s="4" t="n"/>
      <c r="Q94" s="13" t="n">
        <v>0</v>
      </c>
      <c r="R94" s="13">
        <f>R93+Q94</f>
        <v/>
      </c>
      <c r="S94" s="19">
        <f>S93+IF(N94="已下單",M94,0)</f>
        <v/>
      </c>
      <c r="T94" s="19">
        <f>R94-S94</f>
        <v/>
      </c>
      <c r="U94" s="2">
        <f>U93+IF(N94="已下單",1,0)</f>
        <v/>
      </c>
      <c r="V94" s="19">
        <f>IF(資金模擬!$B$9=2,MAX(R94,0),MAX(V93,FLOOR(MAX(R94,0),資金模擬!$B$6)))</f>
        <v/>
      </c>
      <c r="W94" s="13">
        <f>MAX(W93,R94)</f>
        <v/>
      </c>
      <c r="X94" s="4">
        <f>IF(W94&gt;0,R94/W94-1,-1)</f>
        <v/>
      </c>
      <c r="Y94" s="19">
        <f>IF(R94&gt;0,S94*資金模擬!$B$7/R94,0)</f>
        <v/>
      </c>
      <c r="Z94" s="2">
        <f>IF(OR(Z93=1,R94&lt;=資金模擬!$B$10),1,0)</f>
        <v/>
      </c>
    </row>
    <row r="95">
      <c r="A95" s="2" t="n">
        <v>93</v>
      </c>
      <c r="B95" s="7" t="n">
        <v>46269.79166666666</v>
      </c>
      <c r="C95" s="2" t="inlineStr">
        <is>
          <t>進場</t>
        </is>
      </c>
      <c r="D95" s="2" t="n">
        <v>50</v>
      </c>
      <c r="E95" s="2" t="inlineStr">
        <is>
          <t>BULLA_USDT_PERP</t>
        </is>
      </c>
      <c r="F95" s="2" t="inlineStr">
        <is>
          <t>做多</t>
        </is>
      </c>
      <c r="G95" s="20" t="n">
        <v>0.03417</v>
      </c>
      <c r="H95" s="20" t="n">
        <v>0.0351951</v>
      </c>
      <c r="I95" s="20" t="n">
        <v>0.0324615</v>
      </c>
      <c r="J95" s="20" t="n"/>
      <c r="K95" s="2" t="n"/>
      <c r="L95" s="5" t="n"/>
      <c r="M95" s="19">
        <f>資金模擬!$B$5*V94</f>
        <v/>
      </c>
      <c r="N95" s="2">
        <f>IF(Z94=1,"已停止",IF(T94&gt;=M95,"已下單","資金不足略過"))</f>
        <v/>
      </c>
      <c r="O95" s="19">
        <f>IF(N95="已下單",M95*資金模擬!$B$7,0)</f>
        <v/>
      </c>
      <c r="P95" s="4" t="n"/>
      <c r="Q95" s="13" t="n">
        <v>0</v>
      </c>
      <c r="R95" s="13">
        <f>R94+Q95</f>
        <v/>
      </c>
      <c r="S95" s="19">
        <f>S94+IF(N95="已下單",M95,0)</f>
        <v/>
      </c>
      <c r="T95" s="19">
        <f>R95-S95</f>
        <v/>
      </c>
      <c r="U95" s="2">
        <f>U94+IF(N95="已下單",1,0)</f>
        <v/>
      </c>
      <c r="V95" s="19">
        <f>IF(資金模擬!$B$9=2,MAX(R95,0),MAX(V94,FLOOR(MAX(R95,0),資金模擬!$B$6)))</f>
        <v/>
      </c>
      <c r="W95" s="13">
        <f>MAX(W94,R95)</f>
        <v/>
      </c>
      <c r="X95" s="4">
        <f>IF(W95&gt;0,R95/W95-1,-1)</f>
        <v/>
      </c>
      <c r="Y95" s="19">
        <f>IF(R95&gt;0,S95*資金模擬!$B$7/R95,0)</f>
        <v/>
      </c>
      <c r="Z95" s="2">
        <f>IF(OR(Z94=1,R95&lt;=資金模擬!$B$10),1,0)</f>
        <v/>
      </c>
    </row>
    <row r="96">
      <c r="A96" s="2" t="n">
        <v>94</v>
      </c>
      <c r="B96" s="7" t="n">
        <v>46269.83333333334</v>
      </c>
      <c r="C96" s="2" t="inlineStr">
        <is>
          <t>出場</t>
        </is>
      </c>
      <c r="D96" s="2" t="n">
        <v>46</v>
      </c>
      <c r="E96" s="2" t="inlineStr">
        <is>
          <t>XPL_USDT_PERP</t>
        </is>
      </c>
      <c r="F96" s="2" t="inlineStr">
        <is>
          <t>做多</t>
        </is>
      </c>
      <c r="G96" s="20" t="n">
        <v>0.096</v>
      </c>
      <c r="H96" s="20" t="n">
        <v>0.09888000000000001</v>
      </c>
      <c r="I96" s="20" t="n">
        <v>0.0912</v>
      </c>
      <c r="J96" s="20" t="n">
        <v>0.09888000000000001</v>
      </c>
      <c r="K96" s="2" t="inlineStr">
        <is>
          <t>止盈</t>
        </is>
      </c>
      <c r="L96" s="5">
        <f>交易明細!K47</f>
        <v/>
      </c>
      <c r="M96" s="19">
        <f>M89</f>
        <v/>
      </c>
      <c r="N96" s="2">
        <f>N89</f>
        <v/>
      </c>
      <c r="O96" s="19">
        <f>O89</f>
        <v/>
      </c>
      <c r="P96" s="4">
        <f>交易明細!L47</f>
        <v/>
      </c>
      <c r="Q96" s="13">
        <f>IF(N96="已下單",O96*P96,0)</f>
        <v/>
      </c>
      <c r="R96" s="13">
        <f>R95+Q96</f>
        <v/>
      </c>
      <c r="S96" s="19">
        <f>S95-IF(N96="已下單",M96,0)</f>
        <v/>
      </c>
      <c r="T96" s="19">
        <f>R96-S96</f>
        <v/>
      </c>
      <c r="U96" s="2">
        <f>U95-IF(N96="已下單",1,0)</f>
        <v/>
      </c>
      <c r="V96" s="19">
        <f>IF(資金模擬!$B$9=2,MAX(R96,0),MAX(V95,FLOOR(MAX(R96,0),資金模擬!$B$6)))</f>
        <v/>
      </c>
      <c r="W96" s="13">
        <f>MAX(W95,R96)</f>
        <v/>
      </c>
      <c r="X96" s="4">
        <f>IF(W96&gt;0,R96/W96-1,-1)</f>
        <v/>
      </c>
      <c r="Y96" s="19">
        <f>IF(R96&gt;0,S96*資金模擬!$B$7/R96,0)</f>
        <v/>
      </c>
      <c r="Z96" s="2">
        <f>IF(OR(Z95=1,R96&lt;=資金模擬!$B$10),1,0)</f>
        <v/>
      </c>
    </row>
    <row r="97">
      <c r="A97" s="2" t="n">
        <v>95</v>
      </c>
      <c r="B97" s="7" t="n">
        <v>46269.83333333334</v>
      </c>
      <c r="C97" s="2" t="inlineStr">
        <is>
          <t>出場</t>
        </is>
      </c>
      <c r="D97" s="2" t="n">
        <v>50</v>
      </c>
      <c r="E97" s="2" t="inlineStr">
        <is>
          <t>BULLA_USDT_PERP</t>
        </is>
      </c>
      <c r="F97" s="2" t="inlineStr">
        <is>
          <t>做多</t>
        </is>
      </c>
      <c r="G97" s="20" t="n">
        <v>0.03417</v>
      </c>
      <c r="H97" s="20" t="n">
        <v>0.0351951</v>
      </c>
      <c r="I97" s="20" t="n">
        <v>0.0324615</v>
      </c>
      <c r="J97" s="20" t="n">
        <v>0.0351951</v>
      </c>
      <c r="K97" s="2" t="inlineStr">
        <is>
          <t>止盈</t>
        </is>
      </c>
      <c r="L97" s="5">
        <f>交易明細!K51</f>
        <v/>
      </c>
      <c r="M97" s="19">
        <f>M95</f>
        <v/>
      </c>
      <c r="N97" s="2">
        <f>N95</f>
        <v/>
      </c>
      <c r="O97" s="19">
        <f>O95</f>
        <v/>
      </c>
      <c r="P97" s="4">
        <f>交易明細!L51</f>
        <v/>
      </c>
      <c r="Q97" s="13">
        <f>IF(N97="已下單",O97*P97,0)</f>
        <v/>
      </c>
      <c r="R97" s="13">
        <f>R96+Q97</f>
        <v/>
      </c>
      <c r="S97" s="19">
        <f>S96-IF(N97="已下單",M97,0)</f>
        <v/>
      </c>
      <c r="T97" s="19">
        <f>R97-S97</f>
        <v/>
      </c>
      <c r="U97" s="2">
        <f>U96-IF(N97="已下單",1,0)</f>
        <v/>
      </c>
      <c r="V97" s="19">
        <f>IF(資金模擬!$B$9=2,MAX(R97,0),MAX(V96,FLOOR(MAX(R97,0),資金模擬!$B$6)))</f>
        <v/>
      </c>
      <c r="W97" s="13">
        <f>MAX(W96,R97)</f>
        <v/>
      </c>
      <c r="X97" s="4">
        <f>IF(W97&gt;0,R97/W97-1,-1)</f>
        <v/>
      </c>
      <c r="Y97" s="19">
        <f>IF(R97&gt;0,S97*資金模擬!$B$7/R97,0)</f>
        <v/>
      </c>
      <c r="Z97" s="2">
        <f>IF(OR(Z96=1,R97&lt;=資金模擬!$B$10),1,0)</f>
        <v/>
      </c>
    </row>
    <row r="98">
      <c r="A98" s="2" t="n">
        <v>96</v>
      </c>
      <c r="B98" s="7" t="n">
        <v>46269.875</v>
      </c>
      <c r="C98" s="2" t="inlineStr">
        <is>
          <t>出場</t>
        </is>
      </c>
      <c r="D98" s="2" t="n">
        <v>39</v>
      </c>
      <c r="E98" s="2" t="inlineStr">
        <is>
          <t>TRUMP_USDT_PERP</t>
        </is>
      </c>
      <c r="F98" s="2" t="inlineStr">
        <is>
          <t>做空</t>
        </is>
      </c>
      <c r="G98" s="20" t="n">
        <v>2.334</v>
      </c>
      <c r="H98" s="20" t="n">
        <v>2.26398</v>
      </c>
      <c r="I98" s="20" t="n">
        <v>2.4507</v>
      </c>
      <c r="J98" s="20" t="n">
        <v>2.26398</v>
      </c>
      <c r="K98" s="2" t="inlineStr">
        <is>
          <t>止盈</t>
        </is>
      </c>
      <c r="L98" s="5">
        <f>交易明細!K40</f>
        <v/>
      </c>
      <c r="M98" s="19">
        <f>M79</f>
        <v/>
      </c>
      <c r="N98" s="2">
        <f>N79</f>
        <v/>
      </c>
      <c r="O98" s="19">
        <f>O79</f>
        <v/>
      </c>
      <c r="P98" s="4">
        <f>交易明細!L40</f>
        <v/>
      </c>
      <c r="Q98" s="13">
        <f>IF(N98="已下單",O98*P98,0)</f>
        <v/>
      </c>
      <c r="R98" s="13">
        <f>R97+Q98</f>
        <v/>
      </c>
      <c r="S98" s="19">
        <f>S97-IF(N98="已下單",M98,0)</f>
        <v/>
      </c>
      <c r="T98" s="19">
        <f>R98-S98</f>
        <v/>
      </c>
      <c r="U98" s="2">
        <f>U97-IF(N98="已下單",1,0)</f>
        <v/>
      </c>
      <c r="V98" s="19">
        <f>IF(資金模擬!$B$9=2,MAX(R98,0),MAX(V97,FLOOR(MAX(R98,0),資金模擬!$B$6)))</f>
        <v/>
      </c>
      <c r="W98" s="13">
        <f>MAX(W97,R98)</f>
        <v/>
      </c>
      <c r="X98" s="4">
        <f>IF(W98&gt;0,R98/W98-1,-1)</f>
        <v/>
      </c>
      <c r="Y98" s="19">
        <f>IF(R98&gt;0,S98*資金模擬!$B$7/R98,0)</f>
        <v/>
      </c>
      <c r="Z98" s="2">
        <f>IF(OR(Z97=1,R98&lt;=資金模擬!$B$10),1,0)</f>
        <v/>
      </c>
    </row>
    <row r="99">
      <c r="A99" s="2" t="n">
        <v>97</v>
      </c>
      <c r="B99" s="7" t="n">
        <v>46269.875</v>
      </c>
      <c r="C99" s="2" t="inlineStr">
        <is>
          <t>出場</t>
        </is>
      </c>
      <c r="D99" s="2" t="n">
        <v>47</v>
      </c>
      <c r="E99" s="2" t="inlineStr">
        <is>
          <t>ARB_USDT_PERP</t>
        </is>
      </c>
      <c r="F99" s="2" t="inlineStr">
        <is>
          <t>做多</t>
        </is>
      </c>
      <c r="G99" s="20" t="n">
        <v>0.1404</v>
      </c>
      <c r="H99" s="20" t="n">
        <v>0.144612</v>
      </c>
      <c r="I99" s="20" t="n">
        <v>0.13338</v>
      </c>
      <c r="J99" s="20" t="n">
        <v>0.13338</v>
      </c>
      <c r="K99" s="2" t="inlineStr">
        <is>
          <t>止損</t>
        </is>
      </c>
      <c r="L99" s="5">
        <f>交易明細!K48</f>
        <v/>
      </c>
      <c r="M99" s="19">
        <f>M92</f>
        <v/>
      </c>
      <c r="N99" s="2">
        <f>N92</f>
        <v/>
      </c>
      <c r="O99" s="19">
        <f>O92</f>
        <v/>
      </c>
      <c r="P99" s="4">
        <f>交易明細!L48</f>
        <v/>
      </c>
      <c r="Q99" s="13">
        <f>IF(N99="已下單",O99*P99,0)</f>
        <v/>
      </c>
      <c r="R99" s="13">
        <f>R98+Q99</f>
        <v/>
      </c>
      <c r="S99" s="19">
        <f>S98-IF(N99="已下單",M99,0)</f>
        <v/>
      </c>
      <c r="T99" s="19">
        <f>R99-S99</f>
        <v/>
      </c>
      <c r="U99" s="2">
        <f>U98-IF(N99="已下單",1,0)</f>
        <v/>
      </c>
      <c r="V99" s="19">
        <f>IF(資金模擬!$B$9=2,MAX(R99,0),MAX(V98,FLOOR(MAX(R99,0),資金模擬!$B$6)))</f>
        <v/>
      </c>
      <c r="W99" s="13">
        <f>MAX(W98,R99)</f>
        <v/>
      </c>
      <c r="X99" s="4">
        <f>IF(W99&gt;0,R99/W99-1,-1)</f>
        <v/>
      </c>
      <c r="Y99" s="19">
        <f>IF(R99&gt;0,S99*資金模擬!$B$7/R99,0)</f>
        <v/>
      </c>
      <c r="Z99" s="2">
        <f>IF(OR(Z98=1,R99&lt;=資金模擬!$B$10),1,0)</f>
        <v/>
      </c>
    </row>
    <row r="100">
      <c r="A100" s="2" t="n">
        <v>98</v>
      </c>
      <c r="B100" s="7" t="n">
        <v>46269.875</v>
      </c>
      <c r="C100" s="2" t="inlineStr">
        <is>
          <t>出場</t>
        </is>
      </c>
      <c r="D100" s="2" t="n">
        <v>48</v>
      </c>
      <c r="E100" s="2" t="inlineStr">
        <is>
          <t>BTR_USDT_PERP</t>
        </is>
      </c>
      <c r="F100" s="2" t="inlineStr">
        <is>
          <t>做多</t>
        </is>
      </c>
      <c r="G100" s="20" t="n">
        <v>0.05138</v>
      </c>
      <c r="H100" s="20" t="n">
        <v>0.0529214</v>
      </c>
      <c r="I100" s="20" t="n">
        <v>0.048811</v>
      </c>
      <c r="J100" s="20" t="n">
        <v>0.048811</v>
      </c>
      <c r="K100" s="2" t="inlineStr">
        <is>
          <t>止損</t>
        </is>
      </c>
      <c r="L100" s="5">
        <f>交易明細!K49</f>
        <v/>
      </c>
      <c r="M100" s="19">
        <f>M93</f>
        <v/>
      </c>
      <c r="N100" s="2">
        <f>N93</f>
        <v/>
      </c>
      <c r="O100" s="19">
        <f>O93</f>
        <v/>
      </c>
      <c r="P100" s="4">
        <f>交易明細!L49</f>
        <v/>
      </c>
      <c r="Q100" s="13">
        <f>IF(N100="已下單",O100*P100,0)</f>
        <v/>
      </c>
      <c r="R100" s="13">
        <f>R99+Q100</f>
        <v/>
      </c>
      <c r="S100" s="19">
        <f>S99-IF(N100="已下單",M100,0)</f>
        <v/>
      </c>
      <c r="T100" s="19">
        <f>R100-S100</f>
        <v/>
      </c>
      <c r="U100" s="2">
        <f>U99-IF(N100="已下單",1,0)</f>
        <v/>
      </c>
      <c r="V100" s="19">
        <f>IF(資金模擬!$B$9=2,MAX(R100,0),MAX(V99,FLOOR(MAX(R100,0),資金模擬!$B$6)))</f>
        <v/>
      </c>
      <c r="W100" s="13">
        <f>MAX(W99,R100)</f>
        <v/>
      </c>
      <c r="X100" s="4">
        <f>IF(W100&gt;0,R100/W100-1,-1)</f>
        <v/>
      </c>
      <c r="Y100" s="19">
        <f>IF(R100&gt;0,S100*資金模擬!$B$7/R100,0)</f>
        <v/>
      </c>
      <c r="Z100" s="2">
        <f>IF(OR(Z99=1,R100&lt;=資金模擬!$B$10),1,0)</f>
        <v/>
      </c>
    </row>
    <row r="101">
      <c r="A101" s="2" t="n">
        <v>99</v>
      </c>
      <c r="B101" s="7" t="n">
        <v>46269.875</v>
      </c>
      <c r="C101" s="2" t="inlineStr">
        <is>
          <t>出場</t>
        </is>
      </c>
      <c r="D101" s="2" t="n">
        <v>49</v>
      </c>
      <c r="E101" s="2" t="inlineStr">
        <is>
          <t>EDGE_USDT_PERP</t>
        </is>
      </c>
      <c r="F101" s="2" t="inlineStr">
        <is>
          <t>做空</t>
        </is>
      </c>
      <c r="G101" s="20" t="n">
        <v>0.6109</v>
      </c>
      <c r="H101" s="20" t="n">
        <v>0.592573</v>
      </c>
      <c r="I101" s="20" t="n">
        <v>0.641445</v>
      </c>
      <c r="J101" s="20" t="n">
        <v>0.641445</v>
      </c>
      <c r="K101" s="2" t="inlineStr">
        <is>
          <t>止損</t>
        </is>
      </c>
      <c r="L101" s="5">
        <f>交易明細!K50</f>
        <v/>
      </c>
      <c r="M101" s="19">
        <f>M94</f>
        <v/>
      </c>
      <c r="N101" s="2">
        <f>N94</f>
        <v/>
      </c>
      <c r="O101" s="19">
        <f>O94</f>
        <v/>
      </c>
      <c r="P101" s="4">
        <f>交易明細!L50</f>
        <v/>
      </c>
      <c r="Q101" s="13">
        <f>IF(N101="已下單",O101*P101,0)</f>
        <v/>
      </c>
      <c r="R101" s="13">
        <f>R100+Q101</f>
        <v/>
      </c>
      <c r="S101" s="19">
        <f>S100-IF(N101="已下單",M101,0)</f>
        <v/>
      </c>
      <c r="T101" s="19">
        <f>R101-S101</f>
        <v/>
      </c>
      <c r="U101" s="2">
        <f>U100-IF(N101="已下單",1,0)</f>
        <v/>
      </c>
      <c r="V101" s="19">
        <f>IF(資金模擬!$B$9=2,MAX(R101,0),MAX(V100,FLOOR(MAX(R101,0),資金模擬!$B$6)))</f>
        <v/>
      </c>
      <c r="W101" s="13">
        <f>MAX(W100,R101)</f>
        <v/>
      </c>
      <c r="X101" s="4">
        <f>IF(W101&gt;0,R101/W101-1,-1)</f>
        <v/>
      </c>
      <c r="Y101" s="19">
        <f>IF(R101&gt;0,S101*資金模擬!$B$7/R101,0)</f>
        <v/>
      </c>
      <c r="Z101" s="2">
        <f>IF(OR(Z100=1,R101&lt;=資金模擬!$B$10),1,0)</f>
        <v/>
      </c>
    </row>
    <row r="102">
      <c r="A102" s="2" t="n">
        <v>100</v>
      </c>
      <c r="B102" s="7" t="n">
        <v>46269.875</v>
      </c>
      <c r="C102" s="2" t="inlineStr">
        <is>
          <t>進場</t>
        </is>
      </c>
      <c r="D102" s="2" t="n">
        <v>51</v>
      </c>
      <c r="E102" s="2" t="inlineStr">
        <is>
          <t>ENA_USDT_PERP</t>
        </is>
      </c>
      <c r="F102" s="2" t="inlineStr">
        <is>
          <t>做空</t>
        </is>
      </c>
      <c r="G102" s="20" t="n">
        <v>0.1636</v>
      </c>
      <c r="H102" s="20" t="n">
        <v>0.158692</v>
      </c>
      <c r="I102" s="20" t="n">
        <v>0.17178</v>
      </c>
      <c r="J102" s="20" t="n"/>
      <c r="K102" s="2" t="n"/>
      <c r="L102" s="5" t="n"/>
      <c r="M102" s="19">
        <f>資金模擬!$B$5*V101</f>
        <v/>
      </c>
      <c r="N102" s="2">
        <f>IF(Z101=1,"已停止",IF(T101&gt;=M102,"已下單","資金不足略過"))</f>
        <v/>
      </c>
      <c r="O102" s="19">
        <f>IF(N102="已下單",M102*資金模擬!$B$7,0)</f>
        <v/>
      </c>
      <c r="P102" s="4" t="n"/>
      <c r="Q102" s="13" t="n">
        <v>0</v>
      </c>
      <c r="R102" s="13">
        <f>R101+Q102</f>
        <v/>
      </c>
      <c r="S102" s="19">
        <f>S101+IF(N102="已下單",M102,0)</f>
        <v/>
      </c>
      <c r="T102" s="19">
        <f>R102-S102</f>
        <v/>
      </c>
      <c r="U102" s="2">
        <f>U101+IF(N102="已下單",1,0)</f>
        <v/>
      </c>
      <c r="V102" s="19">
        <f>IF(資金模擬!$B$9=2,MAX(R102,0),MAX(V101,FLOOR(MAX(R102,0),資金模擬!$B$6)))</f>
        <v/>
      </c>
      <c r="W102" s="13">
        <f>MAX(W101,R102)</f>
        <v/>
      </c>
      <c r="X102" s="4">
        <f>IF(W102&gt;0,R102/W102-1,-1)</f>
        <v/>
      </c>
      <c r="Y102" s="19">
        <f>IF(R102&gt;0,S102*資金模擬!$B$7/R102,0)</f>
        <v/>
      </c>
      <c r="Z102" s="2">
        <f>IF(OR(Z101=1,R102&lt;=資金模擬!$B$10),1,0)</f>
        <v/>
      </c>
    </row>
    <row r="103">
      <c r="A103" s="2" t="n">
        <v>101</v>
      </c>
      <c r="B103" s="7" t="n">
        <v>46269.875</v>
      </c>
      <c r="C103" s="2" t="inlineStr">
        <is>
          <t>進場</t>
        </is>
      </c>
      <c r="D103" s="2" t="n">
        <v>52</v>
      </c>
      <c r="E103" s="2" t="inlineStr">
        <is>
          <t>PENGU_USDT_PERP</t>
        </is>
      </c>
      <c r="F103" s="2" t="inlineStr">
        <is>
          <t>做空</t>
        </is>
      </c>
      <c r="G103" s="20" t="n">
        <v>0.008347</v>
      </c>
      <c r="H103" s="20" t="n">
        <v>0.008096590000000001</v>
      </c>
      <c r="I103" s="20" t="n">
        <v>0.008764350000000001</v>
      </c>
      <c r="J103" s="20" t="n"/>
      <c r="K103" s="2" t="n"/>
      <c r="L103" s="5" t="n"/>
      <c r="M103" s="19">
        <f>資金模擬!$B$5*V102</f>
        <v/>
      </c>
      <c r="N103" s="2">
        <f>IF(Z102=1,"已停止",IF(T102&gt;=M103,"已下單","資金不足略過"))</f>
        <v/>
      </c>
      <c r="O103" s="19">
        <f>IF(N103="已下單",M103*資金模擬!$B$7,0)</f>
        <v/>
      </c>
      <c r="P103" s="4" t="n"/>
      <c r="Q103" s="13" t="n">
        <v>0</v>
      </c>
      <c r="R103" s="13">
        <f>R102+Q103</f>
        <v/>
      </c>
      <c r="S103" s="19">
        <f>S102+IF(N103="已下單",M103,0)</f>
        <v/>
      </c>
      <c r="T103" s="19">
        <f>R103-S103</f>
        <v/>
      </c>
      <c r="U103" s="2">
        <f>U102+IF(N103="已下單",1,0)</f>
        <v/>
      </c>
      <c r="V103" s="19">
        <f>IF(資金模擬!$B$9=2,MAX(R103,0),MAX(V102,FLOOR(MAX(R103,0),資金模擬!$B$6)))</f>
        <v/>
      </c>
      <c r="W103" s="13">
        <f>MAX(W102,R103)</f>
        <v/>
      </c>
      <c r="X103" s="4">
        <f>IF(W103&gt;0,R103/W103-1,-1)</f>
        <v/>
      </c>
      <c r="Y103" s="19">
        <f>IF(R103&gt;0,S103*資金模擬!$B$7/R103,0)</f>
        <v/>
      </c>
      <c r="Z103" s="2">
        <f>IF(OR(Z102=1,R103&lt;=資金模擬!$B$10),1,0)</f>
        <v/>
      </c>
    </row>
    <row r="104">
      <c r="A104" s="2" t="n">
        <v>102</v>
      </c>
      <c r="B104" s="7" t="n">
        <v>46269.875</v>
      </c>
      <c r="C104" s="2" t="inlineStr">
        <is>
          <t>進場</t>
        </is>
      </c>
      <c r="D104" s="2" t="n">
        <v>53</v>
      </c>
      <c r="E104" s="2" t="inlineStr">
        <is>
          <t>PUMP_USDT_PERP</t>
        </is>
      </c>
      <c r="F104" s="2" t="inlineStr">
        <is>
          <t>做空</t>
        </is>
      </c>
      <c r="G104" s="20" t="n">
        <v>0.004101</v>
      </c>
      <c r="H104" s="20" t="n">
        <v>0.00397797</v>
      </c>
      <c r="I104" s="20" t="n">
        <v>0.00430605</v>
      </c>
      <c r="J104" s="20" t="n"/>
      <c r="K104" s="2" t="n"/>
      <c r="L104" s="5" t="n"/>
      <c r="M104" s="19">
        <f>資金模擬!$B$5*V103</f>
        <v/>
      </c>
      <c r="N104" s="2">
        <f>IF(Z103=1,"已停止",IF(T103&gt;=M104,"已下單","資金不足略過"))</f>
        <v/>
      </c>
      <c r="O104" s="19">
        <f>IF(N104="已下單",M104*資金模擬!$B$7,0)</f>
        <v/>
      </c>
      <c r="P104" s="4" t="n"/>
      <c r="Q104" s="13" t="n">
        <v>0</v>
      </c>
      <c r="R104" s="13">
        <f>R103+Q104</f>
        <v/>
      </c>
      <c r="S104" s="19">
        <f>S103+IF(N104="已下單",M104,0)</f>
        <v/>
      </c>
      <c r="T104" s="19">
        <f>R104-S104</f>
        <v/>
      </c>
      <c r="U104" s="2">
        <f>U103+IF(N104="已下單",1,0)</f>
        <v/>
      </c>
      <c r="V104" s="19">
        <f>IF(資金模擬!$B$9=2,MAX(R104,0),MAX(V103,FLOOR(MAX(R104,0),資金模擬!$B$6)))</f>
        <v/>
      </c>
      <c r="W104" s="13">
        <f>MAX(W103,R104)</f>
        <v/>
      </c>
      <c r="X104" s="4">
        <f>IF(W104&gt;0,R104/W104-1,-1)</f>
        <v/>
      </c>
      <c r="Y104" s="19">
        <f>IF(R104&gt;0,S104*資金模擬!$B$7/R104,0)</f>
        <v/>
      </c>
      <c r="Z104" s="2">
        <f>IF(OR(Z103=1,R104&lt;=資金模擬!$B$10),1,0)</f>
        <v/>
      </c>
    </row>
    <row r="105">
      <c r="A105" s="2" t="n">
        <v>103</v>
      </c>
      <c r="B105" s="7" t="n">
        <v>46269.875</v>
      </c>
      <c r="C105" s="2" t="inlineStr">
        <is>
          <t>進場</t>
        </is>
      </c>
      <c r="D105" s="2" t="n">
        <v>54</v>
      </c>
      <c r="E105" s="2" t="inlineStr">
        <is>
          <t>XPL_USDT_PERP</t>
        </is>
      </c>
      <c r="F105" s="2" t="inlineStr">
        <is>
          <t>做空</t>
        </is>
      </c>
      <c r="G105" s="20" t="n">
        <v>0.092</v>
      </c>
      <c r="H105" s="20" t="n">
        <v>0.08924</v>
      </c>
      <c r="I105" s="20" t="n">
        <v>0.09660000000000001</v>
      </c>
      <c r="J105" s="20" t="n"/>
      <c r="K105" s="2" t="n"/>
      <c r="L105" s="5" t="n"/>
      <c r="M105" s="19">
        <f>資金模擬!$B$5*V104</f>
        <v/>
      </c>
      <c r="N105" s="2">
        <f>IF(Z104=1,"已停止",IF(T104&gt;=M105,"已下單","資金不足略過"))</f>
        <v/>
      </c>
      <c r="O105" s="19">
        <f>IF(N105="已下單",M105*資金模擬!$B$7,0)</f>
        <v/>
      </c>
      <c r="P105" s="4" t="n"/>
      <c r="Q105" s="13" t="n">
        <v>0</v>
      </c>
      <c r="R105" s="13">
        <f>R104+Q105</f>
        <v/>
      </c>
      <c r="S105" s="19">
        <f>S104+IF(N105="已下單",M105,0)</f>
        <v/>
      </c>
      <c r="T105" s="19">
        <f>R105-S105</f>
        <v/>
      </c>
      <c r="U105" s="2">
        <f>U104+IF(N105="已下單",1,0)</f>
        <v/>
      </c>
      <c r="V105" s="19">
        <f>IF(資金模擬!$B$9=2,MAX(R105,0),MAX(V104,FLOOR(MAX(R105,0),資金模擬!$B$6)))</f>
        <v/>
      </c>
      <c r="W105" s="13">
        <f>MAX(W104,R105)</f>
        <v/>
      </c>
      <c r="X105" s="4">
        <f>IF(W105&gt;0,R105/W105-1,-1)</f>
        <v/>
      </c>
      <c r="Y105" s="19">
        <f>IF(R105&gt;0,S105*資金模擬!$B$7/R105,0)</f>
        <v/>
      </c>
      <c r="Z105" s="2">
        <f>IF(OR(Z104=1,R105&lt;=資金模擬!$B$10),1,0)</f>
        <v/>
      </c>
    </row>
    <row r="106">
      <c r="A106" s="2" t="n">
        <v>104</v>
      </c>
      <c r="B106" s="7" t="n">
        <v>46269.91666666666</v>
      </c>
      <c r="C106" s="2" t="inlineStr">
        <is>
          <t>出場</t>
        </is>
      </c>
      <c r="D106" s="2" t="n">
        <v>45</v>
      </c>
      <c r="E106" s="2" t="inlineStr">
        <is>
          <t>UNI_USDT_PERP</t>
        </is>
      </c>
      <c r="F106" s="2" t="inlineStr">
        <is>
          <t>做多</t>
        </is>
      </c>
      <c r="G106" s="20" t="n">
        <v>6.366</v>
      </c>
      <c r="H106" s="20" t="n">
        <v>6.55698</v>
      </c>
      <c r="I106" s="20" t="n">
        <v>6.047699999999999</v>
      </c>
      <c r="J106" s="20" t="n">
        <v>6.047699999999999</v>
      </c>
      <c r="K106" s="2" t="inlineStr">
        <is>
          <t>止損</t>
        </is>
      </c>
      <c r="L106" s="5">
        <f>交易明細!K46</f>
        <v/>
      </c>
      <c r="M106" s="19">
        <f>M88</f>
        <v/>
      </c>
      <c r="N106" s="2">
        <f>N88</f>
        <v/>
      </c>
      <c r="O106" s="19">
        <f>O88</f>
        <v/>
      </c>
      <c r="P106" s="4">
        <f>交易明細!L46</f>
        <v/>
      </c>
      <c r="Q106" s="13">
        <f>IF(N106="已下單",O106*P106,0)</f>
        <v/>
      </c>
      <c r="R106" s="13">
        <f>R105+Q106</f>
        <v/>
      </c>
      <c r="S106" s="19">
        <f>S105-IF(N106="已下單",M106,0)</f>
        <v/>
      </c>
      <c r="T106" s="19">
        <f>R106-S106</f>
        <v/>
      </c>
      <c r="U106" s="2">
        <f>U105-IF(N106="已下單",1,0)</f>
        <v/>
      </c>
      <c r="V106" s="19">
        <f>IF(資金模擬!$B$9=2,MAX(R106,0),MAX(V105,FLOOR(MAX(R106,0),資金模擬!$B$6)))</f>
        <v/>
      </c>
      <c r="W106" s="13">
        <f>MAX(W105,R106)</f>
        <v/>
      </c>
      <c r="X106" s="4">
        <f>IF(W106&gt;0,R106/W106-1,-1)</f>
        <v/>
      </c>
      <c r="Y106" s="19">
        <f>IF(R106&gt;0,S106*資金模擬!$B$7/R106,0)</f>
        <v/>
      </c>
      <c r="Z106" s="2">
        <f>IF(OR(Z105=1,R106&lt;=資金模擬!$B$10),1,0)</f>
        <v/>
      </c>
    </row>
    <row r="107">
      <c r="A107" s="2" t="n">
        <v>105</v>
      </c>
      <c r="B107" s="7" t="n">
        <v>46269.91666666666</v>
      </c>
      <c r="C107" s="2" t="inlineStr">
        <is>
          <t>出場</t>
        </is>
      </c>
      <c r="D107" s="2" t="n">
        <v>53</v>
      </c>
      <c r="E107" s="2" t="inlineStr">
        <is>
          <t>PUMP_USDT_PERP</t>
        </is>
      </c>
      <c r="F107" s="2" t="inlineStr">
        <is>
          <t>做空</t>
        </is>
      </c>
      <c r="G107" s="20" t="n">
        <v>0.004101</v>
      </c>
      <c r="H107" s="20" t="n">
        <v>0.00397797</v>
      </c>
      <c r="I107" s="20" t="n">
        <v>0.00430605</v>
      </c>
      <c r="J107" s="20" t="n">
        <v>0.00430605</v>
      </c>
      <c r="K107" s="2" t="inlineStr">
        <is>
          <t>止損</t>
        </is>
      </c>
      <c r="L107" s="5">
        <f>交易明細!K54</f>
        <v/>
      </c>
      <c r="M107" s="19">
        <f>M104</f>
        <v/>
      </c>
      <c r="N107" s="2">
        <f>N104</f>
        <v/>
      </c>
      <c r="O107" s="19">
        <f>O104</f>
        <v/>
      </c>
      <c r="P107" s="4">
        <f>交易明細!L54</f>
        <v/>
      </c>
      <c r="Q107" s="13">
        <f>IF(N107="已下單",O107*P107,0)</f>
        <v/>
      </c>
      <c r="R107" s="13">
        <f>R106+Q107</f>
        <v/>
      </c>
      <c r="S107" s="19">
        <f>S106-IF(N107="已下單",M107,0)</f>
        <v/>
      </c>
      <c r="T107" s="19">
        <f>R107-S107</f>
        <v/>
      </c>
      <c r="U107" s="2">
        <f>U106-IF(N107="已下單",1,0)</f>
        <v/>
      </c>
      <c r="V107" s="19">
        <f>IF(資金模擬!$B$9=2,MAX(R107,0),MAX(V106,FLOOR(MAX(R107,0),資金模擬!$B$6)))</f>
        <v/>
      </c>
      <c r="W107" s="13">
        <f>MAX(W106,R107)</f>
        <v/>
      </c>
      <c r="X107" s="4">
        <f>IF(W107&gt;0,R107/W107-1,-1)</f>
        <v/>
      </c>
      <c r="Y107" s="19">
        <f>IF(R107&gt;0,S107*資金模擬!$B$7/R107,0)</f>
        <v/>
      </c>
      <c r="Z107" s="2">
        <f>IF(OR(Z106=1,R107&lt;=資金模擬!$B$10),1,0)</f>
        <v/>
      </c>
    </row>
    <row r="108">
      <c r="A108" s="2" t="n">
        <v>106</v>
      </c>
      <c r="B108" s="7" t="n">
        <v>46269.95833333334</v>
      </c>
      <c r="C108" s="2" t="inlineStr">
        <is>
          <t>進場</t>
        </is>
      </c>
      <c r="D108" s="2" t="n">
        <v>55</v>
      </c>
      <c r="E108" s="2" t="inlineStr">
        <is>
          <t>ARB_USDT_PERP</t>
        </is>
      </c>
      <c r="F108" s="2" t="inlineStr">
        <is>
          <t>做空</t>
        </is>
      </c>
      <c r="G108" s="20" t="n">
        <v>0.1319</v>
      </c>
      <c r="H108" s="20" t="n">
        <v>0.127943</v>
      </c>
      <c r="I108" s="20" t="n">
        <v>0.138495</v>
      </c>
      <c r="J108" s="20" t="n"/>
      <c r="K108" s="2" t="n"/>
      <c r="L108" s="5" t="n"/>
      <c r="M108" s="19">
        <f>資金模擬!$B$5*V107</f>
        <v/>
      </c>
      <c r="N108" s="2">
        <f>IF(Z107=1,"已停止",IF(T107&gt;=M108,"已下單","資金不足略過"))</f>
        <v/>
      </c>
      <c r="O108" s="19">
        <f>IF(N108="已下單",M108*資金模擬!$B$7,0)</f>
        <v/>
      </c>
      <c r="P108" s="4" t="n"/>
      <c r="Q108" s="13" t="n">
        <v>0</v>
      </c>
      <c r="R108" s="13">
        <f>R107+Q108</f>
        <v/>
      </c>
      <c r="S108" s="19">
        <f>S107+IF(N108="已下單",M108,0)</f>
        <v/>
      </c>
      <c r="T108" s="19">
        <f>R108-S108</f>
        <v/>
      </c>
      <c r="U108" s="2">
        <f>U107+IF(N108="已下單",1,0)</f>
        <v/>
      </c>
      <c r="V108" s="19">
        <f>IF(資金模擬!$B$9=2,MAX(R108,0),MAX(V107,FLOOR(MAX(R108,0),資金模擬!$B$6)))</f>
        <v/>
      </c>
      <c r="W108" s="13">
        <f>MAX(W107,R108)</f>
        <v/>
      </c>
      <c r="X108" s="4">
        <f>IF(W108&gt;0,R108/W108-1,-1)</f>
        <v/>
      </c>
      <c r="Y108" s="19">
        <f>IF(R108&gt;0,S108*資金模擬!$B$7/R108,0)</f>
        <v/>
      </c>
      <c r="Z108" s="2">
        <f>IF(OR(Z107=1,R108&lt;=資金模擬!$B$10),1,0)</f>
        <v/>
      </c>
    </row>
    <row r="109">
      <c r="A109" s="2" t="n">
        <v>107</v>
      </c>
      <c r="B109" s="7" t="n">
        <v>46269.95833333334</v>
      </c>
      <c r="C109" s="2" t="inlineStr">
        <is>
          <t>進場</t>
        </is>
      </c>
      <c r="D109" s="2" t="n">
        <v>56</v>
      </c>
      <c r="E109" s="2" t="inlineStr">
        <is>
          <t>BTR_USDT_PERP</t>
        </is>
      </c>
      <c r="F109" s="2" t="inlineStr">
        <is>
          <t>做多</t>
        </is>
      </c>
      <c r="G109" s="20" t="n">
        <v>0.05085</v>
      </c>
      <c r="H109" s="20" t="n">
        <v>0.0523755</v>
      </c>
      <c r="I109" s="20" t="n">
        <v>0.0483075</v>
      </c>
      <c r="J109" s="20" t="n"/>
      <c r="K109" s="2" t="n"/>
      <c r="L109" s="5" t="n"/>
      <c r="M109" s="19">
        <f>資金模擬!$B$5*V108</f>
        <v/>
      </c>
      <c r="N109" s="2">
        <f>IF(Z108=1,"已停止",IF(T108&gt;=M109,"已下單","資金不足略過"))</f>
        <v/>
      </c>
      <c r="O109" s="19">
        <f>IF(N109="已下單",M109*資金模擬!$B$7,0)</f>
        <v/>
      </c>
      <c r="P109" s="4" t="n"/>
      <c r="Q109" s="13" t="n">
        <v>0</v>
      </c>
      <c r="R109" s="13">
        <f>R108+Q109</f>
        <v/>
      </c>
      <c r="S109" s="19">
        <f>S108+IF(N109="已下單",M109,0)</f>
        <v/>
      </c>
      <c r="T109" s="19">
        <f>R109-S109</f>
        <v/>
      </c>
      <c r="U109" s="2">
        <f>U108+IF(N109="已下單",1,0)</f>
        <v/>
      </c>
      <c r="V109" s="19">
        <f>IF(資金模擬!$B$9=2,MAX(R109,0),MAX(V108,FLOOR(MAX(R109,0),資金模擬!$B$6)))</f>
        <v/>
      </c>
      <c r="W109" s="13">
        <f>MAX(W108,R109)</f>
        <v/>
      </c>
      <c r="X109" s="4">
        <f>IF(W109&gt;0,R109/W109-1,-1)</f>
        <v/>
      </c>
      <c r="Y109" s="19">
        <f>IF(R109&gt;0,S109*資金模擬!$B$7/R109,0)</f>
        <v/>
      </c>
      <c r="Z109" s="2">
        <f>IF(OR(Z108=1,R109&lt;=資金模擬!$B$10),1,0)</f>
        <v/>
      </c>
    </row>
    <row r="110">
      <c r="A110" s="2" t="n">
        <v>108</v>
      </c>
      <c r="B110" s="7" t="n">
        <v>46269.95833333334</v>
      </c>
      <c r="C110" s="2" t="inlineStr">
        <is>
          <t>進場</t>
        </is>
      </c>
      <c r="D110" s="2" t="n">
        <v>57</v>
      </c>
      <c r="E110" s="2" t="inlineStr">
        <is>
          <t>EDGE_USDT_PERP</t>
        </is>
      </c>
      <c r="F110" s="2" t="inlineStr">
        <is>
          <t>做空</t>
        </is>
      </c>
      <c r="G110" s="20" t="n">
        <v>0.6034</v>
      </c>
      <c r="H110" s="20" t="n">
        <v>0.585298</v>
      </c>
      <c r="I110" s="20" t="n">
        <v>0.6335700000000001</v>
      </c>
      <c r="J110" s="20" t="n"/>
      <c r="K110" s="2" t="n"/>
      <c r="L110" s="5" t="n"/>
      <c r="M110" s="19">
        <f>資金模擬!$B$5*V109</f>
        <v/>
      </c>
      <c r="N110" s="2">
        <f>IF(Z109=1,"已停止",IF(T109&gt;=M110,"已下單","資金不足略過"))</f>
        <v/>
      </c>
      <c r="O110" s="19">
        <f>IF(N110="已下單",M110*資金模擬!$B$7,0)</f>
        <v/>
      </c>
      <c r="P110" s="4" t="n"/>
      <c r="Q110" s="13" t="n">
        <v>0</v>
      </c>
      <c r="R110" s="13">
        <f>R109+Q110</f>
        <v/>
      </c>
      <c r="S110" s="19">
        <f>S109+IF(N110="已下單",M110,0)</f>
        <v/>
      </c>
      <c r="T110" s="19">
        <f>R110-S110</f>
        <v/>
      </c>
      <c r="U110" s="2">
        <f>U109+IF(N110="已下單",1,0)</f>
        <v/>
      </c>
      <c r="V110" s="19">
        <f>IF(資金模擬!$B$9=2,MAX(R110,0),MAX(V109,FLOOR(MAX(R110,0),資金模擬!$B$6)))</f>
        <v/>
      </c>
      <c r="W110" s="13">
        <f>MAX(W109,R110)</f>
        <v/>
      </c>
      <c r="X110" s="4">
        <f>IF(W110&gt;0,R110/W110-1,-1)</f>
        <v/>
      </c>
      <c r="Y110" s="19">
        <f>IF(R110&gt;0,S110*資金模擬!$B$7/R110,0)</f>
        <v/>
      </c>
      <c r="Z110" s="2">
        <f>IF(OR(Z109=1,R110&lt;=資金模擬!$B$10),1,0)</f>
        <v/>
      </c>
    </row>
    <row r="111">
      <c r="A111" s="2" t="n">
        <v>109</v>
      </c>
      <c r="B111" s="7" t="n">
        <v>46269.95833333334</v>
      </c>
      <c r="C111" s="2" t="inlineStr">
        <is>
          <t>進場</t>
        </is>
      </c>
      <c r="D111" s="2" t="n">
        <v>58</v>
      </c>
      <c r="E111" s="2" t="inlineStr">
        <is>
          <t>FARTCOIN_USDT_PERP</t>
        </is>
      </c>
      <c r="F111" s="2" t="inlineStr">
        <is>
          <t>做空</t>
        </is>
      </c>
      <c r="G111" s="20" t="n">
        <v>0.1626</v>
      </c>
      <c r="H111" s="20" t="n">
        <v>0.157722</v>
      </c>
      <c r="I111" s="20" t="n">
        <v>0.17073</v>
      </c>
      <c r="J111" s="20" t="n"/>
      <c r="K111" s="2" t="n"/>
      <c r="L111" s="5" t="n"/>
      <c r="M111" s="19">
        <f>資金模擬!$B$5*V110</f>
        <v/>
      </c>
      <c r="N111" s="2">
        <f>IF(Z110=1,"已停止",IF(T110&gt;=M111,"已下單","資金不足略過"))</f>
        <v/>
      </c>
      <c r="O111" s="19">
        <f>IF(N111="已下單",M111*資金模擬!$B$7,0)</f>
        <v/>
      </c>
      <c r="P111" s="4" t="n"/>
      <c r="Q111" s="13" t="n">
        <v>0</v>
      </c>
      <c r="R111" s="13">
        <f>R110+Q111</f>
        <v/>
      </c>
      <c r="S111" s="19">
        <f>S110+IF(N111="已下單",M111,0)</f>
        <v/>
      </c>
      <c r="T111" s="19">
        <f>R111-S111</f>
        <v/>
      </c>
      <c r="U111" s="2">
        <f>U110+IF(N111="已下單",1,0)</f>
        <v/>
      </c>
      <c r="V111" s="19">
        <f>IF(資金模擬!$B$9=2,MAX(R111,0),MAX(V110,FLOOR(MAX(R111,0),資金模擬!$B$6)))</f>
        <v/>
      </c>
      <c r="W111" s="13">
        <f>MAX(W110,R111)</f>
        <v/>
      </c>
      <c r="X111" s="4">
        <f>IF(W111&gt;0,R111/W111-1,-1)</f>
        <v/>
      </c>
      <c r="Y111" s="19">
        <f>IF(R111&gt;0,S111*資金模擬!$B$7/R111,0)</f>
        <v/>
      </c>
      <c r="Z111" s="2">
        <f>IF(OR(Z110=1,R111&lt;=資金模擬!$B$10),1,0)</f>
        <v/>
      </c>
    </row>
    <row r="112">
      <c r="A112" s="2" t="n">
        <v>110</v>
      </c>
      <c r="B112" s="7" t="n">
        <v>46269.95833333334</v>
      </c>
      <c r="C112" s="2" t="inlineStr">
        <is>
          <t>進場</t>
        </is>
      </c>
      <c r="D112" s="2" t="n">
        <v>59</v>
      </c>
      <c r="E112" s="2" t="inlineStr">
        <is>
          <t>PUMP_USDT_PERP</t>
        </is>
      </c>
      <c r="F112" s="2" t="inlineStr">
        <is>
          <t>做空</t>
        </is>
      </c>
      <c r="G112" s="20" t="n">
        <v>0.004196</v>
      </c>
      <c r="H112" s="20" t="n">
        <v>0.00407012</v>
      </c>
      <c r="I112" s="20" t="n">
        <v>0.004405800000000001</v>
      </c>
      <c r="J112" s="20" t="n"/>
      <c r="K112" s="2" t="n"/>
      <c r="L112" s="5" t="n"/>
      <c r="M112" s="19">
        <f>資金模擬!$B$5*V111</f>
        <v/>
      </c>
      <c r="N112" s="2">
        <f>IF(Z111=1,"已停止",IF(T111&gt;=M112,"已下單","資金不足略過"))</f>
        <v/>
      </c>
      <c r="O112" s="19">
        <f>IF(N112="已下單",M112*資金模擬!$B$7,0)</f>
        <v/>
      </c>
      <c r="P112" s="4" t="n"/>
      <c r="Q112" s="13" t="n">
        <v>0</v>
      </c>
      <c r="R112" s="13">
        <f>R111+Q112</f>
        <v/>
      </c>
      <c r="S112" s="19">
        <f>S111+IF(N112="已下單",M112,0)</f>
        <v/>
      </c>
      <c r="T112" s="19">
        <f>R112-S112</f>
        <v/>
      </c>
      <c r="U112" s="2">
        <f>U111+IF(N112="已下單",1,0)</f>
        <v/>
      </c>
      <c r="V112" s="19">
        <f>IF(資金模擬!$B$9=2,MAX(R112,0),MAX(V111,FLOOR(MAX(R112,0),資金模擬!$B$6)))</f>
        <v/>
      </c>
      <c r="W112" s="13">
        <f>MAX(W111,R112)</f>
        <v/>
      </c>
      <c r="X112" s="4">
        <f>IF(W112&gt;0,R112/W112-1,-1)</f>
        <v/>
      </c>
      <c r="Y112" s="19">
        <f>IF(R112&gt;0,S112*資金模擬!$B$7/R112,0)</f>
        <v/>
      </c>
      <c r="Z112" s="2">
        <f>IF(OR(Z111=1,R112&lt;=資金模擬!$B$10),1,0)</f>
        <v/>
      </c>
    </row>
    <row r="113">
      <c r="A113" s="2" t="n">
        <v>111</v>
      </c>
      <c r="B113" s="7" t="n">
        <v>46270.04166666666</v>
      </c>
      <c r="C113" s="2" t="inlineStr">
        <is>
          <t>出場</t>
        </is>
      </c>
      <c r="D113" s="2" t="n">
        <v>57</v>
      </c>
      <c r="E113" s="2" t="inlineStr">
        <is>
          <t>EDGE_USDT_PERP</t>
        </is>
      </c>
      <c r="F113" s="2" t="inlineStr">
        <is>
          <t>做空</t>
        </is>
      </c>
      <c r="G113" s="20" t="n">
        <v>0.6034</v>
      </c>
      <c r="H113" s="20" t="n">
        <v>0.585298</v>
      </c>
      <c r="I113" s="20" t="n">
        <v>0.6335700000000001</v>
      </c>
      <c r="J113" s="20" t="n">
        <v>0.585298</v>
      </c>
      <c r="K113" s="2" t="inlineStr">
        <is>
          <t>止盈</t>
        </is>
      </c>
      <c r="L113" s="5">
        <f>交易明細!K58</f>
        <v/>
      </c>
      <c r="M113" s="19">
        <f>M110</f>
        <v/>
      </c>
      <c r="N113" s="2">
        <f>N110</f>
        <v/>
      </c>
      <c r="O113" s="19">
        <f>O110</f>
        <v/>
      </c>
      <c r="P113" s="4">
        <f>交易明細!L58</f>
        <v/>
      </c>
      <c r="Q113" s="13">
        <f>IF(N113="已下單",O113*P113,0)</f>
        <v/>
      </c>
      <c r="R113" s="13">
        <f>R112+Q113</f>
        <v/>
      </c>
      <c r="S113" s="19">
        <f>S112-IF(N113="已下單",M113,0)</f>
        <v/>
      </c>
      <c r="T113" s="19">
        <f>R113-S113</f>
        <v/>
      </c>
      <c r="U113" s="2">
        <f>U112-IF(N113="已下單",1,0)</f>
        <v/>
      </c>
      <c r="V113" s="19">
        <f>IF(資金模擬!$B$9=2,MAX(R113,0),MAX(V112,FLOOR(MAX(R113,0),資金模擬!$B$6)))</f>
        <v/>
      </c>
      <c r="W113" s="13">
        <f>MAX(W112,R113)</f>
        <v/>
      </c>
      <c r="X113" s="4">
        <f>IF(W113&gt;0,R113/W113-1,-1)</f>
        <v/>
      </c>
      <c r="Y113" s="19">
        <f>IF(R113&gt;0,S113*資金模擬!$B$7/R113,0)</f>
        <v/>
      </c>
      <c r="Z113" s="2">
        <f>IF(OR(Z112=1,R113&lt;=資金模擬!$B$10),1,0)</f>
        <v/>
      </c>
    </row>
    <row r="114">
      <c r="A114" s="2" t="n">
        <v>112</v>
      </c>
      <c r="B114" s="7" t="n">
        <v>46270.04166666666</v>
      </c>
      <c r="C114" s="2" t="inlineStr">
        <is>
          <t>出場</t>
        </is>
      </c>
      <c r="D114" s="2" t="n">
        <v>59</v>
      </c>
      <c r="E114" s="2" t="inlineStr">
        <is>
          <t>PUMP_USDT_PERP</t>
        </is>
      </c>
      <c r="F114" s="2" t="inlineStr">
        <is>
          <t>做空</t>
        </is>
      </c>
      <c r="G114" s="20" t="n">
        <v>0.004196</v>
      </c>
      <c r="H114" s="20" t="n">
        <v>0.00407012</v>
      </c>
      <c r="I114" s="20" t="n">
        <v>0.004405800000000001</v>
      </c>
      <c r="J114" s="20" t="n">
        <v>0.004405800000000001</v>
      </c>
      <c r="K114" s="2" t="inlineStr">
        <is>
          <t>止損</t>
        </is>
      </c>
      <c r="L114" s="5">
        <f>交易明細!K60</f>
        <v/>
      </c>
      <c r="M114" s="19">
        <f>M112</f>
        <v/>
      </c>
      <c r="N114" s="2">
        <f>N112</f>
        <v/>
      </c>
      <c r="O114" s="19">
        <f>O112</f>
        <v/>
      </c>
      <c r="P114" s="4">
        <f>交易明細!L60</f>
        <v/>
      </c>
      <c r="Q114" s="13">
        <f>IF(N114="已下單",O114*P114,0)</f>
        <v/>
      </c>
      <c r="R114" s="13">
        <f>R113+Q114</f>
        <v/>
      </c>
      <c r="S114" s="19">
        <f>S113-IF(N114="已下單",M114,0)</f>
        <v/>
      </c>
      <c r="T114" s="19">
        <f>R114-S114</f>
        <v/>
      </c>
      <c r="U114" s="2">
        <f>U113-IF(N114="已下單",1,0)</f>
        <v/>
      </c>
      <c r="V114" s="19">
        <f>IF(資金模擬!$B$9=2,MAX(R114,0),MAX(V113,FLOOR(MAX(R114,0),資金模擬!$B$6)))</f>
        <v/>
      </c>
      <c r="W114" s="13">
        <f>MAX(W113,R114)</f>
        <v/>
      </c>
      <c r="X114" s="4">
        <f>IF(W114&gt;0,R114/W114-1,-1)</f>
        <v/>
      </c>
      <c r="Y114" s="19">
        <f>IF(R114&gt;0,S114*資金模擬!$B$7/R114,0)</f>
        <v/>
      </c>
      <c r="Z114" s="2">
        <f>IF(OR(Z113=1,R114&lt;=資金模擬!$B$10),1,0)</f>
        <v/>
      </c>
    </row>
    <row r="115">
      <c r="A115" s="2" t="n">
        <v>113</v>
      </c>
      <c r="B115" s="7" t="n">
        <v>46270.04166666666</v>
      </c>
      <c r="C115" s="2" t="inlineStr">
        <is>
          <t>進場</t>
        </is>
      </c>
      <c r="D115" s="2" t="n">
        <v>60</v>
      </c>
      <c r="E115" s="2" t="inlineStr">
        <is>
          <t>USELESS_USDT_PERP</t>
        </is>
      </c>
      <c r="F115" s="2" t="inlineStr">
        <is>
          <t>做多</t>
        </is>
      </c>
      <c r="G115" s="20" t="n">
        <v>0.23932</v>
      </c>
      <c r="H115" s="20" t="n">
        <v>0.2464996</v>
      </c>
      <c r="I115" s="20" t="n">
        <v>0.227354</v>
      </c>
      <c r="J115" s="20" t="n"/>
      <c r="K115" s="2" t="n"/>
      <c r="L115" s="5" t="n"/>
      <c r="M115" s="19">
        <f>資金模擬!$B$5*V114</f>
        <v/>
      </c>
      <c r="N115" s="2">
        <f>IF(Z114=1,"已停止",IF(T114&gt;=M115,"已下單","資金不足略過"))</f>
        <v/>
      </c>
      <c r="O115" s="19">
        <f>IF(N115="已下單",M115*資金模擬!$B$7,0)</f>
        <v/>
      </c>
      <c r="P115" s="4" t="n"/>
      <c r="Q115" s="13" t="n">
        <v>0</v>
      </c>
      <c r="R115" s="13">
        <f>R114+Q115</f>
        <v/>
      </c>
      <c r="S115" s="19">
        <f>S114+IF(N115="已下單",M115,0)</f>
        <v/>
      </c>
      <c r="T115" s="19">
        <f>R115-S115</f>
        <v/>
      </c>
      <c r="U115" s="2">
        <f>U114+IF(N115="已下單",1,0)</f>
        <v/>
      </c>
      <c r="V115" s="19">
        <f>IF(資金模擬!$B$9=2,MAX(R115,0),MAX(V114,FLOOR(MAX(R115,0),資金模擬!$B$6)))</f>
        <v/>
      </c>
      <c r="W115" s="13">
        <f>MAX(W114,R115)</f>
        <v/>
      </c>
      <c r="X115" s="4">
        <f>IF(W115&gt;0,R115/W115-1,-1)</f>
        <v/>
      </c>
      <c r="Y115" s="19">
        <f>IF(R115&gt;0,S115*資金模擬!$B$7/R115,0)</f>
        <v/>
      </c>
      <c r="Z115" s="2">
        <f>IF(OR(Z114=1,R115&lt;=資金模擬!$B$10),1,0)</f>
        <v/>
      </c>
    </row>
    <row r="116">
      <c r="A116" s="2" t="n">
        <v>114</v>
      </c>
      <c r="B116" s="7" t="n">
        <v>46270.125</v>
      </c>
      <c r="C116" s="2" t="inlineStr">
        <is>
          <t>出場</t>
        </is>
      </c>
      <c r="D116" s="2" t="n">
        <v>60</v>
      </c>
      <c r="E116" s="2" t="inlineStr">
        <is>
          <t>USELESS_USDT_PERP</t>
        </is>
      </c>
      <c r="F116" s="2" t="inlineStr">
        <is>
          <t>做多</t>
        </is>
      </c>
      <c r="G116" s="20" t="n">
        <v>0.23932</v>
      </c>
      <c r="H116" s="20" t="n">
        <v>0.2464996</v>
      </c>
      <c r="I116" s="20" t="n">
        <v>0.227354</v>
      </c>
      <c r="J116" s="20" t="n">
        <v>0.2464996</v>
      </c>
      <c r="K116" s="2" t="inlineStr">
        <is>
          <t>止盈</t>
        </is>
      </c>
      <c r="L116" s="5">
        <f>交易明細!K61</f>
        <v/>
      </c>
      <c r="M116" s="19">
        <f>M115</f>
        <v/>
      </c>
      <c r="N116" s="2">
        <f>N115</f>
        <v/>
      </c>
      <c r="O116" s="19">
        <f>O115</f>
        <v/>
      </c>
      <c r="P116" s="4">
        <f>交易明細!L61</f>
        <v/>
      </c>
      <c r="Q116" s="13">
        <f>IF(N116="已下單",O116*P116,0)</f>
        <v/>
      </c>
      <c r="R116" s="13">
        <f>R115+Q116</f>
        <v/>
      </c>
      <c r="S116" s="19">
        <f>S115-IF(N116="已下單",M116,0)</f>
        <v/>
      </c>
      <c r="T116" s="19">
        <f>R116-S116</f>
        <v/>
      </c>
      <c r="U116" s="2">
        <f>U115-IF(N116="已下單",1,0)</f>
        <v/>
      </c>
      <c r="V116" s="19">
        <f>IF(資金模擬!$B$9=2,MAX(R116,0),MAX(V115,FLOOR(MAX(R116,0),資金模擬!$B$6)))</f>
        <v/>
      </c>
      <c r="W116" s="13">
        <f>MAX(W115,R116)</f>
        <v/>
      </c>
      <c r="X116" s="4">
        <f>IF(W116&gt;0,R116/W116-1,-1)</f>
        <v/>
      </c>
      <c r="Y116" s="19">
        <f>IF(R116&gt;0,S116*資金模擬!$B$7/R116,0)</f>
        <v/>
      </c>
      <c r="Z116" s="2">
        <f>IF(OR(Z115=1,R116&lt;=資金模擬!$B$10),1,0)</f>
        <v/>
      </c>
    </row>
    <row r="117">
      <c r="A117" s="2" t="n">
        <v>115</v>
      </c>
      <c r="B117" s="7" t="n">
        <v>46270.125</v>
      </c>
      <c r="C117" s="2" t="inlineStr">
        <is>
          <t>進場</t>
        </is>
      </c>
      <c r="D117" s="2" t="n">
        <v>61</v>
      </c>
      <c r="E117" s="2" t="inlineStr">
        <is>
          <t>TRIA_USDT_PERP</t>
        </is>
      </c>
      <c r="F117" s="2" t="inlineStr">
        <is>
          <t>做多</t>
        </is>
      </c>
      <c r="G117" s="20" t="n">
        <v>0.0049</v>
      </c>
      <c r="H117" s="20" t="n">
        <v>0.005047</v>
      </c>
      <c r="I117" s="20" t="n">
        <v>0.004654999999999999</v>
      </c>
      <c r="J117" s="20" t="n"/>
      <c r="K117" s="2" t="n"/>
      <c r="L117" s="5" t="n"/>
      <c r="M117" s="19">
        <f>資金模擬!$B$5*V116</f>
        <v/>
      </c>
      <c r="N117" s="2">
        <f>IF(Z116=1,"已停止",IF(T116&gt;=M117,"已下單","資金不足略過"))</f>
        <v/>
      </c>
      <c r="O117" s="19">
        <f>IF(N117="已下單",M117*資金模擬!$B$7,0)</f>
        <v/>
      </c>
      <c r="P117" s="4" t="n"/>
      <c r="Q117" s="13" t="n">
        <v>0</v>
      </c>
      <c r="R117" s="13">
        <f>R116+Q117</f>
        <v/>
      </c>
      <c r="S117" s="19">
        <f>S116+IF(N117="已下單",M117,0)</f>
        <v/>
      </c>
      <c r="T117" s="19">
        <f>R117-S117</f>
        <v/>
      </c>
      <c r="U117" s="2">
        <f>U116+IF(N117="已下單",1,0)</f>
        <v/>
      </c>
      <c r="V117" s="19">
        <f>IF(資金模擬!$B$9=2,MAX(R117,0),MAX(V116,FLOOR(MAX(R117,0),資金模擬!$B$6)))</f>
        <v/>
      </c>
      <c r="W117" s="13">
        <f>MAX(W116,R117)</f>
        <v/>
      </c>
      <c r="X117" s="4">
        <f>IF(W117&gt;0,R117/W117-1,-1)</f>
        <v/>
      </c>
      <c r="Y117" s="19">
        <f>IF(R117&gt;0,S117*資金模擬!$B$7/R117,0)</f>
        <v/>
      </c>
      <c r="Z117" s="2">
        <f>IF(OR(Z116=1,R117&lt;=資金模擬!$B$10),1,0)</f>
        <v/>
      </c>
    </row>
    <row r="118">
      <c r="A118" s="2" t="n">
        <v>116</v>
      </c>
      <c r="B118" s="7" t="n">
        <v>46270.16666666666</v>
      </c>
      <c r="C118" s="2" t="inlineStr">
        <is>
          <t>出場</t>
        </is>
      </c>
      <c r="D118" s="2" t="n">
        <v>56</v>
      </c>
      <c r="E118" s="2" t="inlineStr">
        <is>
          <t>BTR_USDT_PERP</t>
        </is>
      </c>
      <c r="F118" s="2" t="inlineStr">
        <is>
          <t>做多</t>
        </is>
      </c>
      <c r="G118" s="20" t="n">
        <v>0.05085</v>
      </c>
      <c r="H118" s="20" t="n">
        <v>0.0523755</v>
      </c>
      <c r="I118" s="20" t="n">
        <v>0.0483075</v>
      </c>
      <c r="J118" s="20" t="n">
        <v>0.0523755</v>
      </c>
      <c r="K118" s="2" t="inlineStr">
        <is>
          <t>止盈</t>
        </is>
      </c>
      <c r="L118" s="5">
        <f>交易明細!K57</f>
        <v/>
      </c>
      <c r="M118" s="19">
        <f>M109</f>
        <v/>
      </c>
      <c r="N118" s="2">
        <f>N109</f>
        <v/>
      </c>
      <c r="O118" s="19">
        <f>O109</f>
        <v/>
      </c>
      <c r="P118" s="4">
        <f>交易明細!L57</f>
        <v/>
      </c>
      <c r="Q118" s="13">
        <f>IF(N118="已下單",O118*P118,0)</f>
        <v/>
      </c>
      <c r="R118" s="13">
        <f>R117+Q118</f>
        <v/>
      </c>
      <c r="S118" s="19">
        <f>S117-IF(N118="已下單",M118,0)</f>
        <v/>
      </c>
      <c r="T118" s="19">
        <f>R118-S118</f>
        <v/>
      </c>
      <c r="U118" s="2">
        <f>U117-IF(N118="已下單",1,0)</f>
        <v/>
      </c>
      <c r="V118" s="19">
        <f>IF(資金模擬!$B$9=2,MAX(R118,0),MAX(V117,FLOOR(MAX(R118,0),資金模擬!$B$6)))</f>
        <v/>
      </c>
      <c r="W118" s="13">
        <f>MAX(W117,R118)</f>
        <v/>
      </c>
      <c r="X118" s="4">
        <f>IF(W118&gt;0,R118/W118-1,-1)</f>
        <v/>
      </c>
      <c r="Y118" s="19">
        <f>IF(R118&gt;0,S118*資金模擬!$B$7/R118,0)</f>
        <v/>
      </c>
      <c r="Z118" s="2">
        <f>IF(OR(Z117=1,R118&lt;=資金模擬!$B$10),1,0)</f>
        <v/>
      </c>
    </row>
    <row r="119">
      <c r="A119" s="2" t="n">
        <v>117</v>
      </c>
      <c r="B119" s="7" t="n">
        <v>46270.20833333334</v>
      </c>
      <c r="C119" s="2" t="inlineStr">
        <is>
          <t>進場</t>
        </is>
      </c>
      <c r="D119" s="2" t="n">
        <v>62</v>
      </c>
      <c r="E119" s="2" t="inlineStr">
        <is>
          <t>PONS_USDT_PERP</t>
        </is>
      </c>
      <c r="F119" s="2" t="inlineStr">
        <is>
          <t>做空</t>
        </is>
      </c>
      <c r="G119" s="20" t="n">
        <v>0.6736</v>
      </c>
      <c r="H119" s="20" t="n">
        <v>0.653392</v>
      </c>
      <c r="I119" s="20" t="n">
        <v>0.70728</v>
      </c>
      <c r="J119" s="20" t="n"/>
      <c r="K119" s="2" t="n"/>
      <c r="L119" s="5" t="n"/>
      <c r="M119" s="19">
        <f>資金模擬!$B$5*V118</f>
        <v/>
      </c>
      <c r="N119" s="2">
        <f>IF(Z118=1,"已停止",IF(T118&gt;=M119,"已下單","資金不足略過"))</f>
        <v/>
      </c>
      <c r="O119" s="19">
        <f>IF(N119="已下單",M119*資金模擬!$B$7,0)</f>
        <v/>
      </c>
      <c r="P119" s="4" t="n"/>
      <c r="Q119" s="13" t="n">
        <v>0</v>
      </c>
      <c r="R119" s="13">
        <f>R118+Q119</f>
        <v/>
      </c>
      <c r="S119" s="19">
        <f>S118+IF(N119="已下單",M119,0)</f>
        <v/>
      </c>
      <c r="T119" s="19">
        <f>R119-S119</f>
        <v/>
      </c>
      <c r="U119" s="2">
        <f>U118+IF(N119="已下單",1,0)</f>
        <v/>
      </c>
      <c r="V119" s="19">
        <f>IF(資金模擬!$B$9=2,MAX(R119,0),MAX(V118,FLOOR(MAX(R119,0),資金模擬!$B$6)))</f>
        <v/>
      </c>
      <c r="W119" s="13">
        <f>MAX(W118,R119)</f>
        <v/>
      </c>
      <c r="X119" s="4">
        <f>IF(W119&gt;0,R119/W119-1,-1)</f>
        <v/>
      </c>
      <c r="Y119" s="19">
        <f>IF(R119&gt;0,S119*資金模擬!$B$7/R119,0)</f>
        <v/>
      </c>
      <c r="Z119" s="2">
        <f>IF(OR(Z118=1,R119&lt;=資金模擬!$B$10),1,0)</f>
        <v/>
      </c>
    </row>
    <row r="120">
      <c r="A120" s="2" t="n">
        <v>118</v>
      </c>
      <c r="B120" s="7" t="n">
        <v>46270.33333333334</v>
      </c>
      <c r="C120" s="2" t="inlineStr">
        <is>
          <t>出場</t>
        </is>
      </c>
      <c r="D120" s="2" t="n">
        <v>61</v>
      </c>
      <c r="E120" s="2" t="inlineStr">
        <is>
          <t>TRIA_USDT_PERP</t>
        </is>
      </c>
      <c r="F120" s="2" t="inlineStr">
        <is>
          <t>做多</t>
        </is>
      </c>
      <c r="G120" s="20" t="n">
        <v>0.0049</v>
      </c>
      <c r="H120" s="20" t="n">
        <v>0.005047</v>
      </c>
      <c r="I120" s="20" t="n">
        <v>0.004654999999999999</v>
      </c>
      <c r="J120" s="20" t="n">
        <v>0.005047</v>
      </c>
      <c r="K120" s="2" t="inlineStr">
        <is>
          <t>止盈</t>
        </is>
      </c>
      <c r="L120" s="5">
        <f>交易明細!K62</f>
        <v/>
      </c>
      <c r="M120" s="19">
        <f>M117</f>
        <v/>
      </c>
      <c r="N120" s="2">
        <f>N117</f>
        <v/>
      </c>
      <c r="O120" s="19">
        <f>O117</f>
        <v/>
      </c>
      <c r="P120" s="4">
        <f>交易明細!L62</f>
        <v/>
      </c>
      <c r="Q120" s="13">
        <f>IF(N120="已下單",O120*P120,0)</f>
        <v/>
      </c>
      <c r="R120" s="13">
        <f>R119+Q120</f>
        <v/>
      </c>
      <c r="S120" s="19">
        <f>S119-IF(N120="已下單",M120,0)</f>
        <v/>
      </c>
      <c r="T120" s="19">
        <f>R120-S120</f>
        <v/>
      </c>
      <c r="U120" s="2">
        <f>U119-IF(N120="已下單",1,0)</f>
        <v/>
      </c>
      <c r="V120" s="19">
        <f>IF(資金模擬!$B$9=2,MAX(R120,0),MAX(V119,FLOOR(MAX(R120,0),資金模擬!$B$6)))</f>
        <v/>
      </c>
      <c r="W120" s="13">
        <f>MAX(W119,R120)</f>
        <v/>
      </c>
      <c r="X120" s="4">
        <f>IF(W120&gt;0,R120/W120-1,-1)</f>
        <v/>
      </c>
      <c r="Y120" s="19">
        <f>IF(R120&gt;0,S120*資金模擬!$B$7/R120,0)</f>
        <v/>
      </c>
      <c r="Z120" s="2">
        <f>IF(OR(Z119=1,R120&lt;=資金模擬!$B$10),1,0)</f>
        <v/>
      </c>
    </row>
    <row r="121">
      <c r="A121" s="2" t="n">
        <v>119</v>
      </c>
      <c r="B121" s="7" t="n">
        <v>46270.33333333334</v>
      </c>
      <c r="C121" s="2" t="inlineStr">
        <is>
          <t>出場</t>
        </is>
      </c>
      <c r="D121" s="2" t="n">
        <v>62</v>
      </c>
      <c r="E121" s="2" t="inlineStr">
        <is>
          <t>PONS_USDT_PERP</t>
        </is>
      </c>
      <c r="F121" s="2" t="inlineStr">
        <is>
          <t>做空</t>
        </is>
      </c>
      <c r="G121" s="20" t="n">
        <v>0.6736</v>
      </c>
      <c r="H121" s="20" t="n">
        <v>0.653392</v>
      </c>
      <c r="I121" s="20" t="n">
        <v>0.70728</v>
      </c>
      <c r="J121" s="20" t="n">
        <v>0.70728</v>
      </c>
      <c r="K121" s="2" t="inlineStr">
        <is>
          <t>止損</t>
        </is>
      </c>
      <c r="L121" s="5">
        <f>交易明細!K63</f>
        <v/>
      </c>
      <c r="M121" s="19">
        <f>M119</f>
        <v/>
      </c>
      <c r="N121" s="2">
        <f>N119</f>
        <v/>
      </c>
      <c r="O121" s="19">
        <f>O119</f>
        <v/>
      </c>
      <c r="P121" s="4">
        <f>交易明細!L63</f>
        <v/>
      </c>
      <c r="Q121" s="13">
        <f>IF(N121="已下單",O121*P121,0)</f>
        <v/>
      </c>
      <c r="R121" s="13">
        <f>R120+Q121</f>
        <v/>
      </c>
      <c r="S121" s="19">
        <f>S120-IF(N121="已下單",M121,0)</f>
        <v/>
      </c>
      <c r="T121" s="19">
        <f>R121-S121</f>
        <v/>
      </c>
      <c r="U121" s="2">
        <f>U120-IF(N121="已下單",1,0)</f>
        <v/>
      </c>
      <c r="V121" s="19">
        <f>IF(資金模擬!$B$9=2,MAX(R121,0),MAX(V120,FLOOR(MAX(R121,0),資金模擬!$B$6)))</f>
        <v/>
      </c>
      <c r="W121" s="13">
        <f>MAX(W120,R121)</f>
        <v/>
      </c>
      <c r="X121" s="4">
        <f>IF(W121&gt;0,R121/W121-1,-1)</f>
        <v/>
      </c>
      <c r="Y121" s="19">
        <f>IF(R121&gt;0,S121*資金模擬!$B$7/R121,0)</f>
        <v/>
      </c>
      <c r="Z121" s="2">
        <f>IF(OR(Z120=1,R121&lt;=資金模擬!$B$10),1,0)</f>
        <v/>
      </c>
    </row>
    <row r="122">
      <c r="A122" s="2" t="n">
        <v>120</v>
      </c>
      <c r="B122" s="7" t="n">
        <v>46270.33333333334</v>
      </c>
      <c r="C122" s="2" t="inlineStr">
        <is>
          <t>進場</t>
        </is>
      </c>
      <c r="D122" s="2" t="n">
        <v>63</v>
      </c>
      <c r="E122" s="2" t="inlineStr">
        <is>
          <t>LIT_USDT_PERP</t>
        </is>
      </c>
      <c r="F122" s="2" t="inlineStr">
        <is>
          <t>做多</t>
        </is>
      </c>
      <c r="G122" s="20" t="n">
        <v>4.817</v>
      </c>
      <c r="H122" s="20" t="n">
        <v>4.961510000000001</v>
      </c>
      <c r="I122" s="20" t="n">
        <v>4.57615</v>
      </c>
      <c r="J122" s="20" t="n"/>
      <c r="K122" s="2" t="n"/>
      <c r="L122" s="5" t="n"/>
      <c r="M122" s="19">
        <f>資金模擬!$B$5*V121</f>
        <v/>
      </c>
      <c r="N122" s="2">
        <f>IF(Z121=1,"已停止",IF(T121&gt;=M122,"已下單","資金不足略過"))</f>
        <v/>
      </c>
      <c r="O122" s="19">
        <f>IF(N122="已下單",M122*資金模擬!$B$7,0)</f>
        <v/>
      </c>
      <c r="P122" s="4" t="n"/>
      <c r="Q122" s="13" t="n">
        <v>0</v>
      </c>
      <c r="R122" s="13">
        <f>R121+Q122</f>
        <v/>
      </c>
      <c r="S122" s="19">
        <f>S121+IF(N122="已下單",M122,0)</f>
        <v/>
      </c>
      <c r="T122" s="19">
        <f>R122-S122</f>
        <v/>
      </c>
      <c r="U122" s="2">
        <f>U121+IF(N122="已下單",1,0)</f>
        <v/>
      </c>
      <c r="V122" s="19">
        <f>IF(資金模擬!$B$9=2,MAX(R122,0),MAX(V121,FLOOR(MAX(R122,0),資金模擬!$B$6)))</f>
        <v/>
      </c>
      <c r="W122" s="13">
        <f>MAX(W121,R122)</f>
        <v/>
      </c>
      <c r="X122" s="4">
        <f>IF(W122&gt;0,R122/W122-1,-1)</f>
        <v/>
      </c>
      <c r="Y122" s="19">
        <f>IF(R122&gt;0,S122*資金模擬!$B$7/R122,0)</f>
        <v/>
      </c>
      <c r="Z122" s="2">
        <f>IF(OR(Z121=1,R122&lt;=資金模擬!$B$10),1,0)</f>
        <v/>
      </c>
    </row>
    <row r="123">
      <c r="A123" s="2" t="n">
        <v>121</v>
      </c>
      <c r="B123" s="7" t="n">
        <v>46270.54166666666</v>
      </c>
      <c r="C123" s="2" t="inlineStr">
        <is>
          <t>進場</t>
        </is>
      </c>
      <c r="D123" s="2" t="n">
        <v>64</v>
      </c>
      <c r="E123" s="2" t="inlineStr">
        <is>
          <t>UAI_USDT_PERP</t>
        </is>
      </c>
      <c r="F123" s="2" t="inlineStr">
        <is>
          <t>做空</t>
        </is>
      </c>
      <c r="G123" s="20" t="n">
        <v>0.443</v>
      </c>
      <c r="H123" s="20" t="n">
        <v>0.42971</v>
      </c>
      <c r="I123" s="20" t="n">
        <v>0.46515</v>
      </c>
      <c r="J123" s="20" t="n"/>
      <c r="K123" s="2" t="n"/>
      <c r="L123" s="5" t="n"/>
      <c r="M123" s="19">
        <f>資金模擬!$B$5*V122</f>
        <v/>
      </c>
      <c r="N123" s="2">
        <f>IF(Z122=1,"已停止",IF(T122&gt;=M123,"已下單","資金不足略過"))</f>
        <v/>
      </c>
      <c r="O123" s="19">
        <f>IF(N123="已下單",M123*資金模擬!$B$7,0)</f>
        <v/>
      </c>
      <c r="P123" s="4" t="n"/>
      <c r="Q123" s="13" t="n">
        <v>0</v>
      </c>
      <c r="R123" s="13">
        <f>R122+Q123</f>
        <v/>
      </c>
      <c r="S123" s="19">
        <f>S122+IF(N123="已下單",M123,0)</f>
        <v/>
      </c>
      <c r="T123" s="19">
        <f>R123-S123</f>
        <v/>
      </c>
      <c r="U123" s="2">
        <f>U122+IF(N123="已下單",1,0)</f>
        <v/>
      </c>
      <c r="V123" s="19">
        <f>IF(資金模擬!$B$9=2,MAX(R123,0),MAX(V122,FLOOR(MAX(R123,0),資金模擬!$B$6)))</f>
        <v/>
      </c>
      <c r="W123" s="13">
        <f>MAX(W122,R123)</f>
        <v/>
      </c>
      <c r="X123" s="4">
        <f>IF(W123&gt;0,R123/W123-1,-1)</f>
        <v/>
      </c>
      <c r="Y123" s="19">
        <f>IF(R123&gt;0,S123*資金模擬!$B$7/R123,0)</f>
        <v/>
      </c>
      <c r="Z123" s="2">
        <f>IF(OR(Z122=1,R123&lt;=資金模擬!$B$10),1,0)</f>
        <v/>
      </c>
    </row>
    <row r="124">
      <c r="A124" s="2" t="n">
        <v>122</v>
      </c>
      <c r="B124" s="7" t="n">
        <v>46270.70833333334</v>
      </c>
      <c r="C124" s="2" t="inlineStr">
        <is>
          <t>出場</t>
        </is>
      </c>
      <c r="D124" s="2" t="n">
        <v>64</v>
      </c>
      <c r="E124" s="2" t="inlineStr">
        <is>
          <t>UAI_USDT_PERP</t>
        </is>
      </c>
      <c r="F124" s="2" t="inlineStr">
        <is>
          <t>做空</t>
        </is>
      </c>
      <c r="G124" s="20" t="n">
        <v>0.443</v>
      </c>
      <c r="H124" s="20" t="n">
        <v>0.42971</v>
      </c>
      <c r="I124" s="20" t="n">
        <v>0.46515</v>
      </c>
      <c r="J124" s="20" t="n">
        <v>0.46515</v>
      </c>
      <c r="K124" s="2" t="inlineStr">
        <is>
          <t>止損</t>
        </is>
      </c>
      <c r="L124" s="5">
        <f>交易明細!K65</f>
        <v/>
      </c>
      <c r="M124" s="19">
        <f>M123</f>
        <v/>
      </c>
      <c r="N124" s="2">
        <f>N123</f>
        <v/>
      </c>
      <c r="O124" s="19">
        <f>O123</f>
        <v/>
      </c>
      <c r="P124" s="4">
        <f>交易明細!L65</f>
        <v/>
      </c>
      <c r="Q124" s="13">
        <f>IF(N124="已下單",O124*P124,0)</f>
        <v/>
      </c>
      <c r="R124" s="13">
        <f>R123+Q124</f>
        <v/>
      </c>
      <c r="S124" s="19">
        <f>S123-IF(N124="已下單",M124,0)</f>
        <v/>
      </c>
      <c r="T124" s="19">
        <f>R124-S124</f>
        <v/>
      </c>
      <c r="U124" s="2">
        <f>U123-IF(N124="已下單",1,0)</f>
        <v/>
      </c>
      <c r="V124" s="19">
        <f>IF(資金模擬!$B$9=2,MAX(R124,0),MAX(V123,FLOOR(MAX(R124,0),資金模擬!$B$6)))</f>
        <v/>
      </c>
      <c r="W124" s="13">
        <f>MAX(W123,R124)</f>
        <v/>
      </c>
      <c r="X124" s="4">
        <f>IF(W124&gt;0,R124/W124-1,-1)</f>
        <v/>
      </c>
      <c r="Y124" s="19">
        <f>IF(R124&gt;0,S124*資金模擬!$B$7/R124,0)</f>
        <v/>
      </c>
      <c r="Z124" s="2">
        <f>IF(OR(Z123=1,R124&lt;=資金模擬!$B$10),1,0)</f>
        <v/>
      </c>
    </row>
    <row r="125">
      <c r="A125" s="2" t="n">
        <v>123</v>
      </c>
      <c r="B125" s="7" t="n">
        <v>46270.70833333334</v>
      </c>
      <c r="C125" s="2" t="inlineStr">
        <is>
          <t>進場</t>
        </is>
      </c>
      <c r="D125" s="2" t="n">
        <v>65</v>
      </c>
      <c r="E125" s="2" t="inlineStr">
        <is>
          <t>MARSCOIN_USDT_PERP</t>
        </is>
      </c>
      <c r="F125" s="2" t="inlineStr">
        <is>
          <t>做多</t>
        </is>
      </c>
      <c r="G125" s="20" t="n">
        <v>0.19456</v>
      </c>
      <c r="H125" s="20" t="n">
        <v>0.2003968</v>
      </c>
      <c r="I125" s="20" t="n">
        <v>0.184832</v>
      </c>
      <c r="J125" s="20" t="n"/>
      <c r="K125" s="2" t="n"/>
      <c r="L125" s="5" t="n"/>
      <c r="M125" s="19">
        <f>資金模擬!$B$5*V124</f>
        <v/>
      </c>
      <c r="N125" s="2">
        <f>IF(Z124=1,"已停止",IF(T124&gt;=M125,"已下單","資金不足略過"))</f>
        <v/>
      </c>
      <c r="O125" s="19">
        <f>IF(N125="已下單",M125*資金模擬!$B$7,0)</f>
        <v/>
      </c>
      <c r="P125" s="4" t="n"/>
      <c r="Q125" s="13" t="n">
        <v>0</v>
      </c>
      <c r="R125" s="13">
        <f>R124+Q125</f>
        <v/>
      </c>
      <c r="S125" s="19">
        <f>S124+IF(N125="已下單",M125,0)</f>
        <v/>
      </c>
      <c r="T125" s="19">
        <f>R125-S125</f>
        <v/>
      </c>
      <c r="U125" s="2">
        <f>U124+IF(N125="已下單",1,0)</f>
        <v/>
      </c>
      <c r="V125" s="19">
        <f>IF(資金模擬!$B$9=2,MAX(R125,0),MAX(V124,FLOOR(MAX(R125,0),資金模擬!$B$6)))</f>
        <v/>
      </c>
      <c r="W125" s="13">
        <f>MAX(W124,R125)</f>
        <v/>
      </c>
      <c r="X125" s="4">
        <f>IF(W125&gt;0,R125/W125-1,-1)</f>
        <v/>
      </c>
      <c r="Y125" s="19">
        <f>IF(R125&gt;0,S125*資金模擬!$B$7/R125,0)</f>
        <v/>
      </c>
      <c r="Z125" s="2">
        <f>IF(OR(Z124=1,R125&lt;=資金模擬!$B$10),1,0)</f>
        <v/>
      </c>
    </row>
    <row r="126">
      <c r="A126" s="2" t="n">
        <v>124</v>
      </c>
      <c r="B126" s="7" t="n">
        <v>46270.75</v>
      </c>
      <c r="C126" s="2" t="inlineStr">
        <is>
          <t>出場</t>
        </is>
      </c>
      <c r="D126" s="2" t="n">
        <v>65</v>
      </c>
      <c r="E126" s="2" t="inlineStr">
        <is>
          <t>MARSCOIN_USDT_PERP</t>
        </is>
      </c>
      <c r="F126" s="2" t="inlineStr">
        <is>
          <t>做多</t>
        </is>
      </c>
      <c r="G126" s="20" t="n">
        <v>0.19456</v>
      </c>
      <c r="H126" s="20" t="n">
        <v>0.2003968</v>
      </c>
      <c r="I126" s="20" t="n">
        <v>0.184832</v>
      </c>
      <c r="J126" s="20" t="n">
        <v>0.2003968</v>
      </c>
      <c r="K126" s="2" t="inlineStr">
        <is>
          <t>止盈</t>
        </is>
      </c>
      <c r="L126" s="5">
        <f>交易明細!K66</f>
        <v/>
      </c>
      <c r="M126" s="19">
        <f>M125</f>
        <v/>
      </c>
      <c r="N126" s="2">
        <f>N125</f>
        <v/>
      </c>
      <c r="O126" s="19">
        <f>O125</f>
        <v/>
      </c>
      <c r="P126" s="4">
        <f>交易明細!L66</f>
        <v/>
      </c>
      <c r="Q126" s="13">
        <f>IF(N126="已下單",O126*P126,0)</f>
        <v/>
      </c>
      <c r="R126" s="13">
        <f>R125+Q126</f>
        <v/>
      </c>
      <c r="S126" s="19">
        <f>S125-IF(N126="已下單",M126,0)</f>
        <v/>
      </c>
      <c r="T126" s="19">
        <f>R126-S126</f>
        <v/>
      </c>
      <c r="U126" s="2">
        <f>U125-IF(N126="已下單",1,0)</f>
        <v/>
      </c>
      <c r="V126" s="19">
        <f>IF(資金模擬!$B$9=2,MAX(R126,0),MAX(V125,FLOOR(MAX(R126,0),資金模擬!$B$6)))</f>
        <v/>
      </c>
      <c r="W126" s="13">
        <f>MAX(W125,R126)</f>
        <v/>
      </c>
      <c r="X126" s="4">
        <f>IF(W126&gt;0,R126/W126-1,-1)</f>
        <v/>
      </c>
      <c r="Y126" s="19">
        <f>IF(R126&gt;0,S126*資金模擬!$B$7/R126,0)</f>
        <v/>
      </c>
      <c r="Z126" s="2">
        <f>IF(OR(Z125=1,R126&lt;=資金模擬!$B$10),1,0)</f>
        <v/>
      </c>
    </row>
    <row r="127">
      <c r="A127" s="2" t="n">
        <v>125</v>
      </c>
      <c r="B127" s="7" t="n">
        <v>46270.79166666666</v>
      </c>
      <c r="C127" s="2" t="inlineStr">
        <is>
          <t>進場</t>
        </is>
      </c>
      <c r="D127" s="2" t="n">
        <v>66</v>
      </c>
      <c r="E127" s="2" t="inlineStr">
        <is>
          <t>USELESS_USDT_PERP</t>
        </is>
      </c>
      <c r="F127" s="2" t="inlineStr">
        <is>
          <t>做空</t>
        </is>
      </c>
      <c r="G127" s="20" t="n">
        <v>0.23397</v>
      </c>
      <c r="H127" s="20" t="n">
        <v>0.2269509</v>
      </c>
      <c r="I127" s="20" t="n">
        <v>0.2456685</v>
      </c>
      <c r="J127" s="20" t="n"/>
      <c r="K127" s="2" t="n"/>
      <c r="L127" s="5" t="n"/>
      <c r="M127" s="19">
        <f>資金模擬!$B$5*V126</f>
        <v/>
      </c>
      <c r="N127" s="2">
        <f>IF(Z126=1,"已停止",IF(T126&gt;=M127,"已下單","資金不足略過"))</f>
        <v/>
      </c>
      <c r="O127" s="19">
        <f>IF(N127="已下單",M127*資金模擬!$B$7,0)</f>
        <v/>
      </c>
      <c r="P127" s="4" t="n"/>
      <c r="Q127" s="13" t="n">
        <v>0</v>
      </c>
      <c r="R127" s="13">
        <f>R126+Q127</f>
        <v/>
      </c>
      <c r="S127" s="19">
        <f>S126+IF(N127="已下單",M127,0)</f>
        <v/>
      </c>
      <c r="T127" s="19">
        <f>R127-S127</f>
        <v/>
      </c>
      <c r="U127" s="2">
        <f>U126+IF(N127="已下單",1,0)</f>
        <v/>
      </c>
      <c r="V127" s="19">
        <f>IF(資金模擬!$B$9=2,MAX(R127,0),MAX(V126,FLOOR(MAX(R127,0),資金模擬!$B$6)))</f>
        <v/>
      </c>
      <c r="W127" s="13">
        <f>MAX(W126,R127)</f>
        <v/>
      </c>
      <c r="X127" s="4">
        <f>IF(W127&gt;0,R127/W127-1,-1)</f>
        <v/>
      </c>
      <c r="Y127" s="19">
        <f>IF(R127&gt;0,S127*資金模擬!$B$7/R127,0)</f>
        <v/>
      </c>
      <c r="Z127" s="2">
        <f>IF(OR(Z126=1,R127&lt;=資金模擬!$B$10),1,0)</f>
        <v/>
      </c>
    </row>
    <row r="128">
      <c r="A128" s="2" t="n">
        <v>126</v>
      </c>
      <c r="B128" s="7" t="n">
        <v>46270.875</v>
      </c>
      <c r="C128" s="2" t="inlineStr">
        <is>
          <t>進場</t>
        </is>
      </c>
      <c r="D128" s="2" t="n">
        <v>67</v>
      </c>
      <c r="E128" s="2" t="inlineStr">
        <is>
          <t>4_USDT_PERP</t>
        </is>
      </c>
      <c r="F128" s="2" t="inlineStr">
        <is>
          <t>做多</t>
        </is>
      </c>
      <c r="G128" s="20" t="n">
        <v>0.02597</v>
      </c>
      <c r="H128" s="20" t="n">
        <v>0.0267491</v>
      </c>
      <c r="I128" s="20" t="n">
        <v>0.0246715</v>
      </c>
      <c r="J128" s="20" t="n"/>
      <c r="K128" s="2" t="n"/>
      <c r="L128" s="5" t="n"/>
      <c r="M128" s="19">
        <f>資金模擬!$B$5*V127</f>
        <v/>
      </c>
      <c r="N128" s="2">
        <f>IF(Z127=1,"已停止",IF(T127&gt;=M128,"已下單","資金不足略過"))</f>
        <v/>
      </c>
      <c r="O128" s="19">
        <f>IF(N128="已下單",M128*資金模擬!$B$7,0)</f>
        <v/>
      </c>
      <c r="P128" s="4" t="n"/>
      <c r="Q128" s="13" t="n">
        <v>0</v>
      </c>
      <c r="R128" s="13">
        <f>R127+Q128</f>
        <v/>
      </c>
      <c r="S128" s="19">
        <f>S127+IF(N128="已下單",M128,0)</f>
        <v/>
      </c>
      <c r="T128" s="19">
        <f>R128-S128</f>
        <v/>
      </c>
      <c r="U128" s="2">
        <f>U127+IF(N128="已下單",1,0)</f>
        <v/>
      </c>
      <c r="V128" s="19">
        <f>IF(資金模擬!$B$9=2,MAX(R128,0),MAX(V127,FLOOR(MAX(R128,0),資金模擬!$B$6)))</f>
        <v/>
      </c>
      <c r="W128" s="13">
        <f>MAX(W127,R128)</f>
        <v/>
      </c>
      <c r="X128" s="4">
        <f>IF(W128&gt;0,R128/W128-1,-1)</f>
        <v/>
      </c>
      <c r="Y128" s="19">
        <f>IF(R128&gt;0,S128*資金模擬!$B$7/R128,0)</f>
        <v/>
      </c>
      <c r="Z128" s="2">
        <f>IF(OR(Z127=1,R128&lt;=資金模擬!$B$10),1,0)</f>
        <v/>
      </c>
    </row>
    <row r="129">
      <c r="A129" s="2" t="n">
        <v>127</v>
      </c>
      <c r="B129" s="7" t="n">
        <v>46270.91666666666</v>
      </c>
      <c r="C129" s="2" t="inlineStr">
        <is>
          <t>出場</t>
        </is>
      </c>
      <c r="D129" s="2" t="n">
        <v>66</v>
      </c>
      <c r="E129" s="2" t="inlineStr">
        <is>
          <t>USELESS_USDT_PERP</t>
        </is>
      </c>
      <c r="F129" s="2" t="inlineStr">
        <is>
          <t>做空</t>
        </is>
      </c>
      <c r="G129" s="20" t="n">
        <v>0.23397</v>
      </c>
      <c r="H129" s="20" t="n">
        <v>0.2269509</v>
      </c>
      <c r="I129" s="20" t="n">
        <v>0.2456685</v>
      </c>
      <c r="J129" s="20" t="n">
        <v>0.2456685</v>
      </c>
      <c r="K129" s="2" t="inlineStr">
        <is>
          <t>止損</t>
        </is>
      </c>
      <c r="L129" s="5">
        <f>交易明細!K67</f>
        <v/>
      </c>
      <c r="M129" s="19">
        <f>M127</f>
        <v/>
      </c>
      <c r="N129" s="2">
        <f>N127</f>
        <v/>
      </c>
      <c r="O129" s="19">
        <f>O127</f>
        <v/>
      </c>
      <c r="P129" s="4">
        <f>交易明細!L67</f>
        <v/>
      </c>
      <c r="Q129" s="13">
        <f>IF(N129="已下單",O129*P129,0)</f>
        <v/>
      </c>
      <c r="R129" s="13">
        <f>R128+Q129</f>
        <v/>
      </c>
      <c r="S129" s="19">
        <f>S128-IF(N129="已下單",M129,0)</f>
        <v/>
      </c>
      <c r="T129" s="19">
        <f>R129-S129</f>
        <v/>
      </c>
      <c r="U129" s="2">
        <f>U128-IF(N129="已下單",1,0)</f>
        <v/>
      </c>
      <c r="V129" s="19">
        <f>IF(資金模擬!$B$9=2,MAX(R129,0),MAX(V128,FLOOR(MAX(R129,0),資金模擬!$B$6)))</f>
        <v/>
      </c>
      <c r="W129" s="13">
        <f>MAX(W128,R129)</f>
        <v/>
      </c>
      <c r="X129" s="4">
        <f>IF(W129&gt;0,R129/W129-1,-1)</f>
        <v/>
      </c>
      <c r="Y129" s="19">
        <f>IF(R129&gt;0,S129*資金模擬!$B$7/R129,0)</f>
        <v/>
      </c>
      <c r="Z129" s="2">
        <f>IF(OR(Z128=1,R129&lt;=資金模擬!$B$10),1,0)</f>
        <v/>
      </c>
    </row>
    <row r="130">
      <c r="A130" s="2" t="n">
        <v>128</v>
      </c>
      <c r="B130" s="7" t="n">
        <v>46270.91666666666</v>
      </c>
      <c r="C130" s="2" t="inlineStr">
        <is>
          <t>出場</t>
        </is>
      </c>
      <c r="D130" s="2" t="n">
        <v>67</v>
      </c>
      <c r="E130" s="2" t="inlineStr">
        <is>
          <t>4_USDT_PERP</t>
        </is>
      </c>
      <c r="F130" s="2" t="inlineStr">
        <is>
          <t>做多</t>
        </is>
      </c>
      <c r="G130" s="20" t="n">
        <v>0.02597</v>
      </c>
      <c r="H130" s="20" t="n">
        <v>0.0267491</v>
      </c>
      <c r="I130" s="20" t="n">
        <v>0.0246715</v>
      </c>
      <c r="J130" s="20" t="n">
        <v>0.0267491</v>
      </c>
      <c r="K130" s="2" t="inlineStr">
        <is>
          <t>止盈</t>
        </is>
      </c>
      <c r="L130" s="5">
        <f>交易明細!K68</f>
        <v/>
      </c>
      <c r="M130" s="19">
        <f>M128</f>
        <v/>
      </c>
      <c r="N130" s="2">
        <f>N128</f>
        <v/>
      </c>
      <c r="O130" s="19">
        <f>O128</f>
        <v/>
      </c>
      <c r="P130" s="4">
        <f>交易明細!L68</f>
        <v/>
      </c>
      <c r="Q130" s="13">
        <f>IF(N130="已下單",O130*P130,0)</f>
        <v/>
      </c>
      <c r="R130" s="13">
        <f>R129+Q130</f>
        <v/>
      </c>
      <c r="S130" s="19">
        <f>S129-IF(N130="已下單",M130,0)</f>
        <v/>
      </c>
      <c r="T130" s="19">
        <f>R130-S130</f>
        <v/>
      </c>
      <c r="U130" s="2">
        <f>U129-IF(N130="已下單",1,0)</f>
        <v/>
      </c>
      <c r="V130" s="19">
        <f>IF(資金模擬!$B$9=2,MAX(R130,0),MAX(V129,FLOOR(MAX(R130,0),資金模擬!$B$6)))</f>
        <v/>
      </c>
      <c r="W130" s="13">
        <f>MAX(W129,R130)</f>
        <v/>
      </c>
      <c r="X130" s="4">
        <f>IF(W130&gt;0,R130/W130-1,-1)</f>
        <v/>
      </c>
      <c r="Y130" s="19">
        <f>IF(R130&gt;0,S130*資金模擬!$B$7/R130,0)</f>
        <v/>
      </c>
      <c r="Z130" s="2">
        <f>IF(OR(Z129=1,R130&lt;=資金模擬!$B$10),1,0)</f>
        <v/>
      </c>
    </row>
    <row r="131">
      <c r="A131" s="2" t="n">
        <v>129</v>
      </c>
      <c r="B131" s="7" t="n">
        <v>46271</v>
      </c>
      <c r="C131" s="2" t="inlineStr">
        <is>
          <t>進場</t>
        </is>
      </c>
      <c r="D131" s="2" t="n">
        <v>68</v>
      </c>
      <c r="E131" s="2" t="inlineStr">
        <is>
          <t>4_USDT_PERP</t>
        </is>
      </c>
      <c r="F131" s="2" t="inlineStr">
        <is>
          <t>做多</t>
        </is>
      </c>
      <c r="G131" s="20" t="n">
        <v>0.02716</v>
      </c>
      <c r="H131" s="20" t="n">
        <v>0.0279748</v>
      </c>
      <c r="I131" s="20" t="n">
        <v>0.025802</v>
      </c>
      <c r="J131" s="20" t="n"/>
      <c r="K131" s="2" t="n"/>
      <c r="L131" s="5" t="n"/>
      <c r="M131" s="19">
        <f>資金模擬!$B$5*V130</f>
        <v/>
      </c>
      <c r="N131" s="2">
        <f>IF(Z130=1,"已停止",IF(T130&gt;=M131,"已下單","資金不足略過"))</f>
        <v/>
      </c>
      <c r="O131" s="19">
        <f>IF(N131="已下單",M131*資金模擬!$B$7,0)</f>
        <v/>
      </c>
      <c r="P131" s="4" t="n"/>
      <c r="Q131" s="13" t="n">
        <v>0</v>
      </c>
      <c r="R131" s="13">
        <f>R130+Q131</f>
        <v/>
      </c>
      <c r="S131" s="19">
        <f>S130+IF(N131="已下單",M131,0)</f>
        <v/>
      </c>
      <c r="T131" s="19">
        <f>R131-S131</f>
        <v/>
      </c>
      <c r="U131" s="2">
        <f>U130+IF(N131="已下單",1,0)</f>
        <v/>
      </c>
      <c r="V131" s="19">
        <f>IF(資金模擬!$B$9=2,MAX(R131,0),MAX(V130,FLOOR(MAX(R131,0),資金模擬!$B$6)))</f>
        <v/>
      </c>
      <c r="W131" s="13">
        <f>MAX(W130,R131)</f>
        <v/>
      </c>
      <c r="X131" s="4">
        <f>IF(W131&gt;0,R131/W131-1,-1)</f>
        <v/>
      </c>
      <c r="Y131" s="19">
        <f>IF(R131&gt;0,S131*資金模擬!$B$7/R131,0)</f>
        <v/>
      </c>
      <c r="Z131" s="2">
        <f>IF(OR(Z130=1,R131&lt;=資金模擬!$B$10),1,0)</f>
        <v/>
      </c>
    </row>
    <row r="132">
      <c r="A132" s="2" t="n">
        <v>130</v>
      </c>
      <c r="B132" s="7" t="n">
        <v>46271.04166666666</v>
      </c>
      <c r="C132" s="2" t="inlineStr">
        <is>
          <t>出場</t>
        </is>
      </c>
      <c r="D132" s="2" t="n">
        <v>58</v>
      </c>
      <c r="E132" s="2" t="inlineStr">
        <is>
          <t>FARTCOIN_USDT_PERP</t>
        </is>
      </c>
      <c r="F132" s="2" t="inlineStr">
        <is>
          <t>做空</t>
        </is>
      </c>
      <c r="G132" s="20" t="n">
        <v>0.1626</v>
      </c>
      <c r="H132" s="20" t="n">
        <v>0.157722</v>
      </c>
      <c r="I132" s="20" t="n">
        <v>0.17073</v>
      </c>
      <c r="J132" s="20" t="n">
        <v>0.17073</v>
      </c>
      <c r="K132" s="2" t="inlineStr">
        <is>
          <t>止損</t>
        </is>
      </c>
      <c r="L132" s="5">
        <f>交易明細!K59</f>
        <v/>
      </c>
      <c r="M132" s="19">
        <f>M111</f>
        <v/>
      </c>
      <c r="N132" s="2">
        <f>N111</f>
        <v/>
      </c>
      <c r="O132" s="19">
        <f>O111</f>
        <v/>
      </c>
      <c r="P132" s="4">
        <f>交易明細!L59</f>
        <v/>
      </c>
      <c r="Q132" s="13">
        <f>IF(N132="已下單",O132*P132,0)</f>
        <v/>
      </c>
      <c r="R132" s="13">
        <f>R131+Q132</f>
        <v/>
      </c>
      <c r="S132" s="19">
        <f>S131-IF(N132="已下單",M132,0)</f>
        <v/>
      </c>
      <c r="T132" s="19">
        <f>R132-S132</f>
        <v/>
      </c>
      <c r="U132" s="2">
        <f>U131-IF(N132="已下單",1,0)</f>
        <v/>
      </c>
      <c r="V132" s="19">
        <f>IF(資金模擬!$B$9=2,MAX(R132,0),MAX(V131,FLOOR(MAX(R132,0),資金模擬!$B$6)))</f>
        <v/>
      </c>
      <c r="W132" s="13">
        <f>MAX(W131,R132)</f>
        <v/>
      </c>
      <c r="X132" s="4">
        <f>IF(W132&gt;0,R132/W132-1,-1)</f>
        <v/>
      </c>
      <c r="Y132" s="19">
        <f>IF(R132&gt;0,S132*資金模擬!$B$7/R132,0)</f>
        <v/>
      </c>
      <c r="Z132" s="2">
        <f>IF(OR(Z131=1,R132&lt;=資金模擬!$B$10),1,0)</f>
        <v/>
      </c>
    </row>
    <row r="133">
      <c r="A133" s="2" t="n">
        <v>131</v>
      </c>
      <c r="B133" s="7" t="n">
        <v>46271.04166666666</v>
      </c>
      <c r="C133" s="2" t="inlineStr">
        <is>
          <t>出場</t>
        </is>
      </c>
      <c r="D133" s="2" t="n">
        <v>68</v>
      </c>
      <c r="E133" s="2" t="inlineStr">
        <is>
          <t>4_USDT_PERP</t>
        </is>
      </c>
      <c r="F133" s="2" t="inlineStr">
        <is>
          <t>做多</t>
        </is>
      </c>
      <c r="G133" s="20" t="n">
        <v>0.02716</v>
      </c>
      <c r="H133" s="20" t="n">
        <v>0.0279748</v>
      </c>
      <c r="I133" s="20" t="n">
        <v>0.025802</v>
      </c>
      <c r="J133" s="20" t="n">
        <v>0.0279748</v>
      </c>
      <c r="K133" s="2" t="inlineStr">
        <is>
          <t>止盈</t>
        </is>
      </c>
      <c r="L133" s="5">
        <f>交易明細!K69</f>
        <v/>
      </c>
      <c r="M133" s="19">
        <f>M131</f>
        <v/>
      </c>
      <c r="N133" s="2">
        <f>N131</f>
        <v/>
      </c>
      <c r="O133" s="19">
        <f>O131</f>
        <v/>
      </c>
      <c r="P133" s="4">
        <f>交易明細!L69</f>
        <v/>
      </c>
      <c r="Q133" s="13">
        <f>IF(N133="已下單",O133*P133,0)</f>
        <v/>
      </c>
      <c r="R133" s="13">
        <f>R132+Q133</f>
        <v/>
      </c>
      <c r="S133" s="19">
        <f>S132-IF(N133="已下單",M133,0)</f>
        <v/>
      </c>
      <c r="T133" s="19">
        <f>R133-S133</f>
        <v/>
      </c>
      <c r="U133" s="2">
        <f>U132-IF(N133="已下單",1,0)</f>
        <v/>
      </c>
      <c r="V133" s="19">
        <f>IF(資金模擬!$B$9=2,MAX(R133,0),MAX(V132,FLOOR(MAX(R133,0),資金模擬!$B$6)))</f>
        <v/>
      </c>
      <c r="W133" s="13">
        <f>MAX(W132,R133)</f>
        <v/>
      </c>
      <c r="X133" s="4">
        <f>IF(W133&gt;0,R133/W133-1,-1)</f>
        <v/>
      </c>
      <c r="Y133" s="19">
        <f>IF(R133&gt;0,S133*資金模擬!$B$7/R133,0)</f>
        <v/>
      </c>
      <c r="Z133" s="2">
        <f>IF(OR(Z132=1,R133&lt;=資金模擬!$B$10),1,0)</f>
        <v/>
      </c>
    </row>
    <row r="134">
      <c r="A134" s="2" t="n">
        <v>132</v>
      </c>
      <c r="B134" s="7" t="n">
        <v>46271.08333333334</v>
      </c>
      <c r="C134" s="2" t="inlineStr">
        <is>
          <t>出場</t>
        </is>
      </c>
      <c r="D134" s="2" t="n">
        <v>55</v>
      </c>
      <c r="E134" s="2" t="inlineStr">
        <is>
          <t>ARB_USDT_PERP</t>
        </is>
      </c>
      <c r="F134" s="2" t="inlineStr">
        <is>
          <t>做空</t>
        </is>
      </c>
      <c r="G134" s="20" t="n">
        <v>0.1319</v>
      </c>
      <c r="H134" s="20" t="n">
        <v>0.127943</v>
      </c>
      <c r="I134" s="20" t="n">
        <v>0.138495</v>
      </c>
      <c r="J134" s="20" t="n">
        <v>0.138495</v>
      </c>
      <c r="K134" s="2" t="inlineStr">
        <is>
          <t>止損</t>
        </is>
      </c>
      <c r="L134" s="5">
        <f>交易明細!K56</f>
        <v/>
      </c>
      <c r="M134" s="19">
        <f>M108</f>
        <v/>
      </c>
      <c r="N134" s="2">
        <f>N108</f>
        <v/>
      </c>
      <c r="O134" s="19">
        <f>O108</f>
        <v/>
      </c>
      <c r="P134" s="4">
        <f>交易明細!L56</f>
        <v/>
      </c>
      <c r="Q134" s="13">
        <f>IF(N134="已下單",O134*P134,0)</f>
        <v/>
      </c>
      <c r="R134" s="13">
        <f>R133+Q134</f>
        <v/>
      </c>
      <c r="S134" s="19">
        <f>S133-IF(N134="已下單",M134,0)</f>
        <v/>
      </c>
      <c r="T134" s="19">
        <f>R134-S134</f>
        <v/>
      </c>
      <c r="U134" s="2">
        <f>U133-IF(N134="已下單",1,0)</f>
        <v/>
      </c>
      <c r="V134" s="19">
        <f>IF(資金模擬!$B$9=2,MAX(R134,0),MAX(V133,FLOOR(MAX(R134,0),資金模擬!$B$6)))</f>
        <v/>
      </c>
      <c r="W134" s="13">
        <f>MAX(W133,R134)</f>
        <v/>
      </c>
      <c r="X134" s="4">
        <f>IF(W134&gt;0,R134/W134-1,-1)</f>
        <v/>
      </c>
      <c r="Y134" s="19">
        <f>IF(R134&gt;0,S134*資金模擬!$B$7/R134,0)</f>
        <v/>
      </c>
      <c r="Z134" s="2">
        <f>IF(OR(Z133=1,R134&lt;=資金模擬!$B$10),1,0)</f>
        <v/>
      </c>
    </row>
    <row r="135">
      <c r="A135" s="2" t="n">
        <v>133</v>
      </c>
      <c r="B135" s="7" t="n">
        <v>46271.08333333334</v>
      </c>
      <c r="C135" s="2" t="inlineStr">
        <is>
          <t>進場</t>
        </is>
      </c>
      <c r="D135" s="2" t="n">
        <v>69</v>
      </c>
      <c r="E135" s="2" t="inlineStr">
        <is>
          <t>NEAR_USDT_PERP</t>
        </is>
      </c>
      <c r="F135" s="2" t="inlineStr">
        <is>
          <t>做多</t>
        </is>
      </c>
      <c r="G135" s="20" t="n">
        <v>2.251</v>
      </c>
      <c r="H135" s="20" t="n">
        <v>2.31853</v>
      </c>
      <c r="I135" s="20" t="n">
        <v>2.13845</v>
      </c>
      <c r="J135" s="20" t="n"/>
      <c r="K135" s="2" t="n"/>
      <c r="L135" s="5" t="n"/>
      <c r="M135" s="19">
        <f>資金模擬!$B$5*V134</f>
        <v/>
      </c>
      <c r="N135" s="2">
        <f>IF(Z134=1,"已停止",IF(T134&gt;=M135,"已下單","資金不足略過"))</f>
        <v/>
      </c>
      <c r="O135" s="19">
        <f>IF(N135="已下單",M135*資金模擬!$B$7,0)</f>
        <v/>
      </c>
      <c r="P135" s="4" t="n"/>
      <c r="Q135" s="13" t="n">
        <v>0</v>
      </c>
      <c r="R135" s="13">
        <f>R134+Q135</f>
        <v/>
      </c>
      <c r="S135" s="19">
        <f>S134+IF(N135="已下單",M135,0)</f>
        <v/>
      </c>
      <c r="T135" s="19">
        <f>R135-S135</f>
        <v/>
      </c>
      <c r="U135" s="2">
        <f>U134+IF(N135="已下單",1,0)</f>
        <v/>
      </c>
      <c r="V135" s="19">
        <f>IF(資金模擬!$B$9=2,MAX(R135,0),MAX(V134,FLOOR(MAX(R135,0),資金模擬!$B$6)))</f>
        <v/>
      </c>
      <c r="W135" s="13">
        <f>MAX(W134,R135)</f>
        <v/>
      </c>
      <c r="X135" s="4">
        <f>IF(W135&gt;0,R135/W135-1,-1)</f>
        <v/>
      </c>
      <c r="Y135" s="19">
        <f>IF(R135&gt;0,S135*資金模擬!$B$7/R135,0)</f>
        <v/>
      </c>
      <c r="Z135" s="2">
        <f>IF(OR(Z134=1,R135&lt;=資金模擬!$B$10),1,0)</f>
        <v/>
      </c>
    </row>
    <row r="136">
      <c r="A136" s="2" t="n">
        <v>134</v>
      </c>
      <c r="B136" s="7" t="n">
        <v>46271.125</v>
      </c>
      <c r="C136" s="2" t="inlineStr">
        <is>
          <t>進場</t>
        </is>
      </c>
      <c r="D136" s="2" t="n">
        <v>70</v>
      </c>
      <c r="E136" s="2" t="inlineStr">
        <is>
          <t>ZEN_USDT_PERP</t>
        </is>
      </c>
      <c r="F136" s="2" t="inlineStr">
        <is>
          <t>做空</t>
        </is>
      </c>
      <c r="G136" s="20" t="n">
        <v>6.91</v>
      </c>
      <c r="H136" s="20" t="n">
        <v>6.7027</v>
      </c>
      <c r="I136" s="20" t="n">
        <v>7.255500000000001</v>
      </c>
      <c r="J136" s="20" t="n"/>
      <c r="K136" s="2" t="n"/>
      <c r="L136" s="5" t="n"/>
      <c r="M136" s="19">
        <f>資金模擬!$B$5*V135</f>
        <v/>
      </c>
      <c r="N136" s="2">
        <f>IF(Z135=1,"已停止",IF(T135&gt;=M136,"已下單","資金不足略過"))</f>
        <v/>
      </c>
      <c r="O136" s="19">
        <f>IF(N136="已下單",M136*資金模擬!$B$7,0)</f>
        <v/>
      </c>
      <c r="P136" s="4" t="n"/>
      <c r="Q136" s="13" t="n">
        <v>0</v>
      </c>
      <c r="R136" s="13">
        <f>R135+Q136</f>
        <v/>
      </c>
      <c r="S136" s="19">
        <f>S135+IF(N136="已下單",M136,0)</f>
        <v/>
      </c>
      <c r="T136" s="19">
        <f>R136-S136</f>
        <v/>
      </c>
      <c r="U136" s="2">
        <f>U135+IF(N136="已下單",1,0)</f>
        <v/>
      </c>
      <c r="V136" s="19">
        <f>IF(資金模擬!$B$9=2,MAX(R136,0),MAX(V135,FLOOR(MAX(R136,0),資金模擬!$B$6)))</f>
        <v/>
      </c>
      <c r="W136" s="13">
        <f>MAX(W135,R136)</f>
        <v/>
      </c>
      <c r="X136" s="4">
        <f>IF(W136&gt;0,R136/W136-1,-1)</f>
        <v/>
      </c>
      <c r="Y136" s="19">
        <f>IF(R136&gt;0,S136*資金模擬!$B$7/R136,0)</f>
        <v/>
      </c>
      <c r="Z136" s="2">
        <f>IF(OR(Z135=1,R136&lt;=資金模擬!$B$10),1,0)</f>
        <v/>
      </c>
    </row>
    <row r="137">
      <c r="A137" s="2" t="n">
        <v>135</v>
      </c>
      <c r="B137" s="7" t="n">
        <v>46271.16666666666</v>
      </c>
      <c r="C137" s="2" t="inlineStr">
        <is>
          <t>進場</t>
        </is>
      </c>
      <c r="D137" s="2" t="n">
        <v>71</v>
      </c>
      <c r="E137" s="2" t="inlineStr">
        <is>
          <t>AKE_USDT_PERP</t>
        </is>
      </c>
      <c r="F137" s="2" t="inlineStr">
        <is>
          <t>做多</t>
        </is>
      </c>
      <c r="G137" s="20" t="n">
        <v>0.019459</v>
      </c>
      <c r="H137" s="20" t="n">
        <v>0.02004277</v>
      </c>
      <c r="I137" s="20" t="n">
        <v>0.01848605</v>
      </c>
      <c r="J137" s="20" t="n"/>
      <c r="K137" s="2" t="n"/>
      <c r="L137" s="5" t="n"/>
      <c r="M137" s="19">
        <f>資金模擬!$B$5*V136</f>
        <v/>
      </c>
      <c r="N137" s="2">
        <f>IF(Z136=1,"已停止",IF(T136&gt;=M137,"已下單","資金不足略過"))</f>
        <v/>
      </c>
      <c r="O137" s="19">
        <f>IF(N137="已下單",M137*資金模擬!$B$7,0)</f>
        <v/>
      </c>
      <c r="P137" s="4" t="n"/>
      <c r="Q137" s="13" t="n">
        <v>0</v>
      </c>
      <c r="R137" s="13">
        <f>R136+Q137</f>
        <v/>
      </c>
      <c r="S137" s="19">
        <f>S136+IF(N137="已下單",M137,0)</f>
        <v/>
      </c>
      <c r="T137" s="19">
        <f>R137-S137</f>
        <v/>
      </c>
      <c r="U137" s="2">
        <f>U136+IF(N137="已下單",1,0)</f>
        <v/>
      </c>
      <c r="V137" s="19">
        <f>IF(資金模擬!$B$9=2,MAX(R137,0),MAX(V136,FLOOR(MAX(R137,0),資金模擬!$B$6)))</f>
        <v/>
      </c>
      <c r="W137" s="13">
        <f>MAX(W136,R137)</f>
        <v/>
      </c>
      <c r="X137" s="4">
        <f>IF(W137&gt;0,R137/W137-1,-1)</f>
        <v/>
      </c>
      <c r="Y137" s="19">
        <f>IF(R137&gt;0,S137*資金模擬!$B$7/R137,0)</f>
        <v/>
      </c>
      <c r="Z137" s="2">
        <f>IF(OR(Z136=1,R137&lt;=資金模擬!$B$10),1,0)</f>
        <v/>
      </c>
    </row>
    <row r="138">
      <c r="A138" s="2" t="n">
        <v>136</v>
      </c>
      <c r="B138" s="7" t="n">
        <v>46271.25</v>
      </c>
      <c r="C138" s="2" t="inlineStr">
        <is>
          <t>出場</t>
        </is>
      </c>
      <c r="D138" s="2" t="n">
        <v>51</v>
      </c>
      <c r="E138" s="2" t="inlineStr">
        <is>
          <t>ENA_USDT_PERP</t>
        </is>
      </c>
      <c r="F138" s="2" t="inlineStr">
        <is>
          <t>做空</t>
        </is>
      </c>
      <c r="G138" s="20" t="n">
        <v>0.1636</v>
      </c>
      <c r="H138" s="20" t="n">
        <v>0.158692</v>
      </c>
      <c r="I138" s="20" t="n">
        <v>0.17178</v>
      </c>
      <c r="J138" s="20" t="n">
        <v>0.17178</v>
      </c>
      <c r="K138" s="2" t="inlineStr">
        <is>
          <t>止損</t>
        </is>
      </c>
      <c r="L138" s="5">
        <f>交易明細!K52</f>
        <v/>
      </c>
      <c r="M138" s="19">
        <f>M102</f>
        <v/>
      </c>
      <c r="N138" s="2">
        <f>N102</f>
        <v/>
      </c>
      <c r="O138" s="19">
        <f>O102</f>
        <v/>
      </c>
      <c r="P138" s="4">
        <f>交易明細!L52</f>
        <v/>
      </c>
      <c r="Q138" s="13">
        <f>IF(N138="已下單",O138*P138,0)</f>
        <v/>
      </c>
      <c r="R138" s="13">
        <f>R137+Q138</f>
        <v/>
      </c>
      <c r="S138" s="19">
        <f>S137-IF(N138="已下單",M138,0)</f>
        <v/>
      </c>
      <c r="T138" s="19">
        <f>R138-S138</f>
        <v/>
      </c>
      <c r="U138" s="2">
        <f>U137-IF(N138="已下單",1,0)</f>
        <v/>
      </c>
      <c r="V138" s="19">
        <f>IF(資金模擬!$B$9=2,MAX(R138,0),MAX(V137,FLOOR(MAX(R138,0),資金模擬!$B$6)))</f>
        <v/>
      </c>
      <c r="W138" s="13">
        <f>MAX(W137,R138)</f>
        <v/>
      </c>
      <c r="X138" s="4">
        <f>IF(W138&gt;0,R138/W138-1,-1)</f>
        <v/>
      </c>
      <c r="Y138" s="19">
        <f>IF(R138&gt;0,S138*資金模擬!$B$7/R138,0)</f>
        <v/>
      </c>
      <c r="Z138" s="2">
        <f>IF(OR(Z137=1,R138&lt;=資金模擬!$B$10),1,0)</f>
        <v/>
      </c>
    </row>
    <row r="139">
      <c r="A139" s="2" t="n">
        <v>137</v>
      </c>
      <c r="B139" s="7" t="n">
        <v>46271.25</v>
      </c>
      <c r="C139" s="2" t="inlineStr">
        <is>
          <t>進場</t>
        </is>
      </c>
      <c r="D139" s="2" t="n">
        <v>72</v>
      </c>
      <c r="E139" s="2" t="inlineStr">
        <is>
          <t>牛来_USDT_PERP</t>
        </is>
      </c>
      <c r="F139" s="2" t="inlineStr">
        <is>
          <t>做多</t>
        </is>
      </c>
      <c r="G139" s="20" t="n">
        <v>0.11871</v>
      </c>
      <c r="H139" s="20" t="n">
        <v>0.1222713</v>
      </c>
      <c r="I139" s="20" t="n">
        <v>0.1127745</v>
      </c>
      <c r="J139" s="20" t="n"/>
      <c r="K139" s="2" t="n"/>
      <c r="L139" s="5" t="n"/>
      <c r="M139" s="19">
        <f>資金模擬!$B$5*V138</f>
        <v/>
      </c>
      <c r="N139" s="2">
        <f>IF(Z138=1,"已停止",IF(T138&gt;=M139,"已下單","資金不足略過"))</f>
        <v/>
      </c>
      <c r="O139" s="19">
        <f>IF(N139="已下單",M139*資金模擬!$B$7,0)</f>
        <v/>
      </c>
      <c r="P139" s="4" t="n"/>
      <c r="Q139" s="13" t="n">
        <v>0</v>
      </c>
      <c r="R139" s="13">
        <f>R138+Q139</f>
        <v/>
      </c>
      <c r="S139" s="19">
        <f>S138+IF(N139="已下單",M139,0)</f>
        <v/>
      </c>
      <c r="T139" s="19">
        <f>R139-S139</f>
        <v/>
      </c>
      <c r="U139" s="2">
        <f>U138+IF(N139="已下單",1,0)</f>
        <v/>
      </c>
      <c r="V139" s="19">
        <f>IF(資金模擬!$B$9=2,MAX(R139,0),MAX(V138,FLOOR(MAX(R139,0),資金模擬!$B$6)))</f>
        <v/>
      </c>
      <c r="W139" s="13">
        <f>MAX(W138,R139)</f>
        <v/>
      </c>
      <c r="X139" s="4">
        <f>IF(W139&gt;0,R139/W139-1,-1)</f>
        <v/>
      </c>
      <c r="Y139" s="19">
        <f>IF(R139&gt;0,S139*資金模擬!$B$7/R139,0)</f>
        <v/>
      </c>
      <c r="Z139" s="2">
        <f>IF(OR(Z138=1,R139&lt;=資金模擬!$B$10),1,0)</f>
        <v/>
      </c>
    </row>
    <row r="140">
      <c r="A140" s="2" t="n">
        <v>138</v>
      </c>
      <c r="B140" s="7" t="n">
        <v>46271.29166666666</v>
      </c>
      <c r="C140" s="2" t="inlineStr">
        <is>
          <t>出場</t>
        </is>
      </c>
      <c r="D140" s="2" t="n">
        <v>71</v>
      </c>
      <c r="E140" s="2" t="inlineStr">
        <is>
          <t>AKE_USDT_PERP</t>
        </is>
      </c>
      <c r="F140" s="2" t="inlineStr">
        <is>
          <t>做多</t>
        </is>
      </c>
      <c r="G140" s="20" t="n">
        <v>0.019459</v>
      </c>
      <c r="H140" s="20" t="n">
        <v>0.02004277</v>
      </c>
      <c r="I140" s="20" t="n">
        <v>0.01848605</v>
      </c>
      <c r="J140" s="20" t="n">
        <v>0.01848605</v>
      </c>
      <c r="K140" s="2" t="inlineStr">
        <is>
          <t>止損</t>
        </is>
      </c>
      <c r="L140" s="5">
        <f>交易明細!K72</f>
        <v/>
      </c>
      <c r="M140" s="19">
        <f>M137</f>
        <v/>
      </c>
      <c r="N140" s="2">
        <f>N137</f>
        <v/>
      </c>
      <c r="O140" s="19">
        <f>O137</f>
        <v/>
      </c>
      <c r="P140" s="4">
        <f>交易明細!L72</f>
        <v/>
      </c>
      <c r="Q140" s="13">
        <f>IF(N140="已下單",O140*P140,0)</f>
        <v/>
      </c>
      <c r="R140" s="13">
        <f>R139+Q140</f>
        <v/>
      </c>
      <c r="S140" s="19">
        <f>S139-IF(N140="已下單",M140,0)</f>
        <v/>
      </c>
      <c r="T140" s="19">
        <f>R140-S140</f>
        <v/>
      </c>
      <c r="U140" s="2">
        <f>U139-IF(N140="已下單",1,0)</f>
        <v/>
      </c>
      <c r="V140" s="19">
        <f>IF(資金模擬!$B$9=2,MAX(R140,0),MAX(V139,FLOOR(MAX(R140,0),資金模擬!$B$6)))</f>
        <v/>
      </c>
      <c r="W140" s="13">
        <f>MAX(W139,R140)</f>
        <v/>
      </c>
      <c r="X140" s="4">
        <f>IF(W140&gt;0,R140/W140-1,-1)</f>
        <v/>
      </c>
      <c r="Y140" s="19">
        <f>IF(R140&gt;0,S140*資金模擬!$B$7/R140,0)</f>
        <v/>
      </c>
      <c r="Z140" s="2">
        <f>IF(OR(Z139=1,R140&lt;=資金模擬!$B$10),1,0)</f>
        <v/>
      </c>
    </row>
    <row r="141">
      <c r="A141" s="2" t="n">
        <v>139</v>
      </c>
      <c r="B141" s="7" t="n">
        <v>46271.29166666666</v>
      </c>
      <c r="C141" s="2" t="inlineStr">
        <is>
          <t>出場</t>
        </is>
      </c>
      <c r="D141" s="2" t="n">
        <v>72</v>
      </c>
      <c r="E141" s="2" t="inlineStr">
        <is>
          <t>牛来_USDT_PERP</t>
        </is>
      </c>
      <c r="F141" s="2" t="inlineStr">
        <is>
          <t>做多</t>
        </is>
      </c>
      <c r="G141" s="20" t="n">
        <v>0.11871</v>
      </c>
      <c r="H141" s="20" t="n">
        <v>0.1222713</v>
      </c>
      <c r="I141" s="20" t="n">
        <v>0.1127745</v>
      </c>
      <c r="J141" s="20" t="n">
        <v>0.1222713</v>
      </c>
      <c r="K141" s="2" t="inlineStr">
        <is>
          <t>止盈</t>
        </is>
      </c>
      <c r="L141" s="5">
        <f>交易明細!K73</f>
        <v/>
      </c>
      <c r="M141" s="19">
        <f>M139</f>
        <v/>
      </c>
      <c r="N141" s="2">
        <f>N139</f>
        <v/>
      </c>
      <c r="O141" s="19">
        <f>O139</f>
        <v/>
      </c>
      <c r="P141" s="4">
        <f>交易明細!L73</f>
        <v/>
      </c>
      <c r="Q141" s="13">
        <f>IF(N141="已下單",O141*P141,0)</f>
        <v/>
      </c>
      <c r="R141" s="13">
        <f>R140+Q141</f>
        <v/>
      </c>
      <c r="S141" s="19">
        <f>S140-IF(N141="已下單",M141,0)</f>
        <v/>
      </c>
      <c r="T141" s="19">
        <f>R141-S141</f>
        <v/>
      </c>
      <c r="U141" s="2">
        <f>U140-IF(N141="已下單",1,0)</f>
        <v/>
      </c>
      <c r="V141" s="19">
        <f>IF(資金模擬!$B$9=2,MAX(R141,0),MAX(V140,FLOOR(MAX(R141,0),資金模擬!$B$6)))</f>
        <v/>
      </c>
      <c r="W141" s="13">
        <f>MAX(W140,R141)</f>
        <v/>
      </c>
      <c r="X141" s="4">
        <f>IF(W141&gt;0,R141/W141-1,-1)</f>
        <v/>
      </c>
      <c r="Y141" s="19">
        <f>IF(R141&gt;0,S141*資金模擬!$B$7/R141,0)</f>
        <v/>
      </c>
      <c r="Z141" s="2">
        <f>IF(OR(Z140=1,R141&lt;=資金模擬!$B$10),1,0)</f>
        <v/>
      </c>
    </row>
    <row r="142">
      <c r="A142" s="2" t="n">
        <v>140</v>
      </c>
      <c r="B142" s="7" t="n">
        <v>46271.375</v>
      </c>
      <c r="C142" s="2" t="inlineStr">
        <is>
          <t>出場</t>
        </is>
      </c>
      <c r="D142" s="2" t="n">
        <v>52</v>
      </c>
      <c r="E142" s="2" t="inlineStr">
        <is>
          <t>PENGU_USDT_PERP</t>
        </is>
      </c>
      <c r="F142" s="2" t="inlineStr">
        <is>
          <t>做空</t>
        </is>
      </c>
      <c r="G142" s="20" t="n">
        <v>0.008347</v>
      </c>
      <c r="H142" s="20" t="n">
        <v>0.008096590000000001</v>
      </c>
      <c r="I142" s="20" t="n">
        <v>0.008764350000000001</v>
      </c>
      <c r="J142" s="20" t="n">
        <v>0.008764350000000001</v>
      </c>
      <c r="K142" s="2" t="inlineStr">
        <is>
          <t>止損</t>
        </is>
      </c>
      <c r="L142" s="5">
        <f>交易明細!K53</f>
        <v/>
      </c>
      <c r="M142" s="19">
        <f>M103</f>
        <v/>
      </c>
      <c r="N142" s="2">
        <f>N103</f>
        <v/>
      </c>
      <c r="O142" s="19">
        <f>O103</f>
        <v/>
      </c>
      <c r="P142" s="4">
        <f>交易明細!L53</f>
        <v/>
      </c>
      <c r="Q142" s="13">
        <f>IF(N142="已下單",O142*P142,0)</f>
        <v/>
      </c>
      <c r="R142" s="13">
        <f>R141+Q142</f>
        <v/>
      </c>
      <c r="S142" s="19">
        <f>S141-IF(N142="已下單",M142,0)</f>
        <v/>
      </c>
      <c r="T142" s="19">
        <f>R142-S142</f>
        <v/>
      </c>
      <c r="U142" s="2">
        <f>U141-IF(N142="已下單",1,0)</f>
        <v/>
      </c>
      <c r="V142" s="19">
        <f>IF(資金模擬!$B$9=2,MAX(R142,0),MAX(V141,FLOOR(MAX(R142,0),資金模擬!$B$6)))</f>
        <v/>
      </c>
      <c r="W142" s="13">
        <f>MAX(W141,R142)</f>
        <v/>
      </c>
      <c r="X142" s="4">
        <f>IF(W142&gt;0,R142/W142-1,-1)</f>
        <v/>
      </c>
      <c r="Y142" s="19">
        <f>IF(R142&gt;0,S142*資金模擬!$B$7/R142,0)</f>
        <v/>
      </c>
      <c r="Z142" s="2">
        <f>IF(OR(Z141=1,R142&lt;=資金模擬!$B$10),1,0)</f>
        <v/>
      </c>
    </row>
    <row r="143">
      <c r="A143" s="2" t="n">
        <v>141</v>
      </c>
      <c r="B143" s="7" t="n">
        <v>46271.45833333334</v>
      </c>
      <c r="C143" s="2" t="inlineStr">
        <is>
          <t>進場</t>
        </is>
      </c>
      <c r="D143" s="2" t="n">
        <v>73</v>
      </c>
      <c r="E143" s="2" t="inlineStr">
        <is>
          <t>DASH_USDT_PERP</t>
        </is>
      </c>
      <c r="F143" s="2" t="inlineStr">
        <is>
          <t>做多</t>
        </is>
      </c>
      <c r="G143" s="20" t="n">
        <v>69.19</v>
      </c>
      <c r="H143" s="20" t="n">
        <v>71.2657</v>
      </c>
      <c r="I143" s="20" t="n">
        <v>65.73049999999999</v>
      </c>
      <c r="J143" s="20" t="n"/>
      <c r="K143" s="2" t="n"/>
      <c r="L143" s="5" t="n"/>
      <c r="M143" s="19">
        <f>資金模擬!$B$5*V142</f>
        <v/>
      </c>
      <c r="N143" s="2">
        <f>IF(Z142=1,"已停止",IF(T142&gt;=M143,"已下單","資金不足略過"))</f>
        <v/>
      </c>
      <c r="O143" s="19">
        <f>IF(N143="已下單",M143*資金模擬!$B$7,0)</f>
        <v/>
      </c>
      <c r="P143" s="4" t="n"/>
      <c r="Q143" s="13" t="n">
        <v>0</v>
      </c>
      <c r="R143" s="13">
        <f>R142+Q143</f>
        <v/>
      </c>
      <c r="S143" s="19">
        <f>S142+IF(N143="已下單",M143,0)</f>
        <v/>
      </c>
      <c r="T143" s="19">
        <f>R143-S143</f>
        <v/>
      </c>
      <c r="U143" s="2">
        <f>U142+IF(N143="已下單",1,0)</f>
        <v/>
      </c>
      <c r="V143" s="19">
        <f>IF(資金模擬!$B$9=2,MAX(R143,0),MAX(V142,FLOOR(MAX(R143,0),資金模擬!$B$6)))</f>
        <v/>
      </c>
      <c r="W143" s="13">
        <f>MAX(W142,R143)</f>
        <v/>
      </c>
      <c r="X143" s="4">
        <f>IF(W143&gt;0,R143/W143-1,-1)</f>
        <v/>
      </c>
      <c r="Y143" s="19">
        <f>IF(R143&gt;0,S143*資金模擬!$B$7/R143,0)</f>
        <v/>
      </c>
      <c r="Z143" s="2">
        <f>IF(OR(Z142=1,R143&lt;=資金模擬!$B$10),1,0)</f>
        <v/>
      </c>
    </row>
    <row r="144">
      <c r="A144" s="2" t="n">
        <v>142</v>
      </c>
      <c r="B144" s="7" t="n">
        <v>46271.5</v>
      </c>
      <c r="C144" s="2" t="inlineStr">
        <is>
          <t>進場</t>
        </is>
      </c>
      <c r="D144" s="2" t="n">
        <v>74</v>
      </c>
      <c r="E144" s="2" t="inlineStr">
        <is>
          <t>HEMI_USDT_PERP</t>
        </is>
      </c>
      <c r="F144" s="2" t="inlineStr">
        <is>
          <t>做空</t>
        </is>
      </c>
      <c r="G144" s="20" t="n">
        <v>0.01166</v>
      </c>
      <c r="H144" s="20" t="n">
        <v>0.0113102</v>
      </c>
      <c r="I144" s="20" t="n">
        <v>0.012243</v>
      </c>
      <c r="J144" s="20" t="n"/>
      <c r="K144" s="2" t="n"/>
      <c r="L144" s="5" t="n"/>
      <c r="M144" s="19">
        <f>資金模擬!$B$5*V143</f>
        <v/>
      </c>
      <c r="N144" s="2">
        <f>IF(Z143=1,"已停止",IF(T143&gt;=M144,"已下單","資金不足略過"))</f>
        <v/>
      </c>
      <c r="O144" s="19">
        <f>IF(N144="已下單",M144*資金模擬!$B$7,0)</f>
        <v/>
      </c>
      <c r="P144" s="4" t="n"/>
      <c r="Q144" s="13" t="n">
        <v>0</v>
      </c>
      <c r="R144" s="13">
        <f>R143+Q144</f>
        <v/>
      </c>
      <c r="S144" s="19">
        <f>S143+IF(N144="已下單",M144,0)</f>
        <v/>
      </c>
      <c r="T144" s="19">
        <f>R144-S144</f>
        <v/>
      </c>
      <c r="U144" s="2">
        <f>U143+IF(N144="已下單",1,0)</f>
        <v/>
      </c>
      <c r="V144" s="19">
        <f>IF(資金模擬!$B$9=2,MAX(R144,0),MAX(V143,FLOOR(MAX(R144,0),資金模擬!$B$6)))</f>
        <v/>
      </c>
      <c r="W144" s="13">
        <f>MAX(W143,R144)</f>
        <v/>
      </c>
      <c r="X144" s="4">
        <f>IF(W144&gt;0,R144/W144-1,-1)</f>
        <v/>
      </c>
      <c r="Y144" s="19">
        <f>IF(R144&gt;0,S144*資金模擬!$B$7/R144,0)</f>
        <v/>
      </c>
      <c r="Z144" s="2">
        <f>IF(OR(Z143=1,R144&lt;=資金模擬!$B$10),1,0)</f>
        <v/>
      </c>
    </row>
    <row r="145">
      <c r="A145" s="2" t="n">
        <v>143</v>
      </c>
      <c r="B145" s="7" t="n">
        <v>46271.54166666666</v>
      </c>
      <c r="C145" s="2" t="inlineStr">
        <is>
          <t>出場</t>
        </is>
      </c>
      <c r="D145" s="2" t="n">
        <v>70</v>
      </c>
      <c r="E145" s="2" t="inlineStr">
        <is>
          <t>ZEN_USDT_PERP</t>
        </is>
      </c>
      <c r="F145" s="2" t="inlineStr">
        <is>
          <t>做空</t>
        </is>
      </c>
      <c r="G145" s="20" t="n">
        <v>6.91</v>
      </c>
      <c r="H145" s="20" t="n">
        <v>6.7027</v>
      </c>
      <c r="I145" s="20" t="n">
        <v>7.255500000000001</v>
      </c>
      <c r="J145" s="20" t="n">
        <v>7.255500000000001</v>
      </c>
      <c r="K145" s="2" t="inlineStr">
        <is>
          <t>止損</t>
        </is>
      </c>
      <c r="L145" s="5">
        <f>交易明細!K71</f>
        <v/>
      </c>
      <c r="M145" s="19">
        <f>M136</f>
        <v/>
      </c>
      <c r="N145" s="2">
        <f>N136</f>
        <v/>
      </c>
      <c r="O145" s="19">
        <f>O136</f>
        <v/>
      </c>
      <c r="P145" s="4">
        <f>交易明細!L71</f>
        <v/>
      </c>
      <c r="Q145" s="13">
        <f>IF(N145="已下單",O145*P145,0)</f>
        <v/>
      </c>
      <c r="R145" s="13">
        <f>R144+Q145</f>
        <v/>
      </c>
      <c r="S145" s="19">
        <f>S144-IF(N145="已下單",M145,0)</f>
        <v/>
      </c>
      <c r="T145" s="19">
        <f>R145-S145</f>
        <v/>
      </c>
      <c r="U145" s="2">
        <f>U144-IF(N145="已下單",1,0)</f>
        <v/>
      </c>
      <c r="V145" s="19">
        <f>IF(資金模擬!$B$9=2,MAX(R145,0),MAX(V144,FLOOR(MAX(R145,0),資金模擬!$B$6)))</f>
        <v/>
      </c>
      <c r="W145" s="13">
        <f>MAX(W144,R145)</f>
        <v/>
      </c>
      <c r="X145" s="4">
        <f>IF(W145&gt;0,R145/W145-1,-1)</f>
        <v/>
      </c>
      <c r="Y145" s="19">
        <f>IF(R145&gt;0,S145*資金模擬!$B$7/R145,0)</f>
        <v/>
      </c>
      <c r="Z145" s="2">
        <f>IF(OR(Z144=1,R145&lt;=資金模擬!$B$10),1,0)</f>
        <v/>
      </c>
    </row>
    <row r="146">
      <c r="A146" s="2" t="n">
        <v>144</v>
      </c>
      <c r="B146" s="7" t="n">
        <v>46271.54166666666</v>
      </c>
      <c r="C146" s="2" t="inlineStr">
        <is>
          <t>出場</t>
        </is>
      </c>
      <c r="D146" s="2" t="n">
        <v>73</v>
      </c>
      <c r="E146" s="2" t="inlineStr">
        <is>
          <t>DASH_USDT_PERP</t>
        </is>
      </c>
      <c r="F146" s="2" t="inlineStr">
        <is>
          <t>做多</t>
        </is>
      </c>
      <c r="G146" s="20" t="n">
        <v>69.19</v>
      </c>
      <c r="H146" s="20" t="n">
        <v>71.2657</v>
      </c>
      <c r="I146" s="20" t="n">
        <v>65.73049999999999</v>
      </c>
      <c r="J146" s="20" t="n">
        <v>71.2657</v>
      </c>
      <c r="K146" s="2" t="inlineStr">
        <is>
          <t>止盈</t>
        </is>
      </c>
      <c r="L146" s="5">
        <f>交易明細!K74</f>
        <v/>
      </c>
      <c r="M146" s="19">
        <f>M143</f>
        <v/>
      </c>
      <c r="N146" s="2">
        <f>N143</f>
        <v/>
      </c>
      <c r="O146" s="19">
        <f>O143</f>
        <v/>
      </c>
      <c r="P146" s="4">
        <f>交易明細!L74</f>
        <v/>
      </c>
      <c r="Q146" s="13">
        <f>IF(N146="已下單",O146*P146,0)</f>
        <v/>
      </c>
      <c r="R146" s="13">
        <f>R145+Q146</f>
        <v/>
      </c>
      <c r="S146" s="19">
        <f>S145-IF(N146="已下單",M146,0)</f>
        <v/>
      </c>
      <c r="T146" s="19">
        <f>R146-S146</f>
        <v/>
      </c>
      <c r="U146" s="2">
        <f>U145-IF(N146="已下單",1,0)</f>
        <v/>
      </c>
      <c r="V146" s="19">
        <f>IF(資金模擬!$B$9=2,MAX(R146,0),MAX(V145,FLOOR(MAX(R146,0),資金模擬!$B$6)))</f>
        <v/>
      </c>
      <c r="W146" s="13">
        <f>MAX(W145,R146)</f>
        <v/>
      </c>
      <c r="X146" s="4">
        <f>IF(W146&gt;0,R146/W146-1,-1)</f>
        <v/>
      </c>
      <c r="Y146" s="19">
        <f>IF(R146&gt;0,S146*資金模擬!$B$7/R146,0)</f>
        <v/>
      </c>
      <c r="Z146" s="2">
        <f>IF(OR(Z145=1,R146&lt;=資金模擬!$B$10),1,0)</f>
        <v/>
      </c>
    </row>
    <row r="147">
      <c r="A147" s="2" t="n">
        <v>145</v>
      </c>
      <c r="B147" s="7" t="n">
        <v>46271.54166666666</v>
      </c>
      <c r="C147" s="2" t="inlineStr">
        <is>
          <t>出場</t>
        </is>
      </c>
      <c r="D147" s="2" t="n">
        <v>74</v>
      </c>
      <c r="E147" s="2" t="inlineStr">
        <is>
          <t>HEMI_USDT_PERP</t>
        </is>
      </c>
      <c r="F147" s="2" t="inlineStr">
        <is>
          <t>做空</t>
        </is>
      </c>
      <c r="G147" s="20" t="n">
        <v>0.01166</v>
      </c>
      <c r="H147" s="20" t="n">
        <v>0.0113102</v>
      </c>
      <c r="I147" s="20" t="n">
        <v>0.012243</v>
      </c>
      <c r="J147" s="20" t="n">
        <v>0.0113102</v>
      </c>
      <c r="K147" s="2" t="inlineStr">
        <is>
          <t>止盈</t>
        </is>
      </c>
      <c r="L147" s="5">
        <f>交易明細!K75</f>
        <v/>
      </c>
      <c r="M147" s="19">
        <f>M144</f>
        <v/>
      </c>
      <c r="N147" s="2">
        <f>N144</f>
        <v/>
      </c>
      <c r="O147" s="19">
        <f>O144</f>
        <v/>
      </c>
      <c r="P147" s="4">
        <f>交易明細!L75</f>
        <v/>
      </c>
      <c r="Q147" s="13">
        <f>IF(N147="已下單",O147*P147,0)</f>
        <v/>
      </c>
      <c r="R147" s="13">
        <f>R146+Q147</f>
        <v/>
      </c>
      <c r="S147" s="19">
        <f>S146-IF(N147="已下單",M147,0)</f>
        <v/>
      </c>
      <c r="T147" s="19">
        <f>R147-S147</f>
        <v/>
      </c>
      <c r="U147" s="2">
        <f>U146-IF(N147="已下單",1,0)</f>
        <v/>
      </c>
      <c r="V147" s="19">
        <f>IF(資金模擬!$B$9=2,MAX(R147,0),MAX(V146,FLOOR(MAX(R147,0),資金模擬!$B$6)))</f>
        <v/>
      </c>
      <c r="W147" s="13">
        <f>MAX(W146,R147)</f>
        <v/>
      </c>
      <c r="X147" s="4">
        <f>IF(W147&gt;0,R147/W147-1,-1)</f>
        <v/>
      </c>
      <c r="Y147" s="19">
        <f>IF(R147&gt;0,S147*資金模擬!$B$7/R147,0)</f>
        <v/>
      </c>
      <c r="Z147" s="2">
        <f>IF(OR(Z146=1,R147&lt;=資金模擬!$B$10),1,0)</f>
        <v/>
      </c>
    </row>
    <row r="148">
      <c r="A148" s="2" t="n">
        <v>146</v>
      </c>
      <c r="B148" s="7" t="n">
        <v>46271.58333333334</v>
      </c>
      <c r="C148" s="2" t="inlineStr">
        <is>
          <t>進場</t>
        </is>
      </c>
      <c r="D148" s="2" t="n">
        <v>75</v>
      </c>
      <c r="E148" s="2" t="inlineStr">
        <is>
          <t>HEMI_USDT_PERP</t>
        </is>
      </c>
      <c r="F148" s="2" t="inlineStr">
        <is>
          <t>做空</t>
        </is>
      </c>
      <c r="G148" s="20" t="n">
        <v>0.01128</v>
      </c>
      <c r="H148" s="20" t="n">
        <v>0.0109416</v>
      </c>
      <c r="I148" s="20" t="n">
        <v>0.011844</v>
      </c>
      <c r="J148" s="20" t="n"/>
      <c r="K148" s="2" t="n"/>
      <c r="L148" s="5" t="n"/>
      <c r="M148" s="19">
        <f>資金模擬!$B$5*V147</f>
        <v/>
      </c>
      <c r="N148" s="2">
        <f>IF(Z147=1,"已停止",IF(T147&gt;=M148,"已下單","資金不足略過"))</f>
        <v/>
      </c>
      <c r="O148" s="19">
        <f>IF(N148="已下單",M148*資金模擬!$B$7,0)</f>
        <v/>
      </c>
      <c r="P148" s="4" t="n"/>
      <c r="Q148" s="13" t="n">
        <v>0</v>
      </c>
      <c r="R148" s="13">
        <f>R147+Q148</f>
        <v/>
      </c>
      <c r="S148" s="19">
        <f>S147+IF(N148="已下單",M148,0)</f>
        <v/>
      </c>
      <c r="T148" s="19">
        <f>R148-S148</f>
        <v/>
      </c>
      <c r="U148" s="2">
        <f>U147+IF(N148="已下單",1,0)</f>
        <v/>
      </c>
      <c r="V148" s="19">
        <f>IF(資金模擬!$B$9=2,MAX(R148,0),MAX(V147,FLOOR(MAX(R148,0),資金模擬!$B$6)))</f>
        <v/>
      </c>
      <c r="W148" s="13">
        <f>MAX(W147,R148)</f>
        <v/>
      </c>
      <c r="X148" s="4">
        <f>IF(W148&gt;0,R148/W148-1,-1)</f>
        <v/>
      </c>
      <c r="Y148" s="19">
        <f>IF(R148&gt;0,S148*資金模擬!$B$7/R148,0)</f>
        <v/>
      </c>
      <c r="Z148" s="2">
        <f>IF(OR(Z147=1,R148&lt;=資金模擬!$B$10),1,0)</f>
        <v/>
      </c>
    </row>
    <row r="149">
      <c r="A149" s="2" t="n">
        <v>147</v>
      </c>
      <c r="B149" s="7" t="n">
        <v>46271.66666666666</v>
      </c>
      <c r="C149" s="2" t="inlineStr">
        <is>
          <t>進場</t>
        </is>
      </c>
      <c r="D149" s="2" t="n">
        <v>76</v>
      </c>
      <c r="E149" s="2" t="inlineStr">
        <is>
          <t>PONS_USDT_PERP</t>
        </is>
      </c>
      <c r="F149" s="2" t="inlineStr">
        <is>
          <t>做多</t>
        </is>
      </c>
      <c r="G149" s="20" t="n">
        <v>0.9263</v>
      </c>
      <c r="H149" s="20" t="n">
        <v>0.9540890000000001</v>
      </c>
      <c r="I149" s="20" t="n">
        <v>0.879985</v>
      </c>
      <c r="J149" s="20" t="n"/>
      <c r="K149" s="2" t="n"/>
      <c r="L149" s="5" t="n"/>
      <c r="M149" s="19">
        <f>資金模擬!$B$5*V148</f>
        <v/>
      </c>
      <c r="N149" s="2">
        <f>IF(Z148=1,"已停止",IF(T148&gt;=M149,"已下單","資金不足略過"))</f>
        <v/>
      </c>
      <c r="O149" s="19">
        <f>IF(N149="已下單",M149*資金模擬!$B$7,0)</f>
        <v/>
      </c>
      <c r="P149" s="4" t="n"/>
      <c r="Q149" s="13" t="n">
        <v>0</v>
      </c>
      <c r="R149" s="13">
        <f>R148+Q149</f>
        <v/>
      </c>
      <c r="S149" s="19">
        <f>S148+IF(N149="已下單",M149,0)</f>
        <v/>
      </c>
      <c r="T149" s="19">
        <f>R149-S149</f>
        <v/>
      </c>
      <c r="U149" s="2">
        <f>U148+IF(N149="已下單",1,0)</f>
        <v/>
      </c>
      <c r="V149" s="19">
        <f>IF(資金模擬!$B$9=2,MAX(R149,0),MAX(V148,FLOOR(MAX(R149,0),資金模擬!$B$6)))</f>
        <v/>
      </c>
      <c r="W149" s="13">
        <f>MAX(W148,R149)</f>
        <v/>
      </c>
      <c r="X149" s="4">
        <f>IF(W149&gt;0,R149/W149-1,-1)</f>
        <v/>
      </c>
      <c r="Y149" s="19">
        <f>IF(R149&gt;0,S149*資金模擬!$B$7/R149,0)</f>
        <v/>
      </c>
      <c r="Z149" s="2">
        <f>IF(OR(Z148=1,R149&lt;=資金模擬!$B$10),1,0)</f>
        <v/>
      </c>
    </row>
    <row r="150">
      <c r="A150" s="2" t="n">
        <v>148</v>
      </c>
      <c r="B150" s="7" t="n">
        <v>46271.70833333334</v>
      </c>
      <c r="C150" s="2" t="inlineStr">
        <is>
          <t>出場</t>
        </is>
      </c>
      <c r="D150" s="2" t="n">
        <v>69</v>
      </c>
      <c r="E150" s="2" t="inlineStr">
        <is>
          <t>NEAR_USDT_PERP</t>
        </is>
      </c>
      <c r="F150" s="2" t="inlineStr">
        <is>
          <t>做多</t>
        </is>
      </c>
      <c r="G150" s="20" t="n">
        <v>2.251</v>
      </c>
      <c r="H150" s="20" t="n">
        <v>2.31853</v>
      </c>
      <c r="I150" s="20" t="n">
        <v>2.13845</v>
      </c>
      <c r="J150" s="20" t="n">
        <v>2.31853</v>
      </c>
      <c r="K150" s="2" t="inlineStr">
        <is>
          <t>止盈</t>
        </is>
      </c>
      <c r="L150" s="5">
        <f>交易明細!K70</f>
        <v/>
      </c>
      <c r="M150" s="19">
        <f>M135</f>
        <v/>
      </c>
      <c r="N150" s="2">
        <f>N135</f>
        <v/>
      </c>
      <c r="O150" s="19">
        <f>O135</f>
        <v/>
      </c>
      <c r="P150" s="4">
        <f>交易明細!L70</f>
        <v/>
      </c>
      <c r="Q150" s="13">
        <f>IF(N150="已下單",O150*P150,0)</f>
        <v/>
      </c>
      <c r="R150" s="13">
        <f>R149+Q150</f>
        <v/>
      </c>
      <c r="S150" s="19">
        <f>S149-IF(N150="已下單",M150,0)</f>
        <v/>
      </c>
      <c r="T150" s="19">
        <f>R150-S150</f>
        <v/>
      </c>
      <c r="U150" s="2">
        <f>U149-IF(N150="已下單",1,0)</f>
        <v/>
      </c>
      <c r="V150" s="19">
        <f>IF(資金模擬!$B$9=2,MAX(R150,0),MAX(V149,FLOOR(MAX(R150,0),資金模擬!$B$6)))</f>
        <v/>
      </c>
      <c r="W150" s="13">
        <f>MAX(W149,R150)</f>
        <v/>
      </c>
      <c r="X150" s="4">
        <f>IF(W150&gt;0,R150/W150-1,-1)</f>
        <v/>
      </c>
      <c r="Y150" s="19">
        <f>IF(R150&gt;0,S150*資金模擬!$B$7/R150,0)</f>
        <v/>
      </c>
      <c r="Z150" s="2">
        <f>IF(OR(Z149=1,R150&lt;=資金模擬!$B$10),1,0)</f>
        <v/>
      </c>
    </row>
    <row r="151">
      <c r="A151" s="2" t="n">
        <v>149</v>
      </c>
      <c r="B151" s="7" t="n">
        <v>46271.75</v>
      </c>
      <c r="C151" s="2" t="inlineStr">
        <is>
          <t>出場</t>
        </is>
      </c>
      <c r="D151" s="2" t="n">
        <v>63</v>
      </c>
      <c r="E151" s="2" t="inlineStr">
        <is>
          <t>LIT_USDT_PERP</t>
        </is>
      </c>
      <c r="F151" s="2" t="inlineStr">
        <is>
          <t>做多</t>
        </is>
      </c>
      <c r="G151" s="20" t="n">
        <v>4.817</v>
      </c>
      <c r="H151" s="20" t="n">
        <v>4.961510000000001</v>
      </c>
      <c r="I151" s="20" t="n">
        <v>4.57615</v>
      </c>
      <c r="J151" s="20" t="n">
        <v>4.57615</v>
      </c>
      <c r="K151" s="2" t="inlineStr">
        <is>
          <t>止損</t>
        </is>
      </c>
      <c r="L151" s="5">
        <f>交易明細!K64</f>
        <v/>
      </c>
      <c r="M151" s="19">
        <f>M122</f>
        <v/>
      </c>
      <c r="N151" s="2">
        <f>N122</f>
        <v/>
      </c>
      <c r="O151" s="19">
        <f>O122</f>
        <v/>
      </c>
      <c r="P151" s="4">
        <f>交易明細!L64</f>
        <v/>
      </c>
      <c r="Q151" s="13">
        <f>IF(N151="已下單",O151*P151,0)</f>
        <v/>
      </c>
      <c r="R151" s="13">
        <f>R150+Q151</f>
        <v/>
      </c>
      <c r="S151" s="19">
        <f>S150-IF(N151="已下單",M151,0)</f>
        <v/>
      </c>
      <c r="T151" s="19">
        <f>R151-S151</f>
        <v/>
      </c>
      <c r="U151" s="2">
        <f>U150-IF(N151="已下單",1,0)</f>
        <v/>
      </c>
      <c r="V151" s="19">
        <f>IF(資金模擬!$B$9=2,MAX(R151,0),MAX(V150,FLOOR(MAX(R151,0),資金模擬!$B$6)))</f>
        <v/>
      </c>
      <c r="W151" s="13">
        <f>MAX(W150,R151)</f>
        <v/>
      </c>
      <c r="X151" s="4">
        <f>IF(W151&gt;0,R151/W151-1,-1)</f>
        <v/>
      </c>
      <c r="Y151" s="19">
        <f>IF(R151&gt;0,S151*資金模擬!$B$7/R151,0)</f>
        <v/>
      </c>
      <c r="Z151" s="2">
        <f>IF(OR(Z150=1,R151&lt;=資金模擬!$B$10),1,0)</f>
        <v/>
      </c>
    </row>
    <row r="152">
      <c r="A152" s="2" t="n">
        <v>150</v>
      </c>
      <c r="B152" s="7" t="n">
        <v>46271.75</v>
      </c>
      <c r="C152" s="2" t="inlineStr">
        <is>
          <t>出場</t>
        </is>
      </c>
      <c r="D152" s="2" t="n">
        <v>75</v>
      </c>
      <c r="E152" s="2" t="inlineStr">
        <is>
          <t>HEMI_USDT_PERP</t>
        </is>
      </c>
      <c r="F152" s="2" t="inlineStr">
        <is>
          <t>做空</t>
        </is>
      </c>
      <c r="G152" s="20" t="n">
        <v>0.01128</v>
      </c>
      <c r="H152" s="20" t="n">
        <v>0.0109416</v>
      </c>
      <c r="I152" s="20" t="n">
        <v>0.011844</v>
      </c>
      <c r="J152" s="20" t="n">
        <v>0.011844</v>
      </c>
      <c r="K152" s="2" t="inlineStr">
        <is>
          <t>止損</t>
        </is>
      </c>
      <c r="L152" s="5">
        <f>交易明細!K76</f>
        <v/>
      </c>
      <c r="M152" s="19">
        <f>M148</f>
        <v/>
      </c>
      <c r="N152" s="2">
        <f>N148</f>
        <v/>
      </c>
      <c r="O152" s="19">
        <f>O148</f>
        <v/>
      </c>
      <c r="P152" s="4">
        <f>交易明細!L76</f>
        <v/>
      </c>
      <c r="Q152" s="13">
        <f>IF(N152="已下單",O152*P152,0)</f>
        <v/>
      </c>
      <c r="R152" s="13">
        <f>R151+Q152</f>
        <v/>
      </c>
      <c r="S152" s="19">
        <f>S151-IF(N152="已下單",M152,0)</f>
        <v/>
      </c>
      <c r="T152" s="19">
        <f>R152-S152</f>
        <v/>
      </c>
      <c r="U152" s="2">
        <f>U151-IF(N152="已下單",1,0)</f>
        <v/>
      </c>
      <c r="V152" s="19">
        <f>IF(資金模擬!$B$9=2,MAX(R152,0),MAX(V151,FLOOR(MAX(R152,0),資金模擬!$B$6)))</f>
        <v/>
      </c>
      <c r="W152" s="13">
        <f>MAX(W151,R152)</f>
        <v/>
      </c>
      <c r="X152" s="4">
        <f>IF(W152&gt;0,R152/W152-1,-1)</f>
        <v/>
      </c>
      <c r="Y152" s="19">
        <f>IF(R152&gt;0,S152*資金模擬!$B$7/R152,0)</f>
        <v/>
      </c>
      <c r="Z152" s="2">
        <f>IF(OR(Z151=1,R152&lt;=資金模擬!$B$10),1,0)</f>
        <v/>
      </c>
    </row>
    <row r="153">
      <c r="A153" s="2" t="n">
        <v>151</v>
      </c>
      <c r="B153" s="7" t="n">
        <v>46271.75</v>
      </c>
      <c r="C153" s="2" t="inlineStr">
        <is>
          <t>進場</t>
        </is>
      </c>
      <c r="D153" s="2" t="n">
        <v>77</v>
      </c>
      <c r="E153" s="2" t="inlineStr">
        <is>
          <t>UAI_USDT_PERP</t>
        </is>
      </c>
      <c r="F153" s="2" t="inlineStr">
        <is>
          <t>做空</t>
        </is>
      </c>
      <c r="G153" s="20" t="n">
        <v>0.5347</v>
      </c>
      <c r="H153" s="20" t="n">
        <v>0.518659</v>
      </c>
      <c r="I153" s="20" t="n">
        <v>0.561435</v>
      </c>
      <c r="J153" s="20" t="n"/>
      <c r="K153" s="2" t="n"/>
      <c r="L153" s="5" t="n"/>
      <c r="M153" s="19">
        <f>資金模擬!$B$5*V152</f>
        <v/>
      </c>
      <c r="N153" s="2">
        <f>IF(Z152=1,"已停止",IF(T152&gt;=M153,"已下單","資金不足略過"))</f>
        <v/>
      </c>
      <c r="O153" s="19">
        <f>IF(N153="已下單",M153*資金模擬!$B$7,0)</f>
        <v/>
      </c>
      <c r="P153" s="4" t="n"/>
      <c r="Q153" s="13" t="n">
        <v>0</v>
      </c>
      <c r="R153" s="13">
        <f>R152+Q153</f>
        <v/>
      </c>
      <c r="S153" s="19">
        <f>S152+IF(N153="已下單",M153,0)</f>
        <v/>
      </c>
      <c r="T153" s="19">
        <f>R153-S153</f>
        <v/>
      </c>
      <c r="U153" s="2">
        <f>U152+IF(N153="已下單",1,0)</f>
        <v/>
      </c>
      <c r="V153" s="19">
        <f>IF(資金模擬!$B$9=2,MAX(R153,0),MAX(V152,FLOOR(MAX(R153,0),資金模擬!$B$6)))</f>
        <v/>
      </c>
      <c r="W153" s="13">
        <f>MAX(W152,R153)</f>
        <v/>
      </c>
      <c r="X153" s="4">
        <f>IF(W153&gt;0,R153/W153-1,-1)</f>
        <v/>
      </c>
      <c r="Y153" s="19">
        <f>IF(R153&gt;0,S153*資金模擬!$B$7/R153,0)</f>
        <v/>
      </c>
      <c r="Z153" s="2">
        <f>IF(OR(Z152=1,R153&lt;=資金模擬!$B$10),1,0)</f>
        <v/>
      </c>
    </row>
    <row r="154">
      <c r="A154" s="2" t="n">
        <v>152</v>
      </c>
      <c r="B154" s="7" t="n">
        <v>46271.83333333334</v>
      </c>
      <c r="C154" s="2" t="inlineStr">
        <is>
          <t>出場</t>
        </is>
      </c>
      <c r="D154" s="2" t="n">
        <v>76</v>
      </c>
      <c r="E154" s="2" t="inlineStr">
        <is>
          <t>PONS_USDT_PERP</t>
        </is>
      </c>
      <c r="F154" s="2" t="inlineStr">
        <is>
          <t>做多</t>
        </is>
      </c>
      <c r="G154" s="20" t="n">
        <v>0.9263</v>
      </c>
      <c r="H154" s="20" t="n">
        <v>0.9540890000000001</v>
      </c>
      <c r="I154" s="20" t="n">
        <v>0.879985</v>
      </c>
      <c r="J154" s="20" t="n">
        <v>0.9540890000000001</v>
      </c>
      <c r="K154" s="2" t="inlineStr">
        <is>
          <t>止盈</t>
        </is>
      </c>
      <c r="L154" s="5">
        <f>交易明細!K77</f>
        <v/>
      </c>
      <c r="M154" s="19">
        <f>M149</f>
        <v/>
      </c>
      <c r="N154" s="2">
        <f>N149</f>
        <v/>
      </c>
      <c r="O154" s="19">
        <f>O149</f>
        <v/>
      </c>
      <c r="P154" s="4">
        <f>交易明細!L77</f>
        <v/>
      </c>
      <c r="Q154" s="13">
        <f>IF(N154="已下單",O154*P154,0)</f>
        <v/>
      </c>
      <c r="R154" s="13">
        <f>R153+Q154</f>
        <v/>
      </c>
      <c r="S154" s="19">
        <f>S153-IF(N154="已下單",M154,0)</f>
        <v/>
      </c>
      <c r="T154" s="19">
        <f>R154-S154</f>
        <v/>
      </c>
      <c r="U154" s="2">
        <f>U153-IF(N154="已下單",1,0)</f>
        <v/>
      </c>
      <c r="V154" s="19">
        <f>IF(資金模擬!$B$9=2,MAX(R154,0),MAX(V153,FLOOR(MAX(R154,0),資金模擬!$B$6)))</f>
        <v/>
      </c>
      <c r="W154" s="13">
        <f>MAX(W153,R154)</f>
        <v/>
      </c>
      <c r="X154" s="4">
        <f>IF(W154&gt;0,R154/W154-1,-1)</f>
        <v/>
      </c>
      <c r="Y154" s="19">
        <f>IF(R154&gt;0,S154*資金模擬!$B$7/R154,0)</f>
        <v/>
      </c>
      <c r="Z154" s="2">
        <f>IF(OR(Z153=1,R154&lt;=資金模擬!$B$10),1,0)</f>
        <v/>
      </c>
    </row>
    <row r="155">
      <c r="A155" s="2" t="n">
        <v>153</v>
      </c>
      <c r="B155" s="7" t="n">
        <v>46271.875</v>
      </c>
      <c r="C155" s="2" t="inlineStr">
        <is>
          <t>進場</t>
        </is>
      </c>
      <c r="D155" s="2" t="n">
        <v>78</v>
      </c>
      <c r="E155" s="2" t="inlineStr">
        <is>
          <t>LIT_USDT_PERP</t>
        </is>
      </c>
      <c r="F155" s="2" t="inlineStr">
        <is>
          <t>做空</t>
        </is>
      </c>
      <c r="G155" s="20" t="n">
        <v>4.533</v>
      </c>
      <c r="H155" s="20" t="n">
        <v>4.39701</v>
      </c>
      <c r="I155" s="20" t="n">
        <v>4.759650000000001</v>
      </c>
      <c r="J155" s="20" t="n"/>
      <c r="K155" s="2" t="n"/>
      <c r="L155" s="5" t="n"/>
      <c r="M155" s="19">
        <f>資金模擬!$B$5*V154</f>
        <v/>
      </c>
      <c r="N155" s="2">
        <f>IF(Z154=1,"已停止",IF(T154&gt;=M155,"已下單","資金不足略過"))</f>
        <v/>
      </c>
      <c r="O155" s="19">
        <f>IF(N155="已下單",M155*資金模擬!$B$7,0)</f>
        <v/>
      </c>
      <c r="P155" s="4" t="n"/>
      <c r="Q155" s="13" t="n">
        <v>0</v>
      </c>
      <c r="R155" s="13">
        <f>R154+Q155</f>
        <v/>
      </c>
      <c r="S155" s="19">
        <f>S154+IF(N155="已下單",M155,0)</f>
        <v/>
      </c>
      <c r="T155" s="19">
        <f>R155-S155</f>
        <v/>
      </c>
      <c r="U155" s="2">
        <f>U154+IF(N155="已下單",1,0)</f>
        <v/>
      </c>
      <c r="V155" s="19">
        <f>IF(資金模擬!$B$9=2,MAX(R155,0),MAX(V154,FLOOR(MAX(R155,0),資金模擬!$B$6)))</f>
        <v/>
      </c>
      <c r="W155" s="13">
        <f>MAX(W154,R155)</f>
        <v/>
      </c>
      <c r="X155" s="4">
        <f>IF(W155&gt;0,R155/W155-1,-1)</f>
        <v/>
      </c>
      <c r="Y155" s="19">
        <f>IF(R155&gt;0,S155*資金模擬!$B$7/R155,0)</f>
        <v/>
      </c>
      <c r="Z155" s="2">
        <f>IF(OR(Z154=1,R155&lt;=資金模擬!$B$10),1,0)</f>
        <v/>
      </c>
    </row>
    <row r="156">
      <c r="A156" s="2" t="n">
        <v>154</v>
      </c>
      <c r="B156" s="7" t="n">
        <v>46271.95833333334</v>
      </c>
      <c r="C156" s="2" t="inlineStr">
        <is>
          <t>出場</t>
        </is>
      </c>
      <c r="D156" s="2" t="n">
        <v>77</v>
      </c>
      <c r="E156" s="2" t="inlineStr">
        <is>
          <t>UAI_USDT_PERP</t>
        </is>
      </c>
      <c r="F156" s="2" t="inlineStr">
        <is>
          <t>做空</t>
        </is>
      </c>
      <c r="G156" s="20" t="n">
        <v>0.5347</v>
      </c>
      <c r="H156" s="20" t="n">
        <v>0.518659</v>
      </c>
      <c r="I156" s="20" t="n">
        <v>0.561435</v>
      </c>
      <c r="J156" s="20" t="n">
        <v>0.561435</v>
      </c>
      <c r="K156" s="2" t="inlineStr">
        <is>
          <t>止損</t>
        </is>
      </c>
      <c r="L156" s="5">
        <f>交易明細!K78</f>
        <v/>
      </c>
      <c r="M156" s="19">
        <f>M153</f>
        <v/>
      </c>
      <c r="N156" s="2">
        <f>N153</f>
        <v/>
      </c>
      <c r="O156" s="19">
        <f>O153</f>
        <v/>
      </c>
      <c r="P156" s="4">
        <f>交易明細!L78</f>
        <v/>
      </c>
      <c r="Q156" s="13">
        <f>IF(N156="已下單",O156*P156,0)</f>
        <v/>
      </c>
      <c r="R156" s="13">
        <f>R155+Q156</f>
        <v/>
      </c>
      <c r="S156" s="19">
        <f>S155-IF(N156="已下單",M156,0)</f>
        <v/>
      </c>
      <c r="T156" s="19">
        <f>R156-S156</f>
        <v/>
      </c>
      <c r="U156" s="2">
        <f>U155-IF(N156="已下單",1,0)</f>
        <v/>
      </c>
      <c r="V156" s="19">
        <f>IF(資金模擬!$B$9=2,MAX(R156,0),MAX(V155,FLOOR(MAX(R156,0),資金模擬!$B$6)))</f>
        <v/>
      </c>
      <c r="W156" s="13">
        <f>MAX(W155,R156)</f>
        <v/>
      </c>
      <c r="X156" s="4">
        <f>IF(W156&gt;0,R156/W156-1,-1)</f>
        <v/>
      </c>
      <c r="Y156" s="19">
        <f>IF(R156&gt;0,S156*資金模擬!$B$7/R156,0)</f>
        <v/>
      </c>
      <c r="Z156" s="2">
        <f>IF(OR(Z155=1,R156&lt;=資金模擬!$B$10),1,0)</f>
        <v/>
      </c>
    </row>
    <row r="157">
      <c r="A157" s="2" t="n">
        <v>155</v>
      </c>
      <c r="B157" s="7" t="n">
        <v>46271.95833333334</v>
      </c>
      <c r="C157" s="2" t="inlineStr">
        <is>
          <t>進場</t>
        </is>
      </c>
      <c r="D157" s="2" t="n">
        <v>79</v>
      </c>
      <c r="E157" s="2" t="inlineStr">
        <is>
          <t>ARB_USDT_PERP</t>
        </is>
      </c>
      <c r="F157" s="2" t="inlineStr">
        <is>
          <t>做空</t>
        </is>
      </c>
      <c r="G157" s="20" t="n">
        <v>0.1862</v>
      </c>
      <c r="H157" s="20" t="n">
        <v>0.180614</v>
      </c>
      <c r="I157" s="20" t="n">
        <v>0.19551</v>
      </c>
      <c r="J157" s="20" t="n"/>
      <c r="K157" s="2" t="n"/>
      <c r="L157" s="5" t="n"/>
      <c r="M157" s="19">
        <f>資金模擬!$B$5*V156</f>
        <v/>
      </c>
      <c r="N157" s="2">
        <f>IF(Z156=1,"已停止",IF(T156&gt;=M157,"已下單","資金不足略過"))</f>
        <v/>
      </c>
      <c r="O157" s="19">
        <f>IF(N157="已下單",M157*資金模擬!$B$7,0)</f>
        <v/>
      </c>
      <c r="P157" s="4" t="n"/>
      <c r="Q157" s="13" t="n">
        <v>0</v>
      </c>
      <c r="R157" s="13">
        <f>R156+Q157</f>
        <v/>
      </c>
      <c r="S157" s="19">
        <f>S156+IF(N157="已下單",M157,0)</f>
        <v/>
      </c>
      <c r="T157" s="19">
        <f>R157-S157</f>
        <v/>
      </c>
      <c r="U157" s="2">
        <f>U156+IF(N157="已下單",1,0)</f>
        <v/>
      </c>
      <c r="V157" s="19">
        <f>IF(資金模擬!$B$9=2,MAX(R157,0),MAX(V156,FLOOR(MAX(R157,0),資金模擬!$B$6)))</f>
        <v/>
      </c>
      <c r="W157" s="13">
        <f>MAX(W156,R157)</f>
        <v/>
      </c>
      <c r="X157" s="4">
        <f>IF(W157&gt;0,R157/W157-1,-1)</f>
        <v/>
      </c>
      <c r="Y157" s="19">
        <f>IF(R157&gt;0,S157*資金模擬!$B$7/R157,0)</f>
        <v/>
      </c>
      <c r="Z157" s="2">
        <f>IF(OR(Z156=1,R157&lt;=資金模擬!$B$10),1,0)</f>
        <v/>
      </c>
    </row>
    <row r="158">
      <c r="A158" s="2" t="n">
        <v>156</v>
      </c>
      <c r="B158" s="7" t="n">
        <v>46271.95833333334</v>
      </c>
      <c r="C158" s="2" t="inlineStr">
        <is>
          <t>進場</t>
        </is>
      </c>
      <c r="D158" s="2" t="n">
        <v>80</v>
      </c>
      <c r="E158" s="2" t="inlineStr">
        <is>
          <t>DASH_USDT_PERP</t>
        </is>
      </c>
      <c r="F158" s="2" t="inlineStr">
        <is>
          <t>做空</t>
        </is>
      </c>
      <c r="G158" s="20" t="n">
        <v>67.53</v>
      </c>
      <c r="H158" s="20" t="n">
        <v>65.50409999999999</v>
      </c>
      <c r="I158" s="20" t="n">
        <v>70.90650000000001</v>
      </c>
      <c r="J158" s="20" t="n"/>
      <c r="K158" s="2" t="n"/>
      <c r="L158" s="5" t="n"/>
      <c r="M158" s="19">
        <f>資金模擬!$B$5*V157</f>
        <v/>
      </c>
      <c r="N158" s="2">
        <f>IF(Z157=1,"已停止",IF(T157&gt;=M158,"已下單","資金不足略過"))</f>
        <v/>
      </c>
      <c r="O158" s="19">
        <f>IF(N158="已下單",M158*資金模擬!$B$7,0)</f>
        <v/>
      </c>
      <c r="P158" s="4" t="n"/>
      <c r="Q158" s="13" t="n">
        <v>0</v>
      </c>
      <c r="R158" s="13">
        <f>R157+Q158</f>
        <v/>
      </c>
      <c r="S158" s="19">
        <f>S157+IF(N158="已下單",M158,0)</f>
        <v/>
      </c>
      <c r="T158" s="19">
        <f>R158-S158</f>
        <v/>
      </c>
      <c r="U158" s="2">
        <f>U157+IF(N158="已下單",1,0)</f>
        <v/>
      </c>
      <c r="V158" s="19">
        <f>IF(資金模擬!$B$9=2,MAX(R158,0),MAX(V157,FLOOR(MAX(R158,0),資金模擬!$B$6)))</f>
        <v/>
      </c>
      <c r="W158" s="13">
        <f>MAX(W157,R158)</f>
        <v/>
      </c>
      <c r="X158" s="4">
        <f>IF(W158&gt;0,R158/W158-1,-1)</f>
        <v/>
      </c>
      <c r="Y158" s="19">
        <f>IF(R158&gt;0,S158*資金模擬!$B$7/R158,0)</f>
        <v/>
      </c>
      <c r="Z158" s="2">
        <f>IF(OR(Z157=1,R158&lt;=資金模擬!$B$10),1,0)</f>
        <v/>
      </c>
    </row>
    <row r="159">
      <c r="A159" s="2" t="n">
        <v>157</v>
      </c>
      <c r="B159" s="7" t="n">
        <v>46272</v>
      </c>
      <c r="C159" s="2" t="inlineStr">
        <is>
          <t>進場</t>
        </is>
      </c>
      <c r="D159" s="2" t="n">
        <v>81</v>
      </c>
      <c r="E159" s="2" t="inlineStr">
        <is>
          <t>BULLA_USDT_PERP</t>
        </is>
      </c>
      <c r="F159" s="2" t="inlineStr">
        <is>
          <t>做空</t>
        </is>
      </c>
      <c r="G159" s="20" t="n">
        <v>0.0756</v>
      </c>
      <c r="H159" s="20" t="n">
        <v>0.07333199999999999</v>
      </c>
      <c r="I159" s="20" t="n">
        <v>0.07938000000000001</v>
      </c>
      <c r="J159" s="20" t="n"/>
      <c r="K159" s="2" t="n"/>
      <c r="L159" s="5" t="n"/>
      <c r="M159" s="19">
        <f>資金模擬!$B$5*V158</f>
        <v/>
      </c>
      <c r="N159" s="2">
        <f>IF(Z158=1,"已停止",IF(T158&gt;=M159,"已下單","資金不足略過"))</f>
        <v/>
      </c>
      <c r="O159" s="19">
        <f>IF(N159="已下單",M159*資金模擬!$B$7,0)</f>
        <v/>
      </c>
      <c r="P159" s="4" t="n"/>
      <c r="Q159" s="13" t="n">
        <v>0</v>
      </c>
      <c r="R159" s="13">
        <f>R158+Q159</f>
        <v/>
      </c>
      <c r="S159" s="19">
        <f>S158+IF(N159="已下單",M159,0)</f>
        <v/>
      </c>
      <c r="T159" s="19">
        <f>R159-S159</f>
        <v/>
      </c>
      <c r="U159" s="2">
        <f>U158+IF(N159="已下單",1,0)</f>
        <v/>
      </c>
      <c r="V159" s="19">
        <f>IF(資金模擬!$B$9=2,MAX(R159,0),MAX(V158,FLOOR(MAX(R159,0),資金模擬!$B$6)))</f>
        <v/>
      </c>
      <c r="W159" s="13">
        <f>MAX(W158,R159)</f>
        <v/>
      </c>
      <c r="X159" s="4">
        <f>IF(W159&gt;0,R159/W159-1,-1)</f>
        <v/>
      </c>
      <c r="Y159" s="19">
        <f>IF(R159&gt;0,S159*資金模擬!$B$7/R159,0)</f>
        <v/>
      </c>
      <c r="Z159" s="2">
        <f>IF(OR(Z158=1,R159&lt;=資金模擬!$B$10),1,0)</f>
        <v/>
      </c>
    </row>
    <row r="160">
      <c r="A160" s="2" t="n">
        <v>158</v>
      </c>
      <c r="B160" s="7" t="n">
        <v>46272.08333333334</v>
      </c>
      <c r="C160" s="2" t="inlineStr">
        <is>
          <t>出場</t>
        </is>
      </c>
      <c r="D160" s="2" t="n">
        <v>81</v>
      </c>
      <c r="E160" s="2" t="inlineStr">
        <is>
          <t>BULLA_USDT_PERP</t>
        </is>
      </c>
      <c r="F160" s="2" t="inlineStr">
        <is>
          <t>做空</t>
        </is>
      </c>
      <c r="G160" s="20" t="n">
        <v>0.0756</v>
      </c>
      <c r="H160" s="20" t="n">
        <v>0.07333199999999999</v>
      </c>
      <c r="I160" s="20" t="n">
        <v>0.07938000000000001</v>
      </c>
      <c r="J160" s="20" t="n">
        <v>0.07333199999999999</v>
      </c>
      <c r="K160" s="2" t="inlineStr">
        <is>
          <t>止盈</t>
        </is>
      </c>
      <c r="L160" s="5">
        <f>交易明細!K82</f>
        <v/>
      </c>
      <c r="M160" s="19">
        <f>M159</f>
        <v/>
      </c>
      <c r="N160" s="2">
        <f>N159</f>
        <v/>
      </c>
      <c r="O160" s="19">
        <f>O159</f>
        <v/>
      </c>
      <c r="P160" s="4">
        <f>交易明細!L82</f>
        <v/>
      </c>
      <c r="Q160" s="13">
        <f>IF(N160="已下單",O160*P160,0)</f>
        <v/>
      </c>
      <c r="R160" s="13">
        <f>R159+Q160</f>
        <v/>
      </c>
      <c r="S160" s="19">
        <f>S159-IF(N160="已下單",M160,0)</f>
        <v/>
      </c>
      <c r="T160" s="19">
        <f>R160-S160</f>
        <v/>
      </c>
      <c r="U160" s="2">
        <f>U159-IF(N160="已下單",1,0)</f>
        <v/>
      </c>
      <c r="V160" s="19">
        <f>IF(資金模擬!$B$9=2,MAX(R160,0),MAX(V159,FLOOR(MAX(R160,0),資金模擬!$B$6)))</f>
        <v/>
      </c>
      <c r="W160" s="13">
        <f>MAX(W159,R160)</f>
        <v/>
      </c>
      <c r="X160" s="4">
        <f>IF(W160&gt;0,R160/W160-1,-1)</f>
        <v/>
      </c>
      <c r="Y160" s="19">
        <f>IF(R160&gt;0,S160*資金模擬!$B$7/R160,0)</f>
        <v/>
      </c>
      <c r="Z160" s="2">
        <f>IF(OR(Z159=1,R160&lt;=資金模擬!$B$10),1,0)</f>
        <v/>
      </c>
    </row>
    <row r="161">
      <c r="A161" s="2" t="n">
        <v>159</v>
      </c>
      <c r="B161" s="7" t="n">
        <v>46272.125</v>
      </c>
      <c r="C161" s="2" t="inlineStr">
        <is>
          <t>出場</t>
        </is>
      </c>
      <c r="D161" s="2" t="n">
        <v>80</v>
      </c>
      <c r="E161" s="2" t="inlineStr">
        <is>
          <t>DASH_USDT_PERP</t>
        </is>
      </c>
      <c r="F161" s="2" t="inlineStr">
        <is>
          <t>做空</t>
        </is>
      </c>
      <c r="G161" s="20" t="n">
        <v>67.53</v>
      </c>
      <c r="H161" s="20" t="n">
        <v>65.50409999999999</v>
      </c>
      <c r="I161" s="20" t="n">
        <v>70.90650000000001</v>
      </c>
      <c r="J161" s="20" t="n">
        <v>70.90650000000001</v>
      </c>
      <c r="K161" s="2" t="inlineStr">
        <is>
          <t>止損</t>
        </is>
      </c>
      <c r="L161" s="5">
        <f>交易明細!K81</f>
        <v/>
      </c>
      <c r="M161" s="19">
        <f>M158</f>
        <v/>
      </c>
      <c r="N161" s="2">
        <f>N158</f>
        <v/>
      </c>
      <c r="O161" s="19">
        <f>O158</f>
        <v/>
      </c>
      <c r="P161" s="4">
        <f>交易明細!L81</f>
        <v/>
      </c>
      <c r="Q161" s="13">
        <f>IF(N161="已下單",O161*P161,0)</f>
        <v/>
      </c>
      <c r="R161" s="13">
        <f>R160+Q161</f>
        <v/>
      </c>
      <c r="S161" s="19">
        <f>S160-IF(N161="已下單",M161,0)</f>
        <v/>
      </c>
      <c r="T161" s="19">
        <f>R161-S161</f>
        <v/>
      </c>
      <c r="U161" s="2">
        <f>U160-IF(N161="已下單",1,0)</f>
        <v/>
      </c>
      <c r="V161" s="19">
        <f>IF(資金模擬!$B$9=2,MAX(R161,0),MAX(V160,FLOOR(MAX(R161,0),資金模擬!$B$6)))</f>
        <v/>
      </c>
      <c r="W161" s="13">
        <f>MAX(W160,R161)</f>
        <v/>
      </c>
      <c r="X161" s="4">
        <f>IF(W161&gt;0,R161/W161-1,-1)</f>
        <v/>
      </c>
      <c r="Y161" s="19">
        <f>IF(R161&gt;0,S161*資金模擬!$B$7/R161,0)</f>
        <v/>
      </c>
      <c r="Z161" s="2">
        <f>IF(OR(Z160=1,R161&lt;=資金模擬!$B$10),1,0)</f>
        <v/>
      </c>
    </row>
    <row r="162">
      <c r="A162" s="2" t="n">
        <v>160</v>
      </c>
      <c r="B162" s="7" t="n">
        <v>46272.125</v>
      </c>
      <c r="C162" s="2" t="inlineStr">
        <is>
          <t>進場</t>
        </is>
      </c>
      <c r="D162" s="2" t="n">
        <v>82</v>
      </c>
      <c r="E162" s="2" t="inlineStr">
        <is>
          <t>NEAR_USDT_PERP</t>
        </is>
      </c>
      <c r="F162" s="2" t="inlineStr">
        <is>
          <t>做多</t>
        </is>
      </c>
      <c r="G162" s="20" t="n">
        <v>2.427</v>
      </c>
      <c r="H162" s="20" t="n">
        <v>2.49981</v>
      </c>
      <c r="I162" s="20" t="n">
        <v>2.30565</v>
      </c>
      <c r="J162" s="20" t="n"/>
      <c r="K162" s="2" t="n"/>
      <c r="L162" s="5" t="n"/>
      <c r="M162" s="19">
        <f>資金模擬!$B$5*V161</f>
        <v/>
      </c>
      <c r="N162" s="2">
        <f>IF(Z161=1,"已停止",IF(T161&gt;=M162,"已下單","資金不足略過"))</f>
        <v/>
      </c>
      <c r="O162" s="19">
        <f>IF(N162="已下單",M162*資金模擬!$B$7,0)</f>
        <v/>
      </c>
      <c r="P162" s="4" t="n"/>
      <c r="Q162" s="13" t="n">
        <v>0</v>
      </c>
      <c r="R162" s="13">
        <f>R161+Q162</f>
        <v/>
      </c>
      <c r="S162" s="19">
        <f>S161+IF(N162="已下單",M162,0)</f>
        <v/>
      </c>
      <c r="T162" s="19">
        <f>R162-S162</f>
        <v/>
      </c>
      <c r="U162" s="2">
        <f>U161+IF(N162="已下單",1,0)</f>
        <v/>
      </c>
      <c r="V162" s="19">
        <f>IF(資金模擬!$B$9=2,MAX(R162,0),MAX(V161,FLOOR(MAX(R162,0),資金模擬!$B$6)))</f>
        <v/>
      </c>
      <c r="W162" s="13">
        <f>MAX(W161,R162)</f>
        <v/>
      </c>
      <c r="X162" s="4">
        <f>IF(W162&gt;0,R162/W162-1,-1)</f>
        <v/>
      </c>
      <c r="Y162" s="19">
        <f>IF(R162&gt;0,S162*資金模擬!$B$7/R162,0)</f>
        <v/>
      </c>
      <c r="Z162" s="2">
        <f>IF(OR(Z161=1,R162&lt;=資金模擬!$B$10),1,0)</f>
        <v/>
      </c>
    </row>
    <row r="163">
      <c r="A163" s="2" t="n">
        <v>161</v>
      </c>
      <c r="B163" s="7" t="n">
        <v>46272.16666666666</v>
      </c>
      <c r="C163" s="2" t="inlineStr">
        <is>
          <t>進場</t>
        </is>
      </c>
      <c r="D163" s="2" t="n">
        <v>83</v>
      </c>
      <c r="E163" s="2" t="inlineStr">
        <is>
          <t>AKE_USDT_PERP</t>
        </is>
      </c>
      <c r="F163" s="2" t="inlineStr">
        <is>
          <t>做空</t>
        </is>
      </c>
      <c r="G163" s="20" t="n">
        <v>0.0145755</v>
      </c>
      <c r="H163" s="20" t="n">
        <v>0.014138235</v>
      </c>
      <c r="I163" s="20" t="n">
        <v>0.015304275</v>
      </c>
      <c r="J163" s="20" t="n"/>
      <c r="K163" s="2" t="n"/>
      <c r="L163" s="5" t="n"/>
      <c r="M163" s="19">
        <f>資金模擬!$B$5*V162</f>
        <v/>
      </c>
      <c r="N163" s="2">
        <f>IF(Z162=1,"已停止",IF(T162&gt;=M163,"已下單","資金不足略過"))</f>
        <v/>
      </c>
      <c r="O163" s="19">
        <f>IF(N163="已下單",M163*資金模擬!$B$7,0)</f>
        <v/>
      </c>
      <c r="P163" s="4" t="n"/>
      <c r="Q163" s="13" t="n">
        <v>0</v>
      </c>
      <c r="R163" s="13">
        <f>R162+Q163</f>
        <v/>
      </c>
      <c r="S163" s="19">
        <f>S162+IF(N163="已下單",M163,0)</f>
        <v/>
      </c>
      <c r="T163" s="19">
        <f>R163-S163</f>
        <v/>
      </c>
      <c r="U163" s="2">
        <f>U162+IF(N163="已下單",1,0)</f>
        <v/>
      </c>
      <c r="V163" s="19">
        <f>IF(資金模擬!$B$9=2,MAX(R163,0),MAX(V162,FLOOR(MAX(R163,0),資金模擬!$B$6)))</f>
        <v/>
      </c>
      <c r="W163" s="13">
        <f>MAX(W162,R163)</f>
        <v/>
      </c>
      <c r="X163" s="4">
        <f>IF(W163&gt;0,R163/W163-1,-1)</f>
        <v/>
      </c>
      <c r="Y163" s="19">
        <f>IF(R163&gt;0,S163*資金模擬!$B$7/R163,0)</f>
        <v/>
      </c>
      <c r="Z163" s="2">
        <f>IF(OR(Z162=1,R163&lt;=資金模擬!$B$10),1,0)</f>
        <v/>
      </c>
    </row>
    <row r="164">
      <c r="A164" s="2" t="n">
        <v>162</v>
      </c>
      <c r="B164" s="7" t="n">
        <v>46272.25</v>
      </c>
      <c r="C164" s="2" t="inlineStr">
        <is>
          <t>出場</t>
        </is>
      </c>
      <c r="D164" s="2" t="n">
        <v>54</v>
      </c>
      <c r="E164" s="2" t="inlineStr">
        <is>
          <t>XPL_USDT_PERP</t>
        </is>
      </c>
      <c r="F164" s="2" t="inlineStr">
        <is>
          <t>做空</t>
        </is>
      </c>
      <c r="G164" s="20" t="n">
        <v>0.092</v>
      </c>
      <c r="H164" s="20" t="n">
        <v>0.08924</v>
      </c>
      <c r="I164" s="20" t="n">
        <v>0.09660000000000001</v>
      </c>
      <c r="J164" s="20" t="n">
        <v>0.08924</v>
      </c>
      <c r="K164" s="2" t="inlineStr">
        <is>
          <t>止盈</t>
        </is>
      </c>
      <c r="L164" s="5">
        <f>交易明細!K55</f>
        <v/>
      </c>
      <c r="M164" s="19">
        <f>M105</f>
        <v/>
      </c>
      <c r="N164" s="2">
        <f>N105</f>
        <v/>
      </c>
      <c r="O164" s="19">
        <f>O105</f>
        <v/>
      </c>
      <c r="P164" s="4">
        <f>交易明細!L55</f>
        <v/>
      </c>
      <c r="Q164" s="13">
        <f>IF(N164="已下單",O164*P164,0)</f>
        <v/>
      </c>
      <c r="R164" s="13">
        <f>R163+Q164</f>
        <v/>
      </c>
      <c r="S164" s="19">
        <f>S163-IF(N164="已下單",M164,0)</f>
        <v/>
      </c>
      <c r="T164" s="19">
        <f>R164-S164</f>
        <v/>
      </c>
      <c r="U164" s="2">
        <f>U163-IF(N164="已下單",1,0)</f>
        <v/>
      </c>
      <c r="V164" s="19">
        <f>IF(資金模擬!$B$9=2,MAX(R164,0),MAX(V163,FLOOR(MAX(R164,0),資金模擬!$B$6)))</f>
        <v/>
      </c>
      <c r="W164" s="13">
        <f>MAX(W163,R164)</f>
        <v/>
      </c>
      <c r="X164" s="4">
        <f>IF(W164&gt;0,R164/W164-1,-1)</f>
        <v/>
      </c>
      <c r="Y164" s="19">
        <f>IF(R164&gt;0,S164*資金模擬!$B$7/R164,0)</f>
        <v/>
      </c>
      <c r="Z164" s="2">
        <f>IF(OR(Z163=1,R164&lt;=資金模擬!$B$10),1,0)</f>
        <v/>
      </c>
    </row>
    <row r="165">
      <c r="A165" s="2" t="n">
        <v>163</v>
      </c>
      <c r="B165" s="7" t="n">
        <v>46272.25</v>
      </c>
      <c r="C165" s="2" t="inlineStr">
        <is>
          <t>進場</t>
        </is>
      </c>
      <c r="D165" s="2" t="n">
        <v>84</v>
      </c>
      <c r="E165" s="2" t="inlineStr">
        <is>
          <t>RAY_USDT_PERP</t>
        </is>
      </c>
      <c r="F165" s="2" t="inlineStr">
        <is>
          <t>做多</t>
        </is>
      </c>
      <c r="G165" s="20" t="n">
        <v>1.253</v>
      </c>
      <c r="H165" s="20" t="n">
        <v>1.29059</v>
      </c>
      <c r="I165" s="20" t="n">
        <v>1.19035</v>
      </c>
      <c r="J165" s="20" t="n"/>
      <c r="K165" s="2" t="n"/>
      <c r="L165" s="5" t="n"/>
      <c r="M165" s="19">
        <f>資金模擬!$B$5*V164</f>
        <v/>
      </c>
      <c r="N165" s="2">
        <f>IF(Z164=1,"已停止",IF(T164&gt;=M165,"已下單","資金不足略過"))</f>
        <v/>
      </c>
      <c r="O165" s="19">
        <f>IF(N165="已下單",M165*資金模擬!$B$7,0)</f>
        <v/>
      </c>
      <c r="P165" s="4" t="n"/>
      <c r="Q165" s="13" t="n">
        <v>0</v>
      </c>
      <c r="R165" s="13">
        <f>R164+Q165</f>
        <v/>
      </c>
      <c r="S165" s="19">
        <f>S164+IF(N165="已下單",M165,0)</f>
        <v/>
      </c>
      <c r="T165" s="19">
        <f>R165-S165</f>
        <v/>
      </c>
      <c r="U165" s="2">
        <f>U164+IF(N165="已下單",1,0)</f>
        <v/>
      </c>
      <c r="V165" s="19">
        <f>IF(資金模擬!$B$9=2,MAX(R165,0),MAX(V164,FLOOR(MAX(R165,0),資金模擬!$B$6)))</f>
        <v/>
      </c>
      <c r="W165" s="13">
        <f>MAX(W164,R165)</f>
        <v/>
      </c>
      <c r="X165" s="4">
        <f>IF(W165&gt;0,R165/W165-1,-1)</f>
        <v/>
      </c>
      <c r="Y165" s="19">
        <f>IF(R165&gt;0,S165*資金模擬!$B$7/R165,0)</f>
        <v/>
      </c>
      <c r="Z165" s="2">
        <f>IF(OR(Z164=1,R165&lt;=資金模擬!$B$10),1,0)</f>
        <v/>
      </c>
    </row>
    <row r="166">
      <c r="A166" s="2" t="n">
        <v>164</v>
      </c>
      <c r="B166" s="7" t="n">
        <v>46272.29166666666</v>
      </c>
      <c r="C166" s="2" t="inlineStr">
        <is>
          <t>出場</t>
        </is>
      </c>
      <c r="D166" s="2" t="n">
        <v>83</v>
      </c>
      <c r="E166" s="2" t="inlineStr">
        <is>
          <t>AKE_USDT_PERP</t>
        </is>
      </c>
      <c r="F166" s="2" t="inlineStr">
        <is>
          <t>做空</t>
        </is>
      </c>
      <c r="G166" s="20" t="n">
        <v>0.0145755</v>
      </c>
      <c r="H166" s="20" t="n">
        <v>0.014138235</v>
      </c>
      <c r="I166" s="20" t="n">
        <v>0.015304275</v>
      </c>
      <c r="J166" s="20" t="n">
        <v>0.014138235</v>
      </c>
      <c r="K166" s="2" t="inlineStr">
        <is>
          <t>止盈</t>
        </is>
      </c>
      <c r="L166" s="5">
        <f>交易明細!K84</f>
        <v/>
      </c>
      <c r="M166" s="19">
        <f>M163</f>
        <v/>
      </c>
      <c r="N166" s="2">
        <f>N163</f>
        <v/>
      </c>
      <c r="O166" s="19">
        <f>O163</f>
        <v/>
      </c>
      <c r="P166" s="4">
        <f>交易明細!L84</f>
        <v/>
      </c>
      <c r="Q166" s="13">
        <f>IF(N166="已下單",O166*P166,0)</f>
        <v/>
      </c>
      <c r="R166" s="13">
        <f>R165+Q166</f>
        <v/>
      </c>
      <c r="S166" s="19">
        <f>S165-IF(N166="已下單",M166,0)</f>
        <v/>
      </c>
      <c r="T166" s="19">
        <f>R166-S166</f>
        <v/>
      </c>
      <c r="U166" s="2">
        <f>U165-IF(N166="已下單",1,0)</f>
        <v/>
      </c>
      <c r="V166" s="19">
        <f>IF(資金模擬!$B$9=2,MAX(R166,0),MAX(V165,FLOOR(MAX(R166,0),資金模擬!$B$6)))</f>
        <v/>
      </c>
      <c r="W166" s="13">
        <f>MAX(W165,R166)</f>
        <v/>
      </c>
      <c r="X166" s="4">
        <f>IF(W166&gt;0,R166/W166-1,-1)</f>
        <v/>
      </c>
      <c r="Y166" s="19">
        <f>IF(R166&gt;0,S166*資金模擬!$B$7/R166,0)</f>
        <v/>
      </c>
      <c r="Z166" s="2">
        <f>IF(OR(Z165=1,R166&lt;=資金模擬!$B$10),1,0)</f>
        <v/>
      </c>
    </row>
    <row r="167">
      <c r="A167" s="2" t="n">
        <v>165</v>
      </c>
      <c r="B167" s="7" t="n">
        <v>46272.33333333334</v>
      </c>
      <c r="C167" s="2" t="inlineStr">
        <is>
          <t>出場</t>
        </is>
      </c>
      <c r="D167" s="2" t="n">
        <v>84</v>
      </c>
      <c r="E167" s="2" t="inlineStr">
        <is>
          <t>RAY_USDT_PERP</t>
        </is>
      </c>
      <c r="F167" s="2" t="inlineStr">
        <is>
          <t>做多</t>
        </is>
      </c>
      <c r="G167" s="20" t="n">
        <v>1.253</v>
      </c>
      <c r="H167" s="20" t="n">
        <v>1.29059</v>
      </c>
      <c r="I167" s="20" t="n">
        <v>1.19035</v>
      </c>
      <c r="J167" s="20" t="n">
        <v>1.29059</v>
      </c>
      <c r="K167" s="2" t="inlineStr">
        <is>
          <t>止盈</t>
        </is>
      </c>
      <c r="L167" s="5">
        <f>交易明細!K85</f>
        <v/>
      </c>
      <c r="M167" s="19">
        <f>M165</f>
        <v/>
      </c>
      <c r="N167" s="2">
        <f>N165</f>
        <v/>
      </c>
      <c r="O167" s="19">
        <f>O165</f>
        <v/>
      </c>
      <c r="P167" s="4">
        <f>交易明細!L85</f>
        <v/>
      </c>
      <c r="Q167" s="13">
        <f>IF(N167="已下單",O167*P167,0)</f>
        <v/>
      </c>
      <c r="R167" s="13">
        <f>R166+Q167</f>
        <v/>
      </c>
      <c r="S167" s="19">
        <f>S166-IF(N167="已下單",M167,0)</f>
        <v/>
      </c>
      <c r="T167" s="19">
        <f>R167-S167</f>
        <v/>
      </c>
      <c r="U167" s="2">
        <f>U166-IF(N167="已下單",1,0)</f>
        <v/>
      </c>
      <c r="V167" s="19">
        <f>IF(資金模擬!$B$9=2,MAX(R167,0),MAX(V166,FLOOR(MAX(R167,0),資金模擬!$B$6)))</f>
        <v/>
      </c>
      <c r="W167" s="13">
        <f>MAX(W166,R167)</f>
        <v/>
      </c>
      <c r="X167" s="4">
        <f>IF(W167&gt;0,R167/W167-1,-1)</f>
        <v/>
      </c>
      <c r="Y167" s="19">
        <f>IF(R167&gt;0,S167*資金模擬!$B$7/R167,0)</f>
        <v/>
      </c>
      <c r="Z167" s="2">
        <f>IF(OR(Z166=1,R167&lt;=資金模擬!$B$10),1,0)</f>
        <v/>
      </c>
    </row>
    <row r="168">
      <c r="A168" s="2" t="n">
        <v>166</v>
      </c>
      <c r="B168" s="7" t="n">
        <v>46272.375</v>
      </c>
      <c r="C168" s="2" t="inlineStr">
        <is>
          <t>進場</t>
        </is>
      </c>
      <c r="D168" s="2" t="n">
        <v>85</v>
      </c>
      <c r="E168" s="2" t="inlineStr">
        <is>
          <t>BULLA_USDT_PERP</t>
        </is>
      </c>
      <c r="F168" s="2" t="inlineStr">
        <is>
          <t>做空</t>
        </is>
      </c>
      <c r="G168" s="20" t="n">
        <v>0.07263</v>
      </c>
      <c r="H168" s="20" t="n">
        <v>0.0704511</v>
      </c>
      <c r="I168" s="20" t="n">
        <v>0.07626150000000001</v>
      </c>
      <c r="J168" s="20" t="n"/>
      <c r="K168" s="2" t="n"/>
      <c r="L168" s="5" t="n"/>
      <c r="M168" s="19">
        <f>資金模擬!$B$5*V167</f>
        <v/>
      </c>
      <c r="N168" s="2">
        <f>IF(Z167=1,"已停止",IF(T167&gt;=M168,"已下單","資金不足略過"))</f>
        <v/>
      </c>
      <c r="O168" s="19">
        <f>IF(N168="已下單",M168*資金模擬!$B$7,0)</f>
        <v/>
      </c>
      <c r="P168" s="4" t="n"/>
      <c r="Q168" s="13" t="n">
        <v>0</v>
      </c>
      <c r="R168" s="13">
        <f>R167+Q168</f>
        <v/>
      </c>
      <c r="S168" s="19">
        <f>S167+IF(N168="已下單",M168,0)</f>
        <v/>
      </c>
      <c r="T168" s="19">
        <f>R168-S168</f>
        <v/>
      </c>
      <c r="U168" s="2">
        <f>U167+IF(N168="已下單",1,0)</f>
        <v/>
      </c>
      <c r="V168" s="19">
        <f>IF(資金模擬!$B$9=2,MAX(R168,0),MAX(V167,FLOOR(MAX(R168,0),資金模擬!$B$6)))</f>
        <v/>
      </c>
      <c r="W168" s="13">
        <f>MAX(W167,R168)</f>
        <v/>
      </c>
      <c r="X168" s="4">
        <f>IF(W168&gt;0,R168/W168-1,-1)</f>
        <v/>
      </c>
      <c r="Y168" s="19">
        <f>IF(R168&gt;0,S168*資金模擬!$B$7/R168,0)</f>
        <v/>
      </c>
      <c r="Z168" s="2">
        <f>IF(OR(Z167=1,R168&lt;=資金模擬!$B$10),1,0)</f>
        <v/>
      </c>
    </row>
    <row r="169">
      <c r="A169" s="2" t="n">
        <v>167</v>
      </c>
      <c r="B169" s="7" t="n">
        <v>46272.5</v>
      </c>
      <c r="C169" s="2" t="inlineStr">
        <is>
          <t>出場</t>
        </is>
      </c>
      <c r="D169" s="2" t="n">
        <v>79</v>
      </c>
      <c r="E169" s="2" t="inlineStr">
        <is>
          <t>ARB_USDT_PERP</t>
        </is>
      </c>
      <c r="F169" s="2" t="inlineStr">
        <is>
          <t>做空</t>
        </is>
      </c>
      <c r="G169" s="20" t="n">
        <v>0.1862</v>
      </c>
      <c r="H169" s="20" t="n">
        <v>0.180614</v>
      </c>
      <c r="I169" s="20" t="n">
        <v>0.19551</v>
      </c>
      <c r="J169" s="20" t="n">
        <v>0.180614</v>
      </c>
      <c r="K169" s="2" t="inlineStr">
        <is>
          <t>止盈</t>
        </is>
      </c>
      <c r="L169" s="5">
        <f>交易明細!K80</f>
        <v/>
      </c>
      <c r="M169" s="19">
        <f>M157</f>
        <v/>
      </c>
      <c r="N169" s="2">
        <f>N157</f>
        <v/>
      </c>
      <c r="O169" s="19">
        <f>O157</f>
        <v/>
      </c>
      <c r="P169" s="4">
        <f>交易明細!L80</f>
        <v/>
      </c>
      <c r="Q169" s="13">
        <f>IF(N169="已下單",O169*P169,0)</f>
        <v/>
      </c>
      <c r="R169" s="13">
        <f>R168+Q169</f>
        <v/>
      </c>
      <c r="S169" s="19">
        <f>S168-IF(N169="已下單",M169,0)</f>
        <v/>
      </c>
      <c r="T169" s="19">
        <f>R169-S169</f>
        <v/>
      </c>
      <c r="U169" s="2">
        <f>U168-IF(N169="已下單",1,0)</f>
        <v/>
      </c>
      <c r="V169" s="19">
        <f>IF(資金模擬!$B$9=2,MAX(R169,0),MAX(V168,FLOOR(MAX(R169,0),資金模擬!$B$6)))</f>
        <v/>
      </c>
      <c r="W169" s="13">
        <f>MAX(W168,R169)</f>
        <v/>
      </c>
      <c r="X169" s="4">
        <f>IF(W169&gt;0,R169/W169-1,-1)</f>
        <v/>
      </c>
      <c r="Y169" s="19">
        <f>IF(R169&gt;0,S169*資金模擬!$B$7/R169,0)</f>
        <v/>
      </c>
      <c r="Z169" s="2">
        <f>IF(OR(Z168=1,R169&lt;=資金模擬!$B$10),1,0)</f>
        <v/>
      </c>
    </row>
    <row r="170">
      <c r="A170" s="2" t="n">
        <v>168</v>
      </c>
      <c r="B170" s="7" t="n">
        <v>46272.5</v>
      </c>
      <c r="C170" s="2" t="inlineStr">
        <is>
          <t>出場</t>
        </is>
      </c>
      <c r="D170" s="2" t="n">
        <v>85</v>
      </c>
      <c r="E170" s="2" t="inlineStr">
        <is>
          <t>BULLA_USDT_PERP</t>
        </is>
      </c>
      <c r="F170" s="2" t="inlineStr">
        <is>
          <t>做空</t>
        </is>
      </c>
      <c r="G170" s="20" t="n">
        <v>0.07263</v>
      </c>
      <c r="H170" s="20" t="n">
        <v>0.0704511</v>
      </c>
      <c r="I170" s="20" t="n">
        <v>0.07626150000000001</v>
      </c>
      <c r="J170" s="20" t="n">
        <v>0.07626150000000001</v>
      </c>
      <c r="K170" s="2" t="inlineStr">
        <is>
          <t>止損</t>
        </is>
      </c>
      <c r="L170" s="5">
        <f>交易明細!K86</f>
        <v/>
      </c>
      <c r="M170" s="19">
        <f>M168</f>
        <v/>
      </c>
      <c r="N170" s="2">
        <f>N168</f>
        <v/>
      </c>
      <c r="O170" s="19">
        <f>O168</f>
        <v/>
      </c>
      <c r="P170" s="4">
        <f>交易明細!L86</f>
        <v/>
      </c>
      <c r="Q170" s="13">
        <f>IF(N170="已下單",O170*P170,0)</f>
        <v/>
      </c>
      <c r="R170" s="13">
        <f>R169+Q170</f>
        <v/>
      </c>
      <c r="S170" s="19">
        <f>S169-IF(N170="已下單",M170,0)</f>
        <v/>
      </c>
      <c r="T170" s="19">
        <f>R170-S170</f>
        <v/>
      </c>
      <c r="U170" s="2">
        <f>U169-IF(N170="已下單",1,0)</f>
        <v/>
      </c>
      <c r="V170" s="19">
        <f>IF(資金模擬!$B$9=2,MAX(R170,0),MAX(V169,FLOOR(MAX(R170,0),資金模擬!$B$6)))</f>
        <v/>
      </c>
      <c r="W170" s="13">
        <f>MAX(W169,R170)</f>
        <v/>
      </c>
      <c r="X170" s="4">
        <f>IF(W170&gt;0,R170/W170-1,-1)</f>
        <v/>
      </c>
      <c r="Y170" s="19">
        <f>IF(R170&gt;0,S170*資金模擬!$B$7/R170,0)</f>
        <v/>
      </c>
      <c r="Z170" s="2">
        <f>IF(OR(Z169=1,R170&lt;=資金模擬!$B$10),1,0)</f>
        <v/>
      </c>
    </row>
    <row r="171">
      <c r="A171" s="2" t="n">
        <v>169</v>
      </c>
      <c r="B171" s="7" t="n">
        <v>46272.54166666666</v>
      </c>
      <c r="C171" s="2" t="inlineStr">
        <is>
          <t>出場</t>
        </is>
      </c>
      <c r="D171" s="2" t="n">
        <v>78</v>
      </c>
      <c r="E171" s="2" t="inlineStr">
        <is>
          <t>LIT_USDT_PERP</t>
        </is>
      </c>
      <c r="F171" s="2" t="inlineStr">
        <is>
          <t>做空</t>
        </is>
      </c>
      <c r="G171" s="20" t="n">
        <v>4.533</v>
      </c>
      <c r="H171" s="20" t="n">
        <v>4.39701</v>
      </c>
      <c r="I171" s="20" t="n">
        <v>4.759650000000001</v>
      </c>
      <c r="J171" s="20" t="n">
        <v>4.39701</v>
      </c>
      <c r="K171" s="2" t="inlineStr">
        <is>
          <t>止盈</t>
        </is>
      </c>
      <c r="L171" s="5">
        <f>交易明細!K79</f>
        <v/>
      </c>
      <c r="M171" s="19">
        <f>M155</f>
        <v/>
      </c>
      <c r="N171" s="2">
        <f>N155</f>
        <v/>
      </c>
      <c r="O171" s="19">
        <f>O155</f>
        <v/>
      </c>
      <c r="P171" s="4">
        <f>交易明細!L79</f>
        <v/>
      </c>
      <c r="Q171" s="13">
        <f>IF(N171="已下單",O171*P171,0)</f>
        <v/>
      </c>
      <c r="R171" s="13">
        <f>R170+Q171</f>
        <v/>
      </c>
      <c r="S171" s="19">
        <f>S170-IF(N171="已下單",M171,0)</f>
        <v/>
      </c>
      <c r="T171" s="19">
        <f>R171-S171</f>
        <v/>
      </c>
      <c r="U171" s="2">
        <f>U170-IF(N171="已下單",1,0)</f>
        <v/>
      </c>
      <c r="V171" s="19">
        <f>IF(資金模擬!$B$9=2,MAX(R171,0),MAX(V170,FLOOR(MAX(R171,0),資金模擬!$B$6)))</f>
        <v/>
      </c>
      <c r="W171" s="13">
        <f>MAX(W170,R171)</f>
        <v/>
      </c>
      <c r="X171" s="4">
        <f>IF(W171&gt;0,R171/W171-1,-1)</f>
        <v/>
      </c>
      <c r="Y171" s="19">
        <f>IF(R171&gt;0,S171*資金模擬!$B$7/R171,0)</f>
        <v/>
      </c>
      <c r="Z171" s="2">
        <f>IF(OR(Z170=1,R171&lt;=資金模擬!$B$10),1,0)</f>
        <v/>
      </c>
    </row>
    <row r="172">
      <c r="A172" s="2" t="n">
        <v>170</v>
      </c>
      <c r="B172" s="7" t="n">
        <v>46272.58333333334</v>
      </c>
      <c r="C172" s="2" t="inlineStr">
        <is>
          <t>進場</t>
        </is>
      </c>
      <c r="D172" s="2" t="n">
        <v>86</v>
      </c>
      <c r="E172" s="2" t="inlineStr">
        <is>
          <t>DASH_USDT_PERP</t>
        </is>
      </c>
      <c r="F172" s="2" t="inlineStr">
        <is>
          <t>做空</t>
        </is>
      </c>
      <c r="G172" s="20" t="n">
        <v>67.29000000000001</v>
      </c>
      <c r="H172" s="20" t="n">
        <v>65.27130000000001</v>
      </c>
      <c r="I172" s="20" t="n">
        <v>70.65450000000001</v>
      </c>
      <c r="J172" s="20" t="n"/>
      <c r="K172" s="2" t="n"/>
      <c r="L172" s="5" t="n"/>
      <c r="M172" s="19">
        <f>資金模擬!$B$5*V171</f>
        <v/>
      </c>
      <c r="N172" s="2">
        <f>IF(Z171=1,"已停止",IF(T171&gt;=M172,"已下單","資金不足略過"))</f>
        <v/>
      </c>
      <c r="O172" s="19">
        <f>IF(N172="已下單",M172*資金模擬!$B$7,0)</f>
        <v/>
      </c>
      <c r="P172" s="4" t="n"/>
      <c r="Q172" s="13" t="n">
        <v>0</v>
      </c>
      <c r="R172" s="13">
        <f>R171+Q172</f>
        <v/>
      </c>
      <c r="S172" s="19">
        <f>S171+IF(N172="已下單",M172,0)</f>
        <v/>
      </c>
      <c r="T172" s="19">
        <f>R172-S172</f>
        <v/>
      </c>
      <c r="U172" s="2">
        <f>U171+IF(N172="已下單",1,0)</f>
        <v/>
      </c>
      <c r="V172" s="19">
        <f>IF(資金模擬!$B$9=2,MAX(R172,0),MAX(V171,FLOOR(MAX(R172,0),資金模擬!$B$6)))</f>
        <v/>
      </c>
      <c r="W172" s="13">
        <f>MAX(W171,R172)</f>
        <v/>
      </c>
      <c r="X172" s="4">
        <f>IF(W172&gt;0,R172/W172-1,-1)</f>
        <v/>
      </c>
      <c r="Y172" s="19">
        <f>IF(R172&gt;0,S172*資金模擬!$B$7/R172,0)</f>
        <v/>
      </c>
      <c r="Z172" s="2">
        <f>IF(OR(Z171=1,R172&lt;=資金模擬!$B$10),1,0)</f>
        <v/>
      </c>
    </row>
    <row r="173">
      <c r="A173" s="2" t="n">
        <v>171</v>
      </c>
      <c r="B173" s="7" t="n">
        <v>46272.625</v>
      </c>
      <c r="C173" s="2" t="inlineStr">
        <is>
          <t>進場</t>
        </is>
      </c>
      <c r="D173" s="2" t="n">
        <v>87</v>
      </c>
      <c r="E173" s="2" t="inlineStr">
        <is>
          <t>UAI_USDT_PERP</t>
        </is>
      </c>
      <c r="F173" s="2" t="inlineStr">
        <is>
          <t>做多</t>
        </is>
      </c>
      <c r="G173" s="20" t="n">
        <v>0.6192</v>
      </c>
      <c r="H173" s="20" t="n">
        <v>0.637776</v>
      </c>
      <c r="I173" s="20" t="n">
        <v>0.58824</v>
      </c>
      <c r="J173" s="20" t="n"/>
      <c r="K173" s="2" t="n"/>
      <c r="L173" s="5" t="n"/>
      <c r="M173" s="19">
        <f>資金模擬!$B$5*V172</f>
        <v/>
      </c>
      <c r="N173" s="2">
        <f>IF(Z172=1,"已停止",IF(T172&gt;=M173,"已下單","資金不足略過"))</f>
        <v/>
      </c>
      <c r="O173" s="19">
        <f>IF(N173="已下單",M173*資金模擬!$B$7,0)</f>
        <v/>
      </c>
      <c r="P173" s="4" t="n"/>
      <c r="Q173" s="13" t="n">
        <v>0</v>
      </c>
      <c r="R173" s="13">
        <f>R172+Q173</f>
        <v/>
      </c>
      <c r="S173" s="19">
        <f>S172+IF(N173="已下單",M173,0)</f>
        <v/>
      </c>
      <c r="T173" s="19">
        <f>R173-S173</f>
        <v/>
      </c>
      <c r="U173" s="2">
        <f>U172+IF(N173="已下單",1,0)</f>
        <v/>
      </c>
      <c r="V173" s="19">
        <f>IF(資金模擬!$B$9=2,MAX(R173,0),MAX(V172,FLOOR(MAX(R173,0),資金模擬!$B$6)))</f>
        <v/>
      </c>
      <c r="W173" s="13">
        <f>MAX(W172,R173)</f>
        <v/>
      </c>
      <c r="X173" s="4">
        <f>IF(W173&gt;0,R173/W173-1,-1)</f>
        <v/>
      </c>
      <c r="Y173" s="19">
        <f>IF(R173&gt;0,S173*資金模擬!$B$7/R173,0)</f>
        <v/>
      </c>
      <c r="Z173" s="2">
        <f>IF(OR(Z172=1,R173&lt;=資金模擬!$B$10),1,0)</f>
        <v/>
      </c>
    </row>
    <row r="174">
      <c r="A174" s="2" t="n">
        <v>172</v>
      </c>
      <c r="B174" s="7" t="n">
        <v>46272.62569444445</v>
      </c>
      <c r="C174" s="2" t="inlineStr">
        <is>
          <t>出場</t>
        </is>
      </c>
      <c r="D174" s="2" t="n">
        <v>87</v>
      </c>
      <c r="E174" s="2" t="inlineStr">
        <is>
          <t>UAI_USDT_PERP</t>
        </is>
      </c>
      <c r="F174" s="2" t="inlineStr">
        <is>
          <t>做多</t>
        </is>
      </c>
      <c r="G174" s="20" t="n">
        <v>0.6192</v>
      </c>
      <c r="H174" s="20" t="n">
        <v>0.637776</v>
      </c>
      <c r="I174" s="20" t="n">
        <v>0.58824</v>
      </c>
      <c r="J174" s="20" t="n">
        <v>0.637776</v>
      </c>
      <c r="K174" s="2" t="inlineStr">
        <is>
          <t>止盈</t>
        </is>
      </c>
      <c r="L174" s="5">
        <f>交易明細!K88</f>
        <v/>
      </c>
      <c r="M174" s="19">
        <f>M173</f>
        <v/>
      </c>
      <c r="N174" s="2">
        <f>N173</f>
        <v/>
      </c>
      <c r="O174" s="19">
        <f>O173</f>
        <v/>
      </c>
      <c r="P174" s="4">
        <f>交易明細!L88</f>
        <v/>
      </c>
      <c r="Q174" s="13">
        <f>IF(N174="已下單",O174*P174,0)</f>
        <v/>
      </c>
      <c r="R174" s="13">
        <f>R173+Q174</f>
        <v/>
      </c>
      <c r="S174" s="19">
        <f>S173-IF(N174="已下單",M174,0)</f>
        <v/>
      </c>
      <c r="T174" s="19">
        <f>R174-S174</f>
        <v/>
      </c>
      <c r="U174" s="2">
        <f>U173-IF(N174="已下單",1,0)</f>
        <v/>
      </c>
      <c r="V174" s="19">
        <f>IF(資金模擬!$B$9=2,MAX(R174,0),MAX(V173,FLOOR(MAX(R174,0),資金模擬!$B$6)))</f>
        <v/>
      </c>
      <c r="W174" s="13">
        <f>MAX(W173,R174)</f>
        <v/>
      </c>
      <c r="X174" s="4">
        <f>IF(W174&gt;0,R174/W174-1,-1)</f>
        <v/>
      </c>
      <c r="Y174" s="19">
        <f>IF(R174&gt;0,S174*資金模擬!$B$7/R174,0)</f>
        <v/>
      </c>
      <c r="Z174" s="2">
        <f>IF(OR(Z173=1,R174&lt;=資金模擬!$B$10),1,0)</f>
        <v/>
      </c>
    </row>
    <row r="175">
      <c r="A175" s="2" t="n">
        <v>173</v>
      </c>
      <c r="B175" s="7" t="n">
        <v>46272.66666666666</v>
      </c>
      <c r="C175" s="2" t="inlineStr">
        <is>
          <t>出場</t>
        </is>
      </c>
      <c r="D175" s="2" t="n">
        <v>82</v>
      </c>
      <c r="E175" s="2" t="inlineStr">
        <is>
          <t>NEAR_USDT_PERP</t>
        </is>
      </c>
      <c r="F175" s="2" t="inlineStr">
        <is>
          <t>做多</t>
        </is>
      </c>
      <c r="G175" s="20" t="n">
        <v>2.427</v>
      </c>
      <c r="H175" s="20" t="n">
        <v>2.49981</v>
      </c>
      <c r="I175" s="20" t="n">
        <v>2.30565</v>
      </c>
      <c r="J175" s="20" t="n">
        <v>2.30565</v>
      </c>
      <c r="K175" s="2" t="inlineStr">
        <is>
          <t>止損</t>
        </is>
      </c>
      <c r="L175" s="5">
        <f>交易明細!K83</f>
        <v/>
      </c>
      <c r="M175" s="19">
        <f>M162</f>
        <v/>
      </c>
      <c r="N175" s="2">
        <f>N162</f>
        <v/>
      </c>
      <c r="O175" s="19">
        <f>O162</f>
        <v/>
      </c>
      <c r="P175" s="4">
        <f>交易明細!L83</f>
        <v/>
      </c>
      <c r="Q175" s="13">
        <f>IF(N175="已下單",O175*P175,0)</f>
        <v/>
      </c>
      <c r="R175" s="13">
        <f>R174+Q175</f>
        <v/>
      </c>
      <c r="S175" s="19">
        <f>S174-IF(N175="已下單",M175,0)</f>
        <v/>
      </c>
      <c r="T175" s="19">
        <f>R175-S175</f>
        <v/>
      </c>
      <c r="U175" s="2">
        <f>U174-IF(N175="已下單",1,0)</f>
        <v/>
      </c>
      <c r="V175" s="19">
        <f>IF(資金模擬!$B$9=2,MAX(R175,0),MAX(V174,FLOOR(MAX(R175,0),資金模擬!$B$6)))</f>
        <v/>
      </c>
      <c r="W175" s="13">
        <f>MAX(W174,R175)</f>
        <v/>
      </c>
      <c r="X175" s="4">
        <f>IF(W175&gt;0,R175/W175-1,-1)</f>
        <v/>
      </c>
      <c r="Y175" s="19">
        <f>IF(R175&gt;0,S175*資金模擬!$B$7/R175,0)</f>
        <v/>
      </c>
      <c r="Z175" s="2">
        <f>IF(OR(Z174=1,R175&lt;=資金模擬!$B$10),1,0)</f>
        <v/>
      </c>
    </row>
    <row r="176">
      <c r="A176" s="2" t="n">
        <v>174</v>
      </c>
      <c r="B176" s="7" t="n">
        <v>46272.75</v>
      </c>
      <c r="C176" s="2" t="inlineStr">
        <is>
          <t>進場</t>
        </is>
      </c>
      <c r="D176" s="2" t="n">
        <v>88</v>
      </c>
      <c r="E176" s="2" t="inlineStr">
        <is>
          <t>UAI_USDT_PERP</t>
        </is>
      </c>
      <c r="F176" s="2" t="inlineStr">
        <is>
          <t>做多</t>
        </is>
      </c>
      <c r="G176" s="20" t="n">
        <v>0.6352</v>
      </c>
      <c r="H176" s="20" t="n">
        <v>0.6542559999999999</v>
      </c>
      <c r="I176" s="20" t="n">
        <v>0.60344</v>
      </c>
      <c r="J176" s="20" t="n"/>
      <c r="K176" s="2" t="n"/>
      <c r="L176" s="5" t="n"/>
      <c r="M176" s="19">
        <f>資金模擬!$B$5*V175</f>
        <v/>
      </c>
      <c r="N176" s="2">
        <f>IF(Z175=1,"已停止",IF(T175&gt;=M176,"已下單","資金不足略過"))</f>
        <v/>
      </c>
      <c r="O176" s="19">
        <f>IF(N176="已下單",M176*資金模擬!$B$7,0)</f>
        <v/>
      </c>
      <c r="P176" s="4" t="n"/>
      <c r="Q176" s="13" t="n">
        <v>0</v>
      </c>
      <c r="R176" s="13">
        <f>R175+Q176</f>
        <v/>
      </c>
      <c r="S176" s="19">
        <f>S175+IF(N176="已下單",M176,0)</f>
        <v/>
      </c>
      <c r="T176" s="19">
        <f>R176-S176</f>
        <v/>
      </c>
      <c r="U176" s="2">
        <f>U175+IF(N176="已下單",1,0)</f>
        <v/>
      </c>
      <c r="V176" s="19">
        <f>IF(資金模擬!$B$9=2,MAX(R176,0),MAX(V175,FLOOR(MAX(R176,0),資金模擬!$B$6)))</f>
        <v/>
      </c>
      <c r="W176" s="13">
        <f>MAX(W175,R176)</f>
        <v/>
      </c>
      <c r="X176" s="4">
        <f>IF(W176&gt;0,R176/W176-1,-1)</f>
        <v/>
      </c>
      <c r="Y176" s="19">
        <f>IF(R176&gt;0,S176*資金模擬!$B$7/R176,0)</f>
        <v/>
      </c>
      <c r="Z176" s="2">
        <f>IF(OR(Z175=1,R176&lt;=資金模擬!$B$10),1,0)</f>
        <v/>
      </c>
    </row>
    <row r="177">
      <c r="A177" s="2" t="n">
        <v>175</v>
      </c>
      <c r="B177" s="7" t="n">
        <v>46272.75</v>
      </c>
      <c r="C177" s="2" t="inlineStr">
        <is>
          <t>進場</t>
        </is>
      </c>
      <c r="D177" s="2" t="n">
        <v>89</v>
      </c>
      <c r="E177" s="2" t="inlineStr">
        <is>
          <t>USELESS_USDT_PERP</t>
        </is>
      </c>
      <c r="F177" s="2" t="inlineStr">
        <is>
          <t>做多</t>
        </is>
      </c>
      <c r="G177" s="20" t="n">
        <v>0.22899</v>
      </c>
      <c r="H177" s="20" t="n">
        <v>0.2358597</v>
      </c>
      <c r="I177" s="20" t="n">
        <v>0.2175405</v>
      </c>
      <c r="J177" s="20" t="n"/>
      <c r="K177" s="2" t="n"/>
      <c r="L177" s="5" t="n"/>
      <c r="M177" s="19">
        <f>資金模擬!$B$5*V176</f>
        <v/>
      </c>
      <c r="N177" s="2">
        <f>IF(Z176=1,"已停止",IF(T176&gt;=M177,"已下單","資金不足略過"))</f>
        <v/>
      </c>
      <c r="O177" s="19">
        <f>IF(N177="已下單",M177*資金模擬!$B$7,0)</f>
        <v/>
      </c>
      <c r="P177" s="4" t="n"/>
      <c r="Q177" s="13" t="n">
        <v>0</v>
      </c>
      <c r="R177" s="13">
        <f>R176+Q177</f>
        <v/>
      </c>
      <c r="S177" s="19">
        <f>S176+IF(N177="已下單",M177,0)</f>
        <v/>
      </c>
      <c r="T177" s="19">
        <f>R177-S177</f>
        <v/>
      </c>
      <c r="U177" s="2">
        <f>U176+IF(N177="已下單",1,0)</f>
        <v/>
      </c>
      <c r="V177" s="19">
        <f>IF(資金模擬!$B$9=2,MAX(R177,0),MAX(V176,FLOOR(MAX(R177,0),資金模擬!$B$6)))</f>
        <v/>
      </c>
      <c r="W177" s="13">
        <f>MAX(W176,R177)</f>
        <v/>
      </c>
      <c r="X177" s="4">
        <f>IF(W177&gt;0,R177/W177-1,-1)</f>
        <v/>
      </c>
      <c r="Y177" s="19">
        <f>IF(R177&gt;0,S177*資金模擬!$B$7/R177,0)</f>
        <v/>
      </c>
      <c r="Z177" s="2">
        <f>IF(OR(Z176=1,R177&lt;=資金模擬!$B$10),1,0)</f>
        <v/>
      </c>
    </row>
    <row r="178">
      <c r="A178" s="2" t="n">
        <v>176</v>
      </c>
      <c r="B178" s="7" t="n">
        <v>46272.79166666666</v>
      </c>
      <c r="C178" s="2" t="inlineStr">
        <is>
          <t>出場</t>
        </is>
      </c>
      <c r="D178" s="2" t="n">
        <v>89</v>
      </c>
      <c r="E178" s="2" t="inlineStr">
        <is>
          <t>USELESS_USDT_PERP</t>
        </is>
      </c>
      <c r="F178" s="2" t="inlineStr">
        <is>
          <t>做多</t>
        </is>
      </c>
      <c r="G178" s="20" t="n">
        <v>0.22899</v>
      </c>
      <c r="H178" s="20" t="n">
        <v>0.2358597</v>
      </c>
      <c r="I178" s="20" t="n">
        <v>0.2175405</v>
      </c>
      <c r="J178" s="20" t="n">
        <v>0.2358597</v>
      </c>
      <c r="K178" s="2" t="inlineStr">
        <is>
          <t>止盈</t>
        </is>
      </c>
      <c r="L178" s="5">
        <f>交易明細!K90</f>
        <v/>
      </c>
      <c r="M178" s="19">
        <f>M177</f>
        <v/>
      </c>
      <c r="N178" s="2">
        <f>N177</f>
        <v/>
      </c>
      <c r="O178" s="19">
        <f>O177</f>
        <v/>
      </c>
      <c r="P178" s="4">
        <f>交易明細!L90</f>
        <v/>
      </c>
      <c r="Q178" s="13">
        <f>IF(N178="已下單",O178*P178,0)</f>
        <v/>
      </c>
      <c r="R178" s="13">
        <f>R177+Q178</f>
        <v/>
      </c>
      <c r="S178" s="19">
        <f>S177-IF(N178="已下單",M178,0)</f>
        <v/>
      </c>
      <c r="T178" s="19">
        <f>R178-S178</f>
        <v/>
      </c>
      <c r="U178" s="2">
        <f>U177-IF(N178="已下單",1,0)</f>
        <v/>
      </c>
      <c r="V178" s="19">
        <f>IF(資金模擬!$B$9=2,MAX(R178,0),MAX(V177,FLOOR(MAX(R178,0),資金模擬!$B$6)))</f>
        <v/>
      </c>
      <c r="W178" s="13">
        <f>MAX(W177,R178)</f>
        <v/>
      </c>
      <c r="X178" s="4">
        <f>IF(W178&gt;0,R178/W178-1,-1)</f>
        <v/>
      </c>
      <c r="Y178" s="19">
        <f>IF(R178&gt;0,S178*資金模擬!$B$7/R178,0)</f>
        <v/>
      </c>
      <c r="Z178" s="2">
        <f>IF(OR(Z177=1,R178&lt;=資金模擬!$B$10),1,0)</f>
        <v/>
      </c>
    </row>
    <row r="179">
      <c r="A179" s="2" t="n">
        <v>177</v>
      </c>
      <c r="B179" s="7" t="n">
        <v>46272.875</v>
      </c>
      <c r="C179" s="2" t="inlineStr">
        <is>
          <t>出場</t>
        </is>
      </c>
      <c r="D179" s="2" t="n">
        <v>88</v>
      </c>
      <c r="E179" s="2" t="inlineStr">
        <is>
          <t>UAI_USDT_PERP</t>
        </is>
      </c>
      <c r="F179" s="2" t="inlineStr">
        <is>
          <t>做多</t>
        </is>
      </c>
      <c r="G179" s="20" t="n">
        <v>0.6352</v>
      </c>
      <c r="H179" s="20" t="n">
        <v>0.6542559999999999</v>
      </c>
      <c r="I179" s="20" t="n">
        <v>0.60344</v>
      </c>
      <c r="J179" s="20" t="n">
        <v>0.6542559999999999</v>
      </c>
      <c r="K179" s="2" t="inlineStr">
        <is>
          <t>止盈</t>
        </is>
      </c>
      <c r="L179" s="5">
        <f>交易明細!K89</f>
        <v/>
      </c>
      <c r="M179" s="19">
        <f>M176</f>
        <v/>
      </c>
      <c r="N179" s="2">
        <f>N176</f>
        <v/>
      </c>
      <c r="O179" s="19">
        <f>O176</f>
        <v/>
      </c>
      <c r="P179" s="4">
        <f>交易明細!L89</f>
        <v/>
      </c>
      <c r="Q179" s="13">
        <f>IF(N179="已下單",O179*P179,0)</f>
        <v/>
      </c>
      <c r="R179" s="13">
        <f>R178+Q179</f>
        <v/>
      </c>
      <c r="S179" s="19">
        <f>S178-IF(N179="已下單",M179,0)</f>
        <v/>
      </c>
      <c r="T179" s="19">
        <f>R179-S179</f>
        <v/>
      </c>
      <c r="U179" s="2">
        <f>U178-IF(N179="已下單",1,0)</f>
        <v/>
      </c>
      <c r="V179" s="19">
        <f>IF(資金模擬!$B$9=2,MAX(R179,0),MAX(V178,FLOOR(MAX(R179,0),資金模擬!$B$6)))</f>
        <v/>
      </c>
      <c r="W179" s="13">
        <f>MAX(W178,R179)</f>
        <v/>
      </c>
      <c r="X179" s="4">
        <f>IF(W179&gt;0,R179/W179-1,-1)</f>
        <v/>
      </c>
      <c r="Y179" s="19">
        <f>IF(R179&gt;0,S179*資金模擬!$B$7/R179,0)</f>
        <v/>
      </c>
      <c r="Z179" s="2">
        <f>IF(OR(Z178=1,R179&lt;=資金模擬!$B$10),1,0)</f>
        <v/>
      </c>
    </row>
    <row r="180">
      <c r="A180" s="2" t="n">
        <v>178</v>
      </c>
      <c r="B180" s="7" t="n">
        <v>46272.875</v>
      </c>
      <c r="C180" s="2" t="inlineStr">
        <is>
          <t>進場</t>
        </is>
      </c>
      <c r="D180" s="2" t="n">
        <v>90</v>
      </c>
      <c r="E180" s="2" t="inlineStr">
        <is>
          <t>USELESS_USDT_PERP</t>
        </is>
      </c>
      <c r="F180" s="2" t="inlineStr">
        <is>
          <t>做多</t>
        </is>
      </c>
      <c r="G180" s="20" t="n">
        <v>0.2333</v>
      </c>
      <c r="H180" s="20" t="n">
        <v>0.240299</v>
      </c>
      <c r="I180" s="20" t="n">
        <v>0.221635</v>
      </c>
      <c r="J180" s="20" t="n"/>
      <c r="K180" s="2" t="n"/>
      <c r="L180" s="5" t="n"/>
      <c r="M180" s="19">
        <f>資金模擬!$B$5*V179</f>
        <v/>
      </c>
      <c r="N180" s="2">
        <f>IF(Z179=1,"已停止",IF(T179&gt;=M180,"已下單","資金不足略過"))</f>
        <v/>
      </c>
      <c r="O180" s="19">
        <f>IF(N180="已下單",M180*資金模擬!$B$7,0)</f>
        <v/>
      </c>
      <c r="P180" s="4" t="n"/>
      <c r="Q180" s="13" t="n">
        <v>0</v>
      </c>
      <c r="R180" s="13">
        <f>R179+Q180</f>
        <v/>
      </c>
      <c r="S180" s="19">
        <f>S179+IF(N180="已下單",M180,0)</f>
        <v/>
      </c>
      <c r="T180" s="19">
        <f>R180-S180</f>
        <v/>
      </c>
      <c r="U180" s="2">
        <f>U179+IF(N180="已下單",1,0)</f>
        <v/>
      </c>
      <c r="V180" s="19">
        <f>IF(資金模擬!$B$9=2,MAX(R180,0),MAX(V179,FLOOR(MAX(R180,0),資金模擬!$B$6)))</f>
        <v/>
      </c>
      <c r="W180" s="13">
        <f>MAX(W179,R180)</f>
        <v/>
      </c>
      <c r="X180" s="4">
        <f>IF(W180&gt;0,R180/W180-1,-1)</f>
        <v/>
      </c>
      <c r="Y180" s="19">
        <f>IF(R180&gt;0,S180*資金模擬!$B$7/R180,0)</f>
        <v/>
      </c>
      <c r="Z180" s="2">
        <f>IF(OR(Z179=1,R180&lt;=資金模擬!$B$10),1,0)</f>
        <v/>
      </c>
    </row>
    <row r="181">
      <c r="A181" s="2" t="n">
        <v>179</v>
      </c>
      <c r="B181" s="7" t="n">
        <v>46272.91666666666</v>
      </c>
      <c r="C181" s="2" t="inlineStr">
        <is>
          <t>進場</t>
        </is>
      </c>
      <c r="D181" s="2" t="n">
        <v>91</v>
      </c>
      <c r="E181" s="2" t="inlineStr">
        <is>
          <t>RAY_USDT_PERP</t>
        </is>
      </c>
      <c r="F181" s="2" t="inlineStr">
        <is>
          <t>做空</t>
        </is>
      </c>
      <c r="G181" s="20" t="n">
        <v>1.177</v>
      </c>
      <c r="H181" s="20" t="n">
        <v>1.14169</v>
      </c>
      <c r="I181" s="20" t="n">
        <v>1.23585</v>
      </c>
      <c r="J181" s="20" t="n"/>
      <c r="K181" s="2" t="n"/>
      <c r="L181" s="5" t="n"/>
      <c r="M181" s="19">
        <f>資金模擬!$B$5*V180</f>
        <v/>
      </c>
      <c r="N181" s="2">
        <f>IF(Z180=1,"已停止",IF(T180&gt;=M181,"已下單","資金不足略過"))</f>
        <v/>
      </c>
      <c r="O181" s="19">
        <f>IF(N181="已下單",M181*資金模擬!$B$7,0)</f>
        <v/>
      </c>
      <c r="P181" s="4" t="n"/>
      <c r="Q181" s="13" t="n">
        <v>0</v>
      </c>
      <c r="R181" s="13">
        <f>R180+Q181</f>
        <v/>
      </c>
      <c r="S181" s="19">
        <f>S180+IF(N181="已下單",M181,0)</f>
        <v/>
      </c>
      <c r="T181" s="19">
        <f>R181-S181</f>
        <v/>
      </c>
      <c r="U181" s="2">
        <f>U180+IF(N181="已下單",1,0)</f>
        <v/>
      </c>
      <c r="V181" s="19">
        <f>IF(資金模擬!$B$9=2,MAX(R181,0),MAX(V180,FLOOR(MAX(R181,0),資金模擬!$B$6)))</f>
        <v/>
      </c>
      <c r="W181" s="13">
        <f>MAX(W180,R181)</f>
        <v/>
      </c>
      <c r="X181" s="4">
        <f>IF(W181&gt;0,R181/W181-1,-1)</f>
        <v/>
      </c>
      <c r="Y181" s="19">
        <f>IF(R181&gt;0,S181*資金模擬!$B$7/R181,0)</f>
        <v/>
      </c>
      <c r="Z181" s="2">
        <f>IF(OR(Z180=1,R181&lt;=資金模擬!$B$10),1,0)</f>
        <v/>
      </c>
    </row>
    <row r="182">
      <c r="A182" s="2" t="n">
        <v>180</v>
      </c>
      <c r="B182" s="7" t="n">
        <v>46272.95833333334</v>
      </c>
      <c r="C182" s="2" t="inlineStr">
        <is>
          <t>進場</t>
        </is>
      </c>
      <c r="D182" s="2" t="n">
        <v>92</v>
      </c>
      <c r="E182" s="2" t="inlineStr">
        <is>
          <t>BULLA_USDT_PERP</t>
        </is>
      </c>
      <c r="F182" s="2" t="inlineStr">
        <is>
          <t>做多</t>
        </is>
      </c>
      <c r="G182" s="20" t="n">
        <v>0.08132</v>
      </c>
      <c r="H182" s="20" t="n">
        <v>0.0837596</v>
      </c>
      <c r="I182" s="20" t="n">
        <v>0.077254</v>
      </c>
      <c r="J182" s="20" t="n"/>
      <c r="K182" s="2" t="n"/>
      <c r="L182" s="5" t="n"/>
      <c r="M182" s="19">
        <f>資金模擬!$B$5*V181</f>
        <v/>
      </c>
      <c r="N182" s="2">
        <f>IF(Z181=1,"已停止",IF(T181&gt;=M182,"已下單","資金不足略過"))</f>
        <v/>
      </c>
      <c r="O182" s="19">
        <f>IF(N182="已下單",M182*資金模擬!$B$7,0)</f>
        <v/>
      </c>
      <c r="P182" s="4" t="n"/>
      <c r="Q182" s="13" t="n">
        <v>0</v>
      </c>
      <c r="R182" s="13">
        <f>R181+Q182</f>
        <v/>
      </c>
      <c r="S182" s="19">
        <f>S181+IF(N182="已下單",M182,0)</f>
        <v/>
      </c>
      <c r="T182" s="19">
        <f>R182-S182</f>
        <v/>
      </c>
      <c r="U182" s="2">
        <f>U181+IF(N182="已下單",1,0)</f>
        <v/>
      </c>
      <c r="V182" s="19">
        <f>IF(資金模擬!$B$9=2,MAX(R182,0),MAX(V181,FLOOR(MAX(R182,0),資金模擬!$B$6)))</f>
        <v/>
      </c>
      <c r="W182" s="13">
        <f>MAX(W181,R182)</f>
        <v/>
      </c>
      <c r="X182" s="4">
        <f>IF(W182&gt;0,R182/W182-1,-1)</f>
        <v/>
      </c>
      <c r="Y182" s="19">
        <f>IF(R182&gt;0,S182*資金模擬!$B$7/R182,0)</f>
        <v/>
      </c>
      <c r="Z182" s="2">
        <f>IF(OR(Z181=1,R182&lt;=資金模擬!$B$10),1,0)</f>
        <v/>
      </c>
    </row>
    <row r="183">
      <c r="A183" s="2" t="n">
        <v>181</v>
      </c>
      <c r="B183" s="7" t="n">
        <v>46272.95833333334</v>
      </c>
      <c r="C183" s="2" t="inlineStr">
        <is>
          <t>進場</t>
        </is>
      </c>
      <c r="D183" s="2" t="n">
        <v>93</v>
      </c>
      <c r="E183" s="2" t="inlineStr">
        <is>
          <t>MARSCOIN_USDT_PERP</t>
        </is>
      </c>
      <c r="F183" s="2" t="inlineStr">
        <is>
          <t>做空</t>
        </is>
      </c>
      <c r="G183" s="20" t="n">
        <v>0.16448</v>
      </c>
      <c r="H183" s="20" t="n">
        <v>0.1595456</v>
      </c>
      <c r="I183" s="20" t="n">
        <v>0.172704</v>
      </c>
      <c r="J183" s="20" t="n"/>
      <c r="K183" s="2" t="n"/>
      <c r="L183" s="5" t="n"/>
      <c r="M183" s="19">
        <f>資金模擬!$B$5*V182</f>
        <v/>
      </c>
      <c r="N183" s="2">
        <f>IF(Z182=1,"已停止",IF(T182&gt;=M183,"已下單","資金不足略過"))</f>
        <v/>
      </c>
      <c r="O183" s="19">
        <f>IF(N183="已下單",M183*資金模擬!$B$7,0)</f>
        <v/>
      </c>
      <c r="P183" s="4" t="n"/>
      <c r="Q183" s="13" t="n">
        <v>0</v>
      </c>
      <c r="R183" s="13">
        <f>R182+Q183</f>
        <v/>
      </c>
      <c r="S183" s="19">
        <f>S182+IF(N183="已下單",M183,0)</f>
        <v/>
      </c>
      <c r="T183" s="19">
        <f>R183-S183</f>
        <v/>
      </c>
      <c r="U183" s="2">
        <f>U182+IF(N183="已下單",1,0)</f>
        <v/>
      </c>
      <c r="V183" s="19">
        <f>IF(資金模擬!$B$9=2,MAX(R183,0),MAX(V182,FLOOR(MAX(R183,0),資金模擬!$B$6)))</f>
        <v/>
      </c>
      <c r="W183" s="13">
        <f>MAX(W182,R183)</f>
        <v/>
      </c>
      <c r="X183" s="4">
        <f>IF(W183&gt;0,R183/W183-1,-1)</f>
        <v/>
      </c>
      <c r="Y183" s="19">
        <f>IF(R183&gt;0,S183*資金模擬!$B$7/R183,0)</f>
        <v/>
      </c>
      <c r="Z183" s="2">
        <f>IF(OR(Z182=1,R183&lt;=資金模擬!$B$10),1,0)</f>
        <v/>
      </c>
    </row>
    <row r="184">
      <c r="A184" s="2" t="n">
        <v>182</v>
      </c>
      <c r="B184" s="7" t="n">
        <v>46272.95833333334</v>
      </c>
      <c r="C184" s="2" t="inlineStr">
        <is>
          <t>進場</t>
        </is>
      </c>
      <c r="D184" s="2" t="n">
        <v>94</v>
      </c>
      <c r="E184" s="2" t="inlineStr">
        <is>
          <t>PONS_USDT_PERP</t>
        </is>
      </c>
      <c r="F184" s="2" t="inlineStr">
        <is>
          <t>做空</t>
        </is>
      </c>
      <c r="G184" s="20" t="n">
        <v>0.7688</v>
      </c>
      <c r="H184" s="20" t="n">
        <v>0.7457360000000001</v>
      </c>
      <c r="I184" s="20" t="n">
        <v>0.8072400000000001</v>
      </c>
      <c r="J184" s="20" t="n"/>
      <c r="K184" s="2" t="n"/>
      <c r="L184" s="5" t="n"/>
      <c r="M184" s="19">
        <f>資金模擬!$B$5*V183</f>
        <v/>
      </c>
      <c r="N184" s="2">
        <f>IF(Z183=1,"已停止",IF(T183&gt;=M184,"已下單","資金不足略過"))</f>
        <v/>
      </c>
      <c r="O184" s="19">
        <f>IF(N184="已下單",M184*資金模擬!$B$7,0)</f>
        <v/>
      </c>
      <c r="P184" s="4" t="n"/>
      <c r="Q184" s="13" t="n">
        <v>0</v>
      </c>
      <c r="R184" s="13">
        <f>R183+Q184</f>
        <v/>
      </c>
      <c r="S184" s="19">
        <f>S183+IF(N184="已下單",M184,0)</f>
        <v/>
      </c>
      <c r="T184" s="19">
        <f>R184-S184</f>
        <v/>
      </c>
      <c r="U184" s="2">
        <f>U183+IF(N184="已下單",1,0)</f>
        <v/>
      </c>
      <c r="V184" s="19">
        <f>IF(資金模擬!$B$9=2,MAX(R184,0),MAX(V183,FLOOR(MAX(R184,0),資金模擬!$B$6)))</f>
        <v/>
      </c>
      <c r="W184" s="13">
        <f>MAX(W183,R184)</f>
        <v/>
      </c>
      <c r="X184" s="4">
        <f>IF(W184&gt;0,R184/W184-1,-1)</f>
        <v/>
      </c>
      <c r="Y184" s="19">
        <f>IF(R184&gt;0,S184*資金模擬!$B$7/R184,0)</f>
        <v/>
      </c>
      <c r="Z184" s="2">
        <f>IF(OR(Z183=1,R184&lt;=資金模擬!$B$10),1,0)</f>
        <v/>
      </c>
    </row>
    <row r="185">
      <c r="A185" s="2" t="n">
        <v>183</v>
      </c>
      <c r="B185" s="7" t="n">
        <v>46273</v>
      </c>
      <c r="C185" s="2" t="inlineStr">
        <is>
          <t>出場</t>
        </is>
      </c>
      <c r="D185" s="2" t="n">
        <v>86</v>
      </c>
      <c r="E185" s="2" t="inlineStr">
        <is>
          <t>DASH_USDT_PERP</t>
        </is>
      </c>
      <c r="F185" s="2" t="inlineStr">
        <is>
          <t>做空</t>
        </is>
      </c>
      <c r="G185" s="20" t="n">
        <v>67.29000000000001</v>
      </c>
      <c r="H185" s="20" t="n">
        <v>65.27130000000001</v>
      </c>
      <c r="I185" s="20" t="n">
        <v>70.65450000000001</v>
      </c>
      <c r="J185" s="20" t="n">
        <v>65.27130000000001</v>
      </c>
      <c r="K185" s="2" t="inlineStr">
        <is>
          <t>止盈</t>
        </is>
      </c>
      <c r="L185" s="5">
        <f>交易明細!K87</f>
        <v/>
      </c>
      <c r="M185" s="19">
        <f>M172</f>
        <v/>
      </c>
      <c r="N185" s="2">
        <f>N172</f>
        <v/>
      </c>
      <c r="O185" s="19">
        <f>O172</f>
        <v/>
      </c>
      <c r="P185" s="4">
        <f>交易明細!L87</f>
        <v/>
      </c>
      <c r="Q185" s="13">
        <f>IF(N185="已下單",O185*P185,0)</f>
        <v/>
      </c>
      <c r="R185" s="13">
        <f>R184+Q185</f>
        <v/>
      </c>
      <c r="S185" s="19">
        <f>S184-IF(N185="已下單",M185,0)</f>
        <v/>
      </c>
      <c r="T185" s="19">
        <f>R185-S185</f>
        <v/>
      </c>
      <c r="U185" s="2">
        <f>U184-IF(N185="已下單",1,0)</f>
        <v/>
      </c>
      <c r="V185" s="19">
        <f>IF(資金模擬!$B$9=2,MAX(R185,0),MAX(V184,FLOOR(MAX(R185,0),資金模擬!$B$6)))</f>
        <v/>
      </c>
      <c r="W185" s="13">
        <f>MAX(W184,R185)</f>
        <v/>
      </c>
      <c r="X185" s="4">
        <f>IF(W185&gt;0,R185/W185-1,-1)</f>
        <v/>
      </c>
      <c r="Y185" s="19">
        <f>IF(R185&gt;0,S185*資金模擬!$B$7/R185,0)</f>
        <v/>
      </c>
      <c r="Z185" s="2">
        <f>IF(OR(Z184=1,R185&lt;=資金模擬!$B$10),1,0)</f>
        <v/>
      </c>
    </row>
    <row r="186">
      <c r="A186" s="2" t="n">
        <v>184</v>
      </c>
      <c r="B186" s="7" t="n">
        <v>46273</v>
      </c>
      <c r="C186" s="2" t="inlineStr">
        <is>
          <t>出場</t>
        </is>
      </c>
      <c r="D186" s="2" t="n">
        <v>90</v>
      </c>
      <c r="E186" s="2" t="inlineStr">
        <is>
          <t>USELESS_USDT_PERP</t>
        </is>
      </c>
      <c r="F186" s="2" t="inlineStr">
        <is>
          <t>做多</t>
        </is>
      </c>
      <c r="G186" s="20" t="n">
        <v>0.2333</v>
      </c>
      <c r="H186" s="20" t="n">
        <v>0.240299</v>
      </c>
      <c r="I186" s="20" t="n">
        <v>0.221635</v>
      </c>
      <c r="J186" s="20" t="n">
        <v>0.221635</v>
      </c>
      <c r="K186" s="2" t="inlineStr">
        <is>
          <t>止損</t>
        </is>
      </c>
      <c r="L186" s="5">
        <f>交易明細!K91</f>
        <v/>
      </c>
      <c r="M186" s="19">
        <f>M180</f>
        <v/>
      </c>
      <c r="N186" s="2">
        <f>N180</f>
        <v/>
      </c>
      <c r="O186" s="19">
        <f>O180</f>
        <v/>
      </c>
      <c r="P186" s="4">
        <f>交易明細!L91</f>
        <v/>
      </c>
      <c r="Q186" s="13">
        <f>IF(N186="已下單",O186*P186,0)</f>
        <v/>
      </c>
      <c r="R186" s="13">
        <f>R185+Q186</f>
        <v/>
      </c>
      <c r="S186" s="19">
        <f>S185-IF(N186="已下單",M186,0)</f>
        <v/>
      </c>
      <c r="T186" s="19">
        <f>R186-S186</f>
        <v/>
      </c>
      <c r="U186" s="2">
        <f>U185-IF(N186="已下單",1,0)</f>
        <v/>
      </c>
      <c r="V186" s="19">
        <f>IF(資金模擬!$B$9=2,MAX(R186,0),MAX(V185,FLOOR(MAX(R186,0),資金模擬!$B$6)))</f>
        <v/>
      </c>
      <c r="W186" s="13">
        <f>MAX(W185,R186)</f>
        <v/>
      </c>
      <c r="X186" s="4">
        <f>IF(W186&gt;0,R186/W186-1,-1)</f>
        <v/>
      </c>
      <c r="Y186" s="19">
        <f>IF(R186&gt;0,S186*資金模擬!$B$7/R186,0)</f>
        <v/>
      </c>
      <c r="Z186" s="2">
        <f>IF(OR(Z185=1,R186&lt;=資金模擬!$B$10),1,0)</f>
        <v/>
      </c>
    </row>
    <row r="187">
      <c r="A187" s="2" t="n">
        <v>185</v>
      </c>
      <c r="B187" s="7" t="n">
        <v>46273</v>
      </c>
      <c r="C187" s="2" t="inlineStr">
        <is>
          <t>出場</t>
        </is>
      </c>
      <c r="D187" s="2" t="n">
        <v>93</v>
      </c>
      <c r="E187" s="2" t="inlineStr">
        <is>
          <t>MARSCOIN_USDT_PERP</t>
        </is>
      </c>
      <c r="F187" s="2" t="inlineStr">
        <is>
          <t>做空</t>
        </is>
      </c>
      <c r="G187" s="20" t="n">
        <v>0.16448</v>
      </c>
      <c r="H187" s="20" t="n">
        <v>0.1595456</v>
      </c>
      <c r="I187" s="20" t="n">
        <v>0.172704</v>
      </c>
      <c r="J187" s="20" t="n">
        <v>0.1595456</v>
      </c>
      <c r="K187" s="2" t="inlineStr">
        <is>
          <t>止盈</t>
        </is>
      </c>
      <c r="L187" s="5">
        <f>交易明細!K94</f>
        <v/>
      </c>
      <c r="M187" s="19">
        <f>M183</f>
        <v/>
      </c>
      <c r="N187" s="2">
        <f>N183</f>
        <v/>
      </c>
      <c r="O187" s="19">
        <f>O183</f>
        <v/>
      </c>
      <c r="P187" s="4">
        <f>交易明細!L94</f>
        <v/>
      </c>
      <c r="Q187" s="13">
        <f>IF(N187="已下單",O187*P187,0)</f>
        <v/>
      </c>
      <c r="R187" s="13">
        <f>R186+Q187</f>
        <v/>
      </c>
      <c r="S187" s="19">
        <f>S186-IF(N187="已下單",M187,0)</f>
        <v/>
      </c>
      <c r="T187" s="19">
        <f>R187-S187</f>
        <v/>
      </c>
      <c r="U187" s="2">
        <f>U186-IF(N187="已下單",1,0)</f>
        <v/>
      </c>
      <c r="V187" s="19">
        <f>IF(資金模擬!$B$9=2,MAX(R187,0),MAX(V186,FLOOR(MAX(R187,0),資金模擬!$B$6)))</f>
        <v/>
      </c>
      <c r="W187" s="13">
        <f>MAX(W186,R187)</f>
        <v/>
      </c>
      <c r="X187" s="4">
        <f>IF(W187&gt;0,R187/W187-1,-1)</f>
        <v/>
      </c>
      <c r="Y187" s="19">
        <f>IF(R187&gt;0,S187*資金模擬!$B$7/R187,0)</f>
        <v/>
      </c>
      <c r="Z187" s="2">
        <f>IF(OR(Z186=1,R187&lt;=資金模擬!$B$10),1,0)</f>
        <v/>
      </c>
    </row>
    <row r="188">
      <c r="A188" s="2" t="n">
        <v>186</v>
      </c>
      <c r="B188" s="7" t="n">
        <v>46273</v>
      </c>
      <c r="C188" s="2" t="inlineStr">
        <is>
          <t>出場</t>
        </is>
      </c>
      <c r="D188" s="2" t="n">
        <v>94</v>
      </c>
      <c r="E188" s="2" t="inlineStr">
        <is>
          <t>PONS_USDT_PERP</t>
        </is>
      </c>
      <c r="F188" s="2" t="inlineStr">
        <is>
          <t>做空</t>
        </is>
      </c>
      <c r="G188" s="20" t="n">
        <v>0.7688</v>
      </c>
      <c r="H188" s="20" t="n">
        <v>0.7457360000000001</v>
      </c>
      <c r="I188" s="20" t="n">
        <v>0.8072400000000001</v>
      </c>
      <c r="J188" s="20" t="n">
        <v>0.7457360000000001</v>
      </c>
      <c r="K188" s="2" t="inlineStr">
        <is>
          <t>止盈</t>
        </is>
      </c>
      <c r="L188" s="5">
        <f>交易明細!K95</f>
        <v/>
      </c>
      <c r="M188" s="19">
        <f>M184</f>
        <v/>
      </c>
      <c r="N188" s="2">
        <f>N184</f>
        <v/>
      </c>
      <c r="O188" s="19">
        <f>O184</f>
        <v/>
      </c>
      <c r="P188" s="4">
        <f>交易明細!L95</f>
        <v/>
      </c>
      <c r="Q188" s="13">
        <f>IF(N188="已下單",O188*P188,0)</f>
        <v/>
      </c>
      <c r="R188" s="13">
        <f>R187+Q188</f>
        <v/>
      </c>
      <c r="S188" s="19">
        <f>S187-IF(N188="已下單",M188,0)</f>
        <v/>
      </c>
      <c r="T188" s="19">
        <f>R188-S188</f>
        <v/>
      </c>
      <c r="U188" s="2">
        <f>U187-IF(N188="已下單",1,0)</f>
        <v/>
      </c>
      <c r="V188" s="19">
        <f>IF(資金模擬!$B$9=2,MAX(R188,0),MAX(V187,FLOOR(MAX(R188,0),資金模擬!$B$6)))</f>
        <v/>
      </c>
      <c r="W188" s="13">
        <f>MAX(W187,R188)</f>
        <v/>
      </c>
      <c r="X188" s="4">
        <f>IF(W188&gt;0,R188/W188-1,-1)</f>
        <v/>
      </c>
      <c r="Y188" s="19">
        <f>IF(R188&gt;0,S188*資金模擬!$B$7/R188,0)</f>
        <v/>
      </c>
      <c r="Z188" s="2">
        <f>IF(OR(Z187=1,R188&lt;=資金模擬!$B$10),1,0)</f>
        <v/>
      </c>
    </row>
    <row r="189">
      <c r="A189" s="2" t="n">
        <v>187</v>
      </c>
      <c r="B189" s="7" t="n">
        <v>46273</v>
      </c>
      <c r="C189" s="2" t="inlineStr">
        <is>
          <t>進場</t>
        </is>
      </c>
      <c r="D189" s="2" t="n">
        <v>95</v>
      </c>
      <c r="E189" s="2" t="inlineStr">
        <is>
          <t>NEAR_USDT_PERP</t>
        </is>
      </c>
      <c r="F189" s="2" t="inlineStr">
        <is>
          <t>做空</t>
        </is>
      </c>
      <c r="G189" s="20" t="n">
        <v>2.293</v>
      </c>
      <c r="H189" s="20" t="n">
        <v>2.22421</v>
      </c>
      <c r="I189" s="20" t="n">
        <v>2.40765</v>
      </c>
      <c r="J189" s="20" t="n"/>
      <c r="K189" s="2" t="n"/>
      <c r="L189" s="5" t="n"/>
      <c r="M189" s="19">
        <f>資金模擬!$B$5*V188</f>
        <v/>
      </c>
      <c r="N189" s="2">
        <f>IF(Z188=1,"已停止",IF(T188&gt;=M189,"已下單","資金不足略過"))</f>
        <v/>
      </c>
      <c r="O189" s="19">
        <f>IF(N189="已下單",M189*資金模擬!$B$7,0)</f>
        <v/>
      </c>
      <c r="P189" s="4" t="n"/>
      <c r="Q189" s="13" t="n">
        <v>0</v>
      </c>
      <c r="R189" s="13">
        <f>R188+Q189</f>
        <v/>
      </c>
      <c r="S189" s="19">
        <f>S188+IF(N189="已下單",M189,0)</f>
        <v/>
      </c>
      <c r="T189" s="19">
        <f>R189-S189</f>
        <v/>
      </c>
      <c r="U189" s="2">
        <f>U188+IF(N189="已下單",1,0)</f>
        <v/>
      </c>
      <c r="V189" s="19">
        <f>IF(資金模擬!$B$9=2,MAX(R189,0),MAX(V188,FLOOR(MAX(R189,0),資金模擬!$B$6)))</f>
        <v/>
      </c>
      <c r="W189" s="13">
        <f>MAX(W188,R189)</f>
        <v/>
      </c>
      <c r="X189" s="4">
        <f>IF(W189&gt;0,R189/W189-1,-1)</f>
        <v/>
      </c>
      <c r="Y189" s="19">
        <f>IF(R189&gt;0,S189*資金模擬!$B$7/R189,0)</f>
        <v/>
      </c>
      <c r="Z189" s="2">
        <f>IF(OR(Z188=1,R189&lt;=資金模擬!$B$10),1,0)</f>
        <v/>
      </c>
    </row>
    <row r="190">
      <c r="A190" s="2" t="n">
        <v>188</v>
      </c>
      <c r="B190" s="7" t="n">
        <v>46273</v>
      </c>
      <c r="C190" s="2" t="inlineStr">
        <is>
          <t>進場</t>
        </is>
      </c>
      <c r="D190" s="2" t="n">
        <v>96</v>
      </c>
      <c r="E190" s="2" t="inlineStr">
        <is>
          <t>TAO_USDT_PERP</t>
        </is>
      </c>
      <c r="F190" s="2" t="inlineStr">
        <is>
          <t>做空</t>
        </is>
      </c>
      <c r="G190" s="20" t="n">
        <v>256.91</v>
      </c>
      <c r="H190" s="20" t="n">
        <v>249.2027</v>
      </c>
      <c r="I190" s="20" t="n">
        <v>269.7555</v>
      </c>
      <c r="J190" s="20" t="n"/>
      <c r="K190" s="2" t="n"/>
      <c r="L190" s="5" t="n"/>
      <c r="M190" s="19">
        <f>資金模擬!$B$5*V189</f>
        <v/>
      </c>
      <c r="N190" s="2">
        <f>IF(Z189=1,"已停止",IF(T189&gt;=M190,"已下單","資金不足略過"))</f>
        <v/>
      </c>
      <c r="O190" s="19">
        <f>IF(N190="已下單",M190*資金模擬!$B$7,0)</f>
        <v/>
      </c>
      <c r="P190" s="4" t="n"/>
      <c r="Q190" s="13" t="n">
        <v>0</v>
      </c>
      <c r="R190" s="13">
        <f>R189+Q190</f>
        <v/>
      </c>
      <c r="S190" s="19">
        <f>S189+IF(N190="已下單",M190,0)</f>
        <v/>
      </c>
      <c r="T190" s="19">
        <f>R190-S190</f>
        <v/>
      </c>
      <c r="U190" s="2">
        <f>U189+IF(N190="已下單",1,0)</f>
        <v/>
      </c>
      <c r="V190" s="19">
        <f>IF(資金模擬!$B$9=2,MAX(R190,0),MAX(V189,FLOOR(MAX(R190,0),資金模擬!$B$6)))</f>
        <v/>
      </c>
      <c r="W190" s="13">
        <f>MAX(W189,R190)</f>
        <v/>
      </c>
      <c r="X190" s="4">
        <f>IF(W190&gt;0,R190/W190-1,-1)</f>
        <v/>
      </c>
      <c r="Y190" s="19">
        <f>IF(R190&gt;0,S190*資金模擬!$B$7/R190,0)</f>
        <v/>
      </c>
      <c r="Z190" s="2">
        <f>IF(OR(Z189=1,R190&lt;=資金模擬!$B$10),1,0)</f>
        <v/>
      </c>
    </row>
    <row r="191">
      <c r="A191" s="2" t="n">
        <v>189</v>
      </c>
      <c r="B191" s="7" t="n">
        <v>46273</v>
      </c>
      <c r="C191" s="2" t="inlineStr">
        <is>
          <t>進場</t>
        </is>
      </c>
      <c r="D191" s="2" t="n">
        <v>97</v>
      </c>
      <c r="E191" s="2" t="inlineStr">
        <is>
          <t>UNI_USDT_PERP</t>
        </is>
      </c>
      <c r="F191" s="2" t="inlineStr">
        <is>
          <t>做空</t>
        </is>
      </c>
      <c r="G191" s="20" t="n">
        <v>6.779</v>
      </c>
      <c r="H191" s="20" t="n">
        <v>6.575629999999999</v>
      </c>
      <c r="I191" s="20" t="n">
        <v>7.11795</v>
      </c>
      <c r="J191" s="20" t="n"/>
      <c r="K191" s="2" t="n"/>
      <c r="L191" s="5" t="n"/>
      <c r="M191" s="19">
        <f>資金模擬!$B$5*V190</f>
        <v/>
      </c>
      <c r="N191" s="2">
        <f>IF(Z190=1,"已停止",IF(T190&gt;=M191,"已下單","資金不足略過"))</f>
        <v/>
      </c>
      <c r="O191" s="19">
        <f>IF(N191="已下單",M191*資金模擬!$B$7,0)</f>
        <v/>
      </c>
      <c r="P191" s="4" t="n"/>
      <c r="Q191" s="13" t="n">
        <v>0</v>
      </c>
      <c r="R191" s="13">
        <f>R190+Q191</f>
        <v/>
      </c>
      <c r="S191" s="19">
        <f>S190+IF(N191="已下單",M191,0)</f>
        <v/>
      </c>
      <c r="T191" s="19">
        <f>R191-S191</f>
        <v/>
      </c>
      <c r="U191" s="2">
        <f>U190+IF(N191="已下單",1,0)</f>
        <v/>
      </c>
      <c r="V191" s="19">
        <f>IF(資金模擬!$B$9=2,MAX(R191,0),MAX(V190,FLOOR(MAX(R191,0),資金模擬!$B$6)))</f>
        <v/>
      </c>
      <c r="W191" s="13">
        <f>MAX(W190,R191)</f>
        <v/>
      </c>
      <c r="X191" s="4">
        <f>IF(W191&gt;0,R191/W191-1,-1)</f>
        <v/>
      </c>
      <c r="Y191" s="19">
        <f>IF(R191&gt;0,S191*資金模擬!$B$7/R191,0)</f>
        <v/>
      </c>
      <c r="Z191" s="2">
        <f>IF(OR(Z190=1,R191&lt;=資金模擬!$B$10),1,0)</f>
        <v/>
      </c>
    </row>
    <row r="192">
      <c r="A192" s="2" t="n">
        <v>190</v>
      </c>
      <c r="B192" s="7" t="n">
        <v>46273</v>
      </c>
      <c r="C192" s="2" t="inlineStr">
        <is>
          <t>進場</t>
        </is>
      </c>
      <c r="D192" s="2" t="n">
        <v>98</v>
      </c>
      <c r="E192" s="2" t="inlineStr">
        <is>
          <t>ZEC_USDT_PERP</t>
        </is>
      </c>
      <c r="F192" s="2" t="inlineStr">
        <is>
          <t>做空</t>
        </is>
      </c>
      <c r="G192" s="20" t="n">
        <v>1146.22</v>
      </c>
      <c r="H192" s="20" t="n">
        <v>1111.8334</v>
      </c>
      <c r="I192" s="20" t="n">
        <v>1203.531</v>
      </c>
      <c r="J192" s="20" t="n"/>
      <c r="K192" s="2" t="n"/>
      <c r="L192" s="5" t="n"/>
      <c r="M192" s="19">
        <f>資金模擬!$B$5*V191</f>
        <v/>
      </c>
      <c r="N192" s="2">
        <f>IF(Z191=1,"已停止",IF(T191&gt;=M192,"已下單","資金不足略過"))</f>
        <v/>
      </c>
      <c r="O192" s="19">
        <f>IF(N192="已下單",M192*資金模擬!$B$7,0)</f>
        <v/>
      </c>
      <c r="P192" s="4" t="n"/>
      <c r="Q192" s="13" t="n">
        <v>0</v>
      </c>
      <c r="R192" s="13">
        <f>R191+Q192</f>
        <v/>
      </c>
      <c r="S192" s="19">
        <f>S191+IF(N192="已下單",M192,0)</f>
        <v/>
      </c>
      <c r="T192" s="19">
        <f>R192-S192</f>
        <v/>
      </c>
      <c r="U192" s="2">
        <f>U191+IF(N192="已下單",1,0)</f>
        <v/>
      </c>
      <c r="V192" s="19">
        <f>IF(資金模擬!$B$9=2,MAX(R192,0),MAX(V191,FLOOR(MAX(R192,0),資金模擬!$B$6)))</f>
        <v/>
      </c>
      <c r="W192" s="13">
        <f>MAX(W191,R192)</f>
        <v/>
      </c>
      <c r="X192" s="4">
        <f>IF(W192&gt;0,R192/W192-1,-1)</f>
        <v/>
      </c>
      <c r="Y192" s="19">
        <f>IF(R192&gt;0,S192*資金模擬!$B$7/R192,0)</f>
        <v/>
      </c>
      <c r="Z192" s="2">
        <f>IF(OR(Z191=1,R192&lt;=資金模擬!$B$10),1,0)</f>
        <v/>
      </c>
    </row>
    <row r="193">
      <c r="A193" s="2" t="n">
        <v>191</v>
      </c>
      <c r="B193" s="7" t="n">
        <v>46273.08333333334</v>
      </c>
      <c r="C193" s="2" t="inlineStr">
        <is>
          <t>出場</t>
        </is>
      </c>
      <c r="D193" s="2" t="n">
        <v>92</v>
      </c>
      <c r="E193" s="2" t="inlineStr">
        <is>
          <t>BULLA_USDT_PERP</t>
        </is>
      </c>
      <c r="F193" s="2" t="inlineStr">
        <is>
          <t>做多</t>
        </is>
      </c>
      <c r="G193" s="20" t="n">
        <v>0.08132</v>
      </c>
      <c r="H193" s="20" t="n">
        <v>0.0837596</v>
      </c>
      <c r="I193" s="20" t="n">
        <v>0.077254</v>
      </c>
      <c r="J193" s="20" t="n">
        <v>0.077254</v>
      </c>
      <c r="K193" s="2" t="inlineStr">
        <is>
          <t>止損</t>
        </is>
      </c>
      <c r="L193" s="5">
        <f>交易明細!K93</f>
        <v/>
      </c>
      <c r="M193" s="19">
        <f>M182</f>
        <v/>
      </c>
      <c r="N193" s="2">
        <f>N182</f>
        <v/>
      </c>
      <c r="O193" s="19">
        <f>O182</f>
        <v/>
      </c>
      <c r="P193" s="4">
        <f>交易明細!L93</f>
        <v/>
      </c>
      <c r="Q193" s="13">
        <f>IF(N193="已下單",O193*P193,0)</f>
        <v/>
      </c>
      <c r="R193" s="13">
        <f>R192+Q193</f>
        <v/>
      </c>
      <c r="S193" s="19">
        <f>S192-IF(N193="已下單",M193,0)</f>
        <v/>
      </c>
      <c r="T193" s="19">
        <f>R193-S193</f>
        <v/>
      </c>
      <c r="U193" s="2">
        <f>U192-IF(N193="已下單",1,0)</f>
        <v/>
      </c>
      <c r="V193" s="19">
        <f>IF(資金模擬!$B$9=2,MAX(R193,0),MAX(V192,FLOOR(MAX(R193,0),資金模擬!$B$6)))</f>
        <v/>
      </c>
      <c r="W193" s="13">
        <f>MAX(W192,R193)</f>
        <v/>
      </c>
      <c r="X193" s="4">
        <f>IF(W193&gt;0,R193/W193-1,-1)</f>
        <v/>
      </c>
      <c r="Y193" s="19">
        <f>IF(R193&gt;0,S193*資金模擬!$B$7/R193,0)</f>
        <v/>
      </c>
      <c r="Z193" s="2">
        <f>IF(OR(Z192=1,R193&lt;=資金模擬!$B$10),1,0)</f>
        <v/>
      </c>
    </row>
    <row r="194">
      <c r="A194" s="2" t="n">
        <v>192</v>
      </c>
      <c r="B194" s="7" t="n">
        <v>46273.08333333334</v>
      </c>
      <c r="C194" s="2" t="inlineStr">
        <is>
          <t>進場</t>
        </is>
      </c>
      <c r="D194" s="2" t="n">
        <v>99</v>
      </c>
      <c r="E194" s="2" t="inlineStr">
        <is>
          <t>PUMP_USDT_PERP</t>
        </is>
      </c>
      <c r="F194" s="2" t="inlineStr">
        <is>
          <t>做多</t>
        </is>
      </c>
      <c r="G194" s="20" t="n">
        <v>0.004388</v>
      </c>
      <c r="H194" s="20" t="n">
        <v>0.00451964</v>
      </c>
      <c r="I194" s="20" t="n">
        <v>0.004168600000000001</v>
      </c>
      <c r="J194" s="20" t="n"/>
      <c r="K194" s="2" t="n"/>
      <c r="L194" s="5" t="n"/>
      <c r="M194" s="19">
        <f>資金模擬!$B$5*V193</f>
        <v/>
      </c>
      <c r="N194" s="2">
        <f>IF(Z193=1,"已停止",IF(T193&gt;=M194,"已下單","資金不足略過"))</f>
        <v/>
      </c>
      <c r="O194" s="19">
        <f>IF(N194="已下單",M194*資金模擬!$B$7,0)</f>
        <v/>
      </c>
      <c r="P194" s="4" t="n"/>
      <c r="Q194" s="13" t="n">
        <v>0</v>
      </c>
      <c r="R194" s="13">
        <f>R193+Q194</f>
        <v/>
      </c>
      <c r="S194" s="19">
        <f>S193+IF(N194="已下單",M194,0)</f>
        <v/>
      </c>
      <c r="T194" s="19">
        <f>R194-S194</f>
        <v/>
      </c>
      <c r="U194" s="2">
        <f>U193+IF(N194="已下單",1,0)</f>
        <v/>
      </c>
      <c r="V194" s="19">
        <f>IF(資金模擬!$B$9=2,MAX(R194,0),MAX(V193,FLOOR(MAX(R194,0),資金模擬!$B$6)))</f>
        <v/>
      </c>
      <c r="W194" s="13">
        <f>MAX(W193,R194)</f>
        <v/>
      </c>
      <c r="X194" s="4">
        <f>IF(W194&gt;0,R194/W194-1,-1)</f>
        <v/>
      </c>
      <c r="Y194" s="19">
        <f>IF(R194&gt;0,S194*資金模擬!$B$7/R194,0)</f>
        <v/>
      </c>
      <c r="Z194" s="2">
        <f>IF(OR(Z193=1,R194&lt;=資金模擬!$B$10),1,0)</f>
        <v/>
      </c>
    </row>
    <row r="195">
      <c r="A195" s="2" t="n">
        <v>193</v>
      </c>
      <c r="B195" s="7" t="n">
        <v>46273.125</v>
      </c>
      <c r="C195" s="2" t="inlineStr">
        <is>
          <t>進場</t>
        </is>
      </c>
      <c r="D195" s="2" t="n">
        <v>100</v>
      </c>
      <c r="E195" s="2" t="inlineStr">
        <is>
          <t>DASH_USDT_PERP</t>
        </is>
      </c>
      <c r="F195" s="2" t="inlineStr">
        <is>
          <t>做空</t>
        </is>
      </c>
      <c r="G195" s="20" t="n">
        <v>63.95</v>
      </c>
      <c r="H195" s="20" t="n">
        <v>62.0315</v>
      </c>
      <c r="I195" s="20" t="n">
        <v>67.14750000000001</v>
      </c>
      <c r="J195" s="20" t="n"/>
      <c r="K195" s="2" t="n"/>
      <c r="L195" s="5" t="n"/>
      <c r="M195" s="19">
        <f>資金模擬!$B$5*V194</f>
        <v/>
      </c>
      <c r="N195" s="2">
        <f>IF(Z194=1,"已停止",IF(T194&gt;=M195,"已下單","資金不足略過"))</f>
        <v/>
      </c>
      <c r="O195" s="19">
        <f>IF(N195="已下單",M195*資金模擬!$B$7,0)</f>
        <v/>
      </c>
      <c r="P195" s="4" t="n"/>
      <c r="Q195" s="13" t="n">
        <v>0</v>
      </c>
      <c r="R195" s="13">
        <f>R194+Q195</f>
        <v/>
      </c>
      <c r="S195" s="19">
        <f>S194+IF(N195="已下單",M195,0)</f>
        <v/>
      </c>
      <c r="T195" s="19">
        <f>R195-S195</f>
        <v/>
      </c>
      <c r="U195" s="2">
        <f>U194+IF(N195="已下單",1,0)</f>
        <v/>
      </c>
      <c r="V195" s="19">
        <f>IF(資金模擬!$B$9=2,MAX(R195,0),MAX(V194,FLOOR(MAX(R195,0),資金模擬!$B$6)))</f>
        <v/>
      </c>
      <c r="W195" s="13">
        <f>MAX(W194,R195)</f>
        <v/>
      </c>
      <c r="X195" s="4">
        <f>IF(W195&gt;0,R195/W195-1,-1)</f>
        <v/>
      </c>
      <c r="Y195" s="19">
        <f>IF(R195&gt;0,S195*資金模擬!$B$7/R195,0)</f>
        <v/>
      </c>
      <c r="Z195" s="2">
        <f>IF(OR(Z194=1,R195&lt;=資金模擬!$B$10),1,0)</f>
        <v/>
      </c>
    </row>
    <row r="196">
      <c r="A196" s="2" t="n">
        <v>194</v>
      </c>
      <c r="B196" s="7" t="n">
        <v>46273.25</v>
      </c>
      <c r="C196" s="2" t="inlineStr">
        <is>
          <t>進場</t>
        </is>
      </c>
      <c r="D196" s="2" t="n">
        <v>101</v>
      </c>
      <c r="E196" s="2" t="inlineStr">
        <is>
          <t>USELESS_USDT_PERP</t>
        </is>
      </c>
      <c r="F196" s="2" t="inlineStr">
        <is>
          <t>做多</t>
        </is>
      </c>
      <c r="G196" s="20" t="n">
        <v>0.23052</v>
      </c>
      <c r="H196" s="20" t="n">
        <v>0.2374356</v>
      </c>
      <c r="I196" s="20" t="n">
        <v>0.218994</v>
      </c>
      <c r="J196" s="20" t="n"/>
      <c r="K196" s="2" t="n"/>
      <c r="L196" s="5" t="n"/>
      <c r="M196" s="19">
        <f>資金模擬!$B$5*V195</f>
        <v/>
      </c>
      <c r="N196" s="2">
        <f>IF(Z195=1,"已停止",IF(T195&gt;=M196,"已下單","資金不足略過"))</f>
        <v/>
      </c>
      <c r="O196" s="19">
        <f>IF(N196="已下單",M196*資金模擬!$B$7,0)</f>
        <v/>
      </c>
      <c r="P196" s="4" t="n"/>
      <c r="Q196" s="13" t="n">
        <v>0</v>
      </c>
      <c r="R196" s="13">
        <f>R195+Q196</f>
        <v/>
      </c>
      <c r="S196" s="19">
        <f>S195+IF(N196="已下單",M196,0)</f>
        <v/>
      </c>
      <c r="T196" s="19">
        <f>R196-S196</f>
        <v/>
      </c>
      <c r="U196" s="2">
        <f>U195+IF(N196="已下單",1,0)</f>
        <v/>
      </c>
      <c r="V196" s="19">
        <f>IF(資金模擬!$B$9=2,MAX(R196,0),MAX(V195,FLOOR(MAX(R196,0),資金模擬!$B$6)))</f>
        <v/>
      </c>
      <c r="W196" s="13">
        <f>MAX(W195,R196)</f>
        <v/>
      </c>
      <c r="X196" s="4">
        <f>IF(W196&gt;0,R196/W196-1,-1)</f>
        <v/>
      </c>
      <c r="Y196" s="19">
        <f>IF(R196&gt;0,S196*資金模擬!$B$7/R196,0)</f>
        <v/>
      </c>
      <c r="Z196" s="2">
        <f>IF(OR(Z195=1,R196&lt;=資金模擬!$B$10),1,0)</f>
        <v/>
      </c>
    </row>
    <row r="197">
      <c r="A197" s="2" t="n">
        <v>195</v>
      </c>
      <c r="B197" s="7" t="n">
        <v>46273.29166666666</v>
      </c>
      <c r="C197" s="2" t="inlineStr">
        <is>
          <t>出場</t>
        </is>
      </c>
      <c r="D197" s="2" t="n">
        <v>98</v>
      </c>
      <c r="E197" s="2" t="inlineStr">
        <is>
          <t>ZEC_USDT_PERP</t>
        </is>
      </c>
      <c r="F197" s="2" t="inlineStr">
        <is>
          <t>做空</t>
        </is>
      </c>
      <c r="G197" s="20" t="n">
        <v>1146.22</v>
      </c>
      <c r="H197" s="20" t="n">
        <v>1111.8334</v>
      </c>
      <c r="I197" s="20" t="n">
        <v>1203.531</v>
      </c>
      <c r="J197" s="20" t="n">
        <v>1111.8334</v>
      </c>
      <c r="K197" s="2" t="inlineStr">
        <is>
          <t>止盈</t>
        </is>
      </c>
      <c r="L197" s="5">
        <f>交易明細!K99</f>
        <v/>
      </c>
      <c r="M197" s="19">
        <f>M192</f>
        <v/>
      </c>
      <c r="N197" s="2">
        <f>N192</f>
        <v/>
      </c>
      <c r="O197" s="19">
        <f>O192</f>
        <v/>
      </c>
      <c r="P197" s="4">
        <f>交易明細!L99</f>
        <v/>
      </c>
      <c r="Q197" s="13">
        <f>IF(N197="已下單",O197*P197,0)</f>
        <v/>
      </c>
      <c r="R197" s="13">
        <f>R196+Q197</f>
        <v/>
      </c>
      <c r="S197" s="19">
        <f>S196-IF(N197="已下單",M197,0)</f>
        <v/>
      </c>
      <c r="T197" s="19">
        <f>R197-S197</f>
        <v/>
      </c>
      <c r="U197" s="2">
        <f>U196-IF(N197="已下單",1,0)</f>
        <v/>
      </c>
      <c r="V197" s="19">
        <f>IF(資金模擬!$B$9=2,MAX(R197,0),MAX(V196,FLOOR(MAX(R197,0),資金模擬!$B$6)))</f>
        <v/>
      </c>
      <c r="W197" s="13">
        <f>MAX(W196,R197)</f>
        <v/>
      </c>
      <c r="X197" s="4">
        <f>IF(W197&gt;0,R197/W197-1,-1)</f>
        <v/>
      </c>
      <c r="Y197" s="19">
        <f>IF(R197&gt;0,S197*資金模擬!$B$7/R197,0)</f>
        <v/>
      </c>
      <c r="Z197" s="2">
        <f>IF(OR(Z196=1,R197&lt;=資金模擬!$B$10),1,0)</f>
        <v/>
      </c>
    </row>
    <row r="198">
      <c r="A198" s="2" t="n">
        <v>196</v>
      </c>
      <c r="B198" s="7" t="n">
        <v>46273.375</v>
      </c>
      <c r="C198" s="2" t="inlineStr">
        <is>
          <t>進場</t>
        </is>
      </c>
      <c r="D198" s="2" t="n">
        <v>102</v>
      </c>
      <c r="E198" s="2" t="inlineStr">
        <is>
          <t>MARSCOIN_USDT_PERP</t>
        </is>
      </c>
      <c r="F198" s="2" t="inlineStr">
        <is>
          <t>做空</t>
        </is>
      </c>
      <c r="G198" s="20" t="n">
        <v>0.15102</v>
      </c>
      <c r="H198" s="20" t="n">
        <v>0.1464894</v>
      </c>
      <c r="I198" s="20" t="n">
        <v>0.158571</v>
      </c>
      <c r="J198" s="20" t="n"/>
      <c r="K198" s="2" t="n"/>
      <c r="L198" s="5" t="n"/>
      <c r="M198" s="19">
        <f>資金模擬!$B$5*V197</f>
        <v/>
      </c>
      <c r="N198" s="2">
        <f>IF(Z197=1,"已停止",IF(T197&gt;=M198,"已下單","資金不足略過"))</f>
        <v/>
      </c>
      <c r="O198" s="19">
        <f>IF(N198="已下單",M198*資金模擬!$B$7,0)</f>
        <v/>
      </c>
      <c r="P198" s="4" t="n"/>
      <c r="Q198" s="13" t="n">
        <v>0</v>
      </c>
      <c r="R198" s="13">
        <f>R197+Q198</f>
        <v/>
      </c>
      <c r="S198" s="19">
        <f>S197+IF(N198="已下單",M198,0)</f>
        <v/>
      </c>
      <c r="T198" s="19">
        <f>R198-S198</f>
        <v/>
      </c>
      <c r="U198" s="2">
        <f>U197+IF(N198="已下單",1,0)</f>
        <v/>
      </c>
      <c r="V198" s="19">
        <f>IF(資金模擬!$B$9=2,MAX(R198,0),MAX(V197,FLOOR(MAX(R198,0),資金模擬!$B$6)))</f>
        <v/>
      </c>
      <c r="W198" s="13">
        <f>MAX(W197,R198)</f>
        <v/>
      </c>
      <c r="X198" s="4">
        <f>IF(W198&gt;0,R198/W198-1,-1)</f>
        <v/>
      </c>
      <c r="Y198" s="19">
        <f>IF(R198&gt;0,S198*資金模擬!$B$7/R198,0)</f>
        <v/>
      </c>
      <c r="Z198" s="2">
        <f>IF(OR(Z197=1,R198&lt;=資金模擬!$B$10),1,0)</f>
        <v/>
      </c>
    </row>
    <row r="199">
      <c r="A199" s="2" t="n">
        <v>197</v>
      </c>
      <c r="B199" s="7" t="n">
        <v>46273.41666666666</v>
      </c>
      <c r="C199" s="2" t="inlineStr">
        <is>
          <t>出場</t>
        </is>
      </c>
      <c r="D199" s="2" t="n">
        <v>97</v>
      </c>
      <c r="E199" s="2" t="inlineStr">
        <is>
          <t>UNI_USDT_PERP</t>
        </is>
      </c>
      <c r="F199" s="2" t="inlineStr">
        <is>
          <t>做空</t>
        </is>
      </c>
      <c r="G199" s="20" t="n">
        <v>6.779</v>
      </c>
      <c r="H199" s="20" t="n">
        <v>6.575629999999999</v>
      </c>
      <c r="I199" s="20" t="n">
        <v>7.11795</v>
      </c>
      <c r="J199" s="20" t="n">
        <v>7.11795</v>
      </c>
      <c r="K199" s="2" t="inlineStr">
        <is>
          <t>止損</t>
        </is>
      </c>
      <c r="L199" s="5">
        <f>交易明細!K98</f>
        <v/>
      </c>
      <c r="M199" s="19">
        <f>M191</f>
        <v/>
      </c>
      <c r="N199" s="2">
        <f>N191</f>
        <v/>
      </c>
      <c r="O199" s="19">
        <f>O191</f>
        <v/>
      </c>
      <c r="P199" s="4">
        <f>交易明細!L98</f>
        <v/>
      </c>
      <c r="Q199" s="13">
        <f>IF(N199="已下單",O199*P199,0)</f>
        <v/>
      </c>
      <c r="R199" s="13">
        <f>R198+Q199</f>
        <v/>
      </c>
      <c r="S199" s="19">
        <f>S198-IF(N199="已下單",M199,0)</f>
        <v/>
      </c>
      <c r="T199" s="19">
        <f>R199-S199</f>
        <v/>
      </c>
      <c r="U199" s="2">
        <f>U198-IF(N199="已下單",1,0)</f>
        <v/>
      </c>
      <c r="V199" s="19">
        <f>IF(資金模擬!$B$9=2,MAX(R199,0),MAX(V198,FLOOR(MAX(R199,0),資金模擬!$B$6)))</f>
        <v/>
      </c>
      <c r="W199" s="13">
        <f>MAX(W198,R199)</f>
        <v/>
      </c>
      <c r="X199" s="4">
        <f>IF(W199&gt;0,R199/W199-1,-1)</f>
        <v/>
      </c>
      <c r="Y199" s="19">
        <f>IF(R199&gt;0,S199*資金模擬!$B$7/R199,0)</f>
        <v/>
      </c>
      <c r="Z199" s="2">
        <f>IF(OR(Z198=1,R199&lt;=資金模擬!$B$10),1,0)</f>
        <v/>
      </c>
    </row>
    <row r="200">
      <c r="A200" s="2" t="n">
        <v>198</v>
      </c>
      <c r="B200" s="7" t="n">
        <v>46273.41666666666</v>
      </c>
      <c r="C200" s="2" t="inlineStr">
        <is>
          <t>出場</t>
        </is>
      </c>
      <c r="D200" s="2" t="n">
        <v>99</v>
      </c>
      <c r="E200" s="2" t="inlineStr">
        <is>
          <t>PUMP_USDT_PERP</t>
        </is>
      </c>
      <c r="F200" s="2" t="inlineStr">
        <is>
          <t>做多</t>
        </is>
      </c>
      <c r="G200" s="20" t="n">
        <v>0.004388</v>
      </c>
      <c r="H200" s="20" t="n">
        <v>0.00451964</v>
      </c>
      <c r="I200" s="20" t="n">
        <v>0.004168600000000001</v>
      </c>
      <c r="J200" s="20" t="n">
        <v>0.00451964</v>
      </c>
      <c r="K200" s="2" t="inlineStr">
        <is>
          <t>止盈</t>
        </is>
      </c>
      <c r="L200" s="5">
        <f>交易明細!K100</f>
        <v/>
      </c>
      <c r="M200" s="19">
        <f>M194</f>
        <v/>
      </c>
      <c r="N200" s="2">
        <f>N194</f>
        <v/>
      </c>
      <c r="O200" s="19">
        <f>O194</f>
        <v/>
      </c>
      <c r="P200" s="4">
        <f>交易明細!L100</f>
        <v/>
      </c>
      <c r="Q200" s="13">
        <f>IF(N200="已下單",O200*P200,0)</f>
        <v/>
      </c>
      <c r="R200" s="13">
        <f>R199+Q200</f>
        <v/>
      </c>
      <c r="S200" s="19">
        <f>S199-IF(N200="已下單",M200,0)</f>
        <v/>
      </c>
      <c r="T200" s="19">
        <f>R200-S200</f>
        <v/>
      </c>
      <c r="U200" s="2">
        <f>U199-IF(N200="已下單",1,0)</f>
        <v/>
      </c>
      <c r="V200" s="19">
        <f>IF(資金模擬!$B$9=2,MAX(R200,0),MAX(V199,FLOOR(MAX(R200,0),資金模擬!$B$6)))</f>
        <v/>
      </c>
      <c r="W200" s="13">
        <f>MAX(W199,R200)</f>
        <v/>
      </c>
      <c r="X200" s="4">
        <f>IF(W200&gt;0,R200/W200-1,-1)</f>
        <v/>
      </c>
      <c r="Y200" s="19">
        <f>IF(R200&gt;0,S200*資金模擬!$B$7/R200,0)</f>
        <v/>
      </c>
      <c r="Z200" s="2">
        <f>IF(OR(Z199=1,R200&lt;=資金模擬!$B$10),1,0)</f>
        <v/>
      </c>
    </row>
    <row r="201">
      <c r="A201" s="2" t="n">
        <v>199</v>
      </c>
      <c r="B201" s="7" t="n">
        <v>46273.41666666666</v>
      </c>
      <c r="C201" s="2" t="inlineStr">
        <is>
          <t>進場</t>
        </is>
      </c>
      <c r="D201" s="2" t="n">
        <v>103</v>
      </c>
      <c r="E201" s="2" t="inlineStr">
        <is>
          <t>BULLA_USDT_PERP</t>
        </is>
      </c>
      <c r="F201" s="2" t="inlineStr">
        <is>
          <t>做多</t>
        </is>
      </c>
      <c r="G201" s="20" t="n">
        <v>0.08141</v>
      </c>
      <c r="H201" s="20" t="n">
        <v>0.0838523</v>
      </c>
      <c r="I201" s="20" t="n">
        <v>0.07733949999999999</v>
      </c>
      <c r="J201" s="20" t="n"/>
      <c r="K201" s="2" t="n"/>
      <c r="L201" s="5" t="n"/>
      <c r="M201" s="19">
        <f>資金模擬!$B$5*V200</f>
        <v/>
      </c>
      <c r="N201" s="2">
        <f>IF(Z200=1,"已停止",IF(T200&gt;=M201,"已下單","資金不足略過"))</f>
        <v/>
      </c>
      <c r="O201" s="19">
        <f>IF(N201="已下單",M201*資金模擬!$B$7,0)</f>
        <v/>
      </c>
      <c r="P201" s="4" t="n"/>
      <c r="Q201" s="13" t="n">
        <v>0</v>
      </c>
      <c r="R201" s="13">
        <f>R200+Q201</f>
        <v/>
      </c>
      <c r="S201" s="19">
        <f>S200+IF(N201="已下單",M201,0)</f>
        <v/>
      </c>
      <c r="T201" s="19">
        <f>R201-S201</f>
        <v/>
      </c>
      <c r="U201" s="2">
        <f>U200+IF(N201="已下單",1,0)</f>
        <v/>
      </c>
      <c r="V201" s="19">
        <f>IF(資金模擬!$B$9=2,MAX(R201,0),MAX(V200,FLOOR(MAX(R201,0),資金模擬!$B$6)))</f>
        <v/>
      </c>
      <c r="W201" s="13">
        <f>MAX(W200,R201)</f>
        <v/>
      </c>
      <c r="X201" s="4">
        <f>IF(W201&gt;0,R201/W201-1,-1)</f>
        <v/>
      </c>
      <c r="Y201" s="19">
        <f>IF(R201&gt;0,S201*資金模擬!$B$7/R201,0)</f>
        <v/>
      </c>
      <c r="Z201" s="2">
        <f>IF(OR(Z200=1,R201&lt;=資金模擬!$B$10),1,0)</f>
        <v/>
      </c>
    </row>
    <row r="202">
      <c r="A202" s="2" t="n">
        <v>200</v>
      </c>
      <c r="B202" s="7" t="n">
        <v>46273.41666666666</v>
      </c>
      <c r="C202" s="2" t="inlineStr">
        <is>
          <t>進場</t>
        </is>
      </c>
      <c r="D202" s="2" t="n">
        <v>104</v>
      </c>
      <c r="E202" s="2" t="inlineStr">
        <is>
          <t>IOST_USDT_PERP</t>
        </is>
      </c>
      <c r="F202" s="2" t="inlineStr">
        <is>
          <t>做多</t>
        </is>
      </c>
      <c r="G202" s="20" t="n">
        <v>0.000941</v>
      </c>
      <c r="H202" s="20" t="n">
        <v>0.0009692300000000001</v>
      </c>
      <c r="I202" s="20" t="n">
        <v>0.0008939499999999999</v>
      </c>
      <c r="J202" s="20" t="n"/>
      <c r="K202" s="2" t="n"/>
      <c r="L202" s="5" t="n"/>
      <c r="M202" s="19">
        <f>資金模擬!$B$5*V201</f>
        <v/>
      </c>
      <c r="N202" s="2">
        <f>IF(Z201=1,"已停止",IF(T201&gt;=M202,"已下單","資金不足略過"))</f>
        <v/>
      </c>
      <c r="O202" s="19">
        <f>IF(N202="已下單",M202*資金模擬!$B$7,0)</f>
        <v/>
      </c>
      <c r="P202" s="4" t="n"/>
      <c r="Q202" s="13" t="n">
        <v>0</v>
      </c>
      <c r="R202" s="13">
        <f>R201+Q202</f>
        <v/>
      </c>
      <c r="S202" s="19">
        <f>S201+IF(N202="已下單",M202,0)</f>
        <v/>
      </c>
      <c r="T202" s="19">
        <f>R202-S202</f>
        <v/>
      </c>
      <c r="U202" s="2">
        <f>U201+IF(N202="已下單",1,0)</f>
        <v/>
      </c>
      <c r="V202" s="19">
        <f>IF(資金模擬!$B$9=2,MAX(R202,0),MAX(V201,FLOOR(MAX(R202,0),資金模擬!$B$6)))</f>
        <v/>
      </c>
      <c r="W202" s="13">
        <f>MAX(W201,R202)</f>
        <v/>
      </c>
      <c r="X202" s="4">
        <f>IF(W202&gt;0,R202/W202-1,-1)</f>
        <v/>
      </c>
      <c r="Y202" s="19">
        <f>IF(R202&gt;0,S202*資金模擬!$B$7/R202,0)</f>
        <v/>
      </c>
      <c r="Z202" s="2">
        <f>IF(OR(Z201=1,R202&lt;=資金模擬!$B$10),1,0)</f>
        <v/>
      </c>
    </row>
    <row r="203">
      <c r="A203" s="2" t="n">
        <v>201</v>
      </c>
      <c r="B203" s="7" t="n">
        <v>46273.45833333334</v>
      </c>
      <c r="C203" s="2" t="inlineStr">
        <is>
          <t>出場</t>
        </is>
      </c>
      <c r="D203" s="2" t="n">
        <v>101</v>
      </c>
      <c r="E203" s="2" t="inlineStr">
        <is>
          <t>USELESS_USDT_PERP</t>
        </is>
      </c>
      <c r="F203" s="2" t="inlineStr">
        <is>
          <t>做多</t>
        </is>
      </c>
      <c r="G203" s="20" t="n">
        <v>0.23052</v>
      </c>
      <c r="H203" s="20" t="n">
        <v>0.2374356</v>
      </c>
      <c r="I203" s="20" t="n">
        <v>0.218994</v>
      </c>
      <c r="J203" s="20" t="n">
        <v>0.2374356</v>
      </c>
      <c r="K203" s="2" t="inlineStr">
        <is>
          <t>止盈</t>
        </is>
      </c>
      <c r="L203" s="5">
        <f>交易明細!K102</f>
        <v/>
      </c>
      <c r="M203" s="19">
        <f>M196</f>
        <v/>
      </c>
      <c r="N203" s="2">
        <f>N196</f>
        <v/>
      </c>
      <c r="O203" s="19">
        <f>O196</f>
        <v/>
      </c>
      <c r="P203" s="4">
        <f>交易明細!L102</f>
        <v/>
      </c>
      <c r="Q203" s="13">
        <f>IF(N203="已下單",O203*P203,0)</f>
        <v/>
      </c>
      <c r="R203" s="13">
        <f>R202+Q203</f>
        <v/>
      </c>
      <c r="S203" s="19">
        <f>S202-IF(N203="已下單",M203,0)</f>
        <v/>
      </c>
      <c r="T203" s="19">
        <f>R203-S203</f>
        <v/>
      </c>
      <c r="U203" s="2">
        <f>U202-IF(N203="已下單",1,0)</f>
        <v/>
      </c>
      <c r="V203" s="19">
        <f>IF(資金模擬!$B$9=2,MAX(R203,0),MAX(V202,FLOOR(MAX(R203,0),資金模擬!$B$6)))</f>
        <v/>
      </c>
      <c r="W203" s="13">
        <f>MAX(W202,R203)</f>
        <v/>
      </c>
      <c r="X203" s="4">
        <f>IF(W203&gt;0,R203/W203-1,-1)</f>
        <v/>
      </c>
      <c r="Y203" s="19">
        <f>IF(R203&gt;0,S203*資金模擬!$B$7/R203,0)</f>
        <v/>
      </c>
      <c r="Z203" s="2">
        <f>IF(OR(Z202=1,R203&lt;=資金模擬!$B$10),1,0)</f>
        <v/>
      </c>
    </row>
    <row r="204">
      <c r="A204" s="2" t="n">
        <v>202</v>
      </c>
      <c r="B204" s="7" t="n">
        <v>46273.45833333334</v>
      </c>
      <c r="C204" s="2" t="inlineStr">
        <is>
          <t>進場</t>
        </is>
      </c>
      <c r="D204" s="2" t="n">
        <v>105</v>
      </c>
      <c r="E204" s="2" t="inlineStr">
        <is>
          <t>AKE_USDT_PERP</t>
        </is>
      </c>
      <c r="F204" s="2" t="inlineStr">
        <is>
          <t>做多</t>
        </is>
      </c>
      <c r="G204" s="20" t="n">
        <v>0.0169276</v>
      </c>
      <c r="H204" s="20" t="n">
        <v>0.017435428</v>
      </c>
      <c r="I204" s="20" t="n">
        <v>0.01608122</v>
      </c>
      <c r="J204" s="20" t="n"/>
      <c r="K204" s="2" t="n"/>
      <c r="L204" s="5" t="n"/>
      <c r="M204" s="19">
        <f>資金模擬!$B$5*V203</f>
        <v/>
      </c>
      <c r="N204" s="2">
        <f>IF(Z203=1,"已停止",IF(T203&gt;=M204,"已下單","資金不足略過"))</f>
        <v/>
      </c>
      <c r="O204" s="19">
        <f>IF(N204="已下單",M204*資金模擬!$B$7,0)</f>
        <v/>
      </c>
      <c r="P204" s="4" t="n"/>
      <c r="Q204" s="13" t="n">
        <v>0</v>
      </c>
      <c r="R204" s="13">
        <f>R203+Q204</f>
        <v/>
      </c>
      <c r="S204" s="19">
        <f>S203+IF(N204="已下單",M204,0)</f>
        <v/>
      </c>
      <c r="T204" s="19">
        <f>R204-S204</f>
        <v/>
      </c>
      <c r="U204" s="2">
        <f>U203+IF(N204="已下單",1,0)</f>
        <v/>
      </c>
      <c r="V204" s="19">
        <f>IF(資金模擬!$B$9=2,MAX(R204,0),MAX(V203,FLOOR(MAX(R204,0),資金模擬!$B$6)))</f>
        <v/>
      </c>
      <c r="W204" s="13">
        <f>MAX(W203,R204)</f>
        <v/>
      </c>
      <c r="X204" s="4">
        <f>IF(W204&gt;0,R204/W204-1,-1)</f>
        <v/>
      </c>
      <c r="Y204" s="19">
        <f>IF(R204&gt;0,S204*資金模擬!$B$7/R204,0)</f>
        <v/>
      </c>
      <c r="Z204" s="2">
        <f>IF(OR(Z203=1,R204&lt;=資金模擬!$B$10),1,0)</f>
        <v/>
      </c>
    </row>
    <row r="205">
      <c r="A205" s="2" t="n">
        <v>203</v>
      </c>
      <c r="B205" s="7" t="n">
        <v>46273.45833333334</v>
      </c>
      <c r="C205" s="2" t="inlineStr">
        <is>
          <t>進場</t>
        </is>
      </c>
      <c r="D205" s="2" t="n">
        <v>106</v>
      </c>
      <c r="E205" s="2" t="inlineStr">
        <is>
          <t>PONS_USDT_PERP</t>
        </is>
      </c>
      <c r="F205" s="2" t="inlineStr">
        <is>
          <t>做空</t>
        </is>
      </c>
      <c r="G205" s="20" t="n">
        <v>0.7033</v>
      </c>
      <c r="H205" s="20" t="n">
        <v>0.6822010000000001</v>
      </c>
      <c r="I205" s="20" t="n">
        <v>0.738465</v>
      </c>
      <c r="J205" s="20" t="n"/>
      <c r="K205" s="2" t="n"/>
      <c r="L205" s="5" t="n"/>
      <c r="M205" s="19">
        <f>資金模擬!$B$5*V204</f>
        <v/>
      </c>
      <c r="N205" s="2">
        <f>IF(Z204=1,"已停止",IF(T204&gt;=M205,"已下單","資金不足略過"))</f>
        <v/>
      </c>
      <c r="O205" s="19">
        <f>IF(N205="已下單",M205*資金模擬!$B$7,0)</f>
        <v/>
      </c>
      <c r="P205" s="4" t="n"/>
      <c r="Q205" s="13" t="n">
        <v>0</v>
      </c>
      <c r="R205" s="13">
        <f>R204+Q205</f>
        <v/>
      </c>
      <c r="S205" s="19">
        <f>S204+IF(N205="已下單",M205,0)</f>
        <v/>
      </c>
      <c r="T205" s="19">
        <f>R205-S205</f>
        <v/>
      </c>
      <c r="U205" s="2">
        <f>U204+IF(N205="已下單",1,0)</f>
        <v/>
      </c>
      <c r="V205" s="19">
        <f>IF(資金模擬!$B$9=2,MAX(R205,0),MAX(V204,FLOOR(MAX(R205,0),資金模擬!$B$6)))</f>
        <v/>
      </c>
      <c r="W205" s="13">
        <f>MAX(W204,R205)</f>
        <v/>
      </c>
      <c r="X205" s="4">
        <f>IF(W205&gt;0,R205/W205-1,-1)</f>
        <v/>
      </c>
      <c r="Y205" s="19">
        <f>IF(R205&gt;0,S205*資金模擬!$B$7/R205,0)</f>
        <v/>
      </c>
      <c r="Z205" s="2">
        <f>IF(OR(Z204=1,R205&lt;=資金模擬!$B$10),1,0)</f>
        <v/>
      </c>
    </row>
    <row r="206">
      <c r="A206" s="2" t="n">
        <v>204</v>
      </c>
      <c r="B206" s="7" t="n">
        <v>46273.5</v>
      </c>
      <c r="C206" s="2" t="inlineStr">
        <is>
          <t>出場</t>
        </is>
      </c>
      <c r="D206" s="2" t="n">
        <v>91</v>
      </c>
      <c r="E206" s="2" t="inlineStr">
        <is>
          <t>RAY_USDT_PERP</t>
        </is>
      </c>
      <c r="F206" s="2" t="inlineStr">
        <is>
          <t>做空</t>
        </is>
      </c>
      <c r="G206" s="20" t="n">
        <v>1.177</v>
      </c>
      <c r="H206" s="20" t="n">
        <v>1.14169</v>
      </c>
      <c r="I206" s="20" t="n">
        <v>1.23585</v>
      </c>
      <c r="J206" s="20" t="n">
        <v>1.23585</v>
      </c>
      <c r="K206" s="2" t="inlineStr">
        <is>
          <t>止損</t>
        </is>
      </c>
      <c r="L206" s="5">
        <f>交易明細!K92</f>
        <v/>
      </c>
      <c r="M206" s="19">
        <f>M181</f>
        <v/>
      </c>
      <c r="N206" s="2">
        <f>N181</f>
        <v/>
      </c>
      <c r="O206" s="19">
        <f>O181</f>
        <v/>
      </c>
      <c r="P206" s="4">
        <f>交易明細!L92</f>
        <v/>
      </c>
      <c r="Q206" s="13">
        <f>IF(N206="已下單",O206*P206,0)</f>
        <v/>
      </c>
      <c r="R206" s="13">
        <f>R205+Q206</f>
        <v/>
      </c>
      <c r="S206" s="19">
        <f>S205-IF(N206="已下單",M206,0)</f>
        <v/>
      </c>
      <c r="T206" s="19">
        <f>R206-S206</f>
        <v/>
      </c>
      <c r="U206" s="2">
        <f>U205-IF(N206="已下單",1,0)</f>
        <v/>
      </c>
      <c r="V206" s="19">
        <f>IF(資金模擬!$B$9=2,MAX(R206,0),MAX(V205,FLOOR(MAX(R206,0),資金模擬!$B$6)))</f>
        <v/>
      </c>
      <c r="W206" s="13">
        <f>MAX(W205,R206)</f>
        <v/>
      </c>
      <c r="X206" s="4">
        <f>IF(W206&gt;0,R206/W206-1,-1)</f>
        <v/>
      </c>
      <c r="Y206" s="19">
        <f>IF(R206&gt;0,S206*資金模擬!$B$7/R206,0)</f>
        <v/>
      </c>
      <c r="Z206" s="2">
        <f>IF(OR(Z205=1,R206&lt;=資金模擬!$B$10),1,0)</f>
        <v/>
      </c>
    </row>
    <row r="207">
      <c r="A207" s="2" t="n">
        <v>205</v>
      </c>
      <c r="B207" s="7" t="n">
        <v>46273.5</v>
      </c>
      <c r="C207" s="2" t="inlineStr">
        <is>
          <t>出場</t>
        </is>
      </c>
      <c r="D207" s="2" t="n">
        <v>102</v>
      </c>
      <c r="E207" s="2" t="inlineStr">
        <is>
          <t>MARSCOIN_USDT_PERP</t>
        </is>
      </c>
      <c r="F207" s="2" t="inlineStr">
        <is>
          <t>做空</t>
        </is>
      </c>
      <c r="G207" s="20" t="n">
        <v>0.15102</v>
      </c>
      <c r="H207" s="20" t="n">
        <v>0.1464894</v>
      </c>
      <c r="I207" s="20" t="n">
        <v>0.158571</v>
      </c>
      <c r="J207" s="20" t="n">
        <v>0.1464894</v>
      </c>
      <c r="K207" s="2" t="inlineStr">
        <is>
          <t>止盈</t>
        </is>
      </c>
      <c r="L207" s="5">
        <f>交易明細!K103</f>
        <v/>
      </c>
      <c r="M207" s="19">
        <f>M198</f>
        <v/>
      </c>
      <c r="N207" s="2">
        <f>N198</f>
        <v/>
      </c>
      <c r="O207" s="19">
        <f>O198</f>
        <v/>
      </c>
      <c r="P207" s="4">
        <f>交易明細!L103</f>
        <v/>
      </c>
      <c r="Q207" s="13">
        <f>IF(N207="已下單",O207*P207,0)</f>
        <v/>
      </c>
      <c r="R207" s="13">
        <f>R206+Q207</f>
        <v/>
      </c>
      <c r="S207" s="19">
        <f>S206-IF(N207="已下單",M207,0)</f>
        <v/>
      </c>
      <c r="T207" s="19">
        <f>R207-S207</f>
        <v/>
      </c>
      <c r="U207" s="2">
        <f>U206-IF(N207="已下單",1,0)</f>
        <v/>
      </c>
      <c r="V207" s="19">
        <f>IF(資金模擬!$B$9=2,MAX(R207,0),MAX(V206,FLOOR(MAX(R207,0),資金模擬!$B$6)))</f>
        <v/>
      </c>
      <c r="W207" s="13">
        <f>MAX(W206,R207)</f>
        <v/>
      </c>
      <c r="X207" s="4">
        <f>IF(W207&gt;0,R207/W207-1,-1)</f>
        <v/>
      </c>
      <c r="Y207" s="19">
        <f>IF(R207&gt;0,S207*資金模擬!$B$7/R207,0)</f>
        <v/>
      </c>
      <c r="Z207" s="2">
        <f>IF(OR(Z206=1,R207&lt;=資金模擬!$B$10),1,0)</f>
        <v/>
      </c>
    </row>
    <row r="208">
      <c r="A208" s="2" t="n">
        <v>206</v>
      </c>
      <c r="B208" s="7" t="n">
        <v>46273.5</v>
      </c>
      <c r="C208" s="2" t="inlineStr">
        <is>
          <t>出場</t>
        </is>
      </c>
      <c r="D208" s="2" t="n">
        <v>104</v>
      </c>
      <c r="E208" s="2" t="inlineStr">
        <is>
          <t>IOST_USDT_PERP</t>
        </is>
      </c>
      <c r="F208" s="2" t="inlineStr">
        <is>
          <t>做多</t>
        </is>
      </c>
      <c r="G208" s="20" t="n">
        <v>0.000941</v>
      </c>
      <c r="H208" s="20" t="n">
        <v>0.0009692300000000001</v>
      </c>
      <c r="I208" s="20" t="n">
        <v>0.0008939499999999999</v>
      </c>
      <c r="J208" s="20" t="n">
        <v>0.0009692300000000001</v>
      </c>
      <c r="K208" s="2" t="inlineStr">
        <is>
          <t>止盈</t>
        </is>
      </c>
      <c r="L208" s="5">
        <f>交易明細!K105</f>
        <v/>
      </c>
      <c r="M208" s="19">
        <f>M202</f>
        <v/>
      </c>
      <c r="N208" s="2">
        <f>N202</f>
        <v/>
      </c>
      <c r="O208" s="19">
        <f>O202</f>
        <v/>
      </c>
      <c r="P208" s="4">
        <f>交易明細!L105</f>
        <v/>
      </c>
      <c r="Q208" s="13">
        <f>IF(N208="已下單",O208*P208,0)</f>
        <v/>
      </c>
      <c r="R208" s="13">
        <f>R207+Q208</f>
        <v/>
      </c>
      <c r="S208" s="19">
        <f>S207-IF(N208="已下單",M208,0)</f>
        <v/>
      </c>
      <c r="T208" s="19">
        <f>R208-S208</f>
        <v/>
      </c>
      <c r="U208" s="2">
        <f>U207-IF(N208="已下單",1,0)</f>
        <v/>
      </c>
      <c r="V208" s="19">
        <f>IF(資金模擬!$B$9=2,MAX(R208,0),MAX(V207,FLOOR(MAX(R208,0),資金模擬!$B$6)))</f>
        <v/>
      </c>
      <c r="W208" s="13">
        <f>MAX(W207,R208)</f>
        <v/>
      </c>
      <c r="X208" s="4">
        <f>IF(W208&gt;0,R208/W208-1,-1)</f>
        <v/>
      </c>
      <c r="Y208" s="19">
        <f>IF(R208&gt;0,S208*資金模擬!$B$7/R208,0)</f>
        <v/>
      </c>
      <c r="Z208" s="2">
        <f>IF(OR(Z207=1,R208&lt;=資金模擬!$B$10),1,0)</f>
        <v/>
      </c>
    </row>
    <row r="209">
      <c r="A209" s="2" t="n">
        <v>207</v>
      </c>
      <c r="B209" s="7" t="n">
        <v>46273.5</v>
      </c>
      <c r="C209" s="2" t="inlineStr">
        <is>
          <t>出場</t>
        </is>
      </c>
      <c r="D209" s="2" t="n">
        <v>105</v>
      </c>
      <c r="E209" s="2" t="inlineStr">
        <is>
          <t>AKE_USDT_PERP</t>
        </is>
      </c>
      <c r="F209" s="2" t="inlineStr">
        <is>
          <t>做多</t>
        </is>
      </c>
      <c r="G209" s="20" t="n">
        <v>0.0169276</v>
      </c>
      <c r="H209" s="20" t="n">
        <v>0.017435428</v>
      </c>
      <c r="I209" s="20" t="n">
        <v>0.01608122</v>
      </c>
      <c r="J209" s="20" t="n">
        <v>0.017435428</v>
      </c>
      <c r="K209" s="2" t="inlineStr">
        <is>
          <t>止盈</t>
        </is>
      </c>
      <c r="L209" s="5">
        <f>交易明細!K106</f>
        <v/>
      </c>
      <c r="M209" s="19">
        <f>M204</f>
        <v/>
      </c>
      <c r="N209" s="2">
        <f>N204</f>
        <v/>
      </c>
      <c r="O209" s="19">
        <f>O204</f>
        <v/>
      </c>
      <c r="P209" s="4">
        <f>交易明細!L106</f>
        <v/>
      </c>
      <c r="Q209" s="13">
        <f>IF(N209="已下單",O209*P209,0)</f>
        <v/>
      </c>
      <c r="R209" s="13">
        <f>R208+Q209</f>
        <v/>
      </c>
      <c r="S209" s="19">
        <f>S208-IF(N209="已下單",M209,0)</f>
        <v/>
      </c>
      <c r="T209" s="19">
        <f>R209-S209</f>
        <v/>
      </c>
      <c r="U209" s="2">
        <f>U208-IF(N209="已下單",1,0)</f>
        <v/>
      </c>
      <c r="V209" s="19">
        <f>IF(資金模擬!$B$9=2,MAX(R209,0),MAX(V208,FLOOR(MAX(R209,0),資金模擬!$B$6)))</f>
        <v/>
      </c>
      <c r="W209" s="13">
        <f>MAX(W208,R209)</f>
        <v/>
      </c>
      <c r="X209" s="4">
        <f>IF(W209&gt;0,R209/W209-1,-1)</f>
        <v/>
      </c>
      <c r="Y209" s="19">
        <f>IF(R209&gt;0,S209*資金模擬!$B$7/R209,0)</f>
        <v/>
      </c>
      <c r="Z209" s="2">
        <f>IF(OR(Z208=1,R209&lt;=資金模擬!$B$10),1,0)</f>
        <v/>
      </c>
    </row>
    <row r="210">
      <c r="A210" s="2" t="n">
        <v>208</v>
      </c>
      <c r="B210" s="7" t="n">
        <v>46273.5</v>
      </c>
      <c r="C210" s="2" t="inlineStr">
        <is>
          <t>出場</t>
        </is>
      </c>
      <c r="D210" s="2" t="n">
        <v>106</v>
      </c>
      <c r="E210" s="2" t="inlineStr">
        <is>
          <t>PONS_USDT_PERP</t>
        </is>
      </c>
      <c r="F210" s="2" t="inlineStr">
        <is>
          <t>做空</t>
        </is>
      </c>
      <c r="G210" s="20" t="n">
        <v>0.7033</v>
      </c>
      <c r="H210" s="20" t="n">
        <v>0.6822010000000001</v>
      </c>
      <c r="I210" s="20" t="n">
        <v>0.738465</v>
      </c>
      <c r="J210" s="20" t="n">
        <v>0.6822010000000001</v>
      </c>
      <c r="K210" s="2" t="inlineStr">
        <is>
          <t>止盈</t>
        </is>
      </c>
      <c r="L210" s="5">
        <f>交易明細!K107</f>
        <v/>
      </c>
      <c r="M210" s="19">
        <f>M205</f>
        <v/>
      </c>
      <c r="N210" s="2">
        <f>N205</f>
        <v/>
      </c>
      <c r="O210" s="19">
        <f>O205</f>
        <v/>
      </c>
      <c r="P210" s="4">
        <f>交易明細!L107</f>
        <v/>
      </c>
      <c r="Q210" s="13">
        <f>IF(N210="已下單",O210*P210,0)</f>
        <v/>
      </c>
      <c r="R210" s="13">
        <f>R209+Q210</f>
        <v/>
      </c>
      <c r="S210" s="19">
        <f>S209-IF(N210="已下單",M210,0)</f>
        <v/>
      </c>
      <c r="T210" s="19">
        <f>R210-S210</f>
        <v/>
      </c>
      <c r="U210" s="2">
        <f>U209-IF(N210="已下單",1,0)</f>
        <v/>
      </c>
      <c r="V210" s="19">
        <f>IF(資金模擬!$B$9=2,MAX(R210,0),MAX(V209,FLOOR(MAX(R210,0),資金模擬!$B$6)))</f>
        <v/>
      </c>
      <c r="W210" s="13">
        <f>MAX(W209,R210)</f>
        <v/>
      </c>
      <c r="X210" s="4">
        <f>IF(W210&gt;0,R210/W210-1,-1)</f>
        <v/>
      </c>
      <c r="Y210" s="19">
        <f>IF(R210&gt;0,S210*資金模擬!$B$7/R210,0)</f>
        <v/>
      </c>
      <c r="Z210" s="2">
        <f>IF(OR(Z209=1,R210&lt;=資金模擬!$B$10),1,0)</f>
        <v/>
      </c>
    </row>
    <row r="211">
      <c r="A211" s="2" t="n">
        <v>209</v>
      </c>
      <c r="B211" s="7" t="n">
        <v>46273.5</v>
      </c>
      <c r="C211" s="2" t="inlineStr">
        <is>
          <t>進場</t>
        </is>
      </c>
      <c r="D211" s="2" t="n">
        <v>107</v>
      </c>
      <c r="E211" s="2" t="inlineStr">
        <is>
          <t>LIT_USDT_PERP</t>
        </is>
      </c>
      <c r="F211" s="2" t="inlineStr">
        <is>
          <t>做空</t>
        </is>
      </c>
      <c r="G211" s="20" t="n">
        <v>4.589</v>
      </c>
      <c r="H211" s="20" t="n">
        <v>4.45133</v>
      </c>
      <c r="I211" s="20" t="n">
        <v>4.81845</v>
      </c>
      <c r="J211" s="20" t="n"/>
      <c r="K211" s="2" t="n"/>
      <c r="L211" s="5" t="n"/>
      <c r="M211" s="19">
        <f>資金模擬!$B$5*V210</f>
        <v/>
      </c>
      <c r="N211" s="2">
        <f>IF(Z210=1,"已停止",IF(T210&gt;=M211,"已下單","資金不足略過"))</f>
        <v/>
      </c>
      <c r="O211" s="19">
        <f>IF(N211="已下單",M211*資金模擬!$B$7,0)</f>
        <v/>
      </c>
      <c r="P211" s="4" t="n"/>
      <c r="Q211" s="13" t="n">
        <v>0</v>
      </c>
      <c r="R211" s="13">
        <f>R210+Q211</f>
        <v/>
      </c>
      <c r="S211" s="19">
        <f>S210+IF(N211="已下單",M211,0)</f>
        <v/>
      </c>
      <c r="T211" s="19">
        <f>R211-S211</f>
        <v/>
      </c>
      <c r="U211" s="2">
        <f>U210+IF(N211="已下單",1,0)</f>
        <v/>
      </c>
      <c r="V211" s="19">
        <f>IF(資金模擬!$B$9=2,MAX(R211,0),MAX(V210,FLOOR(MAX(R211,0),資金模擬!$B$6)))</f>
        <v/>
      </c>
      <c r="W211" s="13">
        <f>MAX(W210,R211)</f>
        <v/>
      </c>
      <c r="X211" s="4">
        <f>IF(W211&gt;0,R211/W211-1,-1)</f>
        <v/>
      </c>
      <c r="Y211" s="19">
        <f>IF(R211&gt;0,S211*資金模擬!$B$7/R211,0)</f>
        <v/>
      </c>
      <c r="Z211" s="2">
        <f>IF(OR(Z210=1,R211&lt;=資金模擬!$B$10),1,0)</f>
        <v/>
      </c>
    </row>
    <row r="212">
      <c r="A212" s="2" t="n">
        <v>210</v>
      </c>
      <c r="B212" s="7" t="n">
        <v>46273.54166666666</v>
      </c>
      <c r="C212" s="2" t="inlineStr">
        <is>
          <t>進場</t>
        </is>
      </c>
      <c r="D212" s="2" t="n">
        <v>108</v>
      </c>
      <c r="E212" s="2" t="inlineStr">
        <is>
          <t>ACE_USDT_PERP</t>
        </is>
      </c>
      <c r="F212" s="2" t="inlineStr">
        <is>
          <t>做空</t>
        </is>
      </c>
      <c r="G212" s="20" t="n">
        <v>0.17709</v>
      </c>
      <c r="H212" s="20" t="n">
        <v>0.1717773</v>
      </c>
      <c r="I212" s="20" t="n">
        <v>0.1859445</v>
      </c>
      <c r="J212" s="20" t="n"/>
      <c r="K212" s="2" t="n"/>
      <c r="L212" s="5" t="n"/>
      <c r="M212" s="19">
        <f>資金模擬!$B$5*V211</f>
        <v/>
      </c>
      <c r="N212" s="2">
        <f>IF(Z211=1,"已停止",IF(T211&gt;=M212,"已下單","資金不足略過"))</f>
        <v/>
      </c>
      <c r="O212" s="19">
        <f>IF(N212="已下單",M212*資金模擬!$B$7,0)</f>
        <v/>
      </c>
      <c r="P212" s="4" t="n"/>
      <c r="Q212" s="13" t="n">
        <v>0</v>
      </c>
      <c r="R212" s="13">
        <f>R211+Q212</f>
        <v/>
      </c>
      <c r="S212" s="19">
        <f>S211+IF(N212="已下單",M212,0)</f>
        <v/>
      </c>
      <c r="T212" s="19">
        <f>R212-S212</f>
        <v/>
      </c>
      <c r="U212" s="2">
        <f>U211+IF(N212="已下單",1,0)</f>
        <v/>
      </c>
      <c r="V212" s="19">
        <f>IF(資金模擬!$B$9=2,MAX(R212,0),MAX(V211,FLOOR(MAX(R212,0),資金模擬!$B$6)))</f>
        <v/>
      </c>
      <c r="W212" s="13">
        <f>MAX(W211,R212)</f>
        <v/>
      </c>
      <c r="X212" s="4">
        <f>IF(W212&gt;0,R212/W212-1,-1)</f>
        <v/>
      </c>
      <c r="Y212" s="19">
        <f>IF(R212&gt;0,S212*資金模擬!$B$7/R212,0)</f>
        <v/>
      </c>
      <c r="Z212" s="2">
        <f>IF(OR(Z211=1,R212&lt;=資金模擬!$B$10),1,0)</f>
        <v/>
      </c>
    </row>
    <row r="213">
      <c r="A213" s="2" t="n">
        <v>211</v>
      </c>
      <c r="B213" s="7" t="n">
        <v>46273.54166666666</v>
      </c>
      <c r="C213" s="2" t="inlineStr">
        <is>
          <t>進場</t>
        </is>
      </c>
      <c r="D213" s="2" t="n">
        <v>109</v>
      </c>
      <c r="E213" s="2" t="inlineStr">
        <is>
          <t>KAS_USDT_PERP</t>
        </is>
      </c>
      <c r="F213" s="2" t="inlineStr">
        <is>
          <t>做空</t>
        </is>
      </c>
      <c r="G213" s="20" t="n">
        <v>0.03482</v>
      </c>
      <c r="H213" s="20" t="n">
        <v>0.0337754</v>
      </c>
      <c r="I213" s="20" t="n">
        <v>0.036561</v>
      </c>
      <c r="J213" s="20" t="n"/>
      <c r="K213" s="2" t="n"/>
      <c r="L213" s="5" t="n"/>
      <c r="M213" s="19">
        <f>資金模擬!$B$5*V212</f>
        <v/>
      </c>
      <c r="N213" s="2">
        <f>IF(Z212=1,"已停止",IF(T212&gt;=M213,"已下單","資金不足略過"))</f>
        <v/>
      </c>
      <c r="O213" s="19">
        <f>IF(N213="已下單",M213*資金模擬!$B$7,0)</f>
        <v/>
      </c>
      <c r="P213" s="4" t="n"/>
      <c r="Q213" s="13" t="n">
        <v>0</v>
      </c>
      <c r="R213" s="13">
        <f>R212+Q213</f>
        <v/>
      </c>
      <c r="S213" s="19">
        <f>S212+IF(N213="已下單",M213,0)</f>
        <v/>
      </c>
      <c r="T213" s="19">
        <f>R213-S213</f>
        <v/>
      </c>
      <c r="U213" s="2">
        <f>U212+IF(N213="已下單",1,0)</f>
        <v/>
      </c>
      <c r="V213" s="19">
        <f>IF(資金模擬!$B$9=2,MAX(R213,0),MAX(V212,FLOOR(MAX(R213,0),資金模擬!$B$6)))</f>
        <v/>
      </c>
      <c r="W213" s="13">
        <f>MAX(W212,R213)</f>
        <v/>
      </c>
      <c r="X213" s="4">
        <f>IF(W213&gt;0,R213/W213-1,-1)</f>
        <v/>
      </c>
      <c r="Y213" s="19">
        <f>IF(R213&gt;0,S213*資金模擬!$B$7/R213,0)</f>
        <v/>
      </c>
      <c r="Z213" s="2">
        <f>IF(OR(Z212=1,R213&lt;=資金模擬!$B$10),1,0)</f>
        <v/>
      </c>
    </row>
    <row r="214">
      <c r="A214" s="2" t="n">
        <v>212</v>
      </c>
      <c r="B214" s="7" t="n">
        <v>46273.58333333334</v>
      </c>
      <c r="C214" s="2" t="inlineStr">
        <is>
          <t>出場</t>
        </is>
      </c>
      <c r="D214" s="2" t="n">
        <v>103</v>
      </c>
      <c r="E214" s="2" t="inlineStr">
        <is>
          <t>BULLA_USDT_PERP</t>
        </is>
      </c>
      <c r="F214" s="2" t="inlineStr">
        <is>
          <t>做多</t>
        </is>
      </c>
      <c r="G214" s="20" t="n">
        <v>0.08141</v>
      </c>
      <c r="H214" s="20" t="n">
        <v>0.0838523</v>
      </c>
      <c r="I214" s="20" t="n">
        <v>0.07733949999999999</v>
      </c>
      <c r="J214" s="20" t="n">
        <v>0.07733949999999999</v>
      </c>
      <c r="K214" s="2" t="inlineStr">
        <is>
          <t>止損</t>
        </is>
      </c>
      <c r="L214" s="5">
        <f>交易明細!K104</f>
        <v/>
      </c>
      <c r="M214" s="19">
        <f>M201</f>
        <v/>
      </c>
      <c r="N214" s="2">
        <f>N201</f>
        <v/>
      </c>
      <c r="O214" s="19">
        <f>O201</f>
        <v/>
      </c>
      <c r="P214" s="4">
        <f>交易明細!L104</f>
        <v/>
      </c>
      <c r="Q214" s="13">
        <f>IF(N214="已下單",O214*P214,0)</f>
        <v/>
      </c>
      <c r="R214" s="13">
        <f>R213+Q214</f>
        <v/>
      </c>
      <c r="S214" s="19">
        <f>S213-IF(N214="已下單",M214,0)</f>
        <v/>
      </c>
      <c r="T214" s="19">
        <f>R214-S214</f>
        <v/>
      </c>
      <c r="U214" s="2">
        <f>U213-IF(N214="已下單",1,0)</f>
        <v/>
      </c>
      <c r="V214" s="19">
        <f>IF(資金模擬!$B$9=2,MAX(R214,0),MAX(V213,FLOOR(MAX(R214,0),資金模擬!$B$6)))</f>
        <v/>
      </c>
      <c r="W214" s="13">
        <f>MAX(W213,R214)</f>
        <v/>
      </c>
      <c r="X214" s="4">
        <f>IF(W214&gt;0,R214/W214-1,-1)</f>
        <v/>
      </c>
      <c r="Y214" s="19">
        <f>IF(R214&gt;0,S214*資金模擬!$B$7/R214,0)</f>
        <v/>
      </c>
      <c r="Z214" s="2">
        <f>IF(OR(Z213=1,R214&lt;=資金模擬!$B$10),1,0)</f>
        <v/>
      </c>
    </row>
    <row r="215">
      <c r="A215" s="2" t="n">
        <v>213</v>
      </c>
      <c r="B215" s="7" t="n">
        <v>46273.58333333334</v>
      </c>
      <c r="C215" s="2" t="inlineStr">
        <is>
          <t>進場</t>
        </is>
      </c>
      <c r="D215" s="2" t="n">
        <v>110</v>
      </c>
      <c r="E215" s="2" t="inlineStr">
        <is>
          <t>ARB_USDT_PERP</t>
        </is>
      </c>
      <c r="F215" s="2" t="inlineStr">
        <is>
          <t>做多</t>
        </is>
      </c>
      <c r="G215" s="20" t="n">
        <v>0.1747</v>
      </c>
      <c r="H215" s="20" t="n">
        <v>0.179941</v>
      </c>
      <c r="I215" s="20" t="n">
        <v>0.165965</v>
      </c>
      <c r="J215" s="20" t="n"/>
      <c r="K215" s="2" t="n"/>
      <c r="L215" s="5" t="n"/>
      <c r="M215" s="19">
        <f>資金模擬!$B$5*V214</f>
        <v/>
      </c>
      <c r="N215" s="2">
        <f>IF(Z214=1,"已停止",IF(T214&gt;=M215,"已下單","資金不足略過"))</f>
        <v/>
      </c>
      <c r="O215" s="19">
        <f>IF(N215="已下單",M215*資金模擬!$B$7,0)</f>
        <v/>
      </c>
      <c r="P215" s="4" t="n"/>
      <c r="Q215" s="13" t="n">
        <v>0</v>
      </c>
      <c r="R215" s="13">
        <f>R214+Q215</f>
        <v/>
      </c>
      <c r="S215" s="19">
        <f>S214+IF(N215="已下單",M215,0)</f>
        <v/>
      </c>
      <c r="T215" s="19">
        <f>R215-S215</f>
        <v/>
      </c>
      <c r="U215" s="2">
        <f>U214+IF(N215="已下單",1,0)</f>
        <v/>
      </c>
      <c r="V215" s="19">
        <f>IF(資金模擬!$B$9=2,MAX(R215,0),MAX(V214,FLOOR(MAX(R215,0),資金模擬!$B$6)))</f>
        <v/>
      </c>
      <c r="W215" s="13">
        <f>MAX(W214,R215)</f>
        <v/>
      </c>
      <c r="X215" s="4">
        <f>IF(W215&gt;0,R215/W215-1,-1)</f>
        <v/>
      </c>
      <c r="Y215" s="19">
        <f>IF(R215&gt;0,S215*資金模擬!$B$7/R215,0)</f>
        <v/>
      </c>
      <c r="Z215" s="2">
        <f>IF(OR(Z214=1,R215&lt;=資金模擬!$B$10),1,0)</f>
        <v/>
      </c>
    </row>
    <row r="216">
      <c r="A216" s="2" t="n">
        <v>214</v>
      </c>
      <c r="B216" s="7" t="n">
        <v>46273.58333333334</v>
      </c>
      <c r="C216" s="2" t="inlineStr">
        <is>
          <t>進場</t>
        </is>
      </c>
      <c r="D216" s="2" t="n">
        <v>111</v>
      </c>
      <c r="E216" s="2" t="inlineStr">
        <is>
          <t>USELESS_USDT_PERP</t>
        </is>
      </c>
      <c r="F216" s="2" t="inlineStr">
        <is>
          <t>做多</t>
        </is>
      </c>
      <c r="G216" s="20" t="n">
        <v>0.24093</v>
      </c>
      <c r="H216" s="20" t="n">
        <v>0.2481579</v>
      </c>
      <c r="I216" s="20" t="n">
        <v>0.2288835</v>
      </c>
      <c r="J216" s="20" t="n"/>
      <c r="K216" s="2" t="n"/>
      <c r="L216" s="5" t="n"/>
      <c r="M216" s="19">
        <f>資金模擬!$B$5*V215</f>
        <v/>
      </c>
      <c r="N216" s="2">
        <f>IF(Z215=1,"已停止",IF(T215&gt;=M216,"已下單","資金不足略過"))</f>
        <v/>
      </c>
      <c r="O216" s="19">
        <f>IF(N216="已下單",M216*資金模擬!$B$7,0)</f>
        <v/>
      </c>
      <c r="P216" s="4" t="n"/>
      <c r="Q216" s="13" t="n">
        <v>0</v>
      </c>
      <c r="R216" s="13">
        <f>R215+Q216</f>
        <v/>
      </c>
      <c r="S216" s="19">
        <f>S215+IF(N216="已下單",M216,0)</f>
        <v/>
      </c>
      <c r="T216" s="19">
        <f>R216-S216</f>
        <v/>
      </c>
      <c r="U216" s="2">
        <f>U215+IF(N216="已下單",1,0)</f>
        <v/>
      </c>
      <c r="V216" s="19">
        <f>IF(資金模擬!$B$9=2,MAX(R216,0),MAX(V215,FLOOR(MAX(R216,0),資金模擬!$B$6)))</f>
        <v/>
      </c>
      <c r="W216" s="13">
        <f>MAX(W215,R216)</f>
        <v/>
      </c>
      <c r="X216" s="4">
        <f>IF(W216&gt;0,R216/W216-1,-1)</f>
        <v/>
      </c>
      <c r="Y216" s="19">
        <f>IF(R216&gt;0,S216*資金模擬!$B$7/R216,0)</f>
        <v/>
      </c>
      <c r="Z216" s="2">
        <f>IF(OR(Z215=1,R216&lt;=資金模擬!$B$10),1,0)</f>
        <v/>
      </c>
    </row>
    <row r="217">
      <c r="A217" s="2" t="n">
        <v>215</v>
      </c>
      <c r="B217" s="7" t="n">
        <v>46273.625</v>
      </c>
      <c r="C217" s="2" t="inlineStr">
        <is>
          <t>出場</t>
        </is>
      </c>
      <c r="D217" s="2" t="n">
        <v>108</v>
      </c>
      <c r="E217" s="2" t="inlineStr">
        <is>
          <t>ACE_USDT_PERP</t>
        </is>
      </c>
      <c r="F217" s="2" t="inlineStr">
        <is>
          <t>做空</t>
        </is>
      </c>
      <c r="G217" s="20" t="n">
        <v>0.17709</v>
      </c>
      <c r="H217" s="20" t="n">
        <v>0.1717773</v>
      </c>
      <c r="I217" s="20" t="n">
        <v>0.1859445</v>
      </c>
      <c r="J217" s="20" t="n">
        <v>0.1717773</v>
      </c>
      <c r="K217" s="2" t="inlineStr">
        <is>
          <t>止盈</t>
        </is>
      </c>
      <c r="L217" s="5">
        <f>交易明細!K109</f>
        <v/>
      </c>
      <c r="M217" s="19">
        <f>M212</f>
        <v/>
      </c>
      <c r="N217" s="2">
        <f>N212</f>
        <v/>
      </c>
      <c r="O217" s="19">
        <f>O212</f>
        <v/>
      </c>
      <c r="P217" s="4">
        <f>交易明細!L109</f>
        <v/>
      </c>
      <c r="Q217" s="13">
        <f>IF(N217="已下單",O217*P217,0)</f>
        <v/>
      </c>
      <c r="R217" s="13">
        <f>R216+Q217</f>
        <v/>
      </c>
      <c r="S217" s="19">
        <f>S216-IF(N217="已下單",M217,0)</f>
        <v/>
      </c>
      <c r="T217" s="19">
        <f>R217-S217</f>
        <v/>
      </c>
      <c r="U217" s="2">
        <f>U216-IF(N217="已下單",1,0)</f>
        <v/>
      </c>
      <c r="V217" s="19">
        <f>IF(資金模擬!$B$9=2,MAX(R217,0),MAX(V216,FLOOR(MAX(R217,0),資金模擬!$B$6)))</f>
        <v/>
      </c>
      <c r="W217" s="13">
        <f>MAX(W216,R217)</f>
        <v/>
      </c>
      <c r="X217" s="4">
        <f>IF(W217&gt;0,R217/W217-1,-1)</f>
        <v/>
      </c>
      <c r="Y217" s="19">
        <f>IF(R217&gt;0,S217*資金模擬!$B$7/R217,0)</f>
        <v/>
      </c>
      <c r="Z217" s="2">
        <f>IF(OR(Z216=1,R217&lt;=資金模擬!$B$10),1,0)</f>
        <v/>
      </c>
    </row>
    <row r="218">
      <c r="A218" s="2" t="n">
        <v>216</v>
      </c>
      <c r="B218" s="7" t="n">
        <v>46273.625</v>
      </c>
      <c r="C218" s="2" t="inlineStr">
        <is>
          <t>出場</t>
        </is>
      </c>
      <c r="D218" s="2" t="n">
        <v>111</v>
      </c>
      <c r="E218" s="2" t="inlineStr">
        <is>
          <t>USELESS_USDT_PERP</t>
        </is>
      </c>
      <c r="F218" s="2" t="inlineStr">
        <is>
          <t>做多</t>
        </is>
      </c>
      <c r="G218" s="20" t="n">
        <v>0.24093</v>
      </c>
      <c r="H218" s="20" t="n">
        <v>0.2481579</v>
      </c>
      <c r="I218" s="20" t="n">
        <v>0.2288835</v>
      </c>
      <c r="J218" s="20" t="n">
        <v>0.2481579</v>
      </c>
      <c r="K218" s="2" t="inlineStr">
        <is>
          <t>止盈</t>
        </is>
      </c>
      <c r="L218" s="5">
        <f>交易明細!K112</f>
        <v/>
      </c>
      <c r="M218" s="19">
        <f>M216</f>
        <v/>
      </c>
      <c r="N218" s="2">
        <f>N216</f>
        <v/>
      </c>
      <c r="O218" s="19">
        <f>O216</f>
        <v/>
      </c>
      <c r="P218" s="4">
        <f>交易明細!L112</f>
        <v/>
      </c>
      <c r="Q218" s="13">
        <f>IF(N218="已下單",O218*P218,0)</f>
        <v/>
      </c>
      <c r="R218" s="13">
        <f>R217+Q218</f>
        <v/>
      </c>
      <c r="S218" s="19">
        <f>S217-IF(N218="已下單",M218,0)</f>
        <v/>
      </c>
      <c r="T218" s="19">
        <f>R218-S218</f>
        <v/>
      </c>
      <c r="U218" s="2">
        <f>U217-IF(N218="已下單",1,0)</f>
        <v/>
      </c>
      <c r="V218" s="19">
        <f>IF(資金模擬!$B$9=2,MAX(R218,0),MAX(V217,FLOOR(MAX(R218,0),資金模擬!$B$6)))</f>
        <v/>
      </c>
      <c r="W218" s="13">
        <f>MAX(W217,R218)</f>
        <v/>
      </c>
      <c r="X218" s="4">
        <f>IF(W218&gt;0,R218/W218-1,-1)</f>
        <v/>
      </c>
      <c r="Y218" s="19">
        <f>IF(R218&gt;0,S218*資金模擬!$B$7/R218,0)</f>
        <v/>
      </c>
      <c r="Z218" s="2">
        <f>IF(OR(Z217=1,R218&lt;=資金模擬!$B$10),1,0)</f>
        <v/>
      </c>
    </row>
    <row r="219">
      <c r="A219" s="2" t="n">
        <v>217</v>
      </c>
      <c r="B219" s="7" t="n">
        <v>46273.625</v>
      </c>
      <c r="C219" s="2" t="inlineStr">
        <is>
          <t>進場</t>
        </is>
      </c>
      <c r="D219" s="2" t="n">
        <v>112</v>
      </c>
      <c r="E219" s="2" t="inlineStr">
        <is>
          <t>PUMP_USDT_PERP</t>
        </is>
      </c>
      <c r="F219" s="2" t="inlineStr">
        <is>
          <t>做空</t>
        </is>
      </c>
      <c r="G219" s="20" t="n">
        <v>0.004183</v>
      </c>
      <c r="H219" s="20" t="n">
        <v>0.00405751</v>
      </c>
      <c r="I219" s="20" t="n">
        <v>0.00439215</v>
      </c>
      <c r="J219" s="20" t="n"/>
      <c r="K219" s="2" t="n"/>
      <c r="L219" s="5" t="n"/>
      <c r="M219" s="19">
        <f>資金模擬!$B$5*V218</f>
        <v/>
      </c>
      <c r="N219" s="2">
        <f>IF(Z218=1,"已停止",IF(T218&gt;=M219,"已下單","資金不足略過"))</f>
        <v/>
      </c>
      <c r="O219" s="19">
        <f>IF(N219="已下單",M219*資金模擬!$B$7,0)</f>
        <v/>
      </c>
      <c r="P219" s="4" t="n"/>
      <c r="Q219" s="13" t="n">
        <v>0</v>
      </c>
      <c r="R219" s="13">
        <f>R218+Q219</f>
        <v/>
      </c>
      <c r="S219" s="19">
        <f>S218+IF(N219="已下單",M219,0)</f>
        <v/>
      </c>
      <c r="T219" s="19">
        <f>R219-S219</f>
        <v/>
      </c>
      <c r="U219" s="2">
        <f>U218+IF(N219="已下單",1,0)</f>
        <v/>
      </c>
      <c r="V219" s="19">
        <f>IF(資金模擬!$B$9=2,MAX(R219,0),MAX(V218,FLOOR(MAX(R219,0),資金模擬!$B$6)))</f>
        <v/>
      </c>
      <c r="W219" s="13">
        <f>MAX(W218,R219)</f>
        <v/>
      </c>
      <c r="X219" s="4">
        <f>IF(W219&gt;0,R219/W219-1,-1)</f>
        <v/>
      </c>
      <c r="Y219" s="19">
        <f>IF(R219&gt;0,S219*資金模擬!$B$7/R219,0)</f>
        <v/>
      </c>
      <c r="Z219" s="2">
        <f>IF(OR(Z218=1,R219&lt;=資金模擬!$B$10),1,0)</f>
        <v/>
      </c>
    </row>
    <row r="220">
      <c r="A220" s="2" t="n">
        <v>218</v>
      </c>
      <c r="B220" s="7" t="n">
        <v>46273.66666666666</v>
      </c>
      <c r="C220" s="2" t="inlineStr">
        <is>
          <t>進場</t>
        </is>
      </c>
      <c r="D220" s="2" t="n">
        <v>113</v>
      </c>
      <c r="E220" s="2" t="inlineStr">
        <is>
          <t>WLD_USDT_PERP</t>
        </is>
      </c>
      <c r="F220" s="2" t="inlineStr">
        <is>
          <t>做多</t>
        </is>
      </c>
      <c r="G220" s="20" t="n">
        <v>0.4788</v>
      </c>
      <c r="H220" s="20" t="n">
        <v>0.493164</v>
      </c>
      <c r="I220" s="20" t="n">
        <v>0.45486</v>
      </c>
      <c r="J220" s="20" t="n"/>
      <c r="K220" s="2" t="n"/>
      <c r="L220" s="5" t="n"/>
      <c r="M220" s="19">
        <f>資金模擬!$B$5*V219</f>
        <v/>
      </c>
      <c r="N220" s="2">
        <f>IF(Z219=1,"已停止",IF(T219&gt;=M220,"已下單","資金不足略過"))</f>
        <v/>
      </c>
      <c r="O220" s="19">
        <f>IF(N220="已下單",M220*資金模擬!$B$7,0)</f>
        <v/>
      </c>
      <c r="P220" s="4" t="n"/>
      <c r="Q220" s="13" t="n">
        <v>0</v>
      </c>
      <c r="R220" s="13">
        <f>R219+Q220</f>
        <v/>
      </c>
      <c r="S220" s="19">
        <f>S219+IF(N220="已下單",M220,0)</f>
        <v/>
      </c>
      <c r="T220" s="19">
        <f>R220-S220</f>
        <v/>
      </c>
      <c r="U220" s="2">
        <f>U219+IF(N220="已下單",1,0)</f>
        <v/>
      </c>
      <c r="V220" s="19">
        <f>IF(資金模擬!$B$9=2,MAX(R220,0),MAX(V219,FLOOR(MAX(R220,0),資金模擬!$B$6)))</f>
        <v/>
      </c>
      <c r="W220" s="13">
        <f>MAX(W219,R220)</f>
        <v/>
      </c>
      <c r="X220" s="4">
        <f>IF(W220&gt;0,R220/W220-1,-1)</f>
        <v/>
      </c>
      <c r="Y220" s="19">
        <f>IF(R220&gt;0,S220*資金模擬!$B$7/R220,0)</f>
        <v/>
      </c>
      <c r="Z220" s="2">
        <f>IF(OR(Z219=1,R220&lt;=資金模擬!$B$10),1,0)</f>
        <v/>
      </c>
    </row>
    <row r="221">
      <c r="A221" s="2" t="n">
        <v>219</v>
      </c>
      <c r="B221" s="7" t="n">
        <v>46273.70833333334</v>
      </c>
      <c r="C221" s="2" t="inlineStr">
        <is>
          <t>出場</t>
        </is>
      </c>
      <c r="D221" s="2" t="n">
        <v>100</v>
      </c>
      <c r="E221" s="2" t="inlineStr">
        <is>
          <t>DASH_USDT_PERP</t>
        </is>
      </c>
      <c r="F221" s="2" t="inlineStr">
        <is>
          <t>做空</t>
        </is>
      </c>
      <c r="G221" s="20" t="n">
        <v>63.95</v>
      </c>
      <c r="H221" s="20" t="n">
        <v>62.0315</v>
      </c>
      <c r="I221" s="20" t="n">
        <v>67.14750000000001</v>
      </c>
      <c r="J221" s="20" t="n">
        <v>62.0315</v>
      </c>
      <c r="K221" s="2" t="inlineStr">
        <is>
          <t>止盈</t>
        </is>
      </c>
      <c r="L221" s="5">
        <f>交易明細!K101</f>
        <v/>
      </c>
      <c r="M221" s="19">
        <f>M195</f>
        <v/>
      </c>
      <c r="N221" s="2">
        <f>N195</f>
        <v/>
      </c>
      <c r="O221" s="19">
        <f>O195</f>
        <v/>
      </c>
      <c r="P221" s="4">
        <f>交易明細!L101</f>
        <v/>
      </c>
      <c r="Q221" s="13">
        <f>IF(N221="已下單",O221*P221,0)</f>
        <v/>
      </c>
      <c r="R221" s="13">
        <f>R220+Q221</f>
        <v/>
      </c>
      <c r="S221" s="19">
        <f>S220-IF(N221="已下單",M221,0)</f>
        <v/>
      </c>
      <c r="T221" s="19">
        <f>R221-S221</f>
        <v/>
      </c>
      <c r="U221" s="2">
        <f>U220-IF(N221="已下單",1,0)</f>
        <v/>
      </c>
      <c r="V221" s="19">
        <f>IF(資金模擬!$B$9=2,MAX(R221,0),MAX(V220,FLOOR(MAX(R221,0),資金模擬!$B$6)))</f>
        <v/>
      </c>
      <c r="W221" s="13">
        <f>MAX(W220,R221)</f>
        <v/>
      </c>
      <c r="X221" s="4">
        <f>IF(W221&gt;0,R221/W221-1,-1)</f>
        <v/>
      </c>
      <c r="Y221" s="19">
        <f>IF(R221&gt;0,S221*資金模擬!$B$7/R221,0)</f>
        <v/>
      </c>
      <c r="Z221" s="2">
        <f>IF(OR(Z220=1,R221&lt;=資金模擬!$B$10),1,0)</f>
        <v/>
      </c>
    </row>
    <row r="222">
      <c r="A222" s="2" t="n">
        <v>220</v>
      </c>
      <c r="B222" s="7" t="n">
        <v>46273.70833333334</v>
      </c>
      <c r="C222" s="2" t="inlineStr">
        <is>
          <t>進場</t>
        </is>
      </c>
      <c r="D222" s="2" t="n">
        <v>114</v>
      </c>
      <c r="E222" s="2" t="inlineStr">
        <is>
          <t>USELESS_USDT_PERP</t>
        </is>
      </c>
      <c r="F222" s="2" t="inlineStr">
        <is>
          <t>做多</t>
        </is>
      </c>
      <c r="G222" s="20" t="n">
        <v>0.2406</v>
      </c>
      <c r="H222" s="20" t="n">
        <v>0.247818</v>
      </c>
      <c r="I222" s="20" t="n">
        <v>0.22857</v>
      </c>
      <c r="J222" s="20" t="n"/>
      <c r="K222" s="2" t="n"/>
      <c r="L222" s="5" t="n"/>
      <c r="M222" s="19">
        <f>資金模擬!$B$5*V221</f>
        <v/>
      </c>
      <c r="N222" s="2">
        <f>IF(Z221=1,"已停止",IF(T221&gt;=M222,"已下單","資金不足略過"))</f>
        <v/>
      </c>
      <c r="O222" s="19">
        <f>IF(N222="已下單",M222*資金模擬!$B$7,0)</f>
        <v/>
      </c>
      <c r="P222" s="4" t="n"/>
      <c r="Q222" s="13" t="n">
        <v>0</v>
      </c>
      <c r="R222" s="13">
        <f>R221+Q222</f>
        <v/>
      </c>
      <c r="S222" s="19">
        <f>S221+IF(N222="已下單",M222,0)</f>
        <v/>
      </c>
      <c r="T222" s="19">
        <f>R222-S222</f>
        <v/>
      </c>
      <c r="U222" s="2">
        <f>U221+IF(N222="已下單",1,0)</f>
        <v/>
      </c>
      <c r="V222" s="19">
        <f>IF(資金模擬!$B$9=2,MAX(R222,0),MAX(V221,FLOOR(MAX(R222,0),資金模擬!$B$6)))</f>
        <v/>
      </c>
      <c r="W222" s="13">
        <f>MAX(W221,R222)</f>
        <v/>
      </c>
      <c r="X222" s="4">
        <f>IF(W222&gt;0,R222/W222-1,-1)</f>
        <v/>
      </c>
      <c r="Y222" s="19">
        <f>IF(R222&gt;0,S222*資金模擬!$B$7/R222,0)</f>
        <v/>
      </c>
      <c r="Z222" s="2">
        <f>IF(OR(Z221=1,R222&lt;=資金模擬!$B$10),1,0)</f>
        <v/>
      </c>
    </row>
    <row r="223">
      <c r="A223" s="2" t="n">
        <v>221</v>
      </c>
      <c r="B223" s="7" t="n">
        <v>46273.75</v>
      </c>
      <c r="C223" s="2" t="inlineStr">
        <is>
          <t>出場</t>
        </is>
      </c>
      <c r="D223" s="2" t="n">
        <v>107</v>
      </c>
      <c r="E223" s="2" t="inlineStr">
        <is>
          <t>LIT_USDT_PERP</t>
        </is>
      </c>
      <c r="F223" s="2" t="inlineStr">
        <is>
          <t>做空</t>
        </is>
      </c>
      <c r="G223" s="20" t="n">
        <v>4.589</v>
      </c>
      <c r="H223" s="20" t="n">
        <v>4.45133</v>
      </c>
      <c r="I223" s="20" t="n">
        <v>4.81845</v>
      </c>
      <c r="J223" s="20" t="n">
        <v>4.81845</v>
      </c>
      <c r="K223" s="2" t="inlineStr">
        <is>
          <t>止損</t>
        </is>
      </c>
      <c r="L223" s="5">
        <f>交易明細!K108</f>
        <v/>
      </c>
      <c r="M223" s="19">
        <f>M211</f>
        <v/>
      </c>
      <c r="N223" s="2">
        <f>N211</f>
        <v/>
      </c>
      <c r="O223" s="19">
        <f>O211</f>
        <v/>
      </c>
      <c r="P223" s="4">
        <f>交易明細!L108</f>
        <v/>
      </c>
      <c r="Q223" s="13">
        <f>IF(N223="已下單",O223*P223,0)</f>
        <v/>
      </c>
      <c r="R223" s="13">
        <f>R222+Q223</f>
        <v/>
      </c>
      <c r="S223" s="19">
        <f>S222-IF(N223="已下單",M223,0)</f>
        <v/>
      </c>
      <c r="T223" s="19">
        <f>R223-S223</f>
        <v/>
      </c>
      <c r="U223" s="2">
        <f>U222-IF(N223="已下單",1,0)</f>
        <v/>
      </c>
      <c r="V223" s="19">
        <f>IF(資金模擬!$B$9=2,MAX(R223,0),MAX(V222,FLOOR(MAX(R223,0),資金模擬!$B$6)))</f>
        <v/>
      </c>
      <c r="W223" s="13">
        <f>MAX(W222,R223)</f>
        <v/>
      </c>
      <c r="X223" s="4">
        <f>IF(W223&gt;0,R223/W223-1,-1)</f>
        <v/>
      </c>
      <c r="Y223" s="19">
        <f>IF(R223&gt;0,S223*資金模擬!$B$7/R223,0)</f>
        <v/>
      </c>
      <c r="Z223" s="2">
        <f>IF(OR(Z222=1,R223&lt;=資金模擬!$B$10),1,0)</f>
        <v/>
      </c>
    </row>
    <row r="224">
      <c r="A224" s="2" t="n">
        <v>222</v>
      </c>
      <c r="B224" s="7" t="n">
        <v>46273.75</v>
      </c>
      <c r="C224" s="2" t="inlineStr">
        <is>
          <t>出場</t>
        </is>
      </c>
      <c r="D224" s="2" t="n">
        <v>114</v>
      </c>
      <c r="E224" s="2" t="inlineStr">
        <is>
          <t>USELESS_USDT_PERP</t>
        </is>
      </c>
      <c r="F224" s="2" t="inlineStr">
        <is>
          <t>做多</t>
        </is>
      </c>
      <c r="G224" s="20" t="n">
        <v>0.2406</v>
      </c>
      <c r="H224" s="20" t="n">
        <v>0.247818</v>
      </c>
      <c r="I224" s="20" t="n">
        <v>0.22857</v>
      </c>
      <c r="J224" s="20" t="n">
        <v>0.247818</v>
      </c>
      <c r="K224" s="2" t="inlineStr">
        <is>
          <t>止盈</t>
        </is>
      </c>
      <c r="L224" s="5">
        <f>交易明細!K115</f>
        <v/>
      </c>
      <c r="M224" s="19">
        <f>M222</f>
        <v/>
      </c>
      <c r="N224" s="2">
        <f>N222</f>
        <v/>
      </c>
      <c r="O224" s="19">
        <f>O222</f>
        <v/>
      </c>
      <c r="P224" s="4">
        <f>交易明細!L115</f>
        <v/>
      </c>
      <c r="Q224" s="13">
        <f>IF(N224="已下單",O224*P224,0)</f>
        <v/>
      </c>
      <c r="R224" s="13">
        <f>R223+Q224</f>
        <v/>
      </c>
      <c r="S224" s="19">
        <f>S223-IF(N224="已下單",M224,0)</f>
        <v/>
      </c>
      <c r="T224" s="19">
        <f>R224-S224</f>
        <v/>
      </c>
      <c r="U224" s="2">
        <f>U223-IF(N224="已下單",1,0)</f>
        <v/>
      </c>
      <c r="V224" s="19">
        <f>IF(資金模擬!$B$9=2,MAX(R224,0),MAX(V223,FLOOR(MAX(R224,0),資金模擬!$B$6)))</f>
        <v/>
      </c>
      <c r="W224" s="13">
        <f>MAX(W223,R224)</f>
        <v/>
      </c>
      <c r="X224" s="4">
        <f>IF(W224&gt;0,R224/W224-1,-1)</f>
        <v/>
      </c>
      <c r="Y224" s="19">
        <f>IF(R224&gt;0,S224*資金模擬!$B$7/R224,0)</f>
        <v/>
      </c>
      <c r="Z224" s="2">
        <f>IF(OR(Z223=1,R224&lt;=資金模擬!$B$10),1,0)</f>
        <v/>
      </c>
    </row>
    <row r="225">
      <c r="A225" s="2" t="n">
        <v>223</v>
      </c>
      <c r="B225" s="7" t="n">
        <v>46273.75</v>
      </c>
      <c r="C225" s="2" t="inlineStr">
        <is>
          <t>進場</t>
        </is>
      </c>
      <c r="D225" s="2" t="n">
        <v>115</v>
      </c>
      <c r="E225" s="2" t="inlineStr">
        <is>
          <t>AERO_USDT_PERP</t>
        </is>
      </c>
      <c r="F225" s="2" t="inlineStr">
        <is>
          <t>做多</t>
        </is>
      </c>
      <c r="G225" s="20" t="n">
        <v>0.6424</v>
      </c>
      <c r="H225" s="20" t="n">
        <v>0.661672</v>
      </c>
      <c r="I225" s="20" t="n">
        <v>0.6102799999999999</v>
      </c>
      <c r="J225" s="20" t="n"/>
      <c r="K225" s="2" t="n"/>
      <c r="L225" s="5" t="n"/>
      <c r="M225" s="19">
        <f>資金模擬!$B$5*V224</f>
        <v/>
      </c>
      <c r="N225" s="2">
        <f>IF(Z224=1,"已停止",IF(T224&gt;=M225,"已下單","資金不足略過"))</f>
        <v/>
      </c>
      <c r="O225" s="19">
        <f>IF(N225="已下單",M225*資金模擬!$B$7,0)</f>
        <v/>
      </c>
      <c r="P225" s="4" t="n"/>
      <c r="Q225" s="13" t="n">
        <v>0</v>
      </c>
      <c r="R225" s="13">
        <f>R224+Q225</f>
        <v/>
      </c>
      <c r="S225" s="19">
        <f>S224+IF(N225="已下單",M225,0)</f>
        <v/>
      </c>
      <c r="T225" s="19">
        <f>R225-S225</f>
        <v/>
      </c>
      <c r="U225" s="2">
        <f>U224+IF(N225="已下單",1,0)</f>
        <v/>
      </c>
      <c r="V225" s="19">
        <f>IF(資金模擬!$B$9=2,MAX(R225,0),MAX(V224,FLOOR(MAX(R225,0),資金模擬!$B$6)))</f>
        <v/>
      </c>
      <c r="W225" s="13">
        <f>MAX(W224,R225)</f>
        <v/>
      </c>
      <c r="X225" s="4">
        <f>IF(W225&gt;0,R225/W225-1,-1)</f>
        <v/>
      </c>
      <c r="Y225" s="19">
        <f>IF(R225&gt;0,S225*資金模擬!$B$7/R225,0)</f>
        <v/>
      </c>
      <c r="Z225" s="2">
        <f>IF(OR(Z224=1,R225&lt;=資金模擬!$B$10),1,0)</f>
        <v/>
      </c>
    </row>
    <row r="226">
      <c r="A226" s="2" t="n">
        <v>224</v>
      </c>
      <c r="B226" s="7" t="n">
        <v>46273.75</v>
      </c>
      <c r="C226" s="2" t="inlineStr">
        <is>
          <t>進場</t>
        </is>
      </c>
      <c r="D226" s="2" t="n">
        <v>116</v>
      </c>
      <c r="E226" s="2" t="inlineStr">
        <is>
          <t>UAI_USDT_PERP</t>
        </is>
      </c>
      <c r="F226" s="2" t="inlineStr">
        <is>
          <t>做多</t>
        </is>
      </c>
      <c r="G226" s="20" t="n">
        <v>0.7282999999999999</v>
      </c>
      <c r="H226" s="20" t="n">
        <v>0.750149</v>
      </c>
      <c r="I226" s="20" t="n">
        <v>0.691885</v>
      </c>
      <c r="J226" s="20" t="n"/>
      <c r="K226" s="2" t="n"/>
      <c r="L226" s="5" t="n"/>
      <c r="M226" s="19">
        <f>資金模擬!$B$5*V225</f>
        <v/>
      </c>
      <c r="N226" s="2">
        <f>IF(Z225=1,"已停止",IF(T225&gt;=M226,"已下單","資金不足略過"))</f>
        <v/>
      </c>
      <c r="O226" s="19">
        <f>IF(N226="已下單",M226*資金模擬!$B$7,0)</f>
        <v/>
      </c>
      <c r="P226" s="4" t="n"/>
      <c r="Q226" s="13" t="n">
        <v>0</v>
      </c>
      <c r="R226" s="13">
        <f>R225+Q226</f>
        <v/>
      </c>
      <c r="S226" s="19">
        <f>S225+IF(N226="已下單",M226,0)</f>
        <v/>
      </c>
      <c r="T226" s="19">
        <f>R226-S226</f>
        <v/>
      </c>
      <c r="U226" s="2">
        <f>U225+IF(N226="已下單",1,0)</f>
        <v/>
      </c>
      <c r="V226" s="19">
        <f>IF(資金模擬!$B$9=2,MAX(R226,0),MAX(V225,FLOOR(MAX(R226,0),資金模擬!$B$6)))</f>
        <v/>
      </c>
      <c r="W226" s="13">
        <f>MAX(W225,R226)</f>
        <v/>
      </c>
      <c r="X226" s="4">
        <f>IF(W226&gt;0,R226/W226-1,-1)</f>
        <v/>
      </c>
      <c r="Y226" s="19">
        <f>IF(R226&gt;0,S226*資金模擬!$B$7/R226,0)</f>
        <v/>
      </c>
      <c r="Z226" s="2">
        <f>IF(OR(Z225=1,R226&lt;=資金模擬!$B$10),1,0)</f>
        <v/>
      </c>
    </row>
    <row r="227">
      <c r="A227" s="2" t="n">
        <v>225</v>
      </c>
      <c r="B227" s="7" t="n">
        <v>46273.79166666666</v>
      </c>
      <c r="C227" s="2" t="inlineStr">
        <is>
          <t>出場</t>
        </is>
      </c>
      <c r="D227" s="2" t="n">
        <v>112</v>
      </c>
      <c r="E227" s="2" t="inlineStr">
        <is>
          <t>PUMP_USDT_PERP</t>
        </is>
      </c>
      <c r="F227" s="2" t="inlineStr">
        <is>
          <t>做空</t>
        </is>
      </c>
      <c r="G227" s="20" t="n">
        <v>0.004183</v>
      </c>
      <c r="H227" s="20" t="n">
        <v>0.00405751</v>
      </c>
      <c r="I227" s="20" t="n">
        <v>0.00439215</v>
      </c>
      <c r="J227" s="20" t="n">
        <v>0.00439215</v>
      </c>
      <c r="K227" s="2" t="inlineStr">
        <is>
          <t>止損</t>
        </is>
      </c>
      <c r="L227" s="5">
        <f>交易明細!K113</f>
        <v/>
      </c>
      <c r="M227" s="19">
        <f>M219</f>
        <v/>
      </c>
      <c r="N227" s="2">
        <f>N219</f>
        <v/>
      </c>
      <c r="O227" s="19">
        <f>O219</f>
        <v/>
      </c>
      <c r="P227" s="4">
        <f>交易明細!L113</f>
        <v/>
      </c>
      <c r="Q227" s="13">
        <f>IF(N227="已下單",O227*P227,0)</f>
        <v/>
      </c>
      <c r="R227" s="13">
        <f>R226+Q227</f>
        <v/>
      </c>
      <c r="S227" s="19">
        <f>S226-IF(N227="已下單",M227,0)</f>
        <v/>
      </c>
      <c r="T227" s="19">
        <f>R227-S227</f>
        <v/>
      </c>
      <c r="U227" s="2">
        <f>U226-IF(N227="已下單",1,0)</f>
        <v/>
      </c>
      <c r="V227" s="19">
        <f>IF(資金模擬!$B$9=2,MAX(R227,0),MAX(V226,FLOOR(MAX(R227,0),資金模擬!$B$6)))</f>
        <v/>
      </c>
      <c r="W227" s="13">
        <f>MAX(W226,R227)</f>
        <v/>
      </c>
      <c r="X227" s="4">
        <f>IF(W227&gt;0,R227/W227-1,-1)</f>
        <v/>
      </c>
      <c r="Y227" s="19">
        <f>IF(R227&gt;0,S227*資金模擬!$B$7/R227,0)</f>
        <v/>
      </c>
      <c r="Z227" s="2">
        <f>IF(OR(Z226=1,R227&lt;=資金模擬!$B$10),1,0)</f>
        <v/>
      </c>
    </row>
    <row r="228">
      <c r="A228" s="2" t="n">
        <v>226</v>
      </c>
      <c r="B228" s="7" t="n">
        <v>46273.79166666666</v>
      </c>
      <c r="C228" s="2" t="inlineStr">
        <is>
          <t>進場</t>
        </is>
      </c>
      <c r="D228" s="2" t="n">
        <v>117</v>
      </c>
      <c r="E228" s="2" t="inlineStr">
        <is>
          <t>CASHCAT_USDT_PERP</t>
        </is>
      </c>
      <c r="F228" s="2" t="inlineStr">
        <is>
          <t>做空</t>
        </is>
      </c>
      <c r="G228" s="20" t="n">
        <v>0.1787</v>
      </c>
      <c r="H228" s="20" t="n">
        <v>0.173339</v>
      </c>
      <c r="I228" s="20" t="n">
        <v>0.187635</v>
      </c>
      <c r="J228" s="20" t="n"/>
      <c r="K228" s="2" t="n"/>
      <c r="L228" s="5" t="n"/>
      <c r="M228" s="19">
        <f>資金模擬!$B$5*V227</f>
        <v/>
      </c>
      <c r="N228" s="2">
        <f>IF(Z227=1,"已停止",IF(T227&gt;=M228,"已下單","資金不足略過"))</f>
        <v/>
      </c>
      <c r="O228" s="19">
        <f>IF(N228="已下單",M228*資金模擬!$B$7,0)</f>
        <v/>
      </c>
      <c r="P228" s="4" t="n"/>
      <c r="Q228" s="13" t="n">
        <v>0</v>
      </c>
      <c r="R228" s="13">
        <f>R227+Q228</f>
        <v/>
      </c>
      <c r="S228" s="19">
        <f>S227+IF(N228="已下單",M228,0)</f>
        <v/>
      </c>
      <c r="T228" s="19">
        <f>R228-S228</f>
        <v/>
      </c>
      <c r="U228" s="2">
        <f>U227+IF(N228="已下單",1,0)</f>
        <v/>
      </c>
      <c r="V228" s="19">
        <f>IF(資金模擬!$B$9=2,MAX(R228,0),MAX(V227,FLOOR(MAX(R228,0),資金模擬!$B$6)))</f>
        <v/>
      </c>
      <c r="W228" s="13">
        <f>MAX(W227,R228)</f>
        <v/>
      </c>
      <c r="X228" s="4">
        <f>IF(W228&gt;0,R228/W228-1,-1)</f>
        <v/>
      </c>
      <c r="Y228" s="19">
        <f>IF(R228&gt;0,S228*資金模擬!$B$7/R228,0)</f>
        <v/>
      </c>
      <c r="Z228" s="2">
        <f>IF(OR(Z227=1,R228&lt;=資金模擬!$B$10),1,0)</f>
        <v/>
      </c>
    </row>
    <row r="229">
      <c r="A229" s="2" t="n">
        <v>227</v>
      </c>
      <c r="B229" s="7" t="n">
        <v>46273.83333333334</v>
      </c>
      <c r="C229" s="2" t="inlineStr">
        <is>
          <t>出場</t>
        </is>
      </c>
      <c r="D229" s="2" t="n">
        <v>116</v>
      </c>
      <c r="E229" s="2" t="inlineStr">
        <is>
          <t>UAI_USDT_PERP</t>
        </is>
      </c>
      <c r="F229" s="2" t="inlineStr">
        <is>
          <t>做多</t>
        </is>
      </c>
      <c r="G229" s="20" t="n">
        <v>0.7282999999999999</v>
      </c>
      <c r="H229" s="20" t="n">
        <v>0.750149</v>
      </c>
      <c r="I229" s="20" t="n">
        <v>0.691885</v>
      </c>
      <c r="J229" s="20" t="n">
        <v>0.750149</v>
      </c>
      <c r="K229" s="2" t="inlineStr">
        <is>
          <t>止盈</t>
        </is>
      </c>
      <c r="L229" s="5">
        <f>交易明細!K117</f>
        <v/>
      </c>
      <c r="M229" s="19">
        <f>M226</f>
        <v/>
      </c>
      <c r="N229" s="2">
        <f>N226</f>
        <v/>
      </c>
      <c r="O229" s="19">
        <f>O226</f>
        <v/>
      </c>
      <c r="P229" s="4">
        <f>交易明細!L117</f>
        <v/>
      </c>
      <c r="Q229" s="13">
        <f>IF(N229="已下單",O229*P229,0)</f>
        <v/>
      </c>
      <c r="R229" s="13">
        <f>R228+Q229</f>
        <v/>
      </c>
      <c r="S229" s="19">
        <f>S228-IF(N229="已下單",M229,0)</f>
        <v/>
      </c>
      <c r="T229" s="19">
        <f>R229-S229</f>
        <v/>
      </c>
      <c r="U229" s="2">
        <f>U228-IF(N229="已下單",1,0)</f>
        <v/>
      </c>
      <c r="V229" s="19">
        <f>IF(資金模擬!$B$9=2,MAX(R229,0),MAX(V228,FLOOR(MAX(R229,0),資金模擬!$B$6)))</f>
        <v/>
      </c>
      <c r="W229" s="13">
        <f>MAX(W228,R229)</f>
        <v/>
      </c>
      <c r="X229" s="4">
        <f>IF(W229&gt;0,R229/W229-1,-1)</f>
        <v/>
      </c>
      <c r="Y229" s="19">
        <f>IF(R229&gt;0,S229*資金模擬!$B$7/R229,0)</f>
        <v/>
      </c>
      <c r="Z229" s="2">
        <f>IF(OR(Z228=1,R229&lt;=資金模擬!$B$10),1,0)</f>
        <v/>
      </c>
    </row>
    <row r="230">
      <c r="A230" s="2" t="n">
        <v>228</v>
      </c>
      <c r="B230" s="7" t="n">
        <v>46273.875</v>
      </c>
      <c r="C230" s="2" t="inlineStr">
        <is>
          <t>出場</t>
        </is>
      </c>
      <c r="D230" s="2" t="n">
        <v>117</v>
      </c>
      <c r="E230" s="2" t="inlineStr">
        <is>
          <t>CASHCAT_USDT_PERP</t>
        </is>
      </c>
      <c r="F230" s="2" t="inlineStr">
        <is>
          <t>做空</t>
        </is>
      </c>
      <c r="G230" s="20" t="n">
        <v>0.1787</v>
      </c>
      <c r="H230" s="20" t="n">
        <v>0.173339</v>
      </c>
      <c r="I230" s="20" t="n">
        <v>0.187635</v>
      </c>
      <c r="J230" s="20" t="n">
        <v>0.173339</v>
      </c>
      <c r="K230" s="2" t="inlineStr">
        <is>
          <t>止盈</t>
        </is>
      </c>
      <c r="L230" s="5">
        <f>交易明細!K118</f>
        <v/>
      </c>
      <c r="M230" s="19">
        <f>M228</f>
        <v/>
      </c>
      <c r="N230" s="2">
        <f>N228</f>
        <v/>
      </c>
      <c r="O230" s="19">
        <f>O228</f>
        <v/>
      </c>
      <c r="P230" s="4">
        <f>交易明細!L118</f>
        <v/>
      </c>
      <c r="Q230" s="13">
        <f>IF(N230="已下單",O230*P230,0)</f>
        <v/>
      </c>
      <c r="R230" s="13">
        <f>R229+Q230</f>
        <v/>
      </c>
      <c r="S230" s="19">
        <f>S229-IF(N230="已下單",M230,0)</f>
        <v/>
      </c>
      <c r="T230" s="19">
        <f>R230-S230</f>
        <v/>
      </c>
      <c r="U230" s="2">
        <f>U229-IF(N230="已下單",1,0)</f>
        <v/>
      </c>
      <c r="V230" s="19">
        <f>IF(資金模擬!$B$9=2,MAX(R230,0),MAX(V229,FLOOR(MAX(R230,0),資金模擬!$B$6)))</f>
        <v/>
      </c>
      <c r="W230" s="13">
        <f>MAX(W229,R230)</f>
        <v/>
      </c>
      <c r="X230" s="4">
        <f>IF(W230&gt;0,R230/W230-1,-1)</f>
        <v/>
      </c>
      <c r="Y230" s="19">
        <f>IF(R230&gt;0,S230*資金模擬!$B$7/R230,0)</f>
        <v/>
      </c>
      <c r="Z230" s="2">
        <f>IF(OR(Z229=1,R230&lt;=資金模擬!$B$10),1,0)</f>
        <v/>
      </c>
    </row>
    <row r="231">
      <c r="A231" s="2" t="n">
        <v>229</v>
      </c>
      <c r="B231" s="7" t="n">
        <v>46273.875</v>
      </c>
      <c r="C231" s="2" t="inlineStr">
        <is>
          <t>進場</t>
        </is>
      </c>
      <c r="D231" s="2" t="n">
        <v>118</v>
      </c>
      <c r="E231" s="2" t="inlineStr">
        <is>
          <t>LIT_USDT_PERP</t>
        </is>
      </c>
      <c r="F231" s="2" t="inlineStr">
        <is>
          <t>做多</t>
        </is>
      </c>
      <c r="G231" s="20" t="n">
        <v>4.848</v>
      </c>
      <c r="H231" s="20" t="n">
        <v>4.99344</v>
      </c>
      <c r="I231" s="20" t="n">
        <v>4.6056</v>
      </c>
      <c r="J231" s="20" t="n"/>
      <c r="K231" s="2" t="n"/>
      <c r="L231" s="5" t="n"/>
      <c r="M231" s="19">
        <f>資金模擬!$B$5*V230</f>
        <v/>
      </c>
      <c r="N231" s="2">
        <f>IF(Z230=1,"已停止",IF(T230&gt;=M231,"已下單","資金不足略過"))</f>
        <v/>
      </c>
      <c r="O231" s="19">
        <f>IF(N231="已下單",M231*資金模擬!$B$7,0)</f>
        <v/>
      </c>
      <c r="P231" s="4" t="n"/>
      <c r="Q231" s="13" t="n">
        <v>0</v>
      </c>
      <c r="R231" s="13">
        <f>R230+Q231</f>
        <v/>
      </c>
      <c r="S231" s="19">
        <f>S230+IF(N231="已下單",M231,0)</f>
        <v/>
      </c>
      <c r="T231" s="19">
        <f>R231-S231</f>
        <v/>
      </c>
      <c r="U231" s="2">
        <f>U230+IF(N231="已下單",1,0)</f>
        <v/>
      </c>
      <c r="V231" s="19">
        <f>IF(資金模擬!$B$9=2,MAX(R231,0),MAX(V230,FLOOR(MAX(R231,0),資金模擬!$B$6)))</f>
        <v/>
      </c>
      <c r="W231" s="13">
        <f>MAX(W230,R231)</f>
        <v/>
      </c>
      <c r="X231" s="4">
        <f>IF(W231&gt;0,R231/W231-1,-1)</f>
        <v/>
      </c>
      <c r="Y231" s="19">
        <f>IF(R231&gt;0,S231*資金模擬!$B$7/R231,0)</f>
        <v/>
      </c>
      <c r="Z231" s="2">
        <f>IF(OR(Z230=1,R231&lt;=資金模擬!$B$10),1,0)</f>
        <v/>
      </c>
    </row>
    <row r="232">
      <c r="A232" s="2" t="n">
        <v>230</v>
      </c>
      <c r="B232" s="7" t="n">
        <v>46273.875</v>
      </c>
      <c r="C232" s="2" t="inlineStr">
        <is>
          <t>進場</t>
        </is>
      </c>
      <c r="D232" s="2" t="n">
        <v>119</v>
      </c>
      <c r="E232" s="2" t="inlineStr">
        <is>
          <t>PONS_USDT_PERP</t>
        </is>
      </c>
      <c r="F232" s="2" t="inlineStr">
        <is>
          <t>做多</t>
        </is>
      </c>
      <c r="G232" s="20" t="n">
        <v>0.7527</v>
      </c>
      <c r="H232" s="20" t="n">
        <v>0.7752810000000001</v>
      </c>
      <c r="I232" s="20" t="n">
        <v>0.715065</v>
      </c>
      <c r="J232" s="20" t="n"/>
      <c r="K232" s="2" t="n"/>
      <c r="L232" s="5" t="n"/>
      <c r="M232" s="19">
        <f>資金模擬!$B$5*V231</f>
        <v/>
      </c>
      <c r="N232" s="2">
        <f>IF(Z231=1,"已停止",IF(T231&gt;=M232,"已下單","資金不足略過"))</f>
        <v/>
      </c>
      <c r="O232" s="19">
        <f>IF(N232="已下單",M232*資金模擬!$B$7,0)</f>
        <v/>
      </c>
      <c r="P232" s="4" t="n"/>
      <c r="Q232" s="13" t="n">
        <v>0</v>
      </c>
      <c r="R232" s="13">
        <f>R231+Q232</f>
        <v/>
      </c>
      <c r="S232" s="19">
        <f>S231+IF(N232="已下單",M232,0)</f>
        <v/>
      </c>
      <c r="T232" s="19">
        <f>R232-S232</f>
        <v/>
      </c>
      <c r="U232" s="2">
        <f>U231+IF(N232="已下單",1,0)</f>
        <v/>
      </c>
      <c r="V232" s="19">
        <f>IF(資金模擬!$B$9=2,MAX(R232,0),MAX(V231,FLOOR(MAX(R232,0),資金模擬!$B$6)))</f>
        <v/>
      </c>
      <c r="W232" s="13">
        <f>MAX(W231,R232)</f>
        <v/>
      </c>
      <c r="X232" s="4">
        <f>IF(W232&gt;0,R232/W232-1,-1)</f>
        <v/>
      </c>
      <c r="Y232" s="19">
        <f>IF(R232&gt;0,S232*資金模擬!$B$7/R232,0)</f>
        <v/>
      </c>
      <c r="Z232" s="2">
        <f>IF(OR(Z231=1,R232&lt;=資金模擬!$B$10),1,0)</f>
        <v/>
      </c>
    </row>
    <row r="233">
      <c r="A233" s="2" t="n">
        <v>231</v>
      </c>
      <c r="B233" s="7" t="n">
        <v>46273.91666666666</v>
      </c>
      <c r="C233" s="2" t="inlineStr">
        <is>
          <t>出場</t>
        </is>
      </c>
      <c r="D233" s="2" t="n">
        <v>110</v>
      </c>
      <c r="E233" s="2" t="inlineStr">
        <is>
          <t>ARB_USDT_PERP</t>
        </is>
      </c>
      <c r="F233" s="2" t="inlineStr">
        <is>
          <t>做多</t>
        </is>
      </c>
      <c r="G233" s="20" t="n">
        <v>0.1747</v>
      </c>
      <c r="H233" s="20" t="n">
        <v>0.179941</v>
      </c>
      <c r="I233" s="20" t="n">
        <v>0.165965</v>
      </c>
      <c r="J233" s="20" t="n">
        <v>0.165965</v>
      </c>
      <c r="K233" s="2" t="inlineStr">
        <is>
          <t>止損</t>
        </is>
      </c>
      <c r="L233" s="5">
        <f>交易明細!K111</f>
        <v/>
      </c>
      <c r="M233" s="19">
        <f>M215</f>
        <v/>
      </c>
      <c r="N233" s="2">
        <f>N215</f>
        <v/>
      </c>
      <c r="O233" s="19">
        <f>O215</f>
        <v/>
      </c>
      <c r="P233" s="4">
        <f>交易明細!L111</f>
        <v/>
      </c>
      <c r="Q233" s="13">
        <f>IF(N233="已下單",O233*P233,0)</f>
        <v/>
      </c>
      <c r="R233" s="13">
        <f>R232+Q233</f>
        <v/>
      </c>
      <c r="S233" s="19">
        <f>S232-IF(N233="已下單",M233,0)</f>
        <v/>
      </c>
      <c r="T233" s="19">
        <f>R233-S233</f>
        <v/>
      </c>
      <c r="U233" s="2">
        <f>U232-IF(N233="已下單",1,0)</f>
        <v/>
      </c>
      <c r="V233" s="19">
        <f>IF(資金模擬!$B$9=2,MAX(R233,0),MAX(V232,FLOOR(MAX(R233,0),資金模擬!$B$6)))</f>
        <v/>
      </c>
      <c r="W233" s="13">
        <f>MAX(W232,R233)</f>
        <v/>
      </c>
      <c r="X233" s="4">
        <f>IF(W233&gt;0,R233/W233-1,-1)</f>
        <v/>
      </c>
      <c r="Y233" s="19">
        <f>IF(R233&gt;0,S233*資金模擬!$B$7/R233,0)</f>
        <v/>
      </c>
      <c r="Z233" s="2">
        <f>IF(OR(Z232=1,R233&lt;=資金模擬!$B$10),1,0)</f>
        <v/>
      </c>
    </row>
    <row r="234">
      <c r="A234" s="2" t="n">
        <v>232</v>
      </c>
      <c r="B234" s="7" t="n">
        <v>46273.91666666666</v>
      </c>
      <c r="C234" s="2" t="inlineStr">
        <is>
          <t>出場</t>
        </is>
      </c>
      <c r="D234" s="2" t="n">
        <v>119</v>
      </c>
      <c r="E234" s="2" t="inlineStr">
        <is>
          <t>PONS_USDT_PERP</t>
        </is>
      </c>
      <c r="F234" s="2" t="inlineStr">
        <is>
          <t>做多</t>
        </is>
      </c>
      <c r="G234" s="20" t="n">
        <v>0.7527</v>
      </c>
      <c r="H234" s="20" t="n">
        <v>0.7752810000000001</v>
      </c>
      <c r="I234" s="20" t="n">
        <v>0.715065</v>
      </c>
      <c r="J234" s="20" t="n">
        <v>0.7752810000000001</v>
      </c>
      <c r="K234" s="2" t="inlineStr">
        <is>
          <t>止盈</t>
        </is>
      </c>
      <c r="L234" s="5">
        <f>交易明細!K120</f>
        <v/>
      </c>
      <c r="M234" s="19">
        <f>M232</f>
        <v/>
      </c>
      <c r="N234" s="2">
        <f>N232</f>
        <v/>
      </c>
      <c r="O234" s="19">
        <f>O232</f>
        <v/>
      </c>
      <c r="P234" s="4">
        <f>交易明細!L120</f>
        <v/>
      </c>
      <c r="Q234" s="13">
        <f>IF(N234="已下單",O234*P234,0)</f>
        <v/>
      </c>
      <c r="R234" s="13">
        <f>R233+Q234</f>
        <v/>
      </c>
      <c r="S234" s="19">
        <f>S233-IF(N234="已下單",M234,0)</f>
        <v/>
      </c>
      <c r="T234" s="19">
        <f>R234-S234</f>
        <v/>
      </c>
      <c r="U234" s="2">
        <f>U233-IF(N234="已下單",1,0)</f>
        <v/>
      </c>
      <c r="V234" s="19">
        <f>IF(資金模擬!$B$9=2,MAX(R234,0),MAX(V233,FLOOR(MAX(R234,0),資金模擬!$B$6)))</f>
        <v/>
      </c>
      <c r="W234" s="13">
        <f>MAX(W233,R234)</f>
        <v/>
      </c>
      <c r="X234" s="4">
        <f>IF(W234&gt;0,R234/W234-1,-1)</f>
        <v/>
      </c>
      <c r="Y234" s="19">
        <f>IF(R234&gt;0,S234*資金模擬!$B$7/R234,0)</f>
        <v/>
      </c>
      <c r="Z234" s="2">
        <f>IF(OR(Z233=1,R234&lt;=資金模擬!$B$10),1,0)</f>
        <v/>
      </c>
    </row>
    <row r="235">
      <c r="A235" s="2" t="n">
        <v>233</v>
      </c>
      <c r="B235" s="7" t="n">
        <v>46273.95833333334</v>
      </c>
      <c r="C235" s="2" t="inlineStr">
        <is>
          <t>出場</t>
        </is>
      </c>
      <c r="D235" s="2" t="n">
        <v>109</v>
      </c>
      <c r="E235" s="2" t="inlineStr">
        <is>
          <t>KAS_USDT_PERP</t>
        </is>
      </c>
      <c r="F235" s="2" t="inlineStr">
        <is>
          <t>做空</t>
        </is>
      </c>
      <c r="G235" s="20" t="n">
        <v>0.03482</v>
      </c>
      <c r="H235" s="20" t="n">
        <v>0.0337754</v>
      </c>
      <c r="I235" s="20" t="n">
        <v>0.036561</v>
      </c>
      <c r="J235" s="20" t="n">
        <v>0.036561</v>
      </c>
      <c r="K235" s="2" t="inlineStr">
        <is>
          <t>止損</t>
        </is>
      </c>
      <c r="L235" s="5">
        <f>交易明細!K110</f>
        <v/>
      </c>
      <c r="M235" s="19">
        <f>M213</f>
        <v/>
      </c>
      <c r="N235" s="2">
        <f>N213</f>
        <v/>
      </c>
      <c r="O235" s="19">
        <f>O213</f>
        <v/>
      </c>
      <c r="P235" s="4">
        <f>交易明細!L110</f>
        <v/>
      </c>
      <c r="Q235" s="13">
        <f>IF(N235="已下單",O235*P235,0)</f>
        <v/>
      </c>
      <c r="R235" s="13">
        <f>R234+Q235</f>
        <v/>
      </c>
      <c r="S235" s="19">
        <f>S234-IF(N235="已下單",M235,0)</f>
        <v/>
      </c>
      <c r="T235" s="19">
        <f>R235-S235</f>
        <v/>
      </c>
      <c r="U235" s="2">
        <f>U234-IF(N235="已下單",1,0)</f>
        <v/>
      </c>
      <c r="V235" s="19">
        <f>IF(資金模擬!$B$9=2,MAX(R235,0),MAX(V234,FLOOR(MAX(R235,0),資金模擬!$B$6)))</f>
        <v/>
      </c>
      <c r="W235" s="13">
        <f>MAX(W234,R235)</f>
        <v/>
      </c>
      <c r="X235" s="4">
        <f>IF(W235&gt;0,R235/W235-1,-1)</f>
        <v/>
      </c>
      <c r="Y235" s="19">
        <f>IF(R235&gt;0,S235*資金模擬!$B$7/R235,0)</f>
        <v/>
      </c>
      <c r="Z235" s="2">
        <f>IF(OR(Z234=1,R235&lt;=資金模擬!$B$10),1,0)</f>
        <v/>
      </c>
    </row>
    <row r="236">
      <c r="A236" s="2" t="n">
        <v>234</v>
      </c>
      <c r="B236" s="7" t="n">
        <v>46273.95833333334</v>
      </c>
      <c r="C236" s="2" t="inlineStr">
        <is>
          <t>進場</t>
        </is>
      </c>
      <c r="D236" s="2" t="n">
        <v>120</v>
      </c>
      <c r="E236" s="2" t="inlineStr">
        <is>
          <t>DOT_USDT_PERP</t>
        </is>
      </c>
      <c r="F236" s="2" t="inlineStr">
        <is>
          <t>做多</t>
        </is>
      </c>
      <c r="G236" s="20" t="n">
        <v>1.123</v>
      </c>
      <c r="H236" s="20" t="n">
        <v>1.15669</v>
      </c>
      <c r="I236" s="20" t="n">
        <v>1.06685</v>
      </c>
      <c r="J236" s="20" t="n"/>
      <c r="K236" s="2" t="n"/>
      <c r="L236" s="5" t="n"/>
      <c r="M236" s="19">
        <f>資金模擬!$B$5*V235</f>
        <v/>
      </c>
      <c r="N236" s="2">
        <f>IF(Z235=1,"已停止",IF(T235&gt;=M236,"已下單","資金不足略過"))</f>
        <v/>
      </c>
      <c r="O236" s="19">
        <f>IF(N236="已下單",M236*資金模擬!$B$7,0)</f>
        <v/>
      </c>
      <c r="P236" s="4" t="n"/>
      <c r="Q236" s="13" t="n">
        <v>0</v>
      </c>
      <c r="R236" s="13">
        <f>R235+Q236</f>
        <v/>
      </c>
      <c r="S236" s="19">
        <f>S235+IF(N236="已下單",M236,0)</f>
        <v/>
      </c>
      <c r="T236" s="19">
        <f>R236-S236</f>
        <v/>
      </c>
      <c r="U236" s="2">
        <f>U235+IF(N236="已下單",1,0)</f>
        <v/>
      </c>
      <c r="V236" s="19">
        <f>IF(資金模擬!$B$9=2,MAX(R236,0),MAX(V235,FLOOR(MAX(R236,0),資金模擬!$B$6)))</f>
        <v/>
      </c>
      <c r="W236" s="13">
        <f>MAX(W235,R236)</f>
        <v/>
      </c>
      <c r="X236" s="4">
        <f>IF(W236&gt;0,R236/W236-1,-1)</f>
        <v/>
      </c>
      <c r="Y236" s="19">
        <f>IF(R236&gt;0,S236*資金模擬!$B$7/R236,0)</f>
        <v/>
      </c>
      <c r="Z236" s="2">
        <f>IF(OR(Z235=1,R236&lt;=資金模擬!$B$10),1,0)</f>
        <v/>
      </c>
    </row>
    <row r="237">
      <c r="A237" s="2" t="n">
        <v>235</v>
      </c>
      <c r="B237" s="7" t="n">
        <v>46273.95833333334</v>
      </c>
      <c r="C237" s="2" t="inlineStr">
        <is>
          <t>進場</t>
        </is>
      </c>
      <c r="D237" s="2" t="n">
        <v>121</v>
      </c>
      <c r="E237" s="2" t="inlineStr">
        <is>
          <t>INJ_USDT_PERP</t>
        </is>
      </c>
      <c r="F237" s="2" t="inlineStr">
        <is>
          <t>做多</t>
        </is>
      </c>
      <c r="G237" s="20" t="n">
        <v>6.534</v>
      </c>
      <c r="H237" s="20" t="n">
        <v>6.73002</v>
      </c>
      <c r="I237" s="20" t="n">
        <v>6.207299999999999</v>
      </c>
      <c r="J237" s="20" t="n"/>
      <c r="K237" s="2" t="n"/>
      <c r="L237" s="5" t="n"/>
      <c r="M237" s="19">
        <f>資金模擬!$B$5*V236</f>
        <v/>
      </c>
      <c r="N237" s="2">
        <f>IF(Z236=1,"已停止",IF(T236&gt;=M237,"已下單","資金不足略過"))</f>
        <v/>
      </c>
      <c r="O237" s="19">
        <f>IF(N237="已下單",M237*資金模擬!$B$7,0)</f>
        <v/>
      </c>
      <c r="P237" s="4" t="n"/>
      <c r="Q237" s="13" t="n">
        <v>0</v>
      </c>
      <c r="R237" s="13">
        <f>R236+Q237</f>
        <v/>
      </c>
      <c r="S237" s="19">
        <f>S236+IF(N237="已下單",M237,0)</f>
        <v/>
      </c>
      <c r="T237" s="19">
        <f>R237-S237</f>
        <v/>
      </c>
      <c r="U237" s="2">
        <f>U236+IF(N237="已下單",1,0)</f>
        <v/>
      </c>
      <c r="V237" s="19">
        <f>IF(資金模擬!$B$9=2,MAX(R237,0),MAX(V236,FLOOR(MAX(R237,0),資金模擬!$B$6)))</f>
        <v/>
      </c>
      <c r="W237" s="13">
        <f>MAX(W236,R237)</f>
        <v/>
      </c>
      <c r="X237" s="4">
        <f>IF(W237&gt;0,R237/W237-1,-1)</f>
        <v/>
      </c>
      <c r="Y237" s="19">
        <f>IF(R237&gt;0,S237*資金模擬!$B$7/R237,0)</f>
        <v/>
      </c>
      <c r="Z237" s="2">
        <f>IF(OR(Z236=1,R237&lt;=資金模擬!$B$10),1,0)</f>
        <v/>
      </c>
    </row>
    <row r="238">
      <c r="A238" s="2" t="n">
        <v>236</v>
      </c>
      <c r="B238" s="7" t="n">
        <v>46274</v>
      </c>
      <c r="C238" s="2" t="inlineStr">
        <is>
          <t>出場</t>
        </is>
      </c>
      <c r="D238" s="2" t="n">
        <v>95</v>
      </c>
      <c r="E238" s="2" t="inlineStr">
        <is>
          <t>NEAR_USDT_PERP</t>
        </is>
      </c>
      <c r="F238" s="2" t="inlineStr">
        <is>
          <t>做空</t>
        </is>
      </c>
      <c r="G238" s="20" t="n">
        <v>2.293</v>
      </c>
      <c r="H238" s="20" t="n">
        <v>2.22421</v>
      </c>
      <c r="I238" s="20" t="n">
        <v>2.40765</v>
      </c>
      <c r="J238" s="20" t="n">
        <v>2.40765</v>
      </c>
      <c r="K238" s="2" t="inlineStr">
        <is>
          <t>止損</t>
        </is>
      </c>
      <c r="L238" s="5">
        <f>交易明細!K96</f>
        <v/>
      </c>
      <c r="M238" s="19">
        <f>M189</f>
        <v/>
      </c>
      <c r="N238" s="2">
        <f>N189</f>
        <v/>
      </c>
      <c r="O238" s="19">
        <f>O189</f>
        <v/>
      </c>
      <c r="P238" s="4">
        <f>交易明細!L96</f>
        <v/>
      </c>
      <c r="Q238" s="13">
        <f>IF(N238="已下單",O238*P238,0)</f>
        <v/>
      </c>
      <c r="R238" s="13">
        <f>R237+Q238</f>
        <v/>
      </c>
      <c r="S238" s="19">
        <f>S237-IF(N238="已下單",M238,0)</f>
        <v/>
      </c>
      <c r="T238" s="19">
        <f>R238-S238</f>
        <v/>
      </c>
      <c r="U238" s="2">
        <f>U237-IF(N238="已下單",1,0)</f>
        <v/>
      </c>
      <c r="V238" s="19">
        <f>IF(資金模擬!$B$9=2,MAX(R238,0),MAX(V237,FLOOR(MAX(R238,0),資金模擬!$B$6)))</f>
        <v/>
      </c>
      <c r="W238" s="13">
        <f>MAX(W237,R238)</f>
        <v/>
      </c>
      <c r="X238" s="4">
        <f>IF(W238&gt;0,R238/W238-1,-1)</f>
        <v/>
      </c>
      <c r="Y238" s="19">
        <f>IF(R238&gt;0,S238*資金模擬!$B$7/R238,0)</f>
        <v/>
      </c>
      <c r="Z238" s="2">
        <f>IF(OR(Z237=1,R238&lt;=資金模擬!$B$10),1,0)</f>
        <v/>
      </c>
    </row>
    <row r="239">
      <c r="A239" s="2" t="n">
        <v>237</v>
      </c>
      <c r="B239" s="7" t="n">
        <v>46274</v>
      </c>
      <c r="C239" s="2" t="inlineStr">
        <is>
          <t>出場</t>
        </is>
      </c>
      <c r="D239" s="2" t="n">
        <v>113</v>
      </c>
      <c r="E239" s="2" t="inlineStr">
        <is>
          <t>WLD_USDT_PERP</t>
        </is>
      </c>
      <c r="F239" s="2" t="inlineStr">
        <is>
          <t>做多</t>
        </is>
      </c>
      <c r="G239" s="20" t="n">
        <v>0.4788</v>
      </c>
      <c r="H239" s="20" t="n">
        <v>0.493164</v>
      </c>
      <c r="I239" s="20" t="n">
        <v>0.45486</v>
      </c>
      <c r="J239" s="20" t="n">
        <v>0.493164</v>
      </c>
      <c r="K239" s="2" t="inlineStr">
        <is>
          <t>止盈</t>
        </is>
      </c>
      <c r="L239" s="5">
        <f>交易明細!K114</f>
        <v/>
      </c>
      <c r="M239" s="19">
        <f>M220</f>
        <v/>
      </c>
      <c r="N239" s="2">
        <f>N220</f>
        <v/>
      </c>
      <c r="O239" s="19">
        <f>O220</f>
        <v/>
      </c>
      <c r="P239" s="4">
        <f>交易明細!L114</f>
        <v/>
      </c>
      <c r="Q239" s="13">
        <f>IF(N239="已下單",O239*P239,0)</f>
        <v/>
      </c>
      <c r="R239" s="13">
        <f>R238+Q239</f>
        <v/>
      </c>
      <c r="S239" s="19">
        <f>S238-IF(N239="已下單",M239,0)</f>
        <v/>
      </c>
      <c r="T239" s="19">
        <f>R239-S239</f>
        <v/>
      </c>
      <c r="U239" s="2">
        <f>U238-IF(N239="已下單",1,0)</f>
        <v/>
      </c>
      <c r="V239" s="19">
        <f>IF(資金模擬!$B$9=2,MAX(R239,0),MAX(V238,FLOOR(MAX(R239,0),資金模擬!$B$6)))</f>
        <v/>
      </c>
      <c r="W239" s="13">
        <f>MAX(W238,R239)</f>
        <v/>
      </c>
      <c r="X239" s="4">
        <f>IF(W239&gt;0,R239/W239-1,-1)</f>
        <v/>
      </c>
      <c r="Y239" s="19">
        <f>IF(R239&gt;0,S239*資金模擬!$B$7/R239,0)</f>
        <v/>
      </c>
      <c r="Z239" s="2">
        <f>IF(OR(Z238=1,R239&lt;=資金模擬!$B$10),1,0)</f>
        <v/>
      </c>
    </row>
    <row r="240">
      <c r="A240" s="2" t="n">
        <v>238</v>
      </c>
      <c r="B240" s="7" t="n">
        <v>46274</v>
      </c>
      <c r="C240" s="2" t="inlineStr">
        <is>
          <t>出場</t>
        </is>
      </c>
      <c r="D240" s="2" t="n">
        <v>120</v>
      </c>
      <c r="E240" s="2" t="inlineStr">
        <is>
          <t>DOT_USDT_PERP</t>
        </is>
      </c>
      <c r="F240" s="2" t="inlineStr">
        <is>
          <t>做多</t>
        </is>
      </c>
      <c r="G240" s="20" t="n">
        <v>1.123</v>
      </c>
      <c r="H240" s="20" t="n">
        <v>1.15669</v>
      </c>
      <c r="I240" s="20" t="n">
        <v>1.06685</v>
      </c>
      <c r="J240" s="20" t="n">
        <v>1.15669</v>
      </c>
      <c r="K240" s="2" t="inlineStr">
        <is>
          <t>止盈</t>
        </is>
      </c>
      <c r="L240" s="5">
        <f>交易明細!K121</f>
        <v/>
      </c>
      <c r="M240" s="19">
        <f>M236</f>
        <v/>
      </c>
      <c r="N240" s="2">
        <f>N236</f>
        <v/>
      </c>
      <c r="O240" s="19">
        <f>O236</f>
        <v/>
      </c>
      <c r="P240" s="4">
        <f>交易明細!L121</f>
        <v/>
      </c>
      <c r="Q240" s="13">
        <f>IF(N240="已下單",O240*P240,0)</f>
        <v/>
      </c>
      <c r="R240" s="13">
        <f>R239+Q240</f>
        <v/>
      </c>
      <c r="S240" s="19">
        <f>S239-IF(N240="已下單",M240,0)</f>
        <v/>
      </c>
      <c r="T240" s="19">
        <f>R240-S240</f>
        <v/>
      </c>
      <c r="U240" s="2">
        <f>U239-IF(N240="已下單",1,0)</f>
        <v/>
      </c>
      <c r="V240" s="19">
        <f>IF(資金模擬!$B$9=2,MAX(R240,0),MAX(V239,FLOOR(MAX(R240,0),資金模擬!$B$6)))</f>
        <v/>
      </c>
      <c r="W240" s="13">
        <f>MAX(W239,R240)</f>
        <v/>
      </c>
      <c r="X240" s="4">
        <f>IF(W240&gt;0,R240/W240-1,-1)</f>
        <v/>
      </c>
      <c r="Y240" s="19">
        <f>IF(R240&gt;0,S240*資金模擬!$B$7/R240,0)</f>
        <v/>
      </c>
      <c r="Z240" s="2">
        <f>IF(OR(Z239=1,R240&lt;=資金模擬!$B$10),1,0)</f>
        <v/>
      </c>
    </row>
    <row r="241">
      <c r="A241" s="2" t="n">
        <v>239</v>
      </c>
      <c r="B241" s="7" t="n">
        <v>46274.04166666666</v>
      </c>
      <c r="C241" s="2" t="inlineStr">
        <is>
          <t>進場</t>
        </is>
      </c>
      <c r="D241" s="2" t="n">
        <v>122</v>
      </c>
      <c r="E241" s="2" t="inlineStr">
        <is>
          <t>ICP_USDT_PERP</t>
        </is>
      </c>
      <c r="F241" s="2" t="inlineStr">
        <is>
          <t>做空</t>
        </is>
      </c>
      <c r="G241" s="20" t="n">
        <v>2.963</v>
      </c>
      <c r="H241" s="20" t="n">
        <v>2.87411</v>
      </c>
      <c r="I241" s="20" t="n">
        <v>3.11115</v>
      </c>
      <c r="J241" s="20" t="n"/>
      <c r="K241" s="2" t="n"/>
      <c r="L241" s="5" t="n"/>
      <c r="M241" s="19">
        <f>資金模擬!$B$5*V240</f>
        <v/>
      </c>
      <c r="N241" s="2">
        <f>IF(Z240=1,"已停止",IF(T240&gt;=M241,"已下單","資金不足略過"))</f>
        <v/>
      </c>
      <c r="O241" s="19">
        <f>IF(N241="已下單",M241*資金模擬!$B$7,0)</f>
        <v/>
      </c>
      <c r="P241" s="4" t="n"/>
      <c r="Q241" s="13" t="n">
        <v>0</v>
      </c>
      <c r="R241" s="13">
        <f>R240+Q241</f>
        <v/>
      </c>
      <c r="S241" s="19">
        <f>S240+IF(N241="已下單",M241,0)</f>
        <v/>
      </c>
      <c r="T241" s="19">
        <f>R241-S241</f>
        <v/>
      </c>
      <c r="U241" s="2">
        <f>U240+IF(N241="已下單",1,0)</f>
        <v/>
      </c>
      <c r="V241" s="19">
        <f>IF(資金模擬!$B$9=2,MAX(R241,0),MAX(V240,FLOOR(MAX(R241,0),資金模擬!$B$6)))</f>
        <v/>
      </c>
      <c r="W241" s="13">
        <f>MAX(W240,R241)</f>
        <v/>
      </c>
      <c r="X241" s="4">
        <f>IF(W241&gt;0,R241/W241-1,-1)</f>
        <v/>
      </c>
      <c r="Y241" s="19">
        <f>IF(R241&gt;0,S241*資金模擬!$B$7/R241,0)</f>
        <v/>
      </c>
      <c r="Z241" s="2">
        <f>IF(OR(Z240=1,R241&lt;=資金模擬!$B$10),1,0)</f>
        <v/>
      </c>
    </row>
    <row r="242">
      <c r="A242" s="2" t="n">
        <v>240</v>
      </c>
      <c r="B242" s="7" t="n">
        <v>46274.08333333334</v>
      </c>
      <c r="C242" s="2" t="inlineStr">
        <is>
          <t>進場</t>
        </is>
      </c>
      <c r="D242" s="2" t="n">
        <v>123</v>
      </c>
      <c r="E242" s="2" t="inlineStr">
        <is>
          <t>MARSCOIN_USDT_PERP</t>
        </is>
      </c>
      <c r="F242" s="2" t="inlineStr">
        <is>
          <t>做空</t>
        </is>
      </c>
      <c r="G242" s="20" t="n">
        <v>0.13851</v>
      </c>
      <c r="H242" s="20" t="n">
        <v>0.1343547</v>
      </c>
      <c r="I242" s="20" t="n">
        <v>0.1454355</v>
      </c>
      <c r="J242" s="20" t="n"/>
      <c r="K242" s="2" t="n"/>
      <c r="L242" s="5" t="n"/>
      <c r="M242" s="19">
        <f>資金模擬!$B$5*V241</f>
        <v/>
      </c>
      <c r="N242" s="2">
        <f>IF(Z241=1,"已停止",IF(T241&gt;=M242,"已下單","資金不足略過"))</f>
        <v/>
      </c>
      <c r="O242" s="19">
        <f>IF(N242="已下單",M242*資金模擬!$B$7,0)</f>
        <v/>
      </c>
      <c r="P242" s="4" t="n"/>
      <c r="Q242" s="13" t="n">
        <v>0</v>
      </c>
      <c r="R242" s="13">
        <f>R241+Q242</f>
        <v/>
      </c>
      <c r="S242" s="19">
        <f>S241+IF(N242="已下單",M242,0)</f>
        <v/>
      </c>
      <c r="T242" s="19">
        <f>R242-S242</f>
        <v/>
      </c>
      <c r="U242" s="2">
        <f>U241+IF(N242="已下單",1,0)</f>
        <v/>
      </c>
      <c r="V242" s="19">
        <f>IF(資金模擬!$B$9=2,MAX(R242,0),MAX(V241,FLOOR(MAX(R242,0),資金模擬!$B$6)))</f>
        <v/>
      </c>
      <c r="W242" s="13">
        <f>MAX(W241,R242)</f>
        <v/>
      </c>
      <c r="X242" s="4">
        <f>IF(W242&gt;0,R242/W242-1,-1)</f>
        <v/>
      </c>
      <c r="Y242" s="19">
        <f>IF(R242&gt;0,S242*資金模擬!$B$7/R242,0)</f>
        <v/>
      </c>
      <c r="Z242" s="2">
        <f>IF(OR(Z241=1,R242&lt;=資金模擬!$B$10),1,0)</f>
        <v/>
      </c>
    </row>
    <row r="243">
      <c r="A243" s="2" t="n">
        <v>241</v>
      </c>
      <c r="B243" s="7" t="n">
        <v>46274.08333333334</v>
      </c>
      <c r="C243" s="2" t="inlineStr">
        <is>
          <t>進場</t>
        </is>
      </c>
      <c r="D243" s="2" t="n">
        <v>124</v>
      </c>
      <c r="E243" s="2" t="inlineStr">
        <is>
          <t>UAI_USDT_PERP</t>
        </is>
      </c>
      <c r="F243" s="2" t="inlineStr">
        <is>
          <t>做多</t>
        </is>
      </c>
      <c r="G243" s="20" t="n">
        <v>0.7446</v>
      </c>
      <c r="H243" s="20" t="n">
        <v>0.766938</v>
      </c>
      <c r="I243" s="20" t="n">
        <v>0.7073700000000001</v>
      </c>
      <c r="J243" s="20" t="n"/>
      <c r="K243" s="2" t="n"/>
      <c r="L243" s="5" t="n"/>
      <c r="M243" s="19">
        <f>資金模擬!$B$5*V242</f>
        <v/>
      </c>
      <c r="N243" s="2">
        <f>IF(Z242=1,"已停止",IF(T242&gt;=M243,"已下單","資金不足略過"))</f>
        <v/>
      </c>
      <c r="O243" s="19">
        <f>IF(N243="已下單",M243*資金模擬!$B$7,0)</f>
        <v/>
      </c>
      <c r="P243" s="4" t="n"/>
      <c r="Q243" s="13" t="n">
        <v>0</v>
      </c>
      <c r="R243" s="13">
        <f>R242+Q243</f>
        <v/>
      </c>
      <c r="S243" s="19">
        <f>S242+IF(N243="已下單",M243,0)</f>
        <v/>
      </c>
      <c r="T243" s="19">
        <f>R243-S243</f>
        <v/>
      </c>
      <c r="U243" s="2">
        <f>U242+IF(N243="已下單",1,0)</f>
        <v/>
      </c>
      <c r="V243" s="19">
        <f>IF(資金模擬!$B$9=2,MAX(R243,0),MAX(V242,FLOOR(MAX(R243,0),資金模擬!$B$6)))</f>
        <v/>
      </c>
      <c r="W243" s="13">
        <f>MAX(W242,R243)</f>
        <v/>
      </c>
      <c r="X243" s="4">
        <f>IF(W243&gt;0,R243/W243-1,-1)</f>
        <v/>
      </c>
      <c r="Y243" s="19">
        <f>IF(R243&gt;0,S243*資金模擬!$B$7/R243,0)</f>
        <v/>
      </c>
      <c r="Z243" s="2">
        <f>IF(OR(Z242=1,R243&lt;=資金模擬!$B$10),1,0)</f>
        <v/>
      </c>
    </row>
    <row r="244">
      <c r="A244" s="2" t="n">
        <v>242</v>
      </c>
      <c r="B244" s="7" t="n">
        <v>46274.125</v>
      </c>
      <c r="C244" s="2" t="inlineStr">
        <is>
          <t>出場</t>
        </is>
      </c>
      <c r="D244" s="2" t="n">
        <v>115</v>
      </c>
      <c r="E244" s="2" t="inlineStr">
        <is>
          <t>AERO_USDT_PERP</t>
        </is>
      </c>
      <c r="F244" s="2" t="inlineStr">
        <is>
          <t>做多</t>
        </is>
      </c>
      <c r="G244" s="20" t="n">
        <v>0.6424</v>
      </c>
      <c r="H244" s="20" t="n">
        <v>0.661672</v>
      </c>
      <c r="I244" s="20" t="n">
        <v>0.6102799999999999</v>
      </c>
      <c r="J244" s="20" t="n">
        <v>0.6102799999999999</v>
      </c>
      <c r="K244" s="2" t="inlineStr">
        <is>
          <t>止損</t>
        </is>
      </c>
      <c r="L244" s="5">
        <f>交易明細!K116</f>
        <v/>
      </c>
      <c r="M244" s="19">
        <f>M225</f>
        <v/>
      </c>
      <c r="N244" s="2">
        <f>N225</f>
        <v/>
      </c>
      <c r="O244" s="19">
        <f>O225</f>
        <v/>
      </c>
      <c r="P244" s="4">
        <f>交易明細!L116</f>
        <v/>
      </c>
      <c r="Q244" s="13">
        <f>IF(N244="已下單",O244*P244,0)</f>
        <v/>
      </c>
      <c r="R244" s="13">
        <f>R243+Q244</f>
        <v/>
      </c>
      <c r="S244" s="19">
        <f>S243-IF(N244="已下單",M244,0)</f>
        <v/>
      </c>
      <c r="T244" s="19">
        <f>R244-S244</f>
        <v/>
      </c>
      <c r="U244" s="2">
        <f>U243-IF(N244="已下單",1,0)</f>
        <v/>
      </c>
      <c r="V244" s="19">
        <f>IF(資金模擬!$B$9=2,MAX(R244,0),MAX(V243,FLOOR(MAX(R244,0),資金模擬!$B$6)))</f>
        <v/>
      </c>
      <c r="W244" s="13">
        <f>MAX(W243,R244)</f>
        <v/>
      </c>
      <c r="X244" s="4">
        <f>IF(W244&gt;0,R244/W244-1,-1)</f>
        <v/>
      </c>
      <c r="Y244" s="19">
        <f>IF(R244&gt;0,S244*資金模擬!$B$7/R244,0)</f>
        <v/>
      </c>
      <c r="Z244" s="2">
        <f>IF(OR(Z243=1,R244&lt;=資金模擬!$B$10),1,0)</f>
        <v/>
      </c>
    </row>
    <row r="245">
      <c r="A245" s="2" t="n">
        <v>243</v>
      </c>
      <c r="B245" s="7" t="n">
        <v>46274.20833333334</v>
      </c>
      <c r="C245" s="2" t="inlineStr">
        <is>
          <t>出場</t>
        </is>
      </c>
      <c r="D245" s="2" t="n">
        <v>123</v>
      </c>
      <c r="E245" s="2" t="inlineStr">
        <is>
          <t>MARSCOIN_USDT_PERP</t>
        </is>
      </c>
      <c r="F245" s="2" t="inlineStr">
        <is>
          <t>做空</t>
        </is>
      </c>
      <c r="G245" s="20" t="n">
        <v>0.13851</v>
      </c>
      <c r="H245" s="20" t="n">
        <v>0.1343547</v>
      </c>
      <c r="I245" s="20" t="n">
        <v>0.1454355</v>
      </c>
      <c r="J245" s="20" t="n">
        <v>0.1343547</v>
      </c>
      <c r="K245" s="2" t="inlineStr">
        <is>
          <t>止盈</t>
        </is>
      </c>
      <c r="L245" s="5">
        <f>交易明細!K124</f>
        <v/>
      </c>
      <c r="M245" s="19">
        <f>M242</f>
        <v/>
      </c>
      <c r="N245" s="2">
        <f>N242</f>
        <v/>
      </c>
      <c r="O245" s="19">
        <f>O242</f>
        <v/>
      </c>
      <c r="P245" s="4">
        <f>交易明細!L124</f>
        <v/>
      </c>
      <c r="Q245" s="13">
        <f>IF(N245="已下單",O245*P245,0)</f>
        <v/>
      </c>
      <c r="R245" s="13">
        <f>R244+Q245</f>
        <v/>
      </c>
      <c r="S245" s="19">
        <f>S244-IF(N245="已下單",M245,0)</f>
        <v/>
      </c>
      <c r="T245" s="19">
        <f>R245-S245</f>
        <v/>
      </c>
      <c r="U245" s="2">
        <f>U244-IF(N245="已下單",1,0)</f>
        <v/>
      </c>
      <c r="V245" s="19">
        <f>IF(資金模擬!$B$9=2,MAX(R245,0),MAX(V244,FLOOR(MAX(R245,0),資金模擬!$B$6)))</f>
        <v/>
      </c>
      <c r="W245" s="13">
        <f>MAX(W244,R245)</f>
        <v/>
      </c>
      <c r="X245" s="4">
        <f>IF(W245&gt;0,R245/W245-1,-1)</f>
        <v/>
      </c>
      <c r="Y245" s="19">
        <f>IF(R245&gt;0,S245*資金模擬!$B$7/R245,0)</f>
        <v/>
      </c>
      <c r="Z245" s="2">
        <f>IF(OR(Z244=1,R245&lt;=資金模擬!$B$10),1,0)</f>
        <v/>
      </c>
    </row>
    <row r="246">
      <c r="A246" s="2" t="n">
        <v>244</v>
      </c>
      <c r="B246" s="7" t="n">
        <v>46274.20833333334</v>
      </c>
      <c r="C246" s="2" t="inlineStr">
        <is>
          <t>出場</t>
        </is>
      </c>
      <c r="D246" s="2" t="n">
        <v>124</v>
      </c>
      <c r="E246" s="2" t="inlineStr">
        <is>
          <t>UAI_USDT_PERP</t>
        </is>
      </c>
      <c r="F246" s="2" t="inlineStr">
        <is>
          <t>做多</t>
        </is>
      </c>
      <c r="G246" s="20" t="n">
        <v>0.7446</v>
      </c>
      <c r="H246" s="20" t="n">
        <v>0.766938</v>
      </c>
      <c r="I246" s="20" t="n">
        <v>0.7073700000000001</v>
      </c>
      <c r="J246" s="20" t="n">
        <v>0.7073700000000001</v>
      </c>
      <c r="K246" s="2" t="inlineStr">
        <is>
          <t>止損</t>
        </is>
      </c>
      <c r="L246" s="5">
        <f>交易明細!K125</f>
        <v/>
      </c>
      <c r="M246" s="19">
        <f>M243</f>
        <v/>
      </c>
      <c r="N246" s="2">
        <f>N243</f>
        <v/>
      </c>
      <c r="O246" s="19">
        <f>O243</f>
        <v/>
      </c>
      <c r="P246" s="4">
        <f>交易明細!L125</f>
        <v/>
      </c>
      <c r="Q246" s="13">
        <f>IF(N246="已下單",O246*P246,0)</f>
        <v/>
      </c>
      <c r="R246" s="13">
        <f>R245+Q246</f>
        <v/>
      </c>
      <c r="S246" s="19">
        <f>S245-IF(N246="已下單",M246,0)</f>
        <v/>
      </c>
      <c r="T246" s="19">
        <f>R246-S246</f>
        <v/>
      </c>
      <c r="U246" s="2">
        <f>U245-IF(N246="已下單",1,0)</f>
        <v/>
      </c>
      <c r="V246" s="19">
        <f>IF(資金模擬!$B$9=2,MAX(R246,0),MAX(V245,FLOOR(MAX(R246,0),資金模擬!$B$6)))</f>
        <v/>
      </c>
      <c r="W246" s="13">
        <f>MAX(W245,R246)</f>
        <v/>
      </c>
      <c r="X246" s="4">
        <f>IF(W246&gt;0,R246/W246-1,-1)</f>
        <v/>
      </c>
      <c r="Y246" s="19">
        <f>IF(R246&gt;0,S246*資金模擬!$B$7/R246,0)</f>
        <v/>
      </c>
      <c r="Z246" s="2">
        <f>IF(OR(Z245=1,R246&lt;=資金模擬!$B$10),1,0)</f>
        <v/>
      </c>
    </row>
    <row r="247">
      <c r="A247" s="2" t="n">
        <v>245</v>
      </c>
      <c r="B247" s="7" t="n">
        <v>46274.375</v>
      </c>
      <c r="C247" s="2" t="inlineStr">
        <is>
          <t>進場</t>
        </is>
      </c>
      <c r="D247" s="2" t="n">
        <v>125</v>
      </c>
      <c r="E247" s="2" t="inlineStr">
        <is>
          <t>PUMP_USDT_PERP</t>
        </is>
      </c>
      <c r="F247" s="2" t="inlineStr">
        <is>
          <t>做多</t>
        </is>
      </c>
      <c r="G247" s="20" t="n">
        <v>0.004415</v>
      </c>
      <c r="H247" s="20" t="n">
        <v>0.00454745</v>
      </c>
      <c r="I247" s="20" t="n">
        <v>0.004194249999999999</v>
      </c>
      <c r="J247" s="20" t="n"/>
      <c r="K247" s="2" t="n"/>
      <c r="L247" s="5" t="n"/>
      <c r="M247" s="19">
        <f>資金模擬!$B$5*V246</f>
        <v/>
      </c>
      <c r="N247" s="2">
        <f>IF(Z246=1,"已停止",IF(T246&gt;=M247,"已下單","資金不足略過"))</f>
        <v/>
      </c>
      <c r="O247" s="19">
        <f>IF(N247="已下單",M247*資金模擬!$B$7,0)</f>
        <v/>
      </c>
      <c r="P247" s="4" t="n"/>
      <c r="Q247" s="13" t="n">
        <v>0</v>
      </c>
      <c r="R247" s="13">
        <f>R246+Q247</f>
        <v/>
      </c>
      <c r="S247" s="19">
        <f>S246+IF(N247="已下單",M247,0)</f>
        <v/>
      </c>
      <c r="T247" s="19">
        <f>R247-S247</f>
        <v/>
      </c>
      <c r="U247" s="2">
        <f>U246+IF(N247="已下單",1,0)</f>
        <v/>
      </c>
      <c r="V247" s="19">
        <f>IF(資金模擬!$B$9=2,MAX(R247,0),MAX(V246,FLOOR(MAX(R247,0),資金模擬!$B$6)))</f>
        <v/>
      </c>
      <c r="W247" s="13">
        <f>MAX(W246,R247)</f>
        <v/>
      </c>
      <c r="X247" s="4">
        <f>IF(W247&gt;0,R247/W247-1,-1)</f>
        <v/>
      </c>
      <c r="Y247" s="19">
        <f>IF(R247&gt;0,S247*資金模擬!$B$7/R247,0)</f>
        <v/>
      </c>
      <c r="Z247" s="2">
        <f>IF(OR(Z246=1,R247&lt;=資金模擬!$B$10),1,0)</f>
        <v/>
      </c>
    </row>
    <row r="248">
      <c r="A248" s="2" t="n">
        <v>246</v>
      </c>
      <c r="B248" s="7" t="n">
        <v>46274.41666666666</v>
      </c>
      <c r="C248" s="2" t="inlineStr">
        <is>
          <t>進場</t>
        </is>
      </c>
      <c r="D248" s="2" t="n">
        <v>126</v>
      </c>
      <c r="E248" s="2" t="inlineStr">
        <is>
          <t>UAI_USDT_PERP</t>
        </is>
      </c>
      <c r="F248" s="2" t="inlineStr">
        <is>
          <t>做多</t>
        </is>
      </c>
      <c r="G248" s="20" t="n">
        <v>0.7438</v>
      </c>
      <c r="H248" s="20" t="n">
        <v>0.7661140000000001</v>
      </c>
      <c r="I248" s="20" t="n">
        <v>0.70661</v>
      </c>
      <c r="J248" s="20" t="n"/>
      <c r="K248" s="2" t="n"/>
      <c r="L248" s="5" t="n"/>
      <c r="M248" s="19">
        <f>資金模擬!$B$5*V247</f>
        <v/>
      </c>
      <c r="N248" s="2">
        <f>IF(Z247=1,"已停止",IF(T247&gt;=M248,"已下單","資金不足略過"))</f>
        <v/>
      </c>
      <c r="O248" s="19">
        <f>IF(N248="已下單",M248*資金模擬!$B$7,0)</f>
        <v/>
      </c>
      <c r="P248" s="4" t="n"/>
      <c r="Q248" s="13" t="n">
        <v>0</v>
      </c>
      <c r="R248" s="13">
        <f>R247+Q248</f>
        <v/>
      </c>
      <c r="S248" s="19">
        <f>S247+IF(N248="已下單",M248,0)</f>
        <v/>
      </c>
      <c r="T248" s="19">
        <f>R248-S248</f>
        <v/>
      </c>
      <c r="U248" s="2">
        <f>U247+IF(N248="已下單",1,0)</f>
        <v/>
      </c>
      <c r="V248" s="19">
        <f>IF(資金模擬!$B$9=2,MAX(R248,0),MAX(V247,FLOOR(MAX(R248,0),資金模擬!$B$6)))</f>
        <v/>
      </c>
      <c r="W248" s="13">
        <f>MAX(W247,R248)</f>
        <v/>
      </c>
      <c r="X248" s="4">
        <f>IF(W248&gt;0,R248/W248-1,-1)</f>
        <v/>
      </c>
      <c r="Y248" s="19">
        <f>IF(R248&gt;0,S248*資金模擬!$B$7/R248,0)</f>
        <v/>
      </c>
      <c r="Z248" s="2">
        <f>IF(OR(Z247=1,R248&lt;=資金模擬!$B$10),1,0)</f>
        <v/>
      </c>
    </row>
    <row r="249">
      <c r="A249" s="2" t="n">
        <v>247</v>
      </c>
      <c r="B249" s="7" t="n">
        <v>46274.45833333334</v>
      </c>
      <c r="C249" s="2" t="inlineStr">
        <is>
          <t>出場</t>
        </is>
      </c>
      <c r="D249" s="2" t="n">
        <v>122</v>
      </c>
      <c r="E249" s="2" t="inlineStr">
        <is>
          <t>ICP_USDT_PERP</t>
        </is>
      </c>
      <c r="F249" s="2" t="inlineStr">
        <is>
          <t>做空</t>
        </is>
      </c>
      <c r="G249" s="20" t="n">
        <v>2.963</v>
      </c>
      <c r="H249" s="20" t="n">
        <v>2.87411</v>
      </c>
      <c r="I249" s="20" t="n">
        <v>3.11115</v>
      </c>
      <c r="J249" s="20" t="n">
        <v>2.87411</v>
      </c>
      <c r="K249" s="2" t="inlineStr">
        <is>
          <t>止盈</t>
        </is>
      </c>
      <c r="L249" s="5">
        <f>交易明細!K123</f>
        <v/>
      </c>
      <c r="M249" s="19">
        <f>M241</f>
        <v/>
      </c>
      <c r="N249" s="2">
        <f>N241</f>
        <v/>
      </c>
      <c r="O249" s="19">
        <f>O241</f>
        <v/>
      </c>
      <c r="P249" s="4">
        <f>交易明細!L123</f>
        <v/>
      </c>
      <c r="Q249" s="13">
        <f>IF(N249="已下單",O249*P249,0)</f>
        <v/>
      </c>
      <c r="R249" s="13">
        <f>R248+Q249</f>
        <v/>
      </c>
      <c r="S249" s="19">
        <f>S248-IF(N249="已下單",M249,0)</f>
        <v/>
      </c>
      <c r="T249" s="19">
        <f>R249-S249</f>
        <v/>
      </c>
      <c r="U249" s="2">
        <f>U248-IF(N249="已下單",1,0)</f>
        <v/>
      </c>
      <c r="V249" s="19">
        <f>IF(資金模擬!$B$9=2,MAX(R249,0),MAX(V248,FLOOR(MAX(R249,0),資金模擬!$B$6)))</f>
        <v/>
      </c>
      <c r="W249" s="13">
        <f>MAX(W248,R249)</f>
        <v/>
      </c>
      <c r="X249" s="4">
        <f>IF(W249&gt;0,R249/W249-1,-1)</f>
        <v/>
      </c>
      <c r="Y249" s="19">
        <f>IF(R249&gt;0,S249*資金模擬!$B$7/R249,0)</f>
        <v/>
      </c>
      <c r="Z249" s="2">
        <f>IF(OR(Z248=1,R249&lt;=資金模擬!$B$10),1,0)</f>
        <v/>
      </c>
    </row>
    <row r="250">
      <c r="A250" s="2" t="n">
        <v>248</v>
      </c>
      <c r="B250" s="7" t="n">
        <v>46274.5</v>
      </c>
      <c r="C250" s="2" t="inlineStr">
        <is>
          <t>進場</t>
        </is>
      </c>
      <c r="D250" s="2" t="n">
        <v>127</v>
      </c>
      <c r="E250" s="2" t="inlineStr">
        <is>
          <t>IOST_USDT_PERP</t>
        </is>
      </c>
      <c r="F250" s="2" t="inlineStr">
        <is>
          <t>做空</t>
        </is>
      </c>
      <c r="G250" s="20" t="n">
        <v>0.000857</v>
      </c>
      <c r="H250" s="20" t="n">
        <v>0.0008312899999999999</v>
      </c>
      <c r="I250" s="20" t="n">
        <v>0.0008998500000000001</v>
      </c>
      <c r="J250" s="20" t="n"/>
      <c r="K250" s="2" t="n"/>
      <c r="L250" s="5" t="n"/>
      <c r="M250" s="19">
        <f>資金模擬!$B$5*V249</f>
        <v/>
      </c>
      <c r="N250" s="2">
        <f>IF(Z249=1,"已停止",IF(T249&gt;=M250,"已下單","資金不足略過"))</f>
        <v/>
      </c>
      <c r="O250" s="19">
        <f>IF(N250="已下單",M250*資金模擬!$B$7,0)</f>
        <v/>
      </c>
      <c r="P250" s="4" t="n"/>
      <c r="Q250" s="13" t="n">
        <v>0</v>
      </c>
      <c r="R250" s="13">
        <f>R249+Q250</f>
        <v/>
      </c>
      <c r="S250" s="19">
        <f>S249+IF(N250="已下單",M250,0)</f>
        <v/>
      </c>
      <c r="T250" s="19">
        <f>R250-S250</f>
        <v/>
      </c>
      <c r="U250" s="2">
        <f>U249+IF(N250="已下單",1,0)</f>
        <v/>
      </c>
      <c r="V250" s="19">
        <f>IF(資金模擬!$B$9=2,MAX(R250,0),MAX(V249,FLOOR(MAX(R250,0),資金模擬!$B$6)))</f>
        <v/>
      </c>
      <c r="W250" s="13">
        <f>MAX(W249,R250)</f>
        <v/>
      </c>
      <c r="X250" s="4">
        <f>IF(W250&gt;0,R250/W250-1,-1)</f>
        <v/>
      </c>
      <c r="Y250" s="19">
        <f>IF(R250&gt;0,S250*資金模擬!$B$7/R250,0)</f>
        <v/>
      </c>
      <c r="Z250" s="2">
        <f>IF(OR(Z249=1,R250&lt;=資金模擬!$B$10),1,0)</f>
        <v/>
      </c>
    </row>
    <row r="251">
      <c r="A251" s="2" t="n">
        <v>249</v>
      </c>
      <c r="B251" s="7" t="n">
        <v>46274.5</v>
      </c>
      <c r="C251" s="2" t="inlineStr">
        <is>
          <t>進場</t>
        </is>
      </c>
      <c r="D251" s="2" t="n">
        <v>128</v>
      </c>
      <c r="E251" s="2" t="inlineStr">
        <is>
          <t>XPL_USDT_PERP</t>
        </is>
      </c>
      <c r="F251" s="2" t="inlineStr">
        <is>
          <t>做空</t>
        </is>
      </c>
      <c r="G251" s="20" t="n">
        <v>0.09710000000000001</v>
      </c>
      <c r="H251" s="20" t="n">
        <v>0.09418700000000001</v>
      </c>
      <c r="I251" s="20" t="n">
        <v>0.101955</v>
      </c>
      <c r="J251" s="20" t="n"/>
      <c r="K251" s="2" t="n"/>
      <c r="L251" s="5" t="n"/>
      <c r="M251" s="19">
        <f>資金模擬!$B$5*V250</f>
        <v/>
      </c>
      <c r="N251" s="2">
        <f>IF(Z250=1,"已停止",IF(T250&gt;=M251,"已下單","資金不足略過"))</f>
        <v/>
      </c>
      <c r="O251" s="19">
        <f>IF(N251="已下單",M251*資金模擬!$B$7,0)</f>
        <v/>
      </c>
      <c r="P251" s="4" t="n"/>
      <c r="Q251" s="13" t="n">
        <v>0</v>
      </c>
      <c r="R251" s="13">
        <f>R250+Q251</f>
        <v/>
      </c>
      <c r="S251" s="19">
        <f>S250+IF(N251="已下單",M251,0)</f>
        <v/>
      </c>
      <c r="T251" s="19">
        <f>R251-S251</f>
        <v/>
      </c>
      <c r="U251" s="2">
        <f>U250+IF(N251="已下單",1,0)</f>
        <v/>
      </c>
      <c r="V251" s="19">
        <f>IF(資金模擬!$B$9=2,MAX(R251,0),MAX(V250,FLOOR(MAX(R251,0),資金模擬!$B$6)))</f>
        <v/>
      </c>
      <c r="W251" s="13">
        <f>MAX(W250,R251)</f>
        <v/>
      </c>
      <c r="X251" s="4">
        <f>IF(W251&gt;0,R251/W251-1,-1)</f>
        <v/>
      </c>
      <c r="Y251" s="19">
        <f>IF(R251&gt;0,S251*資金模擬!$B$7/R251,0)</f>
        <v/>
      </c>
      <c r="Z251" s="2">
        <f>IF(OR(Z250=1,R251&lt;=資金模擬!$B$10),1,0)</f>
        <v/>
      </c>
    </row>
    <row r="252">
      <c r="A252" s="2" t="n">
        <v>250</v>
      </c>
      <c r="B252" s="7" t="n">
        <v>46274.54166666666</v>
      </c>
      <c r="C252" s="2" t="inlineStr">
        <is>
          <t>出場</t>
        </is>
      </c>
      <c r="D252" s="2" t="n">
        <v>118</v>
      </c>
      <c r="E252" s="2" t="inlineStr">
        <is>
          <t>LIT_USDT_PERP</t>
        </is>
      </c>
      <c r="F252" s="2" t="inlineStr">
        <is>
          <t>做多</t>
        </is>
      </c>
      <c r="G252" s="20" t="n">
        <v>4.848</v>
      </c>
      <c r="H252" s="20" t="n">
        <v>4.99344</v>
      </c>
      <c r="I252" s="20" t="n">
        <v>4.6056</v>
      </c>
      <c r="J252" s="20" t="n">
        <v>4.99344</v>
      </c>
      <c r="K252" s="2" t="inlineStr">
        <is>
          <t>止盈</t>
        </is>
      </c>
      <c r="L252" s="5">
        <f>交易明細!K119</f>
        <v/>
      </c>
      <c r="M252" s="19">
        <f>M231</f>
        <v/>
      </c>
      <c r="N252" s="2">
        <f>N231</f>
        <v/>
      </c>
      <c r="O252" s="19">
        <f>O231</f>
        <v/>
      </c>
      <c r="P252" s="4">
        <f>交易明細!L119</f>
        <v/>
      </c>
      <c r="Q252" s="13">
        <f>IF(N252="已下單",O252*P252,0)</f>
        <v/>
      </c>
      <c r="R252" s="13">
        <f>R251+Q252</f>
        <v/>
      </c>
      <c r="S252" s="19">
        <f>S251-IF(N252="已下單",M252,0)</f>
        <v/>
      </c>
      <c r="T252" s="19">
        <f>R252-S252</f>
        <v/>
      </c>
      <c r="U252" s="2">
        <f>U251-IF(N252="已下單",1,0)</f>
        <v/>
      </c>
      <c r="V252" s="19">
        <f>IF(資金模擬!$B$9=2,MAX(R252,0),MAX(V251,FLOOR(MAX(R252,0),資金模擬!$B$6)))</f>
        <v/>
      </c>
      <c r="W252" s="13">
        <f>MAX(W251,R252)</f>
        <v/>
      </c>
      <c r="X252" s="4">
        <f>IF(W252&gt;0,R252/W252-1,-1)</f>
        <v/>
      </c>
      <c r="Y252" s="19">
        <f>IF(R252&gt;0,S252*資金模擬!$B$7/R252,0)</f>
        <v/>
      </c>
      <c r="Z252" s="2">
        <f>IF(OR(Z251=1,R252&lt;=資金模擬!$B$10),1,0)</f>
        <v/>
      </c>
    </row>
    <row r="253">
      <c r="A253" s="2" t="n">
        <v>251</v>
      </c>
      <c r="B253" s="7" t="n">
        <v>46274.54166666666</v>
      </c>
      <c r="C253" s="2" t="inlineStr">
        <is>
          <t>出場</t>
        </is>
      </c>
      <c r="D253" s="2" t="n">
        <v>127</v>
      </c>
      <c r="E253" s="2" t="inlineStr">
        <is>
          <t>IOST_USDT_PERP</t>
        </is>
      </c>
      <c r="F253" s="2" t="inlineStr">
        <is>
          <t>做空</t>
        </is>
      </c>
      <c r="G253" s="20" t="n">
        <v>0.000857</v>
      </c>
      <c r="H253" s="20" t="n">
        <v>0.0008312899999999999</v>
      </c>
      <c r="I253" s="20" t="n">
        <v>0.0008998500000000001</v>
      </c>
      <c r="J253" s="20" t="n">
        <v>0.0008998500000000001</v>
      </c>
      <c r="K253" s="2" t="inlineStr">
        <is>
          <t>止損</t>
        </is>
      </c>
      <c r="L253" s="5">
        <f>交易明細!K128</f>
        <v/>
      </c>
      <c r="M253" s="19">
        <f>M250</f>
        <v/>
      </c>
      <c r="N253" s="2">
        <f>N250</f>
        <v/>
      </c>
      <c r="O253" s="19">
        <f>O250</f>
        <v/>
      </c>
      <c r="P253" s="4">
        <f>交易明細!L128</f>
        <v/>
      </c>
      <c r="Q253" s="13">
        <f>IF(N253="已下單",O253*P253,0)</f>
        <v/>
      </c>
      <c r="R253" s="13">
        <f>R252+Q253</f>
        <v/>
      </c>
      <c r="S253" s="19">
        <f>S252-IF(N253="已下單",M253,0)</f>
        <v/>
      </c>
      <c r="T253" s="19">
        <f>R253-S253</f>
        <v/>
      </c>
      <c r="U253" s="2">
        <f>U252-IF(N253="已下單",1,0)</f>
        <v/>
      </c>
      <c r="V253" s="19">
        <f>IF(資金模擬!$B$9=2,MAX(R253,0),MAX(V252,FLOOR(MAX(R253,0),資金模擬!$B$6)))</f>
        <v/>
      </c>
      <c r="W253" s="13">
        <f>MAX(W252,R253)</f>
        <v/>
      </c>
      <c r="X253" s="4">
        <f>IF(W253&gt;0,R253/W253-1,-1)</f>
        <v/>
      </c>
      <c r="Y253" s="19">
        <f>IF(R253&gt;0,S253*資金模擬!$B$7/R253,0)</f>
        <v/>
      </c>
      <c r="Z253" s="2">
        <f>IF(OR(Z252=1,R253&lt;=資金模擬!$B$10),1,0)</f>
        <v/>
      </c>
    </row>
    <row r="254">
      <c r="A254" s="2" t="n">
        <v>252</v>
      </c>
      <c r="B254" s="7" t="n">
        <v>46274.54166666666</v>
      </c>
      <c r="C254" s="2" t="inlineStr">
        <is>
          <t>進場</t>
        </is>
      </c>
      <c r="D254" s="2" t="n">
        <v>129</v>
      </c>
      <c r="E254" s="2" t="inlineStr">
        <is>
          <t>DASH_USDT_PERP</t>
        </is>
      </c>
      <c r="F254" s="2" t="inlineStr">
        <is>
          <t>做多</t>
        </is>
      </c>
      <c r="G254" s="20" t="n">
        <v>64.79000000000001</v>
      </c>
      <c r="H254" s="20" t="n">
        <v>66.73370000000001</v>
      </c>
      <c r="I254" s="20" t="n">
        <v>61.5505</v>
      </c>
      <c r="J254" s="20" t="n"/>
      <c r="K254" s="2" t="n"/>
      <c r="L254" s="5" t="n"/>
      <c r="M254" s="19">
        <f>資金模擬!$B$5*V253</f>
        <v/>
      </c>
      <c r="N254" s="2">
        <f>IF(Z253=1,"已停止",IF(T253&gt;=M254,"已下單","資金不足略過"))</f>
        <v/>
      </c>
      <c r="O254" s="19">
        <f>IF(N254="已下單",M254*資金模擬!$B$7,0)</f>
        <v/>
      </c>
      <c r="P254" s="4" t="n"/>
      <c r="Q254" s="13" t="n">
        <v>0</v>
      </c>
      <c r="R254" s="13">
        <f>R253+Q254</f>
        <v/>
      </c>
      <c r="S254" s="19">
        <f>S253+IF(N254="已下單",M254,0)</f>
        <v/>
      </c>
      <c r="T254" s="19">
        <f>R254-S254</f>
        <v/>
      </c>
      <c r="U254" s="2">
        <f>U253+IF(N254="已下單",1,0)</f>
        <v/>
      </c>
      <c r="V254" s="19">
        <f>IF(資金模擬!$B$9=2,MAX(R254,0),MAX(V253,FLOOR(MAX(R254,0),資金模擬!$B$6)))</f>
        <v/>
      </c>
      <c r="W254" s="13">
        <f>MAX(W253,R254)</f>
        <v/>
      </c>
      <c r="X254" s="4">
        <f>IF(W254&gt;0,R254/W254-1,-1)</f>
        <v/>
      </c>
      <c r="Y254" s="19">
        <f>IF(R254&gt;0,S254*資金模擬!$B$7/R254,0)</f>
        <v/>
      </c>
      <c r="Z254" s="2">
        <f>IF(OR(Z253=1,R254&lt;=資金模擬!$B$10),1,0)</f>
        <v/>
      </c>
    </row>
    <row r="255">
      <c r="A255" s="2" t="n">
        <v>253</v>
      </c>
      <c r="B255" s="7" t="n">
        <v>46274.54166666666</v>
      </c>
      <c r="C255" s="2" t="inlineStr">
        <is>
          <t>進場</t>
        </is>
      </c>
      <c r="D255" s="2" t="n">
        <v>130</v>
      </c>
      <c r="E255" s="2" t="inlineStr">
        <is>
          <t>PONS_USDT_PERP</t>
        </is>
      </c>
      <c r="F255" s="2" t="inlineStr">
        <is>
          <t>做多</t>
        </is>
      </c>
      <c r="G255" s="20" t="n">
        <v>0.8091</v>
      </c>
      <c r="H255" s="20" t="n">
        <v>0.833373</v>
      </c>
      <c r="I255" s="20" t="n">
        <v>0.768645</v>
      </c>
      <c r="J255" s="20" t="n"/>
      <c r="K255" s="2" t="n"/>
      <c r="L255" s="5" t="n"/>
      <c r="M255" s="19">
        <f>資金模擬!$B$5*V254</f>
        <v/>
      </c>
      <c r="N255" s="2">
        <f>IF(Z254=1,"已停止",IF(T254&gt;=M255,"已下單","資金不足略過"))</f>
        <v/>
      </c>
      <c r="O255" s="19">
        <f>IF(N255="已下單",M255*資金模擬!$B$7,0)</f>
        <v/>
      </c>
      <c r="P255" s="4" t="n"/>
      <c r="Q255" s="13" t="n">
        <v>0</v>
      </c>
      <c r="R255" s="13">
        <f>R254+Q255</f>
        <v/>
      </c>
      <c r="S255" s="19">
        <f>S254+IF(N255="已下單",M255,0)</f>
        <v/>
      </c>
      <c r="T255" s="19">
        <f>R255-S255</f>
        <v/>
      </c>
      <c r="U255" s="2">
        <f>U254+IF(N255="已下單",1,0)</f>
        <v/>
      </c>
      <c r="V255" s="19">
        <f>IF(資金模擬!$B$9=2,MAX(R255,0),MAX(V254,FLOOR(MAX(R255,0),資金模擬!$B$6)))</f>
        <v/>
      </c>
      <c r="W255" s="13">
        <f>MAX(W254,R255)</f>
        <v/>
      </c>
      <c r="X255" s="4">
        <f>IF(W255&gt;0,R255/W255-1,-1)</f>
        <v/>
      </c>
      <c r="Y255" s="19">
        <f>IF(R255&gt;0,S255*資金模擬!$B$7/R255,0)</f>
        <v/>
      </c>
      <c r="Z255" s="2">
        <f>IF(OR(Z254=1,R255&lt;=資金模擬!$B$10),1,0)</f>
        <v/>
      </c>
    </row>
    <row r="256">
      <c r="A256" s="2" t="n">
        <v>254</v>
      </c>
      <c r="B256" s="7" t="n">
        <v>46274.54166666666</v>
      </c>
      <c r="C256" s="2" t="inlineStr">
        <is>
          <t>進場</t>
        </is>
      </c>
      <c r="D256" s="2" t="n">
        <v>131</v>
      </c>
      <c r="E256" s="2" t="inlineStr">
        <is>
          <t>USELESS_USDT_PERP</t>
        </is>
      </c>
      <c r="F256" s="2" t="inlineStr">
        <is>
          <t>做多</t>
        </is>
      </c>
      <c r="G256" s="20" t="n">
        <v>0.29433</v>
      </c>
      <c r="H256" s="20" t="n">
        <v>0.3031599</v>
      </c>
      <c r="I256" s="20" t="n">
        <v>0.2796135</v>
      </c>
      <c r="J256" s="20" t="n"/>
      <c r="K256" s="2" t="n"/>
      <c r="L256" s="5" t="n"/>
      <c r="M256" s="19">
        <f>資金模擬!$B$5*V255</f>
        <v/>
      </c>
      <c r="N256" s="2">
        <f>IF(Z255=1,"已停止",IF(T255&gt;=M256,"已下單","資金不足略過"))</f>
        <v/>
      </c>
      <c r="O256" s="19">
        <f>IF(N256="已下單",M256*資金模擬!$B$7,0)</f>
        <v/>
      </c>
      <c r="P256" s="4" t="n"/>
      <c r="Q256" s="13" t="n">
        <v>0</v>
      </c>
      <c r="R256" s="13">
        <f>R255+Q256</f>
        <v/>
      </c>
      <c r="S256" s="19">
        <f>S255+IF(N256="已下單",M256,0)</f>
        <v/>
      </c>
      <c r="T256" s="19">
        <f>R256-S256</f>
        <v/>
      </c>
      <c r="U256" s="2">
        <f>U255+IF(N256="已下單",1,0)</f>
        <v/>
      </c>
      <c r="V256" s="19">
        <f>IF(資金模擬!$B$9=2,MAX(R256,0),MAX(V255,FLOOR(MAX(R256,0),資金模擬!$B$6)))</f>
        <v/>
      </c>
      <c r="W256" s="13">
        <f>MAX(W255,R256)</f>
        <v/>
      </c>
      <c r="X256" s="4">
        <f>IF(W256&gt;0,R256/W256-1,-1)</f>
        <v/>
      </c>
      <c r="Y256" s="19">
        <f>IF(R256&gt;0,S256*資金模擬!$B$7/R256,0)</f>
        <v/>
      </c>
      <c r="Z256" s="2">
        <f>IF(OR(Z255=1,R256&lt;=資金模擬!$B$10),1,0)</f>
        <v/>
      </c>
    </row>
    <row r="257">
      <c r="A257" s="2" t="n">
        <v>255</v>
      </c>
      <c r="B257" s="7" t="n">
        <v>46274.58333333334</v>
      </c>
      <c r="C257" s="2" t="inlineStr">
        <is>
          <t>出場</t>
        </is>
      </c>
      <c r="D257" s="2" t="n">
        <v>126</v>
      </c>
      <c r="E257" s="2" t="inlineStr">
        <is>
          <t>UAI_USDT_PERP</t>
        </is>
      </c>
      <c r="F257" s="2" t="inlineStr">
        <is>
          <t>做多</t>
        </is>
      </c>
      <c r="G257" s="20" t="n">
        <v>0.7438</v>
      </c>
      <c r="H257" s="20" t="n">
        <v>0.7661140000000001</v>
      </c>
      <c r="I257" s="20" t="n">
        <v>0.70661</v>
      </c>
      <c r="J257" s="20" t="n">
        <v>0.70661</v>
      </c>
      <c r="K257" s="2" t="inlineStr">
        <is>
          <t>止損</t>
        </is>
      </c>
      <c r="L257" s="5">
        <f>交易明細!K127</f>
        <v/>
      </c>
      <c r="M257" s="19">
        <f>M248</f>
        <v/>
      </c>
      <c r="N257" s="2">
        <f>N248</f>
        <v/>
      </c>
      <c r="O257" s="19">
        <f>O248</f>
        <v/>
      </c>
      <c r="P257" s="4">
        <f>交易明細!L127</f>
        <v/>
      </c>
      <c r="Q257" s="13">
        <f>IF(N257="已下單",O257*P257,0)</f>
        <v/>
      </c>
      <c r="R257" s="13">
        <f>R256+Q257</f>
        <v/>
      </c>
      <c r="S257" s="19">
        <f>S256-IF(N257="已下單",M257,0)</f>
        <v/>
      </c>
      <c r="T257" s="19">
        <f>R257-S257</f>
        <v/>
      </c>
      <c r="U257" s="2">
        <f>U256-IF(N257="已下單",1,0)</f>
        <v/>
      </c>
      <c r="V257" s="19">
        <f>IF(資金模擬!$B$9=2,MAX(R257,0),MAX(V256,FLOOR(MAX(R257,0),資金模擬!$B$6)))</f>
        <v/>
      </c>
      <c r="W257" s="13">
        <f>MAX(W256,R257)</f>
        <v/>
      </c>
      <c r="X257" s="4">
        <f>IF(W257&gt;0,R257/W257-1,-1)</f>
        <v/>
      </c>
      <c r="Y257" s="19">
        <f>IF(R257&gt;0,S257*資金模擬!$B$7/R257,0)</f>
        <v/>
      </c>
      <c r="Z257" s="2">
        <f>IF(OR(Z256=1,R257&lt;=資金模擬!$B$10),1,0)</f>
        <v/>
      </c>
    </row>
    <row r="258">
      <c r="A258" s="2" t="n">
        <v>256</v>
      </c>
      <c r="B258" s="7" t="n">
        <v>46274.58333333334</v>
      </c>
      <c r="C258" s="2" t="inlineStr">
        <is>
          <t>出場</t>
        </is>
      </c>
      <c r="D258" s="2" t="n">
        <v>131</v>
      </c>
      <c r="E258" s="2" t="inlineStr">
        <is>
          <t>USELESS_USDT_PERP</t>
        </is>
      </c>
      <c r="F258" s="2" t="inlineStr">
        <is>
          <t>做多</t>
        </is>
      </c>
      <c r="G258" s="20" t="n">
        <v>0.29433</v>
      </c>
      <c r="H258" s="20" t="n">
        <v>0.3031599</v>
      </c>
      <c r="I258" s="20" t="n">
        <v>0.2796135</v>
      </c>
      <c r="J258" s="20" t="n">
        <v>0.3031599</v>
      </c>
      <c r="K258" s="2" t="inlineStr">
        <is>
          <t>止盈</t>
        </is>
      </c>
      <c r="L258" s="5">
        <f>交易明細!K132</f>
        <v/>
      </c>
      <c r="M258" s="19">
        <f>M256</f>
        <v/>
      </c>
      <c r="N258" s="2">
        <f>N256</f>
        <v/>
      </c>
      <c r="O258" s="19">
        <f>O256</f>
        <v/>
      </c>
      <c r="P258" s="4">
        <f>交易明細!L132</f>
        <v/>
      </c>
      <c r="Q258" s="13">
        <f>IF(N258="已下單",O258*P258,0)</f>
        <v/>
      </c>
      <c r="R258" s="13">
        <f>R257+Q258</f>
        <v/>
      </c>
      <c r="S258" s="19">
        <f>S257-IF(N258="已下單",M258,0)</f>
        <v/>
      </c>
      <c r="T258" s="19">
        <f>R258-S258</f>
        <v/>
      </c>
      <c r="U258" s="2">
        <f>U257-IF(N258="已下單",1,0)</f>
        <v/>
      </c>
      <c r="V258" s="19">
        <f>IF(資金模擬!$B$9=2,MAX(R258,0),MAX(V257,FLOOR(MAX(R258,0),資金模擬!$B$6)))</f>
        <v/>
      </c>
      <c r="W258" s="13">
        <f>MAX(W257,R258)</f>
        <v/>
      </c>
      <c r="X258" s="4">
        <f>IF(W258&gt;0,R258/W258-1,-1)</f>
        <v/>
      </c>
      <c r="Y258" s="19">
        <f>IF(R258&gt;0,S258*資金模擬!$B$7/R258,0)</f>
        <v/>
      </c>
      <c r="Z258" s="2">
        <f>IF(OR(Z257=1,R258&lt;=資金模擬!$B$10),1,0)</f>
        <v/>
      </c>
    </row>
    <row r="259">
      <c r="A259" s="2" t="n">
        <v>257</v>
      </c>
      <c r="B259" s="7" t="n">
        <v>46274.625</v>
      </c>
      <c r="C259" s="2" t="inlineStr">
        <is>
          <t>出場</t>
        </is>
      </c>
      <c r="D259" s="2" t="n">
        <v>125</v>
      </c>
      <c r="E259" s="2" t="inlineStr">
        <is>
          <t>PUMP_USDT_PERP</t>
        </is>
      </c>
      <c r="F259" s="2" t="inlineStr">
        <is>
          <t>做多</t>
        </is>
      </c>
      <c r="G259" s="20" t="n">
        <v>0.004415</v>
      </c>
      <c r="H259" s="20" t="n">
        <v>0.00454745</v>
      </c>
      <c r="I259" s="20" t="n">
        <v>0.004194249999999999</v>
      </c>
      <c r="J259" s="20" t="n">
        <v>0.00454745</v>
      </c>
      <c r="K259" s="2" t="inlineStr">
        <is>
          <t>止盈</t>
        </is>
      </c>
      <c r="L259" s="5">
        <f>交易明細!K126</f>
        <v/>
      </c>
      <c r="M259" s="19">
        <f>M247</f>
        <v/>
      </c>
      <c r="N259" s="2">
        <f>N247</f>
        <v/>
      </c>
      <c r="O259" s="19">
        <f>O247</f>
        <v/>
      </c>
      <c r="P259" s="4">
        <f>交易明細!L126</f>
        <v/>
      </c>
      <c r="Q259" s="13">
        <f>IF(N259="已下單",O259*P259,0)</f>
        <v/>
      </c>
      <c r="R259" s="13">
        <f>R258+Q259</f>
        <v/>
      </c>
      <c r="S259" s="19">
        <f>S258-IF(N259="已下單",M259,0)</f>
        <v/>
      </c>
      <c r="T259" s="19">
        <f>R259-S259</f>
        <v/>
      </c>
      <c r="U259" s="2">
        <f>U258-IF(N259="已下單",1,0)</f>
        <v/>
      </c>
      <c r="V259" s="19">
        <f>IF(資金模擬!$B$9=2,MAX(R259,0),MAX(V258,FLOOR(MAX(R259,0),資金模擬!$B$6)))</f>
        <v/>
      </c>
      <c r="W259" s="13">
        <f>MAX(W258,R259)</f>
        <v/>
      </c>
      <c r="X259" s="4">
        <f>IF(W259&gt;0,R259/W259-1,-1)</f>
        <v/>
      </c>
      <c r="Y259" s="19">
        <f>IF(R259&gt;0,S259*資金模擬!$B$7/R259,0)</f>
        <v/>
      </c>
      <c r="Z259" s="2">
        <f>IF(OR(Z258=1,R259&lt;=資金模擬!$B$10),1,0)</f>
        <v/>
      </c>
    </row>
    <row r="260">
      <c r="A260" s="2" t="n">
        <v>258</v>
      </c>
      <c r="B260" s="7" t="n">
        <v>46274.625</v>
      </c>
      <c r="C260" s="2" t="inlineStr">
        <is>
          <t>進場</t>
        </is>
      </c>
      <c r="D260" s="2" t="n">
        <v>132</v>
      </c>
      <c r="E260" s="2" t="inlineStr">
        <is>
          <t>NEAR_USDT_PERP</t>
        </is>
      </c>
      <c r="F260" s="2" t="inlineStr">
        <is>
          <t>做多</t>
        </is>
      </c>
      <c r="G260" s="20" t="n">
        <v>2.393</v>
      </c>
      <c r="H260" s="20" t="n">
        <v>2.46479</v>
      </c>
      <c r="I260" s="20" t="n">
        <v>2.27335</v>
      </c>
      <c r="J260" s="20" t="n"/>
      <c r="K260" s="2" t="n"/>
      <c r="L260" s="5" t="n"/>
      <c r="M260" s="19">
        <f>資金模擬!$B$5*V259</f>
        <v/>
      </c>
      <c r="N260" s="2">
        <f>IF(Z259=1,"已停止",IF(T259&gt;=M260,"已下單","資金不足略過"))</f>
        <v/>
      </c>
      <c r="O260" s="19">
        <f>IF(N260="已下單",M260*資金模擬!$B$7,0)</f>
        <v/>
      </c>
      <c r="P260" s="4" t="n"/>
      <c r="Q260" s="13" t="n">
        <v>0</v>
      </c>
      <c r="R260" s="13">
        <f>R259+Q260</f>
        <v/>
      </c>
      <c r="S260" s="19">
        <f>S259+IF(N260="已下單",M260,0)</f>
        <v/>
      </c>
      <c r="T260" s="19">
        <f>R260-S260</f>
        <v/>
      </c>
      <c r="U260" s="2">
        <f>U259+IF(N260="已下單",1,0)</f>
        <v/>
      </c>
      <c r="V260" s="19">
        <f>IF(資金模擬!$B$9=2,MAX(R260,0),MAX(V259,FLOOR(MAX(R260,0),資金模擬!$B$6)))</f>
        <v/>
      </c>
      <c r="W260" s="13">
        <f>MAX(W259,R260)</f>
        <v/>
      </c>
      <c r="X260" s="4">
        <f>IF(W260&gt;0,R260/W260-1,-1)</f>
        <v/>
      </c>
      <c r="Y260" s="19">
        <f>IF(R260&gt;0,S260*資金模擬!$B$7/R260,0)</f>
        <v/>
      </c>
      <c r="Z260" s="2">
        <f>IF(OR(Z259=1,R260&lt;=資金模擬!$B$10),1,0)</f>
        <v/>
      </c>
    </row>
    <row r="261">
      <c r="A261" s="2" t="n">
        <v>259</v>
      </c>
      <c r="B261" s="7" t="n">
        <v>46274.66666666666</v>
      </c>
      <c r="C261" s="2" t="inlineStr">
        <is>
          <t>出場</t>
        </is>
      </c>
      <c r="D261" s="2" t="n">
        <v>132</v>
      </c>
      <c r="E261" s="2" t="inlineStr">
        <is>
          <t>NEAR_USDT_PERP</t>
        </is>
      </c>
      <c r="F261" s="2" t="inlineStr">
        <is>
          <t>做多</t>
        </is>
      </c>
      <c r="G261" s="20" t="n">
        <v>2.393</v>
      </c>
      <c r="H261" s="20" t="n">
        <v>2.46479</v>
      </c>
      <c r="I261" s="20" t="n">
        <v>2.27335</v>
      </c>
      <c r="J261" s="20" t="n">
        <v>2.46479</v>
      </c>
      <c r="K261" s="2" t="inlineStr">
        <is>
          <t>止盈</t>
        </is>
      </c>
      <c r="L261" s="5">
        <f>交易明細!K133</f>
        <v/>
      </c>
      <c r="M261" s="19">
        <f>M260</f>
        <v/>
      </c>
      <c r="N261" s="2">
        <f>N260</f>
        <v/>
      </c>
      <c r="O261" s="19">
        <f>O260</f>
        <v/>
      </c>
      <c r="P261" s="4">
        <f>交易明細!L133</f>
        <v/>
      </c>
      <c r="Q261" s="13">
        <f>IF(N261="已下單",O261*P261,0)</f>
        <v/>
      </c>
      <c r="R261" s="13">
        <f>R260+Q261</f>
        <v/>
      </c>
      <c r="S261" s="19">
        <f>S260-IF(N261="已下單",M261,0)</f>
        <v/>
      </c>
      <c r="T261" s="19">
        <f>R261-S261</f>
        <v/>
      </c>
      <c r="U261" s="2">
        <f>U260-IF(N261="已下單",1,0)</f>
        <v/>
      </c>
      <c r="V261" s="19">
        <f>IF(資金模擬!$B$9=2,MAX(R261,0),MAX(V260,FLOOR(MAX(R261,0),資金模擬!$B$6)))</f>
        <v/>
      </c>
      <c r="W261" s="13">
        <f>MAX(W260,R261)</f>
        <v/>
      </c>
      <c r="X261" s="4">
        <f>IF(W261&gt;0,R261/W261-1,-1)</f>
        <v/>
      </c>
      <c r="Y261" s="19">
        <f>IF(R261&gt;0,S261*資金模擬!$B$7/R261,0)</f>
        <v/>
      </c>
      <c r="Z261" s="2">
        <f>IF(OR(Z260=1,R261&lt;=資金模擬!$B$10),1,0)</f>
        <v/>
      </c>
    </row>
    <row r="262">
      <c r="A262" s="2" t="n">
        <v>260</v>
      </c>
      <c r="B262" s="7" t="n">
        <v>46274.70833333334</v>
      </c>
      <c r="C262" s="2" t="inlineStr">
        <is>
          <t>出場</t>
        </is>
      </c>
      <c r="D262" s="2" t="n">
        <v>130</v>
      </c>
      <c r="E262" s="2" t="inlineStr">
        <is>
          <t>PONS_USDT_PERP</t>
        </is>
      </c>
      <c r="F262" s="2" t="inlineStr">
        <is>
          <t>做多</t>
        </is>
      </c>
      <c r="G262" s="20" t="n">
        <v>0.8091</v>
      </c>
      <c r="H262" s="20" t="n">
        <v>0.833373</v>
      </c>
      <c r="I262" s="20" t="n">
        <v>0.768645</v>
      </c>
      <c r="J262" s="20" t="n">
        <v>0.833373</v>
      </c>
      <c r="K262" s="2" t="inlineStr">
        <is>
          <t>止盈</t>
        </is>
      </c>
      <c r="L262" s="5">
        <f>交易明細!K131</f>
        <v/>
      </c>
      <c r="M262" s="19">
        <f>M255</f>
        <v/>
      </c>
      <c r="N262" s="2">
        <f>N255</f>
        <v/>
      </c>
      <c r="O262" s="19">
        <f>O255</f>
        <v/>
      </c>
      <c r="P262" s="4">
        <f>交易明細!L131</f>
        <v/>
      </c>
      <c r="Q262" s="13">
        <f>IF(N262="已下單",O262*P262,0)</f>
        <v/>
      </c>
      <c r="R262" s="13">
        <f>R261+Q262</f>
        <v/>
      </c>
      <c r="S262" s="19">
        <f>S261-IF(N262="已下單",M262,0)</f>
        <v/>
      </c>
      <c r="T262" s="19">
        <f>R262-S262</f>
        <v/>
      </c>
      <c r="U262" s="2">
        <f>U261-IF(N262="已下單",1,0)</f>
        <v/>
      </c>
      <c r="V262" s="19">
        <f>IF(資金模擬!$B$9=2,MAX(R262,0),MAX(V261,FLOOR(MAX(R262,0),資金模擬!$B$6)))</f>
        <v/>
      </c>
      <c r="W262" s="13">
        <f>MAX(W261,R262)</f>
        <v/>
      </c>
      <c r="X262" s="4">
        <f>IF(W262&gt;0,R262/W262-1,-1)</f>
        <v/>
      </c>
      <c r="Y262" s="19">
        <f>IF(R262&gt;0,S262*資金模擬!$B$7/R262,0)</f>
        <v/>
      </c>
      <c r="Z262" s="2">
        <f>IF(OR(Z261=1,R262&lt;=資金模擬!$B$10),1,0)</f>
        <v/>
      </c>
    </row>
    <row r="263">
      <c r="A263" s="2" t="n">
        <v>261</v>
      </c>
      <c r="B263" s="7" t="n">
        <v>46274.70833333334</v>
      </c>
      <c r="C263" s="2" t="inlineStr">
        <is>
          <t>進場</t>
        </is>
      </c>
      <c r="D263" s="2" t="n">
        <v>133</v>
      </c>
      <c r="E263" s="2" t="inlineStr">
        <is>
          <t>BULLA_USDT_PERP</t>
        </is>
      </c>
      <c r="F263" s="2" t="inlineStr">
        <is>
          <t>做多</t>
        </is>
      </c>
      <c r="G263" s="20" t="n">
        <v>0.07983</v>
      </c>
      <c r="H263" s="20" t="n">
        <v>0.0822249</v>
      </c>
      <c r="I263" s="20" t="n">
        <v>0.07583849999999999</v>
      </c>
      <c r="J263" s="20" t="n"/>
      <c r="K263" s="2" t="n"/>
      <c r="L263" s="5" t="n"/>
      <c r="M263" s="19">
        <f>資金模擬!$B$5*V262</f>
        <v/>
      </c>
      <c r="N263" s="2">
        <f>IF(Z262=1,"已停止",IF(T262&gt;=M263,"已下單","資金不足略過"))</f>
        <v/>
      </c>
      <c r="O263" s="19">
        <f>IF(N263="已下單",M263*資金模擬!$B$7,0)</f>
        <v/>
      </c>
      <c r="P263" s="4" t="n"/>
      <c r="Q263" s="13" t="n">
        <v>0</v>
      </c>
      <c r="R263" s="13">
        <f>R262+Q263</f>
        <v/>
      </c>
      <c r="S263" s="19">
        <f>S262+IF(N263="已下單",M263,0)</f>
        <v/>
      </c>
      <c r="T263" s="19">
        <f>R263-S263</f>
        <v/>
      </c>
      <c r="U263" s="2">
        <f>U262+IF(N263="已下單",1,0)</f>
        <v/>
      </c>
      <c r="V263" s="19">
        <f>IF(資金模擬!$B$9=2,MAX(R263,0),MAX(V262,FLOOR(MAX(R263,0),資金模擬!$B$6)))</f>
        <v/>
      </c>
      <c r="W263" s="13">
        <f>MAX(W262,R263)</f>
        <v/>
      </c>
      <c r="X263" s="4">
        <f>IF(W263&gt;0,R263/W263-1,-1)</f>
        <v/>
      </c>
      <c r="Y263" s="19">
        <f>IF(R263&gt;0,S263*資金模擬!$B$7/R263,0)</f>
        <v/>
      </c>
      <c r="Z263" s="2">
        <f>IF(OR(Z262=1,R263&lt;=資金模擬!$B$10),1,0)</f>
        <v/>
      </c>
    </row>
    <row r="264">
      <c r="A264" s="2" t="n">
        <v>262</v>
      </c>
      <c r="B264" s="7" t="n">
        <v>46274.70833333334</v>
      </c>
      <c r="C264" s="2" t="inlineStr">
        <is>
          <t>進場</t>
        </is>
      </c>
      <c r="D264" s="2" t="n">
        <v>134</v>
      </c>
      <c r="E264" s="2" t="inlineStr">
        <is>
          <t>FF_USDT_PERP</t>
        </is>
      </c>
      <c r="F264" s="2" t="inlineStr">
        <is>
          <t>做多</t>
        </is>
      </c>
      <c r="G264" s="20" t="n">
        <v>0.15464</v>
      </c>
      <c r="H264" s="20" t="n">
        <v>0.1592792</v>
      </c>
      <c r="I264" s="20" t="n">
        <v>0.146908</v>
      </c>
      <c r="J264" s="20" t="n"/>
      <c r="K264" s="2" t="n"/>
      <c r="L264" s="5" t="n"/>
      <c r="M264" s="19">
        <f>資金模擬!$B$5*V263</f>
        <v/>
      </c>
      <c r="N264" s="2">
        <f>IF(Z263=1,"已停止",IF(T263&gt;=M264,"已下單","資金不足略過"))</f>
        <v/>
      </c>
      <c r="O264" s="19">
        <f>IF(N264="已下單",M264*資金模擬!$B$7,0)</f>
        <v/>
      </c>
      <c r="P264" s="4" t="n"/>
      <c r="Q264" s="13" t="n">
        <v>0</v>
      </c>
      <c r="R264" s="13">
        <f>R263+Q264</f>
        <v/>
      </c>
      <c r="S264" s="19">
        <f>S263+IF(N264="已下單",M264,0)</f>
        <v/>
      </c>
      <c r="T264" s="19">
        <f>R264-S264</f>
        <v/>
      </c>
      <c r="U264" s="2">
        <f>U263+IF(N264="已下單",1,0)</f>
        <v/>
      </c>
      <c r="V264" s="19">
        <f>IF(資金模擬!$B$9=2,MAX(R264,0),MAX(V263,FLOOR(MAX(R264,0),資金模擬!$B$6)))</f>
        <v/>
      </c>
      <c r="W264" s="13">
        <f>MAX(W263,R264)</f>
        <v/>
      </c>
      <c r="X264" s="4">
        <f>IF(W264&gt;0,R264/W264-1,-1)</f>
        <v/>
      </c>
      <c r="Y264" s="19">
        <f>IF(R264&gt;0,S264*資金模擬!$B$7/R264,0)</f>
        <v/>
      </c>
      <c r="Z264" s="2">
        <f>IF(OR(Z263=1,R264&lt;=資金模擬!$B$10),1,0)</f>
        <v/>
      </c>
    </row>
    <row r="265">
      <c r="A265" s="2" t="n">
        <v>263</v>
      </c>
      <c r="B265" s="7" t="n">
        <v>46274.75</v>
      </c>
      <c r="C265" s="2" t="inlineStr">
        <is>
          <t>出場</t>
        </is>
      </c>
      <c r="D265" s="2" t="n">
        <v>133</v>
      </c>
      <c r="E265" s="2" t="inlineStr">
        <is>
          <t>BULLA_USDT_PERP</t>
        </is>
      </c>
      <c r="F265" s="2" t="inlineStr">
        <is>
          <t>做多</t>
        </is>
      </c>
      <c r="G265" s="20" t="n">
        <v>0.07983</v>
      </c>
      <c r="H265" s="20" t="n">
        <v>0.0822249</v>
      </c>
      <c r="I265" s="20" t="n">
        <v>0.07583849999999999</v>
      </c>
      <c r="J265" s="20" t="n">
        <v>0.0822249</v>
      </c>
      <c r="K265" s="2" t="inlineStr">
        <is>
          <t>止盈</t>
        </is>
      </c>
      <c r="L265" s="5">
        <f>交易明細!K134</f>
        <v/>
      </c>
      <c r="M265" s="19">
        <f>M263</f>
        <v/>
      </c>
      <c r="N265" s="2">
        <f>N263</f>
        <v/>
      </c>
      <c r="O265" s="19">
        <f>O263</f>
        <v/>
      </c>
      <c r="P265" s="4">
        <f>交易明細!L134</f>
        <v/>
      </c>
      <c r="Q265" s="13">
        <f>IF(N265="已下單",O265*P265,0)</f>
        <v/>
      </c>
      <c r="R265" s="13">
        <f>R264+Q265</f>
        <v/>
      </c>
      <c r="S265" s="19">
        <f>S264-IF(N265="已下單",M265,0)</f>
        <v/>
      </c>
      <c r="T265" s="19">
        <f>R265-S265</f>
        <v/>
      </c>
      <c r="U265" s="2">
        <f>U264-IF(N265="已下單",1,0)</f>
        <v/>
      </c>
      <c r="V265" s="19">
        <f>IF(資金模擬!$B$9=2,MAX(R265,0),MAX(V264,FLOOR(MAX(R265,0),資金模擬!$B$6)))</f>
        <v/>
      </c>
      <c r="W265" s="13">
        <f>MAX(W264,R265)</f>
        <v/>
      </c>
      <c r="X265" s="4">
        <f>IF(W265&gt;0,R265/W265-1,-1)</f>
        <v/>
      </c>
      <c r="Y265" s="19">
        <f>IF(R265&gt;0,S265*資金模擬!$B$7/R265,0)</f>
        <v/>
      </c>
      <c r="Z265" s="2">
        <f>IF(OR(Z264=1,R265&lt;=資金模擬!$B$10),1,0)</f>
        <v/>
      </c>
    </row>
    <row r="266">
      <c r="A266" s="2" t="n">
        <v>264</v>
      </c>
      <c r="B266" s="7" t="n">
        <v>46274.75</v>
      </c>
      <c r="C266" s="2" t="inlineStr">
        <is>
          <t>出場</t>
        </is>
      </c>
      <c r="D266" s="2" t="n">
        <v>134</v>
      </c>
      <c r="E266" s="2" t="inlineStr">
        <is>
          <t>FF_USDT_PERP</t>
        </is>
      </c>
      <c r="F266" s="2" t="inlineStr">
        <is>
          <t>做多</t>
        </is>
      </c>
      <c r="G266" s="20" t="n">
        <v>0.15464</v>
      </c>
      <c r="H266" s="20" t="n">
        <v>0.1592792</v>
      </c>
      <c r="I266" s="20" t="n">
        <v>0.146908</v>
      </c>
      <c r="J266" s="20" t="n">
        <v>0.1592792</v>
      </c>
      <c r="K266" s="2" t="inlineStr">
        <is>
          <t>止盈</t>
        </is>
      </c>
      <c r="L266" s="5">
        <f>交易明細!K135</f>
        <v/>
      </c>
      <c r="M266" s="19">
        <f>M264</f>
        <v/>
      </c>
      <c r="N266" s="2">
        <f>N264</f>
        <v/>
      </c>
      <c r="O266" s="19">
        <f>O264</f>
        <v/>
      </c>
      <c r="P266" s="4">
        <f>交易明細!L135</f>
        <v/>
      </c>
      <c r="Q266" s="13">
        <f>IF(N266="已下單",O266*P266,0)</f>
        <v/>
      </c>
      <c r="R266" s="13">
        <f>R265+Q266</f>
        <v/>
      </c>
      <c r="S266" s="19">
        <f>S265-IF(N266="已下單",M266,0)</f>
        <v/>
      </c>
      <c r="T266" s="19">
        <f>R266-S266</f>
        <v/>
      </c>
      <c r="U266" s="2">
        <f>U265-IF(N266="已下單",1,0)</f>
        <v/>
      </c>
      <c r="V266" s="19">
        <f>IF(資金模擬!$B$9=2,MAX(R266,0),MAX(V265,FLOOR(MAX(R266,0),資金模擬!$B$6)))</f>
        <v/>
      </c>
      <c r="W266" s="13">
        <f>MAX(W265,R266)</f>
        <v/>
      </c>
      <c r="X266" s="4">
        <f>IF(W266&gt;0,R266/W266-1,-1)</f>
        <v/>
      </c>
      <c r="Y266" s="19">
        <f>IF(R266&gt;0,S266*資金模擬!$B$7/R266,0)</f>
        <v/>
      </c>
      <c r="Z266" s="2">
        <f>IF(OR(Z265=1,R266&lt;=資金模擬!$B$10),1,0)</f>
        <v/>
      </c>
    </row>
    <row r="267">
      <c r="A267" s="2" t="n">
        <v>265</v>
      </c>
      <c r="B267" s="7" t="n">
        <v>46274.75</v>
      </c>
      <c r="C267" s="2" t="inlineStr">
        <is>
          <t>進場</t>
        </is>
      </c>
      <c r="D267" s="2" t="n">
        <v>135</v>
      </c>
      <c r="E267" s="2" t="inlineStr">
        <is>
          <t>WLD_USDT_PERP</t>
        </is>
      </c>
      <c r="F267" s="2" t="inlineStr">
        <is>
          <t>做空</t>
        </is>
      </c>
      <c r="G267" s="20" t="n">
        <v>0.4456</v>
      </c>
      <c r="H267" s="20" t="n">
        <v>0.432232</v>
      </c>
      <c r="I267" s="20" t="n">
        <v>0.46788</v>
      </c>
      <c r="J267" s="20" t="n"/>
      <c r="K267" s="2" t="n"/>
      <c r="L267" s="5" t="n"/>
      <c r="M267" s="19">
        <f>資金模擬!$B$5*V266</f>
        <v/>
      </c>
      <c r="N267" s="2">
        <f>IF(Z266=1,"已停止",IF(T266&gt;=M267,"已下單","資金不足略過"))</f>
        <v/>
      </c>
      <c r="O267" s="19">
        <f>IF(N267="已下單",M267*資金模擬!$B$7,0)</f>
        <v/>
      </c>
      <c r="P267" s="4" t="n"/>
      <c r="Q267" s="13" t="n">
        <v>0</v>
      </c>
      <c r="R267" s="13">
        <f>R266+Q267</f>
        <v/>
      </c>
      <c r="S267" s="19">
        <f>S266+IF(N267="已下單",M267,0)</f>
        <v/>
      </c>
      <c r="T267" s="19">
        <f>R267-S267</f>
        <v/>
      </c>
      <c r="U267" s="2">
        <f>U266+IF(N267="已下單",1,0)</f>
        <v/>
      </c>
      <c r="V267" s="19">
        <f>IF(資金模擬!$B$9=2,MAX(R267,0),MAX(V266,FLOOR(MAX(R267,0),資金模擬!$B$6)))</f>
        <v/>
      </c>
      <c r="W267" s="13">
        <f>MAX(W266,R267)</f>
        <v/>
      </c>
      <c r="X267" s="4">
        <f>IF(W267&gt;0,R267/W267-1,-1)</f>
        <v/>
      </c>
      <c r="Y267" s="19">
        <f>IF(R267&gt;0,S267*資金模擬!$B$7/R267,0)</f>
        <v/>
      </c>
      <c r="Z267" s="2">
        <f>IF(OR(Z266=1,R267&lt;=資金模擬!$B$10),1,0)</f>
        <v/>
      </c>
    </row>
    <row r="268">
      <c r="A268" s="2" t="n">
        <v>266</v>
      </c>
      <c r="B268" s="7" t="n">
        <v>46274.79166666666</v>
      </c>
      <c r="C268" s="2" t="inlineStr">
        <is>
          <t>出場</t>
        </is>
      </c>
      <c r="D268" s="2" t="n">
        <v>121</v>
      </c>
      <c r="E268" s="2" t="inlineStr">
        <is>
          <t>INJ_USDT_PERP</t>
        </is>
      </c>
      <c r="F268" s="2" t="inlineStr">
        <is>
          <t>做多</t>
        </is>
      </c>
      <c r="G268" s="20" t="n">
        <v>6.534</v>
      </c>
      <c r="H268" s="20" t="n">
        <v>6.73002</v>
      </c>
      <c r="I268" s="20" t="n">
        <v>6.207299999999999</v>
      </c>
      <c r="J268" s="20" t="n">
        <v>6.207299999999999</v>
      </c>
      <c r="K268" s="2" t="inlineStr">
        <is>
          <t>止損</t>
        </is>
      </c>
      <c r="L268" s="5">
        <f>交易明細!K122</f>
        <v/>
      </c>
      <c r="M268" s="19">
        <f>M237</f>
        <v/>
      </c>
      <c r="N268" s="2">
        <f>N237</f>
        <v/>
      </c>
      <c r="O268" s="19">
        <f>O237</f>
        <v/>
      </c>
      <c r="P268" s="4">
        <f>交易明細!L122</f>
        <v/>
      </c>
      <c r="Q268" s="13">
        <f>IF(N268="已下單",O268*P268,0)</f>
        <v/>
      </c>
      <c r="R268" s="13">
        <f>R267+Q268</f>
        <v/>
      </c>
      <c r="S268" s="19">
        <f>S267-IF(N268="已下單",M268,0)</f>
        <v/>
      </c>
      <c r="T268" s="19">
        <f>R268-S268</f>
        <v/>
      </c>
      <c r="U268" s="2">
        <f>U267-IF(N268="已下單",1,0)</f>
        <v/>
      </c>
      <c r="V268" s="19">
        <f>IF(資金模擬!$B$9=2,MAX(R268,0),MAX(V267,FLOOR(MAX(R268,0),資金模擬!$B$6)))</f>
        <v/>
      </c>
      <c r="W268" s="13">
        <f>MAX(W267,R268)</f>
        <v/>
      </c>
      <c r="X268" s="4">
        <f>IF(W268&gt;0,R268/W268-1,-1)</f>
        <v/>
      </c>
      <c r="Y268" s="19">
        <f>IF(R268&gt;0,S268*資金模擬!$B$7/R268,0)</f>
        <v/>
      </c>
      <c r="Z268" s="2">
        <f>IF(OR(Z267=1,R268&lt;=資金模擬!$B$10),1,0)</f>
        <v/>
      </c>
    </row>
    <row r="269">
      <c r="A269" s="2" t="n">
        <v>267</v>
      </c>
      <c r="B269" s="7" t="n">
        <v>46274.79166666666</v>
      </c>
      <c r="C269" s="2" t="inlineStr">
        <is>
          <t>進場</t>
        </is>
      </c>
      <c r="D269" s="2" t="n">
        <v>136</v>
      </c>
      <c r="E269" s="2" t="inlineStr">
        <is>
          <t>VVV_USDT_PERP</t>
        </is>
      </c>
      <c r="F269" s="2" t="inlineStr">
        <is>
          <t>做多</t>
        </is>
      </c>
      <c r="G269" s="20" t="n">
        <v>26.225</v>
      </c>
      <c r="H269" s="20" t="n">
        <v>27.01175</v>
      </c>
      <c r="I269" s="20" t="n">
        <v>24.91375</v>
      </c>
      <c r="J269" s="20" t="n"/>
      <c r="K269" s="2" t="n"/>
      <c r="L269" s="5" t="n"/>
      <c r="M269" s="19">
        <f>資金模擬!$B$5*V268</f>
        <v/>
      </c>
      <c r="N269" s="2">
        <f>IF(Z268=1,"已停止",IF(T268&gt;=M269,"已下單","資金不足略過"))</f>
        <v/>
      </c>
      <c r="O269" s="19">
        <f>IF(N269="已下單",M269*資金模擬!$B$7,0)</f>
        <v/>
      </c>
      <c r="P269" s="4" t="n"/>
      <c r="Q269" s="13" t="n">
        <v>0</v>
      </c>
      <c r="R269" s="13">
        <f>R268+Q269</f>
        <v/>
      </c>
      <c r="S269" s="19">
        <f>S268+IF(N269="已下單",M269,0)</f>
        <v/>
      </c>
      <c r="T269" s="19">
        <f>R269-S269</f>
        <v/>
      </c>
      <c r="U269" s="2">
        <f>U268+IF(N269="已下單",1,0)</f>
        <v/>
      </c>
      <c r="V269" s="19">
        <f>IF(資金模擬!$B$9=2,MAX(R269,0),MAX(V268,FLOOR(MAX(R269,0),資金模擬!$B$6)))</f>
        <v/>
      </c>
      <c r="W269" s="13">
        <f>MAX(W268,R269)</f>
        <v/>
      </c>
      <c r="X269" s="4">
        <f>IF(W269&gt;0,R269/W269-1,-1)</f>
        <v/>
      </c>
      <c r="Y269" s="19">
        <f>IF(R269&gt;0,S269*資金模擬!$B$7/R269,0)</f>
        <v/>
      </c>
      <c r="Z269" s="2">
        <f>IF(OR(Z268=1,R269&lt;=資金模擬!$B$10),1,0)</f>
        <v/>
      </c>
    </row>
    <row r="270">
      <c r="A270" s="2" t="n">
        <v>268</v>
      </c>
      <c r="B270" s="7" t="n">
        <v>46274.83333333334</v>
      </c>
      <c r="C270" s="2" t="inlineStr">
        <is>
          <t>出場</t>
        </is>
      </c>
      <c r="D270" s="2" t="n">
        <v>136</v>
      </c>
      <c r="E270" s="2" t="inlineStr">
        <is>
          <t>VVV_USDT_PERP</t>
        </is>
      </c>
      <c r="F270" s="2" t="inlineStr">
        <is>
          <t>做多</t>
        </is>
      </c>
      <c r="G270" s="20" t="n">
        <v>26.225</v>
      </c>
      <c r="H270" s="20" t="n">
        <v>27.01175</v>
      </c>
      <c r="I270" s="20" t="n">
        <v>24.91375</v>
      </c>
      <c r="J270" s="20" t="n">
        <v>27.01175</v>
      </c>
      <c r="K270" s="2" t="inlineStr">
        <is>
          <t>止盈</t>
        </is>
      </c>
      <c r="L270" s="5">
        <f>交易明細!K137</f>
        <v/>
      </c>
      <c r="M270" s="19">
        <f>M269</f>
        <v/>
      </c>
      <c r="N270" s="2">
        <f>N269</f>
        <v/>
      </c>
      <c r="O270" s="19">
        <f>O269</f>
        <v/>
      </c>
      <c r="P270" s="4">
        <f>交易明細!L137</f>
        <v/>
      </c>
      <c r="Q270" s="13">
        <f>IF(N270="已下單",O270*P270,0)</f>
        <v/>
      </c>
      <c r="R270" s="13">
        <f>R269+Q270</f>
        <v/>
      </c>
      <c r="S270" s="19">
        <f>S269-IF(N270="已下單",M270,0)</f>
        <v/>
      </c>
      <c r="T270" s="19">
        <f>R270-S270</f>
        <v/>
      </c>
      <c r="U270" s="2">
        <f>U269-IF(N270="已下單",1,0)</f>
        <v/>
      </c>
      <c r="V270" s="19">
        <f>IF(資金模擬!$B$9=2,MAX(R270,0),MAX(V269,FLOOR(MAX(R270,0),資金模擬!$B$6)))</f>
        <v/>
      </c>
      <c r="W270" s="13">
        <f>MAX(W269,R270)</f>
        <v/>
      </c>
      <c r="X270" s="4">
        <f>IF(W270&gt;0,R270/W270-1,-1)</f>
        <v/>
      </c>
      <c r="Y270" s="19">
        <f>IF(R270&gt;0,S270*資金模擬!$B$7/R270,0)</f>
        <v/>
      </c>
      <c r="Z270" s="2">
        <f>IF(OR(Z269=1,R270&lt;=資金模擬!$B$10),1,0)</f>
        <v/>
      </c>
    </row>
    <row r="271">
      <c r="A271" s="2" t="n">
        <v>269</v>
      </c>
      <c r="B271" s="7" t="n">
        <v>46274.83333333334</v>
      </c>
      <c r="C271" s="2" t="inlineStr">
        <is>
          <t>進場</t>
        </is>
      </c>
      <c r="D271" s="2" t="n">
        <v>137</v>
      </c>
      <c r="E271" s="2" t="inlineStr">
        <is>
          <t>PUMP_USDT_PERP</t>
        </is>
      </c>
      <c r="F271" s="2" t="inlineStr">
        <is>
          <t>做多</t>
        </is>
      </c>
      <c r="G271" s="20" t="n">
        <v>0.004602</v>
      </c>
      <c r="H271" s="20" t="n">
        <v>0.00474006</v>
      </c>
      <c r="I271" s="20" t="n">
        <v>0.0043719</v>
      </c>
      <c r="J271" s="20" t="n"/>
      <c r="K271" s="2" t="n"/>
      <c r="L271" s="5" t="n"/>
      <c r="M271" s="19">
        <f>資金模擬!$B$5*V270</f>
        <v/>
      </c>
      <c r="N271" s="2">
        <f>IF(Z270=1,"已停止",IF(T270&gt;=M271,"已下單","資金不足略過"))</f>
        <v/>
      </c>
      <c r="O271" s="19">
        <f>IF(N271="已下單",M271*資金模擬!$B$7,0)</f>
        <v/>
      </c>
      <c r="P271" s="4" t="n"/>
      <c r="Q271" s="13" t="n">
        <v>0</v>
      </c>
      <c r="R271" s="13">
        <f>R270+Q271</f>
        <v/>
      </c>
      <c r="S271" s="19">
        <f>S270+IF(N271="已下單",M271,0)</f>
        <v/>
      </c>
      <c r="T271" s="19">
        <f>R271-S271</f>
        <v/>
      </c>
      <c r="U271" s="2">
        <f>U270+IF(N271="已下單",1,0)</f>
        <v/>
      </c>
      <c r="V271" s="19">
        <f>IF(資金模擬!$B$9=2,MAX(R271,0),MAX(V270,FLOOR(MAX(R271,0),資金模擬!$B$6)))</f>
        <v/>
      </c>
      <c r="W271" s="13">
        <f>MAX(W270,R271)</f>
        <v/>
      </c>
      <c r="X271" s="4">
        <f>IF(W271&gt;0,R271/W271-1,-1)</f>
        <v/>
      </c>
      <c r="Y271" s="19">
        <f>IF(R271&gt;0,S271*資金模擬!$B$7/R271,0)</f>
        <v/>
      </c>
      <c r="Z271" s="2">
        <f>IF(OR(Z270=1,R271&lt;=資金模擬!$B$10),1,0)</f>
        <v/>
      </c>
    </row>
    <row r="272">
      <c r="A272" s="2" t="n">
        <v>270</v>
      </c>
      <c r="B272" s="7" t="n">
        <v>46274.875</v>
      </c>
      <c r="C272" s="2" t="inlineStr">
        <is>
          <t>出場</t>
        </is>
      </c>
      <c r="D272" s="2" t="n">
        <v>137</v>
      </c>
      <c r="E272" s="2" t="inlineStr">
        <is>
          <t>PUMP_USDT_PERP</t>
        </is>
      </c>
      <c r="F272" s="2" t="inlineStr">
        <is>
          <t>做多</t>
        </is>
      </c>
      <c r="G272" s="20" t="n">
        <v>0.004602</v>
      </c>
      <c r="H272" s="20" t="n">
        <v>0.00474006</v>
      </c>
      <c r="I272" s="20" t="n">
        <v>0.0043719</v>
      </c>
      <c r="J272" s="20" t="n">
        <v>0.00474006</v>
      </c>
      <c r="K272" s="2" t="inlineStr">
        <is>
          <t>止盈</t>
        </is>
      </c>
      <c r="L272" s="5">
        <f>交易明細!K138</f>
        <v/>
      </c>
      <c r="M272" s="19">
        <f>M271</f>
        <v/>
      </c>
      <c r="N272" s="2">
        <f>N271</f>
        <v/>
      </c>
      <c r="O272" s="19">
        <f>O271</f>
        <v/>
      </c>
      <c r="P272" s="4">
        <f>交易明細!L138</f>
        <v/>
      </c>
      <c r="Q272" s="13">
        <f>IF(N272="已下單",O272*P272,0)</f>
        <v/>
      </c>
      <c r="R272" s="13">
        <f>R271+Q272</f>
        <v/>
      </c>
      <c r="S272" s="19">
        <f>S271-IF(N272="已下單",M272,0)</f>
        <v/>
      </c>
      <c r="T272" s="19">
        <f>R272-S272</f>
        <v/>
      </c>
      <c r="U272" s="2">
        <f>U271-IF(N272="已下單",1,0)</f>
        <v/>
      </c>
      <c r="V272" s="19">
        <f>IF(資金模擬!$B$9=2,MAX(R272,0),MAX(V271,FLOOR(MAX(R272,0),資金模擬!$B$6)))</f>
        <v/>
      </c>
      <c r="W272" s="13">
        <f>MAX(W271,R272)</f>
        <v/>
      </c>
      <c r="X272" s="4">
        <f>IF(W272&gt;0,R272/W272-1,-1)</f>
        <v/>
      </c>
      <c r="Y272" s="19">
        <f>IF(R272&gt;0,S272*資金模擬!$B$7/R272,0)</f>
        <v/>
      </c>
      <c r="Z272" s="2">
        <f>IF(OR(Z271=1,R272&lt;=資金模擬!$B$10),1,0)</f>
        <v/>
      </c>
    </row>
    <row r="273">
      <c r="A273" s="2" t="n">
        <v>271</v>
      </c>
      <c r="B273" s="7" t="n">
        <v>46274.875</v>
      </c>
      <c r="C273" s="2" t="inlineStr">
        <is>
          <t>進場</t>
        </is>
      </c>
      <c r="D273" s="2" t="n">
        <v>138</v>
      </c>
      <c r="E273" s="2" t="inlineStr">
        <is>
          <t>BULLA_USDT_PERP</t>
        </is>
      </c>
      <c r="F273" s="2" t="inlineStr">
        <is>
          <t>做多</t>
        </is>
      </c>
      <c r="G273" s="20" t="n">
        <v>0.08321000000000001</v>
      </c>
      <c r="H273" s="20" t="n">
        <v>0.08570630000000001</v>
      </c>
      <c r="I273" s="20" t="n">
        <v>0.07904950000000001</v>
      </c>
      <c r="J273" s="20" t="n"/>
      <c r="K273" s="2" t="n"/>
      <c r="L273" s="5" t="n"/>
      <c r="M273" s="19">
        <f>資金模擬!$B$5*V272</f>
        <v/>
      </c>
      <c r="N273" s="2">
        <f>IF(Z272=1,"已停止",IF(T272&gt;=M273,"已下單","資金不足略過"))</f>
        <v/>
      </c>
      <c r="O273" s="19">
        <f>IF(N273="已下單",M273*資金模擬!$B$7,0)</f>
        <v/>
      </c>
      <c r="P273" s="4" t="n"/>
      <c r="Q273" s="13" t="n">
        <v>0</v>
      </c>
      <c r="R273" s="13">
        <f>R272+Q273</f>
        <v/>
      </c>
      <c r="S273" s="19">
        <f>S272+IF(N273="已下單",M273,0)</f>
        <v/>
      </c>
      <c r="T273" s="19">
        <f>R273-S273</f>
        <v/>
      </c>
      <c r="U273" s="2">
        <f>U272+IF(N273="已下單",1,0)</f>
        <v/>
      </c>
      <c r="V273" s="19">
        <f>IF(資金模擬!$B$9=2,MAX(R273,0),MAX(V272,FLOOR(MAX(R273,0),資金模擬!$B$6)))</f>
        <v/>
      </c>
      <c r="W273" s="13">
        <f>MAX(W272,R273)</f>
        <v/>
      </c>
      <c r="X273" s="4">
        <f>IF(W273&gt;0,R273/W273-1,-1)</f>
        <v/>
      </c>
      <c r="Y273" s="19">
        <f>IF(R273&gt;0,S273*資金模擬!$B$7/R273,0)</f>
        <v/>
      </c>
      <c r="Z273" s="2">
        <f>IF(OR(Z272=1,R273&lt;=資金模擬!$B$10),1,0)</f>
        <v/>
      </c>
    </row>
    <row r="274">
      <c r="A274" s="2" t="n">
        <v>272</v>
      </c>
      <c r="B274" s="7" t="n">
        <v>46274.875</v>
      </c>
      <c r="C274" s="2" t="inlineStr">
        <is>
          <t>進場</t>
        </is>
      </c>
      <c r="D274" s="2" t="n">
        <v>139</v>
      </c>
      <c r="E274" s="2" t="inlineStr">
        <is>
          <t>PONS_USDT_PERP</t>
        </is>
      </c>
      <c r="F274" s="2" t="inlineStr">
        <is>
          <t>做多</t>
        </is>
      </c>
      <c r="G274" s="20" t="n">
        <v>0.8066</v>
      </c>
      <c r="H274" s="20" t="n">
        <v>0.830798</v>
      </c>
      <c r="I274" s="20" t="n">
        <v>0.7662699999999999</v>
      </c>
      <c r="J274" s="20" t="n"/>
      <c r="K274" s="2" t="n"/>
      <c r="L274" s="5" t="n"/>
      <c r="M274" s="19">
        <f>資金模擬!$B$5*V273</f>
        <v/>
      </c>
      <c r="N274" s="2">
        <f>IF(Z273=1,"已停止",IF(T273&gt;=M274,"已下單","資金不足略過"))</f>
        <v/>
      </c>
      <c r="O274" s="19">
        <f>IF(N274="已下單",M274*資金模擬!$B$7,0)</f>
        <v/>
      </c>
      <c r="P274" s="4" t="n"/>
      <c r="Q274" s="13" t="n">
        <v>0</v>
      </c>
      <c r="R274" s="13">
        <f>R273+Q274</f>
        <v/>
      </c>
      <c r="S274" s="19">
        <f>S273+IF(N274="已下單",M274,0)</f>
        <v/>
      </c>
      <c r="T274" s="19">
        <f>R274-S274</f>
        <v/>
      </c>
      <c r="U274" s="2">
        <f>U273+IF(N274="已下單",1,0)</f>
        <v/>
      </c>
      <c r="V274" s="19">
        <f>IF(資金模擬!$B$9=2,MAX(R274,0),MAX(V273,FLOOR(MAX(R274,0),資金模擬!$B$6)))</f>
        <v/>
      </c>
      <c r="W274" s="13">
        <f>MAX(W273,R274)</f>
        <v/>
      </c>
      <c r="X274" s="4">
        <f>IF(W274&gt;0,R274/W274-1,-1)</f>
        <v/>
      </c>
      <c r="Y274" s="19">
        <f>IF(R274&gt;0,S274*資金模擬!$B$7/R274,0)</f>
        <v/>
      </c>
      <c r="Z274" s="2">
        <f>IF(OR(Z273=1,R274&lt;=資金模擬!$B$10),1,0)</f>
        <v/>
      </c>
    </row>
    <row r="275">
      <c r="A275" s="2" t="n">
        <v>273</v>
      </c>
      <c r="B275" s="7" t="n">
        <v>46274.91666666666</v>
      </c>
      <c r="C275" s="2" t="inlineStr">
        <is>
          <t>出場</t>
        </is>
      </c>
      <c r="D275" s="2" t="n">
        <v>138</v>
      </c>
      <c r="E275" s="2" t="inlineStr">
        <is>
          <t>BULLA_USDT_PERP</t>
        </is>
      </c>
      <c r="F275" s="2" t="inlineStr">
        <is>
          <t>做多</t>
        </is>
      </c>
      <c r="G275" s="20" t="n">
        <v>0.08321000000000001</v>
      </c>
      <c r="H275" s="20" t="n">
        <v>0.08570630000000001</v>
      </c>
      <c r="I275" s="20" t="n">
        <v>0.07904950000000001</v>
      </c>
      <c r="J275" s="20" t="n">
        <v>0.08570630000000001</v>
      </c>
      <c r="K275" s="2" t="inlineStr">
        <is>
          <t>止盈</t>
        </is>
      </c>
      <c r="L275" s="5">
        <f>交易明細!K139</f>
        <v/>
      </c>
      <c r="M275" s="19">
        <f>M273</f>
        <v/>
      </c>
      <c r="N275" s="2">
        <f>N273</f>
        <v/>
      </c>
      <c r="O275" s="19">
        <f>O273</f>
        <v/>
      </c>
      <c r="P275" s="4">
        <f>交易明細!L139</f>
        <v/>
      </c>
      <c r="Q275" s="13">
        <f>IF(N275="已下單",O275*P275,0)</f>
        <v/>
      </c>
      <c r="R275" s="13">
        <f>R274+Q275</f>
        <v/>
      </c>
      <c r="S275" s="19">
        <f>S274-IF(N275="已下單",M275,0)</f>
        <v/>
      </c>
      <c r="T275" s="19">
        <f>R275-S275</f>
        <v/>
      </c>
      <c r="U275" s="2">
        <f>U274-IF(N275="已下單",1,0)</f>
        <v/>
      </c>
      <c r="V275" s="19">
        <f>IF(資金模擬!$B$9=2,MAX(R275,0),MAX(V274,FLOOR(MAX(R275,0),資金模擬!$B$6)))</f>
        <v/>
      </c>
      <c r="W275" s="13">
        <f>MAX(W274,R275)</f>
        <v/>
      </c>
      <c r="X275" s="4">
        <f>IF(W275&gt;0,R275/W275-1,-1)</f>
        <v/>
      </c>
      <c r="Y275" s="19">
        <f>IF(R275&gt;0,S275*資金模擬!$B$7/R275,0)</f>
        <v/>
      </c>
      <c r="Z275" s="2">
        <f>IF(OR(Z274=1,R275&lt;=資金模擬!$B$10),1,0)</f>
        <v/>
      </c>
    </row>
    <row r="276">
      <c r="A276" s="2" t="n">
        <v>274</v>
      </c>
      <c r="B276" s="7" t="n">
        <v>46274.95833333334</v>
      </c>
      <c r="C276" s="2" t="inlineStr">
        <is>
          <t>出場</t>
        </is>
      </c>
      <c r="D276" s="2" t="n">
        <v>139</v>
      </c>
      <c r="E276" s="2" t="inlineStr">
        <is>
          <t>PONS_USDT_PERP</t>
        </is>
      </c>
      <c r="F276" s="2" t="inlineStr">
        <is>
          <t>做多</t>
        </is>
      </c>
      <c r="G276" s="20" t="n">
        <v>0.8066</v>
      </c>
      <c r="H276" s="20" t="n">
        <v>0.830798</v>
      </c>
      <c r="I276" s="20" t="n">
        <v>0.7662699999999999</v>
      </c>
      <c r="J276" s="20" t="n">
        <v>0.7662699999999999</v>
      </c>
      <c r="K276" s="2" t="inlineStr">
        <is>
          <t>止損</t>
        </is>
      </c>
      <c r="L276" s="5">
        <f>交易明細!K140</f>
        <v/>
      </c>
      <c r="M276" s="19">
        <f>M274</f>
        <v/>
      </c>
      <c r="N276" s="2">
        <f>N274</f>
        <v/>
      </c>
      <c r="O276" s="19">
        <f>O274</f>
        <v/>
      </c>
      <c r="P276" s="4">
        <f>交易明細!L140</f>
        <v/>
      </c>
      <c r="Q276" s="13">
        <f>IF(N276="已下單",O276*P276,0)</f>
        <v/>
      </c>
      <c r="R276" s="13">
        <f>R275+Q276</f>
        <v/>
      </c>
      <c r="S276" s="19">
        <f>S275-IF(N276="已下單",M276,0)</f>
        <v/>
      </c>
      <c r="T276" s="19">
        <f>R276-S276</f>
        <v/>
      </c>
      <c r="U276" s="2">
        <f>U275-IF(N276="已下單",1,0)</f>
        <v/>
      </c>
      <c r="V276" s="19">
        <f>IF(資金模擬!$B$9=2,MAX(R276,0),MAX(V275,FLOOR(MAX(R276,0),資金模擬!$B$6)))</f>
        <v/>
      </c>
      <c r="W276" s="13">
        <f>MAX(W275,R276)</f>
        <v/>
      </c>
      <c r="X276" s="4">
        <f>IF(W276&gt;0,R276/W276-1,-1)</f>
        <v/>
      </c>
      <c r="Y276" s="19">
        <f>IF(R276&gt;0,S276*資金模擬!$B$7/R276,0)</f>
        <v/>
      </c>
      <c r="Z276" s="2">
        <f>IF(OR(Z275=1,R276&lt;=資金模擬!$B$10),1,0)</f>
        <v/>
      </c>
    </row>
    <row r="277">
      <c r="A277" s="2" t="n">
        <v>275</v>
      </c>
      <c r="B277" s="7" t="n">
        <v>46274.95833333334</v>
      </c>
      <c r="C277" s="2" t="inlineStr">
        <is>
          <t>進場</t>
        </is>
      </c>
      <c r="D277" s="2" t="n">
        <v>140</v>
      </c>
      <c r="E277" s="2" t="inlineStr">
        <is>
          <t>DOT_USDT_PERP</t>
        </is>
      </c>
      <c r="F277" s="2" t="inlineStr">
        <is>
          <t>做空</t>
        </is>
      </c>
      <c r="G277" s="20" t="n">
        <v>1.132</v>
      </c>
      <c r="H277" s="20" t="n">
        <v>1.09804</v>
      </c>
      <c r="I277" s="20" t="n">
        <v>1.1886</v>
      </c>
      <c r="J277" s="20" t="n"/>
      <c r="K277" s="2" t="n"/>
      <c r="L277" s="5" t="n"/>
      <c r="M277" s="19">
        <f>資金模擬!$B$5*V276</f>
        <v/>
      </c>
      <c r="N277" s="2">
        <f>IF(Z276=1,"已停止",IF(T276&gt;=M277,"已下單","資金不足略過"))</f>
        <v/>
      </c>
      <c r="O277" s="19">
        <f>IF(N277="已下單",M277*資金模擬!$B$7,0)</f>
        <v/>
      </c>
      <c r="P277" s="4" t="n"/>
      <c r="Q277" s="13" t="n">
        <v>0</v>
      </c>
      <c r="R277" s="13">
        <f>R276+Q277</f>
        <v/>
      </c>
      <c r="S277" s="19">
        <f>S276+IF(N277="已下單",M277,0)</f>
        <v/>
      </c>
      <c r="T277" s="19">
        <f>R277-S277</f>
        <v/>
      </c>
      <c r="U277" s="2">
        <f>U276+IF(N277="已下單",1,0)</f>
        <v/>
      </c>
      <c r="V277" s="19">
        <f>IF(資金模擬!$B$9=2,MAX(R277,0),MAX(V276,FLOOR(MAX(R277,0),資金模擬!$B$6)))</f>
        <v/>
      </c>
      <c r="W277" s="13">
        <f>MAX(W276,R277)</f>
        <v/>
      </c>
      <c r="X277" s="4">
        <f>IF(W277&gt;0,R277/W277-1,-1)</f>
        <v/>
      </c>
      <c r="Y277" s="19">
        <f>IF(R277&gt;0,S277*資金模擬!$B$7/R277,0)</f>
        <v/>
      </c>
      <c r="Z277" s="2">
        <f>IF(OR(Z276=1,R277&lt;=資金模擬!$B$10),1,0)</f>
        <v/>
      </c>
    </row>
    <row r="278">
      <c r="A278" s="2" t="n">
        <v>276</v>
      </c>
      <c r="B278" s="7" t="n">
        <v>46274.95833333334</v>
      </c>
      <c r="C278" s="2" t="inlineStr">
        <is>
          <t>進場</t>
        </is>
      </c>
      <c r="D278" s="2" t="n">
        <v>141</v>
      </c>
      <c r="E278" s="2" t="inlineStr">
        <is>
          <t>MARSCOIN_USDT_PERP</t>
        </is>
      </c>
      <c r="F278" s="2" t="inlineStr">
        <is>
          <t>做空</t>
        </is>
      </c>
      <c r="G278" s="20" t="n">
        <v>0.13075</v>
      </c>
      <c r="H278" s="20" t="n">
        <v>0.1268275</v>
      </c>
      <c r="I278" s="20" t="n">
        <v>0.1372875</v>
      </c>
      <c r="J278" s="20" t="n"/>
      <c r="K278" s="2" t="n"/>
      <c r="L278" s="5" t="n"/>
      <c r="M278" s="19">
        <f>資金模擬!$B$5*V277</f>
        <v/>
      </c>
      <c r="N278" s="2">
        <f>IF(Z277=1,"已停止",IF(T277&gt;=M278,"已下單","資金不足略過"))</f>
        <v/>
      </c>
      <c r="O278" s="19">
        <f>IF(N278="已下單",M278*資金模擬!$B$7,0)</f>
        <v/>
      </c>
      <c r="P278" s="4" t="n"/>
      <c r="Q278" s="13" t="n">
        <v>0</v>
      </c>
      <c r="R278" s="13">
        <f>R277+Q278</f>
        <v/>
      </c>
      <c r="S278" s="19">
        <f>S277+IF(N278="已下單",M278,0)</f>
        <v/>
      </c>
      <c r="T278" s="19">
        <f>R278-S278</f>
        <v/>
      </c>
      <c r="U278" s="2">
        <f>U277+IF(N278="已下單",1,0)</f>
        <v/>
      </c>
      <c r="V278" s="19">
        <f>IF(資金模擬!$B$9=2,MAX(R278,0),MAX(V277,FLOOR(MAX(R278,0),資金模擬!$B$6)))</f>
        <v/>
      </c>
      <c r="W278" s="13">
        <f>MAX(W277,R278)</f>
        <v/>
      </c>
      <c r="X278" s="4">
        <f>IF(W278&gt;0,R278/W278-1,-1)</f>
        <v/>
      </c>
      <c r="Y278" s="19">
        <f>IF(R278&gt;0,S278*資金模擬!$B$7/R278,0)</f>
        <v/>
      </c>
      <c r="Z278" s="2">
        <f>IF(OR(Z277=1,R278&lt;=資金模擬!$B$10),1,0)</f>
        <v/>
      </c>
    </row>
    <row r="279">
      <c r="A279" s="2" t="n">
        <v>277</v>
      </c>
      <c r="B279" s="7" t="n">
        <v>46275</v>
      </c>
      <c r="C279" s="2" t="inlineStr">
        <is>
          <t>出場</t>
        </is>
      </c>
      <c r="D279" s="2" t="n">
        <v>128</v>
      </c>
      <c r="E279" s="2" t="inlineStr">
        <is>
          <t>XPL_USDT_PERP</t>
        </is>
      </c>
      <c r="F279" s="2" t="inlineStr">
        <is>
          <t>做空</t>
        </is>
      </c>
      <c r="G279" s="20" t="n">
        <v>0.09710000000000001</v>
      </c>
      <c r="H279" s="20" t="n">
        <v>0.09418700000000001</v>
      </c>
      <c r="I279" s="20" t="n">
        <v>0.101955</v>
      </c>
      <c r="J279" s="20" t="n">
        <v>0.09418700000000001</v>
      </c>
      <c r="K279" s="2" t="inlineStr">
        <is>
          <t>止盈</t>
        </is>
      </c>
      <c r="L279" s="5">
        <f>交易明細!K129</f>
        <v/>
      </c>
      <c r="M279" s="19">
        <f>M251</f>
        <v/>
      </c>
      <c r="N279" s="2">
        <f>N251</f>
        <v/>
      </c>
      <c r="O279" s="19">
        <f>O251</f>
        <v/>
      </c>
      <c r="P279" s="4">
        <f>交易明細!L129</f>
        <v/>
      </c>
      <c r="Q279" s="13">
        <f>IF(N279="已下單",O279*P279,0)</f>
        <v/>
      </c>
      <c r="R279" s="13">
        <f>R278+Q279</f>
        <v/>
      </c>
      <c r="S279" s="19">
        <f>S278-IF(N279="已下單",M279,0)</f>
        <v/>
      </c>
      <c r="T279" s="19">
        <f>R279-S279</f>
        <v/>
      </c>
      <c r="U279" s="2">
        <f>U278-IF(N279="已下單",1,0)</f>
        <v/>
      </c>
      <c r="V279" s="19">
        <f>IF(資金模擬!$B$9=2,MAX(R279,0),MAX(V278,FLOOR(MAX(R279,0),資金模擬!$B$6)))</f>
        <v/>
      </c>
      <c r="W279" s="13">
        <f>MAX(W278,R279)</f>
        <v/>
      </c>
      <c r="X279" s="4">
        <f>IF(W279&gt;0,R279/W279-1,-1)</f>
        <v/>
      </c>
      <c r="Y279" s="19">
        <f>IF(R279&gt;0,S279*資金模擬!$B$7/R279,0)</f>
        <v/>
      </c>
      <c r="Z279" s="2">
        <f>IF(OR(Z278=1,R279&lt;=資金模擬!$B$10),1,0)</f>
        <v/>
      </c>
    </row>
    <row r="280">
      <c r="A280" s="2" t="n">
        <v>278</v>
      </c>
      <c r="B280" s="7" t="n">
        <v>46275</v>
      </c>
      <c r="C280" s="2" t="inlineStr">
        <is>
          <t>出場</t>
        </is>
      </c>
      <c r="D280" s="2" t="n">
        <v>135</v>
      </c>
      <c r="E280" s="2" t="inlineStr">
        <is>
          <t>WLD_USDT_PERP</t>
        </is>
      </c>
      <c r="F280" s="2" t="inlineStr">
        <is>
          <t>做空</t>
        </is>
      </c>
      <c r="G280" s="20" t="n">
        <v>0.4456</v>
      </c>
      <c r="H280" s="20" t="n">
        <v>0.432232</v>
      </c>
      <c r="I280" s="20" t="n">
        <v>0.46788</v>
      </c>
      <c r="J280" s="20" t="n">
        <v>0.432232</v>
      </c>
      <c r="K280" s="2" t="inlineStr">
        <is>
          <t>止盈</t>
        </is>
      </c>
      <c r="L280" s="5">
        <f>交易明細!K136</f>
        <v/>
      </c>
      <c r="M280" s="19">
        <f>M267</f>
        <v/>
      </c>
      <c r="N280" s="2">
        <f>N267</f>
        <v/>
      </c>
      <c r="O280" s="19">
        <f>O267</f>
        <v/>
      </c>
      <c r="P280" s="4">
        <f>交易明細!L136</f>
        <v/>
      </c>
      <c r="Q280" s="13">
        <f>IF(N280="已下單",O280*P280,0)</f>
        <v/>
      </c>
      <c r="R280" s="13">
        <f>R279+Q280</f>
        <v/>
      </c>
      <c r="S280" s="19">
        <f>S279-IF(N280="已下單",M280,0)</f>
        <v/>
      </c>
      <c r="T280" s="19">
        <f>R280-S280</f>
        <v/>
      </c>
      <c r="U280" s="2">
        <f>U279-IF(N280="已下單",1,0)</f>
        <v/>
      </c>
      <c r="V280" s="19">
        <f>IF(資金模擬!$B$9=2,MAX(R280,0),MAX(V279,FLOOR(MAX(R280,0),資金模擬!$B$6)))</f>
        <v/>
      </c>
      <c r="W280" s="13">
        <f>MAX(W279,R280)</f>
        <v/>
      </c>
      <c r="X280" s="4">
        <f>IF(W280&gt;0,R280/W280-1,-1)</f>
        <v/>
      </c>
      <c r="Y280" s="19">
        <f>IF(R280&gt;0,S280*資金模擬!$B$7/R280,0)</f>
        <v/>
      </c>
      <c r="Z280" s="2">
        <f>IF(OR(Z279=1,R280&lt;=資金模擬!$B$10),1,0)</f>
        <v/>
      </c>
    </row>
    <row r="281">
      <c r="A281" s="2" t="n">
        <v>279</v>
      </c>
      <c r="B281" s="7" t="n">
        <v>46275</v>
      </c>
      <c r="C281" s="2" t="inlineStr">
        <is>
          <t>出場</t>
        </is>
      </c>
      <c r="D281" s="2" t="n">
        <v>141</v>
      </c>
      <c r="E281" s="2" t="inlineStr">
        <is>
          <t>MARSCOIN_USDT_PERP</t>
        </is>
      </c>
      <c r="F281" s="2" t="inlineStr">
        <is>
          <t>做空</t>
        </is>
      </c>
      <c r="G281" s="20" t="n">
        <v>0.13075</v>
      </c>
      <c r="H281" s="20" t="n">
        <v>0.1268275</v>
      </c>
      <c r="I281" s="20" t="n">
        <v>0.1372875</v>
      </c>
      <c r="J281" s="20" t="n">
        <v>0.1268275</v>
      </c>
      <c r="K281" s="2" t="inlineStr">
        <is>
          <t>止盈</t>
        </is>
      </c>
      <c r="L281" s="5">
        <f>交易明細!K142</f>
        <v/>
      </c>
      <c r="M281" s="19">
        <f>M278</f>
        <v/>
      </c>
      <c r="N281" s="2">
        <f>N278</f>
        <v/>
      </c>
      <c r="O281" s="19">
        <f>O278</f>
        <v/>
      </c>
      <c r="P281" s="4">
        <f>交易明細!L142</f>
        <v/>
      </c>
      <c r="Q281" s="13">
        <f>IF(N281="已下單",O281*P281,0)</f>
        <v/>
      </c>
      <c r="R281" s="13">
        <f>R280+Q281</f>
        <v/>
      </c>
      <c r="S281" s="19">
        <f>S280-IF(N281="已下單",M281,0)</f>
        <v/>
      </c>
      <c r="T281" s="19">
        <f>R281-S281</f>
        <v/>
      </c>
      <c r="U281" s="2">
        <f>U280-IF(N281="已下單",1,0)</f>
        <v/>
      </c>
      <c r="V281" s="19">
        <f>IF(資金模擬!$B$9=2,MAX(R281,0),MAX(V280,FLOOR(MAX(R281,0),資金模擬!$B$6)))</f>
        <v/>
      </c>
      <c r="W281" s="13">
        <f>MAX(W280,R281)</f>
        <v/>
      </c>
      <c r="X281" s="4">
        <f>IF(W281&gt;0,R281/W281-1,-1)</f>
        <v/>
      </c>
      <c r="Y281" s="19">
        <f>IF(R281&gt;0,S281*資金模擬!$B$7/R281,0)</f>
        <v/>
      </c>
      <c r="Z281" s="2">
        <f>IF(OR(Z280=1,R281&lt;=資金模擬!$B$10),1,0)</f>
        <v/>
      </c>
    </row>
    <row r="282">
      <c r="A282" s="2" t="n">
        <v>280</v>
      </c>
      <c r="B282" s="7" t="n">
        <v>46275</v>
      </c>
      <c r="C282" s="2" t="inlineStr">
        <is>
          <t>進場</t>
        </is>
      </c>
      <c r="D282" s="2" t="n">
        <v>142</v>
      </c>
      <c r="E282" s="2" t="inlineStr">
        <is>
          <t>ENA_USDT_PERP</t>
        </is>
      </c>
      <c r="F282" s="2" t="inlineStr">
        <is>
          <t>做空</t>
        </is>
      </c>
      <c r="G282" s="20" t="n">
        <v>0.1563</v>
      </c>
      <c r="H282" s="20" t="n">
        <v>0.151611</v>
      </c>
      <c r="I282" s="20" t="n">
        <v>0.164115</v>
      </c>
      <c r="J282" s="20" t="n"/>
      <c r="K282" s="2" t="n"/>
      <c r="L282" s="5" t="n"/>
      <c r="M282" s="19">
        <f>資金模擬!$B$5*V281</f>
        <v/>
      </c>
      <c r="N282" s="2">
        <f>IF(Z281=1,"已停止",IF(T281&gt;=M282,"已下單","資金不足略過"))</f>
        <v/>
      </c>
      <c r="O282" s="19">
        <f>IF(N282="已下單",M282*資金模擬!$B$7,0)</f>
        <v/>
      </c>
      <c r="P282" s="4" t="n"/>
      <c r="Q282" s="13" t="n">
        <v>0</v>
      </c>
      <c r="R282" s="13">
        <f>R281+Q282</f>
        <v/>
      </c>
      <c r="S282" s="19">
        <f>S281+IF(N282="已下單",M282,0)</f>
        <v/>
      </c>
      <c r="T282" s="19">
        <f>R282-S282</f>
        <v/>
      </c>
      <c r="U282" s="2">
        <f>U281+IF(N282="已下單",1,0)</f>
        <v/>
      </c>
      <c r="V282" s="19">
        <f>IF(資金模擬!$B$9=2,MAX(R282,0),MAX(V281,FLOOR(MAX(R282,0),資金模擬!$B$6)))</f>
        <v/>
      </c>
      <c r="W282" s="13">
        <f>MAX(W281,R282)</f>
        <v/>
      </c>
      <c r="X282" s="4">
        <f>IF(W282&gt;0,R282/W282-1,-1)</f>
        <v/>
      </c>
      <c r="Y282" s="19">
        <f>IF(R282&gt;0,S282*資金模擬!$B$7/R282,0)</f>
        <v/>
      </c>
      <c r="Z282" s="2">
        <f>IF(OR(Z281=1,R282&lt;=資金模擬!$B$10),1,0)</f>
        <v/>
      </c>
    </row>
    <row r="283">
      <c r="A283" s="2" t="n">
        <v>281</v>
      </c>
      <c r="B283" s="7" t="n">
        <v>46275.04166666666</v>
      </c>
      <c r="C283" s="2" t="inlineStr">
        <is>
          <t>進場</t>
        </is>
      </c>
      <c r="D283" s="2" t="n">
        <v>143</v>
      </c>
      <c r="E283" s="2" t="inlineStr">
        <is>
          <t>AKE_USDT_PERP</t>
        </is>
      </c>
      <c r="F283" s="2" t="inlineStr">
        <is>
          <t>做空</t>
        </is>
      </c>
      <c r="G283" s="20" t="n">
        <v>0.0151607</v>
      </c>
      <c r="H283" s="20" t="n">
        <v>0.014705879</v>
      </c>
      <c r="I283" s="20" t="n">
        <v>0.015918735</v>
      </c>
      <c r="J283" s="20" t="n"/>
      <c r="K283" s="2" t="n"/>
      <c r="L283" s="5" t="n"/>
      <c r="M283" s="19">
        <f>資金模擬!$B$5*V282</f>
        <v/>
      </c>
      <c r="N283" s="2">
        <f>IF(Z282=1,"已停止",IF(T282&gt;=M283,"已下單","資金不足略過"))</f>
        <v/>
      </c>
      <c r="O283" s="19">
        <f>IF(N283="已下單",M283*資金模擬!$B$7,0)</f>
        <v/>
      </c>
      <c r="P283" s="4" t="n"/>
      <c r="Q283" s="13" t="n">
        <v>0</v>
      </c>
      <c r="R283" s="13">
        <f>R282+Q283</f>
        <v/>
      </c>
      <c r="S283" s="19">
        <f>S282+IF(N283="已下單",M283,0)</f>
        <v/>
      </c>
      <c r="T283" s="19">
        <f>R283-S283</f>
        <v/>
      </c>
      <c r="U283" s="2">
        <f>U282+IF(N283="已下單",1,0)</f>
        <v/>
      </c>
      <c r="V283" s="19">
        <f>IF(資金模擬!$B$9=2,MAX(R283,0),MAX(V282,FLOOR(MAX(R283,0),資金模擬!$B$6)))</f>
        <v/>
      </c>
      <c r="W283" s="13">
        <f>MAX(W282,R283)</f>
        <v/>
      </c>
      <c r="X283" s="4">
        <f>IF(W283&gt;0,R283/W283-1,-1)</f>
        <v/>
      </c>
      <c r="Y283" s="19">
        <f>IF(R283&gt;0,S283*資金模擬!$B$7/R283,0)</f>
        <v/>
      </c>
      <c r="Z283" s="2">
        <f>IF(OR(Z282=1,R283&lt;=資金模擬!$B$10),1,0)</f>
        <v/>
      </c>
    </row>
    <row r="284">
      <c r="A284" s="2" t="n">
        <v>282</v>
      </c>
      <c r="B284" s="7" t="n">
        <v>46275.04166666666</v>
      </c>
      <c r="C284" s="2" t="inlineStr">
        <is>
          <t>進場</t>
        </is>
      </c>
      <c r="D284" s="2" t="n">
        <v>144</v>
      </c>
      <c r="E284" s="2" t="inlineStr">
        <is>
          <t>PUMP_USDT_PERP</t>
        </is>
      </c>
      <c r="F284" s="2" t="inlineStr">
        <is>
          <t>做多</t>
        </is>
      </c>
      <c r="G284" s="20" t="n">
        <v>0.004769</v>
      </c>
      <c r="H284" s="20" t="n">
        <v>0.00491207</v>
      </c>
      <c r="I284" s="20" t="n">
        <v>0.00453055</v>
      </c>
      <c r="J284" s="20" t="n"/>
      <c r="K284" s="2" t="n"/>
      <c r="L284" s="5" t="n"/>
      <c r="M284" s="19">
        <f>資金模擬!$B$5*V283</f>
        <v/>
      </c>
      <c r="N284" s="2">
        <f>IF(Z283=1,"已停止",IF(T283&gt;=M284,"已下單","資金不足略過"))</f>
        <v/>
      </c>
      <c r="O284" s="19">
        <f>IF(N284="已下單",M284*資金模擬!$B$7,0)</f>
        <v/>
      </c>
      <c r="P284" s="4" t="n"/>
      <c r="Q284" s="13" t="n">
        <v>0</v>
      </c>
      <c r="R284" s="13">
        <f>R283+Q284</f>
        <v/>
      </c>
      <c r="S284" s="19">
        <f>S283+IF(N284="已下單",M284,0)</f>
        <v/>
      </c>
      <c r="T284" s="19">
        <f>R284-S284</f>
        <v/>
      </c>
      <c r="U284" s="2">
        <f>U283+IF(N284="已下單",1,0)</f>
        <v/>
      </c>
      <c r="V284" s="19">
        <f>IF(資金模擬!$B$9=2,MAX(R284,0),MAX(V283,FLOOR(MAX(R284,0),資金模擬!$B$6)))</f>
        <v/>
      </c>
      <c r="W284" s="13">
        <f>MAX(W283,R284)</f>
        <v/>
      </c>
      <c r="X284" s="4">
        <f>IF(W284&gt;0,R284/W284-1,-1)</f>
        <v/>
      </c>
      <c r="Y284" s="19">
        <f>IF(R284&gt;0,S284*資金模擬!$B$7/R284,0)</f>
        <v/>
      </c>
      <c r="Z284" s="2">
        <f>IF(OR(Z283=1,R284&lt;=資金模擬!$B$10),1,0)</f>
        <v/>
      </c>
    </row>
    <row r="285">
      <c r="A285" s="2" t="n">
        <v>283</v>
      </c>
      <c r="B285" s="7" t="n">
        <v>46275.08333333334</v>
      </c>
      <c r="C285" s="2" t="inlineStr">
        <is>
          <t>進場</t>
        </is>
      </c>
      <c r="D285" s="2" t="n">
        <v>145</v>
      </c>
      <c r="E285" s="2" t="inlineStr">
        <is>
          <t>RAY_USDT_PERP</t>
        </is>
      </c>
      <c r="F285" s="2" t="inlineStr">
        <is>
          <t>做多</t>
        </is>
      </c>
      <c r="G285" s="20" t="n">
        <v>1.365</v>
      </c>
      <c r="H285" s="20" t="n">
        <v>1.40595</v>
      </c>
      <c r="I285" s="20" t="n">
        <v>1.29675</v>
      </c>
      <c r="J285" s="20" t="n"/>
      <c r="K285" s="2" t="n"/>
      <c r="L285" s="5" t="n"/>
      <c r="M285" s="19">
        <f>資金模擬!$B$5*V284</f>
        <v/>
      </c>
      <c r="N285" s="2">
        <f>IF(Z284=1,"已停止",IF(T284&gt;=M285,"已下單","資金不足略過"))</f>
        <v/>
      </c>
      <c r="O285" s="19">
        <f>IF(N285="已下單",M285*資金模擬!$B$7,0)</f>
        <v/>
      </c>
      <c r="P285" s="4" t="n"/>
      <c r="Q285" s="13" t="n">
        <v>0</v>
      </c>
      <c r="R285" s="13">
        <f>R284+Q285</f>
        <v/>
      </c>
      <c r="S285" s="19">
        <f>S284+IF(N285="已下單",M285,0)</f>
        <v/>
      </c>
      <c r="T285" s="19">
        <f>R285-S285</f>
        <v/>
      </c>
      <c r="U285" s="2">
        <f>U284+IF(N285="已下單",1,0)</f>
        <v/>
      </c>
      <c r="V285" s="19">
        <f>IF(資金模擬!$B$9=2,MAX(R285,0),MAX(V284,FLOOR(MAX(R285,0),資金模擬!$B$6)))</f>
        <v/>
      </c>
      <c r="W285" s="13">
        <f>MAX(W284,R285)</f>
        <v/>
      </c>
      <c r="X285" s="4">
        <f>IF(W285&gt;0,R285/W285-1,-1)</f>
        <v/>
      </c>
      <c r="Y285" s="19">
        <f>IF(R285&gt;0,S285*資金模擬!$B$7/R285,0)</f>
        <v/>
      </c>
      <c r="Z285" s="2">
        <f>IF(OR(Z284=1,R285&lt;=資金模擬!$B$10),1,0)</f>
        <v/>
      </c>
    </row>
    <row r="286">
      <c r="A286" s="2" t="n">
        <v>284</v>
      </c>
      <c r="B286" s="7" t="n">
        <v>46275.16666666666</v>
      </c>
      <c r="C286" s="2" t="inlineStr">
        <is>
          <t>出場</t>
        </is>
      </c>
      <c r="D286" s="2" t="n">
        <v>144</v>
      </c>
      <c r="E286" s="2" t="inlineStr">
        <is>
          <t>PUMP_USDT_PERP</t>
        </is>
      </c>
      <c r="F286" s="2" t="inlineStr">
        <is>
          <t>做多</t>
        </is>
      </c>
      <c r="G286" s="20" t="n">
        <v>0.004769</v>
      </c>
      <c r="H286" s="20" t="n">
        <v>0.00491207</v>
      </c>
      <c r="I286" s="20" t="n">
        <v>0.00453055</v>
      </c>
      <c r="J286" s="20" t="n">
        <v>0.00453055</v>
      </c>
      <c r="K286" s="2" t="inlineStr">
        <is>
          <t>止損</t>
        </is>
      </c>
      <c r="L286" s="5">
        <f>交易明細!K145</f>
        <v/>
      </c>
      <c r="M286" s="19">
        <f>M284</f>
        <v/>
      </c>
      <c r="N286" s="2">
        <f>N284</f>
        <v/>
      </c>
      <c r="O286" s="19">
        <f>O284</f>
        <v/>
      </c>
      <c r="P286" s="4">
        <f>交易明細!L145</f>
        <v/>
      </c>
      <c r="Q286" s="13">
        <f>IF(N286="已下單",O286*P286,0)</f>
        <v/>
      </c>
      <c r="R286" s="13">
        <f>R285+Q286</f>
        <v/>
      </c>
      <c r="S286" s="19">
        <f>S285-IF(N286="已下單",M286,0)</f>
        <v/>
      </c>
      <c r="T286" s="19">
        <f>R286-S286</f>
        <v/>
      </c>
      <c r="U286" s="2">
        <f>U285-IF(N286="已下單",1,0)</f>
        <v/>
      </c>
      <c r="V286" s="19">
        <f>IF(資金模擬!$B$9=2,MAX(R286,0),MAX(V285,FLOOR(MAX(R286,0),資金模擬!$B$6)))</f>
        <v/>
      </c>
      <c r="W286" s="13">
        <f>MAX(W285,R286)</f>
        <v/>
      </c>
      <c r="X286" s="4">
        <f>IF(W286&gt;0,R286/W286-1,-1)</f>
        <v/>
      </c>
      <c r="Y286" s="19">
        <f>IF(R286&gt;0,S286*資金模擬!$B$7/R286,0)</f>
        <v/>
      </c>
      <c r="Z286" s="2">
        <f>IF(OR(Z285=1,R286&lt;=資金模擬!$B$10),1,0)</f>
        <v/>
      </c>
    </row>
    <row r="287">
      <c r="A287" s="2" t="n">
        <v>285</v>
      </c>
      <c r="B287" s="7" t="n">
        <v>46275.16666666666</v>
      </c>
      <c r="C287" s="2" t="inlineStr">
        <is>
          <t>出場</t>
        </is>
      </c>
      <c r="D287" s="2" t="n">
        <v>145</v>
      </c>
      <c r="E287" s="2" t="inlineStr">
        <is>
          <t>RAY_USDT_PERP</t>
        </is>
      </c>
      <c r="F287" s="2" t="inlineStr">
        <is>
          <t>做多</t>
        </is>
      </c>
      <c r="G287" s="20" t="n">
        <v>1.365</v>
      </c>
      <c r="H287" s="20" t="n">
        <v>1.40595</v>
      </c>
      <c r="I287" s="20" t="n">
        <v>1.29675</v>
      </c>
      <c r="J287" s="20" t="n">
        <v>1.29675</v>
      </c>
      <c r="K287" s="2" t="inlineStr">
        <is>
          <t>止損</t>
        </is>
      </c>
      <c r="L287" s="5">
        <f>交易明細!K146</f>
        <v/>
      </c>
      <c r="M287" s="19">
        <f>M285</f>
        <v/>
      </c>
      <c r="N287" s="2">
        <f>N285</f>
        <v/>
      </c>
      <c r="O287" s="19">
        <f>O285</f>
        <v/>
      </c>
      <c r="P287" s="4">
        <f>交易明細!L146</f>
        <v/>
      </c>
      <c r="Q287" s="13">
        <f>IF(N287="已下單",O287*P287,0)</f>
        <v/>
      </c>
      <c r="R287" s="13">
        <f>R286+Q287</f>
        <v/>
      </c>
      <c r="S287" s="19">
        <f>S286-IF(N287="已下單",M287,0)</f>
        <v/>
      </c>
      <c r="T287" s="19">
        <f>R287-S287</f>
        <v/>
      </c>
      <c r="U287" s="2">
        <f>U286-IF(N287="已下單",1,0)</f>
        <v/>
      </c>
      <c r="V287" s="19">
        <f>IF(資金模擬!$B$9=2,MAX(R287,0),MAX(V286,FLOOR(MAX(R287,0),資金模擬!$B$6)))</f>
        <v/>
      </c>
      <c r="W287" s="13">
        <f>MAX(W286,R287)</f>
        <v/>
      </c>
      <c r="X287" s="4">
        <f>IF(W287&gt;0,R287/W287-1,-1)</f>
        <v/>
      </c>
      <c r="Y287" s="19">
        <f>IF(R287&gt;0,S287*資金模擬!$B$7/R287,0)</f>
        <v/>
      </c>
      <c r="Z287" s="2">
        <f>IF(OR(Z286=1,R287&lt;=資金模擬!$B$10),1,0)</f>
        <v/>
      </c>
    </row>
    <row r="288">
      <c r="A288" s="2" t="n">
        <v>286</v>
      </c>
      <c r="B288" s="7" t="n">
        <v>46275.25</v>
      </c>
      <c r="C288" s="2" t="inlineStr">
        <is>
          <t>出場</t>
        </is>
      </c>
      <c r="D288" s="2" t="n">
        <v>129</v>
      </c>
      <c r="E288" s="2" t="inlineStr">
        <is>
          <t>DASH_USDT_PERP</t>
        </is>
      </c>
      <c r="F288" s="2" t="inlineStr">
        <is>
          <t>做多</t>
        </is>
      </c>
      <c r="G288" s="20" t="n">
        <v>64.79000000000001</v>
      </c>
      <c r="H288" s="20" t="n">
        <v>66.73370000000001</v>
      </c>
      <c r="I288" s="20" t="n">
        <v>61.5505</v>
      </c>
      <c r="J288" s="20" t="n">
        <v>61.5505</v>
      </c>
      <c r="K288" s="2" t="inlineStr">
        <is>
          <t>止損</t>
        </is>
      </c>
      <c r="L288" s="5">
        <f>交易明細!K130</f>
        <v/>
      </c>
      <c r="M288" s="19">
        <f>M254</f>
        <v/>
      </c>
      <c r="N288" s="2">
        <f>N254</f>
        <v/>
      </c>
      <c r="O288" s="19">
        <f>O254</f>
        <v/>
      </c>
      <c r="P288" s="4">
        <f>交易明細!L130</f>
        <v/>
      </c>
      <c r="Q288" s="13">
        <f>IF(N288="已下單",O288*P288,0)</f>
        <v/>
      </c>
      <c r="R288" s="13">
        <f>R287+Q288</f>
        <v/>
      </c>
      <c r="S288" s="19">
        <f>S287-IF(N288="已下單",M288,0)</f>
        <v/>
      </c>
      <c r="T288" s="19">
        <f>R288-S288</f>
        <v/>
      </c>
      <c r="U288" s="2">
        <f>U287-IF(N288="已下單",1,0)</f>
        <v/>
      </c>
      <c r="V288" s="19">
        <f>IF(資金模擬!$B$9=2,MAX(R288,0),MAX(V287,FLOOR(MAX(R288,0),資金模擬!$B$6)))</f>
        <v/>
      </c>
      <c r="W288" s="13">
        <f>MAX(W287,R288)</f>
        <v/>
      </c>
      <c r="X288" s="4">
        <f>IF(W288&gt;0,R288/W288-1,-1)</f>
        <v/>
      </c>
      <c r="Y288" s="19">
        <f>IF(R288&gt;0,S288*資金模擬!$B$7/R288,0)</f>
        <v/>
      </c>
      <c r="Z288" s="2">
        <f>IF(OR(Z287=1,R288&lt;=資金模擬!$B$10),1,0)</f>
        <v/>
      </c>
    </row>
    <row r="289">
      <c r="A289" s="2" t="n">
        <v>287</v>
      </c>
      <c r="B289" s="7" t="n">
        <v>46275.25</v>
      </c>
      <c r="C289" s="2" t="inlineStr">
        <is>
          <t>出場</t>
        </is>
      </c>
      <c r="D289" s="2" t="n">
        <v>142</v>
      </c>
      <c r="E289" s="2" t="inlineStr">
        <is>
          <t>ENA_USDT_PERP</t>
        </is>
      </c>
      <c r="F289" s="2" t="inlineStr">
        <is>
          <t>做空</t>
        </is>
      </c>
      <c r="G289" s="20" t="n">
        <v>0.1563</v>
      </c>
      <c r="H289" s="20" t="n">
        <v>0.151611</v>
      </c>
      <c r="I289" s="20" t="n">
        <v>0.164115</v>
      </c>
      <c r="J289" s="20" t="n">
        <v>0.151611</v>
      </c>
      <c r="K289" s="2" t="inlineStr">
        <is>
          <t>止盈</t>
        </is>
      </c>
      <c r="L289" s="5">
        <f>交易明細!K143</f>
        <v/>
      </c>
      <c r="M289" s="19">
        <f>M282</f>
        <v/>
      </c>
      <c r="N289" s="2">
        <f>N282</f>
        <v/>
      </c>
      <c r="O289" s="19">
        <f>O282</f>
        <v/>
      </c>
      <c r="P289" s="4">
        <f>交易明細!L143</f>
        <v/>
      </c>
      <c r="Q289" s="13">
        <f>IF(N289="已下單",O289*P289,0)</f>
        <v/>
      </c>
      <c r="R289" s="13">
        <f>R288+Q289</f>
        <v/>
      </c>
      <c r="S289" s="19">
        <f>S288-IF(N289="已下單",M289,0)</f>
        <v/>
      </c>
      <c r="T289" s="19">
        <f>R289-S289</f>
        <v/>
      </c>
      <c r="U289" s="2">
        <f>U288-IF(N289="已下單",1,0)</f>
        <v/>
      </c>
      <c r="V289" s="19">
        <f>IF(資金模擬!$B$9=2,MAX(R289,0),MAX(V288,FLOOR(MAX(R289,0),資金模擬!$B$6)))</f>
        <v/>
      </c>
      <c r="W289" s="13">
        <f>MAX(W288,R289)</f>
        <v/>
      </c>
      <c r="X289" s="4">
        <f>IF(W289&gt;0,R289/W289-1,-1)</f>
        <v/>
      </c>
      <c r="Y289" s="19">
        <f>IF(R289&gt;0,S289*資金模擬!$B$7/R289,0)</f>
        <v/>
      </c>
      <c r="Z289" s="2">
        <f>IF(OR(Z288=1,R289&lt;=資金模擬!$B$10),1,0)</f>
        <v/>
      </c>
    </row>
    <row r="290">
      <c r="A290" s="2" t="n">
        <v>288</v>
      </c>
      <c r="B290" s="7" t="n">
        <v>46275.29166666666</v>
      </c>
      <c r="C290" s="2" t="inlineStr">
        <is>
          <t>出場</t>
        </is>
      </c>
      <c r="D290" s="2" t="n">
        <v>140</v>
      </c>
      <c r="E290" s="2" t="inlineStr">
        <is>
          <t>DOT_USDT_PERP</t>
        </is>
      </c>
      <c r="F290" s="2" t="inlineStr">
        <is>
          <t>做空</t>
        </is>
      </c>
      <c r="G290" s="20" t="n">
        <v>1.132</v>
      </c>
      <c r="H290" s="20" t="n">
        <v>1.09804</v>
      </c>
      <c r="I290" s="20" t="n">
        <v>1.1886</v>
      </c>
      <c r="J290" s="20" t="n">
        <v>1.09804</v>
      </c>
      <c r="K290" s="2" t="inlineStr">
        <is>
          <t>止盈</t>
        </is>
      </c>
      <c r="L290" s="5">
        <f>交易明細!K141</f>
        <v/>
      </c>
      <c r="M290" s="19">
        <f>M277</f>
        <v/>
      </c>
      <c r="N290" s="2">
        <f>N277</f>
        <v/>
      </c>
      <c r="O290" s="19">
        <f>O277</f>
        <v/>
      </c>
      <c r="P290" s="4">
        <f>交易明細!L141</f>
        <v/>
      </c>
      <c r="Q290" s="13">
        <f>IF(N290="已下單",O290*P290,0)</f>
        <v/>
      </c>
      <c r="R290" s="13">
        <f>R289+Q290</f>
        <v/>
      </c>
      <c r="S290" s="19">
        <f>S289-IF(N290="已下單",M290,0)</f>
        <v/>
      </c>
      <c r="T290" s="19">
        <f>R290-S290</f>
        <v/>
      </c>
      <c r="U290" s="2">
        <f>U289-IF(N290="已下單",1,0)</f>
        <v/>
      </c>
      <c r="V290" s="19">
        <f>IF(資金模擬!$B$9=2,MAX(R290,0),MAX(V289,FLOOR(MAX(R290,0),資金模擬!$B$6)))</f>
        <v/>
      </c>
      <c r="W290" s="13">
        <f>MAX(W289,R290)</f>
        <v/>
      </c>
      <c r="X290" s="4">
        <f>IF(W290&gt;0,R290/W290-1,-1)</f>
        <v/>
      </c>
      <c r="Y290" s="19">
        <f>IF(R290&gt;0,S290*資金模擬!$B$7/R290,0)</f>
        <v/>
      </c>
      <c r="Z290" s="2">
        <f>IF(OR(Z289=1,R290&lt;=資金模擬!$B$10),1,0)</f>
        <v/>
      </c>
    </row>
    <row r="291">
      <c r="A291" s="2" t="n">
        <v>289</v>
      </c>
      <c r="B291" s="7" t="n">
        <v>46275.29166666666</v>
      </c>
      <c r="C291" s="2" t="inlineStr">
        <is>
          <t>出場</t>
        </is>
      </c>
      <c r="D291" s="2" t="n">
        <v>143</v>
      </c>
      <c r="E291" s="2" t="inlineStr">
        <is>
          <t>AKE_USDT_PERP</t>
        </is>
      </c>
      <c r="F291" s="2" t="inlineStr">
        <is>
          <t>做空</t>
        </is>
      </c>
      <c r="G291" s="20" t="n">
        <v>0.0151607</v>
      </c>
      <c r="H291" s="20" t="n">
        <v>0.014705879</v>
      </c>
      <c r="I291" s="20" t="n">
        <v>0.015918735</v>
      </c>
      <c r="J291" s="20" t="n">
        <v>0.014705879</v>
      </c>
      <c r="K291" s="2" t="inlineStr">
        <is>
          <t>止盈</t>
        </is>
      </c>
      <c r="L291" s="5">
        <f>交易明細!K144</f>
        <v/>
      </c>
      <c r="M291" s="19">
        <f>M283</f>
        <v/>
      </c>
      <c r="N291" s="2">
        <f>N283</f>
        <v/>
      </c>
      <c r="O291" s="19">
        <f>O283</f>
        <v/>
      </c>
      <c r="P291" s="4">
        <f>交易明細!L144</f>
        <v/>
      </c>
      <c r="Q291" s="13">
        <f>IF(N291="已下單",O291*P291,0)</f>
        <v/>
      </c>
      <c r="R291" s="13">
        <f>R290+Q291</f>
        <v/>
      </c>
      <c r="S291" s="19">
        <f>S290-IF(N291="已下單",M291,0)</f>
        <v/>
      </c>
      <c r="T291" s="19">
        <f>R291-S291</f>
        <v/>
      </c>
      <c r="U291" s="2">
        <f>U290-IF(N291="已下單",1,0)</f>
        <v/>
      </c>
      <c r="V291" s="19">
        <f>IF(資金模擬!$B$9=2,MAX(R291,0),MAX(V290,FLOOR(MAX(R291,0),資金模擬!$B$6)))</f>
        <v/>
      </c>
      <c r="W291" s="13">
        <f>MAX(W290,R291)</f>
        <v/>
      </c>
      <c r="X291" s="4">
        <f>IF(W291&gt;0,R291/W291-1,-1)</f>
        <v/>
      </c>
      <c r="Y291" s="19">
        <f>IF(R291&gt;0,S291*資金模擬!$B$7/R291,0)</f>
        <v/>
      </c>
      <c r="Z291" s="2">
        <f>IF(OR(Z290=1,R291&lt;=資金模擬!$B$10),1,0)</f>
        <v/>
      </c>
    </row>
    <row r="292">
      <c r="A292" s="2" t="n">
        <v>290</v>
      </c>
      <c r="B292" s="7" t="n">
        <v>46275.33333333334</v>
      </c>
      <c r="C292" s="2" t="inlineStr">
        <is>
          <t>進場</t>
        </is>
      </c>
      <c r="D292" s="2" t="n">
        <v>146</v>
      </c>
      <c r="E292" s="2" t="inlineStr">
        <is>
          <t>AKE_USDT_PERP</t>
        </is>
      </c>
      <c r="F292" s="2" t="inlineStr">
        <is>
          <t>做多</t>
        </is>
      </c>
      <c r="G292" s="20" t="n">
        <v>0.0160605</v>
      </c>
      <c r="H292" s="20" t="n">
        <v>0.016542315</v>
      </c>
      <c r="I292" s="20" t="n">
        <v>0.015257475</v>
      </c>
      <c r="J292" s="20" t="n"/>
      <c r="K292" s="2" t="n"/>
      <c r="L292" s="5" t="n"/>
      <c r="M292" s="19">
        <f>資金模擬!$B$5*V291</f>
        <v/>
      </c>
      <c r="N292" s="2">
        <f>IF(Z291=1,"已停止",IF(T291&gt;=M292,"已下單","資金不足略過"))</f>
        <v/>
      </c>
      <c r="O292" s="19">
        <f>IF(N292="已下單",M292*資金模擬!$B$7,0)</f>
        <v/>
      </c>
      <c r="P292" s="4" t="n"/>
      <c r="Q292" s="13" t="n">
        <v>0</v>
      </c>
      <c r="R292" s="13">
        <f>R291+Q292</f>
        <v/>
      </c>
      <c r="S292" s="19">
        <f>S291+IF(N292="已下單",M292,0)</f>
        <v/>
      </c>
      <c r="T292" s="19">
        <f>R292-S292</f>
        <v/>
      </c>
      <c r="U292" s="2">
        <f>U291+IF(N292="已下單",1,0)</f>
        <v/>
      </c>
      <c r="V292" s="19">
        <f>IF(資金模擬!$B$9=2,MAX(R292,0),MAX(V291,FLOOR(MAX(R292,0),資金模擬!$B$6)))</f>
        <v/>
      </c>
      <c r="W292" s="13">
        <f>MAX(W291,R292)</f>
        <v/>
      </c>
      <c r="X292" s="4">
        <f>IF(W292&gt;0,R292/W292-1,-1)</f>
        <v/>
      </c>
      <c r="Y292" s="19">
        <f>IF(R292&gt;0,S292*資金模擬!$B$7/R292,0)</f>
        <v/>
      </c>
      <c r="Z292" s="2">
        <f>IF(OR(Z291=1,R292&lt;=資金模擬!$B$10),1,0)</f>
        <v/>
      </c>
    </row>
    <row r="293">
      <c r="A293" s="2" t="n">
        <v>291</v>
      </c>
      <c r="B293" s="7" t="n">
        <v>46275.45833333334</v>
      </c>
      <c r="C293" s="2" t="inlineStr">
        <is>
          <t>進場</t>
        </is>
      </c>
      <c r="D293" s="2" t="n">
        <v>147</v>
      </c>
      <c r="E293" s="2" t="inlineStr">
        <is>
          <t>KAT_USDT_PERP</t>
        </is>
      </c>
      <c r="F293" s="2" t="inlineStr">
        <is>
          <t>做空</t>
        </is>
      </c>
      <c r="G293" s="20" t="n">
        <v>0.00549</v>
      </c>
      <c r="H293" s="20" t="n">
        <v>0.0053253</v>
      </c>
      <c r="I293" s="20" t="n">
        <v>0.005764500000000001</v>
      </c>
      <c r="J293" s="20" t="n"/>
      <c r="K293" s="2" t="n"/>
      <c r="L293" s="5" t="n"/>
      <c r="M293" s="19">
        <f>資金模擬!$B$5*V292</f>
        <v/>
      </c>
      <c r="N293" s="2">
        <f>IF(Z292=1,"已停止",IF(T292&gt;=M293,"已下單","資金不足略過"))</f>
        <v/>
      </c>
      <c r="O293" s="19">
        <f>IF(N293="已下單",M293*資金模擬!$B$7,0)</f>
        <v/>
      </c>
      <c r="P293" s="4" t="n"/>
      <c r="Q293" s="13" t="n">
        <v>0</v>
      </c>
      <c r="R293" s="13">
        <f>R292+Q293</f>
        <v/>
      </c>
      <c r="S293" s="19">
        <f>S292+IF(N293="已下單",M293,0)</f>
        <v/>
      </c>
      <c r="T293" s="19">
        <f>R293-S293</f>
        <v/>
      </c>
      <c r="U293" s="2">
        <f>U292+IF(N293="已下單",1,0)</f>
        <v/>
      </c>
      <c r="V293" s="19">
        <f>IF(資金模擬!$B$9=2,MAX(R293,0),MAX(V292,FLOOR(MAX(R293,0),資金模擬!$B$6)))</f>
        <v/>
      </c>
      <c r="W293" s="13">
        <f>MAX(W292,R293)</f>
        <v/>
      </c>
      <c r="X293" s="4">
        <f>IF(W293&gt;0,R293/W293-1,-1)</f>
        <v/>
      </c>
      <c r="Y293" s="19">
        <f>IF(R293&gt;0,S293*資金模擬!$B$7/R293,0)</f>
        <v/>
      </c>
      <c r="Z293" s="2">
        <f>IF(OR(Z292=1,R293&lt;=資金模擬!$B$10),1,0)</f>
        <v/>
      </c>
    </row>
    <row r="294">
      <c r="A294" s="2" t="n">
        <v>292</v>
      </c>
      <c r="B294" s="7" t="n">
        <v>46275.5</v>
      </c>
      <c r="C294" s="2" t="inlineStr">
        <is>
          <t>出場</t>
        </is>
      </c>
      <c r="D294" s="2" t="n">
        <v>146</v>
      </c>
      <c r="E294" s="2" t="inlineStr">
        <is>
          <t>AKE_USDT_PERP</t>
        </is>
      </c>
      <c r="F294" s="2" t="inlineStr">
        <is>
          <t>做多</t>
        </is>
      </c>
      <c r="G294" s="20" t="n">
        <v>0.0160605</v>
      </c>
      <c r="H294" s="20" t="n">
        <v>0.016542315</v>
      </c>
      <c r="I294" s="20" t="n">
        <v>0.015257475</v>
      </c>
      <c r="J294" s="20" t="n">
        <v>0.015257475</v>
      </c>
      <c r="K294" s="2" t="inlineStr">
        <is>
          <t>止損</t>
        </is>
      </c>
      <c r="L294" s="5">
        <f>交易明細!K147</f>
        <v/>
      </c>
      <c r="M294" s="19">
        <f>M292</f>
        <v/>
      </c>
      <c r="N294" s="2">
        <f>N292</f>
        <v/>
      </c>
      <c r="O294" s="19">
        <f>O292</f>
        <v/>
      </c>
      <c r="P294" s="4">
        <f>交易明細!L147</f>
        <v/>
      </c>
      <c r="Q294" s="13">
        <f>IF(N294="已下單",O294*P294,0)</f>
        <v/>
      </c>
      <c r="R294" s="13">
        <f>R293+Q294</f>
        <v/>
      </c>
      <c r="S294" s="19">
        <f>S293-IF(N294="已下單",M294,0)</f>
        <v/>
      </c>
      <c r="T294" s="19">
        <f>R294-S294</f>
        <v/>
      </c>
      <c r="U294" s="2">
        <f>U293-IF(N294="已下單",1,0)</f>
        <v/>
      </c>
      <c r="V294" s="19">
        <f>IF(資金模擬!$B$9=2,MAX(R294,0),MAX(V293,FLOOR(MAX(R294,0),資金模擬!$B$6)))</f>
        <v/>
      </c>
      <c r="W294" s="13">
        <f>MAX(W293,R294)</f>
        <v/>
      </c>
      <c r="X294" s="4">
        <f>IF(W294&gt;0,R294/W294-1,-1)</f>
        <v/>
      </c>
      <c r="Y294" s="19">
        <f>IF(R294&gt;0,S294*資金模擬!$B$7/R294,0)</f>
        <v/>
      </c>
      <c r="Z294" s="2">
        <f>IF(OR(Z293=1,R294&lt;=資金模擬!$B$10),1,0)</f>
        <v/>
      </c>
    </row>
    <row r="295">
      <c r="A295" s="2" t="n">
        <v>293</v>
      </c>
      <c r="B295" s="7" t="n">
        <v>46275.54166666666</v>
      </c>
      <c r="C295" s="2" t="inlineStr">
        <is>
          <t>出場</t>
        </is>
      </c>
      <c r="D295" s="2" t="n">
        <v>147</v>
      </c>
      <c r="E295" s="2" t="inlineStr">
        <is>
          <t>KAT_USDT_PERP</t>
        </is>
      </c>
      <c r="F295" s="2" t="inlineStr">
        <is>
          <t>做空</t>
        </is>
      </c>
      <c r="G295" s="20" t="n">
        <v>0.00549</v>
      </c>
      <c r="H295" s="20" t="n">
        <v>0.0053253</v>
      </c>
      <c r="I295" s="20" t="n">
        <v>0.005764500000000001</v>
      </c>
      <c r="J295" s="20" t="n">
        <v>0.0053253</v>
      </c>
      <c r="K295" s="2" t="inlineStr">
        <is>
          <t>止盈</t>
        </is>
      </c>
      <c r="L295" s="5">
        <f>交易明細!K148</f>
        <v/>
      </c>
      <c r="M295" s="19">
        <f>M293</f>
        <v/>
      </c>
      <c r="N295" s="2">
        <f>N293</f>
        <v/>
      </c>
      <c r="O295" s="19">
        <f>O293</f>
        <v/>
      </c>
      <c r="P295" s="4">
        <f>交易明細!L148</f>
        <v/>
      </c>
      <c r="Q295" s="13">
        <f>IF(N295="已下單",O295*P295,0)</f>
        <v/>
      </c>
      <c r="R295" s="13">
        <f>R294+Q295</f>
        <v/>
      </c>
      <c r="S295" s="19">
        <f>S294-IF(N295="已下單",M295,0)</f>
        <v/>
      </c>
      <c r="T295" s="19">
        <f>R295-S295</f>
        <v/>
      </c>
      <c r="U295" s="2">
        <f>U294-IF(N295="已下單",1,0)</f>
        <v/>
      </c>
      <c r="V295" s="19">
        <f>IF(資金模擬!$B$9=2,MAX(R295,0),MAX(V294,FLOOR(MAX(R295,0),資金模擬!$B$6)))</f>
        <v/>
      </c>
      <c r="W295" s="13">
        <f>MAX(W294,R295)</f>
        <v/>
      </c>
      <c r="X295" s="4">
        <f>IF(W295&gt;0,R295/W295-1,-1)</f>
        <v/>
      </c>
      <c r="Y295" s="19">
        <f>IF(R295&gt;0,S295*資金模擬!$B$7/R295,0)</f>
        <v/>
      </c>
      <c r="Z295" s="2">
        <f>IF(OR(Z294=1,R295&lt;=資金模擬!$B$10),1,0)</f>
        <v/>
      </c>
    </row>
    <row r="296">
      <c r="A296" s="2" t="n">
        <v>294</v>
      </c>
      <c r="B296" s="7" t="n">
        <v>46275.54166666666</v>
      </c>
      <c r="C296" s="2" t="inlineStr">
        <is>
          <t>進場</t>
        </is>
      </c>
      <c r="D296" s="2" t="n">
        <v>148</v>
      </c>
      <c r="E296" s="2" t="inlineStr">
        <is>
          <t>AKE_USDT_PERP</t>
        </is>
      </c>
      <c r="F296" s="2" t="inlineStr">
        <is>
          <t>做多</t>
        </is>
      </c>
      <c r="G296" s="20" t="n">
        <v>0.0154525</v>
      </c>
      <c r="H296" s="20" t="n">
        <v>0.015916075</v>
      </c>
      <c r="I296" s="20" t="n">
        <v>0.014679875</v>
      </c>
      <c r="J296" s="20" t="n"/>
      <c r="K296" s="2" t="n"/>
      <c r="L296" s="5" t="n"/>
      <c r="M296" s="19">
        <f>資金模擬!$B$5*V295</f>
        <v/>
      </c>
      <c r="N296" s="2">
        <f>IF(Z295=1,"已停止",IF(T295&gt;=M296,"已下單","資金不足略過"))</f>
        <v/>
      </c>
      <c r="O296" s="19">
        <f>IF(N296="已下單",M296*資金模擬!$B$7,0)</f>
        <v/>
      </c>
      <c r="P296" s="4" t="n"/>
      <c r="Q296" s="13" t="n">
        <v>0</v>
      </c>
      <c r="R296" s="13">
        <f>R295+Q296</f>
        <v/>
      </c>
      <c r="S296" s="19">
        <f>S295+IF(N296="已下單",M296,0)</f>
        <v/>
      </c>
      <c r="T296" s="19">
        <f>R296-S296</f>
        <v/>
      </c>
      <c r="U296" s="2">
        <f>U295+IF(N296="已下單",1,0)</f>
        <v/>
      </c>
      <c r="V296" s="19">
        <f>IF(資金模擬!$B$9=2,MAX(R296,0),MAX(V295,FLOOR(MAX(R296,0),資金模擬!$B$6)))</f>
        <v/>
      </c>
      <c r="W296" s="13">
        <f>MAX(W295,R296)</f>
        <v/>
      </c>
      <c r="X296" s="4">
        <f>IF(W296&gt;0,R296/W296-1,-1)</f>
        <v/>
      </c>
      <c r="Y296" s="19">
        <f>IF(R296&gt;0,S296*資金模擬!$B$7/R296,0)</f>
        <v/>
      </c>
      <c r="Z296" s="2">
        <f>IF(OR(Z295=1,R296&lt;=資金模擬!$B$10),1,0)</f>
        <v/>
      </c>
    </row>
    <row r="297">
      <c r="A297" s="2" t="n">
        <v>295</v>
      </c>
      <c r="B297" s="7" t="n">
        <v>46275.54166666666</v>
      </c>
      <c r="C297" s="2" t="inlineStr">
        <is>
          <t>進場</t>
        </is>
      </c>
      <c r="D297" s="2" t="n">
        <v>149</v>
      </c>
      <c r="E297" s="2" t="inlineStr">
        <is>
          <t>BULLA_USDT_PERP</t>
        </is>
      </c>
      <c r="F297" s="2" t="inlineStr">
        <is>
          <t>做多</t>
        </is>
      </c>
      <c r="G297" s="20" t="n">
        <v>0.08887</v>
      </c>
      <c r="H297" s="20" t="n">
        <v>0.09153610000000001</v>
      </c>
      <c r="I297" s="20" t="n">
        <v>0.0844265</v>
      </c>
      <c r="J297" s="20" t="n"/>
      <c r="K297" s="2" t="n"/>
      <c r="L297" s="5" t="n"/>
      <c r="M297" s="19">
        <f>資金模擬!$B$5*V296</f>
        <v/>
      </c>
      <c r="N297" s="2">
        <f>IF(Z296=1,"已停止",IF(T296&gt;=M297,"已下單","資金不足略過"))</f>
        <v/>
      </c>
      <c r="O297" s="19">
        <f>IF(N297="已下單",M297*資金模擬!$B$7,0)</f>
        <v/>
      </c>
      <c r="P297" s="4" t="n"/>
      <c r="Q297" s="13" t="n">
        <v>0</v>
      </c>
      <c r="R297" s="13">
        <f>R296+Q297</f>
        <v/>
      </c>
      <c r="S297" s="19">
        <f>S296+IF(N297="已下單",M297,0)</f>
        <v/>
      </c>
      <c r="T297" s="19">
        <f>R297-S297</f>
        <v/>
      </c>
      <c r="U297" s="2">
        <f>U296+IF(N297="已下單",1,0)</f>
        <v/>
      </c>
      <c r="V297" s="19">
        <f>IF(資金模擬!$B$9=2,MAX(R297,0),MAX(V296,FLOOR(MAX(R297,0),資金模擬!$B$6)))</f>
        <v/>
      </c>
      <c r="W297" s="13">
        <f>MAX(W296,R297)</f>
        <v/>
      </c>
      <c r="X297" s="4">
        <f>IF(W297&gt;0,R297/W297-1,-1)</f>
        <v/>
      </c>
      <c r="Y297" s="19">
        <f>IF(R297&gt;0,S297*資金模擬!$B$7/R297,0)</f>
        <v/>
      </c>
      <c r="Z297" s="2">
        <f>IF(OR(Z296=1,R297&lt;=資金模擬!$B$10),1,0)</f>
        <v/>
      </c>
    </row>
    <row r="298">
      <c r="A298" s="2" t="n">
        <v>296</v>
      </c>
      <c r="B298" s="7" t="n">
        <v>46275.54166666666</v>
      </c>
      <c r="C298" s="2" t="inlineStr">
        <is>
          <t>進場</t>
        </is>
      </c>
      <c r="D298" s="2" t="n">
        <v>150</v>
      </c>
      <c r="E298" s="2" t="inlineStr">
        <is>
          <t>RAY_USDT_PERP</t>
        </is>
      </c>
      <c r="F298" s="2" t="inlineStr">
        <is>
          <t>做多</t>
        </is>
      </c>
      <c r="G298" s="20" t="n">
        <v>1.33</v>
      </c>
      <c r="H298" s="20" t="n">
        <v>1.3699</v>
      </c>
      <c r="I298" s="20" t="n">
        <v>1.2635</v>
      </c>
      <c r="J298" s="20" t="n"/>
      <c r="K298" s="2" t="n"/>
      <c r="L298" s="5" t="n"/>
      <c r="M298" s="19">
        <f>資金模擬!$B$5*V297</f>
        <v/>
      </c>
      <c r="N298" s="2">
        <f>IF(Z297=1,"已停止",IF(T297&gt;=M298,"已下單","資金不足略過"))</f>
        <v/>
      </c>
      <c r="O298" s="19">
        <f>IF(N298="已下單",M298*資金模擬!$B$7,0)</f>
        <v/>
      </c>
      <c r="P298" s="4" t="n"/>
      <c r="Q298" s="13" t="n">
        <v>0</v>
      </c>
      <c r="R298" s="13">
        <f>R297+Q298</f>
        <v/>
      </c>
      <c r="S298" s="19">
        <f>S297+IF(N298="已下單",M298,0)</f>
        <v/>
      </c>
      <c r="T298" s="19">
        <f>R298-S298</f>
        <v/>
      </c>
      <c r="U298" s="2">
        <f>U297+IF(N298="已下單",1,0)</f>
        <v/>
      </c>
      <c r="V298" s="19">
        <f>IF(資金模擬!$B$9=2,MAX(R298,0),MAX(V297,FLOOR(MAX(R298,0),資金模擬!$B$6)))</f>
        <v/>
      </c>
      <c r="W298" s="13">
        <f>MAX(W297,R298)</f>
        <v/>
      </c>
      <c r="X298" s="4">
        <f>IF(W298&gt;0,R298/W298-1,-1)</f>
        <v/>
      </c>
      <c r="Y298" s="19">
        <f>IF(R298&gt;0,S298*資金模擬!$B$7/R298,0)</f>
        <v/>
      </c>
      <c r="Z298" s="2">
        <f>IF(OR(Z297=1,R298&lt;=資金模擬!$B$10),1,0)</f>
        <v/>
      </c>
    </row>
    <row r="299">
      <c r="A299" s="2" t="n">
        <v>297</v>
      </c>
      <c r="B299" s="7" t="n">
        <v>46275.58333333334</v>
      </c>
      <c r="C299" s="2" t="inlineStr">
        <is>
          <t>出場</t>
        </is>
      </c>
      <c r="D299" s="2" t="n">
        <v>149</v>
      </c>
      <c r="E299" s="2" t="inlineStr">
        <is>
          <t>BULLA_USDT_PERP</t>
        </is>
      </c>
      <c r="F299" s="2" t="inlineStr">
        <is>
          <t>做多</t>
        </is>
      </c>
      <c r="G299" s="20" t="n">
        <v>0.08887</v>
      </c>
      <c r="H299" s="20" t="n">
        <v>0.09153610000000001</v>
      </c>
      <c r="I299" s="20" t="n">
        <v>0.0844265</v>
      </c>
      <c r="J299" s="20" t="n">
        <v>0.09153610000000001</v>
      </c>
      <c r="K299" s="2" t="inlineStr">
        <is>
          <t>止盈</t>
        </is>
      </c>
      <c r="L299" s="5">
        <f>交易明細!K150</f>
        <v/>
      </c>
      <c r="M299" s="19">
        <f>M297</f>
        <v/>
      </c>
      <c r="N299" s="2">
        <f>N297</f>
        <v/>
      </c>
      <c r="O299" s="19">
        <f>O297</f>
        <v/>
      </c>
      <c r="P299" s="4">
        <f>交易明細!L150</f>
        <v/>
      </c>
      <c r="Q299" s="13">
        <f>IF(N299="已下單",O299*P299,0)</f>
        <v/>
      </c>
      <c r="R299" s="13">
        <f>R298+Q299</f>
        <v/>
      </c>
      <c r="S299" s="19">
        <f>S298-IF(N299="已下單",M299,0)</f>
        <v/>
      </c>
      <c r="T299" s="19">
        <f>R299-S299</f>
        <v/>
      </c>
      <c r="U299" s="2">
        <f>U298-IF(N299="已下單",1,0)</f>
        <v/>
      </c>
      <c r="V299" s="19">
        <f>IF(資金模擬!$B$9=2,MAX(R299,0),MAX(V298,FLOOR(MAX(R299,0),資金模擬!$B$6)))</f>
        <v/>
      </c>
      <c r="W299" s="13">
        <f>MAX(W298,R299)</f>
        <v/>
      </c>
      <c r="X299" s="4">
        <f>IF(W299&gt;0,R299/W299-1,-1)</f>
        <v/>
      </c>
      <c r="Y299" s="19">
        <f>IF(R299&gt;0,S299*資金模擬!$B$7/R299,0)</f>
        <v/>
      </c>
      <c r="Z299" s="2">
        <f>IF(OR(Z298=1,R299&lt;=資金模擬!$B$10),1,0)</f>
        <v/>
      </c>
    </row>
    <row r="300">
      <c r="A300" s="2" t="n">
        <v>298</v>
      </c>
      <c r="B300" s="7" t="n">
        <v>46275.58333333334</v>
      </c>
      <c r="C300" s="2" t="inlineStr">
        <is>
          <t>出場</t>
        </is>
      </c>
      <c r="D300" s="2" t="n">
        <v>150</v>
      </c>
      <c r="E300" s="2" t="inlineStr">
        <is>
          <t>RAY_USDT_PERP</t>
        </is>
      </c>
      <c r="F300" s="2" t="inlineStr">
        <is>
          <t>做多</t>
        </is>
      </c>
      <c r="G300" s="20" t="n">
        <v>1.33</v>
      </c>
      <c r="H300" s="20" t="n">
        <v>1.3699</v>
      </c>
      <c r="I300" s="20" t="n">
        <v>1.2635</v>
      </c>
      <c r="J300" s="20" t="n">
        <v>1.3699</v>
      </c>
      <c r="K300" s="2" t="inlineStr">
        <is>
          <t>止盈</t>
        </is>
      </c>
      <c r="L300" s="5">
        <f>交易明細!K151</f>
        <v/>
      </c>
      <c r="M300" s="19">
        <f>M298</f>
        <v/>
      </c>
      <c r="N300" s="2">
        <f>N298</f>
        <v/>
      </c>
      <c r="O300" s="19">
        <f>O298</f>
        <v/>
      </c>
      <c r="P300" s="4">
        <f>交易明細!L151</f>
        <v/>
      </c>
      <c r="Q300" s="13">
        <f>IF(N300="已下單",O300*P300,0)</f>
        <v/>
      </c>
      <c r="R300" s="13">
        <f>R299+Q300</f>
        <v/>
      </c>
      <c r="S300" s="19">
        <f>S299-IF(N300="已下單",M300,0)</f>
        <v/>
      </c>
      <c r="T300" s="19">
        <f>R300-S300</f>
        <v/>
      </c>
      <c r="U300" s="2">
        <f>U299-IF(N300="已下單",1,0)</f>
        <v/>
      </c>
      <c r="V300" s="19">
        <f>IF(資金模擬!$B$9=2,MAX(R300,0),MAX(V299,FLOOR(MAX(R300,0),資金模擬!$B$6)))</f>
        <v/>
      </c>
      <c r="W300" s="13">
        <f>MAX(W299,R300)</f>
        <v/>
      </c>
      <c r="X300" s="4">
        <f>IF(W300&gt;0,R300/W300-1,-1)</f>
        <v/>
      </c>
      <c r="Y300" s="19">
        <f>IF(R300&gt;0,S300*資金模擬!$B$7/R300,0)</f>
        <v/>
      </c>
      <c r="Z300" s="2">
        <f>IF(OR(Z299=1,R300&lt;=資金模擬!$B$10),1,0)</f>
        <v/>
      </c>
    </row>
    <row r="301">
      <c r="A301" s="2" t="n">
        <v>299</v>
      </c>
      <c r="B301" s="7" t="n">
        <v>46275.625</v>
      </c>
      <c r="C301" s="2" t="inlineStr">
        <is>
          <t>進場</t>
        </is>
      </c>
      <c r="D301" s="2" t="n">
        <v>151</v>
      </c>
      <c r="E301" s="2" t="inlineStr">
        <is>
          <t>VVV_USDT_PERP</t>
        </is>
      </c>
      <c r="F301" s="2" t="inlineStr">
        <is>
          <t>做多</t>
        </is>
      </c>
      <c r="G301" s="20" t="n">
        <v>24.415</v>
      </c>
      <c r="H301" s="20" t="n">
        <v>25.14745</v>
      </c>
      <c r="I301" s="20" t="n">
        <v>23.19425</v>
      </c>
      <c r="J301" s="20" t="n"/>
      <c r="K301" s="2" t="n"/>
      <c r="L301" s="5" t="n"/>
      <c r="M301" s="19">
        <f>資金模擬!$B$5*V300</f>
        <v/>
      </c>
      <c r="N301" s="2">
        <f>IF(Z300=1,"已停止",IF(T300&gt;=M301,"已下單","資金不足略過"))</f>
        <v/>
      </c>
      <c r="O301" s="19">
        <f>IF(N301="已下單",M301*資金模擬!$B$7,0)</f>
        <v/>
      </c>
      <c r="P301" s="4" t="n"/>
      <c r="Q301" s="13" t="n">
        <v>0</v>
      </c>
      <c r="R301" s="13">
        <f>R300+Q301</f>
        <v/>
      </c>
      <c r="S301" s="19">
        <f>S300+IF(N301="已下單",M301,0)</f>
        <v/>
      </c>
      <c r="T301" s="19">
        <f>R301-S301</f>
        <v/>
      </c>
      <c r="U301" s="2">
        <f>U300+IF(N301="已下單",1,0)</f>
        <v/>
      </c>
      <c r="V301" s="19">
        <f>IF(資金模擬!$B$9=2,MAX(R301,0),MAX(V300,FLOOR(MAX(R301,0),資金模擬!$B$6)))</f>
        <v/>
      </c>
      <c r="W301" s="13">
        <f>MAX(W300,R301)</f>
        <v/>
      </c>
      <c r="X301" s="4">
        <f>IF(W301&gt;0,R301/W301-1,-1)</f>
        <v/>
      </c>
      <c r="Y301" s="19">
        <f>IF(R301&gt;0,S301*資金模擬!$B$7/R301,0)</f>
        <v/>
      </c>
      <c r="Z301" s="2">
        <f>IF(OR(Z300=1,R301&lt;=資金模擬!$B$10),1,0)</f>
        <v/>
      </c>
    </row>
    <row r="302">
      <c r="A302" s="2" t="n">
        <v>300</v>
      </c>
      <c r="B302" s="7" t="n">
        <v>46275.66666666666</v>
      </c>
      <c r="C302" s="2" t="inlineStr">
        <is>
          <t>進場</t>
        </is>
      </c>
      <c r="D302" s="2" t="n">
        <v>152</v>
      </c>
      <c r="E302" s="2" t="inlineStr">
        <is>
          <t>LIT_USDT_PERP</t>
        </is>
      </c>
      <c r="F302" s="2" t="inlineStr">
        <is>
          <t>做空</t>
        </is>
      </c>
      <c r="G302" s="20" t="n">
        <v>4.481</v>
      </c>
      <c r="H302" s="20" t="n">
        <v>4.34657</v>
      </c>
      <c r="I302" s="20" t="n">
        <v>4.70505</v>
      </c>
      <c r="J302" s="20" t="n"/>
      <c r="K302" s="2" t="n"/>
      <c r="L302" s="5" t="n"/>
      <c r="M302" s="19">
        <f>資金模擬!$B$5*V301</f>
        <v/>
      </c>
      <c r="N302" s="2">
        <f>IF(Z301=1,"已停止",IF(T301&gt;=M302,"已下單","資金不足略過"))</f>
        <v/>
      </c>
      <c r="O302" s="19">
        <f>IF(N302="已下單",M302*資金模擬!$B$7,0)</f>
        <v/>
      </c>
      <c r="P302" s="4" t="n"/>
      <c r="Q302" s="13" t="n">
        <v>0</v>
      </c>
      <c r="R302" s="13">
        <f>R301+Q302</f>
        <v/>
      </c>
      <c r="S302" s="19">
        <f>S301+IF(N302="已下單",M302,0)</f>
        <v/>
      </c>
      <c r="T302" s="19">
        <f>R302-S302</f>
        <v/>
      </c>
      <c r="U302" s="2">
        <f>U301+IF(N302="已下單",1,0)</f>
        <v/>
      </c>
      <c r="V302" s="19">
        <f>IF(資金模擬!$B$9=2,MAX(R302,0),MAX(V301,FLOOR(MAX(R302,0),資金模擬!$B$6)))</f>
        <v/>
      </c>
      <c r="W302" s="13">
        <f>MAX(W301,R302)</f>
        <v/>
      </c>
      <c r="X302" s="4">
        <f>IF(W302&gt;0,R302/W302-1,-1)</f>
        <v/>
      </c>
      <c r="Y302" s="19">
        <f>IF(R302&gt;0,S302*資金模擬!$B$7/R302,0)</f>
        <v/>
      </c>
      <c r="Z302" s="2">
        <f>IF(OR(Z301=1,R302&lt;=資金模擬!$B$10),1,0)</f>
        <v/>
      </c>
    </row>
    <row r="303">
      <c r="A303" s="2" t="n">
        <v>301</v>
      </c>
      <c r="B303" s="7" t="n">
        <v>46275.66666666666</v>
      </c>
      <c r="C303" s="2" t="inlineStr">
        <is>
          <t>進場</t>
        </is>
      </c>
      <c r="D303" s="2" t="n">
        <v>153</v>
      </c>
      <c r="E303" s="2" t="inlineStr">
        <is>
          <t>MARSCOIN_USDT_PERP</t>
        </is>
      </c>
      <c r="F303" s="2" t="inlineStr">
        <is>
          <t>做空</t>
        </is>
      </c>
      <c r="G303" s="20" t="n">
        <v>0.10829</v>
      </c>
      <c r="H303" s="20" t="n">
        <v>0.1050413</v>
      </c>
      <c r="I303" s="20" t="n">
        <v>0.1137045</v>
      </c>
      <c r="J303" s="20" t="n"/>
      <c r="K303" s="2" t="n"/>
      <c r="L303" s="5" t="n"/>
      <c r="M303" s="19">
        <f>資金模擬!$B$5*V302</f>
        <v/>
      </c>
      <c r="N303" s="2">
        <f>IF(Z302=1,"已停止",IF(T302&gt;=M303,"已下單","資金不足略過"))</f>
        <v/>
      </c>
      <c r="O303" s="19">
        <f>IF(N303="已下單",M303*資金模擬!$B$7,0)</f>
        <v/>
      </c>
      <c r="P303" s="4" t="n"/>
      <c r="Q303" s="13" t="n">
        <v>0</v>
      </c>
      <c r="R303" s="13">
        <f>R302+Q303</f>
        <v/>
      </c>
      <c r="S303" s="19">
        <f>S302+IF(N303="已下單",M303,0)</f>
        <v/>
      </c>
      <c r="T303" s="19">
        <f>R303-S303</f>
        <v/>
      </c>
      <c r="U303" s="2">
        <f>U302+IF(N303="已下單",1,0)</f>
        <v/>
      </c>
      <c r="V303" s="19">
        <f>IF(資金模擬!$B$9=2,MAX(R303,0),MAX(V302,FLOOR(MAX(R303,0),資金模擬!$B$6)))</f>
        <v/>
      </c>
      <c r="W303" s="13">
        <f>MAX(W302,R303)</f>
        <v/>
      </c>
      <c r="X303" s="4">
        <f>IF(W303&gt;0,R303/W303-1,-1)</f>
        <v/>
      </c>
      <c r="Y303" s="19">
        <f>IF(R303&gt;0,S303*資金模擬!$B$7/R303,0)</f>
        <v/>
      </c>
      <c r="Z303" s="2">
        <f>IF(OR(Z302=1,R303&lt;=資金模擬!$B$10),1,0)</f>
        <v/>
      </c>
    </row>
    <row r="304">
      <c r="A304" s="2" t="n">
        <v>302</v>
      </c>
      <c r="B304" s="7" t="n">
        <v>46275.66666666666</v>
      </c>
      <c r="C304" s="2" t="inlineStr">
        <is>
          <t>進場</t>
        </is>
      </c>
      <c r="D304" s="2" t="n">
        <v>154</v>
      </c>
      <c r="E304" s="2" t="inlineStr">
        <is>
          <t>NEAR_USDT_PERP</t>
        </is>
      </c>
      <c r="F304" s="2" t="inlineStr">
        <is>
          <t>做空</t>
        </is>
      </c>
      <c r="G304" s="20" t="n">
        <v>2.419</v>
      </c>
      <c r="H304" s="20" t="n">
        <v>2.34643</v>
      </c>
      <c r="I304" s="20" t="n">
        <v>2.53995</v>
      </c>
      <c r="J304" s="20" t="n"/>
      <c r="K304" s="2" t="n"/>
      <c r="L304" s="5" t="n"/>
      <c r="M304" s="19">
        <f>資金模擬!$B$5*V303</f>
        <v/>
      </c>
      <c r="N304" s="2">
        <f>IF(Z303=1,"已停止",IF(T303&gt;=M304,"已下單","資金不足略過"))</f>
        <v/>
      </c>
      <c r="O304" s="19">
        <f>IF(N304="已下單",M304*資金模擬!$B$7,0)</f>
        <v/>
      </c>
      <c r="P304" s="4" t="n"/>
      <c r="Q304" s="13" t="n">
        <v>0</v>
      </c>
      <c r="R304" s="13">
        <f>R303+Q304</f>
        <v/>
      </c>
      <c r="S304" s="19">
        <f>S303+IF(N304="已下單",M304,0)</f>
        <v/>
      </c>
      <c r="T304" s="19">
        <f>R304-S304</f>
        <v/>
      </c>
      <c r="U304" s="2">
        <f>U303+IF(N304="已下單",1,0)</f>
        <v/>
      </c>
      <c r="V304" s="19">
        <f>IF(資金模擬!$B$9=2,MAX(R304,0),MAX(V303,FLOOR(MAX(R304,0),資金模擬!$B$6)))</f>
        <v/>
      </c>
      <c r="W304" s="13">
        <f>MAX(W303,R304)</f>
        <v/>
      </c>
      <c r="X304" s="4">
        <f>IF(W304&gt;0,R304/W304-1,-1)</f>
        <v/>
      </c>
      <c r="Y304" s="19">
        <f>IF(R304&gt;0,S304*資金模擬!$B$7/R304,0)</f>
        <v/>
      </c>
      <c r="Z304" s="2">
        <f>IF(OR(Z303=1,R304&lt;=資金模擬!$B$10),1,0)</f>
        <v/>
      </c>
    </row>
    <row r="305">
      <c r="A305" s="2" t="n">
        <v>303</v>
      </c>
      <c r="B305" s="7" t="n">
        <v>46275.66666666666</v>
      </c>
      <c r="C305" s="2" t="inlineStr">
        <is>
          <t>進場</t>
        </is>
      </c>
      <c r="D305" s="2" t="n">
        <v>155</v>
      </c>
      <c r="E305" s="2" t="inlineStr">
        <is>
          <t>PONS_USDT_PERP</t>
        </is>
      </c>
      <c r="F305" s="2" t="inlineStr">
        <is>
          <t>做空</t>
        </is>
      </c>
      <c r="G305" s="20" t="n">
        <v>0.6353</v>
      </c>
      <c r="H305" s="20" t="n">
        <v>0.6162409999999999</v>
      </c>
      <c r="I305" s="20" t="n">
        <v>0.667065</v>
      </c>
      <c r="J305" s="20" t="n"/>
      <c r="K305" s="2" t="n"/>
      <c r="L305" s="5" t="n"/>
      <c r="M305" s="19">
        <f>資金模擬!$B$5*V304</f>
        <v/>
      </c>
      <c r="N305" s="2">
        <f>IF(Z304=1,"已停止",IF(T304&gt;=M305,"已下單","資金不足略過"))</f>
        <v/>
      </c>
      <c r="O305" s="19">
        <f>IF(N305="已下單",M305*資金模擬!$B$7,0)</f>
        <v/>
      </c>
      <c r="P305" s="4" t="n"/>
      <c r="Q305" s="13" t="n">
        <v>0</v>
      </c>
      <c r="R305" s="13">
        <f>R304+Q305</f>
        <v/>
      </c>
      <c r="S305" s="19">
        <f>S304+IF(N305="已下單",M305,0)</f>
        <v/>
      </c>
      <c r="T305" s="19">
        <f>R305-S305</f>
        <v/>
      </c>
      <c r="U305" s="2">
        <f>U304+IF(N305="已下單",1,0)</f>
        <v/>
      </c>
      <c r="V305" s="19">
        <f>IF(資金模擬!$B$9=2,MAX(R305,0),MAX(V304,FLOOR(MAX(R305,0),資金模擬!$B$6)))</f>
        <v/>
      </c>
      <c r="W305" s="13">
        <f>MAX(W304,R305)</f>
        <v/>
      </c>
      <c r="X305" s="4">
        <f>IF(W305&gt;0,R305/W305-1,-1)</f>
        <v/>
      </c>
      <c r="Y305" s="19">
        <f>IF(R305&gt;0,S305*資金模擬!$B$7/R305,0)</f>
        <v/>
      </c>
      <c r="Z305" s="2">
        <f>IF(OR(Z304=1,R305&lt;=資金模擬!$B$10),1,0)</f>
        <v/>
      </c>
    </row>
    <row r="306">
      <c r="A306" s="2" t="n">
        <v>304</v>
      </c>
      <c r="B306" s="7" t="n">
        <v>46275.70833333334</v>
      </c>
      <c r="C306" s="2" t="inlineStr">
        <is>
          <t>出場</t>
        </is>
      </c>
      <c r="D306" s="2" t="n">
        <v>155</v>
      </c>
      <c r="E306" s="2" t="inlineStr">
        <is>
          <t>PONS_USDT_PERP</t>
        </is>
      </c>
      <c r="F306" s="2" t="inlineStr">
        <is>
          <t>做空</t>
        </is>
      </c>
      <c r="G306" s="20" t="n">
        <v>0.6353</v>
      </c>
      <c r="H306" s="20" t="n">
        <v>0.6162409999999999</v>
      </c>
      <c r="I306" s="20" t="n">
        <v>0.667065</v>
      </c>
      <c r="J306" s="20" t="n">
        <v>0.6162409999999999</v>
      </c>
      <c r="K306" s="2" t="inlineStr">
        <is>
          <t>止盈</t>
        </is>
      </c>
      <c r="L306" s="5">
        <f>交易明細!K156</f>
        <v/>
      </c>
      <c r="M306" s="19">
        <f>M305</f>
        <v/>
      </c>
      <c r="N306" s="2">
        <f>N305</f>
        <v/>
      </c>
      <c r="O306" s="19">
        <f>O305</f>
        <v/>
      </c>
      <c r="P306" s="4">
        <f>交易明細!L156</f>
        <v/>
      </c>
      <c r="Q306" s="13">
        <f>IF(N306="已下單",O306*P306,0)</f>
        <v/>
      </c>
      <c r="R306" s="13">
        <f>R305+Q306</f>
        <v/>
      </c>
      <c r="S306" s="19">
        <f>S305-IF(N306="已下單",M306,0)</f>
        <v/>
      </c>
      <c r="T306" s="19">
        <f>R306-S306</f>
        <v/>
      </c>
      <c r="U306" s="2">
        <f>U305-IF(N306="已下單",1,0)</f>
        <v/>
      </c>
      <c r="V306" s="19">
        <f>IF(資金模擬!$B$9=2,MAX(R306,0),MAX(V305,FLOOR(MAX(R306,0),資金模擬!$B$6)))</f>
        <v/>
      </c>
      <c r="W306" s="13">
        <f>MAX(W305,R306)</f>
        <v/>
      </c>
      <c r="X306" s="4">
        <f>IF(W306&gt;0,R306/W306-1,-1)</f>
        <v/>
      </c>
      <c r="Y306" s="19">
        <f>IF(R306&gt;0,S306*資金模擬!$B$7/R306,0)</f>
        <v/>
      </c>
      <c r="Z306" s="2">
        <f>IF(OR(Z305=1,R306&lt;=資金模擬!$B$10),1,0)</f>
        <v/>
      </c>
    </row>
    <row r="307">
      <c r="A307" s="2" t="n">
        <v>305</v>
      </c>
      <c r="B307" s="7" t="n">
        <v>46275.75</v>
      </c>
      <c r="C307" s="2" t="inlineStr">
        <is>
          <t>出場</t>
        </is>
      </c>
      <c r="D307" s="2" t="n">
        <v>148</v>
      </c>
      <c r="E307" s="2" t="inlineStr">
        <is>
          <t>AKE_USDT_PERP</t>
        </is>
      </c>
      <c r="F307" s="2" t="inlineStr">
        <is>
          <t>做多</t>
        </is>
      </c>
      <c r="G307" s="20" t="n">
        <v>0.0154525</v>
      </c>
      <c r="H307" s="20" t="n">
        <v>0.015916075</v>
      </c>
      <c r="I307" s="20" t="n">
        <v>0.014679875</v>
      </c>
      <c r="J307" s="20" t="n">
        <v>0.015916075</v>
      </c>
      <c r="K307" s="2" t="inlineStr">
        <is>
          <t>止盈</t>
        </is>
      </c>
      <c r="L307" s="5">
        <f>交易明細!K149</f>
        <v/>
      </c>
      <c r="M307" s="19">
        <f>M296</f>
        <v/>
      </c>
      <c r="N307" s="2">
        <f>N296</f>
        <v/>
      </c>
      <c r="O307" s="19">
        <f>O296</f>
        <v/>
      </c>
      <c r="P307" s="4">
        <f>交易明細!L149</f>
        <v/>
      </c>
      <c r="Q307" s="13">
        <f>IF(N307="已下單",O307*P307,0)</f>
        <v/>
      </c>
      <c r="R307" s="13">
        <f>R306+Q307</f>
        <v/>
      </c>
      <c r="S307" s="19">
        <f>S306-IF(N307="已下單",M307,0)</f>
        <v/>
      </c>
      <c r="T307" s="19">
        <f>R307-S307</f>
        <v/>
      </c>
      <c r="U307" s="2">
        <f>U306-IF(N307="已下單",1,0)</f>
        <v/>
      </c>
      <c r="V307" s="19">
        <f>IF(資金模擬!$B$9=2,MAX(R307,0),MAX(V306,FLOOR(MAX(R307,0),資金模擬!$B$6)))</f>
        <v/>
      </c>
      <c r="W307" s="13">
        <f>MAX(W306,R307)</f>
        <v/>
      </c>
      <c r="X307" s="4">
        <f>IF(W307&gt;0,R307/W307-1,-1)</f>
        <v/>
      </c>
      <c r="Y307" s="19">
        <f>IF(R307&gt;0,S307*資金模擬!$B$7/R307,0)</f>
        <v/>
      </c>
      <c r="Z307" s="2">
        <f>IF(OR(Z306=1,R307&lt;=資金模擬!$B$10),1,0)</f>
        <v/>
      </c>
    </row>
    <row r="308">
      <c r="A308" s="2" t="n">
        <v>306</v>
      </c>
      <c r="B308" s="7" t="n">
        <v>46275.75</v>
      </c>
      <c r="C308" s="2" t="inlineStr">
        <is>
          <t>出場</t>
        </is>
      </c>
      <c r="D308" s="2" t="n">
        <v>153</v>
      </c>
      <c r="E308" s="2" t="inlineStr">
        <is>
          <t>MARSCOIN_USDT_PERP</t>
        </is>
      </c>
      <c r="F308" s="2" t="inlineStr">
        <is>
          <t>做空</t>
        </is>
      </c>
      <c r="G308" s="20" t="n">
        <v>0.10829</v>
      </c>
      <c r="H308" s="20" t="n">
        <v>0.1050413</v>
      </c>
      <c r="I308" s="20" t="n">
        <v>0.1137045</v>
      </c>
      <c r="J308" s="20" t="n">
        <v>0.1050413</v>
      </c>
      <c r="K308" s="2" t="inlineStr">
        <is>
          <t>止盈</t>
        </is>
      </c>
      <c r="L308" s="5">
        <f>交易明細!K154</f>
        <v/>
      </c>
      <c r="M308" s="19">
        <f>M303</f>
        <v/>
      </c>
      <c r="N308" s="2">
        <f>N303</f>
        <v/>
      </c>
      <c r="O308" s="19">
        <f>O303</f>
        <v/>
      </c>
      <c r="P308" s="4">
        <f>交易明細!L154</f>
        <v/>
      </c>
      <c r="Q308" s="13">
        <f>IF(N308="已下單",O308*P308,0)</f>
        <v/>
      </c>
      <c r="R308" s="13">
        <f>R307+Q308</f>
        <v/>
      </c>
      <c r="S308" s="19">
        <f>S307-IF(N308="已下單",M308,0)</f>
        <v/>
      </c>
      <c r="T308" s="19">
        <f>R308-S308</f>
        <v/>
      </c>
      <c r="U308" s="2">
        <f>U307-IF(N308="已下單",1,0)</f>
        <v/>
      </c>
      <c r="V308" s="19">
        <f>IF(資金模擬!$B$9=2,MAX(R308,0),MAX(V307,FLOOR(MAX(R308,0),資金模擬!$B$6)))</f>
        <v/>
      </c>
      <c r="W308" s="13">
        <f>MAX(W307,R308)</f>
        <v/>
      </c>
      <c r="X308" s="4">
        <f>IF(W308&gt;0,R308/W308-1,-1)</f>
        <v/>
      </c>
      <c r="Y308" s="19">
        <f>IF(R308&gt;0,S308*資金模擬!$B$7/R308,0)</f>
        <v/>
      </c>
      <c r="Z308" s="2">
        <f>IF(OR(Z307=1,R308&lt;=資金模擬!$B$10),1,0)</f>
        <v/>
      </c>
    </row>
    <row r="309">
      <c r="A309" s="2" t="n">
        <v>307</v>
      </c>
      <c r="B309" s="7" t="n">
        <v>46275.75</v>
      </c>
      <c r="C309" s="2" t="inlineStr">
        <is>
          <t>進場</t>
        </is>
      </c>
      <c r="D309" s="2" t="n">
        <v>156</v>
      </c>
      <c r="E309" s="2" t="inlineStr">
        <is>
          <t>USELESS_USDT_PERP</t>
        </is>
      </c>
      <c r="F309" s="2" t="inlineStr">
        <is>
          <t>做空</t>
        </is>
      </c>
      <c r="G309" s="20" t="n">
        <v>0.23822</v>
      </c>
      <c r="H309" s="20" t="n">
        <v>0.2310734</v>
      </c>
      <c r="I309" s="20" t="n">
        <v>0.250131</v>
      </c>
      <c r="J309" s="20" t="n"/>
      <c r="K309" s="2" t="n"/>
      <c r="L309" s="5" t="n"/>
      <c r="M309" s="19">
        <f>資金模擬!$B$5*V308</f>
        <v/>
      </c>
      <c r="N309" s="2">
        <f>IF(Z308=1,"已停止",IF(T308&gt;=M309,"已下單","資金不足略過"))</f>
        <v/>
      </c>
      <c r="O309" s="19">
        <f>IF(N309="已下單",M309*資金模擬!$B$7,0)</f>
        <v/>
      </c>
      <c r="P309" s="4" t="n"/>
      <c r="Q309" s="13" t="n">
        <v>0</v>
      </c>
      <c r="R309" s="13">
        <f>R308+Q309</f>
        <v/>
      </c>
      <c r="S309" s="19">
        <f>S308+IF(N309="已下單",M309,0)</f>
        <v/>
      </c>
      <c r="T309" s="19">
        <f>R309-S309</f>
        <v/>
      </c>
      <c r="U309" s="2">
        <f>U308+IF(N309="已下單",1,0)</f>
        <v/>
      </c>
      <c r="V309" s="19">
        <f>IF(資金模擬!$B$9=2,MAX(R309,0),MAX(V308,FLOOR(MAX(R309,0),資金模擬!$B$6)))</f>
        <v/>
      </c>
      <c r="W309" s="13">
        <f>MAX(W308,R309)</f>
        <v/>
      </c>
      <c r="X309" s="4">
        <f>IF(W309&gt;0,R309/W309-1,-1)</f>
        <v/>
      </c>
      <c r="Y309" s="19">
        <f>IF(R309&gt;0,S309*資金模擬!$B$7/R309,0)</f>
        <v/>
      </c>
      <c r="Z309" s="2">
        <f>IF(OR(Z308=1,R309&lt;=資金模擬!$B$10),1,0)</f>
        <v/>
      </c>
    </row>
    <row r="310">
      <c r="A310" s="2" t="n">
        <v>308</v>
      </c>
      <c r="B310" s="7" t="n">
        <v>46275.83333333334</v>
      </c>
      <c r="C310" s="2" t="inlineStr">
        <is>
          <t>出場</t>
        </is>
      </c>
      <c r="D310" s="2" t="n">
        <v>156</v>
      </c>
      <c r="E310" s="2" t="inlineStr">
        <is>
          <t>USELESS_USDT_PERP</t>
        </is>
      </c>
      <c r="F310" s="2" t="inlineStr">
        <is>
          <t>做空</t>
        </is>
      </c>
      <c r="G310" s="20" t="n">
        <v>0.23822</v>
      </c>
      <c r="H310" s="20" t="n">
        <v>0.2310734</v>
      </c>
      <c r="I310" s="20" t="n">
        <v>0.250131</v>
      </c>
      <c r="J310" s="20" t="n">
        <v>0.250131</v>
      </c>
      <c r="K310" s="2" t="inlineStr">
        <is>
          <t>止損</t>
        </is>
      </c>
      <c r="L310" s="5">
        <f>交易明細!K157</f>
        <v/>
      </c>
      <c r="M310" s="19">
        <f>M309</f>
        <v/>
      </c>
      <c r="N310" s="2">
        <f>N309</f>
        <v/>
      </c>
      <c r="O310" s="19">
        <f>O309</f>
        <v/>
      </c>
      <c r="P310" s="4">
        <f>交易明細!L157</f>
        <v/>
      </c>
      <c r="Q310" s="13">
        <f>IF(N310="已下單",O310*P310,0)</f>
        <v/>
      </c>
      <c r="R310" s="13">
        <f>R309+Q310</f>
        <v/>
      </c>
      <c r="S310" s="19">
        <f>S309-IF(N310="已下單",M310,0)</f>
        <v/>
      </c>
      <c r="T310" s="19">
        <f>R310-S310</f>
        <v/>
      </c>
      <c r="U310" s="2">
        <f>U309-IF(N310="已下單",1,0)</f>
        <v/>
      </c>
      <c r="V310" s="19">
        <f>IF(資金模擬!$B$9=2,MAX(R310,0),MAX(V309,FLOOR(MAX(R310,0),資金模擬!$B$6)))</f>
        <v/>
      </c>
      <c r="W310" s="13">
        <f>MAX(W309,R310)</f>
        <v/>
      </c>
      <c r="X310" s="4">
        <f>IF(W310&gt;0,R310/W310-1,-1)</f>
        <v/>
      </c>
      <c r="Y310" s="19">
        <f>IF(R310&gt;0,S310*資金模擬!$B$7/R310,0)</f>
        <v/>
      </c>
      <c r="Z310" s="2">
        <f>IF(OR(Z309=1,R310&lt;=資金模擬!$B$10),1,0)</f>
        <v/>
      </c>
    </row>
    <row r="311">
      <c r="A311" s="2" t="n">
        <v>309</v>
      </c>
      <c r="B311" s="7" t="n">
        <v>46275.875</v>
      </c>
      <c r="C311" s="2" t="inlineStr">
        <is>
          <t>出場</t>
        </is>
      </c>
      <c r="D311" s="2" t="n">
        <v>96</v>
      </c>
      <c r="E311" s="2" t="inlineStr">
        <is>
          <t>TAO_USDT_PERP</t>
        </is>
      </c>
      <c r="F311" s="2" t="inlineStr">
        <is>
          <t>做空</t>
        </is>
      </c>
      <c r="G311" s="20" t="n">
        <v>256.91</v>
      </c>
      <c r="H311" s="20" t="n">
        <v>249.2027</v>
      </c>
      <c r="I311" s="20" t="n">
        <v>269.7555</v>
      </c>
      <c r="J311" s="20" t="n">
        <v>249.2027</v>
      </c>
      <c r="K311" s="2" t="inlineStr">
        <is>
          <t>止盈</t>
        </is>
      </c>
      <c r="L311" s="5">
        <f>交易明細!K97</f>
        <v/>
      </c>
      <c r="M311" s="19">
        <f>M190</f>
        <v/>
      </c>
      <c r="N311" s="2">
        <f>N190</f>
        <v/>
      </c>
      <c r="O311" s="19">
        <f>O190</f>
        <v/>
      </c>
      <c r="P311" s="4">
        <f>交易明細!L97</f>
        <v/>
      </c>
      <c r="Q311" s="13">
        <f>IF(N311="已下單",O311*P311,0)</f>
        <v/>
      </c>
      <c r="R311" s="13">
        <f>R310+Q311</f>
        <v/>
      </c>
      <c r="S311" s="19">
        <f>S310-IF(N311="已下單",M311,0)</f>
        <v/>
      </c>
      <c r="T311" s="19">
        <f>R311-S311</f>
        <v/>
      </c>
      <c r="U311" s="2">
        <f>U310-IF(N311="已下單",1,0)</f>
        <v/>
      </c>
      <c r="V311" s="19">
        <f>IF(資金模擬!$B$9=2,MAX(R311,0),MAX(V310,FLOOR(MAX(R311,0),資金模擬!$B$6)))</f>
        <v/>
      </c>
      <c r="W311" s="13">
        <f>MAX(W310,R311)</f>
        <v/>
      </c>
      <c r="X311" s="4">
        <f>IF(W311&gt;0,R311/W311-1,-1)</f>
        <v/>
      </c>
      <c r="Y311" s="19">
        <f>IF(R311&gt;0,S311*資金模擬!$B$7/R311,0)</f>
        <v/>
      </c>
      <c r="Z311" s="2">
        <f>IF(OR(Z310=1,R311&lt;=資金模擬!$B$10),1,0)</f>
        <v/>
      </c>
    </row>
    <row r="312">
      <c r="A312" s="2" t="n">
        <v>310</v>
      </c>
      <c r="B312" s="7" t="n">
        <v>46275.875</v>
      </c>
      <c r="C312" s="2" t="inlineStr">
        <is>
          <t>出場</t>
        </is>
      </c>
      <c r="D312" s="2" t="n">
        <v>151</v>
      </c>
      <c r="E312" s="2" t="inlineStr">
        <is>
          <t>VVV_USDT_PERP</t>
        </is>
      </c>
      <c r="F312" s="2" t="inlineStr">
        <is>
          <t>做多</t>
        </is>
      </c>
      <c r="G312" s="20" t="n">
        <v>24.415</v>
      </c>
      <c r="H312" s="20" t="n">
        <v>25.14745</v>
      </c>
      <c r="I312" s="20" t="n">
        <v>23.19425</v>
      </c>
      <c r="J312" s="20" t="n">
        <v>23.19425</v>
      </c>
      <c r="K312" s="2" t="inlineStr">
        <is>
          <t>止損</t>
        </is>
      </c>
      <c r="L312" s="5">
        <f>交易明細!K152</f>
        <v/>
      </c>
      <c r="M312" s="19">
        <f>M301</f>
        <v/>
      </c>
      <c r="N312" s="2">
        <f>N301</f>
        <v/>
      </c>
      <c r="O312" s="19">
        <f>O301</f>
        <v/>
      </c>
      <c r="P312" s="4">
        <f>交易明細!L152</f>
        <v/>
      </c>
      <c r="Q312" s="13">
        <f>IF(N312="已下單",O312*P312,0)</f>
        <v/>
      </c>
      <c r="R312" s="13">
        <f>R311+Q312</f>
        <v/>
      </c>
      <c r="S312" s="19">
        <f>S311-IF(N312="已下單",M312,0)</f>
        <v/>
      </c>
      <c r="T312" s="19">
        <f>R312-S312</f>
        <v/>
      </c>
      <c r="U312" s="2">
        <f>U311-IF(N312="已下單",1,0)</f>
        <v/>
      </c>
      <c r="V312" s="19">
        <f>IF(資金模擬!$B$9=2,MAX(R312,0),MAX(V311,FLOOR(MAX(R312,0),資金模擬!$B$6)))</f>
        <v/>
      </c>
      <c r="W312" s="13">
        <f>MAX(W311,R312)</f>
        <v/>
      </c>
      <c r="X312" s="4">
        <f>IF(W312&gt;0,R312/W312-1,-1)</f>
        <v/>
      </c>
      <c r="Y312" s="19">
        <f>IF(R312&gt;0,S312*資金模擬!$B$7/R312,0)</f>
        <v/>
      </c>
      <c r="Z312" s="2">
        <f>IF(OR(Z311=1,R312&lt;=資金模擬!$B$10),1,0)</f>
        <v/>
      </c>
    </row>
    <row r="313">
      <c r="A313" s="2" t="n">
        <v>311</v>
      </c>
      <c r="B313" s="7" t="n">
        <v>46275.875</v>
      </c>
      <c r="C313" s="2" t="inlineStr">
        <is>
          <t>進場</t>
        </is>
      </c>
      <c r="D313" s="2" t="n">
        <v>157</v>
      </c>
      <c r="E313" s="2" t="inlineStr">
        <is>
          <t>RAY_USDT_PERP</t>
        </is>
      </c>
      <c r="F313" s="2" t="inlineStr">
        <is>
          <t>做空</t>
        </is>
      </c>
      <c r="G313" s="20" t="n">
        <v>1.286</v>
      </c>
      <c r="H313" s="20" t="n">
        <v>1.24742</v>
      </c>
      <c r="I313" s="20" t="n">
        <v>1.3503</v>
      </c>
      <c r="J313" s="20" t="n"/>
      <c r="K313" s="2" t="n"/>
      <c r="L313" s="5" t="n"/>
      <c r="M313" s="19">
        <f>資金模擬!$B$5*V312</f>
        <v/>
      </c>
      <c r="N313" s="2">
        <f>IF(Z312=1,"已停止",IF(T312&gt;=M313,"已下單","資金不足略過"))</f>
        <v/>
      </c>
      <c r="O313" s="19">
        <f>IF(N313="已下單",M313*資金模擬!$B$7,0)</f>
        <v/>
      </c>
      <c r="P313" s="4" t="n"/>
      <c r="Q313" s="13" t="n">
        <v>0</v>
      </c>
      <c r="R313" s="13">
        <f>R312+Q313</f>
        <v/>
      </c>
      <c r="S313" s="19">
        <f>S312+IF(N313="已下單",M313,0)</f>
        <v/>
      </c>
      <c r="T313" s="19">
        <f>R313-S313</f>
        <v/>
      </c>
      <c r="U313" s="2">
        <f>U312+IF(N313="已下單",1,0)</f>
        <v/>
      </c>
      <c r="V313" s="19">
        <f>IF(資金模擬!$B$9=2,MAX(R313,0),MAX(V312,FLOOR(MAX(R313,0),資金模擬!$B$6)))</f>
        <v/>
      </c>
      <c r="W313" s="13">
        <f>MAX(W312,R313)</f>
        <v/>
      </c>
      <c r="X313" s="4">
        <f>IF(W313&gt;0,R313/W313-1,-1)</f>
        <v/>
      </c>
      <c r="Y313" s="19">
        <f>IF(R313&gt;0,S313*資金模擬!$B$7/R313,0)</f>
        <v/>
      </c>
      <c r="Z313" s="2">
        <f>IF(OR(Z312=1,R313&lt;=資金模擬!$B$10),1,0)</f>
        <v/>
      </c>
    </row>
    <row r="314">
      <c r="A314" s="2" t="n">
        <v>312</v>
      </c>
      <c r="B314" s="7" t="n">
        <v>46275.91666666666</v>
      </c>
      <c r="C314" s="2" t="inlineStr">
        <is>
          <t>進場</t>
        </is>
      </c>
      <c r="D314" s="2" t="n">
        <v>158</v>
      </c>
      <c r="E314" s="2" t="inlineStr">
        <is>
          <t>MARSCOIN_USDT_PERP</t>
        </is>
      </c>
      <c r="F314" s="2" t="inlineStr">
        <is>
          <t>做多</t>
        </is>
      </c>
      <c r="G314" s="20" t="n">
        <v>0.1116</v>
      </c>
      <c r="H314" s="20" t="n">
        <v>0.114948</v>
      </c>
      <c r="I314" s="20" t="n">
        <v>0.10602</v>
      </c>
      <c r="J314" s="20" t="n"/>
      <c r="K314" s="2" t="n"/>
      <c r="L314" s="5" t="n"/>
      <c r="M314" s="19">
        <f>資金模擬!$B$5*V313</f>
        <v/>
      </c>
      <c r="N314" s="2">
        <f>IF(Z313=1,"已停止",IF(T313&gt;=M314,"已下單","資金不足略過"))</f>
        <v/>
      </c>
      <c r="O314" s="19">
        <f>IF(N314="已下單",M314*資金模擬!$B$7,0)</f>
        <v/>
      </c>
      <c r="P314" s="4" t="n"/>
      <c r="Q314" s="13" t="n">
        <v>0</v>
      </c>
      <c r="R314" s="13">
        <f>R313+Q314</f>
        <v/>
      </c>
      <c r="S314" s="19">
        <f>S313+IF(N314="已下單",M314,0)</f>
        <v/>
      </c>
      <c r="T314" s="19">
        <f>R314-S314</f>
        <v/>
      </c>
      <c r="U314" s="2">
        <f>U313+IF(N314="已下單",1,0)</f>
        <v/>
      </c>
      <c r="V314" s="19">
        <f>IF(資金模擬!$B$9=2,MAX(R314,0),MAX(V313,FLOOR(MAX(R314,0),資金模擬!$B$6)))</f>
        <v/>
      </c>
      <c r="W314" s="13">
        <f>MAX(W313,R314)</f>
        <v/>
      </c>
      <c r="X314" s="4">
        <f>IF(W314&gt;0,R314/W314-1,-1)</f>
        <v/>
      </c>
      <c r="Y314" s="19">
        <f>IF(R314&gt;0,S314*資金模擬!$B$7/R314,0)</f>
        <v/>
      </c>
      <c r="Z314" s="2">
        <f>IF(OR(Z313=1,R314&lt;=資金模擬!$B$10),1,0)</f>
        <v/>
      </c>
    </row>
    <row r="315">
      <c r="A315" s="2" t="n">
        <v>313</v>
      </c>
      <c r="B315" s="7" t="n">
        <v>46275.95833333334</v>
      </c>
      <c r="C315" s="2" t="inlineStr">
        <is>
          <t>出場</t>
        </is>
      </c>
      <c r="D315" s="2" t="n">
        <v>158</v>
      </c>
      <c r="E315" s="2" t="inlineStr">
        <is>
          <t>MARSCOIN_USDT_PERP</t>
        </is>
      </c>
      <c r="F315" s="2" t="inlineStr">
        <is>
          <t>做多</t>
        </is>
      </c>
      <c r="G315" s="20" t="n">
        <v>0.1116</v>
      </c>
      <c r="H315" s="20" t="n">
        <v>0.114948</v>
      </c>
      <c r="I315" s="20" t="n">
        <v>0.10602</v>
      </c>
      <c r="J315" s="20" t="n">
        <v>0.114948</v>
      </c>
      <c r="K315" s="2" t="inlineStr">
        <is>
          <t>止盈</t>
        </is>
      </c>
      <c r="L315" s="5">
        <f>交易明細!K159</f>
        <v/>
      </c>
      <c r="M315" s="19">
        <f>M314</f>
        <v/>
      </c>
      <c r="N315" s="2">
        <f>N314</f>
        <v/>
      </c>
      <c r="O315" s="19">
        <f>O314</f>
        <v/>
      </c>
      <c r="P315" s="4">
        <f>交易明細!L159</f>
        <v/>
      </c>
      <c r="Q315" s="13">
        <f>IF(N315="已下單",O315*P315,0)</f>
        <v/>
      </c>
      <c r="R315" s="13">
        <f>R314+Q315</f>
        <v/>
      </c>
      <c r="S315" s="19">
        <f>S314-IF(N315="已下單",M315,0)</f>
        <v/>
      </c>
      <c r="T315" s="19">
        <f>R315-S315</f>
        <v/>
      </c>
      <c r="U315" s="2">
        <f>U314-IF(N315="已下單",1,0)</f>
        <v/>
      </c>
      <c r="V315" s="19">
        <f>IF(資金模擬!$B$9=2,MAX(R315,0),MAX(V314,FLOOR(MAX(R315,0),資金模擬!$B$6)))</f>
        <v/>
      </c>
      <c r="W315" s="13">
        <f>MAX(W314,R315)</f>
        <v/>
      </c>
      <c r="X315" s="4">
        <f>IF(W315&gt;0,R315/W315-1,-1)</f>
        <v/>
      </c>
      <c r="Y315" s="19">
        <f>IF(R315&gt;0,S315*資金模擬!$B$7/R315,0)</f>
        <v/>
      </c>
      <c r="Z315" s="2">
        <f>IF(OR(Z314=1,R315&lt;=資金模擬!$B$10),1,0)</f>
        <v/>
      </c>
    </row>
    <row r="316">
      <c r="A316" s="2" t="n">
        <v>314</v>
      </c>
      <c r="B316" s="7" t="n">
        <v>46275.95833333334</v>
      </c>
      <c r="C316" s="2" t="inlineStr">
        <is>
          <t>進場</t>
        </is>
      </c>
      <c r="D316" s="2" t="n">
        <v>159</v>
      </c>
      <c r="E316" s="2" t="inlineStr">
        <is>
          <t>BULLA_USDT_PERP</t>
        </is>
      </c>
      <c r="F316" s="2" t="inlineStr">
        <is>
          <t>做空</t>
        </is>
      </c>
      <c r="G316" s="20" t="n">
        <v>0.07895000000000001</v>
      </c>
      <c r="H316" s="20" t="n">
        <v>0.07658150000000001</v>
      </c>
      <c r="I316" s="20" t="n">
        <v>0.08289750000000001</v>
      </c>
      <c r="J316" s="20" t="n"/>
      <c r="K316" s="2" t="n"/>
      <c r="L316" s="5" t="n"/>
      <c r="M316" s="19">
        <f>資金模擬!$B$5*V315</f>
        <v/>
      </c>
      <c r="N316" s="2">
        <f>IF(Z315=1,"已停止",IF(T315&gt;=M316,"已下單","資金不足略過"))</f>
        <v/>
      </c>
      <c r="O316" s="19">
        <f>IF(N316="已下單",M316*資金模擬!$B$7,0)</f>
        <v/>
      </c>
      <c r="P316" s="4" t="n"/>
      <c r="Q316" s="13" t="n">
        <v>0</v>
      </c>
      <c r="R316" s="13">
        <f>R315+Q316</f>
        <v/>
      </c>
      <c r="S316" s="19">
        <f>S315+IF(N316="已下單",M316,0)</f>
        <v/>
      </c>
      <c r="T316" s="19">
        <f>R316-S316</f>
        <v/>
      </c>
      <c r="U316" s="2">
        <f>U315+IF(N316="已下單",1,0)</f>
        <v/>
      </c>
      <c r="V316" s="19">
        <f>IF(資金模擬!$B$9=2,MAX(R316,0),MAX(V315,FLOOR(MAX(R316,0),資金模擬!$B$6)))</f>
        <v/>
      </c>
      <c r="W316" s="13">
        <f>MAX(W315,R316)</f>
        <v/>
      </c>
      <c r="X316" s="4">
        <f>IF(W316&gt;0,R316/W316-1,-1)</f>
        <v/>
      </c>
      <c r="Y316" s="19">
        <f>IF(R316&gt;0,S316*資金模擬!$B$7/R316,0)</f>
        <v/>
      </c>
      <c r="Z316" s="2">
        <f>IF(OR(Z315=1,R316&lt;=資金模擬!$B$10),1,0)</f>
        <v/>
      </c>
    </row>
    <row r="317">
      <c r="A317" s="2" t="n">
        <v>315</v>
      </c>
      <c r="B317" s="7" t="n">
        <v>46275.95833333334</v>
      </c>
      <c r="C317" s="2" t="inlineStr">
        <is>
          <t>進場</t>
        </is>
      </c>
      <c r="D317" s="2" t="n">
        <v>160</v>
      </c>
      <c r="E317" s="2" t="inlineStr">
        <is>
          <t>牛来_USDT_PERP</t>
        </is>
      </c>
      <c r="F317" s="2" t="inlineStr">
        <is>
          <t>做多</t>
        </is>
      </c>
      <c r="G317" s="20" t="n">
        <v>0.08391999999999999</v>
      </c>
      <c r="H317" s="20" t="n">
        <v>0.0864376</v>
      </c>
      <c r="I317" s="20" t="n">
        <v>0.07972399999999999</v>
      </c>
      <c r="J317" s="20" t="n"/>
      <c r="K317" s="2" t="n"/>
      <c r="L317" s="5" t="n"/>
      <c r="M317" s="19">
        <f>資金模擬!$B$5*V316</f>
        <v/>
      </c>
      <c r="N317" s="2">
        <f>IF(Z316=1,"已停止",IF(T316&gt;=M317,"已下單","資金不足略過"))</f>
        <v/>
      </c>
      <c r="O317" s="19">
        <f>IF(N317="已下單",M317*資金模擬!$B$7,0)</f>
        <v/>
      </c>
      <c r="P317" s="4" t="n"/>
      <c r="Q317" s="13" t="n">
        <v>0</v>
      </c>
      <c r="R317" s="13">
        <f>R316+Q317</f>
        <v/>
      </c>
      <c r="S317" s="19">
        <f>S316+IF(N317="已下單",M317,0)</f>
        <v/>
      </c>
      <c r="T317" s="19">
        <f>R317-S317</f>
        <v/>
      </c>
      <c r="U317" s="2">
        <f>U316+IF(N317="已下單",1,0)</f>
        <v/>
      </c>
      <c r="V317" s="19">
        <f>IF(資金模擬!$B$9=2,MAX(R317,0),MAX(V316,FLOOR(MAX(R317,0),資金模擬!$B$6)))</f>
        <v/>
      </c>
      <c r="W317" s="13">
        <f>MAX(W316,R317)</f>
        <v/>
      </c>
      <c r="X317" s="4">
        <f>IF(W317&gt;0,R317/W317-1,-1)</f>
        <v/>
      </c>
      <c r="Y317" s="19">
        <f>IF(R317&gt;0,S317*資金模擬!$B$7/R317,0)</f>
        <v/>
      </c>
      <c r="Z317" s="2">
        <f>IF(OR(Z316=1,R317&lt;=資金模擬!$B$10),1,0)</f>
        <v/>
      </c>
    </row>
    <row r="318">
      <c r="A318" s="2" t="n">
        <v>316</v>
      </c>
      <c r="B318" s="7" t="n">
        <v>46276</v>
      </c>
      <c r="C318" s="2" t="inlineStr">
        <is>
          <t>出場</t>
        </is>
      </c>
      <c r="D318" s="2" t="n">
        <v>160</v>
      </c>
      <c r="E318" s="2" t="inlineStr">
        <is>
          <t>牛来_USDT_PERP</t>
        </is>
      </c>
      <c r="F318" s="2" t="inlineStr">
        <is>
          <t>做多</t>
        </is>
      </c>
      <c r="G318" s="20" t="n">
        <v>0.08391999999999999</v>
      </c>
      <c r="H318" s="20" t="n">
        <v>0.0864376</v>
      </c>
      <c r="I318" s="20" t="n">
        <v>0.07972399999999999</v>
      </c>
      <c r="J318" s="20" t="n">
        <v>0.0864376</v>
      </c>
      <c r="K318" s="2" t="inlineStr">
        <is>
          <t>止盈</t>
        </is>
      </c>
      <c r="L318" s="5">
        <f>交易明細!K161</f>
        <v/>
      </c>
      <c r="M318" s="19">
        <f>M317</f>
        <v/>
      </c>
      <c r="N318" s="2">
        <f>N317</f>
        <v/>
      </c>
      <c r="O318" s="19">
        <f>O317</f>
        <v/>
      </c>
      <c r="P318" s="4">
        <f>交易明細!L161</f>
        <v/>
      </c>
      <c r="Q318" s="13">
        <f>IF(N318="已下單",O318*P318,0)</f>
        <v/>
      </c>
      <c r="R318" s="13">
        <f>R317+Q318</f>
        <v/>
      </c>
      <c r="S318" s="19">
        <f>S317-IF(N318="已下單",M318,0)</f>
        <v/>
      </c>
      <c r="T318" s="19">
        <f>R318-S318</f>
        <v/>
      </c>
      <c r="U318" s="2">
        <f>U317-IF(N318="已下單",1,0)</f>
        <v/>
      </c>
      <c r="V318" s="19">
        <f>IF(資金模擬!$B$9=2,MAX(R318,0),MAX(V317,FLOOR(MAX(R318,0),資金模擬!$B$6)))</f>
        <v/>
      </c>
      <c r="W318" s="13">
        <f>MAX(W317,R318)</f>
        <v/>
      </c>
      <c r="X318" s="4">
        <f>IF(W318&gt;0,R318/W318-1,-1)</f>
        <v/>
      </c>
      <c r="Y318" s="19">
        <f>IF(R318&gt;0,S318*資金模擬!$B$7/R318,0)</f>
        <v/>
      </c>
      <c r="Z318" s="2">
        <f>IF(OR(Z317=1,R318&lt;=資金模擬!$B$10),1,0)</f>
        <v/>
      </c>
    </row>
    <row r="319">
      <c r="A319" s="2" t="n">
        <v>317</v>
      </c>
      <c r="B319" s="7" t="n">
        <v>46276.08333333334</v>
      </c>
      <c r="C319" s="2" t="inlineStr">
        <is>
          <t>進場</t>
        </is>
      </c>
      <c r="D319" s="2" t="n">
        <v>161</v>
      </c>
      <c r="E319" s="2" t="inlineStr">
        <is>
          <t>PONS_USDT_PERP</t>
        </is>
      </c>
      <c r="F319" s="2" t="inlineStr">
        <is>
          <t>做多</t>
        </is>
      </c>
      <c r="G319" s="20" t="n">
        <v>0.6104000000000001</v>
      </c>
      <c r="H319" s="20" t="n">
        <v>0.628712</v>
      </c>
      <c r="I319" s="20" t="n">
        <v>0.5798800000000001</v>
      </c>
      <c r="J319" s="20" t="n"/>
      <c r="K319" s="2" t="n"/>
      <c r="L319" s="5" t="n"/>
      <c r="M319" s="19">
        <f>資金模擬!$B$5*V318</f>
        <v/>
      </c>
      <c r="N319" s="2">
        <f>IF(Z318=1,"已停止",IF(T318&gt;=M319,"已下單","資金不足略過"))</f>
        <v/>
      </c>
      <c r="O319" s="19">
        <f>IF(N319="已下單",M319*資金模擬!$B$7,0)</f>
        <v/>
      </c>
      <c r="P319" s="4" t="n"/>
      <c r="Q319" s="13" t="n">
        <v>0</v>
      </c>
      <c r="R319" s="13">
        <f>R318+Q319</f>
        <v/>
      </c>
      <c r="S319" s="19">
        <f>S318+IF(N319="已下單",M319,0)</f>
        <v/>
      </c>
      <c r="T319" s="19">
        <f>R319-S319</f>
        <v/>
      </c>
      <c r="U319" s="2">
        <f>U318+IF(N319="已下單",1,0)</f>
        <v/>
      </c>
      <c r="V319" s="19">
        <f>IF(資金模擬!$B$9=2,MAX(R319,0),MAX(V318,FLOOR(MAX(R319,0),資金模擬!$B$6)))</f>
        <v/>
      </c>
      <c r="W319" s="13">
        <f>MAX(W318,R319)</f>
        <v/>
      </c>
      <c r="X319" s="4">
        <f>IF(W319&gt;0,R319/W319-1,-1)</f>
        <v/>
      </c>
      <c r="Y319" s="19">
        <f>IF(R319&gt;0,S319*資金模擬!$B$7/R319,0)</f>
        <v/>
      </c>
      <c r="Z319" s="2">
        <f>IF(OR(Z318=1,R319&lt;=資金模擬!$B$10),1,0)</f>
        <v/>
      </c>
    </row>
    <row r="320">
      <c r="A320" s="2" t="n">
        <v>318</v>
      </c>
      <c r="B320" s="7" t="n">
        <v>46276.08333333334</v>
      </c>
      <c r="C320" s="2" t="inlineStr">
        <is>
          <t>進場</t>
        </is>
      </c>
      <c r="D320" s="2" t="n">
        <v>162</v>
      </c>
      <c r="E320" s="2" t="inlineStr">
        <is>
          <t>USELESS_USDT_PERP</t>
        </is>
      </c>
      <c r="F320" s="2" t="inlineStr">
        <is>
          <t>做多</t>
        </is>
      </c>
      <c r="G320" s="20" t="n">
        <v>0.24506</v>
      </c>
      <c r="H320" s="20" t="n">
        <v>0.2524118</v>
      </c>
      <c r="I320" s="20" t="n">
        <v>0.232807</v>
      </c>
      <c r="J320" s="20" t="n"/>
      <c r="K320" s="2" t="n"/>
      <c r="L320" s="5" t="n"/>
      <c r="M320" s="19">
        <f>資金模擬!$B$5*V319</f>
        <v/>
      </c>
      <c r="N320" s="2">
        <f>IF(Z319=1,"已停止",IF(T319&gt;=M320,"已下單","資金不足略過"))</f>
        <v/>
      </c>
      <c r="O320" s="19">
        <f>IF(N320="已下單",M320*資金模擬!$B$7,0)</f>
        <v/>
      </c>
      <c r="P320" s="4" t="n"/>
      <c r="Q320" s="13" t="n">
        <v>0</v>
      </c>
      <c r="R320" s="13">
        <f>R319+Q320</f>
        <v/>
      </c>
      <c r="S320" s="19">
        <f>S319+IF(N320="已下單",M320,0)</f>
        <v/>
      </c>
      <c r="T320" s="19">
        <f>R320-S320</f>
        <v/>
      </c>
      <c r="U320" s="2">
        <f>U319+IF(N320="已下單",1,0)</f>
        <v/>
      </c>
      <c r="V320" s="19">
        <f>IF(資金模擬!$B$9=2,MAX(R320,0),MAX(V319,FLOOR(MAX(R320,0),資金模擬!$B$6)))</f>
        <v/>
      </c>
      <c r="W320" s="13">
        <f>MAX(W319,R320)</f>
        <v/>
      </c>
      <c r="X320" s="4">
        <f>IF(W320&gt;0,R320/W320-1,-1)</f>
        <v/>
      </c>
      <c r="Y320" s="19">
        <f>IF(R320&gt;0,S320*資金模擬!$B$7/R320,0)</f>
        <v/>
      </c>
      <c r="Z320" s="2">
        <f>IF(OR(Z319=1,R320&lt;=資金模擬!$B$10),1,0)</f>
        <v/>
      </c>
    </row>
    <row r="321">
      <c r="A321" s="2" t="n">
        <v>319</v>
      </c>
      <c r="B321" s="7" t="n">
        <v>46276.08333333334</v>
      </c>
      <c r="C321" s="2" t="inlineStr">
        <is>
          <t>進場</t>
        </is>
      </c>
      <c r="D321" s="2" t="n">
        <v>163</v>
      </c>
      <c r="E321" s="2" t="inlineStr">
        <is>
          <t>VVV_USDT_PERP</t>
        </is>
      </c>
      <c r="F321" s="2" t="inlineStr">
        <is>
          <t>做多</t>
        </is>
      </c>
      <c r="G321" s="20" t="n">
        <v>25.016</v>
      </c>
      <c r="H321" s="20" t="n">
        <v>25.76648</v>
      </c>
      <c r="I321" s="20" t="n">
        <v>23.7652</v>
      </c>
      <c r="J321" s="20" t="n"/>
      <c r="K321" s="2" t="n"/>
      <c r="L321" s="5" t="n"/>
      <c r="M321" s="19">
        <f>資金模擬!$B$5*V320</f>
        <v/>
      </c>
      <c r="N321" s="2">
        <f>IF(Z320=1,"已停止",IF(T320&gt;=M321,"已下單","資金不足略過"))</f>
        <v/>
      </c>
      <c r="O321" s="19">
        <f>IF(N321="已下單",M321*資金模擬!$B$7,0)</f>
        <v/>
      </c>
      <c r="P321" s="4" t="n"/>
      <c r="Q321" s="13" t="n">
        <v>0</v>
      </c>
      <c r="R321" s="13">
        <f>R320+Q321</f>
        <v/>
      </c>
      <c r="S321" s="19">
        <f>S320+IF(N321="已下單",M321,0)</f>
        <v/>
      </c>
      <c r="T321" s="19">
        <f>R321-S321</f>
        <v/>
      </c>
      <c r="U321" s="2">
        <f>U320+IF(N321="已下單",1,0)</f>
        <v/>
      </c>
      <c r="V321" s="19">
        <f>IF(資金模擬!$B$9=2,MAX(R321,0),MAX(V320,FLOOR(MAX(R321,0),資金模擬!$B$6)))</f>
        <v/>
      </c>
      <c r="W321" s="13">
        <f>MAX(W320,R321)</f>
        <v/>
      </c>
      <c r="X321" s="4">
        <f>IF(W321&gt;0,R321/W321-1,-1)</f>
        <v/>
      </c>
      <c r="Y321" s="19">
        <f>IF(R321&gt;0,S321*資金模擬!$B$7/R321,0)</f>
        <v/>
      </c>
      <c r="Z321" s="2">
        <f>IF(OR(Z320=1,R321&lt;=資金模擬!$B$10),1,0)</f>
        <v/>
      </c>
    </row>
    <row r="322">
      <c r="A322" s="2" t="n">
        <v>320</v>
      </c>
      <c r="B322" s="7" t="n">
        <v>46276.125</v>
      </c>
      <c r="C322" s="2" t="inlineStr">
        <is>
          <t>出場</t>
        </is>
      </c>
      <c r="D322" s="2" t="n">
        <v>152</v>
      </c>
      <c r="E322" s="2" t="inlineStr">
        <is>
          <t>LIT_USDT_PERP</t>
        </is>
      </c>
      <c r="F322" s="2" t="inlineStr">
        <is>
          <t>做空</t>
        </is>
      </c>
      <c r="G322" s="20" t="n">
        <v>4.481</v>
      </c>
      <c r="H322" s="20" t="n">
        <v>4.34657</v>
      </c>
      <c r="I322" s="20" t="n">
        <v>4.70505</v>
      </c>
      <c r="J322" s="20" t="n">
        <v>4.34657</v>
      </c>
      <c r="K322" s="2" t="inlineStr">
        <is>
          <t>止盈</t>
        </is>
      </c>
      <c r="L322" s="5">
        <f>交易明細!K153</f>
        <v/>
      </c>
      <c r="M322" s="19">
        <f>M302</f>
        <v/>
      </c>
      <c r="N322" s="2">
        <f>N302</f>
        <v/>
      </c>
      <c r="O322" s="19">
        <f>O302</f>
        <v/>
      </c>
      <c r="P322" s="4">
        <f>交易明細!L153</f>
        <v/>
      </c>
      <c r="Q322" s="13">
        <f>IF(N322="已下單",O322*P322,0)</f>
        <v/>
      </c>
      <c r="R322" s="13">
        <f>R321+Q322</f>
        <v/>
      </c>
      <c r="S322" s="19">
        <f>S321-IF(N322="已下單",M322,0)</f>
        <v/>
      </c>
      <c r="T322" s="19">
        <f>R322-S322</f>
        <v/>
      </c>
      <c r="U322" s="2">
        <f>U321-IF(N322="已下單",1,0)</f>
        <v/>
      </c>
      <c r="V322" s="19">
        <f>IF(資金模擬!$B$9=2,MAX(R322,0),MAX(V321,FLOOR(MAX(R322,0),資金模擬!$B$6)))</f>
        <v/>
      </c>
      <c r="W322" s="13">
        <f>MAX(W321,R322)</f>
        <v/>
      </c>
      <c r="X322" s="4">
        <f>IF(W322&gt;0,R322/W322-1,-1)</f>
        <v/>
      </c>
      <c r="Y322" s="19">
        <f>IF(R322&gt;0,S322*資金模擬!$B$7/R322,0)</f>
        <v/>
      </c>
      <c r="Z322" s="2">
        <f>IF(OR(Z321=1,R322&lt;=資金模擬!$B$10),1,0)</f>
        <v/>
      </c>
    </row>
    <row r="323">
      <c r="A323" s="2" t="n">
        <v>321</v>
      </c>
      <c r="B323" s="7" t="n">
        <v>46276.125</v>
      </c>
      <c r="C323" s="2" t="inlineStr">
        <is>
          <t>出場</t>
        </is>
      </c>
      <c r="D323" s="2" t="n">
        <v>159</v>
      </c>
      <c r="E323" s="2" t="inlineStr">
        <is>
          <t>BULLA_USDT_PERP</t>
        </is>
      </c>
      <c r="F323" s="2" t="inlineStr">
        <is>
          <t>做空</t>
        </is>
      </c>
      <c r="G323" s="20" t="n">
        <v>0.07895000000000001</v>
      </c>
      <c r="H323" s="20" t="n">
        <v>0.07658150000000001</v>
      </c>
      <c r="I323" s="20" t="n">
        <v>0.08289750000000001</v>
      </c>
      <c r="J323" s="20" t="n">
        <v>0.07658150000000001</v>
      </c>
      <c r="K323" s="2" t="inlineStr">
        <is>
          <t>止盈</t>
        </is>
      </c>
      <c r="L323" s="5">
        <f>交易明細!K160</f>
        <v/>
      </c>
      <c r="M323" s="19">
        <f>M316</f>
        <v/>
      </c>
      <c r="N323" s="2">
        <f>N316</f>
        <v/>
      </c>
      <c r="O323" s="19">
        <f>O316</f>
        <v/>
      </c>
      <c r="P323" s="4">
        <f>交易明細!L160</f>
        <v/>
      </c>
      <c r="Q323" s="13">
        <f>IF(N323="已下單",O323*P323,0)</f>
        <v/>
      </c>
      <c r="R323" s="13">
        <f>R322+Q323</f>
        <v/>
      </c>
      <c r="S323" s="19">
        <f>S322-IF(N323="已下單",M323,0)</f>
        <v/>
      </c>
      <c r="T323" s="19">
        <f>R323-S323</f>
        <v/>
      </c>
      <c r="U323" s="2">
        <f>U322-IF(N323="已下單",1,0)</f>
        <v/>
      </c>
      <c r="V323" s="19">
        <f>IF(資金模擬!$B$9=2,MAX(R323,0),MAX(V322,FLOOR(MAX(R323,0),資金模擬!$B$6)))</f>
        <v/>
      </c>
      <c r="W323" s="13">
        <f>MAX(W322,R323)</f>
        <v/>
      </c>
      <c r="X323" s="4">
        <f>IF(W323&gt;0,R323/W323-1,-1)</f>
        <v/>
      </c>
      <c r="Y323" s="19">
        <f>IF(R323&gt;0,S323*資金模擬!$B$7/R323,0)</f>
        <v/>
      </c>
      <c r="Z323" s="2">
        <f>IF(OR(Z322=1,R323&lt;=資金模擬!$B$10),1,0)</f>
        <v/>
      </c>
    </row>
    <row r="324">
      <c r="A324" s="2" t="n">
        <v>322</v>
      </c>
      <c r="B324" s="7" t="n">
        <v>46276.125</v>
      </c>
      <c r="C324" s="2" t="inlineStr">
        <is>
          <t>出場</t>
        </is>
      </c>
      <c r="D324" s="2" t="n">
        <v>162</v>
      </c>
      <c r="E324" s="2" t="inlineStr">
        <is>
          <t>USELESS_USDT_PERP</t>
        </is>
      </c>
      <c r="F324" s="2" t="inlineStr">
        <is>
          <t>做多</t>
        </is>
      </c>
      <c r="G324" s="20" t="n">
        <v>0.24506</v>
      </c>
      <c r="H324" s="20" t="n">
        <v>0.2524118</v>
      </c>
      <c r="I324" s="20" t="n">
        <v>0.232807</v>
      </c>
      <c r="J324" s="20" t="n">
        <v>0.2524118</v>
      </c>
      <c r="K324" s="2" t="inlineStr">
        <is>
          <t>止盈</t>
        </is>
      </c>
      <c r="L324" s="5">
        <f>交易明細!K163</f>
        <v/>
      </c>
      <c r="M324" s="19">
        <f>M320</f>
        <v/>
      </c>
      <c r="N324" s="2">
        <f>N320</f>
        <v/>
      </c>
      <c r="O324" s="19">
        <f>O320</f>
        <v/>
      </c>
      <c r="P324" s="4">
        <f>交易明細!L163</f>
        <v/>
      </c>
      <c r="Q324" s="13">
        <f>IF(N324="已下單",O324*P324,0)</f>
        <v/>
      </c>
      <c r="R324" s="13">
        <f>R323+Q324</f>
        <v/>
      </c>
      <c r="S324" s="19">
        <f>S323-IF(N324="已下單",M324,0)</f>
        <v/>
      </c>
      <c r="T324" s="19">
        <f>R324-S324</f>
        <v/>
      </c>
      <c r="U324" s="2">
        <f>U323-IF(N324="已下單",1,0)</f>
        <v/>
      </c>
      <c r="V324" s="19">
        <f>IF(資金模擬!$B$9=2,MAX(R324,0),MAX(V323,FLOOR(MAX(R324,0),資金模擬!$B$6)))</f>
        <v/>
      </c>
      <c r="W324" s="13">
        <f>MAX(W323,R324)</f>
        <v/>
      </c>
      <c r="X324" s="4">
        <f>IF(W324&gt;0,R324/W324-1,-1)</f>
        <v/>
      </c>
      <c r="Y324" s="19">
        <f>IF(R324&gt;0,S324*資金模擬!$B$7/R324,0)</f>
        <v/>
      </c>
      <c r="Z324" s="2">
        <f>IF(OR(Z323=1,R324&lt;=資金模擬!$B$10),1,0)</f>
        <v/>
      </c>
    </row>
    <row r="325">
      <c r="A325" s="2" t="n">
        <v>323</v>
      </c>
      <c r="B325" s="7" t="n">
        <v>46276.16666666666</v>
      </c>
      <c r="C325" s="2" t="inlineStr">
        <is>
          <t>出場</t>
        </is>
      </c>
      <c r="D325" s="2" t="n">
        <v>157</v>
      </c>
      <c r="E325" s="2" t="inlineStr">
        <is>
          <t>RAY_USDT_PERP</t>
        </is>
      </c>
      <c r="F325" s="2" t="inlineStr">
        <is>
          <t>做空</t>
        </is>
      </c>
      <c r="G325" s="20" t="n">
        <v>1.286</v>
      </c>
      <c r="H325" s="20" t="n">
        <v>1.24742</v>
      </c>
      <c r="I325" s="20" t="n">
        <v>1.3503</v>
      </c>
      <c r="J325" s="20" t="n">
        <v>1.3503</v>
      </c>
      <c r="K325" s="2" t="inlineStr">
        <is>
          <t>止損</t>
        </is>
      </c>
      <c r="L325" s="5">
        <f>交易明細!K158</f>
        <v/>
      </c>
      <c r="M325" s="19">
        <f>M313</f>
        <v/>
      </c>
      <c r="N325" s="2">
        <f>N313</f>
        <v/>
      </c>
      <c r="O325" s="19">
        <f>O313</f>
        <v/>
      </c>
      <c r="P325" s="4">
        <f>交易明細!L158</f>
        <v/>
      </c>
      <c r="Q325" s="13">
        <f>IF(N325="已下單",O325*P325,0)</f>
        <v/>
      </c>
      <c r="R325" s="13">
        <f>R324+Q325</f>
        <v/>
      </c>
      <c r="S325" s="19">
        <f>S324-IF(N325="已下單",M325,0)</f>
        <v/>
      </c>
      <c r="T325" s="19">
        <f>R325-S325</f>
        <v/>
      </c>
      <c r="U325" s="2">
        <f>U324-IF(N325="已下單",1,0)</f>
        <v/>
      </c>
      <c r="V325" s="19">
        <f>IF(資金模擬!$B$9=2,MAX(R325,0),MAX(V324,FLOOR(MAX(R325,0),資金模擬!$B$6)))</f>
        <v/>
      </c>
      <c r="W325" s="13">
        <f>MAX(W324,R325)</f>
        <v/>
      </c>
      <c r="X325" s="4">
        <f>IF(W325&gt;0,R325/W325-1,-1)</f>
        <v/>
      </c>
      <c r="Y325" s="19">
        <f>IF(R325&gt;0,S325*資金模擬!$B$7/R325,0)</f>
        <v/>
      </c>
      <c r="Z325" s="2">
        <f>IF(OR(Z324=1,R325&lt;=資金模擬!$B$10),1,0)</f>
        <v/>
      </c>
    </row>
    <row r="326">
      <c r="A326" s="2" t="n">
        <v>324</v>
      </c>
      <c r="B326" s="7" t="n">
        <v>46276.16666666666</v>
      </c>
      <c r="C326" s="2" t="inlineStr">
        <is>
          <t>出場</t>
        </is>
      </c>
      <c r="D326" s="2" t="n">
        <v>161</v>
      </c>
      <c r="E326" s="2" t="inlineStr">
        <is>
          <t>PONS_USDT_PERP</t>
        </is>
      </c>
      <c r="F326" s="2" t="inlineStr">
        <is>
          <t>做多</t>
        </is>
      </c>
      <c r="G326" s="20" t="n">
        <v>0.6104000000000001</v>
      </c>
      <c r="H326" s="20" t="n">
        <v>0.628712</v>
      </c>
      <c r="I326" s="20" t="n">
        <v>0.5798800000000001</v>
      </c>
      <c r="J326" s="20" t="n">
        <v>0.5798800000000001</v>
      </c>
      <c r="K326" s="2" t="inlineStr">
        <is>
          <t>止損</t>
        </is>
      </c>
      <c r="L326" s="5">
        <f>交易明細!K162</f>
        <v/>
      </c>
      <c r="M326" s="19">
        <f>M319</f>
        <v/>
      </c>
      <c r="N326" s="2">
        <f>N319</f>
        <v/>
      </c>
      <c r="O326" s="19">
        <f>O319</f>
        <v/>
      </c>
      <c r="P326" s="4">
        <f>交易明細!L162</f>
        <v/>
      </c>
      <c r="Q326" s="13">
        <f>IF(N326="已下單",O326*P326,0)</f>
        <v/>
      </c>
      <c r="R326" s="13">
        <f>R325+Q326</f>
        <v/>
      </c>
      <c r="S326" s="19">
        <f>S325-IF(N326="已下單",M326,0)</f>
        <v/>
      </c>
      <c r="T326" s="19">
        <f>R326-S326</f>
        <v/>
      </c>
      <c r="U326" s="2">
        <f>U325-IF(N326="已下單",1,0)</f>
        <v/>
      </c>
      <c r="V326" s="19">
        <f>IF(資金模擬!$B$9=2,MAX(R326,0),MAX(V325,FLOOR(MAX(R326,0),資金模擬!$B$6)))</f>
        <v/>
      </c>
      <c r="W326" s="13">
        <f>MAX(W325,R326)</f>
        <v/>
      </c>
      <c r="X326" s="4">
        <f>IF(W326&gt;0,R326/W326-1,-1)</f>
        <v/>
      </c>
      <c r="Y326" s="19">
        <f>IF(R326&gt;0,S326*資金模擬!$B$7/R326,0)</f>
        <v/>
      </c>
      <c r="Z326" s="2">
        <f>IF(OR(Z325=1,R326&lt;=資金模擬!$B$10),1,0)</f>
        <v/>
      </c>
    </row>
    <row r="327">
      <c r="A327" s="2" t="n">
        <v>325</v>
      </c>
      <c r="B327" s="7" t="n">
        <v>46276.29166666666</v>
      </c>
      <c r="C327" s="2" t="inlineStr">
        <is>
          <t>出場</t>
        </is>
      </c>
      <c r="D327" s="2" t="n">
        <v>154</v>
      </c>
      <c r="E327" s="2" t="inlineStr">
        <is>
          <t>NEAR_USDT_PERP</t>
        </is>
      </c>
      <c r="F327" s="2" t="inlineStr">
        <is>
          <t>做空</t>
        </is>
      </c>
      <c r="G327" s="20" t="n">
        <v>2.419</v>
      </c>
      <c r="H327" s="20" t="n">
        <v>2.34643</v>
      </c>
      <c r="I327" s="20" t="n">
        <v>2.53995</v>
      </c>
      <c r="J327" s="20" t="n">
        <v>2.53995</v>
      </c>
      <c r="K327" s="2" t="inlineStr">
        <is>
          <t>止損</t>
        </is>
      </c>
      <c r="L327" s="5">
        <f>交易明細!K155</f>
        <v/>
      </c>
      <c r="M327" s="19">
        <f>M304</f>
        <v/>
      </c>
      <c r="N327" s="2">
        <f>N304</f>
        <v/>
      </c>
      <c r="O327" s="19">
        <f>O304</f>
        <v/>
      </c>
      <c r="P327" s="4">
        <f>交易明細!L155</f>
        <v/>
      </c>
      <c r="Q327" s="13">
        <f>IF(N327="已下單",O327*P327,0)</f>
        <v/>
      </c>
      <c r="R327" s="13">
        <f>R326+Q327</f>
        <v/>
      </c>
      <c r="S327" s="19">
        <f>S326-IF(N327="已下單",M327,0)</f>
        <v/>
      </c>
      <c r="T327" s="19">
        <f>R327-S327</f>
        <v/>
      </c>
      <c r="U327" s="2">
        <f>U326-IF(N327="已下單",1,0)</f>
        <v/>
      </c>
      <c r="V327" s="19">
        <f>IF(資金模擬!$B$9=2,MAX(R327,0),MAX(V326,FLOOR(MAX(R327,0),資金模擬!$B$6)))</f>
        <v/>
      </c>
      <c r="W327" s="13">
        <f>MAX(W326,R327)</f>
        <v/>
      </c>
      <c r="X327" s="4">
        <f>IF(W327&gt;0,R327/W327-1,-1)</f>
        <v/>
      </c>
      <c r="Y327" s="19">
        <f>IF(R327&gt;0,S327*資金模擬!$B$7/R327,0)</f>
        <v/>
      </c>
      <c r="Z327" s="2">
        <f>IF(OR(Z326=1,R327&lt;=資金模擬!$B$10),1,0)</f>
        <v/>
      </c>
    </row>
    <row r="328">
      <c r="A328" s="2" t="n">
        <v>326</v>
      </c>
      <c r="B328" s="7" t="n">
        <v>46276.29166666666</v>
      </c>
      <c r="C328" s="2" t="inlineStr">
        <is>
          <t>進場</t>
        </is>
      </c>
      <c r="D328" s="2" t="n">
        <v>164</v>
      </c>
      <c r="E328" s="2" t="inlineStr">
        <is>
          <t>PUMP_USDT_PERP</t>
        </is>
      </c>
      <c r="F328" s="2" t="inlineStr">
        <is>
          <t>做空</t>
        </is>
      </c>
      <c r="G328" s="20" t="n">
        <v>0.003721</v>
      </c>
      <c r="H328" s="20" t="n">
        <v>0.00360937</v>
      </c>
      <c r="I328" s="20" t="n">
        <v>0.00390705</v>
      </c>
      <c r="J328" s="20" t="n"/>
      <c r="K328" s="2" t="n"/>
      <c r="L328" s="5" t="n"/>
      <c r="M328" s="19">
        <f>資金模擬!$B$5*V327</f>
        <v/>
      </c>
      <c r="N328" s="2">
        <f>IF(Z327=1,"已停止",IF(T327&gt;=M328,"已下單","資金不足略過"))</f>
        <v/>
      </c>
      <c r="O328" s="19">
        <f>IF(N328="已下單",M328*資金模擬!$B$7,0)</f>
        <v/>
      </c>
      <c r="P328" s="4" t="n"/>
      <c r="Q328" s="13" t="n">
        <v>0</v>
      </c>
      <c r="R328" s="13">
        <f>R327+Q328</f>
        <v/>
      </c>
      <c r="S328" s="19">
        <f>S327+IF(N328="已下單",M328,0)</f>
        <v/>
      </c>
      <c r="T328" s="19">
        <f>R328-S328</f>
        <v/>
      </c>
      <c r="U328" s="2">
        <f>U327+IF(N328="已下單",1,0)</f>
        <v/>
      </c>
      <c r="V328" s="19">
        <f>IF(資金模擬!$B$9=2,MAX(R328,0),MAX(V327,FLOOR(MAX(R328,0),資金模擬!$B$6)))</f>
        <v/>
      </c>
      <c r="W328" s="13">
        <f>MAX(W327,R328)</f>
        <v/>
      </c>
      <c r="X328" s="4">
        <f>IF(W328&gt;0,R328/W328-1,-1)</f>
        <v/>
      </c>
      <c r="Y328" s="19">
        <f>IF(R328&gt;0,S328*資金模擬!$B$7/R328,0)</f>
        <v/>
      </c>
      <c r="Z328" s="2">
        <f>IF(OR(Z327=1,R328&lt;=資金模擬!$B$10),1,0)</f>
        <v/>
      </c>
    </row>
    <row r="329">
      <c r="A329" s="2" t="n">
        <v>327</v>
      </c>
      <c r="B329" s="7" t="n">
        <v>46276.33333333334</v>
      </c>
      <c r="C329" s="2" t="inlineStr">
        <is>
          <t>進場</t>
        </is>
      </c>
      <c r="D329" s="2" t="n">
        <v>165</v>
      </c>
      <c r="E329" s="2" t="inlineStr">
        <is>
          <t>LIT_USDT_PERP</t>
        </is>
      </c>
      <c r="F329" s="2" t="inlineStr">
        <is>
          <t>做空</t>
        </is>
      </c>
      <c r="G329" s="20" t="n">
        <v>4.288</v>
      </c>
      <c r="H329" s="20" t="n">
        <v>4.15936</v>
      </c>
      <c r="I329" s="20" t="n">
        <v>4.502400000000001</v>
      </c>
      <c r="J329" s="20" t="n"/>
      <c r="K329" s="2" t="n"/>
      <c r="L329" s="5" t="n"/>
      <c r="M329" s="19">
        <f>資金模擬!$B$5*V328</f>
        <v/>
      </c>
      <c r="N329" s="2">
        <f>IF(Z328=1,"已停止",IF(T328&gt;=M329,"已下單","資金不足略過"))</f>
        <v/>
      </c>
      <c r="O329" s="19">
        <f>IF(N329="已下單",M329*資金模擬!$B$7,0)</f>
        <v/>
      </c>
      <c r="P329" s="4" t="n"/>
      <c r="Q329" s="13" t="n">
        <v>0</v>
      </c>
      <c r="R329" s="13">
        <f>R328+Q329</f>
        <v/>
      </c>
      <c r="S329" s="19">
        <f>S328+IF(N329="已下單",M329,0)</f>
        <v/>
      </c>
      <c r="T329" s="19">
        <f>R329-S329</f>
        <v/>
      </c>
      <c r="U329" s="2">
        <f>U328+IF(N329="已下單",1,0)</f>
        <v/>
      </c>
      <c r="V329" s="19">
        <f>IF(資金模擬!$B$9=2,MAX(R329,0),MAX(V328,FLOOR(MAX(R329,0),資金模擬!$B$6)))</f>
        <v/>
      </c>
      <c r="W329" s="13">
        <f>MAX(W328,R329)</f>
        <v/>
      </c>
      <c r="X329" s="4">
        <f>IF(W329&gt;0,R329/W329-1,-1)</f>
        <v/>
      </c>
      <c r="Y329" s="19">
        <f>IF(R329&gt;0,S329*資金模擬!$B$7/R329,0)</f>
        <v/>
      </c>
      <c r="Z329" s="2">
        <f>IF(OR(Z328=1,R329&lt;=資金模擬!$B$10),1,0)</f>
        <v/>
      </c>
    </row>
    <row r="330">
      <c r="A330" s="2" t="n">
        <v>328</v>
      </c>
      <c r="B330" s="7" t="n">
        <v>46276.375</v>
      </c>
      <c r="C330" s="2" t="inlineStr">
        <is>
          <t>出場</t>
        </is>
      </c>
      <c r="D330" s="2" t="n">
        <v>163</v>
      </c>
      <c r="E330" s="2" t="inlineStr">
        <is>
          <t>VVV_USDT_PERP</t>
        </is>
      </c>
      <c r="F330" s="2" t="inlineStr">
        <is>
          <t>做多</t>
        </is>
      </c>
      <c r="G330" s="20" t="n">
        <v>25.016</v>
      </c>
      <c r="H330" s="20" t="n">
        <v>25.76648</v>
      </c>
      <c r="I330" s="20" t="n">
        <v>23.7652</v>
      </c>
      <c r="J330" s="20" t="n">
        <v>23.7652</v>
      </c>
      <c r="K330" s="2" t="inlineStr">
        <is>
          <t>止損</t>
        </is>
      </c>
      <c r="L330" s="5">
        <f>交易明細!K164</f>
        <v/>
      </c>
      <c r="M330" s="19">
        <f>M321</f>
        <v/>
      </c>
      <c r="N330" s="2">
        <f>N321</f>
        <v/>
      </c>
      <c r="O330" s="19">
        <f>O321</f>
        <v/>
      </c>
      <c r="P330" s="4">
        <f>交易明細!L164</f>
        <v/>
      </c>
      <c r="Q330" s="13">
        <f>IF(N330="已下單",O330*P330,0)</f>
        <v/>
      </c>
      <c r="R330" s="13">
        <f>R329+Q330</f>
        <v/>
      </c>
      <c r="S330" s="19">
        <f>S329-IF(N330="已下單",M330,0)</f>
        <v/>
      </c>
      <c r="T330" s="19">
        <f>R330-S330</f>
        <v/>
      </c>
      <c r="U330" s="2">
        <f>U329-IF(N330="已下單",1,0)</f>
        <v/>
      </c>
      <c r="V330" s="19">
        <f>IF(資金模擬!$B$9=2,MAX(R330,0),MAX(V329,FLOOR(MAX(R330,0),資金模擬!$B$6)))</f>
        <v/>
      </c>
      <c r="W330" s="13">
        <f>MAX(W329,R330)</f>
        <v/>
      </c>
      <c r="X330" s="4">
        <f>IF(W330&gt;0,R330/W330-1,-1)</f>
        <v/>
      </c>
      <c r="Y330" s="19">
        <f>IF(R330&gt;0,S330*資金模擬!$B$7/R330,0)</f>
        <v/>
      </c>
      <c r="Z330" s="2">
        <f>IF(OR(Z329=1,R330&lt;=資金模擬!$B$10),1,0)</f>
        <v/>
      </c>
    </row>
    <row r="331">
      <c r="A331" s="2" t="n">
        <v>329</v>
      </c>
      <c r="B331" s="7" t="n">
        <v>46276.41666666666</v>
      </c>
      <c r="C331" s="2" t="inlineStr">
        <is>
          <t>進場</t>
        </is>
      </c>
      <c r="D331" s="2" t="n">
        <v>166</v>
      </c>
      <c r="E331" s="2" t="inlineStr">
        <is>
          <t>NEAR_USDT_PERP</t>
        </is>
      </c>
      <c r="F331" s="2" t="inlineStr">
        <is>
          <t>做空</t>
        </is>
      </c>
      <c r="G331" s="20" t="n">
        <v>2.418</v>
      </c>
      <c r="H331" s="20" t="n">
        <v>2.34546</v>
      </c>
      <c r="I331" s="20" t="n">
        <v>2.5389</v>
      </c>
      <c r="J331" s="20" t="n"/>
      <c r="K331" s="2" t="n"/>
      <c r="L331" s="5" t="n"/>
      <c r="M331" s="19">
        <f>資金模擬!$B$5*V330</f>
        <v/>
      </c>
      <c r="N331" s="2">
        <f>IF(Z330=1,"已停止",IF(T330&gt;=M331,"已下單","資金不足略過"))</f>
        <v/>
      </c>
      <c r="O331" s="19">
        <f>IF(N331="已下單",M331*資金模擬!$B$7,0)</f>
        <v/>
      </c>
      <c r="P331" s="4" t="n"/>
      <c r="Q331" s="13" t="n">
        <v>0</v>
      </c>
      <c r="R331" s="13">
        <f>R330+Q331</f>
        <v/>
      </c>
      <c r="S331" s="19">
        <f>S330+IF(N331="已下單",M331,0)</f>
        <v/>
      </c>
      <c r="T331" s="19">
        <f>R331-S331</f>
        <v/>
      </c>
      <c r="U331" s="2">
        <f>U330+IF(N331="已下單",1,0)</f>
        <v/>
      </c>
      <c r="V331" s="19">
        <f>IF(資金模擬!$B$9=2,MAX(R331,0),MAX(V330,FLOOR(MAX(R331,0),資金模擬!$B$6)))</f>
        <v/>
      </c>
      <c r="W331" s="13">
        <f>MAX(W330,R331)</f>
        <v/>
      </c>
      <c r="X331" s="4">
        <f>IF(W331&gt;0,R331/W331-1,-1)</f>
        <v/>
      </c>
      <c r="Y331" s="19">
        <f>IF(R331&gt;0,S331*資金模擬!$B$7/R331,0)</f>
        <v/>
      </c>
      <c r="Z331" s="2">
        <f>IF(OR(Z330=1,R331&lt;=資金模擬!$B$10),1,0)</f>
        <v/>
      </c>
    </row>
    <row r="332">
      <c r="A332" s="2" t="n">
        <v>330</v>
      </c>
      <c r="B332" s="7" t="n">
        <v>46276.45833333334</v>
      </c>
      <c r="C332" s="2" t="inlineStr">
        <is>
          <t>出場</t>
        </is>
      </c>
      <c r="D332" s="2" t="n">
        <v>164</v>
      </c>
      <c r="E332" s="2" t="inlineStr">
        <is>
          <t>PUMP_USDT_PERP</t>
        </is>
      </c>
      <c r="F332" s="2" t="inlineStr">
        <is>
          <t>做空</t>
        </is>
      </c>
      <c r="G332" s="20" t="n">
        <v>0.003721</v>
      </c>
      <c r="H332" s="20" t="n">
        <v>0.00360937</v>
      </c>
      <c r="I332" s="20" t="n">
        <v>0.00390705</v>
      </c>
      <c r="J332" s="20" t="n">
        <v>0.00360937</v>
      </c>
      <c r="K332" s="2" t="inlineStr">
        <is>
          <t>止盈</t>
        </is>
      </c>
      <c r="L332" s="5">
        <f>交易明細!K165</f>
        <v/>
      </c>
      <c r="M332" s="19">
        <f>M328</f>
        <v/>
      </c>
      <c r="N332" s="2">
        <f>N328</f>
        <v/>
      </c>
      <c r="O332" s="19">
        <f>O328</f>
        <v/>
      </c>
      <c r="P332" s="4">
        <f>交易明細!L165</f>
        <v/>
      </c>
      <c r="Q332" s="13">
        <f>IF(N332="已下單",O332*P332,0)</f>
        <v/>
      </c>
      <c r="R332" s="13">
        <f>R331+Q332</f>
        <v/>
      </c>
      <c r="S332" s="19">
        <f>S331-IF(N332="已下單",M332,0)</f>
        <v/>
      </c>
      <c r="T332" s="19">
        <f>R332-S332</f>
        <v/>
      </c>
      <c r="U332" s="2">
        <f>U331-IF(N332="已下單",1,0)</f>
        <v/>
      </c>
      <c r="V332" s="19">
        <f>IF(資金模擬!$B$9=2,MAX(R332,0),MAX(V331,FLOOR(MAX(R332,0),資金模擬!$B$6)))</f>
        <v/>
      </c>
      <c r="W332" s="13">
        <f>MAX(W331,R332)</f>
        <v/>
      </c>
      <c r="X332" s="4">
        <f>IF(W332&gt;0,R332/W332-1,-1)</f>
        <v/>
      </c>
      <c r="Y332" s="19">
        <f>IF(R332&gt;0,S332*資金模擬!$B$7/R332,0)</f>
        <v/>
      </c>
      <c r="Z332" s="2">
        <f>IF(OR(Z331=1,R332&lt;=資金模擬!$B$10),1,0)</f>
        <v/>
      </c>
    </row>
    <row r="333">
      <c r="A333" s="2" t="n">
        <v>331</v>
      </c>
      <c r="B333" s="7" t="n">
        <v>46276.45833333334</v>
      </c>
      <c r="C333" s="2" t="inlineStr">
        <is>
          <t>進場</t>
        </is>
      </c>
      <c r="D333" s="2" t="n">
        <v>167</v>
      </c>
      <c r="E333" s="2" t="inlineStr">
        <is>
          <t>BULLA_USDT_PERP</t>
        </is>
      </c>
      <c r="F333" s="2" t="inlineStr">
        <is>
          <t>做空</t>
        </is>
      </c>
      <c r="G333" s="20" t="n">
        <v>0.07525999999999999</v>
      </c>
      <c r="H333" s="20" t="n">
        <v>0.07300219999999999</v>
      </c>
      <c r="I333" s="20" t="n">
        <v>0.079023</v>
      </c>
      <c r="J333" s="20" t="n"/>
      <c r="K333" s="2" t="n"/>
      <c r="L333" s="5" t="n"/>
      <c r="M333" s="19">
        <f>資金模擬!$B$5*V332</f>
        <v/>
      </c>
      <c r="N333" s="2">
        <f>IF(Z332=1,"已停止",IF(T332&gt;=M333,"已下單","資金不足略過"))</f>
        <v/>
      </c>
      <c r="O333" s="19">
        <f>IF(N333="已下單",M333*資金模擬!$B$7,0)</f>
        <v/>
      </c>
      <c r="P333" s="4" t="n"/>
      <c r="Q333" s="13" t="n">
        <v>0</v>
      </c>
      <c r="R333" s="13">
        <f>R332+Q333</f>
        <v/>
      </c>
      <c r="S333" s="19">
        <f>S332+IF(N333="已下單",M333,0)</f>
        <v/>
      </c>
      <c r="T333" s="19">
        <f>R333-S333</f>
        <v/>
      </c>
      <c r="U333" s="2">
        <f>U332+IF(N333="已下單",1,0)</f>
        <v/>
      </c>
      <c r="V333" s="19">
        <f>IF(資金模擬!$B$9=2,MAX(R333,0),MAX(V332,FLOOR(MAX(R333,0),資金模擬!$B$6)))</f>
        <v/>
      </c>
      <c r="W333" s="13">
        <f>MAX(W332,R333)</f>
        <v/>
      </c>
      <c r="X333" s="4">
        <f>IF(W333&gt;0,R333/W333-1,-1)</f>
        <v/>
      </c>
      <c r="Y333" s="19">
        <f>IF(R333&gt;0,S333*資金模擬!$B$7/R333,0)</f>
        <v/>
      </c>
      <c r="Z333" s="2">
        <f>IF(OR(Z332=1,R333&lt;=資金模擬!$B$10),1,0)</f>
        <v/>
      </c>
    </row>
    <row r="334">
      <c r="A334" s="2" t="n">
        <v>332</v>
      </c>
      <c r="B334" s="7" t="n">
        <v>46276.45833333334</v>
      </c>
      <c r="C334" s="2" t="inlineStr">
        <is>
          <t>進場</t>
        </is>
      </c>
      <c r="D334" s="2" t="n">
        <v>168</v>
      </c>
      <c r="E334" s="2" t="inlineStr">
        <is>
          <t>VVV_USDT_PERP</t>
        </is>
      </c>
      <c r="F334" s="2" t="inlineStr">
        <is>
          <t>做空</t>
        </is>
      </c>
      <c r="G334" s="20" t="n">
        <v>23.446</v>
      </c>
      <c r="H334" s="20" t="n">
        <v>22.74262</v>
      </c>
      <c r="I334" s="20" t="n">
        <v>24.6183</v>
      </c>
      <c r="J334" s="20" t="n"/>
      <c r="K334" s="2" t="n"/>
      <c r="L334" s="5" t="n"/>
      <c r="M334" s="19">
        <f>資金模擬!$B$5*V333</f>
        <v/>
      </c>
      <c r="N334" s="2">
        <f>IF(Z333=1,"已停止",IF(T333&gt;=M334,"已下單","資金不足略過"))</f>
        <v/>
      </c>
      <c r="O334" s="19">
        <f>IF(N334="已下單",M334*資金模擬!$B$7,0)</f>
        <v/>
      </c>
      <c r="P334" s="4" t="n"/>
      <c r="Q334" s="13" t="n">
        <v>0</v>
      </c>
      <c r="R334" s="13">
        <f>R333+Q334</f>
        <v/>
      </c>
      <c r="S334" s="19">
        <f>S333+IF(N334="已下單",M334,0)</f>
        <v/>
      </c>
      <c r="T334" s="19">
        <f>R334-S334</f>
        <v/>
      </c>
      <c r="U334" s="2">
        <f>U333+IF(N334="已下單",1,0)</f>
        <v/>
      </c>
      <c r="V334" s="19">
        <f>IF(資金模擬!$B$9=2,MAX(R334,0),MAX(V333,FLOOR(MAX(R334,0),資金模擬!$B$6)))</f>
        <v/>
      </c>
      <c r="W334" s="13">
        <f>MAX(W333,R334)</f>
        <v/>
      </c>
      <c r="X334" s="4">
        <f>IF(W334&gt;0,R334/W334-1,-1)</f>
        <v/>
      </c>
      <c r="Y334" s="19">
        <f>IF(R334&gt;0,S334*資金模擬!$B$7/R334,0)</f>
        <v/>
      </c>
      <c r="Z334" s="2">
        <f>IF(OR(Z333=1,R334&lt;=資金模擬!$B$10),1,0)</f>
        <v/>
      </c>
    </row>
    <row r="335">
      <c r="A335" s="2" t="n">
        <v>333</v>
      </c>
      <c r="B335" s="7" t="n">
        <v>46276.54166666666</v>
      </c>
      <c r="C335" s="2" t="inlineStr">
        <is>
          <t>出場</t>
        </is>
      </c>
      <c r="D335" s="2" t="n">
        <v>167</v>
      </c>
      <c r="E335" s="2" t="inlineStr">
        <is>
          <t>BULLA_USDT_PERP</t>
        </is>
      </c>
      <c r="F335" s="2" t="inlineStr">
        <is>
          <t>做空</t>
        </is>
      </c>
      <c r="G335" s="20" t="n">
        <v>0.07525999999999999</v>
      </c>
      <c r="H335" s="20" t="n">
        <v>0.07300219999999999</v>
      </c>
      <c r="I335" s="20" t="n">
        <v>0.079023</v>
      </c>
      <c r="J335" s="20" t="n">
        <v>0.079023</v>
      </c>
      <c r="K335" s="2" t="inlineStr">
        <is>
          <t>止損</t>
        </is>
      </c>
      <c r="L335" s="5">
        <f>交易明細!K168</f>
        <v/>
      </c>
      <c r="M335" s="19">
        <f>M333</f>
        <v/>
      </c>
      <c r="N335" s="2">
        <f>N333</f>
        <v/>
      </c>
      <c r="O335" s="19">
        <f>O333</f>
        <v/>
      </c>
      <c r="P335" s="4">
        <f>交易明細!L168</f>
        <v/>
      </c>
      <c r="Q335" s="13">
        <f>IF(N335="已下單",O335*P335,0)</f>
        <v/>
      </c>
      <c r="R335" s="13">
        <f>R334+Q335</f>
        <v/>
      </c>
      <c r="S335" s="19">
        <f>S334-IF(N335="已下單",M335,0)</f>
        <v/>
      </c>
      <c r="T335" s="19">
        <f>R335-S335</f>
        <v/>
      </c>
      <c r="U335" s="2">
        <f>U334-IF(N335="已下單",1,0)</f>
        <v/>
      </c>
      <c r="V335" s="19">
        <f>IF(資金模擬!$B$9=2,MAX(R335,0),MAX(V334,FLOOR(MAX(R335,0),資金模擬!$B$6)))</f>
        <v/>
      </c>
      <c r="W335" s="13">
        <f>MAX(W334,R335)</f>
        <v/>
      </c>
      <c r="X335" s="4">
        <f>IF(W335&gt;0,R335/W335-1,-1)</f>
        <v/>
      </c>
      <c r="Y335" s="19">
        <f>IF(R335&gt;0,S335*資金模擬!$B$7/R335,0)</f>
        <v/>
      </c>
      <c r="Z335" s="2">
        <f>IF(OR(Z334=1,R335&lt;=資金模擬!$B$10),1,0)</f>
        <v/>
      </c>
    </row>
    <row r="336">
      <c r="A336" s="2" t="n">
        <v>334</v>
      </c>
      <c r="B336" s="7" t="n">
        <v>46276.58333333334</v>
      </c>
      <c r="C336" s="2" t="inlineStr">
        <is>
          <t>出場</t>
        </is>
      </c>
      <c r="D336" s="2" t="n">
        <v>165</v>
      </c>
      <c r="E336" s="2" t="inlineStr">
        <is>
          <t>LIT_USDT_PERP</t>
        </is>
      </c>
      <c r="F336" s="2" t="inlineStr">
        <is>
          <t>做空</t>
        </is>
      </c>
      <c r="G336" s="20" t="n">
        <v>4.288</v>
      </c>
      <c r="H336" s="20" t="n">
        <v>4.15936</v>
      </c>
      <c r="I336" s="20" t="n">
        <v>4.502400000000001</v>
      </c>
      <c r="J336" s="20" t="n">
        <v>4.502400000000001</v>
      </c>
      <c r="K336" s="2" t="inlineStr">
        <is>
          <t>止損</t>
        </is>
      </c>
      <c r="L336" s="5">
        <f>交易明細!K166</f>
        <v/>
      </c>
      <c r="M336" s="19">
        <f>M329</f>
        <v/>
      </c>
      <c r="N336" s="2">
        <f>N329</f>
        <v/>
      </c>
      <c r="O336" s="19">
        <f>O329</f>
        <v/>
      </c>
      <c r="P336" s="4">
        <f>交易明細!L166</f>
        <v/>
      </c>
      <c r="Q336" s="13">
        <f>IF(N336="已下單",O336*P336,0)</f>
        <v/>
      </c>
      <c r="R336" s="13">
        <f>R335+Q336</f>
        <v/>
      </c>
      <c r="S336" s="19">
        <f>S335-IF(N336="已下單",M336,0)</f>
        <v/>
      </c>
      <c r="T336" s="19">
        <f>R336-S336</f>
        <v/>
      </c>
      <c r="U336" s="2">
        <f>U335-IF(N336="已下單",1,0)</f>
        <v/>
      </c>
      <c r="V336" s="19">
        <f>IF(資金模擬!$B$9=2,MAX(R336,0),MAX(V335,FLOOR(MAX(R336,0),資金模擬!$B$6)))</f>
        <v/>
      </c>
      <c r="W336" s="13">
        <f>MAX(W335,R336)</f>
        <v/>
      </c>
      <c r="X336" s="4">
        <f>IF(W336&gt;0,R336/W336-1,-1)</f>
        <v/>
      </c>
      <c r="Y336" s="19">
        <f>IF(R336&gt;0,S336*資金模擬!$B$7/R336,0)</f>
        <v/>
      </c>
      <c r="Z336" s="2">
        <f>IF(OR(Z335=1,R336&lt;=資金模擬!$B$10),1,0)</f>
        <v/>
      </c>
    </row>
    <row r="337">
      <c r="A337" s="2" t="n">
        <v>335</v>
      </c>
      <c r="B337" s="7" t="n">
        <v>46276.58333333334</v>
      </c>
      <c r="C337" s="2" t="inlineStr">
        <is>
          <t>出場</t>
        </is>
      </c>
      <c r="D337" s="2" t="n">
        <v>168</v>
      </c>
      <c r="E337" s="2" t="inlineStr">
        <is>
          <t>VVV_USDT_PERP</t>
        </is>
      </c>
      <c r="F337" s="2" t="inlineStr">
        <is>
          <t>做空</t>
        </is>
      </c>
      <c r="G337" s="20" t="n">
        <v>23.446</v>
      </c>
      <c r="H337" s="20" t="n">
        <v>22.74262</v>
      </c>
      <c r="I337" s="20" t="n">
        <v>24.6183</v>
      </c>
      <c r="J337" s="20" t="n">
        <v>24.6183</v>
      </c>
      <c r="K337" s="2" t="inlineStr">
        <is>
          <t>止損</t>
        </is>
      </c>
      <c r="L337" s="5">
        <f>交易明細!K169</f>
        <v/>
      </c>
      <c r="M337" s="19">
        <f>M334</f>
        <v/>
      </c>
      <c r="N337" s="2">
        <f>N334</f>
        <v/>
      </c>
      <c r="O337" s="19">
        <f>O334</f>
        <v/>
      </c>
      <c r="P337" s="4">
        <f>交易明細!L169</f>
        <v/>
      </c>
      <c r="Q337" s="13">
        <f>IF(N337="已下單",O337*P337,0)</f>
        <v/>
      </c>
      <c r="R337" s="13">
        <f>R336+Q337</f>
        <v/>
      </c>
      <c r="S337" s="19">
        <f>S336-IF(N337="已下單",M337,0)</f>
        <v/>
      </c>
      <c r="T337" s="19">
        <f>R337-S337</f>
        <v/>
      </c>
      <c r="U337" s="2">
        <f>U336-IF(N337="已下單",1,0)</f>
        <v/>
      </c>
      <c r="V337" s="19">
        <f>IF(資金模擬!$B$9=2,MAX(R337,0),MAX(V336,FLOOR(MAX(R337,0),資金模擬!$B$6)))</f>
        <v/>
      </c>
      <c r="W337" s="13">
        <f>MAX(W336,R337)</f>
        <v/>
      </c>
      <c r="X337" s="4">
        <f>IF(W337&gt;0,R337/W337-1,-1)</f>
        <v/>
      </c>
      <c r="Y337" s="19">
        <f>IF(R337&gt;0,S337*資金模擬!$B$7/R337,0)</f>
        <v/>
      </c>
      <c r="Z337" s="2">
        <f>IF(OR(Z336=1,R337&lt;=資金模擬!$B$10),1,0)</f>
        <v/>
      </c>
    </row>
    <row r="338">
      <c r="A338" s="2" t="n">
        <v>336</v>
      </c>
      <c r="B338" s="7" t="n">
        <v>46276.625</v>
      </c>
      <c r="C338" s="2" t="inlineStr">
        <is>
          <t>進場</t>
        </is>
      </c>
      <c r="D338" s="2" t="n">
        <v>169</v>
      </c>
      <c r="E338" s="2" t="inlineStr">
        <is>
          <t>UAI_USDT_PERP</t>
        </is>
      </c>
      <c r="F338" s="2" t="inlineStr">
        <is>
          <t>做空</t>
        </is>
      </c>
      <c r="G338" s="20" t="n">
        <v>0.6024</v>
      </c>
      <c r="H338" s="20" t="n">
        <v>0.5843280000000001</v>
      </c>
      <c r="I338" s="20" t="n">
        <v>0.6325200000000001</v>
      </c>
      <c r="J338" s="20" t="n"/>
      <c r="K338" s="2" t="n"/>
      <c r="L338" s="5" t="n"/>
      <c r="M338" s="19">
        <f>資金模擬!$B$5*V337</f>
        <v/>
      </c>
      <c r="N338" s="2">
        <f>IF(Z337=1,"已停止",IF(T337&gt;=M338,"已下單","資金不足略過"))</f>
        <v/>
      </c>
      <c r="O338" s="19">
        <f>IF(N338="已下單",M338*資金模擬!$B$7,0)</f>
        <v/>
      </c>
      <c r="P338" s="4" t="n"/>
      <c r="Q338" s="13" t="n">
        <v>0</v>
      </c>
      <c r="R338" s="13">
        <f>R337+Q338</f>
        <v/>
      </c>
      <c r="S338" s="19">
        <f>S337+IF(N338="已下單",M338,0)</f>
        <v/>
      </c>
      <c r="T338" s="19">
        <f>R338-S338</f>
        <v/>
      </c>
      <c r="U338" s="2">
        <f>U337+IF(N338="已下單",1,0)</f>
        <v/>
      </c>
      <c r="V338" s="19">
        <f>IF(資金模擬!$B$9=2,MAX(R338,0),MAX(V337,FLOOR(MAX(R338,0),資金模擬!$B$6)))</f>
        <v/>
      </c>
      <c r="W338" s="13">
        <f>MAX(W337,R338)</f>
        <v/>
      </c>
      <c r="X338" s="4">
        <f>IF(W338&gt;0,R338/W338-1,-1)</f>
        <v/>
      </c>
      <c r="Y338" s="19">
        <f>IF(R338&gt;0,S338*資金模擬!$B$7/R338,0)</f>
        <v/>
      </c>
      <c r="Z338" s="2">
        <f>IF(OR(Z337=1,R338&lt;=資金模擬!$B$10),1,0)</f>
        <v/>
      </c>
    </row>
    <row r="339">
      <c r="A339" s="2" t="n">
        <v>337</v>
      </c>
      <c r="B339" s="7" t="n">
        <v>46276.66666666666</v>
      </c>
      <c r="C339" s="2" t="inlineStr">
        <is>
          <t>出場</t>
        </is>
      </c>
      <c r="D339" s="2" t="n">
        <v>169</v>
      </c>
      <c r="E339" s="2" t="inlineStr">
        <is>
          <t>UAI_USDT_PERP</t>
        </is>
      </c>
      <c r="F339" s="2" t="inlineStr">
        <is>
          <t>做空</t>
        </is>
      </c>
      <c r="G339" s="20" t="n">
        <v>0.6024</v>
      </c>
      <c r="H339" s="20" t="n">
        <v>0.5843280000000001</v>
      </c>
      <c r="I339" s="20" t="n">
        <v>0.6325200000000001</v>
      </c>
      <c r="J339" s="20" t="n">
        <v>0.6325200000000001</v>
      </c>
      <c r="K339" s="2" t="inlineStr">
        <is>
          <t>止損</t>
        </is>
      </c>
      <c r="L339" s="5">
        <f>交易明細!K170</f>
        <v/>
      </c>
      <c r="M339" s="19">
        <f>M338</f>
        <v/>
      </c>
      <c r="N339" s="2">
        <f>N338</f>
        <v/>
      </c>
      <c r="O339" s="19">
        <f>O338</f>
        <v/>
      </c>
      <c r="P339" s="4">
        <f>交易明細!L170</f>
        <v/>
      </c>
      <c r="Q339" s="13">
        <f>IF(N339="已下單",O339*P339,0)</f>
        <v/>
      </c>
      <c r="R339" s="13">
        <f>R338+Q339</f>
        <v/>
      </c>
      <c r="S339" s="19">
        <f>S338-IF(N339="已下單",M339,0)</f>
        <v/>
      </c>
      <c r="T339" s="19">
        <f>R339-S339</f>
        <v/>
      </c>
      <c r="U339" s="2">
        <f>U338-IF(N339="已下單",1,0)</f>
        <v/>
      </c>
      <c r="V339" s="19">
        <f>IF(資金模擬!$B$9=2,MAX(R339,0),MAX(V338,FLOOR(MAX(R339,0),資金模擬!$B$6)))</f>
        <v/>
      </c>
      <c r="W339" s="13">
        <f>MAX(W338,R339)</f>
        <v/>
      </c>
      <c r="X339" s="4">
        <f>IF(W339&gt;0,R339/W339-1,-1)</f>
        <v/>
      </c>
      <c r="Y339" s="19">
        <f>IF(R339&gt;0,S339*資金模擬!$B$7/R339,0)</f>
        <v/>
      </c>
      <c r="Z339" s="2">
        <f>IF(OR(Z338=1,R339&lt;=資金模擬!$B$10),1,0)</f>
        <v/>
      </c>
    </row>
    <row r="340">
      <c r="A340" s="2" t="n">
        <v>338</v>
      </c>
      <c r="B340" s="7" t="n">
        <v>46276.75</v>
      </c>
      <c r="C340" s="2" t="inlineStr">
        <is>
          <t>進場</t>
        </is>
      </c>
      <c r="D340" s="2" t="n">
        <v>170</v>
      </c>
      <c r="E340" s="2" t="inlineStr">
        <is>
          <t>IOST_USDT_PERP</t>
        </is>
      </c>
      <c r="F340" s="2" t="inlineStr">
        <is>
          <t>做空</t>
        </is>
      </c>
      <c r="G340" s="20" t="n">
        <v>0.000976</v>
      </c>
      <c r="H340" s="20" t="n">
        <v>0.00094672</v>
      </c>
      <c r="I340" s="20" t="n">
        <v>0.0010248</v>
      </c>
      <c r="J340" s="20" t="n"/>
      <c r="K340" s="2" t="n"/>
      <c r="L340" s="5" t="n"/>
      <c r="M340" s="19">
        <f>資金模擬!$B$5*V339</f>
        <v/>
      </c>
      <c r="N340" s="2">
        <f>IF(Z339=1,"已停止",IF(T339&gt;=M340,"已下單","資金不足略過"))</f>
        <v/>
      </c>
      <c r="O340" s="19">
        <f>IF(N340="已下單",M340*資金模擬!$B$7,0)</f>
        <v/>
      </c>
      <c r="P340" s="4" t="n"/>
      <c r="Q340" s="13" t="n">
        <v>0</v>
      </c>
      <c r="R340" s="13">
        <f>R339+Q340</f>
        <v/>
      </c>
      <c r="S340" s="19">
        <f>S339+IF(N340="已下單",M340,0)</f>
        <v/>
      </c>
      <c r="T340" s="19">
        <f>R340-S340</f>
        <v/>
      </c>
      <c r="U340" s="2">
        <f>U339+IF(N340="已下單",1,0)</f>
        <v/>
      </c>
      <c r="V340" s="19">
        <f>IF(資金模擬!$B$9=2,MAX(R340,0),MAX(V339,FLOOR(MAX(R340,0),資金模擬!$B$6)))</f>
        <v/>
      </c>
      <c r="W340" s="13">
        <f>MAX(W339,R340)</f>
        <v/>
      </c>
      <c r="X340" s="4">
        <f>IF(W340&gt;0,R340/W340-1,-1)</f>
        <v/>
      </c>
      <c r="Y340" s="19">
        <f>IF(R340&gt;0,S340*資金模擬!$B$7/R340,0)</f>
        <v/>
      </c>
      <c r="Z340" s="2">
        <f>IF(OR(Z339=1,R340&lt;=資金模擬!$B$10),1,0)</f>
        <v/>
      </c>
    </row>
    <row r="341">
      <c r="A341" s="2" t="n">
        <v>339</v>
      </c>
      <c r="B341" s="7" t="n">
        <v>46276.79166666666</v>
      </c>
      <c r="C341" s="2" t="inlineStr">
        <is>
          <t>出場</t>
        </is>
      </c>
      <c r="D341" s="2" t="n">
        <v>170</v>
      </c>
      <c r="E341" s="2" t="inlineStr">
        <is>
          <t>IOST_USDT_PERP</t>
        </is>
      </c>
      <c r="F341" s="2" t="inlineStr">
        <is>
          <t>做空</t>
        </is>
      </c>
      <c r="G341" s="20" t="n">
        <v>0.000976</v>
      </c>
      <c r="H341" s="20" t="n">
        <v>0.00094672</v>
      </c>
      <c r="I341" s="20" t="n">
        <v>0.0010248</v>
      </c>
      <c r="J341" s="20" t="n">
        <v>0.00094672</v>
      </c>
      <c r="K341" s="2" t="inlineStr">
        <is>
          <t>止盈</t>
        </is>
      </c>
      <c r="L341" s="5">
        <f>交易明細!K171</f>
        <v/>
      </c>
      <c r="M341" s="19">
        <f>M340</f>
        <v/>
      </c>
      <c r="N341" s="2">
        <f>N340</f>
        <v/>
      </c>
      <c r="O341" s="19">
        <f>O340</f>
        <v/>
      </c>
      <c r="P341" s="4">
        <f>交易明細!L171</f>
        <v/>
      </c>
      <c r="Q341" s="13">
        <f>IF(N341="已下單",O341*P341,0)</f>
        <v/>
      </c>
      <c r="R341" s="13">
        <f>R340+Q341</f>
        <v/>
      </c>
      <c r="S341" s="19">
        <f>S340-IF(N341="已下單",M341,0)</f>
        <v/>
      </c>
      <c r="T341" s="19">
        <f>R341-S341</f>
        <v/>
      </c>
      <c r="U341" s="2">
        <f>U340-IF(N341="已下單",1,0)</f>
        <v/>
      </c>
      <c r="V341" s="19">
        <f>IF(資金模擬!$B$9=2,MAX(R341,0),MAX(V340,FLOOR(MAX(R341,0),資金模擬!$B$6)))</f>
        <v/>
      </c>
      <c r="W341" s="13">
        <f>MAX(W340,R341)</f>
        <v/>
      </c>
      <c r="X341" s="4">
        <f>IF(W341&gt;0,R341/W341-1,-1)</f>
        <v/>
      </c>
      <c r="Y341" s="19">
        <f>IF(R341&gt;0,S341*資金模擬!$B$7/R341,0)</f>
        <v/>
      </c>
      <c r="Z341" s="2">
        <f>IF(OR(Z340=1,R341&lt;=資金模擬!$B$10),1,0)</f>
        <v/>
      </c>
    </row>
    <row r="342">
      <c r="A342" s="2" t="n">
        <v>340</v>
      </c>
      <c r="B342" s="7" t="n">
        <v>46276.83333333334</v>
      </c>
      <c r="C342" s="2" t="inlineStr">
        <is>
          <t>進場</t>
        </is>
      </c>
      <c r="D342" s="2" t="n">
        <v>171</v>
      </c>
      <c r="E342" s="2" t="inlineStr">
        <is>
          <t>VVV_USDT_PERP</t>
        </is>
      </c>
      <c r="F342" s="2" t="inlineStr">
        <is>
          <t>做多</t>
        </is>
      </c>
      <c r="G342" s="20" t="n">
        <v>24.665</v>
      </c>
      <c r="H342" s="20" t="n">
        <v>25.40495</v>
      </c>
      <c r="I342" s="20" t="n">
        <v>23.43175</v>
      </c>
      <c r="J342" s="20" t="n"/>
      <c r="K342" s="2" t="n"/>
      <c r="L342" s="5" t="n"/>
      <c r="M342" s="19">
        <f>資金模擬!$B$5*V341</f>
        <v/>
      </c>
      <c r="N342" s="2">
        <f>IF(Z341=1,"已停止",IF(T341&gt;=M342,"已下單","資金不足略過"))</f>
        <v/>
      </c>
      <c r="O342" s="19">
        <f>IF(N342="已下單",M342*資金模擬!$B$7,0)</f>
        <v/>
      </c>
      <c r="P342" s="4" t="n"/>
      <c r="Q342" s="13" t="n">
        <v>0</v>
      </c>
      <c r="R342" s="13">
        <f>R341+Q342</f>
        <v/>
      </c>
      <c r="S342" s="19">
        <f>S341+IF(N342="已下單",M342,0)</f>
        <v/>
      </c>
      <c r="T342" s="19">
        <f>R342-S342</f>
        <v/>
      </c>
      <c r="U342" s="2">
        <f>U341+IF(N342="已下單",1,0)</f>
        <v/>
      </c>
      <c r="V342" s="19">
        <f>IF(資金模擬!$B$9=2,MAX(R342,0),MAX(V341,FLOOR(MAX(R342,0),資金模擬!$B$6)))</f>
        <v/>
      </c>
      <c r="W342" s="13">
        <f>MAX(W341,R342)</f>
        <v/>
      </c>
      <c r="X342" s="4">
        <f>IF(W342&gt;0,R342/W342-1,-1)</f>
        <v/>
      </c>
      <c r="Y342" s="19">
        <f>IF(R342&gt;0,S342*資金模擬!$B$7/R342,0)</f>
        <v/>
      </c>
      <c r="Z342" s="2">
        <f>IF(OR(Z341=1,R342&lt;=資金模擬!$B$10),1,0)</f>
        <v/>
      </c>
    </row>
    <row r="343">
      <c r="A343" s="2" t="n">
        <v>341</v>
      </c>
      <c r="B343" s="7" t="n">
        <v>46276.875</v>
      </c>
      <c r="C343" s="2" t="inlineStr">
        <is>
          <t>出場</t>
        </is>
      </c>
      <c r="D343" s="2" t="n">
        <v>166</v>
      </c>
      <c r="E343" s="2" t="inlineStr">
        <is>
          <t>NEAR_USDT_PERP</t>
        </is>
      </c>
      <c r="F343" s="2" t="inlineStr">
        <is>
          <t>做空</t>
        </is>
      </c>
      <c r="G343" s="20" t="n">
        <v>2.418</v>
      </c>
      <c r="H343" s="20" t="n">
        <v>2.34546</v>
      </c>
      <c r="I343" s="20" t="n">
        <v>2.5389</v>
      </c>
      <c r="J343" s="20" t="n">
        <v>2.5389</v>
      </c>
      <c r="K343" s="2" t="inlineStr">
        <is>
          <t>止損</t>
        </is>
      </c>
      <c r="L343" s="5">
        <f>交易明細!K167</f>
        <v/>
      </c>
      <c r="M343" s="19">
        <f>M331</f>
        <v/>
      </c>
      <c r="N343" s="2">
        <f>N331</f>
        <v/>
      </c>
      <c r="O343" s="19">
        <f>O331</f>
        <v/>
      </c>
      <c r="P343" s="4">
        <f>交易明細!L167</f>
        <v/>
      </c>
      <c r="Q343" s="13">
        <f>IF(N343="已下單",O343*P343,0)</f>
        <v/>
      </c>
      <c r="R343" s="13">
        <f>R342+Q343</f>
        <v/>
      </c>
      <c r="S343" s="19">
        <f>S342-IF(N343="已下單",M343,0)</f>
        <v/>
      </c>
      <c r="T343" s="19">
        <f>R343-S343</f>
        <v/>
      </c>
      <c r="U343" s="2">
        <f>U342-IF(N343="已下單",1,0)</f>
        <v/>
      </c>
      <c r="V343" s="19">
        <f>IF(資金模擬!$B$9=2,MAX(R343,0),MAX(V342,FLOOR(MAX(R343,0),資金模擬!$B$6)))</f>
        <v/>
      </c>
      <c r="W343" s="13">
        <f>MAX(W342,R343)</f>
        <v/>
      </c>
      <c r="X343" s="4">
        <f>IF(W343&gt;0,R343/W343-1,-1)</f>
        <v/>
      </c>
      <c r="Y343" s="19">
        <f>IF(R343&gt;0,S343*資金模擬!$B$7/R343,0)</f>
        <v/>
      </c>
      <c r="Z343" s="2">
        <f>IF(OR(Z342=1,R343&lt;=資金模擬!$B$10),1,0)</f>
        <v/>
      </c>
    </row>
    <row r="344">
      <c r="A344" s="2" t="n">
        <v>342</v>
      </c>
      <c r="B344" s="7" t="n">
        <v>46276.875</v>
      </c>
      <c r="C344" s="2" t="inlineStr">
        <is>
          <t>出場</t>
        </is>
      </c>
      <c r="D344" s="2" t="n">
        <v>171</v>
      </c>
      <c r="E344" s="2" t="inlineStr">
        <is>
          <t>VVV_USDT_PERP</t>
        </is>
      </c>
      <c r="F344" s="2" t="inlineStr">
        <is>
          <t>做多</t>
        </is>
      </c>
      <c r="G344" s="20" t="n">
        <v>24.665</v>
      </c>
      <c r="H344" s="20" t="n">
        <v>25.40495</v>
      </c>
      <c r="I344" s="20" t="n">
        <v>23.43175</v>
      </c>
      <c r="J344" s="20" t="n">
        <v>25.40495</v>
      </c>
      <c r="K344" s="2" t="inlineStr">
        <is>
          <t>止盈</t>
        </is>
      </c>
      <c r="L344" s="5">
        <f>交易明細!K172</f>
        <v/>
      </c>
      <c r="M344" s="19">
        <f>M342</f>
        <v/>
      </c>
      <c r="N344" s="2">
        <f>N342</f>
        <v/>
      </c>
      <c r="O344" s="19">
        <f>O342</f>
        <v/>
      </c>
      <c r="P344" s="4">
        <f>交易明細!L172</f>
        <v/>
      </c>
      <c r="Q344" s="13">
        <f>IF(N344="已下單",O344*P344,0)</f>
        <v/>
      </c>
      <c r="R344" s="13">
        <f>R343+Q344</f>
        <v/>
      </c>
      <c r="S344" s="19">
        <f>S343-IF(N344="已下單",M344,0)</f>
        <v/>
      </c>
      <c r="T344" s="19">
        <f>R344-S344</f>
        <v/>
      </c>
      <c r="U344" s="2">
        <f>U343-IF(N344="已下單",1,0)</f>
        <v/>
      </c>
      <c r="V344" s="19">
        <f>IF(資金模擬!$B$9=2,MAX(R344,0),MAX(V343,FLOOR(MAX(R344,0),資金模擬!$B$6)))</f>
        <v/>
      </c>
      <c r="W344" s="13">
        <f>MAX(W343,R344)</f>
        <v/>
      </c>
      <c r="X344" s="4">
        <f>IF(W344&gt;0,R344/W344-1,-1)</f>
        <v/>
      </c>
      <c r="Y344" s="19">
        <f>IF(R344&gt;0,S344*資金模擬!$B$7/R344,0)</f>
        <v/>
      </c>
      <c r="Z344" s="2">
        <f>IF(OR(Z343=1,R344&lt;=資金模擬!$B$10),1,0)</f>
        <v/>
      </c>
    </row>
    <row r="345">
      <c r="A345" s="2" t="n">
        <v>343</v>
      </c>
      <c r="B345" s="7" t="n">
        <v>46276.875</v>
      </c>
      <c r="C345" s="2" t="inlineStr">
        <is>
          <t>進場</t>
        </is>
      </c>
      <c r="D345" s="2" t="n">
        <v>172</v>
      </c>
      <c r="E345" s="2" t="inlineStr">
        <is>
          <t>LIT_USDT_PERP</t>
        </is>
      </c>
      <c r="F345" s="2" t="inlineStr">
        <is>
          <t>做多</t>
        </is>
      </c>
      <c r="G345" s="20" t="n">
        <v>4.659</v>
      </c>
      <c r="H345" s="20" t="n">
        <v>4.79877</v>
      </c>
      <c r="I345" s="20" t="n">
        <v>4.42605</v>
      </c>
      <c r="J345" s="20" t="n"/>
      <c r="K345" s="2" t="n"/>
      <c r="L345" s="5" t="n"/>
      <c r="M345" s="19">
        <f>資金模擬!$B$5*V344</f>
        <v/>
      </c>
      <c r="N345" s="2">
        <f>IF(Z344=1,"已停止",IF(T344&gt;=M345,"已下單","資金不足略過"))</f>
        <v/>
      </c>
      <c r="O345" s="19">
        <f>IF(N345="已下單",M345*資金模擬!$B$7,0)</f>
        <v/>
      </c>
      <c r="P345" s="4" t="n"/>
      <c r="Q345" s="13" t="n">
        <v>0</v>
      </c>
      <c r="R345" s="13">
        <f>R344+Q345</f>
        <v/>
      </c>
      <c r="S345" s="19">
        <f>S344+IF(N345="已下單",M345,0)</f>
        <v/>
      </c>
      <c r="T345" s="19">
        <f>R345-S345</f>
        <v/>
      </c>
      <c r="U345" s="2">
        <f>U344+IF(N345="已下單",1,0)</f>
        <v/>
      </c>
      <c r="V345" s="19">
        <f>IF(資金模擬!$B$9=2,MAX(R345,0),MAX(V344,FLOOR(MAX(R345,0),資金模擬!$B$6)))</f>
        <v/>
      </c>
      <c r="W345" s="13">
        <f>MAX(W344,R345)</f>
        <v/>
      </c>
      <c r="X345" s="4">
        <f>IF(W345&gt;0,R345/W345-1,-1)</f>
        <v/>
      </c>
      <c r="Y345" s="19">
        <f>IF(R345&gt;0,S345*資金模擬!$B$7/R345,0)</f>
        <v/>
      </c>
      <c r="Z345" s="2">
        <f>IF(OR(Z344=1,R345&lt;=資金模擬!$B$10),1,0)</f>
        <v/>
      </c>
    </row>
    <row r="346">
      <c r="A346" s="2" t="n">
        <v>344</v>
      </c>
      <c r="B346" s="7" t="n">
        <v>46276.875</v>
      </c>
      <c r="C346" s="2" t="inlineStr">
        <is>
          <t>進場</t>
        </is>
      </c>
      <c r="D346" s="2" t="n">
        <v>173</v>
      </c>
      <c r="E346" s="2" t="inlineStr">
        <is>
          <t>PONS_USDT_PERP</t>
        </is>
      </c>
      <c r="F346" s="2" t="inlineStr">
        <is>
          <t>做多</t>
        </is>
      </c>
      <c r="G346" s="20" t="n">
        <v>0.6194</v>
      </c>
      <c r="H346" s="20" t="n">
        <v>0.6379819999999999</v>
      </c>
      <c r="I346" s="20" t="n">
        <v>0.5884299999999999</v>
      </c>
      <c r="J346" s="20" t="n"/>
      <c r="K346" s="2" t="n"/>
      <c r="L346" s="5" t="n"/>
      <c r="M346" s="19">
        <f>資金模擬!$B$5*V345</f>
        <v/>
      </c>
      <c r="N346" s="2">
        <f>IF(Z345=1,"已停止",IF(T345&gt;=M346,"已下單","資金不足略過"))</f>
        <v/>
      </c>
      <c r="O346" s="19">
        <f>IF(N346="已下單",M346*資金模擬!$B$7,0)</f>
        <v/>
      </c>
      <c r="P346" s="4" t="n"/>
      <c r="Q346" s="13" t="n">
        <v>0</v>
      </c>
      <c r="R346" s="13">
        <f>R345+Q346</f>
        <v/>
      </c>
      <c r="S346" s="19">
        <f>S345+IF(N346="已下單",M346,0)</f>
        <v/>
      </c>
      <c r="T346" s="19">
        <f>R346-S346</f>
        <v/>
      </c>
      <c r="U346" s="2">
        <f>U345+IF(N346="已下單",1,0)</f>
        <v/>
      </c>
      <c r="V346" s="19">
        <f>IF(資金模擬!$B$9=2,MAX(R346,0),MAX(V345,FLOOR(MAX(R346,0),資金模擬!$B$6)))</f>
        <v/>
      </c>
      <c r="W346" s="13">
        <f>MAX(W345,R346)</f>
        <v/>
      </c>
      <c r="X346" s="4">
        <f>IF(W346&gt;0,R346/W346-1,-1)</f>
        <v/>
      </c>
      <c r="Y346" s="19">
        <f>IF(R346&gt;0,S346*資金模擬!$B$7/R346,0)</f>
        <v/>
      </c>
      <c r="Z346" s="2">
        <f>IF(OR(Z345=1,R346&lt;=資金模擬!$B$10),1,0)</f>
        <v/>
      </c>
    </row>
    <row r="347">
      <c r="A347" s="2" t="n">
        <v>345</v>
      </c>
      <c r="B347" s="7" t="n">
        <v>46276.875</v>
      </c>
      <c r="C347" s="2" t="inlineStr">
        <is>
          <t>進場</t>
        </is>
      </c>
      <c r="D347" s="2" t="n">
        <v>174</v>
      </c>
      <c r="E347" s="2" t="inlineStr">
        <is>
          <t>ZEC_USDT_PERP</t>
        </is>
      </c>
      <c r="F347" s="2" t="inlineStr">
        <is>
          <t>做多</t>
        </is>
      </c>
      <c r="G347" s="20" t="n">
        <v>1150.81</v>
      </c>
      <c r="H347" s="20" t="n">
        <v>1185.3343</v>
      </c>
      <c r="I347" s="20" t="n">
        <v>1093.2695</v>
      </c>
      <c r="J347" s="20" t="n"/>
      <c r="K347" s="2" t="n"/>
      <c r="L347" s="5" t="n"/>
      <c r="M347" s="19">
        <f>資金模擬!$B$5*V346</f>
        <v/>
      </c>
      <c r="N347" s="2">
        <f>IF(Z346=1,"已停止",IF(T346&gt;=M347,"已下單","資金不足略過"))</f>
        <v/>
      </c>
      <c r="O347" s="19">
        <f>IF(N347="已下單",M347*資金模擬!$B$7,0)</f>
        <v/>
      </c>
      <c r="P347" s="4" t="n"/>
      <c r="Q347" s="13" t="n">
        <v>0</v>
      </c>
      <c r="R347" s="13">
        <f>R346+Q347</f>
        <v/>
      </c>
      <c r="S347" s="19">
        <f>S346+IF(N347="已下單",M347,0)</f>
        <v/>
      </c>
      <c r="T347" s="19">
        <f>R347-S347</f>
        <v/>
      </c>
      <c r="U347" s="2">
        <f>U346+IF(N347="已下單",1,0)</f>
        <v/>
      </c>
      <c r="V347" s="19">
        <f>IF(資金模擬!$B$9=2,MAX(R347,0),MAX(V346,FLOOR(MAX(R347,0),資金模擬!$B$6)))</f>
        <v/>
      </c>
      <c r="W347" s="13">
        <f>MAX(W346,R347)</f>
        <v/>
      </c>
      <c r="X347" s="4">
        <f>IF(W347&gt;0,R347/W347-1,-1)</f>
        <v/>
      </c>
      <c r="Y347" s="19">
        <f>IF(R347&gt;0,S347*資金模擬!$B$7/R347,0)</f>
        <v/>
      </c>
      <c r="Z347" s="2">
        <f>IF(OR(Z346=1,R347&lt;=資金模擬!$B$10),1,0)</f>
        <v/>
      </c>
    </row>
    <row r="348">
      <c r="A348" s="2" t="n">
        <v>346</v>
      </c>
      <c r="B348" s="7" t="n">
        <v>46276.91666666666</v>
      </c>
      <c r="C348" s="2" t="inlineStr">
        <is>
          <t>出場</t>
        </is>
      </c>
      <c r="D348" s="2" t="n">
        <v>173</v>
      </c>
      <c r="E348" s="2" t="inlineStr">
        <is>
          <t>PONS_USDT_PERP</t>
        </is>
      </c>
      <c r="F348" s="2" t="inlineStr">
        <is>
          <t>做多</t>
        </is>
      </c>
      <c r="G348" s="20" t="n">
        <v>0.6194</v>
      </c>
      <c r="H348" s="20" t="n">
        <v>0.6379819999999999</v>
      </c>
      <c r="I348" s="20" t="n">
        <v>0.5884299999999999</v>
      </c>
      <c r="J348" s="20" t="n">
        <v>0.6379819999999999</v>
      </c>
      <c r="K348" s="2" t="inlineStr">
        <is>
          <t>止盈</t>
        </is>
      </c>
      <c r="L348" s="5">
        <f>交易明細!K174</f>
        <v/>
      </c>
      <c r="M348" s="19">
        <f>M346</f>
        <v/>
      </c>
      <c r="N348" s="2">
        <f>N346</f>
        <v/>
      </c>
      <c r="O348" s="19">
        <f>O346</f>
        <v/>
      </c>
      <c r="P348" s="4">
        <f>交易明細!L174</f>
        <v/>
      </c>
      <c r="Q348" s="13">
        <f>IF(N348="已下單",O348*P348,0)</f>
        <v/>
      </c>
      <c r="R348" s="13">
        <f>R347+Q348</f>
        <v/>
      </c>
      <c r="S348" s="19">
        <f>S347-IF(N348="已下單",M348,0)</f>
        <v/>
      </c>
      <c r="T348" s="19">
        <f>R348-S348</f>
        <v/>
      </c>
      <c r="U348" s="2">
        <f>U347-IF(N348="已下單",1,0)</f>
        <v/>
      </c>
      <c r="V348" s="19">
        <f>IF(資金模擬!$B$9=2,MAX(R348,0),MAX(V347,FLOOR(MAX(R348,0),資金模擬!$B$6)))</f>
        <v/>
      </c>
      <c r="W348" s="13">
        <f>MAX(W347,R348)</f>
        <v/>
      </c>
      <c r="X348" s="4">
        <f>IF(W348&gt;0,R348/W348-1,-1)</f>
        <v/>
      </c>
      <c r="Y348" s="19">
        <f>IF(R348&gt;0,S348*資金模擬!$B$7/R348,0)</f>
        <v/>
      </c>
      <c r="Z348" s="2">
        <f>IF(OR(Z347=1,R348&lt;=資金模擬!$B$10),1,0)</f>
        <v/>
      </c>
    </row>
    <row r="349">
      <c r="A349" s="2" t="n">
        <v>347</v>
      </c>
      <c r="B349" s="7" t="n">
        <v>46276.91666666666</v>
      </c>
      <c r="C349" s="2" t="inlineStr">
        <is>
          <t>出場</t>
        </is>
      </c>
      <c r="D349" s="2" t="n">
        <v>174</v>
      </c>
      <c r="E349" s="2" t="inlineStr">
        <is>
          <t>ZEC_USDT_PERP</t>
        </is>
      </c>
      <c r="F349" s="2" t="inlineStr">
        <is>
          <t>做多</t>
        </is>
      </c>
      <c r="G349" s="20" t="n">
        <v>1150.81</v>
      </c>
      <c r="H349" s="20" t="n">
        <v>1185.3343</v>
      </c>
      <c r="I349" s="20" t="n">
        <v>1093.2695</v>
      </c>
      <c r="J349" s="20" t="n">
        <v>1185.3343</v>
      </c>
      <c r="K349" s="2" t="inlineStr">
        <is>
          <t>止盈</t>
        </is>
      </c>
      <c r="L349" s="5">
        <f>交易明細!K175</f>
        <v/>
      </c>
      <c r="M349" s="19">
        <f>M347</f>
        <v/>
      </c>
      <c r="N349" s="2">
        <f>N347</f>
        <v/>
      </c>
      <c r="O349" s="19">
        <f>O347</f>
        <v/>
      </c>
      <c r="P349" s="4">
        <f>交易明細!L175</f>
        <v/>
      </c>
      <c r="Q349" s="13">
        <f>IF(N349="已下單",O349*P349,0)</f>
        <v/>
      </c>
      <c r="R349" s="13">
        <f>R348+Q349</f>
        <v/>
      </c>
      <c r="S349" s="19">
        <f>S348-IF(N349="已下單",M349,0)</f>
        <v/>
      </c>
      <c r="T349" s="19">
        <f>R349-S349</f>
        <v/>
      </c>
      <c r="U349" s="2">
        <f>U348-IF(N349="已下單",1,0)</f>
        <v/>
      </c>
      <c r="V349" s="19">
        <f>IF(資金模擬!$B$9=2,MAX(R349,0),MAX(V348,FLOOR(MAX(R349,0),資金模擬!$B$6)))</f>
        <v/>
      </c>
      <c r="W349" s="13">
        <f>MAX(W348,R349)</f>
        <v/>
      </c>
      <c r="X349" s="4">
        <f>IF(W349&gt;0,R349/W349-1,-1)</f>
        <v/>
      </c>
      <c r="Y349" s="19">
        <f>IF(R349&gt;0,S349*資金模擬!$B$7/R349,0)</f>
        <v/>
      </c>
      <c r="Z349" s="2">
        <f>IF(OR(Z348=1,R349&lt;=資金模擬!$B$10),1,0)</f>
        <v/>
      </c>
    </row>
    <row r="350">
      <c r="A350" s="2" t="n">
        <v>348</v>
      </c>
      <c r="B350" s="7" t="n">
        <v>46276.91666666666</v>
      </c>
      <c r="C350" s="2" t="inlineStr">
        <is>
          <t>進場</t>
        </is>
      </c>
      <c r="D350" s="2" t="n">
        <v>175</v>
      </c>
      <c r="E350" s="2" t="inlineStr">
        <is>
          <t>PUMP_USDT_PERP</t>
        </is>
      </c>
      <c r="F350" s="2" t="inlineStr">
        <is>
          <t>做多</t>
        </is>
      </c>
      <c r="G350" s="20" t="n">
        <v>0.003843</v>
      </c>
      <c r="H350" s="20" t="n">
        <v>0.003958290000000001</v>
      </c>
      <c r="I350" s="20" t="n">
        <v>0.00365085</v>
      </c>
      <c r="J350" s="20" t="n"/>
      <c r="K350" s="2" t="n"/>
      <c r="L350" s="5" t="n"/>
      <c r="M350" s="19">
        <f>資金模擬!$B$5*V349</f>
        <v/>
      </c>
      <c r="N350" s="2">
        <f>IF(Z349=1,"已停止",IF(T349&gt;=M350,"已下單","資金不足略過"))</f>
        <v/>
      </c>
      <c r="O350" s="19">
        <f>IF(N350="已下單",M350*資金模擬!$B$7,0)</f>
        <v/>
      </c>
      <c r="P350" s="4" t="n"/>
      <c r="Q350" s="13" t="n">
        <v>0</v>
      </c>
      <c r="R350" s="13">
        <f>R349+Q350</f>
        <v/>
      </c>
      <c r="S350" s="19">
        <f>S349+IF(N350="已下單",M350,0)</f>
        <v/>
      </c>
      <c r="T350" s="19">
        <f>R350-S350</f>
        <v/>
      </c>
      <c r="U350" s="2">
        <f>U349+IF(N350="已下單",1,0)</f>
        <v/>
      </c>
      <c r="V350" s="19">
        <f>IF(資金模擬!$B$9=2,MAX(R350,0),MAX(V349,FLOOR(MAX(R350,0),資金模擬!$B$6)))</f>
        <v/>
      </c>
      <c r="W350" s="13">
        <f>MAX(W349,R350)</f>
        <v/>
      </c>
      <c r="X350" s="4">
        <f>IF(W350&gt;0,R350/W350-1,-1)</f>
        <v/>
      </c>
      <c r="Y350" s="19">
        <f>IF(R350&gt;0,S350*資金模擬!$B$7/R350,0)</f>
        <v/>
      </c>
      <c r="Z350" s="2">
        <f>IF(OR(Z349=1,R350&lt;=資金模擬!$B$10),1,0)</f>
        <v/>
      </c>
    </row>
    <row r="351">
      <c r="A351" s="2" t="n">
        <v>349</v>
      </c>
      <c r="B351" s="7" t="n">
        <v>46276.95833333334</v>
      </c>
      <c r="C351" s="2" t="inlineStr">
        <is>
          <t>出場</t>
        </is>
      </c>
      <c r="D351" s="2" t="n">
        <v>172</v>
      </c>
      <c r="E351" s="2" t="inlineStr">
        <is>
          <t>LIT_USDT_PERP</t>
        </is>
      </c>
      <c r="F351" s="2" t="inlineStr">
        <is>
          <t>做多</t>
        </is>
      </c>
      <c r="G351" s="20" t="n">
        <v>4.659</v>
      </c>
      <c r="H351" s="20" t="n">
        <v>4.79877</v>
      </c>
      <c r="I351" s="20" t="n">
        <v>4.42605</v>
      </c>
      <c r="J351" s="20" t="n">
        <v>4.79877</v>
      </c>
      <c r="K351" s="2" t="inlineStr">
        <is>
          <t>止盈</t>
        </is>
      </c>
      <c r="L351" s="5">
        <f>交易明細!K173</f>
        <v/>
      </c>
      <c r="M351" s="19">
        <f>M345</f>
        <v/>
      </c>
      <c r="N351" s="2">
        <f>N345</f>
        <v/>
      </c>
      <c r="O351" s="19">
        <f>O345</f>
        <v/>
      </c>
      <c r="P351" s="4">
        <f>交易明細!L173</f>
        <v/>
      </c>
      <c r="Q351" s="13">
        <f>IF(N351="已下單",O351*P351,0)</f>
        <v/>
      </c>
      <c r="R351" s="13">
        <f>R350+Q351</f>
        <v/>
      </c>
      <c r="S351" s="19">
        <f>S350-IF(N351="已下單",M351,0)</f>
        <v/>
      </c>
      <c r="T351" s="19">
        <f>R351-S351</f>
        <v/>
      </c>
      <c r="U351" s="2">
        <f>U350-IF(N351="已下單",1,0)</f>
        <v/>
      </c>
      <c r="V351" s="19">
        <f>IF(資金模擬!$B$9=2,MAX(R351,0),MAX(V350,FLOOR(MAX(R351,0),資金模擬!$B$6)))</f>
        <v/>
      </c>
      <c r="W351" s="13">
        <f>MAX(W350,R351)</f>
        <v/>
      </c>
      <c r="X351" s="4">
        <f>IF(W351&gt;0,R351/W351-1,-1)</f>
        <v/>
      </c>
      <c r="Y351" s="19">
        <f>IF(R351&gt;0,S351*資金模擬!$B$7/R351,0)</f>
        <v/>
      </c>
      <c r="Z351" s="2">
        <f>IF(OR(Z350=1,R351&lt;=資金模擬!$B$10),1,0)</f>
        <v/>
      </c>
    </row>
    <row r="352">
      <c r="A352" s="2" t="n">
        <v>350</v>
      </c>
      <c r="B352" s="7" t="n">
        <v>46277</v>
      </c>
      <c r="C352" s="2" t="inlineStr">
        <is>
          <t>出場</t>
        </is>
      </c>
      <c r="D352" s="2" t="n">
        <v>175</v>
      </c>
      <c r="E352" s="2" t="inlineStr">
        <is>
          <t>PUMP_USDT_PERP</t>
        </is>
      </c>
      <c r="F352" s="2" t="inlineStr">
        <is>
          <t>做多</t>
        </is>
      </c>
      <c r="G352" s="20" t="n">
        <v>0.003843</v>
      </c>
      <c r="H352" s="20" t="n">
        <v>0.003958290000000001</v>
      </c>
      <c r="I352" s="20" t="n">
        <v>0.00365085</v>
      </c>
      <c r="J352" s="20" t="n">
        <v>0.00365085</v>
      </c>
      <c r="K352" s="2" t="inlineStr">
        <is>
          <t>止損</t>
        </is>
      </c>
      <c r="L352" s="5">
        <f>交易明細!K176</f>
        <v/>
      </c>
      <c r="M352" s="19">
        <f>M350</f>
        <v/>
      </c>
      <c r="N352" s="2">
        <f>N350</f>
        <v/>
      </c>
      <c r="O352" s="19">
        <f>O350</f>
        <v/>
      </c>
      <c r="P352" s="4">
        <f>交易明細!L176</f>
        <v/>
      </c>
      <c r="Q352" s="13">
        <f>IF(N352="已下單",O352*P352,0)</f>
        <v/>
      </c>
      <c r="R352" s="13">
        <f>R351+Q352</f>
        <v/>
      </c>
      <c r="S352" s="19">
        <f>S351-IF(N352="已下單",M352,0)</f>
        <v/>
      </c>
      <c r="T352" s="19">
        <f>R352-S352</f>
        <v/>
      </c>
      <c r="U352" s="2">
        <f>U351-IF(N352="已下單",1,0)</f>
        <v/>
      </c>
      <c r="V352" s="19">
        <f>IF(資金模擬!$B$9=2,MAX(R352,0),MAX(V351,FLOOR(MAX(R352,0),資金模擬!$B$6)))</f>
        <v/>
      </c>
      <c r="W352" s="13">
        <f>MAX(W351,R352)</f>
        <v/>
      </c>
      <c r="X352" s="4">
        <f>IF(W352&gt;0,R352/W352-1,-1)</f>
        <v/>
      </c>
      <c r="Y352" s="19">
        <f>IF(R352&gt;0,S352*資金模擬!$B$7/R352,0)</f>
        <v/>
      </c>
      <c r="Z352" s="2">
        <f>IF(OR(Z351=1,R352&lt;=資金模擬!$B$10),1,0)</f>
        <v/>
      </c>
    </row>
    <row r="353">
      <c r="A353" s="2" t="n">
        <v>351</v>
      </c>
      <c r="B353" s="7" t="n">
        <v>46277.04166666666</v>
      </c>
      <c r="C353" s="2" t="inlineStr">
        <is>
          <t>進場</t>
        </is>
      </c>
      <c r="D353" s="2" t="n">
        <v>176</v>
      </c>
      <c r="E353" s="2" t="inlineStr">
        <is>
          <t>PONS_USDT_PERP</t>
        </is>
      </c>
      <c r="F353" s="2" t="inlineStr">
        <is>
          <t>做空</t>
        </is>
      </c>
      <c r="G353" s="20" t="n">
        <v>0.6084000000000001</v>
      </c>
      <c r="H353" s="20" t="n">
        <v>0.590148</v>
      </c>
      <c r="I353" s="20" t="n">
        <v>0.6388200000000001</v>
      </c>
      <c r="J353" s="20" t="n"/>
      <c r="K353" s="2" t="n"/>
      <c r="L353" s="5" t="n"/>
      <c r="M353" s="19">
        <f>資金模擬!$B$5*V352</f>
        <v/>
      </c>
      <c r="N353" s="2">
        <f>IF(Z352=1,"已停止",IF(T352&gt;=M353,"已下單","資金不足略過"))</f>
        <v/>
      </c>
      <c r="O353" s="19">
        <f>IF(N353="已下單",M353*資金模擬!$B$7,0)</f>
        <v/>
      </c>
      <c r="P353" s="4" t="n"/>
      <c r="Q353" s="13" t="n">
        <v>0</v>
      </c>
      <c r="R353" s="13">
        <f>R352+Q353</f>
        <v/>
      </c>
      <c r="S353" s="19">
        <f>S352+IF(N353="已下單",M353,0)</f>
        <v/>
      </c>
      <c r="T353" s="19">
        <f>R353-S353</f>
        <v/>
      </c>
      <c r="U353" s="2">
        <f>U352+IF(N353="已下單",1,0)</f>
        <v/>
      </c>
      <c r="V353" s="19">
        <f>IF(資金模擬!$B$9=2,MAX(R353,0),MAX(V352,FLOOR(MAX(R353,0),資金模擬!$B$6)))</f>
        <v/>
      </c>
      <c r="W353" s="13">
        <f>MAX(W352,R353)</f>
        <v/>
      </c>
      <c r="X353" s="4">
        <f>IF(W353&gt;0,R353/W353-1,-1)</f>
        <v/>
      </c>
      <c r="Y353" s="19">
        <f>IF(R353&gt;0,S353*資金模擬!$B$7/R353,0)</f>
        <v/>
      </c>
      <c r="Z353" s="2">
        <f>IF(OR(Z352=1,R353&lt;=資金模擬!$B$10),1,0)</f>
        <v/>
      </c>
    </row>
    <row r="354">
      <c r="A354" s="2" t="n">
        <v>352</v>
      </c>
      <c r="B354" s="7" t="n">
        <v>46277.08333333334</v>
      </c>
      <c r="C354" s="2" t="inlineStr">
        <is>
          <t>進場</t>
        </is>
      </c>
      <c r="D354" s="2" t="n">
        <v>177</v>
      </c>
      <c r="E354" s="2" t="inlineStr">
        <is>
          <t>IOST_USDT_PERP</t>
        </is>
      </c>
      <c r="F354" s="2" t="inlineStr">
        <is>
          <t>做空</t>
        </is>
      </c>
      <c r="G354" s="20" t="n">
        <v>0.000895</v>
      </c>
      <c r="H354" s="20" t="n">
        <v>0.0008681499999999999</v>
      </c>
      <c r="I354" s="20" t="n">
        <v>0.00093975</v>
      </c>
      <c r="J354" s="20" t="n"/>
      <c r="K354" s="2" t="n"/>
      <c r="L354" s="5" t="n"/>
      <c r="M354" s="19">
        <f>資金模擬!$B$5*V353</f>
        <v/>
      </c>
      <c r="N354" s="2">
        <f>IF(Z353=1,"已停止",IF(T353&gt;=M354,"已下單","資金不足略過"))</f>
        <v/>
      </c>
      <c r="O354" s="19">
        <f>IF(N354="已下單",M354*資金模擬!$B$7,0)</f>
        <v/>
      </c>
      <c r="P354" s="4" t="n"/>
      <c r="Q354" s="13" t="n">
        <v>0</v>
      </c>
      <c r="R354" s="13">
        <f>R353+Q354</f>
        <v/>
      </c>
      <c r="S354" s="19">
        <f>S353+IF(N354="已下單",M354,0)</f>
        <v/>
      </c>
      <c r="T354" s="19">
        <f>R354-S354</f>
        <v/>
      </c>
      <c r="U354" s="2">
        <f>U353+IF(N354="已下單",1,0)</f>
        <v/>
      </c>
      <c r="V354" s="19">
        <f>IF(資金模擬!$B$9=2,MAX(R354,0),MAX(V353,FLOOR(MAX(R354,0),資金模擬!$B$6)))</f>
        <v/>
      </c>
      <c r="W354" s="13">
        <f>MAX(W353,R354)</f>
        <v/>
      </c>
      <c r="X354" s="4">
        <f>IF(W354&gt;0,R354/W354-1,-1)</f>
        <v/>
      </c>
      <c r="Y354" s="19">
        <f>IF(R354&gt;0,S354*資金模擬!$B$7/R354,0)</f>
        <v/>
      </c>
      <c r="Z354" s="2">
        <f>IF(OR(Z353=1,R354&lt;=資金模擬!$B$10),1,0)</f>
        <v/>
      </c>
    </row>
    <row r="355">
      <c r="A355" s="2" t="n">
        <v>353</v>
      </c>
      <c r="B355" s="7" t="n">
        <v>46277.125</v>
      </c>
      <c r="C355" s="2" t="inlineStr">
        <is>
          <t>進場</t>
        </is>
      </c>
      <c r="D355" s="2" t="n">
        <v>178</v>
      </c>
      <c r="E355" s="2" t="inlineStr">
        <is>
          <t>ENA_USDT_PERP</t>
        </is>
      </c>
      <c r="F355" s="2" t="inlineStr">
        <is>
          <t>做空</t>
        </is>
      </c>
      <c r="G355" s="20" t="n">
        <v>0.1418</v>
      </c>
      <c r="H355" s="20" t="n">
        <v>0.137546</v>
      </c>
      <c r="I355" s="20" t="n">
        <v>0.14889</v>
      </c>
      <c r="J355" s="20" t="n"/>
      <c r="K355" s="2" t="n"/>
      <c r="L355" s="5" t="n"/>
      <c r="M355" s="19">
        <f>資金模擬!$B$5*V354</f>
        <v/>
      </c>
      <c r="N355" s="2">
        <f>IF(Z354=1,"已停止",IF(T354&gt;=M355,"已下單","資金不足略過"))</f>
        <v/>
      </c>
      <c r="O355" s="19">
        <f>IF(N355="已下單",M355*資金模擬!$B$7,0)</f>
        <v/>
      </c>
      <c r="P355" s="4" t="n"/>
      <c r="Q355" s="13" t="n">
        <v>0</v>
      </c>
      <c r="R355" s="13">
        <f>R354+Q355</f>
        <v/>
      </c>
      <c r="S355" s="19">
        <f>S354+IF(N355="已下單",M355,0)</f>
        <v/>
      </c>
      <c r="T355" s="19">
        <f>R355-S355</f>
        <v/>
      </c>
      <c r="U355" s="2">
        <f>U354+IF(N355="已下單",1,0)</f>
        <v/>
      </c>
      <c r="V355" s="19">
        <f>IF(資金模擬!$B$9=2,MAX(R355,0),MAX(V354,FLOOR(MAX(R355,0),資金模擬!$B$6)))</f>
        <v/>
      </c>
      <c r="W355" s="13">
        <f>MAX(W354,R355)</f>
        <v/>
      </c>
      <c r="X355" s="4">
        <f>IF(W355&gt;0,R355/W355-1,-1)</f>
        <v/>
      </c>
      <c r="Y355" s="19">
        <f>IF(R355&gt;0,S355*資金模擬!$B$7/R355,0)</f>
        <v/>
      </c>
      <c r="Z355" s="2">
        <f>IF(OR(Z354=1,R355&lt;=資金模擬!$B$10),1,0)</f>
        <v/>
      </c>
    </row>
    <row r="356">
      <c r="A356" s="2" t="n">
        <v>354</v>
      </c>
      <c r="B356" s="7" t="n">
        <v>46277.125</v>
      </c>
      <c r="C356" s="2" t="inlineStr">
        <is>
          <t>進場</t>
        </is>
      </c>
      <c r="D356" s="2" t="n">
        <v>179</v>
      </c>
      <c r="E356" s="2" t="inlineStr">
        <is>
          <t>MARSCOIN_USDT_PERP</t>
        </is>
      </c>
      <c r="F356" s="2" t="inlineStr">
        <is>
          <t>做空</t>
        </is>
      </c>
      <c r="G356" s="20" t="n">
        <v>0.12248</v>
      </c>
      <c r="H356" s="20" t="n">
        <v>0.1188056</v>
      </c>
      <c r="I356" s="20" t="n">
        <v>0.128604</v>
      </c>
      <c r="J356" s="20" t="n"/>
      <c r="K356" s="2" t="n"/>
      <c r="L356" s="5" t="n"/>
      <c r="M356" s="19">
        <f>資金模擬!$B$5*V355</f>
        <v/>
      </c>
      <c r="N356" s="2">
        <f>IF(Z355=1,"已停止",IF(T355&gt;=M356,"已下單","資金不足略過"))</f>
        <v/>
      </c>
      <c r="O356" s="19">
        <f>IF(N356="已下單",M356*資金模擬!$B$7,0)</f>
        <v/>
      </c>
      <c r="P356" s="4" t="n"/>
      <c r="Q356" s="13" t="n">
        <v>0</v>
      </c>
      <c r="R356" s="13">
        <f>R355+Q356</f>
        <v/>
      </c>
      <c r="S356" s="19">
        <f>S355+IF(N356="已下單",M356,0)</f>
        <v/>
      </c>
      <c r="T356" s="19">
        <f>R356-S356</f>
        <v/>
      </c>
      <c r="U356" s="2">
        <f>U355+IF(N356="已下單",1,0)</f>
        <v/>
      </c>
      <c r="V356" s="19">
        <f>IF(資金模擬!$B$9=2,MAX(R356,0),MAX(V355,FLOOR(MAX(R356,0),資金模擬!$B$6)))</f>
        <v/>
      </c>
      <c r="W356" s="13">
        <f>MAX(W355,R356)</f>
        <v/>
      </c>
      <c r="X356" s="4">
        <f>IF(W356&gt;0,R356/W356-1,-1)</f>
        <v/>
      </c>
      <c r="Y356" s="19">
        <f>IF(R356&gt;0,S356*資金模擬!$B$7/R356,0)</f>
        <v/>
      </c>
      <c r="Z356" s="2">
        <f>IF(OR(Z355=1,R356&lt;=資金模擬!$B$10),1,0)</f>
        <v/>
      </c>
    </row>
    <row r="357">
      <c r="A357" s="2" t="n">
        <v>355</v>
      </c>
      <c r="B357" s="7" t="n">
        <v>46277.125</v>
      </c>
      <c r="C357" s="2" t="inlineStr">
        <is>
          <t>進場</t>
        </is>
      </c>
      <c r="D357" s="2" t="n">
        <v>180</v>
      </c>
      <c r="E357" s="2" t="inlineStr">
        <is>
          <t>PUMP_USDT_PERP</t>
        </is>
      </c>
      <c r="F357" s="2" t="inlineStr">
        <is>
          <t>做空</t>
        </is>
      </c>
      <c r="G357" s="20" t="n">
        <v>0.003537</v>
      </c>
      <c r="H357" s="20" t="n">
        <v>0.00343089</v>
      </c>
      <c r="I357" s="20" t="n">
        <v>0.00371385</v>
      </c>
      <c r="J357" s="20" t="n"/>
      <c r="K357" s="2" t="n"/>
      <c r="L357" s="5" t="n"/>
      <c r="M357" s="19">
        <f>資金模擬!$B$5*V356</f>
        <v/>
      </c>
      <c r="N357" s="2">
        <f>IF(Z356=1,"已停止",IF(T356&gt;=M357,"已下單","資金不足略過"))</f>
        <v/>
      </c>
      <c r="O357" s="19">
        <f>IF(N357="已下單",M357*資金模擬!$B$7,0)</f>
        <v/>
      </c>
      <c r="P357" s="4" t="n"/>
      <c r="Q357" s="13" t="n">
        <v>0</v>
      </c>
      <c r="R357" s="13">
        <f>R356+Q357</f>
        <v/>
      </c>
      <c r="S357" s="19">
        <f>S356+IF(N357="已下單",M357,0)</f>
        <v/>
      </c>
      <c r="T357" s="19">
        <f>R357-S357</f>
        <v/>
      </c>
      <c r="U357" s="2">
        <f>U356+IF(N357="已下單",1,0)</f>
        <v/>
      </c>
      <c r="V357" s="19">
        <f>IF(資金模擬!$B$9=2,MAX(R357,0),MAX(V356,FLOOR(MAX(R357,0),資金模擬!$B$6)))</f>
        <v/>
      </c>
      <c r="W357" s="13">
        <f>MAX(W356,R357)</f>
        <v/>
      </c>
      <c r="X357" s="4">
        <f>IF(W357&gt;0,R357/W357-1,-1)</f>
        <v/>
      </c>
      <c r="Y357" s="19">
        <f>IF(R357&gt;0,S357*資金模擬!$B$7/R357,0)</f>
        <v/>
      </c>
      <c r="Z357" s="2">
        <f>IF(OR(Z356=1,R357&lt;=資金模擬!$B$10),1,0)</f>
        <v/>
      </c>
    </row>
    <row r="358">
      <c r="A358" s="2" t="n">
        <v>356</v>
      </c>
      <c r="B358" s="7" t="n">
        <v>46277.125</v>
      </c>
      <c r="C358" s="2" t="inlineStr">
        <is>
          <t>進場</t>
        </is>
      </c>
      <c r="D358" s="2" t="n">
        <v>181</v>
      </c>
      <c r="E358" s="2" t="inlineStr">
        <is>
          <t>USELESS_USDT_PERP</t>
        </is>
      </c>
      <c r="F358" s="2" t="inlineStr">
        <is>
          <t>做空</t>
        </is>
      </c>
      <c r="G358" s="20" t="n">
        <v>0.22299</v>
      </c>
      <c r="H358" s="20" t="n">
        <v>0.2163003</v>
      </c>
      <c r="I358" s="20" t="n">
        <v>0.2341395</v>
      </c>
      <c r="J358" s="20" t="n"/>
      <c r="K358" s="2" t="n"/>
      <c r="L358" s="5" t="n"/>
      <c r="M358" s="19">
        <f>資金模擬!$B$5*V357</f>
        <v/>
      </c>
      <c r="N358" s="2">
        <f>IF(Z357=1,"已停止",IF(T357&gt;=M358,"已下單","資金不足略過"))</f>
        <v/>
      </c>
      <c r="O358" s="19">
        <f>IF(N358="已下單",M358*資金模擬!$B$7,0)</f>
        <v/>
      </c>
      <c r="P358" s="4" t="n"/>
      <c r="Q358" s="13" t="n">
        <v>0</v>
      </c>
      <c r="R358" s="13">
        <f>R357+Q358</f>
        <v/>
      </c>
      <c r="S358" s="19">
        <f>S357+IF(N358="已下單",M358,0)</f>
        <v/>
      </c>
      <c r="T358" s="19">
        <f>R358-S358</f>
        <v/>
      </c>
      <c r="U358" s="2">
        <f>U357+IF(N358="已下單",1,0)</f>
        <v/>
      </c>
      <c r="V358" s="19">
        <f>IF(資金模擬!$B$9=2,MAX(R358,0),MAX(V357,FLOOR(MAX(R358,0),資金模擬!$B$6)))</f>
        <v/>
      </c>
      <c r="W358" s="13">
        <f>MAX(W357,R358)</f>
        <v/>
      </c>
      <c r="X358" s="4">
        <f>IF(W358&gt;0,R358/W358-1,-1)</f>
        <v/>
      </c>
      <c r="Y358" s="19">
        <f>IF(R358&gt;0,S358*資金模擬!$B$7/R358,0)</f>
        <v/>
      </c>
      <c r="Z358" s="2">
        <f>IF(OR(Z357=1,R358&lt;=資金模擬!$B$10),1,0)</f>
        <v/>
      </c>
    </row>
    <row r="359">
      <c r="A359" s="2" t="n">
        <v>357</v>
      </c>
      <c r="B359" s="7" t="n">
        <v>46277.16666666666</v>
      </c>
      <c r="C359" s="2" t="inlineStr">
        <is>
          <t>出場</t>
        </is>
      </c>
      <c r="D359" s="2" t="n">
        <v>176</v>
      </c>
      <c r="E359" s="2" t="inlineStr">
        <is>
          <t>PONS_USDT_PERP</t>
        </is>
      </c>
      <c r="F359" s="2" t="inlineStr">
        <is>
          <t>做空</t>
        </is>
      </c>
      <c r="G359" s="20" t="n">
        <v>0.6084000000000001</v>
      </c>
      <c r="H359" s="20" t="n">
        <v>0.590148</v>
      </c>
      <c r="I359" s="20" t="n">
        <v>0.6388200000000001</v>
      </c>
      <c r="J359" s="20" t="n">
        <v>0.590148</v>
      </c>
      <c r="K359" s="2" t="inlineStr">
        <is>
          <t>止盈</t>
        </is>
      </c>
      <c r="L359" s="5">
        <f>交易明細!K177</f>
        <v/>
      </c>
      <c r="M359" s="19">
        <f>M353</f>
        <v/>
      </c>
      <c r="N359" s="2">
        <f>N353</f>
        <v/>
      </c>
      <c r="O359" s="19">
        <f>O353</f>
        <v/>
      </c>
      <c r="P359" s="4">
        <f>交易明細!L177</f>
        <v/>
      </c>
      <c r="Q359" s="13">
        <f>IF(N359="已下單",O359*P359,0)</f>
        <v/>
      </c>
      <c r="R359" s="13">
        <f>R358+Q359</f>
        <v/>
      </c>
      <c r="S359" s="19">
        <f>S358-IF(N359="已下單",M359,0)</f>
        <v/>
      </c>
      <c r="T359" s="19">
        <f>R359-S359</f>
        <v/>
      </c>
      <c r="U359" s="2">
        <f>U358-IF(N359="已下單",1,0)</f>
        <v/>
      </c>
      <c r="V359" s="19">
        <f>IF(資金模擬!$B$9=2,MAX(R359,0),MAX(V358,FLOOR(MAX(R359,0),資金模擬!$B$6)))</f>
        <v/>
      </c>
      <c r="W359" s="13">
        <f>MAX(W358,R359)</f>
        <v/>
      </c>
      <c r="X359" s="4">
        <f>IF(W359&gt;0,R359/W359-1,-1)</f>
        <v/>
      </c>
      <c r="Y359" s="19">
        <f>IF(R359&gt;0,S359*資金模擬!$B$7/R359,0)</f>
        <v/>
      </c>
      <c r="Z359" s="2">
        <f>IF(OR(Z358=1,R359&lt;=資金模擬!$B$10),1,0)</f>
        <v/>
      </c>
    </row>
    <row r="360">
      <c r="A360" s="2" t="n">
        <v>358</v>
      </c>
      <c r="B360" s="7" t="n">
        <v>46277.16666666666</v>
      </c>
      <c r="C360" s="2" t="inlineStr">
        <is>
          <t>出場</t>
        </is>
      </c>
      <c r="D360" s="2" t="n">
        <v>181</v>
      </c>
      <c r="E360" s="2" t="inlineStr">
        <is>
          <t>USELESS_USDT_PERP</t>
        </is>
      </c>
      <c r="F360" s="2" t="inlineStr">
        <is>
          <t>做空</t>
        </is>
      </c>
      <c r="G360" s="20" t="n">
        <v>0.22299</v>
      </c>
      <c r="H360" s="20" t="n">
        <v>0.2163003</v>
      </c>
      <c r="I360" s="20" t="n">
        <v>0.2341395</v>
      </c>
      <c r="J360" s="20" t="n">
        <v>0.2163003</v>
      </c>
      <c r="K360" s="2" t="inlineStr">
        <is>
          <t>止盈</t>
        </is>
      </c>
      <c r="L360" s="5">
        <f>交易明細!K182</f>
        <v/>
      </c>
      <c r="M360" s="19">
        <f>M358</f>
        <v/>
      </c>
      <c r="N360" s="2">
        <f>N358</f>
        <v/>
      </c>
      <c r="O360" s="19">
        <f>O358</f>
        <v/>
      </c>
      <c r="P360" s="4">
        <f>交易明細!L182</f>
        <v/>
      </c>
      <c r="Q360" s="13">
        <f>IF(N360="已下單",O360*P360,0)</f>
        <v/>
      </c>
      <c r="R360" s="13">
        <f>R359+Q360</f>
        <v/>
      </c>
      <c r="S360" s="19">
        <f>S359-IF(N360="已下單",M360,0)</f>
        <v/>
      </c>
      <c r="T360" s="19">
        <f>R360-S360</f>
        <v/>
      </c>
      <c r="U360" s="2">
        <f>U359-IF(N360="已下單",1,0)</f>
        <v/>
      </c>
      <c r="V360" s="19">
        <f>IF(資金模擬!$B$9=2,MAX(R360,0),MAX(V359,FLOOR(MAX(R360,0),資金模擬!$B$6)))</f>
        <v/>
      </c>
      <c r="W360" s="13">
        <f>MAX(W359,R360)</f>
        <v/>
      </c>
      <c r="X360" s="4">
        <f>IF(W360&gt;0,R360/W360-1,-1)</f>
        <v/>
      </c>
      <c r="Y360" s="19">
        <f>IF(R360&gt;0,S360*資金模擬!$B$7/R360,0)</f>
        <v/>
      </c>
      <c r="Z360" s="2">
        <f>IF(OR(Z359=1,R360&lt;=資金模擬!$B$10),1,0)</f>
        <v/>
      </c>
    </row>
    <row r="361">
      <c r="A361" s="2" t="n">
        <v>359</v>
      </c>
      <c r="B361" s="7" t="n">
        <v>46277.20833333334</v>
      </c>
      <c r="C361" s="2" t="inlineStr">
        <is>
          <t>進場</t>
        </is>
      </c>
      <c r="D361" s="2" t="n">
        <v>182</v>
      </c>
      <c r="E361" s="2" t="inlineStr">
        <is>
          <t>PONS_USDT_PERP</t>
        </is>
      </c>
      <c r="F361" s="2" t="inlineStr">
        <is>
          <t>做空</t>
        </is>
      </c>
      <c r="G361" s="20" t="n">
        <v>0.5886</v>
      </c>
      <c r="H361" s="20" t="n">
        <v>0.5709419999999999</v>
      </c>
      <c r="I361" s="20" t="n">
        <v>0.6180300000000001</v>
      </c>
      <c r="J361" s="20" t="n"/>
      <c r="K361" s="2" t="n"/>
      <c r="L361" s="5" t="n"/>
      <c r="M361" s="19">
        <f>資金模擬!$B$5*V360</f>
        <v/>
      </c>
      <c r="N361" s="2">
        <f>IF(Z360=1,"已停止",IF(T360&gt;=M361,"已下單","資金不足略過"))</f>
        <v/>
      </c>
      <c r="O361" s="19">
        <f>IF(N361="已下單",M361*資金模擬!$B$7,0)</f>
        <v/>
      </c>
      <c r="P361" s="4" t="n"/>
      <c r="Q361" s="13" t="n">
        <v>0</v>
      </c>
      <c r="R361" s="13">
        <f>R360+Q361</f>
        <v/>
      </c>
      <c r="S361" s="19">
        <f>S360+IF(N361="已下單",M361,0)</f>
        <v/>
      </c>
      <c r="T361" s="19">
        <f>R361-S361</f>
        <v/>
      </c>
      <c r="U361" s="2">
        <f>U360+IF(N361="已下單",1,0)</f>
        <v/>
      </c>
      <c r="V361" s="19">
        <f>IF(資金模擬!$B$9=2,MAX(R361,0),MAX(V360,FLOOR(MAX(R361,0),資金模擬!$B$6)))</f>
        <v/>
      </c>
      <c r="W361" s="13">
        <f>MAX(W360,R361)</f>
        <v/>
      </c>
      <c r="X361" s="4">
        <f>IF(W361&gt;0,R361/W361-1,-1)</f>
        <v/>
      </c>
      <c r="Y361" s="19">
        <f>IF(R361&gt;0,S361*資金模擬!$B$7/R361,0)</f>
        <v/>
      </c>
      <c r="Z361" s="2">
        <f>IF(OR(Z360=1,R361&lt;=資金模擬!$B$10),1,0)</f>
        <v/>
      </c>
    </row>
    <row r="362">
      <c r="A362" s="2" t="n">
        <v>360</v>
      </c>
      <c r="B362" s="7" t="n">
        <v>46277.25</v>
      </c>
      <c r="C362" s="2" t="inlineStr">
        <is>
          <t>出場</t>
        </is>
      </c>
      <c r="D362" s="2" t="n">
        <v>177</v>
      </c>
      <c r="E362" s="2" t="inlineStr">
        <is>
          <t>IOST_USDT_PERP</t>
        </is>
      </c>
      <c r="F362" s="2" t="inlineStr">
        <is>
          <t>做空</t>
        </is>
      </c>
      <c r="G362" s="20" t="n">
        <v>0.000895</v>
      </c>
      <c r="H362" s="20" t="n">
        <v>0.0008681499999999999</v>
      </c>
      <c r="I362" s="20" t="n">
        <v>0.00093975</v>
      </c>
      <c r="J362" s="20" t="n">
        <v>0.0008681499999999999</v>
      </c>
      <c r="K362" s="2" t="inlineStr">
        <is>
          <t>止盈</t>
        </is>
      </c>
      <c r="L362" s="5">
        <f>交易明細!K178</f>
        <v/>
      </c>
      <c r="M362" s="19">
        <f>M354</f>
        <v/>
      </c>
      <c r="N362" s="2">
        <f>N354</f>
        <v/>
      </c>
      <c r="O362" s="19">
        <f>O354</f>
        <v/>
      </c>
      <c r="P362" s="4">
        <f>交易明細!L178</f>
        <v/>
      </c>
      <c r="Q362" s="13">
        <f>IF(N362="已下單",O362*P362,0)</f>
        <v/>
      </c>
      <c r="R362" s="13">
        <f>R361+Q362</f>
        <v/>
      </c>
      <c r="S362" s="19">
        <f>S361-IF(N362="已下單",M362,0)</f>
        <v/>
      </c>
      <c r="T362" s="19">
        <f>R362-S362</f>
        <v/>
      </c>
      <c r="U362" s="2">
        <f>U361-IF(N362="已下單",1,0)</f>
        <v/>
      </c>
      <c r="V362" s="19">
        <f>IF(資金模擬!$B$9=2,MAX(R362,0),MAX(V361,FLOOR(MAX(R362,0),資金模擬!$B$6)))</f>
        <v/>
      </c>
      <c r="W362" s="13">
        <f>MAX(W361,R362)</f>
        <v/>
      </c>
      <c r="X362" s="4">
        <f>IF(W362&gt;0,R362/W362-1,-1)</f>
        <v/>
      </c>
      <c r="Y362" s="19">
        <f>IF(R362&gt;0,S362*資金模擬!$B$7/R362,0)</f>
        <v/>
      </c>
      <c r="Z362" s="2">
        <f>IF(OR(Z361=1,R362&lt;=資金模擬!$B$10),1,0)</f>
        <v/>
      </c>
    </row>
    <row r="363">
      <c r="A363" s="2" t="n">
        <v>361</v>
      </c>
      <c r="B363" s="7" t="n">
        <v>46277.25</v>
      </c>
      <c r="C363" s="2" t="inlineStr">
        <is>
          <t>出場</t>
        </is>
      </c>
      <c r="D363" s="2" t="n">
        <v>179</v>
      </c>
      <c r="E363" s="2" t="inlineStr">
        <is>
          <t>MARSCOIN_USDT_PERP</t>
        </is>
      </c>
      <c r="F363" s="2" t="inlineStr">
        <is>
          <t>做空</t>
        </is>
      </c>
      <c r="G363" s="20" t="n">
        <v>0.12248</v>
      </c>
      <c r="H363" s="20" t="n">
        <v>0.1188056</v>
      </c>
      <c r="I363" s="20" t="n">
        <v>0.128604</v>
      </c>
      <c r="J363" s="20" t="n">
        <v>0.1188056</v>
      </c>
      <c r="K363" s="2" t="inlineStr">
        <is>
          <t>止盈</t>
        </is>
      </c>
      <c r="L363" s="5">
        <f>交易明細!K180</f>
        <v/>
      </c>
      <c r="M363" s="19">
        <f>M356</f>
        <v/>
      </c>
      <c r="N363" s="2">
        <f>N356</f>
        <v/>
      </c>
      <c r="O363" s="19">
        <f>O356</f>
        <v/>
      </c>
      <c r="P363" s="4">
        <f>交易明細!L180</f>
        <v/>
      </c>
      <c r="Q363" s="13">
        <f>IF(N363="已下單",O363*P363,0)</f>
        <v/>
      </c>
      <c r="R363" s="13">
        <f>R362+Q363</f>
        <v/>
      </c>
      <c r="S363" s="19">
        <f>S362-IF(N363="已下單",M363,0)</f>
        <v/>
      </c>
      <c r="T363" s="19">
        <f>R363-S363</f>
        <v/>
      </c>
      <c r="U363" s="2">
        <f>U362-IF(N363="已下單",1,0)</f>
        <v/>
      </c>
      <c r="V363" s="19">
        <f>IF(資金模擬!$B$9=2,MAX(R363,0),MAX(V362,FLOOR(MAX(R363,0),資金模擬!$B$6)))</f>
        <v/>
      </c>
      <c r="W363" s="13">
        <f>MAX(W362,R363)</f>
        <v/>
      </c>
      <c r="X363" s="4">
        <f>IF(W363&gt;0,R363/W363-1,-1)</f>
        <v/>
      </c>
      <c r="Y363" s="19">
        <f>IF(R363&gt;0,S363*資金模擬!$B$7/R363,0)</f>
        <v/>
      </c>
      <c r="Z363" s="2">
        <f>IF(OR(Z362=1,R363&lt;=資金模擬!$B$10),1,0)</f>
        <v/>
      </c>
    </row>
    <row r="364">
      <c r="A364" s="2" t="n">
        <v>362</v>
      </c>
      <c r="B364" s="7" t="n">
        <v>46277.25</v>
      </c>
      <c r="C364" s="2" t="inlineStr">
        <is>
          <t>進場</t>
        </is>
      </c>
      <c r="D364" s="2" t="n">
        <v>183</v>
      </c>
      <c r="E364" s="2" t="inlineStr">
        <is>
          <t>AERO_USDT_PERP</t>
        </is>
      </c>
      <c r="F364" s="2" t="inlineStr">
        <is>
          <t>做空</t>
        </is>
      </c>
      <c r="G364" s="20" t="n">
        <v>0.5694</v>
      </c>
      <c r="H364" s="20" t="n">
        <v>0.552318</v>
      </c>
      <c r="I364" s="20" t="n">
        <v>0.59787</v>
      </c>
      <c r="J364" s="20" t="n"/>
      <c r="K364" s="2" t="n"/>
      <c r="L364" s="5" t="n"/>
      <c r="M364" s="19">
        <f>資金模擬!$B$5*V363</f>
        <v/>
      </c>
      <c r="N364" s="2">
        <f>IF(Z363=1,"已停止",IF(T363&gt;=M364,"已下單","資金不足略過"))</f>
        <v/>
      </c>
      <c r="O364" s="19">
        <f>IF(N364="已下單",M364*資金模擬!$B$7,0)</f>
        <v/>
      </c>
      <c r="P364" s="4" t="n"/>
      <c r="Q364" s="13" t="n">
        <v>0</v>
      </c>
      <c r="R364" s="13">
        <f>R363+Q364</f>
        <v/>
      </c>
      <c r="S364" s="19">
        <f>S363+IF(N364="已下單",M364,0)</f>
        <v/>
      </c>
      <c r="T364" s="19">
        <f>R364-S364</f>
        <v/>
      </c>
      <c r="U364" s="2">
        <f>U363+IF(N364="已下單",1,0)</f>
        <v/>
      </c>
      <c r="V364" s="19">
        <f>IF(資金模擬!$B$9=2,MAX(R364,0),MAX(V363,FLOOR(MAX(R364,0),資金模擬!$B$6)))</f>
        <v/>
      </c>
      <c r="W364" s="13">
        <f>MAX(W363,R364)</f>
        <v/>
      </c>
      <c r="X364" s="4">
        <f>IF(W364&gt;0,R364/W364-1,-1)</f>
        <v/>
      </c>
      <c r="Y364" s="19">
        <f>IF(R364&gt;0,S364*資金模擬!$B$7/R364,0)</f>
        <v/>
      </c>
      <c r="Z364" s="2">
        <f>IF(OR(Z363=1,R364&lt;=資金模擬!$B$10),1,0)</f>
        <v/>
      </c>
    </row>
    <row r="365">
      <c r="A365" s="2" t="n">
        <v>363</v>
      </c>
      <c r="B365" s="7" t="n">
        <v>46277.25</v>
      </c>
      <c r="C365" s="2" t="inlineStr">
        <is>
          <t>進場</t>
        </is>
      </c>
      <c r="D365" s="2" t="n">
        <v>184</v>
      </c>
      <c r="E365" s="2" t="inlineStr">
        <is>
          <t>USELESS_USDT_PERP</t>
        </is>
      </c>
      <c r="F365" s="2" t="inlineStr">
        <is>
          <t>做空</t>
        </is>
      </c>
      <c r="G365" s="20" t="n">
        <v>0.21674</v>
      </c>
      <c r="H365" s="20" t="n">
        <v>0.2102378</v>
      </c>
      <c r="I365" s="20" t="n">
        <v>0.227577</v>
      </c>
      <c r="J365" s="20" t="n"/>
      <c r="K365" s="2" t="n"/>
      <c r="L365" s="5" t="n"/>
      <c r="M365" s="19">
        <f>資金模擬!$B$5*V364</f>
        <v/>
      </c>
      <c r="N365" s="2">
        <f>IF(Z364=1,"已停止",IF(T364&gt;=M365,"已下單","資金不足略過"))</f>
        <v/>
      </c>
      <c r="O365" s="19">
        <f>IF(N365="已下單",M365*資金模擬!$B$7,0)</f>
        <v/>
      </c>
      <c r="P365" s="4" t="n"/>
      <c r="Q365" s="13" t="n">
        <v>0</v>
      </c>
      <c r="R365" s="13">
        <f>R364+Q365</f>
        <v/>
      </c>
      <c r="S365" s="19">
        <f>S364+IF(N365="已下單",M365,0)</f>
        <v/>
      </c>
      <c r="T365" s="19">
        <f>R365-S365</f>
        <v/>
      </c>
      <c r="U365" s="2">
        <f>U364+IF(N365="已下單",1,0)</f>
        <v/>
      </c>
      <c r="V365" s="19">
        <f>IF(資金模擬!$B$9=2,MAX(R365,0),MAX(V364,FLOOR(MAX(R365,0),資金模擬!$B$6)))</f>
        <v/>
      </c>
      <c r="W365" s="13">
        <f>MAX(W364,R365)</f>
        <v/>
      </c>
      <c r="X365" s="4">
        <f>IF(W365&gt;0,R365/W365-1,-1)</f>
        <v/>
      </c>
      <c r="Y365" s="19">
        <f>IF(R365&gt;0,S365*資金模擬!$B$7/R365,0)</f>
        <v/>
      </c>
      <c r="Z365" s="2">
        <f>IF(OR(Z364=1,R365&lt;=資金模擬!$B$10),1,0)</f>
        <v/>
      </c>
    </row>
    <row r="366">
      <c r="A366" s="2" t="n">
        <v>364</v>
      </c>
      <c r="B366" s="7" t="n">
        <v>46277.33333333334</v>
      </c>
      <c r="C366" s="2" t="inlineStr">
        <is>
          <t>出場</t>
        </is>
      </c>
      <c r="D366" s="2" t="n">
        <v>182</v>
      </c>
      <c r="E366" s="2" t="inlineStr">
        <is>
          <t>PONS_USDT_PERP</t>
        </is>
      </c>
      <c r="F366" s="2" t="inlineStr">
        <is>
          <t>做空</t>
        </is>
      </c>
      <c r="G366" s="20" t="n">
        <v>0.5886</v>
      </c>
      <c r="H366" s="20" t="n">
        <v>0.5709419999999999</v>
      </c>
      <c r="I366" s="20" t="n">
        <v>0.6180300000000001</v>
      </c>
      <c r="J366" s="20" t="n">
        <v>0.5709419999999999</v>
      </c>
      <c r="K366" s="2" t="inlineStr">
        <is>
          <t>止盈</t>
        </is>
      </c>
      <c r="L366" s="5">
        <f>交易明細!K183</f>
        <v/>
      </c>
      <c r="M366" s="19">
        <f>M361</f>
        <v/>
      </c>
      <c r="N366" s="2">
        <f>N361</f>
        <v/>
      </c>
      <c r="O366" s="19">
        <f>O361</f>
        <v/>
      </c>
      <c r="P366" s="4">
        <f>交易明細!L183</f>
        <v/>
      </c>
      <c r="Q366" s="13">
        <f>IF(N366="已下單",O366*P366,0)</f>
        <v/>
      </c>
      <c r="R366" s="13">
        <f>R365+Q366</f>
        <v/>
      </c>
      <c r="S366" s="19">
        <f>S365-IF(N366="已下單",M366,0)</f>
        <v/>
      </c>
      <c r="T366" s="19">
        <f>R366-S366</f>
        <v/>
      </c>
      <c r="U366" s="2">
        <f>U365-IF(N366="已下單",1,0)</f>
        <v/>
      </c>
      <c r="V366" s="19">
        <f>IF(資金模擬!$B$9=2,MAX(R366,0),MAX(V365,FLOOR(MAX(R366,0),資金模擬!$B$6)))</f>
        <v/>
      </c>
      <c r="W366" s="13">
        <f>MAX(W365,R366)</f>
        <v/>
      </c>
      <c r="X366" s="4">
        <f>IF(W366&gt;0,R366/W366-1,-1)</f>
        <v/>
      </c>
      <c r="Y366" s="19">
        <f>IF(R366&gt;0,S366*資金模擬!$B$7/R366,0)</f>
        <v/>
      </c>
      <c r="Z366" s="2">
        <f>IF(OR(Z365=1,R366&lt;=資金模擬!$B$10),1,0)</f>
        <v/>
      </c>
    </row>
    <row r="367">
      <c r="A367" s="2" t="n">
        <v>365</v>
      </c>
      <c r="B367" s="7" t="n">
        <v>46277.41666666666</v>
      </c>
      <c r="C367" s="2" t="inlineStr">
        <is>
          <t>進場</t>
        </is>
      </c>
      <c r="D367" s="2" t="n">
        <v>185</v>
      </c>
      <c r="E367" s="2" t="inlineStr">
        <is>
          <t>RAY_USDT_PERP</t>
        </is>
      </c>
      <c r="F367" s="2" t="inlineStr">
        <is>
          <t>做多</t>
        </is>
      </c>
      <c r="G367" s="20" t="n">
        <v>1.716</v>
      </c>
      <c r="H367" s="20" t="n">
        <v>1.76748</v>
      </c>
      <c r="I367" s="20" t="n">
        <v>1.6302</v>
      </c>
      <c r="J367" s="20" t="n"/>
      <c r="K367" s="2" t="n"/>
      <c r="L367" s="5" t="n"/>
      <c r="M367" s="19">
        <f>資金模擬!$B$5*V366</f>
        <v/>
      </c>
      <c r="N367" s="2">
        <f>IF(Z366=1,"已停止",IF(T366&gt;=M367,"已下單","資金不足略過"))</f>
        <v/>
      </c>
      <c r="O367" s="19">
        <f>IF(N367="已下單",M367*資金模擬!$B$7,0)</f>
        <v/>
      </c>
      <c r="P367" s="4" t="n"/>
      <c r="Q367" s="13" t="n">
        <v>0</v>
      </c>
      <c r="R367" s="13">
        <f>R366+Q367</f>
        <v/>
      </c>
      <c r="S367" s="19">
        <f>S366+IF(N367="已下單",M367,0)</f>
        <v/>
      </c>
      <c r="T367" s="19">
        <f>R367-S367</f>
        <v/>
      </c>
      <c r="U367" s="2">
        <f>U366+IF(N367="已下單",1,0)</f>
        <v/>
      </c>
      <c r="V367" s="19">
        <f>IF(資金模擬!$B$9=2,MAX(R367,0),MAX(V366,FLOOR(MAX(R367,0),資金模擬!$B$6)))</f>
        <v/>
      </c>
      <c r="W367" s="13">
        <f>MAX(W366,R367)</f>
        <v/>
      </c>
      <c r="X367" s="4">
        <f>IF(W367&gt;0,R367/W367-1,-1)</f>
        <v/>
      </c>
      <c r="Y367" s="19">
        <f>IF(R367&gt;0,S367*資金模擬!$B$7/R367,0)</f>
        <v/>
      </c>
      <c r="Z367" s="2">
        <f>IF(OR(Z366=1,R367&lt;=資金模擬!$B$10),1,0)</f>
        <v/>
      </c>
    </row>
    <row r="368">
      <c r="A368" s="2" t="n">
        <v>366</v>
      </c>
      <c r="B368" s="7" t="n">
        <v>46277.45833333334</v>
      </c>
      <c r="C368" s="2" t="inlineStr">
        <is>
          <t>出場</t>
        </is>
      </c>
      <c r="D368" s="2" t="n">
        <v>184</v>
      </c>
      <c r="E368" s="2" t="inlineStr">
        <is>
          <t>USELESS_USDT_PERP</t>
        </is>
      </c>
      <c r="F368" s="2" t="inlineStr">
        <is>
          <t>做空</t>
        </is>
      </c>
      <c r="G368" s="20" t="n">
        <v>0.21674</v>
      </c>
      <c r="H368" s="20" t="n">
        <v>0.2102378</v>
      </c>
      <c r="I368" s="20" t="n">
        <v>0.227577</v>
      </c>
      <c r="J368" s="20" t="n">
        <v>0.227577</v>
      </c>
      <c r="K368" s="2" t="inlineStr">
        <is>
          <t>止損</t>
        </is>
      </c>
      <c r="L368" s="5">
        <f>交易明細!K185</f>
        <v/>
      </c>
      <c r="M368" s="19">
        <f>M365</f>
        <v/>
      </c>
      <c r="N368" s="2">
        <f>N365</f>
        <v/>
      </c>
      <c r="O368" s="19">
        <f>O365</f>
        <v/>
      </c>
      <c r="P368" s="4">
        <f>交易明細!L185</f>
        <v/>
      </c>
      <c r="Q368" s="13">
        <f>IF(N368="已下單",O368*P368,0)</f>
        <v/>
      </c>
      <c r="R368" s="13">
        <f>R367+Q368</f>
        <v/>
      </c>
      <c r="S368" s="19">
        <f>S367-IF(N368="已下單",M368,0)</f>
        <v/>
      </c>
      <c r="T368" s="19">
        <f>R368-S368</f>
        <v/>
      </c>
      <c r="U368" s="2">
        <f>U367-IF(N368="已下單",1,0)</f>
        <v/>
      </c>
      <c r="V368" s="19">
        <f>IF(資金模擬!$B$9=2,MAX(R368,0),MAX(V367,FLOOR(MAX(R368,0),資金模擬!$B$6)))</f>
        <v/>
      </c>
      <c r="W368" s="13">
        <f>MAX(W367,R368)</f>
        <v/>
      </c>
      <c r="X368" s="4">
        <f>IF(W368&gt;0,R368/W368-1,-1)</f>
        <v/>
      </c>
      <c r="Y368" s="19">
        <f>IF(R368&gt;0,S368*資金模擬!$B$7/R368,0)</f>
        <v/>
      </c>
      <c r="Z368" s="2">
        <f>IF(OR(Z367=1,R368&lt;=資金模擬!$B$10),1,0)</f>
        <v/>
      </c>
    </row>
    <row r="369">
      <c r="A369" s="2" t="n">
        <v>367</v>
      </c>
      <c r="B369" s="7" t="n">
        <v>46277.5</v>
      </c>
      <c r="C369" s="2" t="inlineStr">
        <is>
          <t>出場</t>
        </is>
      </c>
      <c r="D369" s="2" t="n">
        <v>185</v>
      </c>
      <c r="E369" s="2" t="inlineStr">
        <is>
          <t>RAY_USDT_PERP</t>
        </is>
      </c>
      <c r="F369" s="2" t="inlineStr">
        <is>
          <t>做多</t>
        </is>
      </c>
      <c r="G369" s="20" t="n">
        <v>1.716</v>
      </c>
      <c r="H369" s="20" t="n">
        <v>1.76748</v>
      </c>
      <c r="I369" s="20" t="n">
        <v>1.6302</v>
      </c>
      <c r="J369" s="20" t="n">
        <v>1.6302</v>
      </c>
      <c r="K369" s="2" t="inlineStr">
        <is>
          <t>止損</t>
        </is>
      </c>
      <c r="L369" s="5">
        <f>交易明細!K186</f>
        <v/>
      </c>
      <c r="M369" s="19">
        <f>M367</f>
        <v/>
      </c>
      <c r="N369" s="2">
        <f>N367</f>
        <v/>
      </c>
      <c r="O369" s="19">
        <f>O367</f>
        <v/>
      </c>
      <c r="P369" s="4">
        <f>交易明細!L186</f>
        <v/>
      </c>
      <c r="Q369" s="13">
        <f>IF(N369="已下單",O369*P369,0)</f>
        <v/>
      </c>
      <c r="R369" s="13">
        <f>R368+Q369</f>
        <v/>
      </c>
      <c r="S369" s="19">
        <f>S368-IF(N369="已下單",M369,0)</f>
        <v/>
      </c>
      <c r="T369" s="19">
        <f>R369-S369</f>
        <v/>
      </c>
      <c r="U369" s="2">
        <f>U368-IF(N369="已下單",1,0)</f>
        <v/>
      </c>
      <c r="V369" s="19">
        <f>IF(資金模擬!$B$9=2,MAX(R369,0),MAX(V368,FLOOR(MAX(R369,0),資金模擬!$B$6)))</f>
        <v/>
      </c>
      <c r="W369" s="13">
        <f>MAX(W368,R369)</f>
        <v/>
      </c>
      <c r="X369" s="4">
        <f>IF(W369&gt;0,R369/W369-1,-1)</f>
        <v/>
      </c>
      <c r="Y369" s="19">
        <f>IF(R369&gt;0,S369*資金模擬!$B$7/R369,0)</f>
        <v/>
      </c>
      <c r="Z369" s="2">
        <f>IF(OR(Z368=1,R369&lt;=資金模擬!$B$10),1,0)</f>
        <v/>
      </c>
    </row>
    <row r="370">
      <c r="A370" s="2" t="n">
        <v>368</v>
      </c>
      <c r="B370" s="7" t="n">
        <v>46277.58333333334</v>
      </c>
      <c r="C370" s="2" t="inlineStr">
        <is>
          <t>進場</t>
        </is>
      </c>
      <c r="D370" s="2" t="n">
        <v>186</v>
      </c>
      <c r="E370" s="2" t="inlineStr">
        <is>
          <t>AKE_USDT_PERP</t>
        </is>
      </c>
      <c r="F370" s="2" t="inlineStr">
        <is>
          <t>做多</t>
        </is>
      </c>
      <c r="G370" s="20" t="n">
        <v>0.0143414</v>
      </c>
      <c r="H370" s="20" t="n">
        <v>0.014771642</v>
      </c>
      <c r="I370" s="20" t="n">
        <v>0.01362433</v>
      </c>
      <c r="J370" s="20" t="n"/>
      <c r="K370" s="2" t="n"/>
      <c r="L370" s="5" t="n"/>
      <c r="M370" s="19">
        <f>資金模擬!$B$5*V369</f>
        <v/>
      </c>
      <c r="N370" s="2">
        <f>IF(Z369=1,"已停止",IF(T369&gt;=M370,"已下單","資金不足略過"))</f>
        <v/>
      </c>
      <c r="O370" s="19">
        <f>IF(N370="已下單",M370*資金模擬!$B$7,0)</f>
        <v/>
      </c>
      <c r="P370" s="4" t="n"/>
      <c r="Q370" s="13" t="n">
        <v>0</v>
      </c>
      <c r="R370" s="13">
        <f>R369+Q370</f>
        <v/>
      </c>
      <c r="S370" s="19">
        <f>S369+IF(N370="已下單",M370,0)</f>
        <v/>
      </c>
      <c r="T370" s="19">
        <f>R370-S370</f>
        <v/>
      </c>
      <c r="U370" s="2">
        <f>U369+IF(N370="已下單",1,0)</f>
        <v/>
      </c>
      <c r="V370" s="19">
        <f>IF(資金模擬!$B$9=2,MAX(R370,0),MAX(V369,FLOOR(MAX(R370,0),資金模擬!$B$6)))</f>
        <v/>
      </c>
      <c r="W370" s="13">
        <f>MAX(W369,R370)</f>
        <v/>
      </c>
      <c r="X370" s="4">
        <f>IF(W370&gt;0,R370/W370-1,-1)</f>
        <v/>
      </c>
      <c r="Y370" s="19">
        <f>IF(R370&gt;0,S370*資金模擬!$B$7/R370,0)</f>
        <v/>
      </c>
      <c r="Z370" s="2">
        <f>IF(OR(Z369=1,R370&lt;=資金模擬!$B$10),1,0)</f>
        <v/>
      </c>
    </row>
    <row r="371">
      <c r="A371" s="2" t="n">
        <v>369</v>
      </c>
      <c r="B371" s="7" t="n">
        <v>46277.625</v>
      </c>
      <c r="C371" s="2" t="inlineStr">
        <is>
          <t>出場</t>
        </is>
      </c>
      <c r="D371" s="2" t="n">
        <v>186</v>
      </c>
      <c r="E371" s="2" t="inlineStr">
        <is>
          <t>AKE_USDT_PERP</t>
        </is>
      </c>
      <c r="F371" s="2" t="inlineStr">
        <is>
          <t>做多</t>
        </is>
      </c>
      <c r="G371" s="20" t="n">
        <v>0.0143414</v>
      </c>
      <c r="H371" s="20" t="n">
        <v>0.014771642</v>
      </c>
      <c r="I371" s="20" t="n">
        <v>0.01362433</v>
      </c>
      <c r="J371" s="20" t="n">
        <v>0.014771642</v>
      </c>
      <c r="K371" s="2" t="inlineStr">
        <is>
          <t>止盈</t>
        </is>
      </c>
      <c r="L371" s="5">
        <f>交易明細!K187</f>
        <v/>
      </c>
      <c r="M371" s="19">
        <f>M370</f>
        <v/>
      </c>
      <c r="N371" s="2">
        <f>N370</f>
        <v/>
      </c>
      <c r="O371" s="19">
        <f>O370</f>
        <v/>
      </c>
      <c r="P371" s="4">
        <f>交易明細!L187</f>
        <v/>
      </c>
      <c r="Q371" s="13">
        <f>IF(N371="已下單",O371*P371,0)</f>
        <v/>
      </c>
      <c r="R371" s="13">
        <f>R370+Q371</f>
        <v/>
      </c>
      <c r="S371" s="19">
        <f>S370-IF(N371="已下單",M371,0)</f>
        <v/>
      </c>
      <c r="T371" s="19">
        <f>R371-S371</f>
        <v/>
      </c>
      <c r="U371" s="2">
        <f>U370-IF(N371="已下單",1,0)</f>
        <v/>
      </c>
      <c r="V371" s="19">
        <f>IF(資金模擬!$B$9=2,MAX(R371,0),MAX(V370,FLOOR(MAX(R371,0),資金模擬!$B$6)))</f>
        <v/>
      </c>
      <c r="W371" s="13">
        <f>MAX(W370,R371)</f>
        <v/>
      </c>
      <c r="X371" s="4">
        <f>IF(W371&gt;0,R371/W371-1,-1)</f>
        <v/>
      </c>
      <c r="Y371" s="19">
        <f>IF(R371&gt;0,S371*資金模擬!$B$7/R371,0)</f>
        <v/>
      </c>
      <c r="Z371" s="2">
        <f>IF(OR(Z370=1,R371&lt;=資金模擬!$B$10),1,0)</f>
        <v/>
      </c>
    </row>
    <row r="372">
      <c r="A372" s="2" t="n">
        <v>370</v>
      </c>
      <c r="B372" s="7" t="n">
        <v>46277.625</v>
      </c>
      <c r="C372" s="2" t="inlineStr">
        <is>
          <t>進場</t>
        </is>
      </c>
      <c r="D372" s="2" t="n">
        <v>187</v>
      </c>
      <c r="E372" s="2" t="inlineStr">
        <is>
          <t>UAI_USDT_PERP</t>
        </is>
      </c>
      <c r="F372" s="2" t="inlineStr">
        <is>
          <t>做多</t>
        </is>
      </c>
      <c r="G372" s="20" t="n">
        <v>0.6982</v>
      </c>
      <c r="H372" s="20" t="n">
        <v>0.7191460000000001</v>
      </c>
      <c r="I372" s="20" t="n">
        <v>0.66329</v>
      </c>
      <c r="J372" s="20" t="n"/>
      <c r="K372" s="2" t="n"/>
      <c r="L372" s="5" t="n"/>
      <c r="M372" s="19">
        <f>資金模擬!$B$5*V371</f>
        <v/>
      </c>
      <c r="N372" s="2">
        <f>IF(Z371=1,"已停止",IF(T371&gt;=M372,"已下單","資金不足略過"))</f>
        <v/>
      </c>
      <c r="O372" s="19">
        <f>IF(N372="已下單",M372*資金模擬!$B$7,0)</f>
        <v/>
      </c>
      <c r="P372" s="4" t="n"/>
      <c r="Q372" s="13" t="n">
        <v>0</v>
      </c>
      <c r="R372" s="13">
        <f>R371+Q372</f>
        <v/>
      </c>
      <c r="S372" s="19">
        <f>S371+IF(N372="已下單",M372,0)</f>
        <v/>
      </c>
      <c r="T372" s="19">
        <f>R372-S372</f>
        <v/>
      </c>
      <c r="U372" s="2">
        <f>U371+IF(N372="已下單",1,0)</f>
        <v/>
      </c>
      <c r="V372" s="19">
        <f>IF(資金模擬!$B$9=2,MAX(R372,0),MAX(V371,FLOOR(MAX(R372,0),資金模擬!$B$6)))</f>
        <v/>
      </c>
      <c r="W372" s="13">
        <f>MAX(W371,R372)</f>
        <v/>
      </c>
      <c r="X372" s="4">
        <f>IF(W372&gt;0,R372/W372-1,-1)</f>
        <v/>
      </c>
      <c r="Y372" s="19">
        <f>IF(R372&gt;0,S372*資金模擬!$B$7/R372,0)</f>
        <v/>
      </c>
      <c r="Z372" s="2">
        <f>IF(OR(Z371=1,R372&lt;=資金模擬!$B$10),1,0)</f>
        <v/>
      </c>
    </row>
    <row r="373">
      <c r="A373" s="2" t="n">
        <v>371</v>
      </c>
      <c r="B373" s="7" t="n">
        <v>46277.66666666666</v>
      </c>
      <c r="C373" s="2" t="inlineStr">
        <is>
          <t>出場</t>
        </is>
      </c>
      <c r="D373" s="2" t="n">
        <v>187</v>
      </c>
      <c r="E373" s="2" t="inlineStr">
        <is>
          <t>UAI_USDT_PERP</t>
        </is>
      </c>
      <c r="F373" s="2" t="inlineStr">
        <is>
          <t>做多</t>
        </is>
      </c>
      <c r="G373" s="20" t="n">
        <v>0.6982</v>
      </c>
      <c r="H373" s="20" t="n">
        <v>0.7191460000000001</v>
      </c>
      <c r="I373" s="20" t="n">
        <v>0.66329</v>
      </c>
      <c r="J373" s="20" t="n">
        <v>0.7191460000000001</v>
      </c>
      <c r="K373" s="2" t="inlineStr">
        <is>
          <t>止盈</t>
        </is>
      </c>
      <c r="L373" s="5">
        <f>交易明細!K188</f>
        <v/>
      </c>
      <c r="M373" s="19">
        <f>M372</f>
        <v/>
      </c>
      <c r="N373" s="2">
        <f>N372</f>
        <v/>
      </c>
      <c r="O373" s="19">
        <f>O372</f>
        <v/>
      </c>
      <c r="P373" s="4">
        <f>交易明細!L188</f>
        <v/>
      </c>
      <c r="Q373" s="13">
        <f>IF(N373="已下單",O373*P373,0)</f>
        <v/>
      </c>
      <c r="R373" s="13">
        <f>R372+Q373</f>
        <v/>
      </c>
      <c r="S373" s="19">
        <f>S372-IF(N373="已下單",M373,0)</f>
        <v/>
      </c>
      <c r="T373" s="19">
        <f>R373-S373</f>
        <v/>
      </c>
      <c r="U373" s="2">
        <f>U372-IF(N373="已下單",1,0)</f>
        <v/>
      </c>
      <c r="V373" s="19">
        <f>IF(資金模擬!$B$9=2,MAX(R373,0),MAX(V372,FLOOR(MAX(R373,0),資金模擬!$B$6)))</f>
        <v/>
      </c>
      <c r="W373" s="13">
        <f>MAX(W372,R373)</f>
        <v/>
      </c>
      <c r="X373" s="4">
        <f>IF(W373&gt;0,R373/W373-1,-1)</f>
        <v/>
      </c>
      <c r="Y373" s="19">
        <f>IF(R373&gt;0,S373*資金模擬!$B$7/R373,0)</f>
        <v/>
      </c>
      <c r="Z373" s="2">
        <f>IF(OR(Z372=1,R373&lt;=資金模擬!$B$10),1,0)</f>
        <v/>
      </c>
    </row>
    <row r="374">
      <c r="A374" s="2" t="n">
        <v>372</v>
      </c>
      <c r="B374" s="7" t="n">
        <v>46277.79166666666</v>
      </c>
      <c r="C374" s="2" t="inlineStr">
        <is>
          <t>進場</t>
        </is>
      </c>
      <c r="D374" s="2" t="n">
        <v>188</v>
      </c>
      <c r="E374" s="2" t="inlineStr">
        <is>
          <t>MET_USDT_PERP</t>
        </is>
      </c>
      <c r="F374" s="2" t="inlineStr">
        <is>
          <t>做空</t>
        </is>
      </c>
      <c r="G374" s="20" t="n">
        <v>0.2336</v>
      </c>
      <c r="H374" s="20" t="n">
        <v>0.226592</v>
      </c>
      <c r="I374" s="20" t="n">
        <v>0.24528</v>
      </c>
      <c r="J374" s="20" t="n"/>
      <c r="K374" s="2" t="n"/>
      <c r="L374" s="5" t="n"/>
      <c r="M374" s="19">
        <f>資金模擬!$B$5*V373</f>
        <v/>
      </c>
      <c r="N374" s="2">
        <f>IF(Z373=1,"已停止",IF(T373&gt;=M374,"已下單","資金不足略過"))</f>
        <v/>
      </c>
      <c r="O374" s="19">
        <f>IF(N374="已下單",M374*資金模擬!$B$7,0)</f>
        <v/>
      </c>
      <c r="P374" s="4" t="n"/>
      <c r="Q374" s="13" t="n">
        <v>0</v>
      </c>
      <c r="R374" s="13">
        <f>R373+Q374</f>
        <v/>
      </c>
      <c r="S374" s="19">
        <f>S373+IF(N374="已下單",M374,0)</f>
        <v/>
      </c>
      <c r="T374" s="19">
        <f>R374-S374</f>
        <v/>
      </c>
      <c r="U374" s="2">
        <f>U373+IF(N374="已下單",1,0)</f>
        <v/>
      </c>
      <c r="V374" s="19">
        <f>IF(資金模擬!$B$9=2,MAX(R374,0),MAX(V373,FLOOR(MAX(R374,0),資金模擬!$B$6)))</f>
        <v/>
      </c>
      <c r="W374" s="13">
        <f>MAX(W373,R374)</f>
        <v/>
      </c>
      <c r="X374" s="4">
        <f>IF(W374&gt;0,R374/W374-1,-1)</f>
        <v/>
      </c>
      <c r="Y374" s="19">
        <f>IF(R374&gt;0,S374*資金模擬!$B$7/R374,0)</f>
        <v/>
      </c>
      <c r="Z374" s="2">
        <f>IF(OR(Z373=1,R374&lt;=資金模擬!$B$10),1,0)</f>
        <v/>
      </c>
    </row>
    <row r="375">
      <c r="A375" s="2" t="n">
        <v>373</v>
      </c>
      <c r="B375" s="7" t="n">
        <v>46277.79166666666</v>
      </c>
      <c r="C375" s="2" t="inlineStr">
        <is>
          <t>進場</t>
        </is>
      </c>
      <c r="D375" s="2" t="n">
        <v>189</v>
      </c>
      <c r="E375" s="2" t="inlineStr">
        <is>
          <t>牛来_USDT_PERP</t>
        </is>
      </c>
      <c r="F375" s="2" t="inlineStr">
        <is>
          <t>做空</t>
        </is>
      </c>
      <c r="G375" s="20" t="n">
        <v>0.12973</v>
      </c>
      <c r="H375" s="20" t="n">
        <v>0.1258381</v>
      </c>
      <c r="I375" s="20" t="n">
        <v>0.1362165</v>
      </c>
      <c r="J375" s="20" t="n"/>
      <c r="K375" s="2" t="n"/>
      <c r="L375" s="5" t="n"/>
      <c r="M375" s="19">
        <f>資金模擬!$B$5*V374</f>
        <v/>
      </c>
      <c r="N375" s="2">
        <f>IF(Z374=1,"已停止",IF(T374&gt;=M375,"已下單","資金不足略過"))</f>
        <v/>
      </c>
      <c r="O375" s="19">
        <f>IF(N375="已下單",M375*資金模擬!$B$7,0)</f>
        <v/>
      </c>
      <c r="P375" s="4" t="n"/>
      <c r="Q375" s="13" t="n">
        <v>0</v>
      </c>
      <c r="R375" s="13">
        <f>R374+Q375</f>
        <v/>
      </c>
      <c r="S375" s="19">
        <f>S374+IF(N375="已下單",M375,0)</f>
        <v/>
      </c>
      <c r="T375" s="19">
        <f>R375-S375</f>
        <v/>
      </c>
      <c r="U375" s="2">
        <f>U374+IF(N375="已下單",1,0)</f>
        <v/>
      </c>
      <c r="V375" s="19">
        <f>IF(資金模擬!$B$9=2,MAX(R375,0),MAX(V374,FLOOR(MAX(R375,0),資金模擬!$B$6)))</f>
        <v/>
      </c>
      <c r="W375" s="13">
        <f>MAX(W374,R375)</f>
        <v/>
      </c>
      <c r="X375" s="4">
        <f>IF(W375&gt;0,R375/W375-1,-1)</f>
        <v/>
      </c>
      <c r="Y375" s="19">
        <f>IF(R375&gt;0,S375*資金模擬!$B$7/R375,0)</f>
        <v/>
      </c>
      <c r="Z375" s="2">
        <f>IF(OR(Z374=1,R375&lt;=資金模擬!$B$10),1,0)</f>
        <v/>
      </c>
    </row>
    <row r="376">
      <c r="A376" s="2" t="n">
        <v>374</v>
      </c>
      <c r="B376" s="7" t="n">
        <v>46277.875</v>
      </c>
      <c r="C376" s="2" t="inlineStr">
        <is>
          <t>出場</t>
        </is>
      </c>
      <c r="D376" s="2" t="n">
        <v>188</v>
      </c>
      <c r="E376" s="2" t="inlineStr">
        <is>
          <t>MET_USDT_PERP</t>
        </is>
      </c>
      <c r="F376" s="2" t="inlineStr">
        <is>
          <t>做空</t>
        </is>
      </c>
      <c r="G376" s="20" t="n">
        <v>0.2336</v>
      </c>
      <c r="H376" s="20" t="n">
        <v>0.226592</v>
      </c>
      <c r="I376" s="20" t="n">
        <v>0.24528</v>
      </c>
      <c r="J376" s="20" t="n">
        <v>0.24528</v>
      </c>
      <c r="K376" s="2" t="inlineStr">
        <is>
          <t>止損</t>
        </is>
      </c>
      <c r="L376" s="5">
        <f>交易明細!K189</f>
        <v/>
      </c>
      <c r="M376" s="19">
        <f>M374</f>
        <v/>
      </c>
      <c r="N376" s="2">
        <f>N374</f>
        <v/>
      </c>
      <c r="O376" s="19">
        <f>O374</f>
        <v/>
      </c>
      <c r="P376" s="4">
        <f>交易明細!L189</f>
        <v/>
      </c>
      <c r="Q376" s="13">
        <f>IF(N376="已下單",O376*P376,0)</f>
        <v/>
      </c>
      <c r="R376" s="13">
        <f>R375+Q376</f>
        <v/>
      </c>
      <c r="S376" s="19">
        <f>S375-IF(N376="已下單",M376,0)</f>
        <v/>
      </c>
      <c r="T376" s="19">
        <f>R376-S376</f>
        <v/>
      </c>
      <c r="U376" s="2">
        <f>U375-IF(N376="已下單",1,0)</f>
        <v/>
      </c>
      <c r="V376" s="19">
        <f>IF(資金模擬!$B$9=2,MAX(R376,0),MAX(V375,FLOOR(MAX(R376,0),資金模擬!$B$6)))</f>
        <v/>
      </c>
      <c r="W376" s="13">
        <f>MAX(W375,R376)</f>
        <v/>
      </c>
      <c r="X376" s="4">
        <f>IF(W376&gt;0,R376/W376-1,-1)</f>
        <v/>
      </c>
      <c r="Y376" s="19">
        <f>IF(R376&gt;0,S376*資金模擬!$B$7/R376,0)</f>
        <v/>
      </c>
      <c r="Z376" s="2">
        <f>IF(OR(Z375=1,R376&lt;=資金模擬!$B$10),1,0)</f>
        <v/>
      </c>
    </row>
    <row r="377">
      <c r="A377" s="2" t="n">
        <v>375</v>
      </c>
      <c r="B377" s="7" t="n">
        <v>46277.875</v>
      </c>
      <c r="C377" s="2" t="inlineStr">
        <is>
          <t>出場</t>
        </is>
      </c>
      <c r="D377" s="2" t="n">
        <v>189</v>
      </c>
      <c r="E377" s="2" t="inlineStr">
        <is>
          <t>牛来_USDT_PERP</t>
        </is>
      </c>
      <c r="F377" s="2" t="inlineStr">
        <is>
          <t>做空</t>
        </is>
      </c>
      <c r="G377" s="20" t="n">
        <v>0.12973</v>
      </c>
      <c r="H377" s="20" t="n">
        <v>0.1258381</v>
      </c>
      <c r="I377" s="20" t="n">
        <v>0.1362165</v>
      </c>
      <c r="J377" s="20" t="n">
        <v>0.1362165</v>
      </c>
      <c r="K377" s="2" t="inlineStr">
        <is>
          <t>止損</t>
        </is>
      </c>
      <c r="L377" s="5">
        <f>交易明細!K190</f>
        <v/>
      </c>
      <c r="M377" s="19">
        <f>M375</f>
        <v/>
      </c>
      <c r="N377" s="2">
        <f>N375</f>
        <v/>
      </c>
      <c r="O377" s="19">
        <f>O375</f>
        <v/>
      </c>
      <c r="P377" s="4">
        <f>交易明細!L190</f>
        <v/>
      </c>
      <c r="Q377" s="13">
        <f>IF(N377="已下單",O377*P377,0)</f>
        <v/>
      </c>
      <c r="R377" s="13">
        <f>R376+Q377</f>
        <v/>
      </c>
      <c r="S377" s="19">
        <f>S376-IF(N377="已下單",M377,0)</f>
        <v/>
      </c>
      <c r="T377" s="19">
        <f>R377-S377</f>
        <v/>
      </c>
      <c r="U377" s="2">
        <f>U376-IF(N377="已下單",1,0)</f>
        <v/>
      </c>
      <c r="V377" s="19">
        <f>IF(資金模擬!$B$9=2,MAX(R377,0),MAX(V376,FLOOR(MAX(R377,0),資金模擬!$B$6)))</f>
        <v/>
      </c>
      <c r="W377" s="13">
        <f>MAX(W376,R377)</f>
        <v/>
      </c>
      <c r="X377" s="4">
        <f>IF(W377&gt;0,R377/W377-1,-1)</f>
        <v/>
      </c>
      <c r="Y377" s="19">
        <f>IF(R377&gt;0,S377*資金模擬!$B$7/R377,0)</f>
        <v/>
      </c>
      <c r="Z377" s="2">
        <f>IF(OR(Z376=1,R377&lt;=資金模擬!$B$10),1,0)</f>
        <v/>
      </c>
    </row>
    <row r="378">
      <c r="A378" s="2" t="n">
        <v>376</v>
      </c>
      <c r="B378" s="7" t="n">
        <v>46277.875</v>
      </c>
      <c r="C378" s="2" t="inlineStr">
        <is>
          <t>進場</t>
        </is>
      </c>
      <c r="D378" s="2" t="n">
        <v>190</v>
      </c>
      <c r="E378" s="2" t="inlineStr">
        <is>
          <t>LAB_USDT_PERP</t>
        </is>
      </c>
      <c r="F378" s="2" t="inlineStr">
        <is>
          <t>做多</t>
        </is>
      </c>
      <c r="G378" s="20" t="n">
        <v>0.07699</v>
      </c>
      <c r="H378" s="20" t="n">
        <v>0.0792997</v>
      </c>
      <c r="I378" s="20" t="n">
        <v>0.0731405</v>
      </c>
      <c r="J378" s="20" t="n"/>
      <c r="K378" s="2" t="n"/>
      <c r="L378" s="5" t="n"/>
      <c r="M378" s="19">
        <f>資金模擬!$B$5*V377</f>
        <v/>
      </c>
      <c r="N378" s="2">
        <f>IF(Z377=1,"已停止",IF(T377&gt;=M378,"已下單","資金不足略過"))</f>
        <v/>
      </c>
      <c r="O378" s="19">
        <f>IF(N378="已下單",M378*資金模擬!$B$7,0)</f>
        <v/>
      </c>
      <c r="P378" s="4" t="n"/>
      <c r="Q378" s="13" t="n">
        <v>0</v>
      </c>
      <c r="R378" s="13">
        <f>R377+Q378</f>
        <v/>
      </c>
      <c r="S378" s="19">
        <f>S377+IF(N378="已下單",M378,0)</f>
        <v/>
      </c>
      <c r="T378" s="19">
        <f>R378-S378</f>
        <v/>
      </c>
      <c r="U378" s="2">
        <f>U377+IF(N378="已下單",1,0)</f>
        <v/>
      </c>
      <c r="V378" s="19">
        <f>IF(資金模擬!$B$9=2,MAX(R378,0),MAX(V377,FLOOR(MAX(R378,0),資金模擬!$B$6)))</f>
        <v/>
      </c>
      <c r="W378" s="13">
        <f>MAX(W377,R378)</f>
        <v/>
      </c>
      <c r="X378" s="4">
        <f>IF(W378&gt;0,R378/W378-1,-1)</f>
        <v/>
      </c>
      <c r="Y378" s="19">
        <f>IF(R378&gt;0,S378*資金模擬!$B$7/R378,0)</f>
        <v/>
      </c>
      <c r="Z378" s="2">
        <f>IF(OR(Z377=1,R378&lt;=資金模擬!$B$10),1,0)</f>
        <v/>
      </c>
    </row>
    <row r="379">
      <c r="A379" s="2" t="n">
        <v>377</v>
      </c>
      <c r="B379" s="7" t="n">
        <v>46277.95833333334</v>
      </c>
      <c r="C379" s="2" t="inlineStr">
        <is>
          <t>出場</t>
        </is>
      </c>
      <c r="D379" s="2" t="n">
        <v>190</v>
      </c>
      <c r="E379" s="2" t="inlineStr">
        <is>
          <t>LAB_USDT_PERP</t>
        </is>
      </c>
      <c r="F379" s="2" t="inlineStr">
        <is>
          <t>做多</t>
        </is>
      </c>
      <c r="G379" s="20" t="n">
        <v>0.07699</v>
      </c>
      <c r="H379" s="20" t="n">
        <v>0.0792997</v>
      </c>
      <c r="I379" s="20" t="n">
        <v>0.0731405</v>
      </c>
      <c r="J379" s="20" t="n">
        <v>0.0731405</v>
      </c>
      <c r="K379" s="2" t="inlineStr">
        <is>
          <t>止損</t>
        </is>
      </c>
      <c r="L379" s="5">
        <f>交易明細!K191</f>
        <v/>
      </c>
      <c r="M379" s="19">
        <f>M378</f>
        <v/>
      </c>
      <c r="N379" s="2">
        <f>N378</f>
        <v/>
      </c>
      <c r="O379" s="19">
        <f>O378</f>
        <v/>
      </c>
      <c r="P379" s="4">
        <f>交易明細!L191</f>
        <v/>
      </c>
      <c r="Q379" s="13">
        <f>IF(N379="已下單",O379*P379,0)</f>
        <v/>
      </c>
      <c r="R379" s="13">
        <f>R378+Q379</f>
        <v/>
      </c>
      <c r="S379" s="19">
        <f>S378-IF(N379="已下單",M379,0)</f>
        <v/>
      </c>
      <c r="T379" s="19">
        <f>R379-S379</f>
        <v/>
      </c>
      <c r="U379" s="2">
        <f>U378-IF(N379="已下單",1,0)</f>
        <v/>
      </c>
      <c r="V379" s="19">
        <f>IF(資金模擬!$B$9=2,MAX(R379,0),MAX(V378,FLOOR(MAX(R379,0),資金模擬!$B$6)))</f>
        <v/>
      </c>
      <c r="W379" s="13">
        <f>MAX(W378,R379)</f>
        <v/>
      </c>
      <c r="X379" s="4">
        <f>IF(W379&gt;0,R379/W379-1,-1)</f>
        <v/>
      </c>
      <c r="Y379" s="19">
        <f>IF(R379&gt;0,S379*資金模擬!$B$7/R379,0)</f>
        <v/>
      </c>
      <c r="Z379" s="2">
        <f>IF(OR(Z378=1,R379&lt;=資金模擬!$B$10),1,0)</f>
        <v/>
      </c>
    </row>
    <row r="380">
      <c r="A380" s="2" t="n">
        <v>378</v>
      </c>
      <c r="B380" s="7" t="n">
        <v>46278</v>
      </c>
      <c r="C380" s="2" t="inlineStr">
        <is>
          <t>進場</t>
        </is>
      </c>
      <c r="D380" s="2" t="n">
        <v>191</v>
      </c>
      <c r="E380" s="2" t="inlineStr">
        <is>
          <t>牛来_USDT_PERP</t>
        </is>
      </c>
      <c r="F380" s="2" t="inlineStr">
        <is>
          <t>做多</t>
        </is>
      </c>
      <c r="G380" s="20" t="n">
        <v>0.13578</v>
      </c>
      <c r="H380" s="20" t="n">
        <v>0.1398534</v>
      </c>
      <c r="I380" s="20" t="n">
        <v>0.128991</v>
      </c>
      <c r="J380" s="20" t="n"/>
      <c r="K380" s="2" t="n"/>
      <c r="L380" s="5" t="n"/>
      <c r="M380" s="19">
        <f>資金模擬!$B$5*V379</f>
        <v/>
      </c>
      <c r="N380" s="2">
        <f>IF(Z379=1,"已停止",IF(T379&gt;=M380,"已下單","資金不足略過"))</f>
        <v/>
      </c>
      <c r="O380" s="19">
        <f>IF(N380="已下單",M380*資金模擬!$B$7,0)</f>
        <v/>
      </c>
      <c r="P380" s="4" t="n"/>
      <c r="Q380" s="13" t="n">
        <v>0</v>
      </c>
      <c r="R380" s="13">
        <f>R379+Q380</f>
        <v/>
      </c>
      <c r="S380" s="19">
        <f>S379+IF(N380="已下單",M380,0)</f>
        <v/>
      </c>
      <c r="T380" s="19">
        <f>R380-S380</f>
        <v/>
      </c>
      <c r="U380" s="2">
        <f>U379+IF(N380="已下單",1,0)</f>
        <v/>
      </c>
      <c r="V380" s="19">
        <f>IF(資金模擬!$B$9=2,MAX(R380,0),MAX(V379,FLOOR(MAX(R380,0),資金模擬!$B$6)))</f>
        <v/>
      </c>
      <c r="W380" s="13">
        <f>MAX(W379,R380)</f>
        <v/>
      </c>
      <c r="X380" s="4">
        <f>IF(W380&gt;0,R380/W380-1,-1)</f>
        <v/>
      </c>
      <c r="Y380" s="19">
        <f>IF(R380&gt;0,S380*資金模擬!$B$7/R380,0)</f>
        <v/>
      </c>
      <c r="Z380" s="2">
        <f>IF(OR(Z379=1,R380&lt;=資金模擬!$B$10),1,0)</f>
        <v/>
      </c>
    </row>
    <row r="381">
      <c r="A381" s="2" t="n">
        <v>379</v>
      </c>
      <c r="B381" s="7" t="n">
        <v>46278.04166666666</v>
      </c>
      <c r="C381" s="2" t="inlineStr">
        <is>
          <t>進場</t>
        </is>
      </c>
      <c r="D381" s="2" t="n">
        <v>192</v>
      </c>
      <c r="E381" s="2" t="inlineStr">
        <is>
          <t>MARSCOIN_USDT_PERP</t>
        </is>
      </c>
      <c r="F381" s="2" t="inlineStr">
        <is>
          <t>做空</t>
        </is>
      </c>
      <c r="G381" s="20" t="n">
        <v>0.11779</v>
      </c>
      <c r="H381" s="20" t="n">
        <v>0.1142563</v>
      </c>
      <c r="I381" s="20" t="n">
        <v>0.1236795</v>
      </c>
      <c r="J381" s="20" t="n"/>
      <c r="K381" s="2" t="n"/>
      <c r="L381" s="5" t="n"/>
      <c r="M381" s="19">
        <f>資金模擬!$B$5*V380</f>
        <v/>
      </c>
      <c r="N381" s="2">
        <f>IF(Z380=1,"已停止",IF(T380&gt;=M381,"已下單","資金不足略過"))</f>
        <v/>
      </c>
      <c r="O381" s="19">
        <f>IF(N381="已下單",M381*資金模擬!$B$7,0)</f>
        <v/>
      </c>
      <c r="P381" s="4" t="n"/>
      <c r="Q381" s="13" t="n">
        <v>0</v>
      </c>
      <c r="R381" s="13">
        <f>R380+Q381</f>
        <v/>
      </c>
      <c r="S381" s="19">
        <f>S380+IF(N381="已下單",M381,0)</f>
        <v/>
      </c>
      <c r="T381" s="19">
        <f>R381-S381</f>
        <v/>
      </c>
      <c r="U381" s="2">
        <f>U380+IF(N381="已下單",1,0)</f>
        <v/>
      </c>
      <c r="V381" s="19">
        <f>IF(資金模擬!$B$9=2,MAX(R381,0),MAX(V380,FLOOR(MAX(R381,0),資金模擬!$B$6)))</f>
        <v/>
      </c>
      <c r="W381" s="13">
        <f>MAX(W380,R381)</f>
        <v/>
      </c>
      <c r="X381" s="4">
        <f>IF(W381&gt;0,R381/W381-1,-1)</f>
        <v/>
      </c>
      <c r="Y381" s="19">
        <f>IF(R381&gt;0,S381*資金模擬!$B$7/R381,0)</f>
        <v/>
      </c>
      <c r="Z381" s="2">
        <f>IF(OR(Z380=1,R381&lt;=資金模擬!$B$10),1,0)</f>
        <v/>
      </c>
    </row>
    <row r="382">
      <c r="A382" s="2" t="n">
        <v>380</v>
      </c>
      <c r="B382" s="7" t="n">
        <v>46278.04166666666</v>
      </c>
      <c r="C382" s="2" t="inlineStr">
        <is>
          <t>進場</t>
        </is>
      </c>
      <c r="D382" s="2" t="n">
        <v>193</v>
      </c>
      <c r="E382" s="2" t="inlineStr">
        <is>
          <t>PONS_USDT_PERP</t>
        </is>
      </c>
      <c r="F382" s="2" t="inlineStr">
        <is>
          <t>做空</t>
        </is>
      </c>
      <c r="G382" s="20" t="n">
        <v>0.6118</v>
      </c>
      <c r="H382" s="20" t="n">
        <v>0.593446</v>
      </c>
      <c r="I382" s="20" t="n">
        <v>0.64239</v>
      </c>
      <c r="J382" s="20" t="n"/>
      <c r="K382" s="2" t="n"/>
      <c r="L382" s="5" t="n"/>
      <c r="M382" s="19">
        <f>資金模擬!$B$5*V381</f>
        <v/>
      </c>
      <c r="N382" s="2">
        <f>IF(Z381=1,"已停止",IF(T381&gt;=M382,"已下單","資金不足略過"))</f>
        <v/>
      </c>
      <c r="O382" s="19">
        <f>IF(N382="已下單",M382*資金模擬!$B$7,0)</f>
        <v/>
      </c>
      <c r="P382" s="4" t="n"/>
      <c r="Q382" s="13" t="n">
        <v>0</v>
      </c>
      <c r="R382" s="13">
        <f>R381+Q382</f>
        <v/>
      </c>
      <c r="S382" s="19">
        <f>S381+IF(N382="已下單",M382,0)</f>
        <v/>
      </c>
      <c r="T382" s="19">
        <f>R382-S382</f>
        <v/>
      </c>
      <c r="U382" s="2">
        <f>U381+IF(N382="已下單",1,0)</f>
        <v/>
      </c>
      <c r="V382" s="19">
        <f>IF(資金模擬!$B$9=2,MAX(R382,0),MAX(V381,FLOOR(MAX(R382,0),資金模擬!$B$6)))</f>
        <v/>
      </c>
      <c r="W382" s="13">
        <f>MAX(W381,R382)</f>
        <v/>
      </c>
      <c r="X382" s="4">
        <f>IF(W382&gt;0,R382/W382-1,-1)</f>
        <v/>
      </c>
      <c r="Y382" s="19">
        <f>IF(R382&gt;0,S382*資金模擬!$B$7/R382,0)</f>
        <v/>
      </c>
      <c r="Z382" s="2">
        <f>IF(OR(Z381=1,R382&lt;=資金模擬!$B$10),1,0)</f>
        <v/>
      </c>
    </row>
    <row r="383">
      <c r="A383" s="2" t="n">
        <v>381</v>
      </c>
      <c r="B383" s="7" t="n">
        <v>46278.08333333334</v>
      </c>
      <c r="C383" s="2" t="inlineStr">
        <is>
          <t>出場</t>
        </is>
      </c>
      <c r="D383" s="2" t="n">
        <v>180</v>
      </c>
      <c r="E383" s="2" t="inlineStr">
        <is>
          <t>PUMP_USDT_PERP</t>
        </is>
      </c>
      <c r="F383" s="2" t="inlineStr">
        <is>
          <t>做空</t>
        </is>
      </c>
      <c r="G383" s="20" t="n">
        <v>0.003537</v>
      </c>
      <c r="H383" s="20" t="n">
        <v>0.00343089</v>
      </c>
      <c r="I383" s="20" t="n">
        <v>0.00371385</v>
      </c>
      <c r="J383" s="20" t="n">
        <v>0.00371385</v>
      </c>
      <c r="K383" s="2" t="inlineStr">
        <is>
          <t>止損</t>
        </is>
      </c>
      <c r="L383" s="5">
        <f>交易明細!K181</f>
        <v/>
      </c>
      <c r="M383" s="19">
        <f>M357</f>
        <v/>
      </c>
      <c r="N383" s="2">
        <f>N357</f>
        <v/>
      </c>
      <c r="O383" s="19">
        <f>O357</f>
        <v/>
      </c>
      <c r="P383" s="4">
        <f>交易明細!L181</f>
        <v/>
      </c>
      <c r="Q383" s="13">
        <f>IF(N383="已下單",O383*P383,0)</f>
        <v/>
      </c>
      <c r="R383" s="13">
        <f>R382+Q383</f>
        <v/>
      </c>
      <c r="S383" s="19">
        <f>S382-IF(N383="已下單",M383,0)</f>
        <v/>
      </c>
      <c r="T383" s="19">
        <f>R383-S383</f>
        <v/>
      </c>
      <c r="U383" s="2">
        <f>U382-IF(N383="已下單",1,0)</f>
        <v/>
      </c>
      <c r="V383" s="19">
        <f>IF(資金模擬!$B$9=2,MAX(R383,0),MAX(V382,FLOOR(MAX(R383,0),資金模擬!$B$6)))</f>
        <v/>
      </c>
      <c r="W383" s="13">
        <f>MAX(W382,R383)</f>
        <v/>
      </c>
      <c r="X383" s="4">
        <f>IF(W383&gt;0,R383/W383-1,-1)</f>
        <v/>
      </c>
      <c r="Y383" s="19">
        <f>IF(R383&gt;0,S383*資金模擬!$B$7/R383,0)</f>
        <v/>
      </c>
      <c r="Z383" s="2">
        <f>IF(OR(Z382=1,R383&lt;=資金模擬!$B$10),1,0)</f>
        <v/>
      </c>
    </row>
    <row r="384">
      <c r="A384" s="2" t="n">
        <v>382</v>
      </c>
      <c r="B384" s="7" t="n">
        <v>46278.08333333334</v>
      </c>
      <c r="C384" s="2" t="inlineStr">
        <is>
          <t>出場</t>
        </is>
      </c>
      <c r="D384" s="2" t="n">
        <v>191</v>
      </c>
      <c r="E384" s="2" t="inlineStr">
        <is>
          <t>牛来_USDT_PERP</t>
        </is>
      </c>
      <c r="F384" s="2" t="inlineStr">
        <is>
          <t>做多</t>
        </is>
      </c>
      <c r="G384" s="20" t="n">
        <v>0.13578</v>
      </c>
      <c r="H384" s="20" t="n">
        <v>0.1398534</v>
      </c>
      <c r="I384" s="20" t="n">
        <v>0.128991</v>
      </c>
      <c r="J384" s="20" t="n">
        <v>0.128991</v>
      </c>
      <c r="K384" s="2" t="inlineStr">
        <is>
          <t>止損</t>
        </is>
      </c>
      <c r="L384" s="5">
        <f>交易明細!K192</f>
        <v/>
      </c>
      <c r="M384" s="19">
        <f>M380</f>
        <v/>
      </c>
      <c r="N384" s="2">
        <f>N380</f>
        <v/>
      </c>
      <c r="O384" s="19">
        <f>O380</f>
        <v/>
      </c>
      <c r="P384" s="4">
        <f>交易明細!L192</f>
        <v/>
      </c>
      <c r="Q384" s="13">
        <f>IF(N384="已下單",O384*P384,0)</f>
        <v/>
      </c>
      <c r="R384" s="13">
        <f>R383+Q384</f>
        <v/>
      </c>
      <c r="S384" s="19">
        <f>S383-IF(N384="已下單",M384,0)</f>
        <v/>
      </c>
      <c r="T384" s="19">
        <f>R384-S384</f>
        <v/>
      </c>
      <c r="U384" s="2">
        <f>U383-IF(N384="已下單",1,0)</f>
        <v/>
      </c>
      <c r="V384" s="19">
        <f>IF(資金模擬!$B$9=2,MAX(R384,0),MAX(V383,FLOOR(MAX(R384,0),資金模擬!$B$6)))</f>
        <v/>
      </c>
      <c r="W384" s="13">
        <f>MAX(W383,R384)</f>
        <v/>
      </c>
      <c r="X384" s="4">
        <f>IF(W384&gt;0,R384/W384-1,-1)</f>
        <v/>
      </c>
      <c r="Y384" s="19">
        <f>IF(R384&gt;0,S384*資金模擬!$B$7/R384,0)</f>
        <v/>
      </c>
      <c r="Z384" s="2">
        <f>IF(OR(Z383=1,R384&lt;=資金模擬!$B$10),1,0)</f>
        <v/>
      </c>
    </row>
    <row r="385">
      <c r="A385" s="2" t="n">
        <v>383</v>
      </c>
      <c r="B385" s="7" t="n">
        <v>46278.08333333334</v>
      </c>
      <c r="C385" s="2" t="inlineStr">
        <is>
          <t>進場</t>
        </is>
      </c>
      <c r="D385" s="2" t="n">
        <v>194</v>
      </c>
      <c r="E385" s="2" t="inlineStr">
        <is>
          <t>RIVER_USDT_PERP</t>
        </is>
      </c>
      <c r="F385" s="2" t="inlineStr">
        <is>
          <t>做多</t>
        </is>
      </c>
      <c r="G385" s="20" t="n">
        <v>1.412</v>
      </c>
      <c r="H385" s="20" t="n">
        <v>1.45436</v>
      </c>
      <c r="I385" s="20" t="n">
        <v>1.3414</v>
      </c>
      <c r="J385" s="20" t="n"/>
      <c r="K385" s="2" t="n"/>
      <c r="L385" s="5" t="n"/>
      <c r="M385" s="19">
        <f>資金模擬!$B$5*V384</f>
        <v/>
      </c>
      <c r="N385" s="2">
        <f>IF(Z384=1,"已停止",IF(T384&gt;=M385,"已下單","資金不足略過"))</f>
        <v/>
      </c>
      <c r="O385" s="19">
        <f>IF(N385="已下單",M385*資金模擬!$B$7,0)</f>
        <v/>
      </c>
      <c r="P385" s="4" t="n"/>
      <c r="Q385" s="13" t="n">
        <v>0</v>
      </c>
      <c r="R385" s="13">
        <f>R384+Q385</f>
        <v/>
      </c>
      <c r="S385" s="19">
        <f>S384+IF(N385="已下單",M385,0)</f>
        <v/>
      </c>
      <c r="T385" s="19">
        <f>R385-S385</f>
        <v/>
      </c>
      <c r="U385" s="2">
        <f>U384+IF(N385="已下單",1,0)</f>
        <v/>
      </c>
      <c r="V385" s="19">
        <f>IF(資金模擬!$B$9=2,MAX(R385,0),MAX(V384,FLOOR(MAX(R385,0),資金模擬!$B$6)))</f>
        <v/>
      </c>
      <c r="W385" s="13">
        <f>MAX(W384,R385)</f>
        <v/>
      </c>
      <c r="X385" s="4">
        <f>IF(W385&gt;0,R385/W385-1,-1)</f>
        <v/>
      </c>
      <c r="Y385" s="19">
        <f>IF(R385&gt;0,S385*資金模擬!$B$7/R385,0)</f>
        <v/>
      </c>
      <c r="Z385" s="2">
        <f>IF(OR(Z384=1,R385&lt;=資金模擬!$B$10),1,0)</f>
        <v/>
      </c>
    </row>
    <row r="386">
      <c r="A386" s="2" t="n">
        <v>384</v>
      </c>
      <c r="B386" s="7" t="n">
        <v>46278.08333333334</v>
      </c>
      <c r="C386" s="2" t="inlineStr">
        <is>
          <t>進場</t>
        </is>
      </c>
      <c r="D386" s="2" t="n">
        <v>195</v>
      </c>
      <c r="E386" s="2" t="inlineStr">
        <is>
          <t>USELESS_USDT_PERP</t>
        </is>
      </c>
      <c r="F386" s="2" t="inlineStr">
        <is>
          <t>做多</t>
        </is>
      </c>
      <c r="G386" s="20" t="n">
        <v>0.23269</v>
      </c>
      <c r="H386" s="20" t="n">
        <v>0.2396707</v>
      </c>
      <c r="I386" s="20" t="n">
        <v>0.2210555</v>
      </c>
      <c r="J386" s="20" t="n"/>
      <c r="K386" s="2" t="n"/>
      <c r="L386" s="5" t="n"/>
      <c r="M386" s="19">
        <f>資金模擬!$B$5*V385</f>
        <v/>
      </c>
      <c r="N386" s="2">
        <f>IF(Z385=1,"已停止",IF(T385&gt;=M386,"已下單","資金不足略過"))</f>
        <v/>
      </c>
      <c r="O386" s="19">
        <f>IF(N386="已下單",M386*資金模擬!$B$7,0)</f>
        <v/>
      </c>
      <c r="P386" s="4" t="n"/>
      <c r="Q386" s="13" t="n">
        <v>0</v>
      </c>
      <c r="R386" s="13">
        <f>R385+Q386</f>
        <v/>
      </c>
      <c r="S386" s="19">
        <f>S385+IF(N386="已下單",M386,0)</f>
        <v/>
      </c>
      <c r="T386" s="19">
        <f>R386-S386</f>
        <v/>
      </c>
      <c r="U386" s="2">
        <f>U385+IF(N386="已下單",1,0)</f>
        <v/>
      </c>
      <c r="V386" s="19">
        <f>IF(資金模擬!$B$9=2,MAX(R386,0),MAX(V385,FLOOR(MAX(R386,0),資金模擬!$B$6)))</f>
        <v/>
      </c>
      <c r="W386" s="13">
        <f>MAX(W385,R386)</f>
        <v/>
      </c>
      <c r="X386" s="4">
        <f>IF(W386&gt;0,R386/W386-1,-1)</f>
        <v/>
      </c>
      <c r="Y386" s="19">
        <f>IF(R386&gt;0,S386*資金模擬!$B$7/R386,0)</f>
        <v/>
      </c>
      <c r="Z386" s="2">
        <f>IF(OR(Z385=1,R386&lt;=資金模擬!$B$10),1,0)</f>
        <v/>
      </c>
    </row>
    <row r="387">
      <c r="A387" s="2" t="n">
        <v>385</v>
      </c>
      <c r="B387" s="7" t="n">
        <v>46278.125</v>
      </c>
      <c r="C387" s="2" t="inlineStr">
        <is>
          <t>出場</t>
        </is>
      </c>
      <c r="D387" s="2" t="n">
        <v>193</v>
      </c>
      <c r="E387" s="2" t="inlineStr">
        <is>
          <t>PONS_USDT_PERP</t>
        </is>
      </c>
      <c r="F387" s="2" t="inlineStr">
        <is>
          <t>做空</t>
        </is>
      </c>
      <c r="G387" s="20" t="n">
        <v>0.6118</v>
      </c>
      <c r="H387" s="20" t="n">
        <v>0.593446</v>
      </c>
      <c r="I387" s="20" t="n">
        <v>0.64239</v>
      </c>
      <c r="J387" s="20" t="n">
        <v>0.593446</v>
      </c>
      <c r="K387" s="2" t="inlineStr">
        <is>
          <t>止盈</t>
        </is>
      </c>
      <c r="L387" s="5">
        <f>交易明細!K194</f>
        <v/>
      </c>
      <c r="M387" s="19">
        <f>M382</f>
        <v/>
      </c>
      <c r="N387" s="2">
        <f>N382</f>
        <v/>
      </c>
      <c r="O387" s="19">
        <f>O382</f>
        <v/>
      </c>
      <c r="P387" s="4">
        <f>交易明細!L194</f>
        <v/>
      </c>
      <c r="Q387" s="13">
        <f>IF(N387="已下單",O387*P387,0)</f>
        <v/>
      </c>
      <c r="R387" s="13">
        <f>R386+Q387</f>
        <v/>
      </c>
      <c r="S387" s="19">
        <f>S386-IF(N387="已下單",M387,0)</f>
        <v/>
      </c>
      <c r="T387" s="19">
        <f>R387-S387</f>
        <v/>
      </c>
      <c r="U387" s="2">
        <f>U386-IF(N387="已下單",1,0)</f>
        <v/>
      </c>
      <c r="V387" s="19">
        <f>IF(資金模擬!$B$9=2,MAX(R387,0),MAX(V386,FLOOR(MAX(R387,0),資金模擬!$B$6)))</f>
        <v/>
      </c>
      <c r="W387" s="13">
        <f>MAX(W386,R387)</f>
        <v/>
      </c>
      <c r="X387" s="4">
        <f>IF(W387&gt;0,R387/W387-1,-1)</f>
        <v/>
      </c>
      <c r="Y387" s="19">
        <f>IF(R387&gt;0,S387*資金模擬!$B$7/R387,0)</f>
        <v/>
      </c>
      <c r="Z387" s="2">
        <f>IF(OR(Z386=1,R387&lt;=資金模擬!$B$10),1,0)</f>
        <v/>
      </c>
    </row>
    <row r="388">
      <c r="A388" s="2" t="n">
        <v>386</v>
      </c>
      <c r="B388" s="7" t="n">
        <v>46278.125</v>
      </c>
      <c r="C388" s="2" t="inlineStr">
        <is>
          <t>出場</t>
        </is>
      </c>
      <c r="D388" s="2" t="n">
        <v>194</v>
      </c>
      <c r="E388" s="2" t="inlineStr">
        <is>
          <t>RIVER_USDT_PERP</t>
        </is>
      </c>
      <c r="F388" s="2" t="inlineStr">
        <is>
          <t>做多</t>
        </is>
      </c>
      <c r="G388" s="20" t="n">
        <v>1.412</v>
      </c>
      <c r="H388" s="20" t="n">
        <v>1.45436</v>
      </c>
      <c r="I388" s="20" t="n">
        <v>1.3414</v>
      </c>
      <c r="J388" s="20" t="n">
        <v>1.45436</v>
      </c>
      <c r="K388" s="2" t="inlineStr">
        <is>
          <t>止盈</t>
        </is>
      </c>
      <c r="L388" s="5">
        <f>交易明細!K195</f>
        <v/>
      </c>
      <c r="M388" s="19">
        <f>M385</f>
        <v/>
      </c>
      <c r="N388" s="2">
        <f>N385</f>
        <v/>
      </c>
      <c r="O388" s="19">
        <f>O385</f>
        <v/>
      </c>
      <c r="P388" s="4">
        <f>交易明細!L195</f>
        <v/>
      </c>
      <c r="Q388" s="13">
        <f>IF(N388="已下單",O388*P388,0)</f>
        <v/>
      </c>
      <c r="R388" s="13">
        <f>R387+Q388</f>
        <v/>
      </c>
      <c r="S388" s="19">
        <f>S387-IF(N388="已下單",M388,0)</f>
        <v/>
      </c>
      <c r="T388" s="19">
        <f>R388-S388</f>
        <v/>
      </c>
      <c r="U388" s="2">
        <f>U387-IF(N388="已下單",1,0)</f>
        <v/>
      </c>
      <c r="V388" s="19">
        <f>IF(資金模擬!$B$9=2,MAX(R388,0),MAX(V387,FLOOR(MAX(R388,0),資金模擬!$B$6)))</f>
        <v/>
      </c>
      <c r="W388" s="13">
        <f>MAX(W387,R388)</f>
        <v/>
      </c>
      <c r="X388" s="4">
        <f>IF(W388&gt;0,R388/W388-1,-1)</f>
        <v/>
      </c>
      <c r="Y388" s="19">
        <f>IF(R388&gt;0,S388*資金模擬!$B$7/R388,0)</f>
        <v/>
      </c>
      <c r="Z388" s="2">
        <f>IF(OR(Z387=1,R388&lt;=資金模擬!$B$10),1,0)</f>
        <v/>
      </c>
    </row>
    <row r="389">
      <c r="A389" s="2" t="n">
        <v>387</v>
      </c>
      <c r="B389" s="7" t="n">
        <v>46278.20833333334</v>
      </c>
      <c r="C389" s="2" t="inlineStr">
        <is>
          <t>進場</t>
        </is>
      </c>
      <c r="D389" s="2" t="n">
        <v>196</v>
      </c>
      <c r="E389" s="2" t="inlineStr">
        <is>
          <t>VVV_USDT_PERP</t>
        </is>
      </c>
      <c r="F389" s="2" t="inlineStr">
        <is>
          <t>做多</t>
        </is>
      </c>
      <c r="G389" s="20" t="n">
        <v>23.956</v>
      </c>
      <c r="H389" s="20" t="n">
        <v>24.67468</v>
      </c>
      <c r="I389" s="20" t="n">
        <v>22.7582</v>
      </c>
      <c r="J389" s="20" t="n"/>
      <c r="K389" s="2" t="n"/>
      <c r="L389" s="5" t="n"/>
      <c r="M389" s="19">
        <f>資金模擬!$B$5*V388</f>
        <v/>
      </c>
      <c r="N389" s="2">
        <f>IF(Z388=1,"已停止",IF(T388&gt;=M389,"已下單","資金不足略過"))</f>
        <v/>
      </c>
      <c r="O389" s="19">
        <f>IF(N389="已下單",M389*資金模擬!$B$7,0)</f>
        <v/>
      </c>
      <c r="P389" s="4" t="n"/>
      <c r="Q389" s="13" t="n">
        <v>0</v>
      </c>
      <c r="R389" s="13">
        <f>R388+Q389</f>
        <v/>
      </c>
      <c r="S389" s="19">
        <f>S388+IF(N389="已下單",M389,0)</f>
        <v/>
      </c>
      <c r="T389" s="19">
        <f>R389-S389</f>
        <v/>
      </c>
      <c r="U389" s="2">
        <f>U388+IF(N389="已下單",1,0)</f>
        <v/>
      </c>
      <c r="V389" s="19">
        <f>IF(資金模擬!$B$9=2,MAX(R389,0),MAX(V388,FLOOR(MAX(R389,0),資金模擬!$B$6)))</f>
        <v/>
      </c>
      <c r="W389" s="13">
        <f>MAX(W388,R389)</f>
        <v/>
      </c>
      <c r="X389" s="4">
        <f>IF(W389&gt;0,R389/W389-1,-1)</f>
        <v/>
      </c>
      <c r="Y389" s="19">
        <f>IF(R389&gt;0,S389*資金模擬!$B$7/R389,0)</f>
        <v/>
      </c>
      <c r="Z389" s="2">
        <f>IF(OR(Z388=1,R389&lt;=資金模擬!$B$10),1,0)</f>
        <v/>
      </c>
    </row>
    <row r="390">
      <c r="A390" s="2" t="n">
        <v>388</v>
      </c>
      <c r="B390" s="7" t="n">
        <v>46278.29166666666</v>
      </c>
      <c r="C390" s="2" t="inlineStr">
        <is>
          <t>出場</t>
        </is>
      </c>
      <c r="D390" s="2" t="n">
        <v>196</v>
      </c>
      <c r="E390" s="2" t="inlineStr">
        <is>
          <t>VVV_USDT_PERP</t>
        </is>
      </c>
      <c r="F390" s="2" t="inlineStr">
        <is>
          <t>做多</t>
        </is>
      </c>
      <c r="G390" s="20" t="n">
        <v>23.956</v>
      </c>
      <c r="H390" s="20" t="n">
        <v>24.67468</v>
      </c>
      <c r="I390" s="20" t="n">
        <v>22.7582</v>
      </c>
      <c r="J390" s="20" t="n">
        <v>24.67468</v>
      </c>
      <c r="K390" s="2" t="inlineStr">
        <is>
          <t>止盈</t>
        </is>
      </c>
      <c r="L390" s="5">
        <f>交易明細!K197</f>
        <v/>
      </c>
      <c r="M390" s="19">
        <f>M389</f>
        <v/>
      </c>
      <c r="N390" s="2">
        <f>N389</f>
        <v/>
      </c>
      <c r="O390" s="19">
        <f>O389</f>
        <v/>
      </c>
      <c r="P390" s="4">
        <f>交易明細!L197</f>
        <v/>
      </c>
      <c r="Q390" s="13">
        <f>IF(N390="已下單",O390*P390,0)</f>
        <v/>
      </c>
      <c r="R390" s="13">
        <f>R389+Q390</f>
        <v/>
      </c>
      <c r="S390" s="19">
        <f>S389-IF(N390="已下單",M390,0)</f>
        <v/>
      </c>
      <c r="T390" s="19">
        <f>R390-S390</f>
        <v/>
      </c>
      <c r="U390" s="2">
        <f>U389-IF(N390="已下單",1,0)</f>
        <v/>
      </c>
      <c r="V390" s="19">
        <f>IF(資金模擬!$B$9=2,MAX(R390,0),MAX(V389,FLOOR(MAX(R390,0),資金模擬!$B$6)))</f>
        <v/>
      </c>
      <c r="W390" s="13">
        <f>MAX(W389,R390)</f>
        <v/>
      </c>
      <c r="X390" s="4">
        <f>IF(W390&gt;0,R390/W390-1,-1)</f>
        <v/>
      </c>
      <c r="Y390" s="19">
        <f>IF(R390&gt;0,S390*資金模擬!$B$7/R390,0)</f>
        <v/>
      </c>
      <c r="Z390" s="2">
        <f>IF(OR(Z389=1,R390&lt;=資金模擬!$B$10),1,0)</f>
        <v/>
      </c>
    </row>
    <row r="391">
      <c r="A391" s="2" t="n">
        <v>389</v>
      </c>
      <c r="B391" s="7" t="n">
        <v>46278.45833333334</v>
      </c>
      <c r="C391" s="2" t="inlineStr">
        <is>
          <t>出場</t>
        </is>
      </c>
      <c r="D391" s="2" t="n">
        <v>192</v>
      </c>
      <c r="E391" s="2" t="inlineStr">
        <is>
          <t>MARSCOIN_USDT_PERP</t>
        </is>
      </c>
      <c r="F391" s="2" t="inlineStr">
        <is>
          <t>做空</t>
        </is>
      </c>
      <c r="G391" s="20" t="n">
        <v>0.11779</v>
      </c>
      <c r="H391" s="20" t="n">
        <v>0.1142563</v>
      </c>
      <c r="I391" s="20" t="n">
        <v>0.1236795</v>
      </c>
      <c r="J391" s="20" t="n">
        <v>0.1236795</v>
      </c>
      <c r="K391" s="2" t="inlineStr">
        <is>
          <t>止損</t>
        </is>
      </c>
      <c r="L391" s="5">
        <f>交易明細!K193</f>
        <v/>
      </c>
      <c r="M391" s="19">
        <f>M381</f>
        <v/>
      </c>
      <c r="N391" s="2">
        <f>N381</f>
        <v/>
      </c>
      <c r="O391" s="19">
        <f>O381</f>
        <v/>
      </c>
      <c r="P391" s="4">
        <f>交易明細!L193</f>
        <v/>
      </c>
      <c r="Q391" s="13">
        <f>IF(N391="已下單",O391*P391,0)</f>
        <v/>
      </c>
      <c r="R391" s="13">
        <f>R390+Q391</f>
        <v/>
      </c>
      <c r="S391" s="19">
        <f>S390-IF(N391="已下單",M391,0)</f>
        <v/>
      </c>
      <c r="T391" s="19">
        <f>R391-S391</f>
        <v/>
      </c>
      <c r="U391" s="2">
        <f>U390-IF(N391="已下單",1,0)</f>
        <v/>
      </c>
      <c r="V391" s="19">
        <f>IF(資金模擬!$B$9=2,MAX(R391,0),MAX(V390,FLOOR(MAX(R391,0),資金模擬!$B$6)))</f>
        <v/>
      </c>
      <c r="W391" s="13">
        <f>MAX(W390,R391)</f>
        <v/>
      </c>
      <c r="X391" s="4">
        <f>IF(W391&gt;0,R391/W391-1,-1)</f>
        <v/>
      </c>
      <c r="Y391" s="19">
        <f>IF(R391&gt;0,S391*資金模擬!$B$7/R391,0)</f>
        <v/>
      </c>
      <c r="Z391" s="2">
        <f>IF(OR(Z390=1,R391&lt;=資金模擬!$B$10),1,0)</f>
        <v/>
      </c>
    </row>
    <row r="392">
      <c r="A392" s="2" t="n">
        <v>390</v>
      </c>
      <c r="B392" s="7" t="n">
        <v>46278.45833333334</v>
      </c>
      <c r="C392" s="2" t="inlineStr">
        <is>
          <t>進場</t>
        </is>
      </c>
      <c r="D392" s="2" t="n">
        <v>197</v>
      </c>
      <c r="E392" s="2" t="inlineStr">
        <is>
          <t>AKE_USDT_PERP</t>
        </is>
      </c>
      <c r="F392" s="2" t="inlineStr">
        <is>
          <t>做多</t>
        </is>
      </c>
      <c r="G392" s="20" t="n">
        <v>0.0164847</v>
      </c>
      <c r="H392" s="20" t="n">
        <v>0.016979241</v>
      </c>
      <c r="I392" s="20" t="n">
        <v>0.015660465</v>
      </c>
      <c r="J392" s="20" t="n"/>
      <c r="K392" s="2" t="n"/>
      <c r="L392" s="5" t="n"/>
      <c r="M392" s="19">
        <f>資金模擬!$B$5*V391</f>
        <v/>
      </c>
      <c r="N392" s="2">
        <f>IF(Z391=1,"已停止",IF(T391&gt;=M392,"已下單","資金不足略過"))</f>
        <v/>
      </c>
      <c r="O392" s="19">
        <f>IF(N392="已下單",M392*資金模擬!$B$7,0)</f>
        <v/>
      </c>
      <c r="P392" s="4" t="n"/>
      <c r="Q392" s="13" t="n">
        <v>0</v>
      </c>
      <c r="R392" s="13">
        <f>R391+Q392</f>
        <v/>
      </c>
      <c r="S392" s="19">
        <f>S391+IF(N392="已下單",M392,0)</f>
        <v/>
      </c>
      <c r="T392" s="19">
        <f>R392-S392</f>
        <v/>
      </c>
      <c r="U392" s="2">
        <f>U391+IF(N392="已下單",1,0)</f>
        <v/>
      </c>
      <c r="V392" s="19">
        <f>IF(資金模擬!$B$9=2,MAX(R392,0),MAX(V391,FLOOR(MAX(R392,0),資金模擬!$B$6)))</f>
        <v/>
      </c>
      <c r="W392" s="13">
        <f>MAX(W391,R392)</f>
        <v/>
      </c>
      <c r="X392" s="4">
        <f>IF(W392&gt;0,R392/W392-1,-1)</f>
        <v/>
      </c>
      <c r="Y392" s="19">
        <f>IF(R392&gt;0,S392*資金模擬!$B$7/R392,0)</f>
        <v/>
      </c>
      <c r="Z392" s="2">
        <f>IF(OR(Z391=1,R392&lt;=資金模擬!$B$10),1,0)</f>
        <v/>
      </c>
    </row>
    <row r="393">
      <c r="A393" s="2" t="n">
        <v>391</v>
      </c>
      <c r="B393" s="7" t="n">
        <v>46278.45833333334</v>
      </c>
      <c r="C393" s="2" t="inlineStr">
        <is>
          <t>進場</t>
        </is>
      </c>
      <c r="D393" s="2" t="n">
        <v>198</v>
      </c>
      <c r="E393" s="2" t="inlineStr">
        <is>
          <t>PONS_USDT_PERP</t>
        </is>
      </c>
      <c r="F393" s="2" t="inlineStr">
        <is>
          <t>做空</t>
        </is>
      </c>
      <c r="G393" s="20" t="n">
        <v>0.5901999999999999</v>
      </c>
      <c r="H393" s="20" t="n">
        <v>0.5724939999999999</v>
      </c>
      <c r="I393" s="20" t="n">
        <v>0.61971</v>
      </c>
      <c r="J393" s="20" t="n"/>
      <c r="K393" s="2" t="n"/>
      <c r="L393" s="5" t="n"/>
      <c r="M393" s="19">
        <f>資金模擬!$B$5*V392</f>
        <v/>
      </c>
      <c r="N393" s="2">
        <f>IF(Z392=1,"已停止",IF(T392&gt;=M393,"已下單","資金不足略過"))</f>
        <v/>
      </c>
      <c r="O393" s="19">
        <f>IF(N393="已下單",M393*資金模擬!$B$7,0)</f>
        <v/>
      </c>
      <c r="P393" s="4" t="n"/>
      <c r="Q393" s="13" t="n">
        <v>0</v>
      </c>
      <c r="R393" s="13">
        <f>R392+Q393</f>
        <v/>
      </c>
      <c r="S393" s="19">
        <f>S392+IF(N393="已下單",M393,0)</f>
        <v/>
      </c>
      <c r="T393" s="19">
        <f>R393-S393</f>
        <v/>
      </c>
      <c r="U393" s="2">
        <f>U392+IF(N393="已下單",1,0)</f>
        <v/>
      </c>
      <c r="V393" s="19">
        <f>IF(資金模擬!$B$9=2,MAX(R393,0),MAX(V392,FLOOR(MAX(R393,0),資金模擬!$B$6)))</f>
        <v/>
      </c>
      <c r="W393" s="13">
        <f>MAX(W392,R393)</f>
        <v/>
      </c>
      <c r="X393" s="4">
        <f>IF(W393&gt;0,R393/W393-1,-1)</f>
        <v/>
      </c>
      <c r="Y393" s="19">
        <f>IF(R393&gt;0,S393*資金模擬!$B$7/R393,0)</f>
        <v/>
      </c>
      <c r="Z393" s="2">
        <f>IF(OR(Z392=1,R393&lt;=資金模擬!$B$10),1,0)</f>
        <v/>
      </c>
    </row>
    <row r="394">
      <c r="A394" s="2" t="n">
        <v>392</v>
      </c>
      <c r="B394" s="7" t="n">
        <v>46278.5</v>
      </c>
      <c r="C394" s="2" t="inlineStr">
        <is>
          <t>出場</t>
        </is>
      </c>
      <c r="D394" s="2" t="n">
        <v>195</v>
      </c>
      <c r="E394" s="2" t="inlineStr">
        <is>
          <t>USELESS_USDT_PERP</t>
        </is>
      </c>
      <c r="F394" s="2" t="inlineStr">
        <is>
          <t>做多</t>
        </is>
      </c>
      <c r="G394" s="20" t="n">
        <v>0.23269</v>
      </c>
      <c r="H394" s="20" t="n">
        <v>0.2396707</v>
      </c>
      <c r="I394" s="20" t="n">
        <v>0.2210555</v>
      </c>
      <c r="J394" s="20" t="n">
        <v>0.2396707</v>
      </c>
      <c r="K394" s="2" t="inlineStr">
        <is>
          <t>止盈</t>
        </is>
      </c>
      <c r="L394" s="5">
        <f>交易明細!K196</f>
        <v/>
      </c>
      <c r="M394" s="19">
        <f>M386</f>
        <v/>
      </c>
      <c r="N394" s="2">
        <f>N386</f>
        <v/>
      </c>
      <c r="O394" s="19">
        <f>O386</f>
        <v/>
      </c>
      <c r="P394" s="4">
        <f>交易明細!L196</f>
        <v/>
      </c>
      <c r="Q394" s="13">
        <f>IF(N394="已下單",O394*P394,0)</f>
        <v/>
      </c>
      <c r="R394" s="13">
        <f>R393+Q394</f>
        <v/>
      </c>
      <c r="S394" s="19">
        <f>S393-IF(N394="已下單",M394,0)</f>
        <v/>
      </c>
      <c r="T394" s="19">
        <f>R394-S394</f>
        <v/>
      </c>
      <c r="U394" s="2">
        <f>U393-IF(N394="已下單",1,0)</f>
        <v/>
      </c>
      <c r="V394" s="19">
        <f>IF(資金模擬!$B$9=2,MAX(R394,0),MAX(V393,FLOOR(MAX(R394,0),資金模擬!$B$6)))</f>
        <v/>
      </c>
      <c r="W394" s="13">
        <f>MAX(W393,R394)</f>
        <v/>
      </c>
      <c r="X394" s="4">
        <f>IF(W394&gt;0,R394/W394-1,-1)</f>
        <v/>
      </c>
      <c r="Y394" s="19">
        <f>IF(R394&gt;0,S394*資金模擬!$B$7/R394,0)</f>
        <v/>
      </c>
      <c r="Z394" s="2">
        <f>IF(OR(Z393=1,R394&lt;=資金模擬!$B$10),1,0)</f>
        <v/>
      </c>
    </row>
    <row r="395">
      <c r="A395" s="2" t="n">
        <v>393</v>
      </c>
      <c r="B395" s="7" t="n">
        <v>46278.5</v>
      </c>
      <c r="C395" s="2" t="inlineStr">
        <is>
          <t>進場</t>
        </is>
      </c>
      <c r="D395" s="2" t="n">
        <v>199</v>
      </c>
      <c r="E395" s="2" t="inlineStr">
        <is>
          <t>MARSCOIN_USDT_PERP</t>
        </is>
      </c>
      <c r="F395" s="2" t="inlineStr">
        <is>
          <t>做空</t>
        </is>
      </c>
      <c r="G395" s="20" t="n">
        <v>0.11416</v>
      </c>
      <c r="H395" s="20" t="n">
        <v>0.1107352</v>
      </c>
      <c r="I395" s="20" t="n">
        <v>0.119868</v>
      </c>
      <c r="J395" s="20" t="n"/>
      <c r="K395" s="2" t="n"/>
      <c r="L395" s="5" t="n"/>
      <c r="M395" s="19">
        <f>資金模擬!$B$5*V394</f>
        <v/>
      </c>
      <c r="N395" s="2">
        <f>IF(Z394=1,"已停止",IF(T394&gt;=M395,"已下單","資金不足略過"))</f>
        <v/>
      </c>
      <c r="O395" s="19">
        <f>IF(N395="已下單",M395*資金模擬!$B$7,0)</f>
        <v/>
      </c>
      <c r="P395" s="4" t="n"/>
      <c r="Q395" s="13" t="n">
        <v>0</v>
      </c>
      <c r="R395" s="13">
        <f>R394+Q395</f>
        <v/>
      </c>
      <c r="S395" s="19">
        <f>S394+IF(N395="已下單",M395,0)</f>
        <v/>
      </c>
      <c r="T395" s="19">
        <f>R395-S395</f>
        <v/>
      </c>
      <c r="U395" s="2">
        <f>U394+IF(N395="已下單",1,0)</f>
        <v/>
      </c>
      <c r="V395" s="19">
        <f>IF(資金模擬!$B$9=2,MAX(R395,0),MAX(V394,FLOOR(MAX(R395,0),資金模擬!$B$6)))</f>
        <v/>
      </c>
      <c r="W395" s="13">
        <f>MAX(W394,R395)</f>
        <v/>
      </c>
      <c r="X395" s="4">
        <f>IF(W395&gt;0,R395/W395-1,-1)</f>
        <v/>
      </c>
      <c r="Y395" s="19">
        <f>IF(R395&gt;0,S395*資金模擬!$B$7/R395,0)</f>
        <v/>
      </c>
      <c r="Z395" s="2">
        <f>IF(OR(Z394=1,R395&lt;=資金模擬!$B$10),1,0)</f>
        <v/>
      </c>
    </row>
    <row r="396">
      <c r="A396" s="2" t="n">
        <v>394</v>
      </c>
      <c r="B396" s="7" t="n">
        <v>46278.5</v>
      </c>
      <c r="C396" s="2" t="inlineStr">
        <is>
          <t>進場</t>
        </is>
      </c>
      <c r="D396" s="2" t="n">
        <v>200</v>
      </c>
      <c r="E396" s="2" t="inlineStr">
        <is>
          <t>RIVER_USDT_PERP</t>
        </is>
      </c>
      <c r="F396" s="2" t="inlineStr">
        <is>
          <t>做空</t>
        </is>
      </c>
      <c r="G396" s="20" t="n">
        <v>1.261</v>
      </c>
      <c r="H396" s="20" t="n">
        <v>1.22317</v>
      </c>
      <c r="I396" s="20" t="n">
        <v>1.32405</v>
      </c>
      <c r="J396" s="20" t="n"/>
      <c r="K396" s="2" t="n"/>
      <c r="L396" s="5" t="n"/>
      <c r="M396" s="19">
        <f>資金模擬!$B$5*V395</f>
        <v/>
      </c>
      <c r="N396" s="2">
        <f>IF(Z395=1,"已停止",IF(T395&gt;=M396,"已下單","資金不足略過"))</f>
        <v/>
      </c>
      <c r="O396" s="19">
        <f>IF(N396="已下單",M396*資金模擬!$B$7,0)</f>
        <v/>
      </c>
      <c r="P396" s="4" t="n"/>
      <c r="Q396" s="13" t="n">
        <v>0</v>
      </c>
      <c r="R396" s="13">
        <f>R395+Q396</f>
        <v/>
      </c>
      <c r="S396" s="19">
        <f>S395+IF(N396="已下單",M396,0)</f>
        <v/>
      </c>
      <c r="T396" s="19">
        <f>R396-S396</f>
        <v/>
      </c>
      <c r="U396" s="2">
        <f>U395+IF(N396="已下單",1,0)</f>
        <v/>
      </c>
      <c r="V396" s="19">
        <f>IF(資金模擬!$B$9=2,MAX(R396,0),MAX(V395,FLOOR(MAX(R396,0),資金模擬!$B$6)))</f>
        <v/>
      </c>
      <c r="W396" s="13">
        <f>MAX(W395,R396)</f>
        <v/>
      </c>
      <c r="X396" s="4">
        <f>IF(W396&gt;0,R396/W396-1,-1)</f>
        <v/>
      </c>
      <c r="Y396" s="19">
        <f>IF(R396&gt;0,S396*資金模擬!$B$7/R396,0)</f>
        <v/>
      </c>
      <c r="Z396" s="2">
        <f>IF(OR(Z395=1,R396&lt;=資金模擬!$B$10),1,0)</f>
        <v/>
      </c>
    </row>
    <row r="397">
      <c r="A397" s="2" t="n">
        <v>395</v>
      </c>
      <c r="B397" s="7" t="n">
        <v>46278.58333333334</v>
      </c>
      <c r="C397" s="2" t="inlineStr">
        <is>
          <t>出場</t>
        </is>
      </c>
      <c r="D397" s="2" t="n">
        <v>197</v>
      </c>
      <c r="E397" s="2" t="inlineStr">
        <is>
          <t>AKE_USDT_PERP</t>
        </is>
      </c>
      <c r="F397" s="2" t="inlineStr">
        <is>
          <t>做多</t>
        </is>
      </c>
      <c r="G397" s="20" t="n">
        <v>0.0164847</v>
      </c>
      <c r="H397" s="20" t="n">
        <v>0.016979241</v>
      </c>
      <c r="I397" s="20" t="n">
        <v>0.015660465</v>
      </c>
      <c r="J397" s="20" t="n">
        <v>0.015660465</v>
      </c>
      <c r="K397" s="2" t="inlineStr">
        <is>
          <t>止損</t>
        </is>
      </c>
      <c r="L397" s="5">
        <f>交易明細!K198</f>
        <v/>
      </c>
      <c r="M397" s="19">
        <f>M392</f>
        <v/>
      </c>
      <c r="N397" s="2">
        <f>N392</f>
        <v/>
      </c>
      <c r="O397" s="19">
        <f>O392</f>
        <v/>
      </c>
      <c r="P397" s="4">
        <f>交易明細!L198</f>
        <v/>
      </c>
      <c r="Q397" s="13">
        <f>IF(N397="已下單",O397*P397,0)</f>
        <v/>
      </c>
      <c r="R397" s="13">
        <f>R396+Q397</f>
        <v/>
      </c>
      <c r="S397" s="19">
        <f>S396-IF(N397="已下單",M397,0)</f>
        <v/>
      </c>
      <c r="T397" s="19">
        <f>R397-S397</f>
        <v/>
      </c>
      <c r="U397" s="2">
        <f>U396-IF(N397="已下單",1,0)</f>
        <v/>
      </c>
      <c r="V397" s="19">
        <f>IF(資金模擬!$B$9=2,MAX(R397,0),MAX(V396,FLOOR(MAX(R397,0),資金模擬!$B$6)))</f>
        <v/>
      </c>
      <c r="W397" s="13">
        <f>MAX(W396,R397)</f>
        <v/>
      </c>
      <c r="X397" s="4">
        <f>IF(W397&gt;0,R397/W397-1,-1)</f>
        <v/>
      </c>
      <c r="Y397" s="19">
        <f>IF(R397&gt;0,S397*資金模擬!$B$7/R397,0)</f>
        <v/>
      </c>
      <c r="Z397" s="2">
        <f>IF(OR(Z396=1,R397&lt;=資金模擬!$B$10),1,0)</f>
        <v/>
      </c>
    </row>
    <row r="398">
      <c r="A398" s="2" t="n">
        <v>396</v>
      </c>
      <c r="B398" s="7" t="n">
        <v>46278.625</v>
      </c>
      <c r="C398" s="2" t="inlineStr">
        <is>
          <t>出場</t>
        </is>
      </c>
      <c r="D398" s="2" t="n">
        <v>198</v>
      </c>
      <c r="E398" s="2" t="inlineStr">
        <is>
          <t>PONS_USDT_PERP</t>
        </is>
      </c>
      <c r="F398" s="2" t="inlineStr">
        <is>
          <t>做空</t>
        </is>
      </c>
      <c r="G398" s="20" t="n">
        <v>0.5901999999999999</v>
      </c>
      <c r="H398" s="20" t="n">
        <v>0.5724939999999999</v>
      </c>
      <c r="I398" s="20" t="n">
        <v>0.61971</v>
      </c>
      <c r="J398" s="20" t="n">
        <v>0.5724939999999999</v>
      </c>
      <c r="K398" s="2" t="inlineStr">
        <is>
          <t>止盈</t>
        </is>
      </c>
      <c r="L398" s="5">
        <f>交易明細!K199</f>
        <v/>
      </c>
      <c r="M398" s="19">
        <f>M393</f>
        <v/>
      </c>
      <c r="N398" s="2">
        <f>N393</f>
        <v/>
      </c>
      <c r="O398" s="19">
        <f>O393</f>
        <v/>
      </c>
      <c r="P398" s="4">
        <f>交易明細!L199</f>
        <v/>
      </c>
      <c r="Q398" s="13">
        <f>IF(N398="已下單",O398*P398,0)</f>
        <v/>
      </c>
      <c r="R398" s="13">
        <f>R397+Q398</f>
        <v/>
      </c>
      <c r="S398" s="19">
        <f>S397-IF(N398="已下單",M398,0)</f>
        <v/>
      </c>
      <c r="T398" s="19">
        <f>R398-S398</f>
        <v/>
      </c>
      <c r="U398" s="2">
        <f>U397-IF(N398="已下單",1,0)</f>
        <v/>
      </c>
      <c r="V398" s="19">
        <f>IF(資金模擬!$B$9=2,MAX(R398,0),MAX(V397,FLOOR(MAX(R398,0),資金模擬!$B$6)))</f>
        <v/>
      </c>
      <c r="W398" s="13">
        <f>MAX(W397,R398)</f>
        <v/>
      </c>
      <c r="X398" s="4">
        <f>IF(W398&gt;0,R398/W398-1,-1)</f>
        <v/>
      </c>
      <c r="Y398" s="19">
        <f>IF(R398&gt;0,S398*資金模擬!$B$7/R398,0)</f>
        <v/>
      </c>
      <c r="Z398" s="2">
        <f>IF(OR(Z397=1,R398&lt;=資金模擬!$B$10),1,0)</f>
        <v/>
      </c>
    </row>
    <row r="399">
      <c r="A399" s="2" t="n">
        <v>397</v>
      </c>
      <c r="B399" s="7" t="n">
        <v>46278.625</v>
      </c>
      <c r="C399" s="2" t="inlineStr">
        <is>
          <t>出場</t>
        </is>
      </c>
      <c r="D399" s="2" t="n">
        <v>199</v>
      </c>
      <c r="E399" s="2" t="inlineStr">
        <is>
          <t>MARSCOIN_USDT_PERP</t>
        </is>
      </c>
      <c r="F399" s="2" t="inlineStr">
        <is>
          <t>做空</t>
        </is>
      </c>
      <c r="G399" s="20" t="n">
        <v>0.11416</v>
      </c>
      <c r="H399" s="20" t="n">
        <v>0.1107352</v>
      </c>
      <c r="I399" s="20" t="n">
        <v>0.119868</v>
      </c>
      <c r="J399" s="20" t="n">
        <v>0.119868</v>
      </c>
      <c r="K399" s="2" t="inlineStr">
        <is>
          <t>止損</t>
        </is>
      </c>
      <c r="L399" s="5">
        <f>交易明細!K200</f>
        <v/>
      </c>
      <c r="M399" s="19">
        <f>M395</f>
        <v/>
      </c>
      <c r="N399" s="2">
        <f>N395</f>
        <v/>
      </c>
      <c r="O399" s="19">
        <f>O395</f>
        <v/>
      </c>
      <c r="P399" s="4">
        <f>交易明細!L200</f>
        <v/>
      </c>
      <c r="Q399" s="13">
        <f>IF(N399="已下單",O399*P399,0)</f>
        <v/>
      </c>
      <c r="R399" s="13">
        <f>R398+Q399</f>
        <v/>
      </c>
      <c r="S399" s="19">
        <f>S398-IF(N399="已下單",M399,0)</f>
        <v/>
      </c>
      <c r="T399" s="19">
        <f>R399-S399</f>
        <v/>
      </c>
      <c r="U399" s="2">
        <f>U398-IF(N399="已下單",1,0)</f>
        <v/>
      </c>
      <c r="V399" s="19">
        <f>IF(資金模擬!$B$9=2,MAX(R399,0),MAX(V398,FLOOR(MAX(R399,0),資金模擬!$B$6)))</f>
        <v/>
      </c>
      <c r="W399" s="13">
        <f>MAX(W398,R399)</f>
        <v/>
      </c>
      <c r="X399" s="4">
        <f>IF(W399&gt;0,R399/W399-1,-1)</f>
        <v/>
      </c>
      <c r="Y399" s="19">
        <f>IF(R399&gt;0,S399*資金模擬!$B$7/R399,0)</f>
        <v/>
      </c>
      <c r="Z399" s="2">
        <f>IF(OR(Z398=1,R399&lt;=資金模擬!$B$10),1,0)</f>
        <v/>
      </c>
    </row>
    <row r="400">
      <c r="A400" s="2" t="n">
        <v>398</v>
      </c>
      <c r="B400" s="7" t="n">
        <v>46278.625</v>
      </c>
      <c r="C400" s="2" t="inlineStr">
        <is>
          <t>進場</t>
        </is>
      </c>
      <c r="D400" s="2" t="n">
        <v>201</v>
      </c>
      <c r="E400" s="2" t="inlineStr">
        <is>
          <t>PUMP_USDT_PERP</t>
        </is>
      </c>
      <c r="F400" s="2" t="inlineStr">
        <is>
          <t>做空</t>
        </is>
      </c>
      <c r="G400" s="20" t="n">
        <v>0.003747</v>
      </c>
      <c r="H400" s="20" t="n">
        <v>0.00363459</v>
      </c>
      <c r="I400" s="20" t="n">
        <v>0.00393435</v>
      </c>
      <c r="J400" s="20" t="n"/>
      <c r="K400" s="2" t="n"/>
      <c r="L400" s="5" t="n"/>
      <c r="M400" s="19">
        <f>資金模擬!$B$5*V399</f>
        <v/>
      </c>
      <c r="N400" s="2">
        <f>IF(Z399=1,"已停止",IF(T399&gt;=M400,"已下單","資金不足略過"))</f>
        <v/>
      </c>
      <c r="O400" s="19">
        <f>IF(N400="已下單",M400*資金模擬!$B$7,0)</f>
        <v/>
      </c>
      <c r="P400" s="4" t="n"/>
      <c r="Q400" s="13" t="n">
        <v>0</v>
      </c>
      <c r="R400" s="13">
        <f>R399+Q400</f>
        <v/>
      </c>
      <c r="S400" s="19">
        <f>S399+IF(N400="已下單",M400,0)</f>
        <v/>
      </c>
      <c r="T400" s="19">
        <f>R400-S400</f>
        <v/>
      </c>
      <c r="U400" s="2">
        <f>U399+IF(N400="已下單",1,0)</f>
        <v/>
      </c>
      <c r="V400" s="19">
        <f>IF(資金模擬!$B$9=2,MAX(R400,0),MAX(V399,FLOOR(MAX(R400,0),資金模擬!$B$6)))</f>
        <v/>
      </c>
      <c r="W400" s="13">
        <f>MAX(W399,R400)</f>
        <v/>
      </c>
      <c r="X400" s="4">
        <f>IF(W400&gt;0,R400/W400-1,-1)</f>
        <v/>
      </c>
      <c r="Y400" s="19">
        <f>IF(R400&gt;0,S400*資金模擬!$B$7/R400,0)</f>
        <v/>
      </c>
      <c r="Z400" s="2">
        <f>IF(OR(Z399=1,R400&lt;=資金模擬!$B$10),1,0)</f>
        <v/>
      </c>
    </row>
    <row r="401">
      <c r="A401" s="2" t="n">
        <v>399</v>
      </c>
      <c r="B401" s="7" t="n">
        <v>46278.625</v>
      </c>
      <c r="C401" s="2" t="inlineStr">
        <is>
          <t>進場</t>
        </is>
      </c>
      <c r="D401" s="2" t="n">
        <v>202</v>
      </c>
      <c r="E401" s="2" t="inlineStr">
        <is>
          <t>USELESS_USDT_PERP</t>
        </is>
      </c>
      <c r="F401" s="2" t="inlineStr">
        <is>
          <t>做空</t>
        </is>
      </c>
      <c r="G401" s="20" t="n">
        <v>0.22444</v>
      </c>
      <c r="H401" s="20" t="n">
        <v>0.2177068</v>
      </c>
      <c r="I401" s="20" t="n">
        <v>0.235662</v>
      </c>
      <c r="J401" s="20" t="n"/>
      <c r="K401" s="2" t="n"/>
      <c r="L401" s="5" t="n"/>
      <c r="M401" s="19">
        <f>資金模擬!$B$5*V400</f>
        <v/>
      </c>
      <c r="N401" s="2">
        <f>IF(Z400=1,"已停止",IF(T400&gt;=M401,"已下單","資金不足略過"))</f>
        <v/>
      </c>
      <c r="O401" s="19">
        <f>IF(N401="已下單",M401*資金模擬!$B$7,0)</f>
        <v/>
      </c>
      <c r="P401" s="4" t="n"/>
      <c r="Q401" s="13" t="n">
        <v>0</v>
      </c>
      <c r="R401" s="13">
        <f>R400+Q401</f>
        <v/>
      </c>
      <c r="S401" s="19">
        <f>S400+IF(N401="已下單",M401,0)</f>
        <v/>
      </c>
      <c r="T401" s="19">
        <f>R401-S401</f>
        <v/>
      </c>
      <c r="U401" s="2">
        <f>U400+IF(N401="已下單",1,0)</f>
        <v/>
      </c>
      <c r="V401" s="19">
        <f>IF(資金模擬!$B$9=2,MAX(R401,0),MAX(V400,FLOOR(MAX(R401,0),資金模擬!$B$6)))</f>
        <v/>
      </c>
      <c r="W401" s="13">
        <f>MAX(W400,R401)</f>
        <v/>
      </c>
      <c r="X401" s="4">
        <f>IF(W401&gt;0,R401/W401-1,-1)</f>
        <v/>
      </c>
      <c r="Y401" s="19">
        <f>IF(R401&gt;0,S401*資金模擬!$B$7/R401,0)</f>
        <v/>
      </c>
      <c r="Z401" s="2">
        <f>IF(OR(Z400=1,R401&lt;=資金模擬!$B$10),1,0)</f>
        <v/>
      </c>
    </row>
    <row r="402">
      <c r="A402" s="2" t="n">
        <v>400</v>
      </c>
      <c r="B402" s="7" t="n">
        <v>46278.70833333334</v>
      </c>
      <c r="C402" s="2" t="inlineStr">
        <is>
          <t>出場</t>
        </is>
      </c>
      <c r="D402" s="2" t="n">
        <v>200</v>
      </c>
      <c r="E402" s="2" t="inlineStr">
        <is>
          <t>RIVER_USDT_PERP</t>
        </is>
      </c>
      <c r="F402" s="2" t="inlineStr">
        <is>
          <t>做空</t>
        </is>
      </c>
      <c r="G402" s="20" t="n">
        <v>1.261</v>
      </c>
      <c r="H402" s="20" t="n">
        <v>1.22317</v>
      </c>
      <c r="I402" s="20" t="n">
        <v>1.32405</v>
      </c>
      <c r="J402" s="20" t="n">
        <v>1.22317</v>
      </c>
      <c r="K402" s="2" t="inlineStr">
        <is>
          <t>止盈</t>
        </is>
      </c>
      <c r="L402" s="5">
        <f>交易明細!K201</f>
        <v/>
      </c>
      <c r="M402" s="19">
        <f>M396</f>
        <v/>
      </c>
      <c r="N402" s="2">
        <f>N396</f>
        <v/>
      </c>
      <c r="O402" s="19">
        <f>O396</f>
        <v/>
      </c>
      <c r="P402" s="4">
        <f>交易明細!L201</f>
        <v/>
      </c>
      <c r="Q402" s="13">
        <f>IF(N402="已下單",O402*P402,0)</f>
        <v/>
      </c>
      <c r="R402" s="13">
        <f>R401+Q402</f>
        <v/>
      </c>
      <c r="S402" s="19">
        <f>S401-IF(N402="已下單",M402,0)</f>
        <v/>
      </c>
      <c r="T402" s="19">
        <f>R402-S402</f>
        <v/>
      </c>
      <c r="U402" s="2">
        <f>U401-IF(N402="已下單",1,0)</f>
        <v/>
      </c>
      <c r="V402" s="19">
        <f>IF(資金模擬!$B$9=2,MAX(R402,0),MAX(V401,FLOOR(MAX(R402,0),資金模擬!$B$6)))</f>
        <v/>
      </c>
      <c r="W402" s="13">
        <f>MAX(W401,R402)</f>
        <v/>
      </c>
      <c r="X402" s="4">
        <f>IF(W402&gt;0,R402/W402-1,-1)</f>
        <v/>
      </c>
      <c r="Y402" s="19">
        <f>IF(R402&gt;0,S402*資金模擬!$B$7/R402,0)</f>
        <v/>
      </c>
      <c r="Z402" s="2">
        <f>IF(OR(Z401=1,R402&lt;=資金模擬!$B$10),1,0)</f>
        <v/>
      </c>
    </row>
    <row r="403">
      <c r="A403" s="2" t="n">
        <v>401</v>
      </c>
      <c r="B403" s="7" t="n">
        <v>46278.70833333334</v>
      </c>
      <c r="C403" s="2" t="inlineStr">
        <is>
          <t>進場</t>
        </is>
      </c>
      <c r="D403" s="2" t="n">
        <v>203</v>
      </c>
      <c r="E403" s="2" t="inlineStr">
        <is>
          <t>LAB_USDT_PERP</t>
        </is>
      </c>
      <c r="F403" s="2" t="inlineStr">
        <is>
          <t>做空</t>
        </is>
      </c>
      <c r="G403" s="20" t="n">
        <v>0.06694</v>
      </c>
      <c r="H403" s="20" t="n">
        <v>0.0649318</v>
      </c>
      <c r="I403" s="20" t="n">
        <v>0.070287</v>
      </c>
      <c r="J403" s="20" t="n"/>
      <c r="K403" s="2" t="n"/>
      <c r="L403" s="5" t="n"/>
      <c r="M403" s="19">
        <f>資金模擬!$B$5*V402</f>
        <v/>
      </c>
      <c r="N403" s="2">
        <f>IF(Z402=1,"已停止",IF(T402&gt;=M403,"已下單","資金不足略過"))</f>
        <v/>
      </c>
      <c r="O403" s="19">
        <f>IF(N403="已下單",M403*資金模擬!$B$7,0)</f>
        <v/>
      </c>
      <c r="P403" s="4" t="n"/>
      <c r="Q403" s="13" t="n">
        <v>0</v>
      </c>
      <c r="R403" s="13">
        <f>R402+Q403</f>
        <v/>
      </c>
      <c r="S403" s="19">
        <f>S402+IF(N403="已下單",M403,0)</f>
        <v/>
      </c>
      <c r="T403" s="19">
        <f>R403-S403</f>
        <v/>
      </c>
      <c r="U403" s="2">
        <f>U402+IF(N403="已下單",1,0)</f>
        <v/>
      </c>
      <c r="V403" s="19">
        <f>IF(資金模擬!$B$9=2,MAX(R403,0),MAX(V402,FLOOR(MAX(R403,0),資金模擬!$B$6)))</f>
        <v/>
      </c>
      <c r="W403" s="13">
        <f>MAX(W402,R403)</f>
        <v/>
      </c>
      <c r="X403" s="4">
        <f>IF(W403&gt;0,R403/W403-1,-1)</f>
        <v/>
      </c>
      <c r="Y403" s="19">
        <f>IF(R403&gt;0,S403*資金模擬!$B$7/R403,0)</f>
        <v/>
      </c>
      <c r="Z403" s="2">
        <f>IF(OR(Z402=1,R403&lt;=資金模擬!$B$10),1,0)</f>
        <v/>
      </c>
    </row>
    <row r="404">
      <c r="A404" s="2" t="n">
        <v>402</v>
      </c>
      <c r="B404" s="7" t="n">
        <v>46278.70833333334</v>
      </c>
      <c r="C404" s="2" t="inlineStr">
        <is>
          <t>進場</t>
        </is>
      </c>
      <c r="D404" s="2" t="n">
        <v>204</v>
      </c>
      <c r="E404" s="2" t="inlineStr">
        <is>
          <t>VVV_USDT_PERP</t>
        </is>
      </c>
      <c r="F404" s="2" t="inlineStr">
        <is>
          <t>做空</t>
        </is>
      </c>
      <c r="G404" s="20" t="n">
        <v>22.673</v>
      </c>
      <c r="H404" s="20" t="n">
        <v>21.99281</v>
      </c>
      <c r="I404" s="20" t="n">
        <v>23.80665</v>
      </c>
      <c r="J404" s="20" t="n"/>
      <c r="K404" s="2" t="n"/>
      <c r="L404" s="5" t="n"/>
      <c r="M404" s="19">
        <f>資金模擬!$B$5*V403</f>
        <v/>
      </c>
      <c r="N404" s="2">
        <f>IF(Z403=1,"已停止",IF(T403&gt;=M404,"已下單","資金不足略過"))</f>
        <v/>
      </c>
      <c r="O404" s="19">
        <f>IF(N404="已下單",M404*資金模擬!$B$7,0)</f>
        <v/>
      </c>
      <c r="P404" s="4" t="n"/>
      <c r="Q404" s="13" t="n">
        <v>0</v>
      </c>
      <c r="R404" s="13">
        <f>R403+Q404</f>
        <v/>
      </c>
      <c r="S404" s="19">
        <f>S403+IF(N404="已下單",M404,0)</f>
        <v/>
      </c>
      <c r="T404" s="19">
        <f>R404-S404</f>
        <v/>
      </c>
      <c r="U404" s="2">
        <f>U403+IF(N404="已下單",1,0)</f>
        <v/>
      </c>
      <c r="V404" s="19">
        <f>IF(資金模擬!$B$9=2,MAX(R404,0),MAX(V403,FLOOR(MAX(R404,0),資金模擬!$B$6)))</f>
        <v/>
      </c>
      <c r="W404" s="13">
        <f>MAX(W403,R404)</f>
        <v/>
      </c>
      <c r="X404" s="4">
        <f>IF(W404&gt;0,R404/W404-1,-1)</f>
        <v/>
      </c>
      <c r="Y404" s="19">
        <f>IF(R404&gt;0,S404*資金模擬!$B$7/R404,0)</f>
        <v/>
      </c>
      <c r="Z404" s="2">
        <f>IF(OR(Z403=1,R404&lt;=資金模擬!$B$10),1,0)</f>
        <v/>
      </c>
    </row>
    <row r="405">
      <c r="A405" s="2" t="n">
        <v>403</v>
      </c>
      <c r="B405" s="7" t="n">
        <v>46278.70833333334</v>
      </c>
      <c r="C405" s="2" t="inlineStr">
        <is>
          <t>進場</t>
        </is>
      </c>
      <c r="D405" s="2" t="n">
        <v>205</v>
      </c>
      <c r="E405" s="2" t="inlineStr">
        <is>
          <t>牛来_USDT_PERP</t>
        </is>
      </c>
      <c r="F405" s="2" t="inlineStr">
        <is>
          <t>做空</t>
        </is>
      </c>
      <c r="G405" s="20" t="n">
        <v>0.13497</v>
      </c>
      <c r="H405" s="20" t="n">
        <v>0.1309209</v>
      </c>
      <c r="I405" s="20" t="n">
        <v>0.1417185</v>
      </c>
      <c r="J405" s="20" t="n"/>
      <c r="K405" s="2" t="n"/>
      <c r="L405" s="5" t="n"/>
      <c r="M405" s="19">
        <f>資金模擬!$B$5*V404</f>
        <v/>
      </c>
      <c r="N405" s="2">
        <f>IF(Z404=1,"已停止",IF(T404&gt;=M405,"已下單","資金不足略過"))</f>
        <v/>
      </c>
      <c r="O405" s="19">
        <f>IF(N405="已下單",M405*資金模擬!$B$7,0)</f>
        <v/>
      </c>
      <c r="P405" s="4" t="n"/>
      <c r="Q405" s="13" t="n">
        <v>0</v>
      </c>
      <c r="R405" s="13">
        <f>R404+Q405</f>
        <v/>
      </c>
      <c r="S405" s="19">
        <f>S404+IF(N405="已下單",M405,0)</f>
        <v/>
      </c>
      <c r="T405" s="19">
        <f>R405-S405</f>
        <v/>
      </c>
      <c r="U405" s="2">
        <f>U404+IF(N405="已下單",1,0)</f>
        <v/>
      </c>
      <c r="V405" s="19">
        <f>IF(資金模擬!$B$9=2,MAX(R405,0),MAX(V404,FLOOR(MAX(R405,0),資金模擬!$B$6)))</f>
        <v/>
      </c>
      <c r="W405" s="13">
        <f>MAX(W404,R405)</f>
        <v/>
      </c>
      <c r="X405" s="4">
        <f>IF(W405&gt;0,R405/W405-1,-1)</f>
        <v/>
      </c>
      <c r="Y405" s="19">
        <f>IF(R405&gt;0,S405*資金模擬!$B$7/R405,0)</f>
        <v/>
      </c>
      <c r="Z405" s="2">
        <f>IF(OR(Z404=1,R405&lt;=資金模擬!$B$10),1,0)</f>
        <v/>
      </c>
    </row>
    <row r="406">
      <c r="A406" s="2" t="n">
        <v>404</v>
      </c>
      <c r="B406" s="7" t="n">
        <v>46278.75</v>
      </c>
      <c r="C406" s="2" t="inlineStr">
        <is>
          <t>出場</t>
        </is>
      </c>
      <c r="D406" s="2" t="n">
        <v>201</v>
      </c>
      <c r="E406" s="2" t="inlineStr">
        <is>
          <t>PUMP_USDT_PERP</t>
        </is>
      </c>
      <c r="F406" s="2" t="inlineStr">
        <is>
          <t>做空</t>
        </is>
      </c>
      <c r="G406" s="20" t="n">
        <v>0.003747</v>
      </c>
      <c r="H406" s="20" t="n">
        <v>0.00363459</v>
      </c>
      <c r="I406" s="20" t="n">
        <v>0.00393435</v>
      </c>
      <c r="J406" s="20" t="n">
        <v>0.00363459</v>
      </c>
      <c r="K406" s="2" t="inlineStr">
        <is>
          <t>止盈</t>
        </is>
      </c>
      <c r="L406" s="5">
        <f>交易明細!K202</f>
        <v/>
      </c>
      <c r="M406" s="19">
        <f>M400</f>
        <v/>
      </c>
      <c r="N406" s="2">
        <f>N400</f>
        <v/>
      </c>
      <c r="O406" s="19">
        <f>O400</f>
        <v/>
      </c>
      <c r="P406" s="4">
        <f>交易明細!L202</f>
        <v/>
      </c>
      <c r="Q406" s="13">
        <f>IF(N406="已下單",O406*P406,0)</f>
        <v/>
      </c>
      <c r="R406" s="13">
        <f>R405+Q406</f>
        <v/>
      </c>
      <c r="S406" s="19">
        <f>S405-IF(N406="已下單",M406,0)</f>
        <v/>
      </c>
      <c r="T406" s="19">
        <f>R406-S406</f>
        <v/>
      </c>
      <c r="U406" s="2">
        <f>U405-IF(N406="已下單",1,0)</f>
        <v/>
      </c>
      <c r="V406" s="19">
        <f>IF(資金模擬!$B$9=2,MAX(R406,0),MAX(V405,FLOOR(MAX(R406,0),資金模擬!$B$6)))</f>
        <v/>
      </c>
      <c r="W406" s="13">
        <f>MAX(W405,R406)</f>
        <v/>
      </c>
      <c r="X406" s="4">
        <f>IF(W406&gt;0,R406/W406-1,-1)</f>
        <v/>
      </c>
      <c r="Y406" s="19">
        <f>IF(R406&gt;0,S406*資金模擬!$B$7/R406,0)</f>
        <v/>
      </c>
      <c r="Z406" s="2">
        <f>IF(OR(Z405=1,R406&lt;=資金模擬!$B$10),1,0)</f>
        <v/>
      </c>
    </row>
    <row r="407">
      <c r="A407" s="2" t="n">
        <v>405</v>
      </c>
      <c r="B407" s="7" t="n">
        <v>46278.75</v>
      </c>
      <c r="C407" s="2" t="inlineStr">
        <is>
          <t>出場</t>
        </is>
      </c>
      <c r="D407" s="2" t="n">
        <v>205</v>
      </c>
      <c r="E407" s="2" t="inlineStr">
        <is>
          <t>牛来_USDT_PERP</t>
        </is>
      </c>
      <c r="F407" s="2" t="inlineStr">
        <is>
          <t>做空</t>
        </is>
      </c>
      <c r="G407" s="20" t="n">
        <v>0.13497</v>
      </c>
      <c r="H407" s="20" t="n">
        <v>0.1309209</v>
      </c>
      <c r="I407" s="20" t="n">
        <v>0.1417185</v>
      </c>
      <c r="J407" s="20" t="n">
        <v>0.1309209</v>
      </c>
      <c r="K407" s="2" t="inlineStr">
        <is>
          <t>止盈</t>
        </is>
      </c>
      <c r="L407" s="5">
        <f>交易明細!K206</f>
        <v/>
      </c>
      <c r="M407" s="19">
        <f>M405</f>
        <v/>
      </c>
      <c r="N407" s="2">
        <f>N405</f>
        <v/>
      </c>
      <c r="O407" s="19">
        <f>O405</f>
        <v/>
      </c>
      <c r="P407" s="4">
        <f>交易明細!L206</f>
        <v/>
      </c>
      <c r="Q407" s="13">
        <f>IF(N407="已下單",O407*P407,0)</f>
        <v/>
      </c>
      <c r="R407" s="13">
        <f>R406+Q407</f>
        <v/>
      </c>
      <c r="S407" s="19">
        <f>S406-IF(N407="已下單",M407,0)</f>
        <v/>
      </c>
      <c r="T407" s="19">
        <f>R407-S407</f>
        <v/>
      </c>
      <c r="U407" s="2">
        <f>U406-IF(N407="已下單",1,0)</f>
        <v/>
      </c>
      <c r="V407" s="19">
        <f>IF(資金模擬!$B$9=2,MAX(R407,0),MAX(V406,FLOOR(MAX(R407,0),資金模擬!$B$6)))</f>
        <v/>
      </c>
      <c r="W407" s="13">
        <f>MAX(W406,R407)</f>
        <v/>
      </c>
      <c r="X407" s="4">
        <f>IF(W407&gt;0,R407/W407-1,-1)</f>
        <v/>
      </c>
      <c r="Y407" s="19">
        <f>IF(R407&gt;0,S407*資金模擬!$B$7/R407,0)</f>
        <v/>
      </c>
      <c r="Z407" s="2">
        <f>IF(OR(Z406=1,R407&lt;=資金模擬!$B$10),1,0)</f>
        <v/>
      </c>
    </row>
    <row r="408">
      <c r="A408" s="2" t="n">
        <v>406</v>
      </c>
      <c r="B408" s="7" t="n">
        <v>46278.83333333334</v>
      </c>
      <c r="C408" s="2" t="inlineStr">
        <is>
          <t>出場</t>
        </is>
      </c>
      <c r="D408" s="2" t="n">
        <v>202</v>
      </c>
      <c r="E408" s="2" t="inlineStr">
        <is>
          <t>USELESS_USDT_PERP</t>
        </is>
      </c>
      <c r="F408" s="2" t="inlineStr">
        <is>
          <t>做空</t>
        </is>
      </c>
      <c r="G408" s="20" t="n">
        <v>0.22444</v>
      </c>
      <c r="H408" s="20" t="n">
        <v>0.2177068</v>
      </c>
      <c r="I408" s="20" t="n">
        <v>0.235662</v>
      </c>
      <c r="J408" s="20" t="n">
        <v>0.2177068</v>
      </c>
      <c r="K408" s="2" t="inlineStr">
        <is>
          <t>止盈</t>
        </is>
      </c>
      <c r="L408" s="5">
        <f>交易明細!K203</f>
        <v/>
      </c>
      <c r="M408" s="19">
        <f>M401</f>
        <v/>
      </c>
      <c r="N408" s="2">
        <f>N401</f>
        <v/>
      </c>
      <c r="O408" s="19">
        <f>O401</f>
        <v/>
      </c>
      <c r="P408" s="4">
        <f>交易明細!L203</f>
        <v/>
      </c>
      <c r="Q408" s="13">
        <f>IF(N408="已下單",O408*P408,0)</f>
        <v/>
      </c>
      <c r="R408" s="13">
        <f>R407+Q408</f>
        <v/>
      </c>
      <c r="S408" s="19">
        <f>S407-IF(N408="已下單",M408,0)</f>
        <v/>
      </c>
      <c r="T408" s="19">
        <f>R408-S408</f>
        <v/>
      </c>
      <c r="U408" s="2">
        <f>U407-IF(N408="已下單",1,0)</f>
        <v/>
      </c>
      <c r="V408" s="19">
        <f>IF(資金模擬!$B$9=2,MAX(R408,0),MAX(V407,FLOOR(MAX(R408,0),資金模擬!$B$6)))</f>
        <v/>
      </c>
      <c r="W408" s="13">
        <f>MAX(W407,R408)</f>
        <v/>
      </c>
      <c r="X408" s="4">
        <f>IF(W408&gt;0,R408/W408-1,-1)</f>
        <v/>
      </c>
      <c r="Y408" s="19">
        <f>IF(R408&gt;0,S408*資金模擬!$B$7/R408,0)</f>
        <v/>
      </c>
      <c r="Z408" s="2">
        <f>IF(OR(Z407=1,R408&lt;=資金模擬!$B$10),1,0)</f>
        <v/>
      </c>
    </row>
    <row r="409">
      <c r="A409" s="2" t="n">
        <v>407</v>
      </c>
      <c r="B409" s="7" t="n">
        <v>46278.875</v>
      </c>
      <c r="C409" s="2" t="inlineStr">
        <is>
          <t>出場</t>
        </is>
      </c>
      <c r="D409" s="2" t="n">
        <v>203</v>
      </c>
      <c r="E409" s="2" t="inlineStr">
        <is>
          <t>LAB_USDT_PERP</t>
        </is>
      </c>
      <c r="F409" s="2" t="inlineStr">
        <is>
          <t>做空</t>
        </is>
      </c>
      <c r="G409" s="20" t="n">
        <v>0.06694</v>
      </c>
      <c r="H409" s="20" t="n">
        <v>0.0649318</v>
      </c>
      <c r="I409" s="20" t="n">
        <v>0.070287</v>
      </c>
      <c r="J409" s="20" t="n">
        <v>0.0649318</v>
      </c>
      <c r="K409" s="2" t="inlineStr">
        <is>
          <t>止盈</t>
        </is>
      </c>
      <c r="L409" s="5">
        <f>交易明細!K204</f>
        <v/>
      </c>
      <c r="M409" s="19">
        <f>M403</f>
        <v/>
      </c>
      <c r="N409" s="2">
        <f>N403</f>
        <v/>
      </c>
      <c r="O409" s="19">
        <f>O403</f>
        <v/>
      </c>
      <c r="P409" s="4">
        <f>交易明細!L204</f>
        <v/>
      </c>
      <c r="Q409" s="13">
        <f>IF(N409="已下單",O409*P409,0)</f>
        <v/>
      </c>
      <c r="R409" s="13">
        <f>R408+Q409</f>
        <v/>
      </c>
      <c r="S409" s="19">
        <f>S408-IF(N409="已下單",M409,0)</f>
        <v/>
      </c>
      <c r="T409" s="19">
        <f>R409-S409</f>
        <v/>
      </c>
      <c r="U409" s="2">
        <f>U408-IF(N409="已下單",1,0)</f>
        <v/>
      </c>
      <c r="V409" s="19">
        <f>IF(資金模擬!$B$9=2,MAX(R409,0),MAX(V408,FLOOR(MAX(R409,0),資金模擬!$B$6)))</f>
        <v/>
      </c>
      <c r="W409" s="13">
        <f>MAX(W408,R409)</f>
        <v/>
      </c>
      <c r="X409" s="4">
        <f>IF(W409&gt;0,R409/W409-1,-1)</f>
        <v/>
      </c>
      <c r="Y409" s="19">
        <f>IF(R409&gt;0,S409*資金模擬!$B$7/R409,0)</f>
        <v/>
      </c>
      <c r="Z409" s="2">
        <f>IF(OR(Z408=1,R409&lt;=資金模擬!$B$10),1,0)</f>
        <v/>
      </c>
    </row>
    <row r="410">
      <c r="A410" s="2" t="n">
        <v>408</v>
      </c>
      <c r="B410" s="7" t="n">
        <v>46278.91666666666</v>
      </c>
      <c r="C410" s="2" t="inlineStr">
        <is>
          <t>出場</t>
        </is>
      </c>
      <c r="D410" s="2" t="n">
        <v>178</v>
      </c>
      <c r="E410" s="2" t="inlineStr">
        <is>
          <t>ENA_USDT_PERP</t>
        </is>
      </c>
      <c r="F410" s="2" t="inlineStr">
        <is>
          <t>做空</t>
        </is>
      </c>
      <c r="G410" s="20" t="n">
        <v>0.1418</v>
      </c>
      <c r="H410" s="20" t="n">
        <v>0.137546</v>
      </c>
      <c r="I410" s="20" t="n">
        <v>0.14889</v>
      </c>
      <c r="J410" s="20" t="n">
        <v>0.137546</v>
      </c>
      <c r="K410" s="2" t="inlineStr">
        <is>
          <t>止盈</t>
        </is>
      </c>
      <c r="L410" s="5">
        <f>交易明細!K179</f>
        <v/>
      </c>
      <c r="M410" s="19">
        <f>M355</f>
        <v/>
      </c>
      <c r="N410" s="2">
        <f>N355</f>
        <v/>
      </c>
      <c r="O410" s="19">
        <f>O355</f>
        <v/>
      </c>
      <c r="P410" s="4">
        <f>交易明細!L179</f>
        <v/>
      </c>
      <c r="Q410" s="13">
        <f>IF(N410="已下單",O410*P410,0)</f>
        <v/>
      </c>
      <c r="R410" s="13">
        <f>R409+Q410</f>
        <v/>
      </c>
      <c r="S410" s="19">
        <f>S409-IF(N410="已下單",M410,0)</f>
        <v/>
      </c>
      <c r="T410" s="19">
        <f>R410-S410</f>
        <v/>
      </c>
      <c r="U410" s="2">
        <f>U409-IF(N410="已下單",1,0)</f>
        <v/>
      </c>
      <c r="V410" s="19">
        <f>IF(資金模擬!$B$9=2,MAX(R410,0),MAX(V409,FLOOR(MAX(R410,0),資金模擬!$B$6)))</f>
        <v/>
      </c>
      <c r="W410" s="13">
        <f>MAX(W409,R410)</f>
        <v/>
      </c>
      <c r="X410" s="4">
        <f>IF(W410&gt;0,R410/W410-1,-1)</f>
        <v/>
      </c>
      <c r="Y410" s="19">
        <f>IF(R410&gt;0,S410*資金模擬!$B$7/R410,0)</f>
        <v/>
      </c>
      <c r="Z410" s="2">
        <f>IF(OR(Z409=1,R410&lt;=資金模擬!$B$10),1,0)</f>
        <v/>
      </c>
    </row>
    <row r="411">
      <c r="A411" s="2" t="n">
        <v>409</v>
      </c>
      <c r="B411" s="7" t="n">
        <v>46278.91666666666</v>
      </c>
      <c r="C411" s="2" t="inlineStr">
        <is>
          <t>出場</t>
        </is>
      </c>
      <c r="D411" s="2" t="n">
        <v>204</v>
      </c>
      <c r="E411" s="2" t="inlineStr">
        <is>
          <t>VVV_USDT_PERP</t>
        </is>
      </c>
      <c r="F411" s="2" t="inlineStr">
        <is>
          <t>做空</t>
        </is>
      </c>
      <c r="G411" s="20" t="n">
        <v>22.673</v>
      </c>
      <c r="H411" s="20" t="n">
        <v>21.99281</v>
      </c>
      <c r="I411" s="20" t="n">
        <v>23.80665</v>
      </c>
      <c r="J411" s="20" t="n">
        <v>21.99281</v>
      </c>
      <c r="K411" s="2" t="inlineStr">
        <is>
          <t>止盈</t>
        </is>
      </c>
      <c r="L411" s="5">
        <f>交易明細!K205</f>
        <v/>
      </c>
      <c r="M411" s="19">
        <f>M404</f>
        <v/>
      </c>
      <c r="N411" s="2">
        <f>N404</f>
        <v/>
      </c>
      <c r="O411" s="19">
        <f>O404</f>
        <v/>
      </c>
      <c r="P411" s="4">
        <f>交易明細!L205</f>
        <v/>
      </c>
      <c r="Q411" s="13">
        <f>IF(N411="已下單",O411*P411,0)</f>
        <v/>
      </c>
      <c r="R411" s="13">
        <f>R410+Q411</f>
        <v/>
      </c>
      <c r="S411" s="19">
        <f>S410-IF(N411="已下單",M411,0)</f>
        <v/>
      </c>
      <c r="T411" s="19">
        <f>R411-S411</f>
        <v/>
      </c>
      <c r="U411" s="2">
        <f>U410-IF(N411="已下單",1,0)</f>
        <v/>
      </c>
      <c r="V411" s="19">
        <f>IF(資金模擬!$B$9=2,MAX(R411,0),MAX(V410,FLOOR(MAX(R411,0),資金模擬!$B$6)))</f>
        <v/>
      </c>
      <c r="W411" s="13">
        <f>MAX(W410,R411)</f>
        <v/>
      </c>
      <c r="X411" s="4">
        <f>IF(W411&gt;0,R411/W411-1,-1)</f>
        <v/>
      </c>
      <c r="Y411" s="19">
        <f>IF(R411&gt;0,S411*資金模擬!$B$7/R411,0)</f>
        <v/>
      </c>
      <c r="Z411" s="2">
        <f>IF(OR(Z410=1,R411&lt;=資金模擬!$B$10),1,0)</f>
        <v/>
      </c>
    </row>
    <row r="412">
      <c r="A412" s="2" t="n">
        <v>410</v>
      </c>
      <c r="B412" s="7" t="n">
        <v>46278.91666666666</v>
      </c>
      <c r="C412" s="2" t="inlineStr">
        <is>
          <t>進場</t>
        </is>
      </c>
      <c r="D412" s="2" t="n">
        <v>206</v>
      </c>
      <c r="E412" s="2" t="inlineStr">
        <is>
          <t>LAB_USDT_PERP</t>
        </is>
      </c>
      <c r="F412" s="2" t="inlineStr">
        <is>
          <t>做空</t>
        </is>
      </c>
      <c r="G412" s="20" t="n">
        <v>0.06630999999999999</v>
      </c>
      <c r="H412" s="20" t="n">
        <v>0.06432069999999999</v>
      </c>
      <c r="I412" s="20" t="n">
        <v>0.06962549999999999</v>
      </c>
      <c r="J412" s="20" t="n"/>
      <c r="K412" s="2" t="n"/>
      <c r="L412" s="5" t="n"/>
      <c r="M412" s="19">
        <f>資金模擬!$B$5*V411</f>
        <v/>
      </c>
      <c r="N412" s="2">
        <f>IF(Z411=1,"已停止",IF(T411&gt;=M412,"已下單","資金不足略過"))</f>
        <v/>
      </c>
      <c r="O412" s="19">
        <f>IF(N412="已下單",M412*資金模擬!$B$7,0)</f>
        <v/>
      </c>
      <c r="P412" s="4" t="n"/>
      <c r="Q412" s="13" t="n">
        <v>0</v>
      </c>
      <c r="R412" s="13">
        <f>R411+Q412</f>
        <v/>
      </c>
      <c r="S412" s="19">
        <f>S411+IF(N412="已下單",M412,0)</f>
        <v/>
      </c>
      <c r="T412" s="19">
        <f>R412-S412</f>
        <v/>
      </c>
      <c r="U412" s="2">
        <f>U411+IF(N412="已下單",1,0)</f>
        <v/>
      </c>
      <c r="V412" s="19">
        <f>IF(資金模擬!$B$9=2,MAX(R412,0),MAX(V411,FLOOR(MAX(R412,0),資金模擬!$B$6)))</f>
        <v/>
      </c>
      <c r="W412" s="13">
        <f>MAX(W411,R412)</f>
        <v/>
      </c>
      <c r="X412" s="4">
        <f>IF(W412&gt;0,R412/W412-1,-1)</f>
        <v/>
      </c>
      <c r="Y412" s="19">
        <f>IF(R412&gt;0,S412*資金模擬!$B$7/R412,0)</f>
        <v/>
      </c>
      <c r="Z412" s="2">
        <f>IF(OR(Z411=1,R412&lt;=資金模擬!$B$10),1,0)</f>
        <v/>
      </c>
    </row>
    <row r="413">
      <c r="A413" s="2" t="n">
        <v>411</v>
      </c>
      <c r="B413" s="7" t="n">
        <v>46278.95833333334</v>
      </c>
      <c r="C413" s="2" t="inlineStr">
        <is>
          <t>出場</t>
        </is>
      </c>
      <c r="D413" s="2" t="n">
        <v>206</v>
      </c>
      <c r="E413" s="2" t="inlineStr">
        <is>
          <t>LAB_USDT_PERP</t>
        </is>
      </c>
      <c r="F413" s="2" t="inlineStr">
        <is>
          <t>做空</t>
        </is>
      </c>
      <c r="G413" s="20" t="n">
        <v>0.06630999999999999</v>
      </c>
      <c r="H413" s="20" t="n">
        <v>0.06432069999999999</v>
      </c>
      <c r="I413" s="20" t="n">
        <v>0.06962549999999999</v>
      </c>
      <c r="J413" s="20" t="n">
        <v>0.06962549999999999</v>
      </c>
      <c r="K413" s="2" t="inlineStr">
        <is>
          <t>止損</t>
        </is>
      </c>
      <c r="L413" s="5">
        <f>交易明細!K207</f>
        <v/>
      </c>
      <c r="M413" s="19">
        <f>M412</f>
        <v/>
      </c>
      <c r="N413" s="2">
        <f>N412</f>
        <v/>
      </c>
      <c r="O413" s="19">
        <f>O412</f>
        <v/>
      </c>
      <c r="P413" s="4">
        <f>交易明細!L207</f>
        <v/>
      </c>
      <c r="Q413" s="13">
        <f>IF(N413="已下單",O413*P413,0)</f>
        <v/>
      </c>
      <c r="R413" s="13">
        <f>R412+Q413</f>
        <v/>
      </c>
      <c r="S413" s="19">
        <f>S412-IF(N413="已下單",M413,0)</f>
        <v/>
      </c>
      <c r="T413" s="19">
        <f>R413-S413</f>
        <v/>
      </c>
      <c r="U413" s="2">
        <f>U412-IF(N413="已下單",1,0)</f>
        <v/>
      </c>
      <c r="V413" s="19">
        <f>IF(資金模擬!$B$9=2,MAX(R413,0),MAX(V412,FLOOR(MAX(R413,0),資金模擬!$B$6)))</f>
        <v/>
      </c>
      <c r="W413" s="13">
        <f>MAX(W412,R413)</f>
        <v/>
      </c>
      <c r="X413" s="4">
        <f>IF(W413&gt;0,R413/W413-1,-1)</f>
        <v/>
      </c>
      <c r="Y413" s="19">
        <f>IF(R413&gt;0,S413*資金模擬!$B$7/R413,0)</f>
        <v/>
      </c>
      <c r="Z413" s="2">
        <f>IF(OR(Z412=1,R413&lt;=資金模擬!$B$10),1,0)</f>
        <v/>
      </c>
    </row>
    <row r="414">
      <c r="A414" s="2" t="n">
        <v>412</v>
      </c>
      <c r="B414" s="7" t="n">
        <v>46279</v>
      </c>
      <c r="C414" s="2" t="inlineStr">
        <is>
          <t>進場</t>
        </is>
      </c>
      <c r="D414" s="2" t="n">
        <v>207</v>
      </c>
      <c r="E414" s="2" t="inlineStr">
        <is>
          <t>PUMP_USDT_PERP</t>
        </is>
      </c>
      <c r="F414" s="2" t="inlineStr">
        <is>
          <t>做空</t>
        </is>
      </c>
      <c r="G414" s="20" t="n">
        <v>0.003569</v>
      </c>
      <c r="H414" s="20" t="n">
        <v>0.00346193</v>
      </c>
      <c r="I414" s="20" t="n">
        <v>0.00374745</v>
      </c>
      <c r="J414" s="20" t="n"/>
      <c r="K414" s="2" t="n"/>
      <c r="L414" s="5" t="n"/>
      <c r="M414" s="19">
        <f>資金模擬!$B$5*V413</f>
        <v/>
      </c>
      <c r="N414" s="2">
        <f>IF(Z413=1,"已停止",IF(T413&gt;=M414,"已下單","資金不足略過"))</f>
        <v/>
      </c>
      <c r="O414" s="19">
        <f>IF(N414="已下單",M414*資金模擬!$B$7,0)</f>
        <v/>
      </c>
      <c r="P414" s="4" t="n"/>
      <c r="Q414" s="13" t="n">
        <v>0</v>
      </c>
      <c r="R414" s="13">
        <f>R413+Q414</f>
        <v/>
      </c>
      <c r="S414" s="19">
        <f>S413+IF(N414="已下單",M414,0)</f>
        <v/>
      </c>
      <c r="T414" s="19">
        <f>R414-S414</f>
        <v/>
      </c>
      <c r="U414" s="2">
        <f>U413+IF(N414="已下單",1,0)</f>
        <v/>
      </c>
      <c r="V414" s="19">
        <f>IF(資金模擬!$B$9=2,MAX(R414,0),MAX(V413,FLOOR(MAX(R414,0),資金模擬!$B$6)))</f>
        <v/>
      </c>
      <c r="W414" s="13">
        <f>MAX(W413,R414)</f>
        <v/>
      </c>
      <c r="X414" s="4">
        <f>IF(W414&gt;0,R414/W414-1,-1)</f>
        <v/>
      </c>
      <c r="Y414" s="19">
        <f>IF(R414&gt;0,S414*資金模擬!$B$7/R414,0)</f>
        <v/>
      </c>
      <c r="Z414" s="2">
        <f>IF(OR(Z413=1,R414&lt;=資金模擬!$B$10),1,0)</f>
        <v/>
      </c>
    </row>
    <row r="415">
      <c r="A415" s="2" t="n">
        <v>413</v>
      </c>
      <c r="B415" s="7" t="n">
        <v>46279.04166666666</v>
      </c>
      <c r="C415" s="2" t="inlineStr">
        <is>
          <t>進場</t>
        </is>
      </c>
      <c r="D415" s="2" t="n">
        <v>208</v>
      </c>
      <c r="E415" s="2" t="inlineStr">
        <is>
          <t>LAB_USDT_PERP</t>
        </is>
      </c>
      <c r="F415" s="2" t="inlineStr">
        <is>
          <t>做空</t>
        </is>
      </c>
      <c r="G415" s="20" t="n">
        <v>0.06729</v>
      </c>
      <c r="H415" s="20" t="n">
        <v>0.0652713</v>
      </c>
      <c r="I415" s="20" t="n">
        <v>0.07065450000000001</v>
      </c>
      <c r="J415" s="20" t="n"/>
      <c r="K415" s="2" t="n"/>
      <c r="L415" s="5" t="n"/>
      <c r="M415" s="19">
        <f>資金模擬!$B$5*V414</f>
        <v/>
      </c>
      <c r="N415" s="2">
        <f>IF(Z414=1,"已停止",IF(T414&gt;=M415,"已下單","資金不足略過"))</f>
        <v/>
      </c>
      <c r="O415" s="19">
        <f>IF(N415="已下單",M415*資金模擬!$B$7,0)</f>
        <v/>
      </c>
      <c r="P415" s="4" t="n"/>
      <c r="Q415" s="13" t="n">
        <v>0</v>
      </c>
      <c r="R415" s="13">
        <f>R414+Q415</f>
        <v/>
      </c>
      <c r="S415" s="19">
        <f>S414+IF(N415="已下單",M415,0)</f>
        <v/>
      </c>
      <c r="T415" s="19">
        <f>R415-S415</f>
        <v/>
      </c>
      <c r="U415" s="2">
        <f>U414+IF(N415="已下單",1,0)</f>
        <v/>
      </c>
      <c r="V415" s="19">
        <f>IF(資金模擬!$B$9=2,MAX(R415,0),MAX(V414,FLOOR(MAX(R415,0),資金模擬!$B$6)))</f>
        <v/>
      </c>
      <c r="W415" s="13">
        <f>MAX(W414,R415)</f>
        <v/>
      </c>
      <c r="X415" s="4">
        <f>IF(W415&gt;0,R415/W415-1,-1)</f>
        <v/>
      </c>
      <c r="Y415" s="19">
        <f>IF(R415&gt;0,S415*資金模擬!$B$7/R415,0)</f>
        <v/>
      </c>
      <c r="Z415" s="2">
        <f>IF(OR(Z414=1,R415&lt;=資金模擬!$B$10),1,0)</f>
        <v/>
      </c>
    </row>
    <row r="416">
      <c r="A416" s="2" t="n">
        <v>414</v>
      </c>
      <c r="B416" s="7" t="n">
        <v>46279.29166666666</v>
      </c>
      <c r="C416" s="2" t="inlineStr">
        <is>
          <t>出場</t>
        </is>
      </c>
      <c r="D416" s="2" t="n">
        <v>208</v>
      </c>
      <c r="E416" s="2" t="inlineStr">
        <is>
          <t>LAB_USDT_PERP</t>
        </is>
      </c>
      <c r="F416" s="2" t="inlineStr">
        <is>
          <t>做空</t>
        </is>
      </c>
      <c r="G416" s="20" t="n">
        <v>0.06729</v>
      </c>
      <c r="H416" s="20" t="n">
        <v>0.0652713</v>
      </c>
      <c r="I416" s="20" t="n">
        <v>0.07065450000000001</v>
      </c>
      <c r="J416" s="20" t="n">
        <v>0.0652713</v>
      </c>
      <c r="K416" s="2" t="inlineStr">
        <is>
          <t>止盈</t>
        </is>
      </c>
      <c r="L416" s="5">
        <f>交易明細!K209</f>
        <v/>
      </c>
      <c r="M416" s="19">
        <f>M415</f>
        <v/>
      </c>
      <c r="N416" s="2">
        <f>N415</f>
        <v/>
      </c>
      <c r="O416" s="19">
        <f>O415</f>
        <v/>
      </c>
      <c r="P416" s="4">
        <f>交易明細!L209</f>
        <v/>
      </c>
      <c r="Q416" s="13">
        <f>IF(N416="已下單",O416*P416,0)</f>
        <v/>
      </c>
      <c r="R416" s="13">
        <f>R415+Q416</f>
        <v/>
      </c>
      <c r="S416" s="19">
        <f>S415-IF(N416="已下單",M416,0)</f>
        <v/>
      </c>
      <c r="T416" s="19">
        <f>R416-S416</f>
        <v/>
      </c>
      <c r="U416" s="2">
        <f>U415-IF(N416="已下單",1,0)</f>
        <v/>
      </c>
      <c r="V416" s="19">
        <f>IF(資金模擬!$B$9=2,MAX(R416,0),MAX(V415,FLOOR(MAX(R416,0),資金模擬!$B$6)))</f>
        <v/>
      </c>
      <c r="W416" s="13">
        <f>MAX(W415,R416)</f>
        <v/>
      </c>
      <c r="X416" s="4">
        <f>IF(W416&gt;0,R416/W416-1,-1)</f>
        <v/>
      </c>
      <c r="Y416" s="19">
        <f>IF(R416&gt;0,S416*資金模擬!$B$7/R416,0)</f>
        <v/>
      </c>
      <c r="Z416" s="2">
        <f>IF(OR(Z415=1,R416&lt;=資金模擬!$B$10),1,0)</f>
        <v/>
      </c>
    </row>
    <row r="417">
      <c r="A417" s="2" t="n">
        <v>415</v>
      </c>
      <c r="B417" s="7" t="n">
        <v>46279.29166666666</v>
      </c>
      <c r="C417" s="2" t="inlineStr">
        <is>
          <t>進場</t>
        </is>
      </c>
      <c r="D417" s="2" t="n">
        <v>209</v>
      </c>
      <c r="E417" s="2" t="inlineStr">
        <is>
          <t>USELESS_USDT_PERP</t>
        </is>
      </c>
      <c r="F417" s="2" t="inlineStr">
        <is>
          <t>做空</t>
        </is>
      </c>
      <c r="G417" s="20" t="n">
        <v>0.21683</v>
      </c>
      <c r="H417" s="20" t="n">
        <v>0.2103251</v>
      </c>
      <c r="I417" s="20" t="n">
        <v>0.2276715</v>
      </c>
      <c r="J417" s="20" t="n"/>
      <c r="K417" s="2" t="n"/>
      <c r="L417" s="5" t="n"/>
      <c r="M417" s="19">
        <f>資金模擬!$B$5*V416</f>
        <v/>
      </c>
      <c r="N417" s="2">
        <f>IF(Z416=1,"已停止",IF(T416&gt;=M417,"已下單","資金不足略過"))</f>
        <v/>
      </c>
      <c r="O417" s="19">
        <f>IF(N417="已下單",M417*資金模擬!$B$7,0)</f>
        <v/>
      </c>
      <c r="P417" s="4" t="n"/>
      <c r="Q417" s="13" t="n">
        <v>0</v>
      </c>
      <c r="R417" s="13">
        <f>R416+Q417</f>
        <v/>
      </c>
      <c r="S417" s="19">
        <f>S416+IF(N417="已下單",M417,0)</f>
        <v/>
      </c>
      <c r="T417" s="19">
        <f>R417-S417</f>
        <v/>
      </c>
      <c r="U417" s="2">
        <f>U416+IF(N417="已下單",1,0)</f>
        <v/>
      </c>
      <c r="V417" s="19">
        <f>IF(資金模擬!$B$9=2,MAX(R417,0),MAX(V416,FLOOR(MAX(R417,0),資金模擬!$B$6)))</f>
        <v/>
      </c>
      <c r="W417" s="13">
        <f>MAX(W416,R417)</f>
        <v/>
      </c>
      <c r="X417" s="4">
        <f>IF(W417&gt;0,R417/W417-1,-1)</f>
        <v/>
      </c>
      <c r="Y417" s="19">
        <f>IF(R417&gt;0,S417*資金模擬!$B$7/R417,0)</f>
        <v/>
      </c>
      <c r="Z417" s="2">
        <f>IF(OR(Z416=1,R417&lt;=資金模擬!$B$10),1,0)</f>
        <v/>
      </c>
    </row>
    <row r="418">
      <c r="A418" s="2" t="n">
        <v>416</v>
      </c>
      <c r="B418" s="7" t="n">
        <v>46279.29166666666</v>
      </c>
      <c r="C418" s="2" t="inlineStr">
        <is>
          <t>進場</t>
        </is>
      </c>
      <c r="D418" s="2" t="n">
        <v>210</v>
      </c>
      <c r="E418" s="2" t="inlineStr">
        <is>
          <t>VVV_USDT_PERP</t>
        </is>
      </c>
      <c r="F418" s="2" t="inlineStr">
        <is>
          <t>做空</t>
        </is>
      </c>
      <c r="G418" s="20" t="n">
        <v>21.468</v>
      </c>
      <c r="H418" s="20" t="n">
        <v>20.82396</v>
      </c>
      <c r="I418" s="20" t="n">
        <v>22.5414</v>
      </c>
      <c r="J418" s="20" t="n"/>
      <c r="K418" s="2" t="n"/>
      <c r="L418" s="5" t="n"/>
      <c r="M418" s="19">
        <f>資金模擬!$B$5*V417</f>
        <v/>
      </c>
      <c r="N418" s="2">
        <f>IF(Z417=1,"已停止",IF(T417&gt;=M418,"已下單","資金不足略過"))</f>
        <v/>
      </c>
      <c r="O418" s="19">
        <f>IF(N418="已下單",M418*資金模擬!$B$7,0)</f>
        <v/>
      </c>
      <c r="P418" s="4" t="n"/>
      <c r="Q418" s="13" t="n">
        <v>0</v>
      </c>
      <c r="R418" s="13">
        <f>R417+Q418</f>
        <v/>
      </c>
      <c r="S418" s="19">
        <f>S417+IF(N418="已下單",M418,0)</f>
        <v/>
      </c>
      <c r="T418" s="19">
        <f>R418-S418</f>
        <v/>
      </c>
      <c r="U418" s="2">
        <f>U417+IF(N418="已下單",1,0)</f>
        <v/>
      </c>
      <c r="V418" s="19">
        <f>IF(資金模擬!$B$9=2,MAX(R418,0),MAX(V417,FLOOR(MAX(R418,0),資金模擬!$B$6)))</f>
        <v/>
      </c>
      <c r="W418" s="13">
        <f>MAX(W417,R418)</f>
        <v/>
      </c>
      <c r="X418" s="4">
        <f>IF(W418&gt;0,R418/W418-1,-1)</f>
        <v/>
      </c>
      <c r="Y418" s="19">
        <f>IF(R418&gt;0,S418*資金模擬!$B$7/R418,0)</f>
        <v/>
      </c>
      <c r="Z418" s="2">
        <f>IF(OR(Z417=1,R418&lt;=資金模擬!$B$10),1,0)</f>
        <v/>
      </c>
    </row>
    <row r="419">
      <c r="A419" s="2" t="n">
        <v>417</v>
      </c>
      <c r="B419" s="7" t="n">
        <v>46279.375</v>
      </c>
      <c r="C419" s="2" t="inlineStr">
        <is>
          <t>出場</t>
        </is>
      </c>
      <c r="D419" s="2" t="n">
        <v>207</v>
      </c>
      <c r="E419" s="2" t="inlineStr">
        <is>
          <t>PUMP_USDT_PERP</t>
        </is>
      </c>
      <c r="F419" s="2" t="inlineStr">
        <is>
          <t>做空</t>
        </is>
      </c>
      <c r="G419" s="20" t="n">
        <v>0.003569</v>
      </c>
      <c r="H419" s="20" t="n">
        <v>0.00346193</v>
      </c>
      <c r="I419" s="20" t="n">
        <v>0.00374745</v>
      </c>
      <c r="J419" s="20" t="n">
        <v>0.00346193</v>
      </c>
      <c r="K419" s="2" t="inlineStr">
        <is>
          <t>止盈</t>
        </is>
      </c>
      <c r="L419" s="5">
        <f>交易明細!K208</f>
        <v/>
      </c>
      <c r="M419" s="19">
        <f>M414</f>
        <v/>
      </c>
      <c r="N419" s="2">
        <f>N414</f>
        <v/>
      </c>
      <c r="O419" s="19">
        <f>O414</f>
        <v/>
      </c>
      <c r="P419" s="4">
        <f>交易明細!L208</f>
        <v/>
      </c>
      <c r="Q419" s="13">
        <f>IF(N419="已下單",O419*P419,0)</f>
        <v/>
      </c>
      <c r="R419" s="13">
        <f>R418+Q419</f>
        <v/>
      </c>
      <c r="S419" s="19">
        <f>S418-IF(N419="已下單",M419,0)</f>
        <v/>
      </c>
      <c r="T419" s="19">
        <f>R419-S419</f>
        <v/>
      </c>
      <c r="U419" s="2">
        <f>U418-IF(N419="已下單",1,0)</f>
        <v/>
      </c>
      <c r="V419" s="19">
        <f>IF(資金模擬!$B$9=2,MAX(R419,0),MAX(V418,FLOOR(MAX(R419,0),資金模擬!$B$6)))</f>
        <v/>
      </c>
      <c r="W419" s="13">
        <f>MAX(W418,R419)</f>
        <v/>
      </c>
      <c r="X419" s="4">
        <f>IF(W419&gt;0,R419/W419-1,-1)</f>
        <v/>
      </c>
      <c r="Y419" s="19">
        <f>IF(R419&gt;0,S419*資金模擬!$B$7/R419,0)</f>
        <v/>
      </c>
      <c r="Z419" s="2">
        <f>IF(OR(Z418=1,R419&lt;=資金模擬!$B$10),1,0)</f>
        <v/>
      </c>
    </row>
    <row r="420">
      <c r="A420" s="2" t="n">
        <v>418</v>
      </c>
      <c r="B420" s="7" t="n">
        <v>46279.41666666666</v>
      </c>
      <c r="C420" s="2" t="inlineStr">
        <is>
          <t>出場</t>
        </is>
      </c>
      <c r="D420" s="2" t="n">
        <v>209</v>
      </c>
      <c r="E420" s="2" t="inlineStr">
        <is>
          <t>USELESS_USDT_PERP</t>
        </is>
      </c>
      <c r="F420" s="2" t="inlineStr">
        <is>
          <t>做空</t>
        </is>
      </c>
      <c r="G420" s="20" t="n">
        <v>0.21683</v>
      </c>
      <c r="H420" s="20" t="n">
        <v>0.2103251</v>
      </c>
      <c r="I420" s="20" t="n">
        <v>0.2276715</v>
      </c>
      <c r="J420" s="20" t="n">
        <v>0.2103251</v>
      </c>
      <c r="K420" s="2" t="inlineStr">
        <is>
          <t>止盈</t>
        </is>
      </c>
      <c r="L420" s="5">
        <f>交易明細!K210</f>
        <v/>
      </c>
      <c r="M420" s="19">
        <f>M417</f>
        <v/>
      </c>
      <c r="N420" s="2">
        <f>N417</f>
        <v/>
      </c>
      <c r="O420" s="19">
        <f>O417</f>
        <v/>
      </c>
      <c r="P420" s="4">
        <f>交易明細!L210</f>
        <v/>
      </c>
      <c r="Q420" s="13">
        <f>IF(N420="已下單",O420*P420,0)</f>
        <v/>
      </c>
      <c r="R420" s="13">
        <f>R419+Q420</f>
        <v/>
      </c>
      <c r="S420" s="19">
        <f>S419-IF(N420="已下單",M420,0)</f>
        <v/>
      </c>
      <c r="T420" s="19">
        <f>R420-S420</f>
        <v/>
      </c>
      <c r="U420" s="2">
        <f>U419-IF(N420="已下單",1,0)</f>
        <v/>
      </c>
      <c r="V420" s="19">
        <f>IF(資金模擬!$B$9=2,MAX(R420,0),MAX(V419,FLOOR(MAX(R420,0),資金模擬!$B$6)))</f>
        <v/>
      </c>
      <c r="W420" s="13">
        <f>MAX(W419,R420)</f>
        <v/>
      </c>
      <c r="X420" s="4">
        <f>IF(W420&gt;0,R420/W420-1,-1)</f>
        <v/>
      </c>
      <c r="Y420" s="19">
        <f>IF(R420&gt;0,S420*資金模擬!$B$7/R420,0)</f>
        <v/>
      </c>
      <c r="Z420" s="2">
        <f>IF(OR(Z419=1,R420&lt;=資金模擬!$B$10),1,0)</f>
        <v/>
      </c>
    </row>
    <row r="421">
      <c r="A421" s="2" t="n">
        <v>419</v>
      </c>
      <c r="B421" s="7" t="n">
        <v>46279.45833333334</v>
      </c>
      <c r="C421" s="2" t="inlineStr">
        <is>
          <t>進場</t>
        </is>
      </c>
      <c r="D421" s="2" t="n">
        <v>211</v>
      </c>
      <c r="E421" s="2" t="inlineStr">
        <is>
          <t>BTW_USDT_PERP</t>
        </is>
      </c>
      <c r="F421" s="2" t="inlineStr">
        <is>
          <t>做多</t>
        </is>
      </c>
      <c r="G421" s="20" t="n">
        <v>0.70762</v>
      </c>
      <c r="H421" s="20" t="n">
        <v>0.7288486000000001</v>
      </c>
      <c r="I421" s="20" t="n">
        <v>0.672239</v>
      </c>
      <c r="J421" s="20" t="n"/>
      <c r="K421" s="2" t="n"/>
      <c r="L421" s="5" t="n"/>
      <c r="M421" s="19">
        <f>資金模擬!$B$5*V420</f>
        <v/>
      </c>
      <c r="N421" s="2">
        <f>IF(Z420=1,"已停止",IF(T420&gt;=M421,"已下單","資金不足略過"))</f>
        <v/>
      </c>
      <c r="O421" s="19">
        <f>IF(N421="已下單",M421*資金模擬!$B$7,0)</f>
        <v/>
      </c>
      <c r="P421" s="4" t="n"/>
      <c r="Q421" s="13" t="n">
        <v>0</v>
      </c>
      <c r="R421" s="13">
        <f>R420+Q421</f>
        <v/>
      </c>
      <c r="S421" s="19">
        <f>S420+IF(N421="已下單",M421,0)</f>
        <v/>
      </c>
      <c r="T421" s="19">
        <f>R421-S421</f>
        <v/>
      </c>
      <c r="U421" s="2">
        <f>U420+IF(N421="已下單",1,0)</f>
        <v/>
      </c>
      <c r="V421" s="19">
        <f>IF(資金模擬!$B$9=2,MAX(R421,0),MAX(V420,FLOOR(MAX(R421,0),資金模擬!$B$6)))</f>
        <v/>
      </c>
      <c r="W421" s="13">
        <f>MAX(W420,R421)</f>
        <v/>
      </c>
      <c r="X421" s="4">
        <f>IF(W421&gt;0,R421/W421-1,-1)</f>
        <v/>
      </c>
      <c r="Y421" s="19">
        <f>IF(R421&gt;0,S421*資金模擬!$B$7/R421,0)</f>
        <v/>
      </c>
      <c r="Z421" s="2">
        <f>IF(OR(Z420=1,R421&lt;=資金模擬!$B$10),1,0)</f>
        <v/>
      </c>
    </row>
    <row r="422">
      <c r="A422" s="2" t="n">
        <v>420</v>
      </c>
      <c r="B422" s="7" t="n">
        <v>46279.5</v>
      </c>
      <c r="C422" s="2" t="inlineStr">
        <is>
          <t>出場</t>
        </is>
      </c>
      <c r="D422" s="2" t="n">
        <v>210</v>
      </c>
      <c r="E422" s="2" t="inlineStr">
        <is>
          <t>VVV_USDT_PERP</t>
        </is>
      </c>
      <c r="F422" s="2" t="inlineStr">
        <is>
          <t>做空</t>
        </is>
      </c>
      <c r="G422" s="20" t="n">
        <v>21.468</v>
      </c>
      <c r="H422" s="20" t="n">
        <v>20.82396</v>
      </c>
      <c r="I422" s="20" t="n">
        <v>22.5414</v>
      </c>
      <c r="J422" s="20" t="n">
        <v>22.5414</v>
      </c>
      <c r="K422" s="2" t="inlineStr">
        <is>
          <t>止損</t>
        </is>
      </c>
      <c r="L422" s="5">
        <f>交易明細!K211</f>
        <v/>
      </c>
      <c r="M422" s="19">
        <f>M418</f>
        <v/>
      </c>
      <c r="N422" s="2">
        <f>N418</f>
        <v/>
      </c>
      <c r="O422" s="19">
        <f>O418</f>
        <v/>
      </c>
      <c r="P422" s="4">
        <f>交易明細!L211</f>
        <v/>
      </c>
      <c r="Q422" s="13">
        <f>IF(N422="已下單",O422*P422,0)</f>
        <v/>
      </c>
      <c r="R422" s="13">
        <f>R421+Q422</f>
        <v/>
      </c>
      <c r="S422" s="19">
        <f>S421-IF(N422="已下單",M422,0)</f>
        <v/>
      </c>
      <c r="T422" s="19">
        <f>R422-S422</f>
        <v/>
      </c>
      <c r="U422" s="2">
        <f>U421-IF(N422="已下單",1,0)</f>
        <v/>
      </c>
      <c r="V422" s="19">
        <f>IF(資金模擬!$B$9=2,MAX(R422,0),MAX(V421,FLOOR(MAX(R422,0),資金模擬!$B$6)))</f>
        <v/>
      </c>
      <c r="W422" s="13">
        <f>MAX(W421,R422)</f>
        <v/>
      </c>
      <c r="X422" s="4">
        <f>IF(W422&gt;0,R422/W422-1,-1)</f>
        <v/>
      </c>
      <c r="Y422" s="19">
        <f>IF(R422&gt;0,S422*資金模擬!$B$7/R422,0)</f>
        <v/>
      </c>
      <c r="Z422" s="2">
        <f>IF(OR(Z421=1,R422&lt;=資金模擬!$B$10),1,0)</f>
        <v/>
      </c>
    </row>
    <row r="423">
      <c r="A423" s="2" t="n">
        <v>421</v>
      </c>
      <c r="B423" s="7" t="n">
        <v>46279.5</v>
      </c>
      <c r="C423" s="2" t="inlineStr">
        <is>
          <t>出場</t>
        </is>
      </c>
      <c r="D423" s="2" t="n">
        <v>211</v>
      </c>
      <c r="E423" s="2" t="inlineStr">
        <is>
          <t>BTW_USDT_PERP</t>
        </is>
      </c>
      <c r="F423" s="2" t="inlineStr">
        <is>
          <t>做多</t>
        </is>
      </c>
      <c r="G423" s="20" t="n">
        <v>0.70762</v>
      </c>
      <c r="H423" s="20" t="n">
        <v>0.7288486000000001</v>
      </c>
      <c r="I423" s="20" t="n">
        <v>0.672239</v>
      </c>
      <c r="J423" s="20" t="n">
        <v>0.672239</v>
      </c>
      <c r="K423" s="2" t="inlineStr">
        <is>
          <t>止損</t>
        </is>
      </c>
      <c r="L423" s="5">
        <f>交易明細!K212</f>
        <v/>
      </c>
      <c r="M423" s="19">
        <f>M421</f>
        <v/>
      </c>
      <c r="N423" s="2">
        <f>N421</f>
        <v/>
      </c>
      <c r="O423" s="19">
        <f>O421</f>
        <v/>
      </c>
      <c r="P423" s="4">
        <f>交易明細!L212</f>
        <v/>
      </c>
      <c r="Q423" s="13">
        <f>IF(N423="已下單",O423*P423,0)</f>
        <v/>
      </c>
      <c r="R423" s="13">
        <f>R422+Q423</f>
        <v/>
      </c>
      <c r="S423" s="19">
        <f>S422-IF(N423="已下單",M423,0)</f>
        <v/>
      </c>
      <c r="T423" s="19">
        <f>R423-S423</f>
        <v/>
      </c>
      <c r="U423" s="2">
        <f>U422-IF(N423="已下單",1,0)</f>
        <v/>
      </c>
      <c r="V423" s="19">
        <f>IF(資金模擬!$B$9=2,MAX(R423,0),MAX(V422,FLOOR(MAX(R423,0),資金模擬!$B$6)))</f>
        <v/>
      </c>
      <c r="W423" s="13">
        <f>MAX(W422,R423)</f>
        <v/>
      </c>
      <c r="X423" s="4">
        <f>IF(W423&gt;0,R423/W423-1,-1)</f>
        <v/>
      </c>
      <c r="Y423" s="19">
        <f>IF(R423&gt;0,S423*資金模擬!$B$7/R423,0)</f>
        <v/>
      </c>
      <c r="Z423" s="2">
        <f>IF(OR(Z422=1,R423&lt;=資金模擬!$B$10),1,0)</f>
        <v/>
      </c>
    </row>
    <row r="424">
      <c r="A424" s="2" t="n">
        <v>422</v>
      </c>
      <c r="B424" s="7" t="n">
        <v>46279.5</v>
      </c>
      <c r="C424" s="2" t="inlineStr">
        <is>
          <t>進場</t>
        </is>
      </c>
      <c r="D424" s="2" t="n">
        <v>212</v>
      </c>
      <c r="E424" s="2" t="inlineStr">
        <is>
          <t>牛来_USDT_PERP</t>
        </is>
      </c>
      <c r="F424" s="2" t="inlineStr">
        <is>
          <t>做空</t>
        </is>
      </c>
      <c r="G424" s="20" t="n">
        <v>0.11776</v>
      </c>
      <c r="H424" s="20" t="n">
        <v>0.1142272</v>
      </c>
      <c r="I424" s="20" t="n">
        <v>0.123648</v>
      </c>
      <c r="J424" s="20" t="n"/>
      <c r="K424" s="2" t="n"/>
      <c r="L424" s="5" t="n"/>
      <c r="M424" s="19">
        <f>資金模擬!$B$5*V423</f>
        <v/>
      </c>
      <c r="N424" s="2">
        <f>IF(Z423=1,"已停止",IF(T423&gt;=M424,"已下單","資金不足略過"))</f>
        <v/>
      </c>
      <c r="O424" s="19">
        <f>IF(N424="已下單",M424*資金模擬!$B$7,0)</f>
        <v/>
      </c>
      <c r="P424" s="4" t="n"/>
      <c r="Q424" s="13" t="n">
        <v>0</v>
      </c>
      <c r="R424" s="13">
        <f>R423+Q424</f>
        <v/>
      </c>
      <c r="S424" s="19">
        <f>S423+IF(N424="已下單",M424,0)</f>
        <v/>
      </c>
      <c r="T424" s="19">
        <f>R424-S424</f>
        <v/>
      </c>
      <c r="U424" s="2">
        <f>U423+IF(N424="已下單",1,0)</f>
        <v/>
      </c>
      <c r="V424" s="19">
        <f>IF(資金模擬!$B$9=2,MAX(R424,0),MAX(V423,FLOOR(MAX(R424,0),資金模擬!$B$6)))</f>
        <v/>
      </c>
      <c r="W424" s="13">
        <f>MAX(W423,R424)</f>
        <v/>
      </c>
      <c r="X424" s="4">
        <f>IF(W424&gt;0,R424/W424-1,-1)</f>
        <v/>
      </c>
      <c r="Y424" s="19">
        <f>IF(R424&gt;0,S424*資金模擬!$B$7/R424,0)</f>
        <v/>
      </c>
      <c r="Z424" s="2">
        <f>IF(OR(Z423=1,R424&lt;=資金模擬!$B$10),1,0)</f>
        <v/>
      </c>
    </row>
    <row r="425">
      <c r="A425" s="2" t="n">
        <v>423</v>
      </c>
      <c r="B425" s="7" t="n">
        <v>46279.625</v>
      </c>
      <c r="C425" s="2" t="inlineStr">
        <is>
          <t>出場</t>
        </is>
      </c>
      <c r="D425" s="2" t="n">
        <v>212</v>
      </c>
      <c r="E425" s="2" t="inlineStr">
        <is>
          <t>牛来_USDT_PERP</t>
        </is>
      </c>
      <c r="F425" s="2" t="inlineStr">
        <is>
          <t>做空</t>
        </is>
      </c>
      <c r="G425" s="20" t="n">
        <v>0.11776</v>
      </c>
      <c r="H425" s="20" t="n">
        <v>0.1142272</v>
      </c>
      <c r="I425" s="20" t="n">
        <v>0.123648</v>
      </c>
      <c r="J425" s="20" t="n">
        <v>0.123648</v>
      </c>
      <c r="K425" s="2" t="inlineStr">
        <is>
          <t>止損</t>
        </is>
      </c>
      <c r="L425" s="5">
        <f>交易明細!K213</f>
        <v/>
      </c>
      <c r="M425" s="19">
        <f>M424</f>
        <v/>
      </c>
      <c r="N425" s="2">
        <f>N424</f>
        <v/>
      </c>
      <c r="O425" s="19">
        <f>O424</f>
        <v/>
      </c>
      <c r="P425" s="4">
        <f>交易明細!L213</f>
        <v/>
      </c>
      <c r="Q425" s="13">
        <f>IF(N425="已下單",O425*P425,0)</f>
        <v/>
      </c>
      <c r="R425" s="13">
        <f>R424+Q425</f>
        <v/>
      </c>
      <c r="S425" s="19">
        <f>S424-IF(N425="已下單",M425,0)</f>
        <v/>
      </c>
      <c r="T425" s="19">
        <f>R425-S425</f>
        <v/>
      </c>
      <c r="U425" s="2">
        <f>U424-IF(N425="已下單",1,0)</f>
        <v/>
      </c>
      <c r="V425" s="19">
        <f>IF(資金模擬!$B$9=2,MAX(R425,0),MAX(V424,FLOOR(MAX(R425,0),資金模擬!$B$6)))</f>
        <v/>
      </c>
      <c r="W425" s="13">
        <f>MAX(W424,R425)</f>
        <v/>
      </c>
      <c r="X425" s="4">
        <f>IF(W425&gt;0,R425/W425-1,-1)</f>
        <v/>
      </c>
      <c r="Y425" s="19">
        <f>IF(R425&gt;0,S425*資金模擬!$B$7/R425,0)</f>
        <v/>
      </c>
      <c r="Z425" s="2">
        <f>IF(OR(Z424=1,R425&lt;=資金模擬!$B$10),1,0)</f>
        <v/>
      </c>
    </row>
    <row r="426">
      <c r="A426" s="2" t="n">
        <v>424</v>
      </c>
      <c r="B426" s="7" t="n">
        <v>46279.625</v>
      </c>
      <c r="C426" s="2" t="inlineStr">
        <is>
          <t>進場</t>
        </is>
      </c>
      <c r="D426" s="2" t="n">
        <v>213</v>
      </c>
      <c r="E426" s="2" t="inlineStr">
        <is>
          <t>FIL_USDT_PERP</t>
        </is>
      </c>
      <c r="F426" s="2" t="inlineStr">
        <is>
          <t>做多</t>
        </is>
      </c>
      <c r="G426" s="20" t="n">
        <v>0.996</v>
      </c>
      <c r="H426" s="20" t="n">
        <v>1.02588</v>
      </c>
      <c r="I426" s="20" t="n">
        <v>0.9461999999999999</v>
      </c>
      <c r="J426" s="20" t="n"/>
      <c r="K426" s="2" t="n"/>
      <c r="L426" s="5" t="n"/>
      <c r="M426" s="19">
        <f>資金模擬!$B$5*V425</f>
        <v/>
      </c>
      <c r="N426" s="2">
        <f>IF(Z425=1,"已停止",IF(T425&gt;=M426,"已下單","資金不足略過"))</f>
        <v/>
      </c>
      <c r="O426" s="19">
        <f>IF(N426="已下單",M426*資金模擬!$B$7,0)</f>
        <v/>
      </c>
      <c r="P426" s="4" t="n"/>
      <c r="Q426" s="13" t="n">
        <v>0</v>
      </c>
      <c r="R426" s="13">
        <f>R425+Q426</f>
        <v/>
      </c>
      <c r="S426" s="19">
        <f>S425+IF(N426="已下單",M426,0)</f>
        <v/>
      </c>
      <c r="T426" s="19">
        <f>R426-S426</f>
        <v/>
      </c>
      <c r="U426" s="2">
        <f>U425+IF(N426="已下單",1,0)</f>
        <v/>
      </c>
      <c r="V426" s="19">
        <f>IF(資金模擬!$B$9=2,MAX(R426,0),MAX(V425,FLOOR(MAX(R426,0),資金模擬!$B$6)))</f>
        <v/>
      </c>
      <c r="W426" s="13">
        <f>MAX(W425,R426)</f>
        <v/>
      </c>
      <c r="X426" s="4">
        <f>IF(W426&gt;0,R426/W426-1,-1)</f>
        <v/>
      </c>
      <c r="Y426" s="19">
        <f>IF(R426&gt;0,S426*資金模擬!$B$7/R426,0)</f>
        <v/>
      </c>
      <c r="Z426" s="2">
        <f>IF(OR(Z425=1,R426&lt;=資金模擬!$B$10),1,0)</f>
        <v/>
      </c>
    </row>
    <row r="427">
      <c r="A427" s="2" t="n">
        <v>425</v>
      </c>
      <c r="B427" s="7" t="n">
        <v>46279.66666666666</v>
      </c>
      <c r="C427" s="2" t="inlineStr">
        <is>
          <t>進場</t>
        </is>
      </c>
      <c r="D427" s="2" t="n">
        <v>214</v>
      </c>
      <c r="E427" s="2" t="inlineStr">
        <is>
          <t>LSK_USDT_PERP</t>
        </is>
      </c>
      <c r="F427" s="2" t="inlineStr">
        <is>
          <t>做多</t>
        </is>
      </c>
      <c r="G427" s="20" t="n">
        <v>0.9222</v>
      </c>
      <c r="H427" s="20" t="n">
        <v>0.9498660000000001</v>
      </c>
      <c r="I427" s="20" t="n">
        <v>0.8760899999999999</v>
      </c>
      <c r="J427" s="20" t="n"/>
      <c r="K427" s="2" t="n"/>
      <c r="L427" s="5" t="n"/>
      <c r="M427" s="19">
        <f>資金模擬!$B$5*V426</f>
        <v/>
      </c>
      <c r="N427" s="2">
        <f>IF(Z426=1,"已停止",IF(T426&gt;=M427,"已下單","資金不足略過"))</f>
        <v/>
      </c>
      <c r="O427" s="19">
        <f>IF(N427="已下單",M427*資金模擬!$B$7,0)</f>
        <v/>
      </c>
      <c r="P427" s="4" t="n"/>
      <c r="Q427" s="13" t="n">
        <v>0</v>
      </c>
      <c r="R427" s="13">
        <f>R426+Q427</f>
        <v/>
      </c>
      <c r="S427" s="19">
        <f>S426+IF(N427="已下單",M427,0)</f>
        <v/>
      </c>
      <c r="T427" s="19">
        <f>R427-S427</f>
        <v/>
      </c>
      <c r="U427" s="2">
        <f>U426+IF(N427="已下單",1,0)</f>
        <v/>
      </c>
      <c r="V427" s="19">
        <f>IF(資金模擬!$B$9=2,MAX(R427,0),MAX(V426,FLOOR(MAX(R427,0),資金模擬!$B$6)))</f>
        <v/>
      </c>
      <c r="W427" s="13">
        <f>MAX(W426,R427)</f>
        <v/>
      </c>
      <c r="X427" s="4">
        <f>IF(W427&gt;0,R427/W427-1,-1)</f>
        <v/>
      </c>
      <c r="Y427" s="19">
        <f>IF(R427&gt;0,S427*資金模擬!$B$7/R427,0)</f>
        <v/>
      </c>
      <c r="Z427" s="2">
        <f>IF(OR(Z426=1,R427&lt;=資金模擬!$B$10),1,0)</f>
        <v/>
      </c>
    </row>
    <row r="428">
      <c r="A428" s="2" t="n">
        <v>426</v>
      </c>
      <c r="B428" s="7" t="n">
        <v>46279.66666666666</v>
      </c>
      <c r="C428" s="2" t="inlineStr">
        <is>
          <t>進場</t>
        </is>
      </c>
      <c r="D428" s="2" t="n">
        <v>215</v>
      </c>
      <c r="E428" s="2" t="inlineStr">
        <is>
          <t>PONS_USDT_PERP</t>
        </is>
      </c>
      <c r="F428" s="2" t="inlineStr">
        <is>
          <t>做多</t>
        </is>
      </c>
      <c r="G428" s="20" t="n">
        <v>0.5661</v>
      </c>
      <c r="H428" s="20" t="n">
        <v>0.583083</v>
      </c>
      <c r="I428" s="20" t="n">
        <v>0.537795</v>
      </c>
      <c r="J428" s="20" t="n"/>
      <c r="K428" s="2" t="n"/>
      <c r="L428" s="5" t="n"/>
      <c r="M428" s="19">
        <f>資金模擬!$B$5*V427</f>
        <v/>
      </c>
      <c r="N428" s="2">
        <f>IF(Z427=1,"已停止",IF(T427&gt;=M428,"已下單","資金不足略過"))</f>
        <v/>
      </c>
      <c r="O428" s="19">
        <f>IF(N428="已下單",M428*資金模擬!$B$7,0)</f>
        <v/>
      </c>
      <c r="P428" s="4" t="n"/>
      <c r="Q428" s="13" t="n">
        <v>0</v>
      </c>
      <c r="R428" s="13">
        <f>R427+Q428</f>
        <v/>
      </c>
      <c r="S428" s="19">
        <f>S427+IF(N428="已下單",M428,0)</f>
        <v/>
      </c>
      <c r="T428" s="19">
        <f>R428-S428</f>
        <v/>
      </c>
      <c r="U428" s="2">
        <f>U427+IF(N428="已下單",1,0)</f>
        <v/>
      </c>
      <c r="V428" s="19">
        <f>IF(資金模擬!$B$9=2,MAX(R428,0),MAX(V427,FLOOR(MAX(R428,0),資金模擬!$B$6)))</f>
        <v/>
      </c>
      <c r="W428" s="13">
        <f>MAX(W427,R428)</f>
        <v/>
      </c>
      <c r="X428" s="4">
        <f>IF(W428&gt;0,R428/W428-1,-1)</f>
        <v/>
      </c>
      <c r="Y428" s="19">
        <f>IF(R428&gt;0,S428*資金模擬!$B$7/R428,0)</f>
        <v/>
      </c>
      <c r="Z428" s="2">
        <f>IF(OR(Z427=1,R428&lt;=資金模擬!$B$10),1,0)</f>
        <v/>
      </c>
    </row>
    <row r="429">
      <c r="A429" s="2" t="n">
        <v>427</v>
      </c>
      <c r="B429" s="7" t="n">
        <v>46279.66666666666</v>
      </c>
      <c r="C429" s="2" t="inlineStr">
        <is>
          <t>進場</t>
        </is>
      </c>
      <c r="D429" s="2" t="n">
        <v>216</v>
      </c>
      <c r="E429" s="2" t="inlineStr">
        <is>
          <t>牛来_USDT_PERP</t>
        </is>
      </c>
      <c r="F429" s="2" t="inlineStr">
        <is>
          <t>做空</t>
        </is>
      </c>
      <c r="G429" s="20" t="n">
        <v>0.12014</v>
      </c>
      <c r="H429" s="20" t="n">
        <v>0.1165358</v>
      </c>
      <c r="I429" s="20" t="n">
        <v>0.126147</v>
      </c>
      <c r="J429" s="20" t="n"/>
      <c r="K429" s="2" t="n"/>
      <c r="L429" s="5" t="n"/>
      <c r="M429" s="19">
        <f>資金模擬!$B$5*V428</f>
        <v/>
      </c>
      <c r="N429" s="2">
        <f>IF(Z428=1,"已停止",IF(T428&gt;=M429,"已下單","資金不足略過"))</f>
        <v/>
      </c>
      <c r="O429" s="19">
        <f>IF(N429="已下單",M429*資金模擬!$B$7,0)</f>
        <v/>
      </c>
      <c r="P429" s="4" t="n"/>
      <c r="Q429" s="13" t="n">
        <v>0</v>
      </c>
      <c r="R429" s="13">
        <f>R428+Q429</f>
        <v/>
      </c>
      <c r="S429" s="19">
        <f>S428+IF(N429="已下單",M429,0)</f>
        <v/>
      </c>
      <c r="T429" s="19">
        <f>R429-S429</f>
        <v/>
      </c>
      <c r="U429" s="2">
        <f>U428+IF(N429="已下單",1,0)</f>
        <v/>
      </c>
      <c r="V429" s="19">
        <f>IF(資金模擬!$B$9=2,MAX(R429,0),MAX(V428,FLOOR(MAX(R429,0),資金模擬!$B$6)))</f>
        <v/>
      </c>
      <c r="W429" s="13">
        <f>MAX(W428,R429)</f>
        <v/>
      </c>
      <c r="X429" s="4">
        <f>IF(W429&gt;0,R429/W429-1,-1)</f>
        <v/>
      </c>
      <c r="Y429" s="19">
        <f>IF(R429&gt;0,S429*資金模擬!$B$7/R429,0)</f>
        <v/>
      </c>
      <c r="Z429" s="2">
        <f>IF(OR(Z428=1,R429&lt;=資金模擬!$B$10),1,0)</f>
        <v/>
      </c>
    </row>
    <row r="430">
      <c r="A430" s="2" t="n">
        <v>428</v>
      </c>
      <c r="B430" s="7" t="n">
        <v>46279.70833333334</v>
      </c>
      <c r="C430" s="2" t="inlineStr">
        <is>
          <t>出場</t>
        </is>
      </c>
      <c r="D430" s="2" t="n">
        <v>214</v>
      </c>
      <c r="E430" s="2" t="inlineStr">
        <is>
          <t>LSK_USDT_PERP</t>
        </is>
      </c>
      <c r="F430" s="2" t="inlineStr">
        <is>
          <t>做多</t>
        </is>
      </c>
      <c r="G430" s="20" t="n">
        <v>0.9222</v>
      </c>
      <c r="H430" s="20" t="n">
        <v>0.9498660000000001</v>
      </c>
      <c r="I430" s="20" t="n">
        <v>0.8760899999999999</v>
      </c>
      <c r="J430" s="20" t="n">
        <v>0.9498660000000001</v>
      </c>
      <c r="K430" s="2" t="inlineStr">
        <is>
          <t>止盈</t>
        </is>
      </c>
      <c r="L430" s="5">
        <f>交易明細!K215</f>
        <v/>
      </c>
      <c r="M430" s="19">
        <f>M427</f>
        <v/>
      </c>
      <c r="N430" s="2">
        <f>N427</f>
        <v/>
      </c>
      <c r="O430" s="19">
        <f>O427</f>
        <v/>
      </c>
      <c r="P430" s="4">
        <f>交易明細!L215</f>
        <v/>
      </c>
      <c r="Q430" s="13">
        <f>IF(N430="已下單",O430*P430,0)</f>
        <v/>
      </c>
      <c r="R430" s="13">
        <f>R429+Q430</f>
        <v/>
      </c>
      <c r="S430" s="19">
        <f>S429-IF(N430="已下單",M430,0)</f>
        <v/>
      </c>
      <c r="T430" s="19">
        <f>R430-S430</f>
        <v/>
      </c>
      <c r="U430" s="2">
        <f>U429-IF(N430="已下單",1,0)</f>
        <v/>
      </c>
      <c r="V430" s="19">
        <f>IF(資金模擬!$B$9=2,MAX(R430,0),MAX(V429,FLOOR(MAX(R430,0),資金模擬!$B$6)))</f>
        <v/>
      </c>
      <c r="W430" s="13">
        <f>MAX(W429,R430)</f>
        <v/>
      </c>
      <c r="X430" s="4">
        <f>IF(W430&gt;0,R430/W430-1,-1)</f>
        <v/>
      </c>
      <c r="Y430" s="19">
        <f>IF(R430&gt;0,S430*資金模擬!$B$7/R430,0)</f>
        <v/>
      </c>
      <c r="Z430" s="2">
        <f>IF(OR(Z429=1,R430&lt;=資金模擬!$B$10),1,0)</f>
        <v/>
      </c>
    </row>
    <row r="431">
      <c r="A431" s="2" t="n">
        <v>429</v>
      </c>
      <c r="B431" s="7" t="n">
        <v>46279.70833333334</v>
      </c>
      <c r="C431" s="2" t="inlineStr">
        <is>
          <t>出場</t>
        </is>
      </c>
      <c r="D431" s="2" t="n">
        <v>216</v>
      </c>
      <c r="E431" s="2" t="inlineStr">
        <is>
          <t>牛来_USDT_PERP</t>
        </is>
      </c>
      <c r="F431" s="2" t="inlineStr">
        <is>
          <t>做空</t>
        </is>
      </c>
      <c r="G431" s="20" t="n">
        <v>0.12014</v>
      </c>
      <c r="H431" s="20" t="n">
        <v>0.1165358</v>
      </c>
      <c r="I431" s="20" t="n">
        <v>0.126147</v>
      </c>
      <c r="J431" s="20" t="n">
        <v>0.1165358</v>
      </c>
      <c r="K431" s="2" t="inlineStr">
        <is>
          <t>止盈</t>
        </is>
      </c>
      <c r="L431" s="5">
        <f>交易明細!K217</f>
        <v/>
      </c>
      <c r="M431" s="19">
        <f>M429</f>
        <v/>
      </c>
      <c r="N431" s="2">
        <f>N429</f>
        <v/>
      </c>
      <c r="O431" s="19">
        <f>O429</f>
        <v/>
      </c>
      <c r="P431" s="4">
        <f>交易明細!L217</f>
        <v/>
      </c>
      <c r="Q431" s="13">
        <f>IF(N431="已下單",O431*P431,0)</f>
        <v/>
      </c>
      <c r="R431" s="13">
        <f>R430+Q431</f>
        <v/>
      </c>
      <c r="S431" s="19">
        <f>S430-IF(N431="已下單",M431,0)</f>
        <v/>
      </c>
      <c r="T431" s="19">
        <f>R431-S431</f>
        <v/>
      </c>
      <c r="U431" s="2">
        <f>U430-IF(N431="已下單",1,0)</f>
        <v/>
      </c>
      <c r="V431" s="19">
        <f>IF(資金模擬!$B$9=2,MAX(R431,0),MAX(V430,FLOOR(MAX(R431,0),資金模擬!$B$6)))</f>
        <v/>
      </c>
      <c r="W431" s="13">
        <f>MAX(W430,R431)</f>
        <v/>
      </c>
      <c r="X431" s="4">
        <f>IF(W431&gt;0,R431/W431-1,-1)</f>
        <v/>
      </c>
      <c r="Y431" s="19">
        <f>IF(R431&gt;0,S431*資金模擬!$B$7/R431,0)</f>
        <v/>
      </c>
      <c r="Z431" s="2">
        <f>IF(OR(Z430=1,R431&lt;=資金模擬!$B$10),1,0)</f>
        <v/>
      </c>
    </row>
    <row r="432">
      <c r="A432" s="2" t="n">
        <v>430</v>
      </c>
      <c r="B432" s="7" t="n">
        <v>46279.70833333334</v>
      </c>
      <c r="C432" s="2" t="inlineStr">
        <is>
          <t>進場</t>
        </is>
      </c>
      <c r="D432" s="2" t="n">
        <v>217</v>
      </c>
      <c r="E432" s="2" t="inlineStr">
        <is>
          <t>USELESS_USDT_PERP</t>
        </is>
      </c>
      <c r="F432" s="2" t="inlineStr">
        <is>
          <t>做空</t>
        </is>
      </c>
      <c r="G432" s="20" t="n">
        <v>0.20271</v>
      </c>
      <c r="H432" s="20" t="n">
        <v>0.1966287</v>
      </c>
      <c r="I432" s="20" t="n">
        <v>0.2128455</v>
      </c>
      <c r="J432" s="20" t="n"/>
      <c r="K432" s="2" t="n"/>
      <c r="L432" s="5" t="n"/>
      <c r="M432" s="19">
        <f>資金模擬!$B$5*V431</f>
        <v/>
      </c>
      <c r="N432" s="2">
        <f>IF(Z431=1,"已停止",IF(T431&gt;=M432,"已下單","資金不足略過"))</f>
        <v/>
      </c>
      <c r="O432" s="19">
        <f>IF(N432="已下單",M432*資金模擬!$B$7,0)</f>
        <v/>
      </c>
      <c r="P432" s="4" t="n"/>
      <c r="Q432" s="13" t="n">
        <v>0</v>
      </c>
      <c r="R432" s="13">
        <f>R431+Q432</f>
        <v/>
      </c>
      <c r="S432" s="19">
        <f>S431+IF(N432="已下單",M432,0)</f>
        <v/>
      </c>
      <c r="T432" s="19">
        <f>R432-S432</f>
        <v/>
      </c>
      <c r="U432" s="2">
        <f>U431+IF(N432="已下單",1,0)</f>
        <v/>
      </c>
      <c r="V432" s="19">
        <f>IF(資金模擬!$B$9=2,MAX(R432,0),MAX(V431,FLOOR(MAX(R432,0),資金模擬!$B$6)))</f>
        <v/>
      </c>
      <c r="W432" s="13">
        <f>MAX(W431,R432)</f>
        <v/>
      </c>
      <c r="X432" s="4">
        <f>IF(W432&gt;0,R432/W432-1,-1)</f>
        <v/>
      </c>
      <c r="Y432" s="19">
        <f>IF(R432&gt;0,S432*資金模擬!$B$7/R432,0)</f>
        <v/>
      </c>
      <c r="Z432" s="2">
        <f>IF(OR(Z431=1,R432&lt;=資金模擬!$B$10),1,0)</f>
        <v/>
      </c>
    </row>
    <row r="433">
      <c r="A433" s="2" t="n">
        <v>431</v>
      </c>
      <c r="B433" s="7" t="n">
        <v>46279.75</v>
      </c>
      <c r="C433" s="2" t="inlineStr">
        <is>
          <t>出場</t>
        </is>
      </c>
      <c r="D433" s="2" t="n">
        <v>213</v>
      </c>
      <c r="E433" s="2" t="inlineStr">
        <is>
          <t>FIL_USDT_PERP</t>
        </is>
      </c>
      <c r="F433" s="2" t="inlineStr">
        <is>
          <t>做多</t>
        </is>
      </c>
      <c r="G433" s="20" t="n">
        <v>0.996</v>
      </c>
      <c r="H433" s="20" t="n">
        <v>1.02588</v>
      </c>
      <c r="I433" s="20" t="n">
        <v>0.9461999999999999</v>
      </c>
      <c r="J433" s="20" t="n">
        <v>1.02588</v>
      </c>
      <c r="K433" s="2" t="inlineStr">
        <is>
          <t>止盈</t>
        </is>
      </c>
      <c r="L433" s="5">
        <f>交易明細!K214</f>
        <v/>
      </c>
      <c r="M433" s="19">
        <f>M426</f>
        <v/>
      </c>
      <c r="N433" s="2">
        <f>N426</f>
        <v/>
      </c>
      <c r="O433" s="19">
        <f>O426</f>
        <v/>
      </c>
      <c r="P433" s="4">
        <f>交易明細!L214</f>
        <v/>
      </c>
      <c r="Q433" s="13">
        <f>IF(N433="已下單",O433*P433,0)</f>
        <v/>
      </c>
      <c r="R433" s="13">
        <f>R432+Q433</f>
        <v/>
      </c>
      <c r="S433" s="19">
        <f>S432-IF(N433="已下單",M433,0)</f>
        <v/>
      </c>
      <c r="T433" s="19">
        <f>R433-S433</f>
        <v/>
      </c>
      <c r="U433" s="2">
        <f>U432-IF(N433="已下單",1,0)</f>
        <v/>
      </c>
      <c r="V433" s="19">
        <f>IF(資金模擬!$B$9=2,MAX(R433,0),MAX(V432,FLOOR(MAX(R433,0),資金模擬!$B$6)))</f>
        <v/>
      </c>
      <c r="W433" s="13">
        <f>MAX(W432,R433)</f>
        <v/>
      </c>
      <c r="X433" s="4">
        <f>IF(W433&gt;0,R433/W433-1,-1)</f>
        <v/>
      </c>
      <c r="Y433" s="19">
        <f>IF(R433&gt;0,S433*資金模擬!$B$7/R433,0)</f>
        <v/>
      </c>
      <c r="Z433" s="2">
        <f>IF(OR(Z432=1,R433&lt;=資金模擬!$B$10),1,0)</f>
        <v/>
      </c>
    </row>
    <row r="434">
      <c r="A434" s="2" t="n">
        <v>432</v>
      </c>
      <c r="B434" s="7" t="n">
        <v>46279.75</v>
      </c>
      <c r="C434" s="2" t="inlineStr">
        <is>
          <t>進場</t>
        </is>
      </c>
      <c r="D434" s="2" t="n">
        <v>218</v>
      </c>
      <c r="E434" s="2" t="inlineStr">
        <is>
          <t>LSK_USDT_PERP</t>
        </is>
      </c>
      <c r="F434" s="2" t="inlineStr">
        <is>
          <t>做空</t>
        </is>
      </c>
      <c r="G434" s="20" t="n">
        <v>0.8768</v>
      </c>
      <c r="H434" s="20" t="n">
        <v>0.850496</v>
      </c>
      <c r="I434" s="20" t="n">
        <v>0.92064</v>
      </c>
      <c r="J434" s="20" t="n"/>
      <c r="K434" s="2" t="n"/>
      <c r="L434" s="5" t="n"/>
      <c r="M434" s="19">
        <f>資金模擬!$B$5*V433</f>
        <v/>
      </c>
      <c r="N434" s="2">
        <f>IF(Z433=1,"已停止",IF(T433&gt;=M434,"已下單","資金不足略過"))</f>
        <v/>
      </c>
      <c r="O434" s="19">
        <f>IF(N434="已下單",M434*資金模擬!$B$7,0)</f>
        <v/>
      </c>
      <c r="P434" s="4" t="n"/>
      <c r="Q434" s="13" t="n">
        <v>0</v>
      </c>
      <c r="R434" s="13">
        <f>R433+Q434</f>
        <v/>
      </c>
      <c r="S434" s="19">
        <f>S433+IF(N434="已下單",M434,0)</f>
        <v/>
      </c>
      <c r="T434" s="19">
        <f>R434-S434</f>
        <v/>
      </c>
      <c r="U434" s="2">
        <f>U433+IF(N434="已下單",1,0)</f>
        <v/>
      </c>
      <c r="V434" s="19">
        <f>IF(資金模擬!$B$9=2,MAX(R434,0),MAX(V433,FLOOR(MAX(R434,0),資金模擬!$B$6)))</f>
        <v/>
      </c>
      <c r="W434" s="13">
        <f>MAX(W433,R434)</f>
        <v/>
      </c>
      <c r="X434" s="4">
        <f>IF(W434&gt;0,R434/W434-1,-1)</f>
        <v/>
      </c>
      <c r="Y434" s="19">
        <f>IF(R434&gt;0,S434*資金模擬!$B$7/R434,0)</f>
        <v/>
      </c>
      <c r="Z434" s="2">
        <f>IF(OR(Z433=1,R434&lt;=資金模擬!$B$10),1,0)</f>
        <v/>
      </c>
    </row>
    <row r="435">
      <c r="A435" s="2" t="n">
        <v>433</v>
      </c>
      <c r="B435" s="7" t="n">
        <v>46279.79166666666</v>
      </c>
      <c r="C435" s="2" t="inlineStr">
        <is>
          <t>出場</t>
        </is>
      </c>
      <c r="D435" s="2" t="n">
        <v>218</v>
      </c>
      <c r="E435" s="2" t="inlineStr">
        <is>
          <t>LSK_USDT_PERP</t>
        </is>
      </c>
      <c r="F435" s="2" t="inlineStr">
        <is>
          <t>做空</t>
        </is>
      </c>
      <c r="G435" s="20" t="n">
        <v>0.8768</v>
      </c>
      <c r="H435" s="20" t="n">
        <v>0.850496</v>
      </c>
      <c r="I435" s="20" t="n">
        <v>0.92064</v>
      </c>
      <c r="J435" s="20" t="n">
        <v>0.850496</v>
      </c>
      <c r="K435" s="2" t="inlineStr">
        <is>
          <t>止盈</t>
        </is>
      </c>
      <c r="L435" s="5">
        <f>交易明細!K219</f>
        <v/>
      </c>
      <c r="M435" s="19">
        <f>M434</f>
        <v/>
      </c>
      <c r="N435" s="2">
        <f>N434</f>
        <v/>
      </c>
      <c r="O435" s="19">
        <f>O434</f>
        <v/>
      </c>
      <c r="P435" s="4">
        <f>交易明細!L219</f>
        <v/>
      </c>
      <c r="Q435" s="13">
        <f>IF(N435="已下單",O435*P435,0)</f>
        <v/>
      </c>
      <c r="R435" s="13">
        <f>R434+Q435</f>
        <v/>
      </c>
      <c r="S435" s="19">
        <f>S434-IF(N435="已下單",M435,0)</f>
        <v/>
      </c>
      <c r="T435" s="19">
        <f>R435-S435</f>
        <v/>
      </c>
      <c r="U435" s="2">
        <f>U434-IF(N435="已下單",1,0)</f>
        <v/>
      </c>
      <c r="V435" s="19">
        <f>IF(資金模擬!$B$9=2,MAX(R435,0),MAX(V434,FLOOR(MAX(R435,0),資金模擬!$B$6)))</f>
        <v/>
      </c>
      <c r="W435" s="13">
        <f>MAX(W434,R435)</f>
        <v/>
      </c>
      <c r="X435" s="4">
        <f>IF(W435&gt;0,R435/W435-1,-1)</f>
        <v/>
      </c>
      <c r="Y435" s="19">
        <f>IF(R435&gt;0,S435*資金模擬!$B$7/R435,0)</f>
        <v/>
      </c>
      <c r="Z435" s="2">
        <f>IF(OR(Z434=1,R435&lt;=資金模擬!$B$10),1,0)</f>
        <v/>
      </c>
    </row>
    <row r="436">
      <c r="A436" s="2" t="n">
        <v>434</v>
      </c>
      <c r="B436" s="7" t="n">
        <v>46279.83333333334</v>
      </c>
      <c r="C436" s="2" t="inlineStr">
        <is>
          <t>出場</t>
        </is>
      </c>
      <c r="D436" s="2" t="n">
        <v>217</v>
      </c>
      <c r="E436" s="2" t="inlineStr">
        <is>
          <t>USELESS_USDT_PERP</t>
        </is>
      </c>
      <c r="F436" s="2" t="inlineStr">
        <is>
          <t>做空</t>
        </is>
      </c>
      <c r="G436" s="20" t="n">
        <v>0.20271</v>
      </c>
      <c r="H436" s="20" t="n">
        <v>0.1966287</v>
      </c>
      <c r="I436" s="20" t="n">
        <v>0.2128455</v>
      </c>
      <c r="J436" s="20" t="n">
        <v>0.1966287</v>
      </c>
      <c r="K436" s="2" t="inlineStr">
        <is>
          <t>止盈</t>
        </is>
      </c>
      <c r="L436" s="5">
        <f>交易明細!K218</f>
        <v/>
      </c>
      <c r="M436" s="19">
        <f>M432</f>
        <v/>
      </c>
      <c r="N436" s="2">
        <f>N432</f>
        <v/>
      </c>
      <c r="O436" s="19">
        <f>O432</f>
        <v/>
      </c>
      <c r="P436" s="4">
        <f>交易明細!L218</f>
        <v/>
      </c>
      <c r="Q436" s="13">
        <f>IF(N436="已下單",O436*P436,0)</f>
        <v/>
      </c>
      <c r="R436" s="13">
        <f>R435+Q436</f>
        <v/>
      </c>
      <c r="S436" s="19">
        <f>S435-IF(N436="已下單",M436,0)</f>
        <v/>
      </c>
      <c r="T436" s="19">
        <f>R436-S436</f>
        <v/>
      </c>
      <c r="U436" s="2">
        <f>U435-IF(N436="已下單",1,0)</f>
        <v/>
      </c>
      <c r="V436" s="19">
        <f>IF(資金模擬!$B$9=2,MAX(R436,0),MAX(V435,FLOOR(MAX(R436,0),資金模擬!$B$6)))</f>
        <v/>
      </c>
      <c r="W436" s="13">
        <f>MAX(W435,R436)</f>
        <v/>
      </c>
      <c r="X436" s="4">
        <f>IF(W436&gt;0,R436/W436-1,-1)</f>
        <v/>
      </c>
      <c r="Y436" s="19">
        <f>IF(R436&gt;0,S436*資金模擬!$B$7/R436,0)</f>
        <v/>
      </c>
      <c r="Z436" s="2">
        <f>IF(OR(Z435=1,R436&lt;=資金模擬!$B$10),1,0)</f>
        <v/>
      </c>
    </row>
    <row r="437">
      <c r="A437" s="2" t="n">
        <v>435</v>
      </c>
      <c r="B437" s="7" t="n">
        <v>46279.91666666666</v>
      </c>
      <c r="C437" s="2" t="inlineStr">
        <is>
          <t>出場</t>
        </is>
      </c>
      <c r="D437" s="2" t="n">
        <v>215</v>
      </c>
      <c r="E437" s="2" t="inlineStr">
        <is>
          <t>PONS_USDT_PERP</t>
        </is>
      </c>
      <c r="F437" s="2" t="inlineStr">
        <is>
          <t>做多</t>
        </is>
      </c>
      <c r="G437" s="20" t="n">
        <v>0.5661</v>
      </c>
      <c r="H437" s="20" t="n">
        <v>0.583083</v>
      </c>
      <c r="I437" s="20" t="n">
        <v>0.537795</v>
      </c>
      <c r="J437" s="20" t="n">
        <v>0.537795</v>
      </c>
      <c r="K437" s="2" t="inlineStr">
        <is>
          <t>止損</t>
        </is>
      </c>
      <c r="L437" s="5">
        <f>交易明細!K216</f>
        <v/>
      </c>
      <c r="M437" s="19">
        <f>M428</f>
        <v/>
      </c>
      <c r="N437" s="2">
        <f>N428</f>
        <v/>
      </c>
      <c r="O437" s="19">
        <f>O428</f>
        <v/>
      </c>
      <c r="P437" s="4">
        <f>交易明細!L216</f>
        <v/>
      </c>
      <c r="Q437" s="13">
        <f>IF(N437="已下單",O437*P437,0)</f>
        <v/>
      </c>
      <c r="R437" s="13">
        <f>R436+Q437</f>
        <v/>
      </c>
      <c r="S437" s="19">
        <f>S436-IF(N437="已下單",M437,0)</f>
        <v/>
      </c>
      <c r="T437" s="19">
        <f>R437-S437</f>
        <v/>
      </c>
      <c r="U437" s="2">
        <f>U436-IF(N437="已下單",1,0)</f>
        <v/>
      </c>
      <c r="V437" s="19">
        <f>IF(資金模擬!$B$9=2,MAX(R437,0),MAX(V436,FLOOR(MAX(R437,0),資金模擬!$B$6)))</f>
        <v/>
      </c>
      <c r="W437" s="13">
        <f>MAX(W436,R437)</f>
        <v/>
      </c>
      <c r="X437" s="4">
        <f>IF(W437&gt;0,R437/W437-1,-1)</f>
        <v/>
      </c>
      <c r="Y437" s="19">
        <f>IF(R437&gt;0,S437*資金模擬!$B$7/R437,0)</f>
        <v/>
      </c>
      <c r="Z437" s="2">
        <f>IF(OR(Z436=1,R437&lt;=資金模擬!$B$10),1,0)</f>
        <v/>
      </c>
    </row>
    <row r="438">
      <c r="A438" s="2" t="n">
        <v>436</v>
      </c>
      <c r="B438" s="7" t="n">
        <v>46279.95833333334</v>
      </c>
      <c r="C438" s="2" t="inlineStr">
        <is>
          <t>進場</t>
        </is>
      </c>
      <c r="D438" s="2" t="n">
        <v>219</v>
      </c>
      <c r="E438" s="2" t="inlineStr">
        <is>
          <t>PONS_USDT_PERP</t>
        </is>
      </c>
      <c r="F438" s="2" t="inlineStr">
        <is>
          <t>做多</t>
        </is>
      </c>
      <c r="G438" s="20" t="n">
        <v>0.5794</v>
      </c>
      <c r="H438" s="20" t="n">
        <v>0.596782</v>
      </c>
      <c r="I438" s="20" t="n">
        <v>0.55043</v>
      </c>
      <c r="J438" s="20" t="n"/>
      <c r="K438" s="2" t="n"/>
      <c r="L438" s="5" t="n"/>
      <c r="M438" s="19">
        <f>資金模擬!$B$5*V437</f>
        <v/>
      </c>
      <c r="N438" s="2">
        <f>IF(Z437=1,"已停止",IF(T437&gt;=M438,"已下單","資金不足略過"))</f>
        <v/>
      </c>
      <c r="O438" s="19">
        <f>IF(N438="已下單",M438*資金模擬!$B$7,0)</f>
        <v/>
      </c>
      <c r="P438" s="4" t="n"/>
      <c r="Q438" s="13" t="n">
        <v>0</v>
      </c>
      <c r="R438" s="13">
        <f>R437+Q438</f>
        <v/>
      </c>
      <c r="S438" s="19">
        <f>S437+IF(N438="已下單",M438,0)</f>
        <v/>
      </c>
      <c r="T438" s="19">
        <f>R438-S438</f>
        <v/>
      </c>
      <c r="U438" s="2">
        <f>U437+IF(N438="已下單",1,0)</f>
        <v/>
      </c>
      <c r="V438" s="19">
        <f>IF(資金模擬!$B$9=2,MAX(R438,0),MAX(V437,FLOOR(MAX(R438,0),資金模擬!$B$6)))</f>
        <v/>
      </c>
      <c r="W438" s="13">
        <f>MAX(W437,R438)</f>
        <v/>
      </c>
      <c r="X438" s="4">
        <f>IF(W438&gt;0,R438/W438-1,-1)</f>
        <v/>
      </c>
      <c r="Y438" s="19">
        <f>IF(R438&gt;0,S438*資金模擬!$B$7/R438,0)</f>
        <v/>
      </c>
      <c r="Z438" s="2">
        <f>IF(OR(Z437=1,R438&lt;=資金模擬!$B$10),1,0)</f>
        <v/>
      </c>
    </row>
    <row r="439">
      <c r="A439" s="2" t="n">
        <v>437</v>
      </c>
      <c r="B439" s="7" t="n">
        <v>46280</v>
      </c>
      <c r="C439" s="2" t="inlineStr">
        <is>
          <t>出場</t>
        </is>
      </c>
      <c r="D439" s="2" t="n">
        <v>219</v>
      </c>
      <c r="E439" s="2" t="inlineStr">
        <is>
          <t>PONS_USDT_PERP</t>
        </is>
      </c>
      <c r="F439" s="2" t="inlineStr">
        <is>
          <t>做多</t>
        </is>
      </c>
      <c r="G439" s="20" t="n">
        <v>0.5794</v>
      </c>
      <c r="H439" s="20" t="n">
        <v>0.596782</v>
      </c>
      <c r="I439" s="20" t="n">
        <v>0.55043</v>
      </c>
      <c r="J439" s="20" t="n">
        <v>0.596782</v>
      </c>
      <c r="K439" s="2" t="inlineStr">
        <is>
          <t>止盈</t>
        </is>
      </c>
      <c r="L439" s="5">
        <f>交易明細!K220</f>
        <v/>
      </c>
      <c r="M439" s="19">
        <f>M438</f>
        <v/>
      </c>
      <c r="N439" s="2">
        <f>N438</f>
        <v/>
      </c>
      <c r="O439" s="19">
        <f>O438</f>
        <v/>
      </c>
      <c r="P439" s="4">
        <f>交易明細!L220</f>
        <v/>
      </c>
      <c r="Q439" s="13">
        <f>IF(N439="已下單",O439*P439,0)</f>
        <v/>
      </c>
      <c r="R439" s="13">
        <f>R438+Q439</f>
        <v/>
      </c>
      <c r="S439" s="19">
        <f>S438-IF(N439="已下單",M439,0)</f>
        <v/>
      </c>
      <c r="T439" s="19">
        <f>R439-S439</f>
        <v/>
      </c>
      <c r="U439" s="2">
        <f>U438-IF(N439="已下單",1,0)</f>
        <v/>
      </c>
      <c r="V439" s="19">
        <f>IF(資金模擬!$B$9=2,MAX(R439,0),MAX(V438,FLOOR(MAX(R439,0),資金模擬!$B$6)))</f>
        <v/>
      </c>
      <c r="W439" s="13">
        <f>MAX(W438,R439)</f>
        <v/>
      </c>
      <c r="X439" s="4">
        <f>IF(W439&gt;0,R439/W439-1,-1)</f>
        <v/>
      </c>
      <c r="Y439" s="19">
        <f>IF(R439&gt;0,S439*資金模擬!$B$7/R439,0)</f>
        <v/>
      </c>
      <c r="Z439" s="2">
        <f>IF(OR(Z438=1,R439&lt;=資金模擬!$B$10),1,0)</f>
        <v/>
      </c>
    </row>
    <row r="440">
      <c r="A440" s="2" t="n">
        <v>438</v>
      </c>
      <c r="B440" s="7" t="n">
        <v>46280</v>
      </c>
      <c r="C440" s="2" t="inlineStr">
        <is>
          <t>進場</t>
        </is>
      </c>
      <c r="D440" s="2" t="n">
        <v>220</v>
      </c>
      <c r="E440" s="2" t="inlineStr">
        <is>
          <t>FIL_USDT_PERP</t>
        </is>
      </c>
      <c r="F440" s="2" t="inlineStr">
        <is>
          <t>做空</t>
        </is>
      </c>
      <c r="G440" s="20" t="n">
        <v>0.953</v>
      </c>
      <c r="H440" s="20" t="n">
        <v>0.92441</v>
      </c>
      <c r="I440" s="20" t="n">
        <v>1.00065</v>
      </c>
      <c r="J440" s="20" t="n"/>
      <c r="K440" s="2" t="n"/>
      <c r="L440" s="5" t="n"/>
      <c r="M440" s="19">
        <f>資金模擬!$B$5*V439</f>
        <v/>
      </c>
      <c r="N440" s="2">
        <f>IF(Z439=1,"已停止",IF(T439&gt;=M440,"已下單","資金不足略過"))</f>
        <v/>
      </c>
      <c r="O440" s="19">
        <f>IF(N440="已下單",M440*資金模擬!$B$7,0)</f>
        <v/>
      </c>
      <c r="P440" s="4" t="n"/>
      <c r="Q440" s="13" t="n">
        <v>0</v>
      </c>
      <c r="R440" s="13">
        <f>R439+Q440</f>
        <v/>
      </c>
      <c r="S440" s="19">
        <f>S439+IF(N440="已下單",M440,0)</f>
        <v/>
      </c>
      <c r="T440" s="19">
        <f>R440-S440</f>
        <v/>
      </c>
      <c r="U440" s="2">
        <f>U439+IF(N440="已下單",1,0)</f>
        <v/>
      </c>
      <c r="V440" s="19">
        <f>IF(資金模擬!$B$9=2,MAX(R440,0),MAX(V439,FLOOR(MAX(R440,0),資金模擬!$B$6)))</f>
        <v/>
      </c>
      <c r="W440" s="13">
        <f>MAX(W439,R440)</f>
        <v/>
      </c>
      <c r="X440" s="4">
        <f>IF(W440&gt;0,R440/W440-1,-1)</f>
        <v/>
      </c>
      <c r="Y440" s="19">
        <f>IF(R440&gt;0,S440*資金模擬!$B$7/R440,0)</f>
        <v/>
      </c>
      <c r="Z440" s="2">
        <f>IF(OR(Z439=1,R440&lt;=資金模擬!$B$10),1,0)</f>
        <v/>
      </c>
    </row>
    <row r="441">
      <c r="A441" s="2" t="n">
        <v>439</v>
      </c>
      <c r="B441" s="7" t="n">
        <v>46280.08333333334</v>
      </c>
      <c r="C441" s="2" t="inlineStr">
        <is>
          <t>進場</t>
        </is>
      </c>
      <c r="D441" s="2" t="n">
        <v>221</v>
      </c>
      <c r="E441" s="2" t="inlineStr">
        <is>
          <t>USELESS_USDT_PERP</t>
        </is>
      </c>
      <c r="F441" s="2" t="inlineStr">
        <is>
          <t>做多</t>
        </is>
      </c>
      <c r="G441" s="20" t="n">
        <v>0.21527</v>
      </c>
      <c r="H441" s="20" t="n">
        <v>0.2217281</v>
      </c>
      <c r="I441" s="20" t="n">
        <v>0.2045065</v>
      </c>
      <c r="J441" s="20" t="n"/>
      <c r="K441" s="2" t="n"/>
      <c r="L441" s="5" t="n"/>
      <c r="M441" s="19">
        <f>資金模擬!$B$5*V440</f>
        <v/>
      </c>
      <c r="N441" s="2">
        <f>IF(Z440=1,"已停止",IF(T440&gt;=M441,"已下單","資金不足略過"))</f>
        <v/>
      </c>
      <c r="O441" s="19">
        <f>IF(N441="已下單",M441*資金模擬!$B$7,0)</f>
        <v/>
      </c>
      <c r="P441" s="4" t="n"/>
      <c r="Q441" s="13" t="n">
        <v>0</v>
      </c>
      <c r="R441" s="13">
        <f>R440+Q441</f>
        <v/>
      </c>
      <c r="S441" s="19">
        <f>S440+IF(N441="已下單",M441,0)</f>
        <v/>
      </c>
      <c r="T441" s="19">
        <f>R441-S441</f>
        <v/>
      </c>
      <c r="U441" s="2">
        <f>U440+IF(N441="已下單",1,0)</f>
        <v/>
      </c>
      <c r="V441" s="19">
        <f>IF(資金模擬!$B$9=2,MAX(R441,0),MAX(V440,FLOOR(MAX(R441,0),資金模擬!$B$6)))</f>
        <v/>
      </c>
      <c r="W441" s="13">
        <f>MAX(W440,R441)</f>
        <v/>
      </c>
      <c r="X441" s="4">
        <f>IF(W441&gt;0,R441/W441-1,-1)</f>
        <v/>
      </c>
      <c r="Y441" s="19">
        <f>IF(R441&gt;0,S441*資金模擬!$B$7/R441,0)</f>
        <v/>
      </c>
      <c r="Z441" s="2">
        <f>IF(OR(Z440=1,R441&lt;=資金模擬!$B$10),1,0)</f>
        <v/>
      </c>
    </row>
    <row r="442">
      <c r="A442" s="2" t="n">
        <v>440</v>
      </c>
      <c r="B442" s="7" t="n">
        <v>46280.16666666666</v>
      </c>
      <c r="C442" s="2" t="inlineStr">
        <is>
          <t>進場</t>
        </is>
      </c>
      <c r="D442" s="2" t="n">
        <v>222</v>
      </c>
      <c r="E442" s="2" t="inlineStr">
        <is>
          <t>LIT_USDT_PERP</t>
        </is>
      </c>
      <c r="F442" s="2" t="inlineStr">
        <is>
          <t>做多</t>
        </is>
      </c>
      <c r="G442" s="20" t="n">
        <v>4.538</v>
      </c>
      <c r="H442" s="20" t="n">
        <v>4.67414</v>
      </c>
      <c r="I442" s="20" t="n">
        <v>4.3111</v>
      </c>
      <c r="J442" s="20" t="n"/>
      <c r="K442" s="2" t="n"/>
      <c r="L442" s="5" t="n"/>
      <c r="M442" s="19">
        <f>資金模擬!$B$5*V441</f>
        <v/>
      </c>
      <c r="N442" s="2">
        <f>IF(Z441=1,"已停止",IF(T441&gt;=M442,"已下單","資金不足略過"))</f>
        <v/>
      </c>
      <c r="O442" s="19">
        <f>IF(N442="已下單",M442*資金模擬!$B$7,0)</f>
        <v/>
      </c>
      <c r="P442" s="4" t="n"/>
      <c r="Q442" s="13" t="n">
        <v>0</v>
      </c>
      <c r="R442" s="13">
        <f>R441+Q442</f>
        <v/>
      </c>
      <c r="S442" s="19">
        <f>S441+IF(N442="已下單",M442,0)</f>
        <v/>
      </c>
      <c r="T442" s="19">
        <f>R442-S442</f>
        <v/>
      </c>
      <c r="U442" s="2">
        <f>U441+IF(N442="已下單",1,0)</f>
        <v/>
      </c>
      <c r="V442" s="19">
        <f>IF(資金模擬!$B$9=2,MAX(R442,0),MAX(V441,FLOOR(MAX(R442,0),資金模擬!$B$6)))</f>
        <v/>
      </c>
      <c r="W442" s="13">
        <f>MAX(W441,R442)</f>
        <v/>
      </c>
      <c r="X442" s="4">
        <f>IF(W442&gt;0,R442/W442-1,-1)</f>
        <v/>
      </c>
      <c r="Y442" s="19">
        <f>IF(R442&gt;0,S442*資金模擬!$B$7/R442,0)</f>
        <v/>
      </c>
      <c r="Z442" s="2">
        <f>IF(OR(Z441=1,R442&lt;=資金模擬!$B$10),1,0)</f>
        <v/>
      </c>
    </row>
    <row r="443">
      <c r="A443" s="2" t="n">
        <v>441</v>
      </c>
      <c r="B443" s="7" t="n">
        <v>46280.25</v>
      </c>
      <c r="C443" s="2" t="inlineStr">
        <is>
          <t>出場</t>
        </is>
      </c>
      <c r="D443" s="2" t="n">
        <v>221</v>
      </c>
      <c r="E443" s="2" t="inlineStr">
        <is>
          <t>USELESS_USDT_PERP</t>
        </is>
      </c>
      <c r="F443" s="2" t="inlineStr">
        <is>
          <t>做多</t>
        </is>
      </c>
      <c r="G443" s="20" t="n">
        <v>0.21527</v>
      </c>
      <c r="H443" s="20" t="n">
        <v>0.2217281</v>
      </c>
      <c r="I443" s="20" t="n">
        <v>0.2045065</v>
      </c>
      <c r="J443" s="20" t="n">
        <v>0.2045065</v>
      </c>
      <c r="K443" s="2" t="inlineStr">
        <is>
          <t>止損</t>
        </is>
      </c>
      <c r="L443" s="5">
        <f>交易明細!K222</f>
        <v/>
      </c>
      <c r="M443" s="19">
        <f>M441</f>
        <v/>
      </c>
      <c r="N443" s="2">
        <f>N441</f>
        <v/>
      </c>
      <c r="O443" s="19">
        <f>O441</f>
        <v/>
      </c>
      <c r="P443" s="4">
        <f>交易明細!L222</f>
        <v/>
      </c>
      <c r="Q443" s="13">
        <f>IF(N443="已下單",O443*P443,0)</f>
        <v/>
      </c>
      <c r="R443" s="13">
        <f>R442+Q443</f>
        <v/>
      </c>
      <c r="S443" s="19">
        <f>S442-IF(N443="已下單",M443,0)</f>
        <v/>
      </c>
      <c r="T443" s="19">
        <f>R443-S443</f>
        <v/>
      </c>
      <c r="U443" s="2">
        <f>U442-IF(N443="已下單",1,0)</f>
        <v/>
      </c>
      <c r="V443" s="19">
        <f>IF(資金模擬!$B$9=2,MAX(R443,0),MAX(V442,FLOOR(MAX(R443,0),資金模擬!$B$6)))</f>
        <v/>
      </c>
      <c r="W443" s="13">
        <f>MAX(W442,R443)</f>
        <v/>
      </c>
      <c r="X443" s="4">
        <f>IF(W443&gt;0,R443/W443-1,-1)</f>
        <v/>
      </c>
      <c r="Y443" s="19">
        <f>IF(R443&gt;0,S443*資金模擬!$B$7/R443,0)</f>
        <v/>
      </c>
      <c r="Z443" s="2">
        <f>IF(OR(Z442=1,R443&lt;=資金模擬!$B$10),1,0)</f>
        <v/>
      </c>
    </row>
    <row r="444">
      <c r="A444" s="2" t="n">
        <v>442</v>
      </c>
      <c r="B444" s="7" t="n">
        <v>46280.375</v>
      </c>
      <c r="C444" s="2" t="inlineStr">
        <is>
          <t>出場</t>
        </is>
      </c>
      <c r="D444" s="2" t="n">
        <v>220</v>
      </c>
      <c r="E444" s="2" t="inlineStr">
        <is>
          <t>FIL_USDT_PERP</t>
        </is>
      </c>
      <c r="F444" s="2" t="inlineStr">
        <is>
          <t>做空</t>
        </is>
      </c>
      <c r="G444" s="20" t="n">
        <v>0.953</v>
      </c>
      <c r="H444" s="20" t="n">
        <v>0.92441</v>
      </c>
      <c r="I444" s="20" t="n">
        <v>1.00065</v>
      </c>
      <c r="J444" s="20" t="n">
        <v>0.92441</v>
      </c>
      <c r="K444" s="2" t="inlineStr">
        <is>
          <t>止盈</t>
        </is>
      </c>
      <c r="L444" s="5">
        <f>交易明細!K221</f>
        <v/>
      </c>
      <c r="M444" s="19">
        <f>M440</f>
        <v/>
      </c>
      <c r="N444" s="2">
        <f>N440</f>
        <v/>
      </c>
      <c r="O444" s="19">
        <f>O440</f>
        <v/>
      </c>
      <c r="P444" s="4">
        <f>交易明細!L221</f>
        <v/>
      </c>
      <c r="Q444" s="13">
        <f>IF(N444="已下單",O444*P444,0)</f>
        <v/>
      </c>
      <c r="R444" s="13">
        <f>R443+Q444</f>
        <v/>
      </c>
      <c r="S444" s="19">
        <f>S443-IF(N444="已下單",M444,0)</f>
        <v/>
      </c>
      <c r="T444" s="19">
        <f>R444-S444</f>
        <v/>
      </c>
      <c r="U444" s="2">
        <f>U443-IF(N444="已下單",1,0)</f>
        <v/>
      </c>
      <c r="V444" s="19">
        <f>IF(資金模擬!$B$9=2,MAX(R444,0),MAX(V443,FLOOR(MAX(R444,0),資金模擬!$B$6)))</f>
        <v/>
      </c>
      <c r="W444" s="13">
        <f>MAX(W443,R444)</f>
        <v/>
      </c>
      <c r="X444" s="4">
        <f>IF(W444&gt;0,R444/W444-1,-1)</f>
        <v/>
      </c>
      <c r="Y444" s="19">
        <f>IF(R444&gt;0,S444*資金模擬!$B$7/R444,0)</f>
        <v/>
      </c>
      <c r="Z444" s="2">
        <f>IF(OR(Z443=1,R444&lt;=資金模擬!$B$10),1,0)</f>
        <v/>
      </c>
    </row>
    <row r="445">
      <c r="A445" s="2" t="n">
        <v>443</v>
      </c>
      <c r="B445" s="7" t="n">
        <v>46280.45833333334</v>
      </c>
      <c r="C445" s="2" t="inlineStr">
        <is>
          <t>進場</t>
        </is>
      </c>
      <c r="D445" s="2" t="n">
        <v>223</v>
      </c>
      <c r="E445" s="2" t="inlineStr">
        <is>
          <t>牛来_USDT_PERP</t>
        </is>
      </c>
      <c r="F445" s="2" t="inlineStr">
        <is>
          <t>做空</t>
        </is>
      </c>
      <c r="G445" s="20" t="n">
        <v>0.1125</v>
      </c>
      <c r="H445" s="20" t="n">
        <v>0.109125</v>
      </c>
      <c r="I445" s="20" t="n">
        <v>0.118125</v>
      </c>
      <c r="J445" s="20" t="n"/>
      <c r="K445" s="2" t="n"/>
      <c r="L445" s="5" t="n"/>
      <c r="M445" s="19">
        <f>資金模擬!$B$5*V444</f>
        <v/>
      </c>
      <c r="N445" s="2">
        <f>IF(Z444=1,"已停止",IF(T444&gt;=M445,"已下單","資金不足略過"))</f>
        <v/>
      </c>
      <c r="O445" s="19">
        <f>IF(N445="已下單",M445*資金模擬!$B$7,0)</f>
        <v/>
      </c>
      <c r="P445" s="4" t="n"/>
      <c r="Q445" s="13" t="n">
        <v>0</v>
      </c>
      <c r="R445" s="13">
        <f>R444+Q445</f>
        <v/>
      </c>
      <c r="S445" s="19">
        <f>S444+IF(N445="已下單",M445,0)</f>
        <v/>
      </c>
      <c r="T445" s="19">
        <f>R445-S445</f>
        <v/>
      </c>
      <c r="U445" s="2">
        <f>U444+IF(N445="已下單",1,0)</f>
        <v/>
      </c>
      <c r="V445" s="19">
        <f>IF(資金模擬!$B$9=2,MAX(R445,0),MAX(V444,FLOOR(MAX(R445,0),資金模擬!$B$6)))</f>
        <v/>
      </c>
      <c r="W445" s="13">
        <f>MAX(W444,R445)</f>
        <v/>
      </c>
      <c r="X445" s="4">
        <f>IF(W445&gt;0,R445/W445-1,-1)</f>
        <v/>
      </c>
      <c r="Y445" s="19">
        <f>IF(R445&gt;0,S445*資金模擬!$B$7/R445,0)</f>
        <v/>
      </c>
      <c r="Z445" s="2">
        <f>IF(OR(Z444=1,R445&lt;=資金模擬!$B$10),1,0)</f>
        <v/>
      </c>
    </row>
    <row r="446">
      <c r="A446" s="2" t="n">
        <v>444</v>
      </c>
      <c r="B446" s="7" t="n">
        <v>46280.5</v>
      </c>
      <c r="C446" s="2" t="inlineStr">
        <is>
          <t>出場</t>
        </is>
      </c>
      <c r="D446" s="2" t="n">
        <v>222</v>
      </c>
      <c r="E446" s="2" t="inlineStr">
        <is>
          <t>LIT_USDT_PERP</t>
        </is>
      </c>
      <c r="F446" s="2" t="inlineStr">
        <is>
          <t>做多</t>
        </is>
      </c>
      <c r="G446" s="20" t="n">
        <v>4.538</v>
      </c>
      <c r="H446" s="20" t="n">
        <v>4.67414</v>
      </c>
      <c r="I446" s="20" t="n">
        <v>4.3111</v>
      </c>
      <c r="J446" s="20" t="n">
        <v>4.3111</v>
      </c>
      <c r="K446" s="2" t="inlineStr">
        <is>
          <t>止損</t>
        </is>
      </c>
      <c r="L446" s="5">
        <f>交易明細!K223</f>
        <v/>
      </c>
      <c r="M446" s="19">
        <f>M442</f>
        <v/>
      </c>
      <c r="N446" s="2">
        <f>N442</f>
        <v/>
      </c>
      <c r="O446" s="19">
        <f>O442</f>
        <v/>
      </c>
      <c r="P446" s="4">
        <f>交易明細!L223</f>
        <v/>
      </c>
      <c r="Q446" s="13">
        <f>IF(N446="已下單",O446*P446,0)</f>
        <v/>
      </c>
      <c r="R446" s="13">
        <f>R445+Q446</f>
        <v/>
      </c>
      <c r="S446" s="19">
        <f>S445-IF(N446="已下單",M446,0)</f>
        <v/>
      </c>
      <c r="T446" s="19">
        <f>R446-S446</f>
        <v/>
      </c>
      <c r="U446" s="2">
        <f>U445-IF(N446="已下單",1,0)</f>
        <v/>
      </c>
      <c r="V446" s="19">
        <f>IF(資金模擬!$B$9=2,MAX(R446,0),MAX(V445,FLOOR(MAX(R446,0),資金模擬!$B$6)))</f>
        <v/>
      </c>
      <c r="W446" s="13">
        <f>MAX(W445,R446)</f>
        <v/>
      </c>
      <c r="X446" s="4">
        <f>IF(W446&gt;0,R446/W446-1,-1)</f>
        <v/>
      </c>
      <c r="Y446" s="19">
        <f>IF(R446&gt;0,S446*資金模擬!$B$7/R446,0)</f>
        <v/>
      </c>
      <c r="Z446" s="2">
        <f>IF(OR(Z445=1,R446&lt;=資金模擬!$B$10),1,0)</f>
        <v/>
      </c>
    </row>
    <row r="447">
      <c r="A447" s="2" t="n">
        <v>445</v>
      </c>
      <c r="B447" s="7" t="n">
        <v>46280.5</v>
      </c>
      <c r="C447" s="2" t="inlineStr">
        <is>
          <t>出場</t>
        </is>
      </c>
      <c r="D447" s="2" t="n">
        <v>223</v>
      </c>
      <c r="E447" s="2" t="inlineStr">
        <is>
          <t>牛来_USDT_PERP</t>
        </is>
      </c>
      <c r="F447" s="2" t="inlineStr">
        <is>
          <t>做空</t>
        </is>
      </c>
      <c r="G447" s="20" t="n">
        <v>0.1125</v>
      </c>
      <c r="H447" s="20" t="n">
        <v>0.109125</v>
      </c>
      <c r="I447" s="20" t="n">
        <v>0.118125</v>
      </c>
      <c r="J447" s="20" t="n">
        <v>0.109125</v>
      </c>
      <c r="K447" s="2" t="inlineStr">
        <is>
          <t>止盈</t>
        </is>
      </c>
      <c r="L447" s="5">
        <f>交易明細!K224</f>
        <v/>
      </c>
      <c r="M447" s="19">
        <f>M445</f>
        <v/>
      </c>
      <c r="N447" s="2">
        <f>N445</f>
        <v/>
      </c>
      <c r="O447" s="19">
        <f>O445</f>
        <v/>
      </c>
      <c r="P447" s="4">
        <f>交易明細!L224</f>
        <v/>
      </c>
      <c r="Q447" s="13">
        <f>IF(N447="已下單",O447*P447,0)</f>
        <v/>
      </c>
      <c r="R447" s="13">
        <f>R446+Q447</f>
        <v/>
      </c>
      <c r="S447" s="19">
        <f>S446-IF(N447="已下單",M447,0)</f>
        <v/>
      </c>
      <c r="T447" s="19">
        <f>R447-S447</f>
        <v/>
      </c>
      <c r="U447" s="2">
        <f>U446-IF(N447="已下單",1,0)</f>
        <v/>
      </c>
      <c r="V447" s="19">
        <f>IF(資金模擬!$B$9=2,MAX(R447,0),MAX(V446,FLOOR(MAX(R447,0),資金模擬!$B$6)))</f>
        <v/>
      </c>
      <c r="W447" s="13">
        <f>MAX(W446,R447)</f>
        <v/>
      </c>
      <c r="X447" s="4">
        <f>IF(W447&gt;0,R447/W447-1,-1)</f>
        <v/>
      </c>
      <c r="Y447" s="19">
        <f>IF(R447&gt;0,S447*資金模擬!$B$7/R447,0)</f>
        <v/>
      </c>
      <c r="Z447" s="2">
        <f>IF(OR(Z446=1,R447&lt;=資金模擬!$B$10),1,0)</f>
        <v/>
      </c>
    </row>
    <row r="448">
      <c r="A448" s="2" t="n">
        <v>446</v>
      </c>
      <c r="B448" s="7" t="n">
        <v>46280.54166666666</v>
      </c>
      <c r="C448" s="2" t="inlineStr">
        <is>
          <t>出場</t>
        </is>
      </c>
      <c r="D448" s="2" t="n">
        <v>183</v>
      </c>
      <c r="E448" s="2" t="inlineStr">
        <is>
          <t>AERO_USDT_PERP</t>
        </is>
      </c>
      <c r="F448" s="2" t="inlineStr">
        <is>
          <t>做空</t>
        </is>
      </c>
      <c r="G448" s="20" t="n">
        <v>0.5694</v>
      </c>
      <c r="H448" s="20" t="n">
        <v>0.552318</v>
      </c>
      <c r="I448" s="20" t="n">
        <v>0.59787</v>
      </c>
      <c r="J448" s="20" t="n">
        <v>0.552318</v>
      </c>
      <c r="K448" s="2" t="inlineStr">
        <is>
          <t>止盈</t>
        </is>
      </c>
      <c r="L448" s="5">
        <f>交易明細!K184</f>
        <v/>
      </c>
      <c r="M448" s="19">
        <f>M364</f>
        <v/>
      </c>
      <c r="N448" s="2">
        <f>N364</f>
        <v/>
      </c>
      <c r="O448" s="19">
        <f>O364</f>
        <v/>
      </c>
      <c r="P448" s="4">
        <f>交易明細!L184</f>
        <v/>
      </c>
      <c r="Q448" s="13">
        <f>IF(N448="已下單",O448*P448,0)</f>
        <v/>
      </c>
      <c r="R448" s="13">
        <f>R447+Q448</f>
        <v/>
      </c>
      <c r="S448" s="19">
        <f>S447-IF(N448="已下單",M448,0)</f>
        <v/>
      </c>
      <c r="T448" s="19">
        <f>R448-S448</f>
        <v/>
      </c>
      <c r="U448" s="2">
        <f>U447-IF(N448="已下單",1,0)</f>
        <v/>
      </c>
      <c r="V448" s="19">
        <f>IF(資金模擬!$B$9=2,MAX(R448,0),MAX(V447,FLOOR(MAX(R448,0),資金模擬!$B$6)))</f>
        <v/>
      </c>
      <c r="W448" s="13">
        <f>MAX(W447,R448)</f>
        <v/>
      </c>
      <c r="X448" s="4">
        <f>IF(W448&gt;0,R448/W448-1,-1)</f>
        <v/>
      </c>
      <c r="Y448" s="19">
        <f>IF(R448&gt;0,S448*資金模擬!$B$7/R448,0)</f>
        <v/>
      </c>
      <c r="Z448" s="2">
        <f>IF(OR(Z447=1,R448&lt;=資金模擬!$B$10),1,0)</f>
        <v/>
      </c>
    </row>
    <row r="449">
      <c r="A449" s="2" t="n">
        <v>447</v>
      </c>
      <c r="B449" s="7" t="n">
        <v>46280.54166666666</v>
      </c>
      <c r="C449" s="2" t="inlineStr">
        <is>
          <t>進場</t>
        </is>
      </c>
      <c r="D449" s="2" t="n">
        <v>224</v>
      </c>
      <c r="E449" s="2" t="inlineStr">
        <is>
          <t>PONS_USDT_PERP</t>
        </is>
      </c>
      <c r="F449" s="2" t="inlineStr">
        <is>
          <t>做多</t>
        </is>
      </c>
      <c r="G449" s="20" t="n">
        <v>0.6313</v>
      </c>
      <c r="H449" s="20" t="n">
        <v>0.650239</v>
      </c>
      <c r="I449" s="20" t="n">
        <v>0.5997349999999999</v>
      </c>
      <c r="J449" s="20" t="n"/>
      <c r="K449" s="2" t="n"/>
      <c r="L449" s="5" t="n"/>
      <c r="M449" s="19">
        <f>資金模擬!$B$5*V448</f>
        <v/>
      </c>
      <c r="N449" s="2">
        <f>IF(Z448=1,"已停止",IF(T448&gt;=M449,"已下單","資金不足略過"))</f>
        <v/>
      </c>
      <c r="O449" s="19">
        <f>IF(N449="已下單",M449*資金模擬!$B$7,0)</f>
        <v/>
      </c>
      <c r="P449" s="4" t="n"/>
      <c r="Q449" s="13" t="n">
        <v>0</v>
      </c>
      <c r="R449" s="13">
        <f>R448+Q449</f>
        <v/>
      </c>
      <c r="S449" s="19">
        <f>S448+IF(N449="已下單",M449,0)</f>
        <v/>
      </c>
      <c r="T449" s="19">
        <f>R449-S449</f>
        <v/>
      </c>
      <c r="U449" s="2">
        <f>U448+IF(N449="已下單",1,0)</f>
        <v/>
      </c>
      <c r="V449" s="19">
        <f>IF(資金模擬!$B$9=2,MAX(R449,0),MAX(V448,FLOOR(MAX(R449,0),資金模擬!$B$6)))</f>
        <v/>
      </c>
      <c r="W449" s="13">
        <f>MAX(W448,R449)</f>
        <v/>
      </c>
      <c r="X449" s="4">
        <f>IF(W449&gt;0,R449/W449-1,-1)</f>
        <v/>
      </c>
      <c r="Y449" s="19">
        <f>IF(R449&gt;0,S449*資金模擬!$B$7/R449,0)</f>
        <v/>
      </c>
      <c r="Z449" s="2">
        <f>IF(OR(Z448=1,R449&lt;=資金模擬!$B$10),1,0)</f>
        <v/>
      </c>
    </row>
    <row r="450">
      <c r="A450" s="2" t="n">
        <v>448</v>
      </c>
      <c r="B450" s="7" t="n">
        <v>46280.54166666666</v>
      </c>
      <c r="C450" s="2" t="inlineStr">
        <is>
          <t>進場</t>
        </is>
      </c>
      <c r="D450" s="2" t="n">
        <v>225</v>
      </c>
      <c r="E450" s="2" t="inlineStr">
        <is>
          <t>USELESS_USDT_PERP</t>
        </is>
      </c>
      <c r="F450" s="2" t="inlineStr">
        <is>
          <t>做多</t>
        </is>
      </c>
      <c r="G450" s="20" t="n">
        <v>0.20512</v>
      </c>
      <c r="H450" s="20" t="n">
        <v>0.2112736</v>
      </c>
      <c r="I450" s="20" t="n">
        <v>0.194864</v>
      </c>
      <c r="J450" s="20" t="n"/>
      <c r="K450" s="2" t="n"/>
      <c r="L450" s="5" t="n"/>
      <c r="M450" s="19">
        <f>資金模擬!$B$5*V449</f>
        <v/>
      </c>
      <c r="N450" s="2">
        <f>IF(Z449=1,"已停止",IF(T449&gt;=M450,"已下單","資金不足略過"))</f>
        <v/>
      </c>
      <c r="O450" s="19">
        <f>IF(N450="已下單",M450*資金模擬!$B$7,0)</f>
        <v/>
      </c>
      <c r="P450" s="4" t="n"/>
      <c r="Q450" s="13" t="n">
        <v>0</v>
      </c>
      <c r="R450" s="13">
        <f>R449+Q450</f>
        <v/>
      </c>
      <c r="S450" s="19">
        <f>S449+IF(N450="已下單",M450,0)</f>
        <v/>
      </c>
      <c r="T450" s="19">
        <f>R450-S450</f>
        <v/>
      </c>
      <c r="U450" s="2">
        <f>U449+IF(N450="已下單",1,0)</f>
        <v/>
      </c>
      <c r="V450" s="19">
        <f>IF(資金模擬!$B$9=2,MAX(R450,0),MAX(V449,FLOOR(MAX(R450,0),資金模擬!$B$6)))</f>
        <v/>
      </c>
      <c r="W450" s="13">
        <f>MAX(W449,R450)</f>
        <v/>
      </c>
      <c r="X450" s="4">
        <f>IF(W450&gt;0,R450/W450-1,-1)</f>
        <v/>
      </c>
      <c r="Y450" s="19">
        <f>IF(R450&gt;0,S450*資金模擬!$B$7/R450,0)</f>
        <v/>
      </c>
      <c r="Z450" s="2">
        <f>IF(OR(Z449=1,R450&lt;=資金模擬!$B$10),1,0)</f>
        <v/>
      </c>
    </row>
    <row r="451">
      <c r="A451" s="2" t="n">
        <v>449</v>
      </c>
      <c r="B451" s="7" t="n">
        <v>46280.66666666666</v>
      </c>
      <c r="C451" s="2" t="inlineStr">
        <is>
          <t>出場</t>
        </is>
      </c>
      <c r="D451" s="2" t="n">
        <v>224</v>
      </c>
      <c r="E451" s="2" t="inlineStr">
        <is>
          <t>PONS_USDT_PERP</t>
        </is>
      </c>
      <c r="F451" s="2" t="inlineStr">
        <is>
          <t>做多</t>
        </is>
      </c>
      <c r="G451" s="20" t="n">
        <v>0.6313</v>
      </c>
      <c r="H451" s="20" t="n">
        <v>0.650239</v>
      </c>
      <c r="I451" s="20" t="n">
        <v>0.5997349999999999</v>
      </c>
      <c r="J451" s="20" t="n">
        <v>0.5997349999999999</v>
      </c>
      <c r="K451" s="2" t="inlineStr">
        <is>
          <t>止損</t>
        </is>
      </c>
      <c r="L451" s="5">
        <f>交易明細!K225</f>
        <v/>
      </c>
      <c r="M451" s="19">
        <f>M449</f>
        <v/>
      </c>
      <c r="N451" s="2">
        <f>N449</f>
        <v/>
      </c>
      <c r="O451" s="19">
        <f>O449</f>
        <v/>
      </c>
      <c r="P451" s="4">
        <f>交易明細!L225</f>
        <v/>
      </c>
      <c r="Q451" s="13">
        <f>IF(N451="已下單",O451*P451,0)</f>
        <v/>
      </c>
      <c r="R451" s="13">
        <f>R450+Q451</f>
        <v/>
      </c>
      <c r="S451" s="19">
        <f>S450-IF(N451="已下單",M451,0)</f>
        <v/>
      </c>
      <c r="T451" s="19">
        <f>R451-S451</f>
        <v/>
      </c>
      <c r="U451" s="2">
        <f>U450-IF(N451="已下單",1,0)</f>
        <v/>
      </c>
      <c r="V451" s="19">
        <f>IF(資金模擬!$B$9=2,MAX(R451,0),MAX(V450,FLOOR(MAX(R451,0),資金模擬!$B$6)))</f>
        <v/>
      </c>
      <c r="W451" s="13">
        <f>MAX(W450,R451)</f>
        <v/>
      </c>
      <c r="X451" s="4">
        <f>IF(W451&gt;0,R451/W451-1,-1)</f>
        <v/>
      </c>
      <c r="Y451" s="19">
        <f>IF(R451&gt;0,S451*資金模擬!$B$7/R451,0)</f>
        <v/>
      </c>
      <c r="Z451" s="2">
        <f>IF(OR(Z450=1,R451&lt;=資金模擬!$B$10),1,0)</f>
        <v/>
      </c>
    </row>
    <row r="452">
      <c r="A452" s="2" t="n">
        <v>450</v>
      </c>
      <c r="B452" s="7" t="n">
        <v>46280.75</v>
      </c>
      <c r="C452" s="2" t="inlineStr">
        <is>
          <t>進場</t>
        </is>
      </c>
      <c r="D452" s="2" t="n">
        <v>226</v>
      </c>
      <c r="E452" s="2" t="inlineStr">
        <is>
          <t>LSK_USDT_PERP</t>
        </is>
      </c>
      <c r="F452" s="2" t="inlineStr">
        <is>
          <t>做空</t>
        </is>
      </c>
      <c r="G452" s="20" t="n">
        <v>0.3894</v>
      </c>
      <c r="H452" s="20" t="n">
        <v>0.377718</v>
      </c>
      <c r="I452" s="20" t="n">
        <v>0.4088700000000001</v>
      </c>
      <c r="J452" s="20" t="n"/>
      <c r="K452" s="2" t="n"/>
      <c r="L452" s="5" t="n"/>
      <c r="M452" s="19">
        <f>資金模擬!$B$5*V451</f>
        <v/>
      </c>
      <c r="N452" s="2">
        <f>IF(Z451=1,"已停止",IF(T451&gt;=M452,"已下單","資金不足略過"))</f>
        <v/>
      </c>
      <c r="O452" s="19">
        <f>IF(N452="已下單",M452*資金模擬!$B$7,0)</f>
        <v/>
      </c>
      <c r="P452" s="4" t="n"/>
      <c r="Q452" s="13" t="n">
        <v>0</v>
      </c>
      <c r="R452" s="13">
        <f>R451+Q452</f>
        <v/>
      </c>
      <c r="S452" s="19">
        <f>S451+IF(N452="已下單",M452,0)</f>
        <v/>
      </c>
      <c r="T452" s="19">
        <f>R452-S452</f>
        <v/>
      </c>
      <c r="U452" s="2">
        <f>U451+IF(N452="已下單",1,0)</f>
        <v/>
      </c>
      <c r="V452" s="19">
        <f>IF(資金模擬!$B$9=2,MAX(R452,0),MAX(V451,FLOOR(MAX(R452,0),資金模擬!$B$6)))</f>
        <v/>
      </c>
      <c r="W452" s="13">
        <f>MAX(W451,R452)</f>
        <v/>
      </c>
      <c r="X452" s="4">
        <f>IF(W452&gt;0,R452/W452-1,-1)</f>
        <v/>
      </c>
      <c r="Y452" s="19">
        <f>IF(R452&gt;0,S452*資金模擬!$B$7/R452,0)</f>
        <v/>
      </c>
      <c r="Z452" s="2">
        <f>IF(OR(Z451=1,R452&lt;=資金模擬!$B$10),1,0)</f>
        <v/>
      </c>
    </row>
    <row r="453">
      <c r="A453" s="2" t="n">
        <v>451</v>
      </c>
      <c r="B453" s="7" t="n">
        <v>46280.79166666666</v>
      </c>
      <c r="C453" s="2" t="inlineStr">
        <is>
          <t>出場</t>
        </is>
      </c>
      <c r="D453" s="2" t="n">
        <v>226</v>
      </c>
      <c r="E453" s="2" t="inlineStr">
        <is>
          <t>LSK_USDT_PERP</t>
        </is>
      </c>
      <c r="F453" s="2" t="inlineStr">
        <is>
          <t>做空</t>
        </is>
      </c>
      <c r="G453" s="20" t="n">
        <v>0.3894</v>
      </c>
      <c r="H453" s="20" t="n">
        <v>0.377718</v>
      </c>
      <c r="I453" s="20" t="n">
        <v>0.4088700000000001</v>
      </c>
      <c r="J453" s="20" t="n">
        <v>0.377718</v>
      </c>
      <c r="K453" s="2" t="inlineStr">
        <is>
          <t>止盈</t>
        </is>
      </c>
      <c r="L453" s="5">
        <f>交易明細!K227</f>
        <v/>
      </c>
      <c r="M453" s="19">
        <f>M452</f>
        <v/>
      </c>
      <c r="N453" s="2">
        <f>N452</f>
        <v/>
      </c>
      <c r="O453" s="19">
        <f>O452</f>
        <v/>
      </c>
      <c r="P453" s="4">
        <f>交易明細!L227</f>
        <v/>
      </c>
      <c r="Q453" s="13">
        <f>IF(N453="已下單",O453*P453,0)</f>
        <v/>
      </c>
      <c r="R453" s="13">
        <f>R452+Q453</f>
        <v/>
      </c>
      <c r="S453" s="19">
        <f>S452-IF(N453="已下單",M453,0)</f>
        <v/>
      </c>
      <c r="T453" s="19">
        <f>R453-S453</f>
        <v/>
      </c>
      <c r="U453" s="2">
        <f>U452-IF(N453="已下單",1,0)</f>
        <v/>
      </c>
      <c r="V453" s="19">
        <f>IF(資金模擬!$B$9=2,MAX(R453,0),MAX(V452,FLOOR(MAX(R453,0),資金模擬!$B$6)))</f>
        <v/>
      </c>
      <c r="W453" s="13">
        <f>MAX(W452,R453)</f>
        <v/>
      </c>
      <c r="X453" s="4">
        <f>IF(W453&gt;0,R453/W453-1,-1)</f>
        <v/>
      </c>
      <c r="Y453" s="19">
        <f>IF(R453&gt;0,S453*資金模擬!$B$7/R453,0)</f>
        <v/>
      </c>
      <c r="Z453" s="2">
        <f>IF(OR(Z452=1,R453&lt;=資金模擬!$B$10),1,0)</f>
        <v/>
      </c>
    </row>
    <row r="454">
      <c r="A454" s="2" t="n">
        <v>452</v>
      </c>
      <c r="B454" s="7" t="n">
        <v>46280.79166666666</v>
      </c>
      <c r="C454" s="2" t="inlineStr">
        <is>
          <t>進場</t>
        </is>
      </c>
      <c r="D454" s="2" t="n">
        <v>227</v>
      </c>
      <c r="E454" s="2" t="inlineStr">
        <is>
          <t>CAP_USDT_PERP</t>
        </is>
      </c>
      <c r="F454" s="2" t="inlineStr">
        <is>
          <t>做空</t>
        </is>
      </c>
      <c r="G454" s="20" t="n">
        <v>0.06137</v>
      </c>
      <c r="H454" s="20" t="n">
        <v>0.0595289</v>
      </c>
      <c r="I454" s="20" t="n">
        <v>0.06443850000000001</v>
      </c>
      <c r="J454" s="20" t="n"/>
      <c r="K454" s="2" t="n"/>
      <c r="L454" s="5" t="n"/>
      <c r="M454" s="19">
        <f>資金模擬!$B$5*V453</f>
        <v/>
      </c>
      <c r="N454" s="2">
        <f>IF(Z453=1,"已停止",IF(T453&gt;=M454,"已下單","資金不足略過"))</f>
        <v/>
      </c>
      <c r="O454" s="19">
        <f>IF(N454="已下單",M454*資金模擬!$B$7,0)</f>
        <v/>
      </c>
      <c r="P454" s="4" t="n"/>
      <c r="Q454" s="13" t="n">
        <v>0</v>
      </c>
      <c r="R454" s="13">
        <f>R453+Q454</f>
        <v/>
      </c>
      <c r="S454" s="19">
        <f>S453+IF(N454="已下單",M454,0)</f>
        <v/>
      </c>
      <c r="T454" s="19">
        <f>R454-S454</f>
        <v/>
      </c>
      <c r="U454" s="2">
        <f>U453+IF(N454="已下單",1,0)</f>
        <v/>
      </c>
      <c r="V454" s="19">
        <f>IF(資金模擬!$B$9=2,MAX(R454,0),MAX(V453,FLOOR(MAX(R454,0),資金模擬!$B$6)))</f>
        <v/>
      </c>
      <c r="W454" s="13">
        <f>MAX(W453,R454)</f>
        <v/>
      </c>
      <c r="X454" s="4">
        <f>IF(W454&gt;0,R454/W454-1,-1)</f>
        <v/>
      </c>
      <c r="Y454" s="19">
        <f>IF(R454&gt;0,S454*資金模擬!$B$7/R454,0)</f>
        <v/>
      </c>
      <c r="Z454" s="2">
        <f>IF(OR(Z453=1,R454&lt;=資金模擬!$B$10),1,0)</f>
        <v/>
      </c>
    </row>
    <row r="455">
      <c r="A455" s="2" t="n">
        <v>453</v>
      </c>
      <c r="B455" s="7" t="n">
        <v>46280.875</v>
      </c>
      <c r="C455" s="2" t="inlineStr">
        <is>
          <t>出場</t>
        </is>
      </c>
      <c r="D455" s="2" t="n">
        <v>225</v>
      </c>
      <c r="E455" s="2" t="inlineStr">
        <is>
          <t>USELESS_USDT_PERP</t>
        </is>
      </c>
      <c r="F455" s="2" t="inlineStr">
        <is>
          <t>做多</t>
        </is>
      </c>
      <c r="G455" s="20" t="n">
        <v>0.20512</v>
      </c>
      <c r="H455" s="20" t="n">
        <v>0.2112736</v>
      </c>
      <c r="I455" s="20" t="n">
        <v>0.194864</v>
      </c>
      <c r="J455" s="20" t="n">
        <v>0.2112736</v>
      </c>
      <c r="K455" s="2" t="inlineStr">
        <is>
          <t>止盈</t>
        </is>
      </c>
      <c r="L455" s="5">
        <f>交易明細!K226</f>
        <v/>
      </c>
      <c r="M455" s="19">
        <f>M450</f>
        <v/>
      </c>
      <c r="N455" s="2">
        <f>N450</f>
        <v/>
      </c>
      <c r="O455" s="19">
        <f>O450</f>
        <v/>
      </c>
      <c r="P455" s="4">
        <f>交易明細!L226</f>
        <v/>
      </c>
      <c r="Q455" s="13">
        <f>IF(N455="已下單",O455*P455,0)</f>
        <v/>
      </c>
      <c r="R455" s="13">
        <f>R454+Q455</f>
        <v/>
      </c>
      <c r="S455" s="19">
        <f>S454-IF(N455="已下單",M455,0)</f>
        <v/>
      </c>
      <c r="T455" s="19">
        <f>R455-S455</f>
        <v/>
      </c>
      <c r="U455" s="2">
        <f>U454-IF(N455="已下單",1,0)</f>
        <v/>
      </c>
      <c r="V455" s="19">
        <f>IF(資金模擬!$B$9=2,MAX(R455,0),MAX(V454,FLOOR(MAX(R455,0),資金模擬!$B$6)))</f>
        <v/>
      </c>
      <c r="W455" s="13">
        <f>MAX(W454,R455)</f>
        <v/>
      </c>
      <c r="X455" s="4">
        <f>IF(W455&gt;0,R455/W455-1,-1)</f>
        <v/>
      </c>
      <c r="Y455" s="19">
        <f>IF(R455&gt;0,S455*資金模擬!$B$7/R455,0)</f>
        <v/>
      </c>
      <c r="Z455" s="2">
        <f>IF(OR(Z454=1,R455&lt;=資金模擬!$B$10),1,0)</f>
        <v/>
      </c>
    </row>
    <row r="456">
      <c r="A456" s="2" t="n">
        <v>454</v>
      </c>
      <c r="B456" s="7" t="n">
        <v>46280.875</v>
      </c>
      <c r="C456" s="2" t="inlineStr">
        <is>
          <t>出場</t>
        </is>
      </c>
      <c r="D456" s="2" t="n">
        <v>227</v>
      </c>
      <c r="E456" s="2" t="inlineStr">
        <is>
          <t>CAP_USDT_PERP</t>
        </is>
      </c>
      <c r="F456" s="2" t="inlineStr">
        <is>
          <t>做空</t>
        </is>
      </c>
      <c r="G456" s="20" t="n">
        <v>0.06137</v>
      </c>
      <c r="H456" s="20" t="n">
        <v>0.0595289</v>
      </c>
      <c r="I456" s="20" t="n">
        <v>0.06443850000000001</v>
      </c>
      <c r="J456" s="20" t="n">
        <v>0.06443850000000001</v>
      </c>
      <c r="K456" s="2" t="inlineStr">
        <is>
          <t>止損</t>
        </is>
      </c>
      <c r="L456" s="5">
        <f>交易明細!K228</f>
        <v/>
      </c>
      <c r="M456" s="19">
        <f>M454</f>
        <v/>
      </c>
      <c r="N456" s="2">
        <f>N454</f>
        <v/>
      </c>
      <c r="O456" s="19">
        <f>O454</f>
        <v/>
      </c>
      <c r="P456" s="4">
        <f>交易明細!L228</f>
        <v/>
      </c>
      <c r="Q456" s="13">
        <f>IF(N456="已下單",O456*P456,0)</f>
        <v/>
      </c>
      <c r="R456" s="13">
        <f>R455+Q456</f>
        <v/>
      </c>
      <c r="S456" s="19">
        <f>S455-IF(N456="已下單",M456,0)</f>
        <v/>
      </c>
      <c r="T456" s="19">
        <f>R456-S456</f>
        <v/>
      </c>
      <c r="U456" s="2">
        <f>U455-IF(N456="已下單",1,0)</f>
        <v/>
      </c>
      <c r="V456" s="19">
        <f>IF(資金模擬!$B$9=2,MAX(R456,0),MAX(V455,FLOOR(MAX(R456,0),資金模擬!$B$6)))</f>
        <v/>
      </c>
      <c r="W456" s="13">
        <f>MAX(W455,R456)</f>
        <v/>
      </c>
      <c r="X456" s="4">
        <f>IF(W456&gt;0,R456/W456-1,-1)</f>
        <v/>
      </c>
      <c r="Y456" s="19">
        <f>IF(R456&gt;0,S456*資金模擬!$B$7/R456,0)</f>
        <v/>
      </c>
      <c r="Z456" s="2">
        <f>IF(OR(Z455=1,R456&lt;=資金模擬!$B$10),1,0)</f>
        <v/>
      </c>
    </row>
    <row r="457">
      <c r="A457" s="2" t="n">
        <v>455</v>
      </c>
      <c r="B457" s="7" t="n">
        <v>46280.91666666666</v>
      </c>
      <c r="C457" s="2" t="inlineStr">
        <is>
          <t>進場</t>
        </is>
      </c>
      <c r="D457" s="2" t="n">
        <v>228</v>
      </c>
      <c r="E457" s="2" t="inlineStr">
        <is>
          <t>牛来_USDT_PERP</t>
        </is>
      </c>
      <c r="F457" s="2" t="inlineStr">
        <is>
          <t>做空</t>
        </is>
      </c>
      <c r="G457" s="20" t="n">
        <v>0.11513</v>
      </c>
      <c r="H457" s="20" t="n">
        <v>0.1116761</v>
      </c>
      <c r="I457" s="20" t="n">
        <v>0.1208865</v>
      </c>
      <c r="J457" s="20" t="n"/>
      <c r="K457" s="2" t="n"/>
      <c r="L457" s="5" t="n"/>
      <c r="M457" s="19">
        <f>資金模擬!$B$5*V456</f>
        <v/>
      </c>
      <c r="N457" s="2">
        <f>IF(Z456=1,"已停止",IF(T456&gt;=M457,"已下單","資金不足略過"))</f>
        <v/>
      </c>
      <c r="O457" s="19">
        <f>IF(N457="已下單",M457*資金模擬!$B$7,0)</f>
        <v/>
      </c>
      <c r="P457" s="4" t="n"/>
      <c r="Q457" s="13" t="n">
        <v>0</v>
      </c>
      <c r="R457" s="13">
        <f>R456+Q457</f>
        <v/>
      </c>
      <c r="S457" s="19">
        <f>S456+IF(N457="已下單",M457,0)</f>
        <v/>
      </c>
      <c r="T457" s="19">
        <f>R457-S457</f>
        <v/>
      </c>
      <c r="U457" s="2">
        <f>U456+IF(N457="已下單",1,0)</f>
        <v/>
      </c>
      <c r="V457" s="19">
        <f>IF(資金模擬!$B$9=2,MAX(R457,0),MAX(V456,FLOOR(MAX(R457,0),資金模擬!$B$6)))</f>
        <v/>
      </c>
      <c r="W457" s="13">
        <f>MAX(W456,R457)</f>
        <v/>
      </c>
      <c r="X457" s="4">
        <f>IF(W457&gt;0,R457/W457-1,-1)</f>
        <v/>
      </c>
      <c r="Y457" s="19">
        <f>IF(R457&gt;0,S457*資金模擬!$B$7/R457,0)</f>
        <v/>
      </c>
      <c r="Z457" s="2">
        <f>IF(OR(Z456=1,R457&lt;=資金模擬!$B$10),1,0)</f>
        <v/>
      </c>
    </row>
    <row r="458">
      <c r="A458" s="2" t="n">
        <v>456</v>
      </c>
      <c r="B458" s="7" t="n">
        <v>46280.95833333334</v>
      </c>
      <c r="C458" s="2" t="inlineStr">
        <is>
          <t>出場</t>
        </is>
      </c>
      <c r="D458" s="2" t="n">
        <v>228</v>
      </c>
      <c r="E458" s="2" t="inlineStr">
        <is>
          <t>牛来_USDT_PERP</t>
        </is>
      </c>
      <c r="F458" s="2" t="inlineStr">
        <is>
          <t>做空</t>
        </is>
      </c>
      <c r="G458" s="20" t="n">
        <v>0.11513</v>
      </c>
      <c r="H458" s="20" t="n">
        <v>0.1116761</v>
      </c>
      <c r="I458" s="20" t="n">
        <v>0.1208865</v>
      </c>
      <c r="J458" s="20" t="n">
        <v>0.1116761</v>
      </c>
      <c r="K458" s="2" t="inlineStr">
        <is>
          <t>止盈</t>
        </is>
      </c>
      <c r="L458" s="5">
        <f>交易明細!K229</f>
        <v/>
      </c>
      <c r="M458" s="19">
        <f>M457</f>
        <v/>
      </c>
      <c r="N458" s="2">
        <f>N457</f>
        <v/>
      </c>
      <c r="O458" s="19">
        <f>O457</f>
        <v/>
      </c>
      <c r="P458" s="4">
        <f>交易明細!L229</f>
        <v/>
      </c>
      <c r="Q458" s="13">
        <f>IF(N458="已下單",O458*P458,0)</f>
        <v/>
      </c>
      <c r="R458" s="13">
        <f>R457+Q458</f>
        <v/>
      </c>
      <c r="S458" s="19">
        <f>S457-IF(N458="已下單",M458,0)</f>
        <v/>
      </c>
      <c r="T458" s="19">
        <f>R458-S458</f>
        <v/>
      </c>
      <c r="U458" s="2">
        <f>U457-IF(N458="已下單",1,0)</f>
        <v/>
      </c>
      <c r="V458" s="19">
        <f>IF(資金模擬!$B$9=2,MAX(R458,0),MAX(V457,FLOOR(MAX(R458,0),資金模擬!$B$6)))</f>
        <v/>
      </c>
      <c r="W458" s="13">
        <f>MAX(W457,R458)</f>
        <v/>
      </c>
      <c r="X458" s="4">
        <f>IF(W458&gt;0,R458/W458-1,-1)</f>
        <v/>
      </c>
      <c r="Y458" s="19">
        <f>IF(R458&gt;0,S458*資金模擬!$B$7/R458,0)</f>
        <v/>
      </c>
      <c r="Z458" s="2">
        <f>IF(OR(Z457=1,R458&lt;=資金模擬!$B$10),1,0)</f>
        <v/>
      </c>
    </row>
    <row r="459">
      <c r="A459" s="2" t="n">
        <v>457</v>
      </c>
      <c r="B459" s="7" t="n">
        <v>46280.95833333334</v>
      </c>
      <c r="C459" s="2" t="inlineStr">
        <is>
          <t>進場</t>
        </is>
      </c>
      <c r="D459" s="2" t="n">
        <v>229</v>
      </c>
      <c r="E459" s="2" t="inlineStr">
        <is>
          <t>LIT_USDT_PERP</t>
        </is>
      </c>
      <c r="F459" s="2" t="inlineStr">
        <is>
          <t>做空</t>
        </is>
      </c>
      <c r="G459" s="20" t="n">
        <v>4.209</v>
      </c>
      <c r="H459" s="20" t="n">
        <v>4.08273</v>
      </c>
      <c r="I459" s="20" t="n">
        <v>4.419449999999999</v>
      </c>
      <c r="J459" s="20" t="n"/>
      <c r="K459" s="2" t="n"/>
      <c r="L459" s="5" t="n"/>
      <c r="M459" s="19">
        <f>資金模擬!$B$5*V458</f>
        <v/>
      </c>
      <c r="N459" s="2">
        <f>IF(Z458=1,"已停止",IF(T458&gt;=M459,"已下單","資金不足略過"))</f>
        <v/>
      </c>
      <c r="O459" s="19">
        <f>IF(N459="已下單",M459*資金模擬!$B$7,0)</f>
        <v/>
      </c>
      <c r="P459" s="4" t="n"/>
      <c r="Q459" s="13" t="n">
        <v>0</v>
      </c>
      <c r="R459" s="13">
        <f>R458+Q459</f>
        <v/>
      </c>
      <c r="S459" s="19">
        <f>S458+IF(N459="已下單",M459,0)</f>
        <v/>
      </c>
      <c r="T459" s="19">
        <f>R459-S459</f>
        <v/>
      </c>
      <c r="U459" s="2">
        <f>U458+IF(N459="已下單",1,0)</f>
        <v/>
      </c>
      <c r="V459" s="19">
        <f>IF(資金模擬!$B$9=2,MAX(R459,0),MAX(V458,FLOOR(MAX(R459,0),資金模擬!$B$6)))</f>
        <v/>
      </c>
      <c r="W459" s="13">
        <f>MAX(W458,R459)</f>
        <v/>
      </c>
      <c r="X459" s="4">
        <f>IF(W459&gt;0,R459/W459-1,-1)</f>
        <v/>
      </c>
      <c r="Y459" s="19">
        <f>IF(R459&gt;0,S459*資金模擬!$B$7/R459,0)</f>
        <v/>
      </c>
      <c r="Z459" s="2">
        <f>IF(OR(Z458=1,R459&lt;=資金模擬!$B$10),1,0)</f>
        <v/>
      </c>
    </row>
    <row r="460">
      <c r="A460" s="2" t="n">
        <v>458</v>
      </c>
      <c r="B460" s="7" t="n">
        <v>46280.95833333334</v>
      </c>
      <c r="C460" s="2" t="inlineStr">
        <is>
          <t>進場</t>
        </is>
      </c>
      <c r="D460" s="2" t="n">
        <v>230</v>
      </c>
      <c r="E460" s="2" t="inlineStr">
        <is>
          <t>PONS_USDT_PERP</t>
        </is>
      </c>
      <c r="F460" s="2" t="inlineStr">
        <is>
          <t>做空</t>
        </is>
      </c>
      <c r="G460" s="20" t="n">
        <v>0.6319</v>
      </c>
      <c r="H460" s="20" t="n">
        <v>0.612943</v>
      </c>
      <c r="I460" s="20" t="n">
        <v>0.6634950000000001</v>
      </c>
      <c r="J460" s="20" t="n"/>
      <c r="K460" s="2" t="n"/>
      <c r="L460" s="5" t="n"/>
      <c r="M460" s="19">
        <f>資金模擬!$B$5*V459</f>
        <v/>
      </c>
      <c r="N460" s="2">
        <f>IF(Z459=1,"已停止",IF(T459&gt;=M460,"已下單","資金不足略過"))</f>
        <v/>
      </c>
      <c r="O460" s="19">
        <f>IF(N460="已下單",M460*資金模擬!$B$7,0)</f>
        <v/>
      </c>
      <c r="P460" s="4" t="n"/>
      <c r="Q460" s="13" t="n">
        <v>0</v>
      </c>
      <c r="R460" s="13">
        <f>R459+Q460</f>
        <v/>
      </c>
      <c r="S460" s="19">
        <f>S459+IF(N460="已下單",M460,0)</f>
        <v/>
      </c>
      <c r="T460" s="19">
        <f>R460-S460</f>
        <v/>
      </c>
      <c r="U460" s="2">
        <f>U459+IF(N460="已下單",1,0)</f>
        <v/>
      </c>
      <c r="V460" s="19">
        <f>IF(資金模擬!$B$9=2,MAX(R460,0),MAX(V459,FLOOR(MAX(R460,0),資金模擬!$B$6)))</f>
        <v/>
      </c>
      <c r="W460" s="13">
        <f>MAX(W459,R460)</f>
        <v/>
      </c>
      <c r="X460" s="4">
        <f>IF(W460&gt;0,R460/W460-1,-1)</f>
        <v/>
      </c>
      <c r="Y460" s="19">
        <f>IF(R460&gt;0,S460*資金模擬!$B$7/R460,0)</f>
        <v/>
      </c>
      <c r="Z460" s="2">
        <f>IF(OR(Z459=1,R460&lt;=資金模擬!$B$10),1,0)</f>
        <v/>
      </c>
    </row>
    <row r="461">
      <c r="A461" s="2" t="n">
        <v>459</v>
      </c>
      <c r="B461" s="7" t="n">
        <v>46280.95833333334</v>
      </c>
      <c r="C461" s="2" t="inlineStr">
        <is>
          <t>進場</t>
        </is>
      </c>
      <c r="D461" s="2" t="n">
        <v>231</v>
      </c>
      <c r="E461" s="2" t="inlineStr">
        <is>
          <t>UNI_USDT_PERP</t>
        </is>
      </c>
      <c r="F461" s="2" t="inlineStr">
        <is>
          <t>做空</t>
        </is>
      </c>
      <c r="G461" s="20" t="n">
        <v>6.252</v>
      </c>
      <c r="H461" s="20" t="n">
        <v>6.064439999999999</v>
      </c>
      <c r="I461" s="20" t="n">
        <v>6.5646</v>
      </c>
      <c r="J461" s="20" t="n"/>
      <c r="K461" s="2" t="n"/>
      <c r="L461" s="5" t="n"/>
      <c r="M461" s="19">
        <f>資金模擬!$B$5*V460</f>
        <v/>
      </c>
      <c r="N461" s="2">
        <f>IF(Z460=1,"已停止",IF(T460&gt;=M461,"已下單","資金不足略過"))</f>
        <v/>
      </c>
      <c r="O461" s="19">
        <f>IF(N461="已下單",M461*資金模擬!$B$7,0)</f>
        <v/>
      </c>
      <c r="P461" s="4" t="n"/>
      <c r="Q461" s="13" t="n">
        <v>0</v>
      </c>
      <c r="R461" s="13">
        <f>R460+Q461</f>
        <v/>
      </c>
      <c r="S461" s="19">
        <f>S460+IF(N461="已下單",M461,0)</f>
        <v/>
      </c>
      <c r="T461" s="19">
        <f>R461-S461</f>
        <v/>
      </c>
      <c r="U461" s="2">
        <f>U460+IF(N461="已下單",1,0)</f>
        <v/>
      </c>
      <c r="V461" s="19">
        <f>IF(資金模擬!$B$9=2,MAX(R461,0),MAX(V460,FLOOR(MAX(R461,0),資金模擬!$B$6)))</f>
        <v/>
      </c>
      <c r="W461" s="13">
        <f>MAX(W460,R461)</f>
        <v/>
      </c>
      <c r="X461" s="4">
        <f>IF(W461&gt;0,R461/W461-1,-1)</f>
        <v/>
      </c>
      <c r="Y461" s="19">
        <f>IF(R461&gt;0,S461*資金模擬!$B$7/R461,0)</f>
        <v/>
      </c>
      <c r="Z461" s="2">
        <f>IF(OR(Z460=1,R461&lt;=資金模擬!$B$10),1,0)</f>
        <v/>
      </c>
    </row>
    <row r="462">
      <c r="A462" s="2" t="n">
        <v>460</v>
      </c>
      <c r="B462" s="7" t="n">
        <v>46281</v>
      </c>
      <c r="C462" s="2" t="inlineStr">
        <is>
          <t>進場</t>
        </is>
      </c>
      <c r="D462" s="2" t="n">
        <v>232</v>
      </c>
      <c r="E462" s="2" t="inlineStr">
        <is>
          <t>POWER_USDT_PERP</t>
        </is>
      </c>
      <c r="F462" s="2" t="inlineStr">
        <is>
          <t>做多</t>
        </is>
      </c>
      <c r="G462" s="20" t="n">
        <v>0.17359</v>
      </c>
      <c r="H462" s="20" t="n">
        <v>0.1787977</v>
      </c>
      <c r="I462" s="20" t="n">
        <v>0.1649105</v>
      </c>
      <c r="J462" s="20" t="n"/>
      <c r="K462" s="2" t="n"/>
      <c r="L462" s="5" t="n"/>
      <c r="M462" s="19">
        <f>資金模擬!$B$5*V461</f>
        <v/>
      </c>
      <c r="N462" s="2">
        <f>IF(Z461=1,"已停止",IF(T461&gt;=M462,"已下單","資金不足略過"))</f>
        <v/>
      </c>
      <c r="O462" s="19">
        <f>IF(N462="已下單",M462*資金模擬!$B$7,0)</f>
        <v/>
      </c>
      <c r="P462" s="4" t="n"/>
      <c r="Q462" s="13" t="n">
        <v>0</v>
      </c>
      <c r="R462" s="13">
        <f>R461+Q462</f>
        <v/>
      </c>
      <c r="S462" s="19">
        <f>S461+IF(N462="已下單",M462,0)</f>
        <v/>
      </c>
      <c r="T462" s="19">
        <f>R462-S462</f>
        <v/>
      </c>
      <c r="U462" s="2">
        <f>U461+IF(N462="已下單",1,0)</f>
        <v/>
      </c>
      <c r="V462" s="19">
        <f>IF(資金模擬!$B$9=2,MAX(R462,0),MAX(V461,FLOOR(MAX(R462,0),資金模擬!$B$6)))</f>
        <v/>
      </c>
      <c r="W462" s="13">
        <f>MAX(W461,R462)</f>
        <v/>
      </c>
      <c r="X462" s="4">
        <f>IF(W462&gt;0,R462/W462-1,-1)</f>
        <v/>
      </c>
      <c r="Y462" s="19">
        <f>IF(R462&gt;0,S462*資金模擬!$B$7/R462,0)</f>
        <v/>
      </c>
      <c r="Z462" s="2">
        <f>IF(OR(Z461=1,R462&lt;=資金模擬!$B$10),1,0)</f>
        <v/>
      </c>
    </row>
    <row r="463">
      <c r="A463" s="2" t="n">
        <v>461</v>
      </c>
      <c r="B463" s="7" t="n">
        <v>46281.04166666666</v>
      </c>
      <c r="C463" s="2" t="inlineStr">
        <is>
          <t>出場</t>
        </is>
      </c>
      <c r="D463" s="2" t="n">
        <v>229</v>
      </c>
      <c r="E463" s="2" t="inlineStr">
        <is>
          <t>LIT_USDT_PERP</t>
        </is>
      </c>
      <c r="F463" s="2" t="inlineStr">
        <is>
          <t>做空</t>
        </is>
      </c>
      <c r="G463" s="20" t="n">
        <v>4.209</v>
      </c>
      <c r="H463" s="20" t="n">
        <v>4.08273</v>
      </c>
      <c r="I463" s="20" t="n">
        <v>4.419449999999999</v>
      </c>
      <c r="J463" s="20" t="n">
        <v>4.08273</v>
      </c>
      <c r="K463" s="2" t="inlineStr">
        <is>
          <t>止盈</t>
        </is>
      </c>
      <c r="L463" s="5">
        <f>交易明細!K230</f>
        <v/>
      </c>
      <c r="M463" s="19">
        <f>M459</f>
        <v/>
      </c>
      <c r="N463" s="2">
        <f>N459</f>
        <v/>
      </c>
      <c r="O463" s="19">
        <f>O459</f>
        <v/>
      </c>
      <c r="P463" s="4">
        <f>交易明細!L230</f>
        <v/>
      </c>
      <c r="Q463" s="13">
        <f>IF(N463="已下單",O463*P463,0)</f>
        <v/>
      </c>
      <c r="R463" s="13">
        <f>R462+Q463</f>
        <v/>
      </c>
      <c r="S463" s="19">
        <f>S462-IF(N463="已下單",M463,0)</f>
        <v/>
      </c>
      <c r="T463" s="19">
        <f>R463-S463</f>
        <v/>
      </c>
      <c r="U463" s="2">
        <f>U462-IF(N463="已下單",1,0)</f>
        <v/>
      </c>
      <c r="V463" s="19">
        <f>IF(資金模擬!$B$9=2,MAX(R463,0),MAX(V462,FLOOR(MAX(R463,0),資金模擬!$B$6)))</f>
        <v/>
      </c>
      <c r="W463" s="13">
        <f>MAX(W462,R463)</f>
        <v/>
      </c>
      <c r="X463" s="4">
        <f>IF(W463&gt;0,R463/W463-1,-1)</f>
        <v/>
      </c>
      <c r="Y463" s="19">
        <f>IF(R463&gt;0,S463*資金模擬!$B$7/R463,0)</f>
        <v/>
      </c>
      <c r="Z463" s="2">
        <f>IF(OR(Z462=1,R463&lt;=資金模擬!$B$10),1,0)</f>
        <v/>
      </c>
    </row>
    <row r="464">
      <c r="A464" s="2" t="n">
        <v>462</v>
      </c>
      <c r="B464" s="7" t="n">
        <v>46281.04166666666</v>
      </c>
      <c r="C464" s="2" t="inlineStr">
        <is>
          <t>出場</t>
        </is>
      </c>
      <c r="D464" s="2" t="n">
        <v>230</v>
      </c>
      <c r="E464" s="2" t="inlineStr">
        <is>
          <t>PONS_USDT_PERP</t>
        </is>
      </c>
      <c r="F464" s="2" t="inlineStr">
        <is>
          <t>做空</t>
        </is>
      </c>
      <c r="G464" s="20" t="n">
        <v>0.6319</v>
      </c>
      <c r="H464" s="20" t="n">
        <v>0.612943</v>
      </c>
      <c r="I464" s="20" t="n">
        <v>0.6634950000000001</v>
      </c>
      <c r="J464" s="20" t="n">
        <v>0.6634950000000001</v>
      </c>
      <c r="K464" s="2" t="inlineStr">
        <is>
          <t>止損</t>
        </is>
      </c>
      <c r="L464" s="5">
        <f>交易明細!K231</f>
        <v/>
      </c>
      <c r="M464" s="19">
        <f>M460</f>
        <v/>
      </c>
      <c r="N464" s="2">
        <f>N460</f>
        <v/>
      </c>
      <c r="O464" s="19">
        <f>O460</f>
        <v/>
      </c>
      <c r="P464" s="4">
        <f>交易明細!L231</f>
        <v/>
      </c>
      <c r="Q464" s="13">
        <f>IF(N464="已下單",O464*P464,0)</f>
        <v/>
      </c>
      <c r="R464" s="13">
        <f>R463+Q464</f>
        <v/>
      </c>
      <c r="S464" s="19">
        <f>S463-IF(N464="已下單",M464,0)</f>
        <v/>
      </c>
      <c r="T464" s="19">
        <f>R464-S464</f>
        <v/>
      </c>
      <c r="U464" s="2">
        <f>U463-IF(N464="已下單",1,0)</f>
        <v/>
      </c>
      <c r="V464" s="19">
        <f>IF(資金模擬!$B$9=2,MAX(R464,0),MAX(V463,FLOOR(MAX(R464,0),資金模擬!$B$6)))</f>
        <v/>
      </c>
      <c r="W464" s="13">
        <f>MAX(W463,R464)</f>
        <v/>
      </c>
      <c r="X464" s="4">
        <f>IF(W464&gt;0,R464/W464-1,-1)</f>
        <v/>
      </c>
      <c r="Y464" s="19">
        <f>IF(R464&gt;0,S464*資金模擬!$B$7/R464,0)</f>
        <v/>
      </c>
      <c r="Z464" s="2">
        <f>IF(OR(Z463=1,R464&lt;=資金模擬!$B$10),1,0)</f>
        <v/>
      </c>
    </row>
    <row r="465">
      <c r="A465" s="2" t="n">
        <v>463</v>
      </c>
      <c r="B465" s="7" t="n">
        <v>46281.04166666666</v>
      </c>
      <c r="C465" s="2" t="inlineStr">
        <is>
          <t>出場</t>
        </is>
      </c>
      <c r="D465" s="2" t="n">
        <v>232</v>
      </c>
      <c r="E465" s="2" t="inlineStr">
        <is>
          <t>POWER_USDT_PERP</t>
        </is>
      </c>
      <c r="F465" s="2" t="inlineStr">
        <is>
          <t>做多</t>
        </is>
      </c>
      <c r="G465" s="20" t="n">
        <v>0.17359</v>
      </c>
      <c r="H465" s="20" t="n">
        <v>0.1787977</v>
      </c>
      <c r="I465" s="20" t="n">
        <v>0.1649105</v>
      </c>
      <c r="J465" s="20" t="n">
        <v>0.1787977</v>
      </c>
      <c r="K465" s="2" t="inlineStr">
        <is>
          <t>止盈</t>
        </is>
      </c>
      <c r="L465" s="5">
        <f>交易明細!K233</f>
        <v/>
      </c>
      <c r="M465" s="19">
        <f>M462</f>
        <v/>
      </c>
      <c r="N465" s="2">
        <f>N462</f>
        <v/>
      </c>
      <c r="O465" s="19">
        <f>O462</f>
        <v/>
      </c>
      <c r="P465" s="4">
        <f>交易明細!L233</f>
        <v/>
      </c>
      <c r="Q465" s="13">
        <f>IF(N465="已下單",O465*P465,0)</f>
        <v/>
      </c>
      <c r="R465" s="13">
        <f>R464+Q465</f>
        <v/>
      </c>
      <c r="S465" s="19">
        <f>S464-IF(N465="已下單",M465,0)</f>
        <v/>
      </c>
      <c r="T465" s="19">
        <f>R465-S465</f>
        <v/>
      </c>
      <c r="U465" s="2">
        <f>U464-IF(N465="已下單",1,0)</f>
        <v/>
      </c>
      <c r="V465" s="19">
        <f>IF(資金模擬!$B$9=2,MAX(R465,0),MAX(V464,FLOOR(MAX(R465,0),資金模擬!$B$6)))</f>
        <v/>
      </c>
      <c r="W465" s="13">
        <f>MAX(W464,R465)</f>
        <v/>
      </c>
      <c r="X465" s="4">
        <f>IF(W465&gt;0,R465/W465-1,-1)</f>
        <v/>
      </c>
      <c r="Y465" s="19">
        <f>IF(R465&gt;0,S465*資金模擬!$B$7/R465,0)</f>
        <v/>
      </c>
      <c r="Z465" s="2">
        <f>IF(OR(Z464=1,R465&lt;=資金模擬!$B$10),1,0)</f>
        <v/>
      </c>
    </row>
    <row r="466">
      <c r="A466" s="2" t="n">
        <v>464</v>
      </c>
      <c r="B466" s="7" t="n">
        <v>46281.04166666666</v>
      </c>
      <c r="C466" s="2" t="inlineStr">
        <is>
          <t>進場</t>
        </is>
      </c>
      <c r="D466" s="2" t="n">
        <v>233</v>
      </c>
      <c r="E466" s="2" t="inlineStr">
        <is>
          <t>USELESS_USDT_PERP</t>
        </is>
      </c>
      <c r="F466" s="2" t="inlineStr">
        <is>
          <t>做多</t>
        </is>
      </c>
      <c r="G466" s="20" t="n">
        <v>0.21036</v>
      </c>
      <c r="H466" s="20" t="n">
        <v>0.2166708</v>
      </c>
      <c r="I466" s="20" t="n">
        <v>0.199842</v>
      </c>
      <c r="J466" s="20" t="n"/>
      <c r="K466" s="2" t="n"/>
      <c r="L466" s="5" t="n"/>
      <c r="M466" s="19">
        <f>資金模擬!$B$5*V465</f>
        <v/>
      </c>
      <c r="N466" s="2">
        <f>IF(Z465=1,"已停止",IF(T465&gt;=M466,"已下單","資金不足略過"))</f>
        <v/>
      </c>
      <c r="O466" s="19">
        <f>IF(N466="已下單",M466*資金模擬!$B$7,0)</f>
        <v/>
      </c>
      <c r="P466" s="4" t="n"/>
      <c r="Q466" s="13" t="n">
        <v>0</v>
      </c>
      <c r="R466" s="13">
        <f>R465+Q466</f>
        <v/>
      </c>
      <c r="S466" s="19">
        <f>S465+IF(N466="已下單",M466,0)</f>
        <v/>
      </c>
      <c r="T466" s="19">
        <f>R466-S466</f>
        <v/>
      </c>
      <c r="U466" s="2">
        <f>U465+IF(N466="已下單",1,0)</f>
        <v/>
      </c>
      <c r="V466" s="19">
        <f>IF(資金模擬!$B$9=2,MAX(R466,0),MAX(V465,FLOOR(MAX(R466,0),資金模擬!$B$6)))</f>
        <v/>
      </c>
      <c r="W466" s="13">
        <f>MAX(W465,R466)</f>
        <v/>
      </c>
      <c r="X466" s="4">
        <f>IF(W466&gt;0,R466/W466-1,-1)</f>
        <v/>
      </c>
      <c r="Y466" s="19">
        <f>IF(R466&gt;0,S466*資金模擬!$B$7/R466,0)</f>
        <v/>
      </c>
      <c r="Z466" s="2">
        <f>IF(OR(Z465=1,R466&lt;=資金模擬!$B$10),1,0)</f>
        <v/>
      </c>
    </row>
    <row r="467">
      <c r="A467" s="2" t="n">
        <v>465</v>
      </c>
      <c r="B467" s="7" t="n">
        <v>46281.08333333334</v>
      </c>
      <c r="C467" s="2" t="inlineStr">
        <is>
          <t>出場</t>
        </is>
      </c>
      <c r="D467" s="2" t="n">
        <v>231</v>
      </c>
      <c r="E467" s="2" t="inlineStr">
        <is>
          <t>UNI_USDT_PERP</t>
        </is>
      </c>
      <c r="F467" s="2" t="inlineStr">
        <is>
          <t>做空</t>
        </is>
      </c>
      <c r="G467" s="20" t="n">
        <v>6.252</v>
      </c>
      <c r="H467" s="20" t="n">
        <v>6.064439999999999</v>
      </c>
      <c r="I467" s="20" t="n">
        <v>6.5646</v>
      </c>
      <c r="J467" s="20" t="n">
        <v>6.5646</v>
      </c>
      <c r="K467" s="2" t="inlineStr">
        <is>
          <t>止損</t>
        </is>
      </c>
      <c r="L467" s="5">
        <f>交易明細!K232</f>
        <v/>
      </c>
      <c r="M467" s="19">
        <f>M461</f>
        <v/>
      </c>
      <c r="N467" s="2">
        <f>N461</f>
        <v/>
      </c>
      <c r="O467" s="19">
        <f>O461</f>
        <v/>
      </c>
      <c r="P467" s="4">
        <f>交易明細!L232</f>
        <v/>
      </c>
      <c r="Q467" s="13">
        <f>IF(N467="已下單",O467*P467,0)</f>
        <v/>
      </c>
      <c r="R467" s="13">
        <f>R466+Q467</f>
        <v/>
      </c>
      <c r="S467" s="19">
        <f>S466-IF(N467="已下單",M467,0)</f>
        <v/>
      </c>
      <c r="T467" s="19">
        <f>R467-S467</f>
        <v/>
      </c>
      <c r="U467" s="2">
        <f>U466-IF(N467="已下單",1,0)</f>
        <v/>
      </c>
      <c r="V467" s="19">
        <f>IF(資金模擬!$B$9=2,MAX(R467,0),MAX(V466,FLOOR(MAX(R467,0),資金模擬!$B$6)))</f>
        <v/>
      </c>
      <c r="W467" s="13">
        <f>MAX(W466,R467)</f>
        <v/>
      </c>
      <c r="X467" s="4">
        <f>IF(W467&gt;0,R467/W467-1,-1)</f>
        <v/>
      </c>
      <c r="Y467" s="19">
        <f>IF(R467&gt;0,S467*資金模擬!$B$7/R467,0)</f>
        <v/>
      </c>
      <c r="Z467" s="2">
        <f>IF(OR(Z466=1,R467&lt;=資金模擬!$B$10),1,0)</f>
        <v/>
      </c>
    </row>
    <row r="468">
      <c r="A468" s="2" t="n">
        <v>466</v>
      </c>
      <c r="B468" s="7" t="n">
        <v>46281.08333333334</v>
      </c>
      <c r="C468" s="2" t="inlineStr">
        <is>
          <t>出場</t>
        </is>
      </c>
      <c r="D468" s="2" t="n">
        <v>233</v>
      </c>
      <c r="E468" s="2" t="inlineStr">
        <is>
          <t>USELESS_USDT_PERP</t>
        </is>
      </c>
      <c r="F468" s="2" t="inlineStr">
        <is>
          <t>做多</t>
        </is>
      </c>
      <c r="G468" s="20" t="n">
        <v>0.21036</v>
      </c>
      <c r="H468" s="20" t="n">
        <v>0.2166708</v>
      </c>
      <c r="I468" s="20" t="n">
        <v>0.199842</v>
      </c>
      <c r="J468" s="20" t="n">
        <v>0.2166708</v>
      </c>
      <c r="K468" s="2" t="inlineStr">
        <is>
          <t>止盈</t>
        </is>
      </c>
      <c r="L468" s="5">
        <f>交易明細!K234</f>
        <v/>
      </c>
      <c r="M468" s="19">
        <f>M466</f>
        <v/>
      </c>
      <c r="N468" s="2">
        <f>N466</f>
        <v/>
      </c>
      <c r="O468" s="19">
        <f>O466</f>
        <v/>
      </c>
      <c r="P468" s="4">
        <f>交易明細!L234</f>
        <v/>
      </c>
      <c r="Q468" s="13">
        <f>IF(N468="已下單",O468*P468,0)</f>
        <v/>
      </c>
      <c r="R468" s="13">
        <f>R467+Q468</f>
        <v/>
      </c>
      <c r="S468" s="19">
        <f>S467-IF(N468="已下單",M468,0)</f>
        <v/>
      </c>
      <c r="T468" s="19">
        <f>R468-S468</f>
        <v/>
      </c>
      <c r="U468" s="2">
        <f>U467-IF(N468="已下單",1,0)</f>
        <v/>
      </c>
      <c r="V468" s="19">
        <f>IF(資金模擬!$B$9=2,MAX(R468,0),MAX(V467,FLOOR(MAX(R468,0),資金模擬!$B$6)))</f>
        <v/>
      </c>
      <c r="W468" s="13">
        <f>MAX(W467,R468)</f>
        <v/>
      </c>
      <c r="X468" s="4">
        <f>IF(W468&gt;0,R468/W468-1,-1)</f>
        <v/>
      </c>
      <c r="Y468" s="19">
        <f>IF(R468&gt;0,S468*資金模擬!$B$7/R468,0)</f>
        <v/>
      </c>
      <c r="Z468" s="2">
        <f>IF(OR(Z467=1,R468&lt;=資金模擬!$B$10),1,0)</f>
        <v/>
      </c>
    </row>
    <row r="469">
      <c r="A469" s="2" t="n">
        <v>467</v>
      </c>
      <c r="B469" s="7" t="n">
        <v>46281.125</v>
      </c>
      <c r="C469" s="2" t="inlineStr">
        <is>
          <t>進場</t>
        </is>
      </c>
      <c r="D469" s="2" t="n">
        <v>234</v>
      </c>
      <c r="E469" s="2" t="inlineStr">
        <is>
          <t>XRP_USDT_PERP</t>
        </is>
      </c>
      <c r="F469" s="2" t="inlineStr">
        <is>
          <t>做空</t>
        </is>
      </c>
      <c r="G469" s="20" t="n">
        <v>1.3237</v>
      </c>
      <c r="H469" s="20" t="n">
        <v>1.283989</v>
      </c>
      <c r="I469" s="20" t="n">
        <v>1.389885</v>
      </c>
      <c r="J469" s="20" t="n"/>
      <c r="K469" s="2" t="n"/>
      <c r="L469" s="5" t="n"/>
      <c r="M469" s="19">
        <f>資金模擬!$B$5*V468</f>
        <v/>
      </c>
      <c r="N469" s="2">
        <f>IF(Z468=1,"已停止",IF(T468&gt;=M469,"已下單","資金不足略過"))</f>
        <v/>
      </c>
      <c r="O469" s="19">
        <f>IF(N469="已下單",M469*資金模擬!$B$7,0)</f>
        <v/>
      </c>
      <c r="P469" s="4" t="n"/>
      <c r="Q469" s="13" t="n">
        <v>0</v>
      </c>
      <c r="R469" s="13">
        <f>R468+Q469</f>
        <v/>
      </c>
      <c r="S469" s="19">
        <f>S468+IF(N469="已下單",M469,0)</f>
        <v/>
      </c>
      <c r="T469" s="19">
        <f>R469-S469</f>
        <v/>
      </c>
      <c r="U469" s="2">
        <f>U468+IF(N469="已下單",1,0)</f>
        <v/>
      </c>
      <c r="V469" s="19">
        <f>IF(資金模擬!$B$9=2,MAX(R469,0),MAX(V468,FLOOR(MAX(R469,0),資金模擬!$B$6)))</f>
        <v/>
      </c>
      <c r="W469" s="13">
        <f>MAX(W468,R469)</f>
        <v/>
      </c>
      <c r="X469" s="4">
        <f>IF(W469&gt;0,R469/W469-1,-1)</f>
        <v/>
      </c>
      <c r="Y469" s="19">
        <f>IF(R469&gt;0,S469*資金模擬!$B$7/R469,0)</f>
        <v/>
      </c>
      <c r="Z469" s="2">
        <f>IF(OR(Z468=1,R469&lt;=資金模擬!$B$10),1,0)</f>
        <v/>
      </c>
    </row>
    <row r="470">
      <c r="A470" s="2" t="n">
        <v>468</v>
      </c>
      <c r="B470" s="7" t="n">
        <v>46281.16666666666</v>
      </c>
      <c r="C470" s="2" t="inlineStr">
        <is>
          <t>進場</t>
        </is>
      </c>
      <c r="D470" s="2" t="n">
        <v>235</v>
      </c>
      <c r="E470" s="2" t="inlineStr">
        <is>
          <t>LIT_USDT_PERP</t>
        </is>
      </c>
      <c r="F470" s="2" t="inlineStr">
        <is>
          <t>做空</t>
        </is>
      </c>
      <c r="G470" s="20" t="n">
        <v>4.163</v>
      </c>
      <c r="H470" s="20" t="n">
        <v>4.038110000000001</v>
      </c>
      <c r="I470" s="20" t="n">
        <v>4.37115</v>
      </c>
      <c r="J470" s="20" t="n"/>
      <c r="K470" s="2" t="n"/>
      <c r="L470" s="5" t="n"/>
      <c r="M470" s="19">
        <f>資金模擬!$B$5*V469</f>
        <v/>
      </c>
      <c r="N470" s="2">
        <f>IF(Z469=1,"已停止",IF(T469&gt;=M470,"已下單","資金不足略過"))</f>
        <v/>
      </c>
      <c r="O470" s="19">
        <f>IF(N470="已下單",M470*資金模擬!$B$7,0)</f>
        <v/>
      </c>
      <c r="P470" s="4" t="n"/>
      <c r="Q470" s="13" t="n">
        <v>0</v>
      </c>
      <c r="R470" s="13">
        <f>R469+Q470</f>
        <v/>
      </c>
      <c r="S470" s="19">
        <f>S469+IF(N470="已下單",M470,0)</f>
        <v/>
      </c>
      <c r="T470" s="19">
        <f>R470-S470</f>
        <v/>
      </c>
      <c r="U470" s="2">
        <f>U469+IF(N470="已下單",1,0)</f>
        <v/>
      </c>
      <c r="V470" s="19">
        <f>IF(資金模擬!$B$9=2,MAX(R470,0),MAX(V469,FLOOR(MAX(R470,0),資金模擬!$B$6)))</f>
        <v/>
      </c>
      <c r="W470" s="13">
        <f>MAX(W469,R470)</f>
        <v/>
      </c>
      <c r="X470" s="4">
        <f>IF(W470&gt;0,R470/W470-1,-1)</f>
        <v/>
      </c>
      <c r="Y470" s="19">
        <f>IF(R470&gt;0,S470*資金模擬!$B$7/R470,0)</f>
        <v/>
      </c>
      <c r="Z470" s="2">
        <f>IF(OR(Z469=1,R470&lt;=資金模擬!$B$10),1,0)</f>
        <v/>
      </c>
    </row>
    <row r="471">
      <c r="A471" s="2" t="n">
        <v>469</v>
      </c>
      <c r="B471" s="7" t="n">
        <v>46281.20833333334</v>
      </c>
      <c r="C471" s="2" t="inlineStr">
        <is>
          <t>出場</t>
        </is>
      </c>
      <c r="D471" s="2" t="n">
        <v>234</v>
      </c>
      <c r="E471" s="2" t="inlineStr">
        <is>
          <t>XRP_USDT_PERP</t>
        </is>
      </c>
      <c r="F471" s="2" t="inlineStr">
        <is>
          <t>做空</t>
        </is>
      </c>
      <c r="G471" s="20" t="n">
        <v>1.3237</v>
      </c>
      <c r="H471" s="20" t="n">
        <v>1.283989</v>
      </c>
      <c r="I471" s="20" t="n">
        <v>1.389885</v>
      </c>
      <c r="J471" s="20" t="n">
        <v>1.283989</v>
      </c>
      <c r="K471" s="2" t="inlineStr">
        <is>
          <t>止盈</t>
        </is>
      </c>
      <c r="L471" s="5">
        <f>交易明細!K235</f>
        <v/>
      </c>
      <c r="M471" s="19">
        <f>M469</f>
        <v/>
      </c>
      <c r="N471" s="2">
        <f>N469</f>
        <v/>
      </c>
      <c r="O471" s="19">
        <f>O469</f>
        <v/>
      </c>
      <c r="P471" s="4">
        <f>交易明細!L235</f>
        <v/>
      </c>
      <c r="Q471" s="13">
        <f>IF(N471="已下單",O471*P471,0)</f>
        <v/>
      </c>
      <c r="R471" s="13">
        <f>R470+Q471</f>
        <v/>
      </c>
      <c r="S471" s="19">
        <f>S470-IF(N471="已下單",M471,0)</f>
        <v/>
      </c>
      <c r="T471" s="19">
        <f>R471-S471</f>
        <v/>
      </c>
      <c r="U471" s="2">
        <f>U470-IF(N471="已下單",1,0)</f>
        <v/>
      </c>
      <c r="V471" s="19">
        <f>IF(資金模擬!$B$9=2,MAX(R471,0),MAX(V470,FLOOR(MAX(R471,0),資金模擬!$B$6)))</f>
        <v/>
      </c>
      <c r="W471" s="13">
        <f>MAX(W470,R471)</f>
        <v/>
      </c>
      <c r="X471" s="4">
        <f>IF(W471&gt;0,R471/W471-1,-1)</f>
        <v/>
      </c>
      <c r="Y471" s="19">
        <f>IF(R471&gt;0,S471*資金模擬!$B$7/R471,0)</f>
        <v/>
      </c>
      <c r="Z471" s="2">
        <f>IF(OR(Z470=1,R471&lt;=資金模擬!$B$10),1,0)</f>
        <v/>
      </c>
    </row>
    <row r="472">
      <c r="A472" s="2" t="n">
        <v>470</v>
      </c>
      <c r="B472" s="7" t="n">
        <v>46281.20833333334</v>
      </c>
      <c r="C472" s="2" t="inlineStr">
        <is>
          <t>出場</t>
        </is>
      </c>
      <c r="D472" s="2" t="n">
        <v>235</v>
      </c>
      <c r="E472" s="2" t="inlineStr">
        <is>
          <t>LIT_USDT_PERP</t>
        </is>
      </c>
      <c r="F472" s="2" t="inlineStr">
        <is>
          <t>做空</t>
        </is>
      </c>
      <c r="G472" s="20" t="n">
        <v>4.163</v>
      </c>
      <c r="H472" s="20" t="n">
        <v>4.038110000000001</v>
      </c>
      <c r="I472" s="20" t="n">
        <v>4.37115</v>
      </c>
      <c r="J472" s="20" t="n">
        <v>4.038110000000001</v>
      </c>
      <c r="K472" s="2" t="inlineStr">
        <is>
          <t>止盈</t>
        </is>
      </c>
      <c r="L472" s="5">
        <f>交易明細!K236</f>
        <v/>
      </c>
      <c r="M472" s="19">
        <f>M470</f>
        <v/>
      </c>
      <c r="N472" s="2">
        <f>N470</f>
        <v/>
      </c>
      <c r="O472" s="19">
        <f>O470</f>
        <v/>
      </c>
      <c r="P472" s="4">
        <f>交易明細!L236</f>
        <v/>
      </c>
      <c r="Q472" s="13">
        <f>IF(N472="已下單",O472*P472,0)</f>
        <v/>
      </c>
      <c r="R472" s="13">
        <f>R471+Q472</f>
        <v/>
      </c>
      <c r="S472" s="19">
        <f>S471-IF(N472="已下單",M472,0)</f>
        <v/>
      </c>
      <c r="T472" s="19">
        <f>R472-S472</f>
        <v/>
      </c>
      <c r="U472" s="2">
        <f>U471-IF(N472="已下單",1,0)</f>
        <v/>
      </c>
      <c r="V472" s="19">
        <f>IF(資金模擬!$B$9=2,MAX(R472,0),MAX(V471,FLOOR(MAX(R472,0),資金模擬!$B$6)))</f>
        <v/>
      </c>
      <c r="W472" s="13">
        <f>MAX(W471,R472)</f>
        <v/>
      </c>
      <c r="X472" s="4">
        <f>IF(W472&gt;0,R472/W472-1,-1)</f>
        <v/>
      </c>
      <c r="Y472" s="19">
        <f>IF(R472&gt;0,S472*資金模擬!$B$7/R472,0)</f>
        <v/>
      </c>
      <c r="Z472" s="2">
        <f>IF(OR(Z471=1,R472&lt;=資金模擬!$B$10),1,0)</f>
        <v/>
      </c>
    </row>
    <row r="473">
      <c r="A473" s="2" t="n">
        <v>471</v>
      </c>
      <c r="B473" s="7" t="n">
        <v>46281.20833333334</v>
      </c>
      <c r="C473" s="2" t="inlineStr">
        <is>
          <t>進場</t>
        </is>
      </c>
      <c r="D473" s="2" t="n">
        <v>236</v>
      </c>
      <c r="E473" s="2" t="inlineStr">
        <is>
          <t>SKYAI_USDT_PERP</t>
        </is>
      </c>
      <c r="F473" s="2" t="inlineStr">
        <is>
          <t>做空</t>
        </is>
      </c>
      <c r="G473" s="20" t="n">
        <v>0.05174</v>
      </c>
      <c r="H473" s="20" t="n">
        <v>0.0501878</v>
      </c>
      <c r="I473" s="20" t="n">
        <v>0.054327</v>
      </c>
      <c r="J473" s="20" t="n"/>
      <c r="K473" s="2" t="n"/>
      <c r="L473" s="5" t="n"/>
      <c r="M473" s="19">
        <f>資金模擬!$B$5*V472</f>
        <v/>
      </c>
      <c r="N473" s="2">
        <f>IF(Z472=1,"已停止",IF(T472&gt;=M473,"已下單","資金不足略過"))</f>
        <v/>
      </c>
      <c r="O473" s="19">
        <f>IF(N473="已下單",M473*資金模擬!$B$7,0)</f>
        <v/>
      </c>
      <c r="P473" s="4" t="n"/>
      <c r="Q473" s="13" t="n">
        <v>0</v>
      </c>
      <c r="R473" s="13">
        <f>R472+Q473</f>
        <v/>
      </c>
      <c r="S473" s="19">
        <f>S472+IF(N473="已下單",M473,0)</f>
        <v/>
      </c>
      <c r="T473" s="19">
        <f>R473-S473</f>
        <v/>
      </c>
      <c r="U473" s="2">
        <f>U472+IF(N473="已下單",1,0)</f>
        <v/>
      </c>
      <c r="V473" s="19">
        <f>IF(資金模擬!$B$9=2,MAX(R473,0),MAX(V472,FLOOR(MAX(R473,0),資金模擬!$B$6)))</f>
        <v/>
      </c>
      <c r="W473" s="13">
        <f>MAX(W472,R473)</f>
        <v/>
      </c>
      <c r="X473" s="4">
        <f>IF(W473&gt;0,R473/W473-1,-1)</f>
        <v/>
      </c>
      <c r="Y473" s="19">
        <f>IF(R473&gt;0,S473*資金模擬!$B$7/R473,0)</f>
        <v/>
      </c>
      <c r="Z473" s="2">
        <f>IF(OR(Z472=1,R473&lt;=資金模擬!$B$10),1,0)</f>
        <v/>
      </c>
    </row>
    <row r="474">
      <c r="A474" s="2" t="n">
        <v>472</v>
      </c>
      <c r="B474" s="7" t="n">
        <v>46281.375</v>
      </c>
      <c r="C474" s="2" t="inlineStr">
        <is>
          <t>進場</t>
        </is>
      </c>
      <c r="D474" s="2" t="n">
        <v>237</v>
      </c>
      <c r="E474" s="2" t="inlineStr">
        <is>
          <t>USELESS_USDT_PERP</t>
        </is>
      </c>
      <c r="F474" s="2" t="inlineStr">
        <is>
          <t>做多</t>
        </is>
      </c>
      <c r="G474" s="20" t="n">
        <v>0.22015</v>
      </c>
      <c r="H474" s="20" t="n">
        <v>0.2267545</v>
      </c>
      <c r="I474" s="20" t="n">
        <v>0.2091425</v>
      </c>
      <c r="J474" s="20" t="n"/>
      <c r="K474" s="2" t="n"/>
      <c r="L474" s="5" t="n"/>
      <c r="M474" s="19">
        <f>資金模擬!$B$5*V473</f>
        <v/>
      </c>
      <c r="N474" s="2">
        <f>IF(Z473=1,"已停止",IF(T473&gt;=M474,"已下單","資金不足略過"))</f>
        <v/>
      </c>
      <c r="O474" s="19">
        <f>IF(N474="已下單",M474*資金模擬!$B$7,0)</f>
        <v/>
      </c>
      <c r="P474" s="4" t="n"/>
      <c r="Q474" s="13" t="n">
        <v>0</v>
      </c>
      <c r="R474" s="13">
        <f>R473+Q474</f>
        <v/>
      </c>
      <c r="S474" s="19">
        <f>S473+IF(N474="已下單",M474,0)</f>
        <v/>
      </c>
      <c r="T474" s="19">
        <f>R474-S474</f>
        <v/>
      </c>
      <c r="U474" s="2">
        <f>U473+IF(N474="已下單",1,0)</f>
        <v/>
      </c>
      <c r="V474" s="19">
        <f>IF(資金模擬!$B$9=2,MAX(R474,0),MAX(V473,FLOOR(MAX(R474,0),資金模擬!$B$6)))</f>
        <v/>
      </c>
      <c r="W474" s="13">
        <f>MAX(W473,R474)</f>
        <v/>
      </c>
      <c r="X474" s="4">
        <f>IF(W474&gt;0,R474/W474-1,-1)</f>
        <v/>
      </c>
      <c r="Y474" s="19">
        <f>IF(R474&gt;0,S474*資金模擬!$B$7/R474,0)</f>
        <v/>
      </c>
      <c r="Z474" s="2">
        <f>IF(OR(Z473=1,R474&lt;=資金模擬!$B$10),1,0)</f>
        <v/>
      </c>
    </row>
    <row r="475">
      <c r="A475" s="2" t="n">
        <v>473</v>
      </c>
      <c r="B475" s="7" t="n">
        <v>46281.41666666666</v>
      </c>
      <c r="C475" s="2" t="inlineStr">
        <is>
          <t>進場</t>
        </is>
      </c>
      <c r="D475" s="2" t="n">
        <v>238</v>
      </c>
      <c r="E475" s="2" t="inlineStr">
        <is>
          <t>PONS_USDT_PERP</t>
        </is>
      </c>
      <c r="F475" s="2" t="inlineStr">
        <is>
          <t>做空</t>
        </is>
      </c>
      <c r="G475" s="20" t="n">
        <v>0.6093</v>
      </c>
      <c r="H475" s="20" t="n">
        <v>0.5910209999999999</v>
      </c>
      <c r="I475" s="20" t="n">
        <v>0.639765</v>
      </c>
      <c r="J475" s="20" t="n"/>
      <c r="K475" s="2" t="n"/>
      <c r="L475" s="5" t="n"/>
      <c r="M475" s="19">
        <f>資金模擬!$B$5*V474</f>
        <v/>
      </c>
      <c r="N475" s="2">
        <f>IF(Z474=1,"已停止",IF(T474&gt;=M475,"已下單","資金不足略過"))</f>
        <v/>
      </c>
      <c r="O475" s="19">
        <f>IF(N475="已下單",M475*資金模擬!$B$7,0)</f>
        <v/>
      </c>
      <c r="P475" s="4" t="n"/>
      <c r="Q475" s="13" t="n">
        <v>0</v>
      </c>
      <c r="R475" s="13">
        <f>R474+Q475</f>
        <v/>
      </c>
      <c r="S475" s="19">
        <f>S474+IF(N475="已下單",M475,0)</f>
        <v/>
      </c>
      <c r="T475" s="19">
        <f>R475-S475</f>
        <v/>
      </c>
      <c r="U475" s="2">
        <f>U474+IF(N475="已下單",1,0)</f>
        <v/>
      </c>
      <c r="V475" s="19">
        <f>IF(資金模擬!$B$9=2,MAX(R475,0),MAX(V474,FLOOR(MAX(R475,0),資金模擬!$B$6)))</f>
        <v/>
      </c>
      <c r="W475" s="13">
        <f>MAX(W474,R475)</f>
        <v/>
      </c>
      <c r="X475" s="4">
        <f>IF(W475&gt;0,R475/W475-1,-1)</f>
        <v/>
      </c>
      <c r="Y475" s="19">
        <f>IF(R475&gt;0,S475*資金模擬!$B$7/R475,0)</f>
        <v/>
      </c>
      <c r="Z475" s="2">
        <f>IF(OR(Z474=1,R475&lt;=資金模擬!$B$10),1,0)</f>
        <v/>
      </c>
    </row>
    <row r="476">
      <c r="A476" s="2" t="n">
        <v>474</v>
      </c>
      <c r="B476" s="7" t="n">
        <v>46281.41666666666</v>
      </c>
      <c r="C476" s="2" t="inlineStr">
        <is>
          <t>進場</t>
        </is>
      </c>
      <c r="D476" s="2" t="n">
        <v>239</v>
      </c>
      <c r="E476" s="2" t="inlineStr">
        <is>
          <t>PUMP_USDT_PERP</t>
        </is>
      </c>
      <c r="F476" s="2" t="inlineStr">
        <is>
          <t>做空</t>
        </is>
      </c>
      <c r="G476" s="20" t="n">
        <v>0.003404</v>
      </c>
      <c r="H476" s="20" t="n">
        <v>0.00330188</v>
      </c>
      <c r="I476" s="20" t="n">
        <v>0.0035742</v>
      </c>
      <c r="J476" s="20" t="n"/>
      <c r="K476" s="2" t="n"/>
      <c r="L476" s="5" t="n"/>
      <c r="M476" s="19">
        <f>資金模擬!$B$5*V475</f>
        <v/>
      </c>
      <c r="N476" s="2">
        <f>IF(Z475=1,"已停止",IF(T475&gt;=M476,"已下單","資金不足略過"))</f>
        <v/>
      </c>
      <c r="O476" s="19">
        <f>IF(N476="已下單",M476*資金模擬!$B$7,0)</f>
        <v/>
      </c>
      <c r="P476" s="4" t="n"/>
      <c r="Q476" s="13" t="n">
        <v>0</v>
      </c>
      <c r="R476" s="13">
        <f>R475+Q476</f>
        <v/>
      </c>
      <c r="S476" s="19">
        <f>S475+IF(N476="已下單",M476,0)</f>
        <v/>
      </c>
      <c r="T476" s="19">
        <f>R476-S476</f>
        <v/>
      </c>
      <c r="U476" s="2">
        <f>U475+IF(N476="已下單",1,0)</f>
        <v/>
      </c>
      <c r="V476" s="19">
        <f>IF(資金模擬!$B$9=2,MAX(R476,0),MAX(V475,FLOOR(MAX(R476,0),資金模擬!$B$6)))</f>
        <v/>
      </c>
      <c r="W476" s="13">
        <f>MAX(W475,R476)</f>
        <v/>
      </c>
      <c r="X476" s="4">
        <f>IF(W476&gt;0,R476/W476-1,-1)</f>
        <v/>
      </c>
      <c r="Y476" s="19">
        <f>IF(R476&gt;0,S476*資金模擬!$B$7/R476,0)</f>
        <v/>
      </c>
      <c r="Z476" s="2">
        <f>IF(OR(Z475=1,R476&lt;=資金模擬!$B$10),1,0)</f>
        <v/>
      </c>
    </row>
    <row r="477">
      <c r="A477" s="2" t="n">
        <v>475</v>
      </c>
      <c r="B477" s="7" t="n">
        <v>46281.41666666666</v>
      </c>
      <c r="C477" s="2" t="inlineStr">
        <is>
          <t>進場</t>
        </is>
      </c>
      <c r="D477" s="2" t="n">
        <v>240</v>
      </c>
      <c r="E477" s="2" t="inlineStr">
        <is>
          <t>UNI_USDT_PERP</t>
        </is>
      </c>
      <c r="F477" s="2" t="inlineStr">
        <is>
          <t>做空</t>
        </is>
      </c>
      <c r="G477" s="20" t="n">
        <v>6.241</v>
      </c>
      <c r="H477" s="20" t="n">
        <v>6.053769999999999</v>
      </c>
      <c r="I477" s="20" t="n">
        <v>6.55305</v>
      </c>
      <c r="J477" s="20" t="n"/>
      <c r="K477" s="2" t="n"/>
      <c r="L477" s="5" t="n"/>
      <c r="M477" s="19">
        <f>資金模擬!$B$5*V476</f>
        <v/>
      </c>
      <c r="N477" s="2">
        <f>IF(Z476=1,"已停止",IF(T476&gt;=M477,"已下單","資金不足略過"))</f>
        <v/>
      </c>
      <c r="O477" s="19">
        <f>IF(N477="已下單",M477*資金模擬!$B$7,0)</f>
        <v/>
      </c>
      <c r="P477" s="4" t="n"/>
      <c r="Q477" s="13" t="n">
        <v>0</v>
      </c>
      <c r="R477" s="13">
        <f>R476+Q477</f>
        <v/>
      </c>
      <c r="S477" s="19">
        <f>S476+IF(N477="已下單",M477,0)</f>
        <v/>
      </c>
      <c r="T477" s="19">
        <f>R477-S477</f>
        <v/>
      </c>
      <c r="U477" s="2">
        <f>U476+IF(N477="已下單",1,0)</f>
        <v/>
      </c>
      <c r="V477" s="19">
        <f>IF(資金模擬!$B$9=2,MAX(R477,0),MAX(V476,FLOOR(MAX(R477,0),資金模擬!$B$6)))</f>
        <v/>
      </c>
      <c r="W477" s="13">
        <f>MAX(W476,R477)</f>
        <v/>
      </c>
      <c r="X477" s="4">
        <f>IF(W477&gt;0,R477/W477-1,-1)</f>
        <v/>
      </c>
      <c r="Y477" s="19">
        <f>IF(R477&gt;0,S477*資金模擬!$B$7/R477,0)</f>
        <v/>
      </c>
      <c r="Z477" s="2">
        <f>IF(OR(Z476=1,R477&lt;=資金模擬!$B$10),1,0)</f>
        <v/>
      </c>
    </row>
    <row r="478">
      <c r="A478" s="2" t="n">
        <v>476</v>
      </c>
      <c r="B478" s="7" t="n">
        <v>46281.41666666666</v>
      </c>
      <c r="C478" s="2" t="inlineStr">
        <is>
          <t>進場</t>
        </is>
      </c>
      <c r="D478" s="2" t="n">
        <v>241</v>
      </c>
      <c r="E478" s="2" t="inlineStr">
        <is>
          <t>牛来_USDT_PERP</t>
        </is>
      </c>
      <c r="F478" s="2" t="inlineStr">
        <is>
          <t>做空</t>
        </is>
      </c>
      <c r="G478" s="20" t="n">
        <v>0.11407</v>
      </c>
      <c r="H478" s="20" t="n">
        <v>0.1106479</v>
      </c>
      <c r="I478" s="20" t="n">
        <v>0.1197735</v>
      </c>
      <c r="J478" s="20" t="n"/>
      <c r="K478" s="2" t="n"/>
      <c r="L478" s="5" t="n"/>
      <c r="M478" s="19">
        <f>資金模擬!$B$5*V477</f>
        <v/>
      </c>
      <c r="N478" s="2">
        <f>IF(Z477=1,"已停止",IF(T477&gt;=M478,"已下單","資金不足略過"))</f>
        <v/>
      </c>
      <c r="O478" s="19">
        <f>IF(N478="已下單",M478*資金模擬!$B$7,0)</f>
        <v/>
      </c>
      <c r="P478" s="4" t="n"/>
      <c r="Q478" s="13" t="n">
        <v>0</v>
      </c>
      <c r="R478" s="13">
        <f>R477+Q478</f>
        <v/>
      </c>
      <c r="S478" s="19">
        <f>S477+IF(N478="已下單",M478,0)</f>
        <v/>
      </c>
      <c r="T478" s="19">
        <f>R478-S478</f>
        <v/>
      </c>
      <c r="U478" s="2">
        <f>U477+IF(N478="已下單",1,0)</f>
        <v/>
      </c>
      <c r="V478" s="19">
        <f>IF(資金模擬!$B$9=2,MAX(R478,0),MAX(V477,FLOOR(MAX(R478,0),資金模擬!$B$6)))</f>
        <v/>
      </c>
      <c r="W478" s="13">
        <f>MAX(W477,R478)</f>
        <v/>
      </c>
      <c r="X478" s="4">
        <f>IF(W478&gt;0,R478/W478-1,-1)</f>
        <v/>
      </c>
      <c r="Y478" s="19">
        <f>IF(R478&gt;0,S478*資金模擬!$B$7/R478,0)</f>
        <v/>
      </c>
      <c r="Z478" s="2">
        <f>IF(OR(Z477=1,R478&lt;=資金模擬!$B$10),1,0)</f>
        <v/>
      </c>
    </row>
    <row r="479">
      <c r="A479" s="2" t="n">
        <v>477</v>
      </c>
      <c r="B479" s="7" t="n">
        <v>46281.45833333334</v>
      </c>
      <c r="C479" s="2" t="inlineStr">
        <is>
          <t>進場</t>
        </is>
      </c>
      <c r="D479" s="2" t="n">
        <v>242</v>
      </c>
      <c r="E479" s="2" t="inlineStr">
        <is>
          <t>POWER_USDT_PERP</t>
        </is>
      </c>
      <c r="F479" s="2" t="inlineStr">
        <is>
          <t>做空</t>
        </is>
      </c>
      <c r="G479" s="20" t="n">
        <v>0.16882</v>
      </c>
      <c r="H479" s="20" t="n">
        <v>0.1637554</v>
      </c>
      <c r="I479" s="20" t="n">
        <v>0.177261</v>
      </c>
      <c r="J479" s="20" t="n"/>
      <c r="K479" s="2" t="n"/>
      <c r="L479" s="5" t="n"/>
      <c r="M479" s="19">
        <f>資金模擬!$B$5*V478</f>
        <v/>
      </c>
      <c r="N479" s="2">
        <f>IF(Z478=1,"已停止",IF(T478&gt;=M479,"已下單","資金不足略過"))</f>
        <v/>
      </c>
      <c r="O479" s="19">
        <f>IF(N479="已下單",M479*資金模擬!$B$7,0)</f>
        <v/>
      </c>
      <c r="P479" s="4" t="n"/>
      <c r="Q479" s="13" t="n">
        <v>0</v>
      </c>
      <c r="R479" s="13">
        <f>R478+Q479</f>
        <v/>
      </c>
      <c r="S479" s="19">
        <f>S478+IF(N479="已下單",M479,0)</f>
        <v/>
      </c>
      <c r="T479" s="19">
        <f>R479-S479</f>
        <v/>
      </c>
      <c r="U479" s="2">
        <f>U478+IF(N479="已下單",1,0)</f>
        <v/>
      </c>
      <c r="V479" s="19">
        <f>IF(資金模擬!$B$9=2,MAX(R479,0),MAX(V478,FLOOR(MAX(R479,0),資金模擬!$B$6)))</f>
        <v/>
      </c>
      <c r="W479" s="13">
        <f>MAX(W478,R479)</f>
        <v/>
      </c>
      <c r="X479" s="4">
        <f>IF(W479&gt;0,R479/W479-1,-1)</f>
        <v/>
      </c>
      <c r="Y479" s="19">
        <f>IF(R479&gt;0,S479*資金模擬!$B$7/R479,0)</f>
        <v/>
      </c>
      <c r="Z479" s="2">
        <f>IF(OR(Z478=1,R479&lt;=資金模擬!$B$10),1,0)</f>
        <v/>
      </c>
    </row>
    <row r="480">
      <c r="A480" s="2" t="n">
        <v>478</v>
      </c>
      <c r="B480" s="7" t="n">
        <v>46281.5</v>
      </c>
      <c r="C480" s="2" t="inlineStr">
        <is>
          <t>出場</t>
        </is>
      </c>
      <c r="D480" s="2" t="n">
        <v>238</v>
      </c>
      <c r="E480" s="2" t="inlineStr">
        <is>
          <t>PONS_USDT_PERP</t>
        </is>
      </c>
      <c r="F480" s="2" t="inlineStr">
        <is>
          <t>做空</t>
        </is>
      </c>
      <c r="G480" s="20" t="n">
        <v>0.6093</v>
      </c>
      <c r="H480" s="20" t="n">
        <v>0.5910209999999999</v>
      </c>
      <c r="I480" s="20" t="n">
        <v>0.639765</v>
      </c>
      <c r="J480" s="20" t="n">
        <v>0.5910209999999999</v>
      </c>
      <c r="K480" s="2" t="inlineStr">
        <is>
          <t>止盈</t>
        </is>
      </c>
      <c r="L480" s="5">
        <f>交易明細!K239</f>
        <v/>
      </c>
      <c r="M480" s="19">
        <f>M475</f>
        <v/>
      </c>
      <c r="N480" s="2">
        <f>N475</f>
        <v/>
      </c>
      <c r="O480" s="19">
        <f>O475</f>
        <v/>
      </c>
      <c r="P480" s="4">
        <f>交易明細!L239</f>
        <v/>
      </c>
      <c r="Q480" s="13">
        <f>IF(N480="已下單",O480*P480,0)</f>
        <v/>
      </c>
      <c r="R480" s="13">
        <f>R479+Q480</f>
        <v/>
      </c>
      <c r="S480" s="19">
        <f>S479-IF(N480="已下單",M480,0)</f>
        <v/>
      </c>
      <c r="T480" s="19">
        <f>R480-S480</f>
        <v/>
      </c>
      <c r="U480" s="2">
        <f>U479-IF(N480="已下單",1,0)</f>
        <v/>
      </c>
      <c r="V480" s="19">
        <f>IF(資金模擬!$B$9=2,MAX(R480,0),MAX(V479,FLOOR(MAX(R480,0),資金模擬!$B$6)))</f>
        <v/>
      </c>
      <c r="W480" s="13">
        <f>MAX(W479,R480)</f>
        <v/>
      </c>
      <c r="X480" s="4">
        <f>IF(W480&gt;0,R480/W480-1,-1)</f>
        <v/>
      </c>
      <c r="Y480" s="19">
        <f>IF(R480&gt;0,S480*資金模擬!$B$7/R480,0)</f>
        <v/>
      </c>
      <c r="Z480" s="2">
        <f>IF(OR(Z479=1,R480&lt;=資金模擬!$B$10),1,0)</f>
        <v/>
      </c>
    </row>
    <row r="481">
      <c r="A481" s="2" t="n">
        <v>479</v>
      </c>
      <c r="B481" s="7" t="n">
        <v>46281.5</v>
      </c>
      <c r="C481" s="2" t="inlineStr">
        <is>
          <t>出場</t>
        </is>
      </c>
      <c r="D481" s="2" t="n">
        <v>242</v>
      </c>
      <c r="E481" s="2" t="inlineStr">
        <is>
          <t>POWER_USDT_PERP</t>
        </is>
      </c>
      <c r="F481" s="2" t="inlineStr">
        <is>
          <t>做空</t>
        </is>
      </c>
      <c r="G481" s="20" t="n">
        <v>0.16882</v>
      </c>
      <c r="H481" s="20" t="n">
        <v>0.1637554</v>
      </c>
      <c r="I481" s="20" t="n">
        <v>0.177261</v>
      </c>
      <c r="J481" s="20" t="n">
        <v>0.1637554</v>
      </c>
      <c r="K481" s="2" t="inlineStr">
        <is>
          <t>止盈</t>
        </is>
      </c>
      <c r="L481" s="5">
        <f>交易明細!K243</f>
        <v/>
      </c>
      <c r="M481" s="19">
        <f>M479</f>
        <v/>
      </c>
      <c r="N481" s="2">
        <f>N479</f>
        <v/>
      </c>
      <c r="O481" s="19">
        <f>O479</f>
        <v/>
      </c>
      <c r="P481" s="4">
        <f>交易明細!L243</f>
        <v/>
      </c>
      <c r="Q481" s="13">
        <f>IF(N481="已下單",O481*P481,0)</f>
        <v/>
      </c>
      <c r="R481" s="13">
        <f>R480+Q481</f>
        <v/>
      </c>
      <c r="S481" s="19">
        <f>S480-IF(N481="已下單",M481,0)</f>
        <v/>
      </c>
      <c r="T481" s="19">
        <f>R481-S481</f>
        <v/>
      </c>
      <c r="U481" s="2">
        <f>U480-IF(N481="已下單",1,0)</f>
        <v/>
      </c>
      <c r="V481" s="19">
        <f>IF(資金模擬!$B$9=2,MAX(R481,0),MAX(V480,FLOOR(MAX(R481,0),資金模擬!$B$6)))</f>
        <v/>
      </c>
      <c r="W481" s="13">
        <f>MAX(W480,R481)</f>
        <v/>
      </c>
      <c r="X481" s="4">
        <f>IF(W481&gt;0,R481/W481-1,-1)</f>
        <v/>
      </c>
      <c r="Y481" s="19">
        <f>IF(R481&gt;0,S481*資金模擬!$B$7/R481,0)</f>
        <v/>
      </c>
      <c r="Z481" s="2">
        <f>IF(OR(Z480=1,R481&lt;=資金模擬!$B$10),1,0)</f>
        <v/>
      </c>
    </row>
    <row r="482">
      <c r="A482" s="2" t="n">
        <v>480</v>
      </c>
      <c r="B482" s="7" t="n">
        <v>46281.54166666666</v>
      </c>
      <c r="C482" s="2" t="inlineStr">
        <is>
          <t>出場</t>
        </is>
      </c>
      <c r="D482" s="2" t="n">
        <v>237</v>
      </c>
      <c r="E482" s="2" t="inlineStr">
        <is>
          <t>USELESS_USDT_PERP</t>
        </is>
      </c>
      <c r="F482" s="2" t="inlineStr">
        <is>
          <t>做多</t>
        </is>
      </c>
      <c r="G482" s="20" t="n">
        <v>0.22015</v>
      </c>
      <c r="H482" s="20" t="n">
        <v>0.2267545</v>
      </c>
      <c r="I482" s="20" t="n">
        <v>0.2091425</v>
      </c>
      <c r="J482" s="20" t="n">
        <v>0.2267545</v>
      </c>
      <c r="K482" s="2" t="inlineStr">
        <is>
          <t>止盈</t>
        </is>
      </c>
      <c r="L482" s="5">
        <f>交易明細!K238</f>
        <v/>
      </c>
      <c r="M482" s="19">
        <f>M474</f>
        <v/>
      </c>
      <c r="N482" s="2">
        <f>N474</f>
        <v/>
      </c>
      <c r="O482" s="19">
        <f>O474</f>
        <v/>
      </c>
      <c r="P482" s="4">
        <f>交易明細!L238</f>
        <v/>
      </c>
      <c r="Q482" s="13">
        <f>IF(N482="已下單",O482*P482,0)</f>
        <v/>
      </c>
      <c r="R482" s="13">
        <f>R481+Q482</f>
        <v/>
      </c>
      <c r="S482" s="19">
        <f>S481-IF(N482="已下單",M482,0)</f>
        <v/>
      </c>
      <c r="T482" s="19">
        <f>R482-S482</f>
        <v/>
      </c>
      <c r="U482" s="2">
        <f>U481-IF(N482="已下單",1,0)</f>
        <v/>
      </c>
      <c r="V482" s="19">
        <f>IF(資金模擬!$B$9=2,MAX(R482,0),MAX(V481,FLOOR(MAX(R482,0),資金模擬!$B$6)))</f>
        <v/>
      </c>
      <c r="W482" s="13">
        <f>MAX(W481,R482)</f>
        <v/>
      </c>
      <c r="X482" s="4">
        <f>IF(W482&gt;0,R482/W482-1,-1)</f>
        <v/>
      </c>
      <c r="Y482" s="19">
        <f>IF(R482&gt;0,S482*資金模擬!$B$7/R482,0)</f>
        <v/>
      </c>
      <c r="Z482" s="2">
        <f>IF(OR(Z481=1,R482&lt;=資金模擬!$B$10),1,0)</f>
        <v/>
      </c>
    </row>
    <row r="483">
      <c r="A483" s="2" t="n">
        <v>481</v>
      </c>
      <c r="B483" s="7" t="n">
        <v>46281.54166666666</v>
      </c>
      <c r="C483" s="2" t="inlineStr">
        <is>
          <t>進場</t>
        </is>
      </c>
      <c r="D483" s="2" t="n">
        <v>243</v>
      </c>
      <c r="E483" s="2" t="inlineStr">
        <is>
          <t>AKE_USDT_PERP</t>
        </is>
      </c>
      <c r="F483" s="2" t="inlineStr">
        <is>
          <t>做多</t>
        </is>
      </c>
      <c r="G483" s="20" t="n">
        <v>0.0280655</v>
      </c>
      <c r="H483" s="20" t="n">
        <v>0.028907465</v>
      </c>
      <c r="I483" s="20" t="n">
        <v>0.026662225</v>
      </c>
      <c r="J483" s="20" t="n"/>
      <c r="K483" s="2" t="n"/>
      <c r="L483" s="5" t="n"/>
      <c r="M483" s="19">
        <f>資金模擬!$B$5*V482</f>
        <v/>
      </c>
      <c r="N483" s="2">
        <f>IF(Z482=1,"已停止",IF(T482&gt;=M483,"已下單","資金不足略過"))</f>
        <v/>
      </c>
      <c r="O483" s="19">
        <f>IF(N483="已下單",M483*資金模擬!$B$7,0)</f>
        <v/>
      </c>
      <c r="P483" s="4" t="n"/>
      <c r="Q483" s="13" t="n">
        <v>0</v>
      </c>
      <c r="R483" s="13">
        <f>R482+Q483</f>
        <v/>
      </c>
      <c r="S483" s="19">
        <f>S482+IF(N483="已下單",M483,0)</f>
        <v/>
      </c>
      <c r="T483" s="19">
        <f>R483-S483</f>
        <v/>
      </c>
      <c r="U483" s="2">
        <f>U482+IF(N483="已下單",1,0)</f>
        <v/>
      </c>
      <c r="V483" s="19">
        <f>IF(資金模擬!$B$9=2,MAX(R483,0),MAX(V482,FLOOR(MAX(R483,0),資金模擬!$B$6)))</f>
        <v/>
      </c>
      <c r="W483" s="13">
        <f>MAX(W482,R483)</f>
        <v/>
      </c>
      <c r="X483" s="4">
        <f>IF(W483&gt;0,R483/W483-1,-1)</f>
        <v/>
      </c>
      <c r="Y483" s="19">
        <f>IF(R483&gt;0,S483*資金模擬!$B$7/R483,0)</f>
        <v/>
      </c>
      <c r="Z483" s="2">
        <f>IF(OR(Z482=1,R483&lt;=資金模擬!$B$10),1,0)</f>
        <v/>
      </c>
    </row>
    <row r="484">
      <c r="A484" s="2" t="n">
        <v>482</v>
      </c>
      <c r="B484" s="7" t="n">
        <v>46281.625</v>
      </c>
      <c r="C484" s="2" t="inlineStr">
        <is>
          <t>出場</t>
        </is>
      </c>
      <c r="D484" s="2" t="n">
        <v>243</v>
      </c>
      <c r="E484" s="2" t="inlineStr">
        <is>
          <t>AKE_USDT_PERP</t>
        </is>
      </c>
      <c r="F484" s="2" t="inlineStr">
        <is>
          <t>做多</t>
        </is>
      </c>
      <c r="G484" s="20" t="n">
        <v>0.0280655</v>
      </c>
      <c r="H484" s="20" t="n">
        <v>0.028907465</v>
      </c>
      <c r="I484" s="20" t="n">
        <v>0.026662225</v>
      </c>
      <c r="J484" s="20" t="n">
        <v>0.026662225</v>
      </c>
      <c r="K484" s="2" t="inlineStr">
        <is>
          <t>止損</t>
        </is>
      </c>
      <c r="L484" s="5">
        <f>交易明細!K244</f>
        <v/>
      </c>
      <c r="M484" s="19">
        <f>M483</f>
        <v/>
      </c>
      <c r="N484" s="2">
        <f>N483</f>
        <v/>
      </c>
      <c r="O484" s="19">
        <f>O483</f>
        <v/>
      </c>
      <c r="P484" s="4">
        <f>交易明細!L244</f>
        <v/>
      </c>
      <c r="Q484" s="13">
        <f>IF(N484="已下單",O484*P484,0)</f>
        <v/>
      </c>
      <c r="R484" s="13">
        <f>R483+Q484</f>
        <v/>
      </c>
      <c r="S484" s="19">
        <f>S483-IF(N484="已下單",M484,0)</f>
        <v/>
      </c>
      <c r="T484" s="19">
        <f>R484-S484</f>
        <v/>
      </c>
      <c r="U484" s="2">
        <f>U483-IF(N484="已下單",1,0)</f>
        <v/>
      </c>
      <c r="V484" s="19">
        <f>IF(資金模擬!$B$9=2,MAX(R484,0),MAX(V483,FLOOR(MAX(R484,0),資金模擬!$B$6)))</f>
        <v/>
      </c>
      <c r="W484" s="13">
        <f>MAX(W483,R484)</f>
        <v/>
      </c>
      <c r="X484" s="4">
        <f>IF(W484&gt;0,R484/W484-1,-1)</f>
        <v/>
      </c>
      <c r="Y484" s="19">
        <f>IF(R484&gt;0,S484*資金模擬!$B$7/R484,0)</f>
        <v/>
      </c>
      <c r="Z484" s="2">
        <f>IF(OR(Z483=1,R484&lt;=資金模擬!$B$10),1,0)</f>
        <v/>
      </c>
    </row>
    <row r="485">
      <c r="A485" s="2" t="n">
        <v>483</v>
      </c>
      <c r="B485" s="7" t="n">
        <v>46281.625</v>
      </c>
      <c r="C485" s="2" t="inlineStr">
        <is>
          <t>進場</t>
        </is>
      </c>
      <c r="D485" s="2" t="n">
        <v>244</v>
      </c>
      <c r="E485" s="2" t="inlineStr">
        <is>
          <t>ZEC_USDT_PERP</t>
        </is>
      </c>
      <c r="F485" s="2" t="inlineStr">
        <is>
          <t>做多</t>
        </is>
      </c>
      <c r="G485" s="20" t="n">
        <v>1187.67</v>
      </c>
      <c r="H485" s="20" t="n">
        <v>1223.3001</v>
      </c>
      <c r="I485" s="20" t="n">
        <v>1128.2865</v>
      </c>
      <c r="J485" s="20" t="n"/>
      <c r="K485" s="2" t="n"/>
      <c r="L485" s="5" t="n"/>
      <c r="M485" s="19">
        <f>資金模擬!$B$5*V484</f>
        <v/>
      </c>
      <c r="N485" s="2">
        <f>IF(Z484=1,"已停止",IF(T484&gt;=M485,"已下單","資金不足略過"))</f>
        <v/>
      </c>
      <c r="O485" s="19">
        <f>IF(N485="已下單",M485*資金模擬!$B$7,0)</f>
        <v/>
      </c>
      <c r="P485" s="4" t="n"/>
      <c r="Q485" s="13" t="n">
        <v>0</v>
      </c>
      <c r="R485" s="13">
        <f>R484+Q485</f>
        <v/>
      </c>
      <c r="S485" s="19">
        <f>S484+IF(N485="已下單",M485,0)</f>
        <v/>
      </c>
      <c r="T485" s="19">
        <f>R485-S485</f>
        <v/>
      </c>
      <c r="U485" s="2">
        <f>U484+IF(N485="已下單",1,0)</f>
        <v/>
      </c>
      <c r="V485" s="19">
        <f>IF(資金模擬!$B$9=2,MAX(R485,0),MAX(V484,FLOOR(MAX(R485,0),資金模擬!$B$6)))</f>
        <v/>
      </c>
      <c r="W485" s="13">
        <f>MAX(W484,R485)</f>
        <v/>
      </c>
      <c r="X485" s="4">
        <f>IF(W485&gt;0,R485/W485-1,-1)</f>
        <v/>
      </c>
      <c r="Y485" s="19">
        <f>IF(R485&gt;0,S485*資金模擬!$B$7/R485,0)</f>
        <v/>
      </c>
      <c r="Z485" s="2">
        <f>IF(OR(Z484=1,R485&lt;=資金模擬!$B$10),1,0)</f>
        <v/>
      </c>
    </row>
    <row r="486">
      <c r="A486" s="2" t="n">
        <v>484</v>
      </c>
      <c r="B486" s="7" t="n">
        <v>46281.70833333334</v>
      </c>
      <c r="C486" s="2" t="inlineStr">
        <is>
          <t>出場</t>
        </is>
      </c>
      <c r="D486" s="2" t="n">
        <v>236</v>
      </c>
      <c r="E486" s="2" t="inlineStr">
        <is>
          <t>SKYAI_USDT_PERP</t>
        </is>
      </c>
      <c r="F486" s="2" t="inlineStr">
        <is>
          <t>做空</t>
        </is>
      </c>
      <c r="G486" s="20" t="n">
        <v>0.05174</v>
      </c>
      <c r="H486" s="20" t="n">
        <v>0.0501878</v>
      </c>
      <c r="I486" s="20" t="n">
        <v>0.054327</v>
      </c>
      <c r="J486" s="20" t="n">
        <v>0.054327</v>
      </c>
      <c r="K486" s="2" t="inlineStr">
        <is>
          <t>止損</t>
        </is>
      </c>
      <c r="L486" s="5">
        <f>交易明細!K237</f>
        <v/>
      </c>
      <c r="M486" s="19">
        <f>M473</f>
        <v/>
      </c>
      <c r="N486" s="2">
        <f>N473</f>
        <v/>
      </c>
      <c r="O486" s="19">
        <f>O473</f>
        <v/>
      </c>
      <c r="P486" s="4">
        <f>交易明細!L237</f>
        <v/>
      </c>
      <c r="Q486" s="13">
        <f>IF(N486="已下單",O486*P486,0)</f>
        <v/>
      </c>
      <c r="R486" s="13">
        <f>R485+Q486</f>
        <v/>
      </c>
      <c r="S486" s="19">
        <f>S485-IF(N486="已下單",M486,0)</f>
        <v/>
      </c>
      <c r="T486" s="19">
        <f>R486-S486</f>
        <v/>
      </c>
      <c r="U486" s="2">
        <f>U485-IF(N486="已下單",1,0)</f>
        <v/>
      </c>
      <c r="V486" s="19">
        <f>IF(資金模擬!$B$9=2,MAX(R486,0),MAX(V485,FLOOR(MAX(R486,0),資金模擬!$B$6)))</f>
        <v/>
      </c>
      <c r="W486" s="13">
        <f>MAX(W485,R486)</f>
        <v/>
      </c>
      <c r="X486" s="4">
        <f>IF(W486&gt;0,R486/W486-1,-1)</f>
        <v/>
      </c>
      <c r="Y486" s="19">
        <f>IF(R486&gt;0,S486*資金模擬!$B$7/R486,0)</f>
        <v/>
      </c>
      <c r="Z486" s="2">
        <f>IF(OR(Z485=1,R486&lt;=資金模擬!$B$10),1,0)</f>
        <v/>
      </c>
    </row>
    <row r="487">
      <c r="A487" s="2" t="n">
        <v>485</v>
      </c>
      <c r="B487" s="7" t="n">
        <v>46281.70833333334</v>
      </c>
      <c r="C487" s="2" t="inlineStr">
        <is>
          <t>出場</t>
        </is>
      </c>
      <c r="D487" s="2" t="n">
        <v>241</v>
      </c>
      <c r="E487" s="2" t="inlineStr">
        <is>
          <t>牛来_USDT_PERP</t>
        </is>
      </c>
      <c r="F487" s="2" t="inlineStr">
        <is>
          <t>做空</t>
        </is>
      </c>
      <c r="G487" s="20" t="n">
        <v>0.11407</v>
      </c>
      <c r="H487" s="20" t="n">
        <v>0.1106479</v>
      </c>
      <c r="I487" s="20" t="n">
        <v>0.1197735</v>
      </c>
      <c r="J487" s="20" t="n">
        <v>0.1106479</v>
      </c>
      <c r="K487" s="2" t="inlineStr">
        <is>
          <t>止盈</t>
        </is>
      </c>
      <c r="L487" s="5">
        <f>交易明細!K242</f>
        <v/>
      </c>
      <c r="M487" s="19">
        <f>M478</f>
        <v/>
      </c>
      <c r="N487" s="2">
        <f>N478</f>
        <v/>
      </c>
      <c r="O487" s="19">
        <f>O478</f>
        <v/>
      </c>
      <c r="P487" s="4">
        <f>交易明細!L242</f>
        <v/>
      </c>
      <c r="Q487" s="13">
        <f>IF(N487="已下單",O487*P487,0)</f>
        <v/>
      </c>
      <c r="R487" s="13">
        <f>R486+Q487</f>
        <v/>
      </c>
      <c r="S487" s="19">
        <f>S486-IF(N487="已下單",M487,0)</f>
        <v/>
      </c>
      <c r="T487" s="19">
        <f>R487-S487</f>
        <v/>
      </c>
      <c r="U487" s="2">
        <f>U486-IF(N487="已下單",1,0)</f>
        <v/>
      </c>
      <c r="V487" s="19">
        <f>IF(資金模擬!$B$9=2,MAX(R487,0),MAX(V486,FLOOR(MAX(R487,0),資金模擬!$B$6)))</f>
        <v/>
      </c>
      <c r="W487" s="13">
        <f>MAX(W486,R487)</f>
        <v/>
      </c>
      <c r="X487" s="4">
        <f>IF(W487&gt;0,R487/W487-1,-1)</f>
        <v/>
      </c>
      <c r="Y487" s="19">
        <f>IF(R487&gt;0,S487*資金模擬!$B$7/R487,0)</f>
        <v/>
      </c>
      <c r="Z487" s="2">
        <f>IF(OR(Z486=1,R487&lt;=資金模擬!$B$10),1,0)</f>
        <v/>
      </c>
    </row>
    <row r="488">
      <c r="A488" s="2" t="n">
        <v>486</v>
      </c>
      <c r="B488" s="7" t="n">
        <v>46281.75</v>
      </c>
      <c r="C488" s="2" t="inlineStr">
        <is>
          <t>出場</t>
        </is>
      </c>
      <c r="D488" s="2" t="n">
        <v>239</v>
      </c>
      <c r="E488" s="2" t="inlineStr">
        <is>
          <t>PUMP_USDT_PERP</t>
        </is>
      </c>
      <c r="F488" s="2" t="inlineStr">
        <is>
          <t>做空</t>
        </is>
      </c>
      <c r="G488" s="20" t="n">
        <v>0.003404</v>
      </c>
      <c r="H488" s="20" t="n">
        <v>0.00330188</v>
      </c>
      <c r="I488" s="20" t="n">
        <v>0.0035742</v>
      </c>
      <c r="J488" s="20" t="n">
        <v>0.0035742</v>
      </c>
      <c r="K488" s="2" t="inlineStr">
        <is>
          <t>止損</t>
        </is>
      </c>
      <c r="L488" s="5">
        <f>交易明細!K240</f>
        <v/>
      </c>
      <c r="M488" s="19">
        <f>M476</f>
        <v/>
      </c>
      <c r="N488" s="2">
        <f>N476</f>
        <v/>
      </c>
      <c r="O488" s="19">
        <f>O476</f>
        <v/>
      </c>
      <c r="P488" s="4">
        <f>交易明細!L240</f>
        <v/>
      </c>
      <c r="Q488" s="13">
        <f>IF(N488="已下單",O488*P488,0)</f>
        <v/>
      </c>
      <c r="R488" s="13">
        <f>R487+Q488</f>
        <v/>
      </c>
      <c r="S488" s="19">
        <f>S487-IF(N488="已下單",M488,0)</f>
        <v/>
      </c>
      <c r="T488" s="19">
        <f>R488-S488</f>
        <v/>
      </c>
      <c r="U488" s="2">
        <f>U487-IF(N488="已下單",1,0)</f>
        <v/>
      </c>
      <c r="V488" s="19">
        <f>IF(資金模擬!$B$9=2,MAX(R488,0),MAX(V487,FLOOR(MAX(R488,0),資金模擬!$B$6)))</f>
        <v/>
      </c>
      <c r="W488" s="13">
        <f>MAX(W487,R488)</f>
        <v/>
      </c>
      <c r="X488" s="4">
        <f>IF(W488&gt;0,R488/W488-1,-1)</f>
        <v/>
      </c>
      <c r="Y488" s="19">
        <f>IF(R488&gt;0,S488*資金模擬!$B$7/R488,0)</f>
        <v/>
      </c>
      <c r="Z488" s="2">
        <f>IF(OR(Z487=1,R488&lt;=資金模擬!$B$10),1,0)</f>
        <v/>
      </c>
    </row>
    <row r="489">
      <c r="A489" s="2" t="n">
        <v>487</v>
      </c>
      <c r="B489" s="7" t="n">
        <v>46281.79166666666</v>
      </c>
      <c r="C489" s="2" t="inlineStr">
        <is>
          <t>進場</t>
        </is>
      </c>
      <c r="D489" s="2" t="n">
        <v>245</v>
      </c>
      <c r="E489" s="2" t="inlineStr">
        <is>
          <t>AKE_USDT_PERP</t>
        </is>
      </c>
      <c r="F489" s="2" t="inlineStr">
        <is>
          <t>做多</t>
        </is>
      </c>
      <c r="G489" s="20" t="n">
        <v>0.0287685</v>
      </c>
      <c r="H489" s="20" t="n">
        <v>0.029631555</v>
      </c>
      <c r="I489" s="20" t="n">
        <v>0.027330075</v>
      </c>
      <c r="J489" s="20" t="n"/>
      <c r="K489" s="2" t="n"/>
      <c r="L489" s="5" t="n"/>
      <c r="M489" s="19">
        <f>資金模擬!$B$5*V488</f>
        <v/>
      </c>
      <c r="N489" s="2">
        <f>IF(Z488=1,"已停止",IF(T488&gt;=M489,"已下單","資金不足略過"))</f>
        <v/>
      </c>
      <c r="O489" s="19">
        <f>IF(N489="已下單",M489*資金模擬!$B$7,0)</f>
        <v/>
      </c>
      <c r="P489" s="4" t="n"/>
      <c r="Q489" s="13" t="n">
        <v>0</v>
      </c>
      <c r="R489" s="13">
        <f>R488+Q489</f>
        <v/>
      </c>
      <c r="S489" s="19">
        <f>S488+IF(N489="已下單",M489,0)</f>
        <v/>
      </c>
      <c r="T489" s="19">
        <f>R489-S489</f>
        <v/>
      </c>
      <c r="U489" s="2">
        <f>U488+IF(N489="已下單",1,0)</f>
        <v/>
      </c>
      <c r="V489" s="19">
        <f>IF(資金模擬!$B$9=2,MAX(R489,0),MAX(V488,FLOOR(MAX(R489,0),資金模擬!$B$6)))</f>
        <v/>
      </c>
      <c r="W489" s="13">
        <f>MAX(W488,R489)</f>
        <v/>
      </c>
      <c r="X489" s="4">
        <f>IF(W489&gt;0,R489/W489-1,-1)</f>
        <v/>
      </c>
      <c r="Y489" s="19">
        <f>IF(R489&gt;0,S489*資金模擬!$B$7/R489,0)</f>
        <v/>
      </c>
      <c r="Z489" s="2">
        <f>IF(OR(Z488=1,R489&lt;=資金模擬!$B$10),1,0)</f>
        <v/>
      </c>
    </row>
    <row r="490">
      <c r="A490" s="2" t="n">
        <v>488</v>
      </c>
      <c r="B490" s="7" t="n">
        <v>46281.83333333334</v>
      </c>
      <c r="C490" s="2" t="inlineStr">
        <is>
          <t>出場</t>
        </is>
      </c>
      <c r="D490" s="2" t="n">
        <v>244</v>
      </c>
      <c r="E490" s="2" t="inlineStr">
        <is>
          <t>ZEC_USDT_PERP</t>
        </is>
      </c>
      <c r="F490" s="2" t="inlineStr">
        <is>
          <t>做多</t>
        </is>
      </c>
      <c r="G490" s="20" t="n">
        <v>1187.67</v>
      </c>
      <c r="H490" s="20" t="n">
        <v>1223.3001</v>
      </c>
      <c r="I490" s="20" t="n">
        <v>1128.2865</v>
      </c>
      <c r="J490" s="20" t="n">
        <v>1223.3001</v>
      </c>
      <c r="K490" s="2" t="inlineStr">
        <is>
          <t>止盈</t>
        </is>
      </c>
      <c r="L490" s="5">
        <f>交易明細!K245</f>
        <v/>
      </c>
      <c r="M490" s="19">
        <f>M485</f>
        <v/>
      </c>
      <c r="N490" s="2">
        <f>N485</f>
        <v/>
      </c>
      <c r="O490" s="19">
        <f>O485</f>
        <v/>
      </c>
      <c r="P490" s="4">
        <f>交易明細!L245</f>
        <v/>
      </c>
      <c r="Q490" s="13">
        <f>IF(N490="已下單",O490*P490,0)</f>
        <v/>
      </c>
      <c r="R490" s="13">
        <f>R489+Q490</f>
        <v/>
      </c>
      <c r="S490" s="19">
        <f>S489-IF(N490="已下單",M490,0)</f>
        <v/>
      </c>
      <c r="T490" s="19">
        <f>R490-S490</f>
        <v/>
      </c>
      <c r="U490" s="2">
        <f>U489-IF(N490="已下單",1,0)</f>
        <v/>
      </c>
      <c r="V490" s="19">
        <f>IF(資金模擬!$B$9=2,MAX(R490,0),MAX(V489,FLOOR(MAX(R490,0),資金模擬!$B$6)))</f>
        <v/>
      </c>
      <c r="W490" s="13">
        <f>MAX(W489,R490)</f>
        <v/>
      </c>
      <c r="X490" s="4">
        <f>IF(W490&gt;0,R490/W490-1,-1)</f>
        <v/>
      </c>
      <c r="Y490" s="19">
        <f>IF(R490&gt;0,S490*資金模擬!$B$7/R490,0)</f>
        <v/>
      </c>
      <c r="Z490" s="2">
        <f>IF(OR(Z489=1,R490&lt;=資金模擬!$B$10),1,0)</f>
        <v/>
      </c>
    </row>
    <row r="491">
      <c r="A491" s="2" t="n">
        <v>489</v>
      </c>
      <c r="B491" s="7" t="n">
        <v>46281.875</v>
      </c>
      <c r="C491" s="2" t="inlineStr">
        <is>
          <t>出場</t>
        </is>
      </c>
      <c r="D491" s="2" t="n">
        <v>245</v>
      </c>
      <c r="E491" s="2" t="inlineStr">
        <is>
          <t>AKE_USDT_PERP</t>
        </is>
      </c>
      <c r="F491" s="2" t="inlineStr">
        <is>
          <t>做多</t>
        </is>
      </c>
      <c r="G491" s="20" t="n">
        <v>0.0287685</v>
      </c>
      <c r="H491" s="20" t="n">
        <v>0.029631555</v>
      </c>
      <c r="I491" s="20" t="n">
        <v>0.027330075</v>
      </c>
      <c r="J491" s="20" t="n">
        <v>0.027330075</v>
      </c>
      <c r="K491" s="2" t="inlineStr">
        <is>
          <t>止損</t>
        </is>
      </c>
      <c r="L491" s="5">
        <f>交易明細!K246</f>
        <v/>
      </c>
      <c r="M491" s="19">
        <f>M489</f>
        <v/>
      </c>
      <c r="N491" s="2">
        <f>N489</f>
        <v/>
      </c>
      <c r="O491" s="19">
        <f>O489</f>
        <v/>
      </c>
      <c r="P491" s="4">
        <f>交易明細!L246</f>
        <v/>
      </c>
      <c r="Q491" s="13">
        <f>IF(N491="已下單",O491*P491,0)</f>
        <v/>
      </c>
      <c r="R491" s="13">
        <f>R490+Q491</f>
        <v/>
      </c>
      <c r="S491" s="19">
        <f>S490-IF(N491="已下單",M491,0)</f>
        <v/>
      </c>
      <c r="T491" s="19">
        <f>R491-S491</f>
        <v/>
      </c>
      <c r="U491" s="2">
        <f>U490-IF(N491="已下單",1,0)</f>
        <v/>
      </c>
      <c r="V491" s="19">
        <f>IF(資金模擬!$B$9=2,MAX(R491,0),MAX(V490,FLOOR(MAX(R491,0),資金模擬!$B$6)))</f>
        <v/>
      </c>
      <c r="W491" s="13">
        <f>MAX(W490,R491)</f>
        <v/>
      </c>
      <c r="X491" s="4">
        <f>IF(W491&gt;0,R491/W491-1,-1)</f>
        <v/>
      </c>
      <c r="Y491" s="19">
        <f>IF(R491&gt;0,S491*資金模擬!$B$7/R491,0)</f>
        <v/>
      </c>
      <c r="Z491" s="2">
        <f>IF(OR(Z490=1,R491&lt;=資金模擬!$B$10),1,0)</f>
        <v/>
      </c>
    </row>
    <row r="492">
      <c r="A492" s="2" t="n">
        <v>490</v>
      </c>
      <c r="B492" s="7" t="n">
        <v>46281.875</v>
      </c>
      <c r="C492" s="2" t="inlineStr">
        <is>
          <t>進場</t>
        </is>
      </c>
      <c r="D492" s="2" t="n">
        <v>246</v>
      </c>
      <c r="E492" s="2" t="inlineStr">
        <is>
          <t>牛来_USDT_PERP</t>
        </is>
      </c>
      <c r="F492" s="2" t="inlineStr">
        <is>
          <t>做空</t>
        </is>
      </c>
      <c r="G492" s="20" t="n">
        <v>0.10822</v>
      </c>
      <c r="H492" s="20" t="n">
        <v>0.1049734</v>
      </c>
      <c r="I492" s="20" t="n">
        <v>0.113631</v>
      </c>
      <c r="J492" s="20" t="n"/>
      <c r="K492" s="2" t="n"/>
      <c r="L492" s="5" t="n"/>
      <c r="M492" s="19">
        <f>資金模擬!$B$5*V491</f>
        <v/>
      </c>
      <c r="N492" s="2">
        <f>IF(Z491=1,"已停止",IF(T491&gt;=M492,"已下單","資金不足略過"))</f>
        <v/>
      </c>
      <c r="O492" s="19">
        <f>IF(N492="已下單",M492*資金模擬!$B$7,0)</f>
        <v/>
      </c>
      <c r="P492" s="4" t="n"/>
      <c r="Q492" s="13" t="n">
        <v>0</v>
      </c>
      <c r="R492" s="13">
        <f>R491+Q492</f>
        <v/>
      </c>
      <c r="S492" s="19">
        <f>S491+IF(N492="已下單",M492,0)</f>
        <v/>
      </c>
      <c r="T492" s="19">
        <f>R492-S492</f>
        <v/>
      </c>
      <c r="U492" s="2">
        <f>U491+IF(N492="已下單",1,0)</f>
        <v/>
      </c>
      <c r="V492" s="19">
        <f>IF(資金模擬!$B$9=2,MAX(R492,0),MAX(V491,FLOOR(MAX(R492,0),資金模擬!$B$6)))</f>
        <v/>
      </c>
      <c r="W492" s="13">
        <f>MAX(W491,R492)</f>
        <v/>
      </c>
      <c r="X492" s="4">
        <f>IF(W492&gt;0,R492/W492-1,-1)</f>
        <v/>
      </c>
      <c r="Y492" s="19">
        <f>IF(R492&gt;0,S492*資金模擬!$B$7/R492,0)</f>
        <v/>
      </c>
      <c r="Z492" s="2">
        <f>IF(OR(Z491=1,R492&lt;=資金模擬!$B$10),1,0)</f>
        <v/>
      </c>
    </row>
    <row r="493">
      <c r="A493" s="2" t="n">
        <v>491</v>
      </c>
      <c r="B493" s="7" t="n">
        <v>46281.95833333334</v>
      </c>
      <c r="C493" s="2" t="inlineStr">
        <is>
          <t>出場</t>
        </is>
      </c>
      <c r="D493" s="2" t="n">
        <v>240</v>
      </c>
      <c r="E493" s="2" t="inlineStr">
        <is>
          <t>UNI_USDT_PERP</t>
        </is>
      </c>
      <c r="F493" s="2" t="inlineStr">
        <is>
          <t>做空</t>
        </is>
      </c>
      <c r="G493" s="20" t="n">
        <v>6.241</v>
      </c>
      <c r="H493" s="20" t="n">
        <v>6.053769999999999</v>
      </c>
      <c r="I493" s="20" t="n">
        <v>6.55305</v>
      </c>
      <c r="J493" s="20" t="n">
        <v>6.053769999999999</v>
      </c>
      <c r="K493" s="2" t="inlineStr">
        <is>
          <t>止盈</t>
        </is>
      </c>
      <c r="L493" s="5">
        <f>交易明細!K241</f>
        <v/>
      </c>
      <c r="M493" s="19">
        <f>M477</f>
        <v/>
      </c>
      <c r="N493" s="2">
        <f>N477</f>
        <v/>
      </c>
      <c r="O493" s="19">
        <f>O477</f>
        <v/>
      </c>
      <c r="P493" s="4">
        <f>交易明細!L241</f>
        <v/>
      </c>
      <c r="Q493" s="13">
        <f>IF(N493="已下單",O493*P493,0)</f>
        <v/>
      </c>
      <c r="R493" s="13">
        <f>R492+Q493</f>
        <v/>
      </c>
      <c r="S493" s="19">
        <f>S492-IF(N493="已下單",M493,0)</f>
        <v/>
      </c>
      <c r="T493" s="19">
        <f>R493-S493</f>
        <v/>
      </c>
      <c r="U493" s="2">
        <f>U492-IF(N493="已下單",1,0)</f>
        <v/>
      </c>
      <c r="V493" s="19">
        <f>IF(資金模擬!$B$9=2,MAX(R493,0),MAX(V492,FLOOR(MAX(R493,0),資金模擬!$B$6)))</f>
        <v/>
      </c>
      <c r="W493" s="13">
        <f>MAX(W492,R493)</f>
        <v/>
      </c>
      <c r="X493" s="4">
        <f>IF(W493&gt;0,R493/W493-1,-1)</f>
        <v/>
      </c>
      <c r="Y493" s="19">
        <f>IF(R493&gt;0,S493*資金模擬!$B$7/R493,0)</f>
        <v/>
      </c>
      <c r="Z493" s="2">
        <f>IF(OR(Z492=1,R493&lt;=資金模擬!$B$10),1,0)</f>
        <v/>
      </c>
    </row>
    <row r="494">
      <c r="A494" s="2" t="n">
        <v>492</v>
      </c>
      <c r="B494" s="7" t="n">
        <v>46282</v>
      </c>
      <c r="C494" s="2" t="inlineStr">
        <is>
          <t>出場</t>
        </is>
      </c>
      <c r="D494" s="2" t="n">
        <v>246</v>
      </c>
      <c r="E494" s="2" t="inlineStr">
        <is>
          <t>牛来_USDT_PERP</t>
        </is>
      </c>
      <c r="F494" s="2" t="inlineStr">
        <is>
          <t>做空</t>
        </is>
      </c>
      <c r="G494" s="20" t="n">
        <v>0.10822</v>
      </c>
      <c r="H494" s="20" t="n">
        <v>0.1049734</v>
      </c>
      <c r="I494" s="20" t="n">
        <v>0.113631</v>
      </c>
      <c r="J494" s="20" t="n">
        <v>0.1049734</v>
      </c>
      <c r="K494" s="2" t="inlineStr">
        <is>
          <t>止盈</t>
        </is>
      </c>
      <c r="L494" s="5">
        <f>交易明細!K247</f>
        <v/>
      </c>
      <c r="M494" s="19">
        <f>M492</f>
        <v/>
      </c>
      <c r="N494" s="2">
        <f>N492</f>
        <v/>
      </c>
      <c r="O494" s="19">
        <f>O492</f>
        <v/>
      </c>
      <c r="P494" s="4">
        <f>交易明細!L247</f>
        <v/>
      </c>
      <c r="Q494" s="13">
        <f>IF(N494="已下單",O494*P494,0)</f>
        <v/>
      </c>
      <c r="R494" s="13">
        <f>R493+Q494</f>
        <v/>
      </c>
      <c r="S494" s="19">
        <f>S493-IF(N494="已下單",M494,0)</f>
        <v/>
      </c>
      <c r="T494" s="19">
        <f>R494-S494</f>
        <v/>
      </c>
      <c r="U494" s="2">
        <f>U493-IF(N494="已下單",1,0)</f>
        <v/>
      </c>
      <c r="V494" s="19">
        <f>IF(資金模擬!$B$9=2,MAX(R494,0),MAX(V493,FLOOR(MAX(R494,0),資金模擬!$B$6)))</f>
        <v/>
      </c>
      <c r="W494" s="13">
        <f>MAX(W493,R494)</f>
        <v/>
      </c>
      <c r="X494" s="4">
        <f>IF(W494&gt;0,R494/W494-1,-1)</f>
        <v/>
      </c>
      <c r="Y494" s="19">
        <f>IF(R494&gt;0,S494*資金模擬!$B$7/R494,0)</f>
        <v/>
      </c>
      <c r="Z494" s="2">
        <f>IF(OR(Z493=1,R494&lt;=資金模擬!$B$10),1,0)</f>
        <v/>
      </c>
    </row>
    <row r="495">
      <c r="A495" s="2" t="n">
        <v>493</v>
      </c>
      <c r="B495" s="7" t="n">
        <v>46282</v>
      </c>
      <c r="C495" s="2" t="inlineStr">
        <is>
          <t>進場</t>
        </is>
      </c>
      <c r="D495" s="2" t="n">
        <v>247</v>
      </c>
      <c r="E495" s="2" t="inlineStr">
        <is>
          <t>USELESS_USDT_PERP</t>
        </is>
      </c>
      <c r="F495" s="2" t="inlineStr">
        <is>
          <t>做空</t>
        </is>
      </c>
      <c r="G495" s="20" t="n">
        <v>0.225</v>
      </c>
      <c r="H495" s="20" t="n">
        <v>0.21825</v>
      </c>
      <c r="I495" s="20" t="n">
        <v>0.23625</v>
      </c>
      <c r="J495" s="20" t="n"/>
      <c r="K495" s="2" t="n"/>
      <c r="L495" s="5" t="n"/>
      <c r="M495" s="19">
        <f>資金模擬!$B$5*V494</f>
        <v/>
      </c>
      <c r="N495" s="2">
        <f>IF(Z494=1,"已停止",IF(T494&gt;=M495,"已下單","資金不足略過"))</f>
        <v/>
      </c>
      <c r="O495" s="19">
        <f>IF(N495="已下單",M495*資金模擬!$B$7,0)</f>
        <v/>
      </c>
      <c r="P495" s="4" t="n"/>
      <c r="Q495" s="13" t="n">
        <v>0</v>
      </c>
      <c r="R495" s="13">
        <f>R494+Q495</f>
        <v/>
      </c>
      <c r="S495" s="19">
        <f>S494+IF(N495="已下單",M495,0)</f>
        <v/>
      </c>
      <c r="T495" s="19">
        <f>R495-S495</f>
        <v/>
      </c>
      <c r="U495" s="2">
        <f>U494+IF(N495="已下單",1,0)</f>
        <v/>
      </c>
      <c r="V495" s="19">
        <f>IF(資金模擬!$B$9=2,MAX(R495,0),MAX(V494,FLOOR(MAX(R495,0),資金模擬!$B$6)))</f>
        <v/>
      </c>
      <c r="W495" s="13">
        <f>MAX(W494,R495)</f>
        <v/>
      </c>
      <c r="X495" s="4">
        <f>IF(W495&gt;0,R495/W495-1,-1)</f>
        <v/>
      </c>
      <c r="Y495" s="19">
        <f>IF(R495&gt;0,S495*資金模擬!$B$7/R495,0)</f>
        <v/>
      </c>
      <c r="Z495" s="2">
        <f>IF(OR(Z494=1,R495&lt;=資金模擬!$B$10),1,0)</f>
        <v/>
      </c>
    </row>
    <row r="496">
      <c r="A496" s="2" t="n">
        <v>494</v>
      </c>
      <c r="B496" s="7" t="n">
        <v>46282.125</v>
      </c>
      <c r="C496" s="2" t="inlineStr">
        <is>
          <t>出場</t>
        </is>
      </c>
      <c r="D496" s="2" t="n">
        <v>247</v>
      </c>
      <c r="E496" s="2" t="inlineStr">
        <is>
          <t>USELESS_USDT_PERP</t>
        </is>
      </c>
      <c r="F496" s="2" t="inlineStr">
        <is>
          <t>做空</t>
        </is>
      </c>
      <c r="G496" s="20" t="n">
        <v>0.225</v>
      </c>
      <c r="H496" s="20" t="n">
        <v>0.21825</v>
      </c>
      <c r="I496" s="20" t="n">
        <v>0.23625</v>
      </c>
      <c r="J496" s="20" t="n">
        <v>0.23625</v>
      </c>
      <c r="K496" s="2" t="inlineStr">
        <is>
          <t>止損</t>
        </is>
      </c>
      <c r="L496" s="5">
        <f>交易明細!K248</f>
        <v/>
      </c>
      <c r="M496" s="19">
        <f>M495</f>
        <v/>
      </c>
      <c r="N496" s="2">
        <f>N495</f>
        <v/>
      </c>
      <c r="O496" s="19">
        <f>O495</f>
        <v/>
      </c>
      <c r="P496" s="4">
        <f>交易明細!L248</f>
        <v/>
      </c>
      <c r="Q496" s="13">
        <f>IF(N496="已下單",O496*P496,0)</f>
        <v/>
      </c>
      <c r="R496" s="13">
        <f>R495+Q496</f>
        <v/>
      </c>
      <c r="S496" s="19">
        <f>S495-IF(N496="已下單",M496,0)</f>
        <v/>
      </c>
      <c r="T496" s="19">
        <f>R496-S496</f>
        <v/>
      </c>
      <c r="U496" s="2">
        <f>U495-IF(N496="已下單",1,0)</f>
        <v/>
      </c>
      <c r="V496" s="19">
        <f>IF(資金模擬!$B$9=2,MAX(R496,0),MAX(V495,FLOOR(MAX(R496,0),資金模擬!$B$6)))</f>
        <v/>
      </c>
      <c r="W496" s="13">
        <f>MAX(W495,R496)</f>
        <v/>
      </c>
      <c r="X496" s="4">
        <f>IF(W496&gt;0,R496/W496-1,-1)</f>
        <v/>
      </c>
      <c r="Y496" s="19">
        <f>IF(R496&gt;0,S496*資金模擬!$B$7/R496,0)</f>
        <v/>
      </c>
      <c r="Z496" s="2">
        <f>IF(OR(Z495=1,R496&lt;=資金模擬!$B$10),1,0)</f>
        <v/>
      </c>
    </row>
    <row r="497">
      <c r="A497" s="2" t="n">
        <v>495</v>
      </c>
      <c r="B497" s="7" t="n">
        <v>46282.125</v>
      </c>
      <c r="C497" s="2" t="inlineStr">
        <is>
          <t>進場</t>
        </is>
      </c>
      <c r="D497" s="2" t="n">
        <v>248</v>
      </c>
      <c r="E497" s="2" t="inlineStr">
        <is>
          <t>ARB_USDT_PERP</t>
        </is>
      </c>
      <c r="F497" s="2" t="inlineStr">
        <is>
          <t>做多</t>
        </is>
      </c>
      <c r="G497" s="20" t="n">
        <v>0.1633</v>
      </c>
      <c r="H497" s="20" t="n">
        <v>0.168199</v>
      </c>
      <c r="I497" s="20" t="n">
        <v>0.155135</v>
      </c>
      <c r="J497" s="20" t="n"/>
      <c r="K497" s="2" t="n"/>
      <c r="L497" s="5" t="n"/>
      <c r="M497" s="19">
        <f>資金模擬!$B$5*V496</f>
        <v/>
      </c>
      <c r="N497" s="2">
        <f>IF(Z496=1,"已停止",IF(T496&gt;=M497,"已下單","資金不足略過"))</f>
        <v/>
      </c>
      <c r="O497" s="19">
        <f>IF(N497="已下單",M497*資金模擬!$B$7,0)</f>
        <v/>
      </c>
      <c r="P497" s="4" t="n"/>
      <c r="Q497" s="13" t="n">
        <v>0</v>
      </c>
      <c r="R497" s="13">
        <f>R496+Q497</f>
        <v/>
      </c>
      <c r="S497" s="19">
        <f>S496+IF(N497="已下單",M497,0)</f>
        <v/>
      </c>
      <c r="T497" s="19">
        <f>R497-S497</f>
        <v/>
      </c>
      <c r="U497" s="2">
        <f>U496+IF(N497="已下單",1,0)</f>
        <v/>
      </c>
      <c r="V497" s="19">
        <f>IF(資金模擬!$B$9=2,MAX(R497,0),MAX(V496,FLOOR(MAX(R497,0),資金模擬!$B$6)))</f>
        <v/>
      </c>
      <c r="W497" s="13">
        <f>MAX(W496,R497)</f>
        <v/>
      </c>
      <c r="X497" s="4">
        <f>IF(W497&gt;0,R497/W497-1,-1)</f>
        <v/>
      </c>
      <c r="Y497" s="19">
        <f>IF(R497&gt;0,S497*資金模擬!$B$7/R497,0)</f>
        <v/>
      </c>
      <c r="Z497" s="2">
        <f>IF(OR(Z496=1,R497&lt;=資金模擬!$B$10),1,0)</f>
        <v/>
      </c>
    </row>
    <row r="498">
      <c r="A498" s="2" t="n">
        <v>496</v>
      </c>
      <c r="B498" s="7" t="n">
        <v>46282.125</v>
      </c>
      <c r="C498" s="2" t="inlineStr">
        <is>
          <t>進場</t>
        </is>
      </c>
      <c r="D498" s="2" t="n">
        <v>249</v>
      </c>
      <c r="E498" s="2" t="inlineStr">
        <is>
          <t>ENA_USDT_PERP</t>
        </is>
      </c>
      <c r="F498" s="2" t="inlineStr">
        <is>
          <t>做多</t>
        </is>
      </c>
      <c r="G498" s="20" t="n">
        <v>0.1469</v>
      </c>
      <c r="H498" s="20" t="n">
        <v>0.151307</v>
      </c>
      <c r="I498" s="20" t="n">
        <v>0.139555</v>
      </c>
      <c r="J498" s="20" t="n"/>
      <c r="K498" s="2" t="n"/>
      <c r="L498" s="5" t="n"/>
      <c r="M498" s="19">
        <f>資金模擬!$B$5*V497</f>
        <v/>
      </c>
      <c r="N498" s="2">
        <f>IF(Z497=1,"已停止",IF(T497&gt;=M498,"已下單","資金不足略過"))</f>
        <v/>
      </c>
      <c r="O498" s="19">
        <f>IF(N498="已下單",M498*資金模擬!$B$7,0)</f>
        <v/>
      </c>
      <c r="P498" s="4" t="n"/>
      <c r="Q498" s="13" t="n">
        <v>0</v>
      </c>
      <c r="R498" s="13">
        <f>R497+Q498</f>
        <v/>
      </c>
      <c r="S498" s="19">
        <f>S497+IF(N498="已下單",M498,0)</f>
        <v/>
      </c>
      <c r="T498" s="19">
        <f>R498-S498</f>
        <v/>
      </c>
      <c r="U498" s="2">
        <f>U497+IF(N498="已下單",1,0)</f>
        <v/>
      </c>
      <c r="V498" s="19">
        <f>IF(資金模擬!$B$9=2,MAX(R498,0),MAX(V497,FLOOR(MAX(R498,0),資金模擬!$B$6)))</f>
        <v/>
      </c>
      <c r="W498" s="13">
        <f>MAX(W497,R498)</f>
        <v/>
      </c>
      <c r="X498" s="4">
        <f>IF(W498&gt;0,R498/W498-1,-1)</f>
        <v/>
      </c>
      <c r="Y498" s="19">
        <f>IF(R498&gt;0,S498*資金模擬!$B$7/R498,0)</f>
        <v/>
      </c>
      <c r="Z498" s="2">
        <f>IF(OR(Z497=1,R498&lt;=資金模擬!$B$10),1,0)</f>
        <v/>
      </c>
    </row>
    <row r="499">
      <c r="A499" s="2" t="n">
        <v>497</v>
      </c>
      <c r="B499" s="7" t="n">
        <v>46282.125</v>
      </c>
      <c r="C499" s="2" t="inlineStr">
        <is>
          <t>進場</t>
        </is>
      </c>
      <c r="D499" s="2" t="n">
        <v>250</v>
      </c>
      <c r="E499" s="2" t="inlineStr">
        <is>
          <t>UNI_USDT_PERP</t>
        </is>
      </c>
      <c r="F499" s="2" t="inlineStr">
        <is>
          <t>做多</t>
        </is>
      </c>
      <c r="G499" s="20" t="n">
        <v>6.296</v>
      </c>
      <c r="H499" s="20" t="n">
        <v>6.48488</v>
      </c>
      <c r="I499" s="20" t="n">
        <v>5.9812</v>
      </c>
      <c r="J499" s="20" t="n"/>
      <c r="K499" s="2" t="n"/>
      <c r="L499" s="5" t="n"/>
      <c r="M499" s="19">
        <f>資金模擬!$B$5*V498</f>
        <v/>
      </c>
      <c r="N499" s="2">
        <f>IF(Z498=1,"已停止",IF(T498&gt;=M499,"已下單","資金不足略過"))</f>
        <v/>
      </c>
      <c r="O499" s="19">
        <f>IF(N499="已下單",M499*資金模擬!$B$7,0)</f>
        <v/>
      </c>
      <c r="P499" s="4" t="n"/>
      <c r="Q499" s="13" t="n">
        <v>0</v>
      </c>
      <c r="R499" s="13">
        <f>R498+Q499</f>
        <v/>
      </c>
      <c r="S499" s="19">
        <f>S498+IF(N499="已下單",M499,0)</f>
        <v/>
      </c>
      <c r="T499" s="19">
        <f>R499-S499</f>
        <v/>
      </c>
      <c r="U499" s="2">
        <f>U498+IF(N499="已下單",1,0)</f>
        <v/>
      </c>
      <c r="V499" s="19">
        <f>IF(資金模擬!$B$9=2,MAX(R499,0),MAX(V498,FLOOR(MAX(R499,0),資金模擬!$B$6)))</f>
        <v/>
      </c>
      <c r="W499" s="13">
        <f>MAX(W498,R499)</f>
        <v/>
      </c>
      <c r="X499" s="4">
        <f>IF(W499&gt;0,R499/W499-1,-1)</f>
        <v/>
      </c>
      <c r="Y499" s="19">
        <f>IF(R499&gt;0,S499*資金模擬!$B$7/R499,0)</f>
        <v/>
      </c>
      <c r="Z499" s="2">
        <f>IF(OR(Z498=1,R499&lt;=資金模擬!$B$10),1,0)</f>
        <v/>
      </c>
    </row>
    <row r="500">
      <c r="A500" s="2" t="n">
        <v>498</v>
      </c>
      <c r="B500" s="7" t="n">
        <v>46282.125</v>
      </c>
      <c r="C500" s="2" t="inlineStr">
        <is>
          <t>進場</t>
        </is>
      </c>
      <c r="D500" s="2" t="n">
        <v>251</v>
      </c>
      <c r="E500" s="2" t="inlineStr">
        <is>
          <t>VVV_USDT_PERP</t>
        </is>
      </c>
      <c r="F500" s="2" t="inlineStr">
        <is>
          <t>做多</t>
        </is>
      </c>
      <c r="G500" s="20" t="n">
        <v>23.266</v>
      </c>
      <c r="H500" s="20" t="n">
        <v>23.96398</v>
      </c>
      <c r="I500" s="20" t="n">
        <v>22.1027</v>
      </c>
      <c r="J500" s="20" t="n"/>
      <c r="K500" s="2" t="n"/>
      <c r="L500" s="5" t="n"/>
      <c r="M500" s="19">
        <f>資金模擬!$B$5*V499</f>
        <v/>
      </c>
      <c r="N500" s="2">
        <f>IF(Z499=1,"已停止",IF(T499&gt;=M500,"已下單","資金不足略過"))</f>
        <v/>
      </c>
      <c r="O500" s="19">
        <f>IF(N500="已下單",M500*資金模擬!$B$7,0)</f>
        <v/>
      </c>
      <c r="P500" s="4" t="n"/>
      <c r="Q500" s="13" t="n">
        <v>0</v>
      </c>
      <c r="R500" s="13">
        <f>R499+Q500</f>
        <v/>
      </c>
      <c r="S500" s="19">
        <f>S499+IF(N500="已下單",M500,0)</f>
        <v/>
      </c>
      <c r="T500" s="19">
        <f>R500-S500</f>
        <v/>
      </c>
      <c r="U500" s="2">
        <f>U499+IF(N500="已下單",1,0)</f>
        <v/>
      </c>
      <c r="V500" s="19">
        <f>IF(資金模擬!$B$9=2,MAX(R500,0),MAX(V499,FLOOR(MAX(R500,0),資金模擬!$B$6)))</f>
        <v/>
      </c>
      <c r="W500" s="13">
        <f>MAX(W499,R500)</f>
        <v/>
      </c>
      <c r="X500" s="4">
        <f>IF(W500&gt;0,R500/W500-1,-1)</f>
        <v/>
      </c>
      <c r="Y500" s="19">
        <f>IF(R500&gt;0,S500*資金模擬!$B$7/R500,0)</f>
        <v/>
      </c>
      <c r="Z500" s="2">
        <f>IF(OR(Z499=1,R500&lt;=資金模擬!$B$10),1,0)</f>
        <v/>
      </c>
    </row>
    <row r="501">
      <c r="A501" s="2" t="n">
        <v>499</v>
      </c>
      <c r="B501" s="7" t="n">
        <v>46282.125</v>
      </c>
      <c r="C501" s="2" t="inlineStr">
        <is>
          <t>進場</t>
        </is>
      </c>
      <c r="D501" s="2" t="n">
        <v>252</v>
      </c>
      <c r="E501" s="2" t="inlineStr">
        <is>
          <t>ZEN_USDT_PERP</t>
        </is>
      </c>
      <c r="F501" s="2" t="inlineStr">
        <is>
          <t>做多</t>
        </is>
      </c>
      <c r="G501" s="20" t="n">
        <v>6.741</v>
      </c>
      <c r="H501" s="20" t="n">
        <v>6.94323</v>
      </c>
      <c r="I501" s="20" t="n">
        <v>6.403949999999999</v>
      </c>
      <c r="J501" s="20" t="n"/>
      <c r="K501" s="2" t="n"/>
      <c r="L501" s="5" t="n"/>
      <c r="M501" s="19">
        <f>資金模擬!$B$5*V500</f>
        <v/>
      </c>
      <c r="N501" s="2">
        <f>IF(Z500=1,"已停止",IF(T500&gt;=M501,"已下單","資金不足略過"))</f>
        <v/>
      </c>
      <c r="O501" s="19">
        <f>IF(N501="已下單",M501*資金模擬!$B$7,0)</f>
        <v/>
      </c>
      <c r="P501" s="4" t="n"/>
      <c r="Q501" s="13" t="n">
        <v>0</v>
      </c>
      <c r="R501" s="13">
        <f>R500+Q501</f>
        <v/>
      </c>
      <c r="S501" s="19">
        <f>S500+IF(N501="已下單",M501,0)</f>
        <v/>
      </c>
      <c r="T501" s="19">
        <f>R501-S501</f>
        <v/>
      </c>
      <c r="U501" s="2">
        <f>U500+IF(N501="已下單",1,0)</f>
        <v/>
      </c>
      <c r="V501" s="19">
        <f>IF(資金模擬!$B$9=2,MAX(R501,0),MAX(V500,FLOOR(MAX(R501,0),資金模擬!$B$6)))</f>
        <v/>
      </c>
      <c r="W501" s="13">
        <f>MAX(W500,R501)</f>
        <v/>
      </c>
      <c r="X501" s="4">
        <f>IF(W501&gt;0,R501/W501-1,-1)</f>
        <v/>
      </c>
      <c r="Y501" s="19">
        <f>IF(R501&gt;0,S501*資金模擬!$B$7/R501,0)</f>
        <v/>
      </c>
      <c r="Z501" s="2">
        <f>IF(OR(Z500=1,R501&lt;=資金模擬!$B$10),1,0)</f>
        <v/>
      </c>
    </row>
    <row r="502">
      <c r="A502" s="2" t="n">
        <v>500</v>
      </c>
      <c r="B502" s="7" t="n">
        <v>46282.16666666666</v>
      </c>
      <c r="C502" s="2" t="inlineStr">
        <is>
          <t>進場</t>
        </is>
      </c>
      <c r="D502" s="2" t="n">
        <v>253</v>
      </c>
      <c r="E502" s="2" t="inlineStr">
        <is>
          <t>NEAR_USDT_PERP</t>
        </is>
      </c>
      <c r="F502" s="2" t="inlineStr">
        <is>
          <t>做多</t>
        </is>
      </c>
      <c r="G502" s="20" t="n">
        <v>2.547</v>
      </c>
      <c r="H502" s="20" t="n">
        <v>2.62341</v>
      </c>
      <c r="I502" s="20" t="n">
        <v>2.41965</v>
      </c>
      <c r="J502" s="20" t="n"/>
      <c r="K502" s="2" t="n"/>
      <c r="L502" s="5" t="n"/>
      <c r="M502" s="19">
        <f>資金模擬!$B$5*V501</f>
        <v/>
      </c>
      <c r="N502" s="2">
        <f>IF(Z501=1,"已停止",IF(T501&gt;=M502,"已下單","資金不足略過"))</f>
        <v/>
      </c>
      <c r="O502" s="19">
        <f>IF(N502="已下單",M502*資金模擬!$B$7,0)</f>
        <v/>
      </c>
      <c r="P502" s="4" t="n"/>
      <c r="Q502" s="13" t="n">
        <v>0</v>
      </c>
      <c r="R502" s="13">
        <f>R501+Q502</f>
        <v/>
      </c>
      <c r="S502" s="19">
        <f>S501+IF(N502="已下單",M502,0)</f>
        <v/>
      </c>
      <c r="T502" s="19">
        <f>R502-S502</f>
        <v/>
      </c>
      <c r="U502" s="2">
        <f>U501+IF(N502="已下單",1,0)</f>
        <v/>
      </c>
      <c r="V502" s="19">
        <f>IF(資金模擬!$B$9=2,MAX(R502,0),MAX(V501,FLOOR(MAX(R502,0),資金模擬!$B$6)))</f>
        <v/>
      </c>
      <c r="W502" s="13">
        <f>MAX(W501,R502)</f>
        <v/>
      </c>
      <c r="X502" s="4">
        <f>IF(W502&gt;0,R502/W502-1,-1)</f>
        <v/>
      </c>
      <c r="Y502" s="19">
        <f>IF(R502&gt;0,S502*資金模擬!$B$7/R502,0)</f>
        <v/>
      </c>
      <c r="Z502" s="2">
        <f>IF(OR(Z501=1,R502&lt;=資金模擬!$B$10),1,0)</f>
        <v/>
      </c>
    </row>
    <row r="503">
      <c r="A503" s="2" t="n">
        <v>501</v>
      </c>
      <c r="B503" s="7" t="n">
        <v>46282.20833333334</v>
      </c>
      <c r="C503" s="2" t="inlineStr">
        <is>
          <t>出場</t>
        </is>
      </c>
      <c r="D503" s="2" t="n">
        <v>250</v>
      </c>
      <c r="E503" s="2" t="inlineStr">
        <is>
          <t>UNI_USDT_PERP</t>
        </is>
      </c>
      <c r="F503" s="2" t="inlineStr">
        <is>
          <t>做多</t>
        </is>
      </c>
      <c r="G503" s="20" t="n">
        <v>6.296</v>
      </c>
      <c r="H503" s="20" t="n">
        <v>6.48488</v>
      </c>
      <c r="I503" s="20" t="n">
        <v>5.9812</v>
      </c>
      <c r="J503" s="20" t="n">
        <v>6.48488</v>
      </c>
      <c r="K503" s="2" t="inlineStr">
        <is>
          <t>止盈</t>
        </is>
      </c>
      <c r="L503" s="5">
        <f>交易明細!K251</f>
        <v/>
      </c>
      <c r="M503" s="19">
        <f>M499</f>
        <v/>
      </c>
      <c r="N503" s="2">
        <f>N499</f>
        <v/>
      </c>
      <c r="O503" s="19">
        <f>O499</f>
        <v/>
      </c>
      <c r="P503" s="4">
        <f>交易明細!L251</f>
        <v/>
      </c>
      <c r="Q503" s="13">
        <f>IF(N503="已下單",O503*P503,0)</f>
        <v/>
      </c>
      <c r="R503" s="13">
        <f>R502+Q503</f>
        <v/>
      </c>
      <c r="S503" s="19">
        <f>S502-IF(N503="已下單",M503,0)</f>
        <v/>
      </c>
      <c r="T503" s="19">
        <f>R503-S503</f>
        <v/>
      </c>
      <c r="U503" s="2">
        <f>U502-IF(N503="已下單",1,0)</f>
        <v/>
      </c>
      <c r="V503" s="19">
        <f>IF(資金模擬!$B$9=2,MAX(R503,0),MAX(V502,FLOOR(MAX(R503,0),資金模擬!$B$6)))</f>
        <v/>
      </c>
      <c r="W503" s="13">
        <f>MAX(W502,R503)</f>
        <v/>
      </c>
      <c r="X503" s="4">
        <f>IF(W503&gt;0,R503/W503-1,-1)</f>
        <v/>
      </c>
      <c r="Y503" s="19">
        <f>IF(R503&gt;0,S503*資金模擬!$B$7/R503,0)</f>
        <v/>
      </c>
      <c r="Z503" s="2">
        <f>IF(OR(Z502=1,R503&lt;=資金模擬!$B$10),1,0)</f>
        <v/>
      </c>
    </row>
    <row r="504">
      <c r="A504" s="2" t="n">
        <v>502</v>
      </c>
      <c r="B504" s="7" t="n">
        <v>46282.20833333334</v>
      </c>
      <c r="C504" s="2" t="inlineStr">
        <is>
          <t>進場</t>
        </is>
      </c>
      <c r="D504" s="2" t="n">
        <v>254</v>
      </c>
      <c r="E504" s="2" t="inlineStr">
        <is>
          <t>PONS_USDT_PERP</t>
        </is>
      </c>
      <c r="F504" s="2" t="inlineStr">
        <is>
          <t>做空</t>
        </is>
      </c>
      <c r="G504" s="20" t="n">
        <v>0.5614</v>
      </c>
      <c r="H504" s="20" t="n">
        <v>0.544558</v>
      </c>
      <c r="I504" s="20" t="n">
        <v>0.58947</v>
      </c>
      <c r="J504" s="20" t="n"/>
      <c r="K504" s="2" t="n"/>
      <c r="L504" s="5" t="n"/>
      <c r="M504" s="19">
        <f>資金模擬!$B$5*V503</f>
        <v/>
      </c>
      <c r="N504" s="2">
        <f>IF(Z503=1,"已停止",IF(T503&gt;=M504,"已下單","資金不足略過"))</f>
        <v/>
      </c>
      <c r="O504" s="19">
        <f>IF(N504="已下單",M504*資金模擬!$B$7,0)</f>
        <v/>
      </c>
      <c r="P504" s="4" t="n"/>
      <c r="Q504" s="13" t="n">
        <v>0</v>
      </c>
      <c r="R504" s="13">
        <f>R503+Q504</f>
        <v/>
      </c>
      <c r="S504" s="19">
        <f>S503+IF(N504="已下單",M504,0)</f>
        <v/>
      </c>
      <c r="T504" s="19">
        <f>R504-S504</f>
        <v/>
      </c>
      <c r="U504" s="2">
        <f>U503+IF(N504="已下單",1,0)</f>
        <v/>
      </c>
      <c r="V504" s="19">
        <f>IF(資金模擬!$B$9=2,MAX(R504,0),MAX(V503,FLOOR(MAX(R504,0),資金模擬!$B$6)))</f>
        <v/>
      </c>
      <c r="W504" s="13">
        <f>MAX(W503,R504)</f>
        <v/>
      </c>
      <c r="X504" s="4">
        <f>IF(W504&gt;0,R504/W504-1,-1)</f>
        <v/>
      </c>
      <c r="Y504" s="19">
        <f>IF(R504&gt;0,S504*資金模擬!$B$7/R504,0)</f>
        <v/>
      </c>
      <c r="Z504" s="2">
        <f>IF(OR(Z503=1,R504&lt;=資金模擬!$B$10),1,0)</f>
        <v/>
      </c>
    </row>
    <row r="505">
      <c r="A505" s="2" t="n">
        <v>503</v>
      </c>
      <c r="B505" s="7" t="n">
        <v>46282.29166666666</v>
      </c>
      <c r="C505" s="2" t="inlineStr">
        <is>
          <t>進場</t>
        </is>
      </c>
      <c r="D505" s="2" t="n">
        <v>255</v>
      </c>
      <c r="E505" s="2" t="inlineStr">
        <is>
          <t>AIN_USDT_PERP</t>
        </is>
      </c>
      <c r="F505" s="2" t="inlineStr">
        <is>
          <t>做空</t>
        </is>
      </c>
      <c r="G505" s="20" t="n">
        <v>0.02344</v>
      </c>
      <c r="H505" s="20" t="n">
        <v>0.0227368</v>
      </c>
      <c r="I505" s="20" t="n">
        <v>0.024612</v>
      </c>
      <c r="J505" s="20" t="n"/>
      <c r="K505" s="2" t="n"/>
      <c r="L505" s="5" t="n"/>
      <c r="M505" s="19">
        <f>資金模擬!$B$5*V504</f>
        <v/>
      </c>
      <c r="N505" s="2">
        <f>IF(Z504=1,"已停止",IF(T504&gt;=M505,"已下單","資金不足略過"))</f>
        <v/>
      </c>
      <c r="O505" s="19">
        <f>IF(N505="已下單",M505*資金模擬!$B$7,0)</f>
        <v/>
      </c>
      <c r="P505" s="4" t="n"/>
      <c r="Q505" s="13" t="n">
        <v>0</v>
      </c>
      <c r="R505" s="13">
        <f>R504+Q505</f>
        <v/>
      </c>
      <c r="S505" s="19">
        <f>S504+IF(N505="已下單",M505,0)</f>
        <v/>
      </c>
      <c r="T505" s="19">
        <f>R505-S505</f>
        <v/>
      </c>
      <c r="U505" s="2">
        <f>U504+IF(N505="已下單",1,0)</f>
        <v/>
      </c>
      <c r="V505" s="19">
        <f>IF(資金模擬!$B$9=2,MAX(R505,0),MAX(V504,FLOOR(MAX(R505,0),資金模擬!$B$6)))</f>
        <v/>
      </c>
      <c r="W505" s="13">
        <f>MAX(W504,R505)</f>
        <v/>
      </c>
      <c r="X505" s="4">
        <f>IF(W505&gt;0,R505/W505-1,-1)</f>
        <v/>
      </c>
      <c r="Y505" s="19">
        <f>IF(R505&gt;0,S505*資金模擬!$B$7/R505,0)</f>
        <v/>
      </c>
      <c r="Z505" s="2">
        <f>IF(OR(Z504=1,R505&lt;=資金模擬!$B$10),1,0)</f>
        <v/>
      </c>
    </row>
    <row r="506">
      <c r="A506" s="2" t="n">
        <v>504</v>
      </c>
      <c r="B506" s="7" t="n">
        <v>46282.33333333334</v>
      </c>
      <c r="C506" s="2" t="inlineStr">
        <is>
          <t>出場</t>
        </is>
      </c>
      <c r="D506" s="2" t="n">
        <v>248</v>
      </c>
      <c r="E506" s="2" t="inlineStr">
        <is>
          <t>ARB_USDT_PERP</t>
        </is>
      </c>
      <c r="F506" s="2" t="inlineStr">
        <is>
          <t>做多</t>
        </is>
      </c>
      <c r="G506" s="20" t="n">
        <v>0.1633</v>
      </c>
      <c r="H506" s="20" t="n">
        <v>0.168199</v>
      </c>
      <c r="I506" s="20" t="n">
        <v>0.155135</v>
      </c>
      <c r="J506" s="20" t="n">
        <v>0.168199</v>
      </c>
      <c r="K506" s="2" t="inlineStr">
        <is>
          <t>止盈</t>
        </is>
      </c>
      <c r="L506" s="5">
        <f>交易明細!K249</f>
        <v/>
      </c>
      <c r="M506" s="19">
        <f>M497</f>
        <v/>
      </c>
      <c r="N506" s="2">
        <f>N497</f>
        <v/>
      </c>
      <c r="O506" s="19">
        <f>O497</f>
        <v/>
      </c>
      <c r="P506" s="4">
        <f>交易明細!L249</f>
        <v/>
      </c>
      <c r="Q506" s="13">
        <f>IF(N506="已下單",O506*P506,0)</f>
        <v/>
      </c>
      <c r="R506" s="13">
        <f>R505+Q506</f>
        <v/>
      </c>
      <c r="S506" s="19">
        <f>S505-IF(N506="已下單",M506,0)</f>
        <v/>
      </c>
      <c r="T506" s="19">
        <f>R506-S506</f>
        <v/>
      </c>
      <c r="U506" s="2">
        <f>U505-IF(N506="已下單",1,0)</f>
        <v/>
      </c>
      <c r="V506" s="19">
        <f>IF(資金模擬!$B$9=2,MAX(R506,0),MAX(V505,FLOOR(MAX(R506,0),資金模擬!$B$6)))</f>
        <v/>
      </c>
      <c r="W506" s="13">
        <f>MAX(W505,R506)</f>
        <v/>
      </c>
      <c r="X506" s="4">
        <f>IF(W506&gt;0,R506/W506-1,-1)</f>
        <v/>
      </c>
      <c r="Y506" s="19">
        <f>IF(R506&gt;0,S506*資金模擬!$B$7/R506,0)</f>
        <v/>
      </c>
      <c r="Z506" s="2">
        <f>IF(OR(Z505=1,R506&lt;=資金模擬!$B$10),1,0)</f>
        <v/>
      </c>
    </row>
    <row r="507">
      <c r="A507" s="2" t="n">
        <v>505</v>
      </c>
      <c r="B507" s="7" t="n">
        <v>46282.33333333334</v>
      </c>
      <c r="C507" s="2" t="inlineStr">
        <is>
          <t>出場</t>
        </is>
      </c>
      <c r="D507" s="2" t="n">
        <v>253</v>
      </c>
      <c r="E507" s="2" t="inlineStr">
        <is>
          <t>NEAR_USDT_PERP</t>
        </is>
      </c>
      <c r="F507" s="2" t="inlineStr">
        <is>
          <t>做多</t>
        </is>
      </c>
      <c r="G507" s="20" t="n">
        <v>2.547</v>
      </c>
      <c r="H507" s="20" t="n">
        <v>2.62341</v>
      </c>
      <c r="I507" s="20" t="n">
        <v>2.41965</v>
      </c>
      <c r="J507" s="20" t="n">
        <v>2.62341</v>
      </c>
      <c r="K507" s="2" t="inlineStr">
        <is>
          <t>止盈</t>
        </is>
      </c>
      <c r="L507" s="5">
        <f>交易明細!K254</f>
        <v/>
      </c>
      <c r="M507" s="19">
        <f>M502</f>
        <v/>
      </c>
      <c r="N507" s="2">
        <f>N502</f>
        <v/>
      </c>
      <c r="O507" s="19">
        <f>O502</f>
        <v/>
      </c>
      <c r="P507" s="4">
        <f>交易明細!L254</f>
        <v/>
      </c>
      <c r="Q507" s="13">
        <f>IF(N507="已下單",O507*P507,0)</f>
        <v/>
      </c>
      <c r="R507" s="13">
        <f>R506+Q507</f>
        <v/>
      </c>
      <c r="S507" s="19">
        <f>S506-IF(N507="已下單",M507,0)</f>
        <v/>
      </c>
      <c r="T507" s="19">
        <f>R507-S507</f>
        <v/>
      </c>
      <c r="U507" s="2">
        <f>U506-IF(N507="已下單",1,0)</f>
        <v/>
      </c>
      <c r="V507" s="19">
        <f>IF(資金模擬!$B$9=2,MAX(R507,0),MAX(V506,FLOOR(MAX(R507,0),資金模擬!$B$6)))</f>
        <v/>
      </c>
      <c r="W507" s="13">
        <f>MAX(W506,R507)</f>
        <v/>
      </c>
      <c r="X507" s="4">
        <f>IF(W507&gt;0,R507/W507-1,-1)</f>
        <v/>
      </c>
      <c r="Y507" s="19">
        <f>IF(R507&gt;0,S507*資金模擬!$B$7/R507,0)</f>
        <v/>
      </c>
      <c r="Z507" s="2">
        <f>IF(OR(Z506=1,R507&lt;=資金模擬!$B$10),1,0)</f>
        <v/>
      </c>
    </row>
    <row r="508">
      <c r="A508" s="2" t="n">
        <v>506</v>
      </c>
      <c r="B508" s="7" t="n">
        <v>46282.375</v>
      </c>
      <c r="C508" s="2" t="inlineStr">
        <is>
          <t>出場</t>
        </is>
      </c>
      <c r="D508" s="2" t="n">
        <v>249</v>
      </c>
      <c r="E508" s="2" t="inlineStr">
        <is>
          <t>ENA_USDT_PERP</t>
        </is>
      </c>
      <c r="F508" s="2" t="inlineStr">
        <is>
          <t>做多</t>
        </is>
      </c>
      <c r="G508" s="20" t="n">
        <v>0.1469</v>
      </c>
      <c r="H508" s="20" t="n">
        <v>0.151307</v>
      </c>
      <c r="I508" s="20" t="n">
        <v>0.139555</v>
      </c>
      <c r="J508" s="20" t="n">
        <v>0.151307</v>
      </c>
      <c r="K508" s="2" t="inlineStr">
        <is>
          <t>止盈</t>
        </is>
      </c>
      <c r="L508" s="5">
        <f>交易明細!K250</f>
        <v/>
      </c>
      <c r="M508" s="19">
        <f>M498</f>
        <v/>
      </c>
      <c r="N508" s="2">
        <f>N498</f>
        <v/>
      </c>
      <c r="O508" s="19">
        <f>O498</f>
        <v/>
      </c>
      <c r="P508" s="4">
        <f>交易明細!L250</f>
        <v/>
      </c>
      <c r="Q508" s="13">
        <f>IF(N508="已下單",O508*P508,0)</f>
        <v/>
      </c>
      <c r="R508" s="13">
        <f>R507+Q508</f>
        <v/>
      </c>
      <c r="S508" s="19">
        <f>S507-IF(N508="已下單",M508,0)</f>
        <v/>
      </c>
      <c r="T508" s="19">
        <f>R508-S508</f>
        <v/>
      </c>
      <c r="U508" s="2">
        <f>U507-IF(N508="已下單",1,0)</f>
        <v/>
      </c>
      <c r="V508" s="19">
        <f>IF(資金模擬!$B$9=2,MAX(R508,0),MAX(V507,FLOOR(MAX(R508,0),資金模擬!$B$6)))</f>
        <v/>
      </c>
      <c r="W508" s="13">
        <f>MAX(W507,R508)</f>
        <v/>
      </c>
      <c r="X508" s="4">
        <f>IF(W508&gt;0,R508/W508-1,-1)</f>
        <v/>
      </c>
      <c r="Y508" s="19">
        <f>IF(R508&gt;0,S508*資金模擬!$B$7/R508,0)</f>
        <v/>
      </c>
      <c r="Z508" s="2">
        <f>IF(OR(Z507=1,R508&lt;=資金模擬!$B$10),1,0)</f>
        <v/>
      </c>
    </row>
    <row r="509">
      <c r="A509" s="2" t="n">
        <v>507</v>
      </c>
      <c r="B509" s="7" t="n">
        <v>46282.375</v>
      </c>
      <c r="C509" s="2" t="inlineStr">
        <is>
          <t>出場</t>
        </is>
      </c>
      <c r="D509" s="2" t="n">
        <v>251</v>
      </c>
      <c r="E509" s="2" t="inlineStr">
        <is>
          <t>VVV_USDT_PERP</t>
        </is>
      </c>
      <c r="F509" s="2" t="inlineStr">
        <is>
          <t>做多</t>
        </is>
      </c>
      <c r="G509" s="20" t="n">
        <v>23.266</v>
      </c>
      <c r="H509" s="20" t="n">
        <v>23.96398</v>
      </c>
      <c r="I509" s="20" t="n">
        <v>22.1027</v>
      </c>
      <c r="J509" s="20" t="n">
        <v>23.96398</v>
      </c>
      <c r="K509" s="2" t="inlineStr">
        <is>
          <t>止盈</t>
        </is>
      </c>
      <c r="L509" s="5">
        <f>交易明細!K252</f>
        <v/>
      </c>
      <c r="M509" s="19">
        <f>M500</f>
        <v/>
      </c>
      <c r="N509" s="2">
        <f>N500</f>
        <v/>
      </c>
      <c r="O509" s="19">
        <f>O500</f>
        <v/>
      </c>
      <c r="P509" s="4">
        <f>交易明細!L252</f>
        <v/>
      </c>
      <c r="Q509" s="13">
        <f>IF(N509="已下單",O509*P509,0)</f>
        <v/>
      </c>
      <c r="R509" s="13">
        <f>R508+Q509</f>
        <v/>
      </c>
      <c r="S509" s="19">
        <f>S508-IF(N509="已下單",M509,0)</f>
        <v/>
      </c>
      <c r="T509" s="19">
        <f>R509-S509</f>
        <v/>
      </c>
      <c r="U509" s="2">
        <f>U508-IF(N509="已下單",1,0)</f>
        <v/>
      </c>
      <c r="V509" s="19">
        <f>IF(資金模擬!$B$9=2,MAX(R509,0),MAX(V508,FLOOR(MAX(R509,0),資金模擬!$B$6)))</f>
        <v/>
      </c>
      <c r="W509" s="13">
        <f>MAX(W508,R509)</f>
        <v/>
      </c>
      <c r="X509" s="4">
        <f>IF(W509&gt;0,R509/W509-1,-1)</f>
        <v/>
      </c>
      <c r="Y509" s="19">
        <f>IF(R509&gt;0,S509*資金模擬!$B$7/R509,0)</f>
        <v/>
      </c>
      <c r="Z509" s="2">
        <f>IF(OR(Z508=1,R509&lt;=資金模擬!$B$10),1,0)</f>
        <v/>
      </c>
    </row>
    <row r="510">
      <c r="A510" s="2" t="n">
        <v>508</v>
      </c>
      <c r="B510" s="7" t="n">
        <v>46282.375</v>
      </c>
      <c r="C510" s="2" t="inlineStr">
        <is>
          <t>出場</t>
        </is>
      </c>
      <c r="D510" s="2" t="n">
        <v>254</v>
      </c>
      <c r="E510" s="2" t="inlineStr">
        <is>
          <t>PONS_USDT_PERP</t>
        </is>
      </c>
      <c r="F510" s="2" t="inlineStr">
        <is>
          <t>做空</t>
        </is>
      </c>
      <c r="G510" s="20" t="n">
        <v>0.5614</v>
      </c>
      <c r="H510" s="20" t="n">
        <v>0.544558</v>
      </c>
      <c r="I510" s="20" t="n">
        <v>0.58947</v>
      </c>
      <c r="J510" s="20" t="n">
        <v>0.58947</v>
      </c>
      <c r="K510" s="2" t="inlineStr">
        <is>
          <t>止損</t>
        </is>
      </c>
      <c r="L510" s="5">
        <f>交易明細!K255</f>
        <v/>
      </c>
      <c r="M510" s="19">
        <f>M504</f>
        <v/>
      </c>
      <c r="N510" s="2">
        <f>N504</f>
        <v/>
      </c>
      <c r="O510" s="19">
        <f>O504</f>
        <v/>
      </c>
      <c r="P510" s="4">
        <f>交易明細!L255</f>
        <v/>
      </c>
      <c r="Q510" s="13">
        <f>IF(N510="已下單",O510*P510,0)</f>
        <v/>
      </c>
      <c r="R510" s="13">
        <f>R509+Q510</f>
        <v/>
      </c>
      <c r="S510" s="19">
        <f>S509-IF(N510="已下單",M510,0)</f>
        <v/>
      </c>
      <c r="T510" s="19">
        <f>R510-S510</f>
        <v/>
      </c>
      <c r="U510" s="2">
        <f>U509-IF(N510="已下單",1,0)</f>
        <v/>
      </c>
      <c r="V510" s="19">
        <f>IF(資金模擬!$B$9=2,MAX(R510,0),MAX(V509,FLOOR(MAX(R510,0),資金模擬!$B$6)))</f>
        <v/>
      </c>
      <c r="W510" s="13">
        <f>MAX(W509,R510)</f>
        <v/>
      </c>
      <c r="X510" s="4">
        <f>IF(W510&gt;0,R510/W510-1,-1)</f>
        <v/>
      </c>
      <c r="Y510" s="19">
        <f>IF(R510&gt;0,S510*資金模擬!$B$7/R510,0)</f>
        <v/>
      </c>
      <c r="Z510" s="2">
        <f>IF(OR(Z509=1,R510&lt;=資金模擬!$B$10),1,0)</f>
        <v/>
      </c>
    </row>
    <row r="511">
      <c r="A511" s="2" t="n">
        <v>509</v>
      </c>
      <c r="B511" s="7" t="n">
        <v>46282.375</v>
      </c>
      <c r="C511" s="2" t="inlineStr">
        <is>
          <t>出場</t>
        </is>
      </c>
      <c r="D511" s="2" t="n">
        <v>255</v>
      </c>
      <c r="E511" s="2" t="inlineStr">
        <is>
          <t>AIN_USDT_PERP</t>
        </is>
      </c>
      <c r="F511" s="2" t="inlineStr">
        <is>
          <t>做空</t>
        </is>
      </c>
      <c r="G511" s="20" t="n">
        <v>0.02344</v>
      </c>
      <c r="H511" s="20" t="n">
        <v>0.0227368</v>
      </c>
      <c r="I511" s="20" t="n">
        <v>0.024612</v>
      </c>
      <c r="J511" s="20" t="n">
        <v>0.0227368</v>
      </c>
      <c r="K511" s="2" t="inlineStr">
        <is>
          <t>止盈</t>
        </is>
      </c>
      <c r="L511" s="5">
        <f>交易明細!K256</f>
        <v/>
      </c>
      <c r="M511" s="19">
        <f>M505</f>
        <v/>
      </c>
      <c r="N511" s="2">
        <f>N505</f>
        <v/>
      </c>
      <c r="O511" s="19">
        <f>O505</f>
        <v/>
      </c>
      <c r="P511" s="4">
        <f>交易明細!L256</f>
        <v/>
      </c>
      <c r="Q511" s="13">
        <f>IF(N511="已下單",O511*P511,0)</f>
        <v/>
      </c>
      <c r="R511" s="13">
        <f>R510+Q511</f>
        <v/>
      </c>
      <c r="S511" s="19">
        <f>S510-IF(N511="已下單",M511,0)</f>
        <v/>
      </c>
      <c r="T511" s="19">
        <f>R511-S511</f>
        <v/>
      </c>
      <c r="U511" s="2">
        <f>U510-IF(N511="已下單",1,0)</f>
        <v/>
      </c>
      <c r="V511" s="19">
        <f>IF(資金模擬!$B$9=2,MAX(R511,0),MAX(V510,FLOOR(MAX(R511,0),資金模擬!$B$6)))</f>
        <v/>
      </c>
      <c r="W511" s="13">
        <f>MAX(W510,R511)</f>
        <v/>
      </c>
      <c r="X511" s="4">
        <f>IF(W511&gt;0,R511/W511-1,-1)</f>
        <v/>
      </c>
      <c r="Y511" s="19">
        <f>IF(R511&gt;0,S511*資金模擬!$B$7/R511,0)</f>
        <v/>
      </c>
      <c r="Z511" s="2">
        <f>IF(OR(Z510=1,R511&lt;=資金模擬!$B$10),1,0)</f>
        <v/>
      </c>
    </row>
    <row r="512">
      <c r="A512" s="2" t="n">
        <v>510</v>
      </c>
      <c r="B512" s="7" t="n">
        <v>46282.41666666666</v>
      </c>
      <c r="C512" s="2" t="inlineStr">
        <is>
          <t>出場</t>
        </is>
      </c>
      <c r="D512" s="2" t="n">
        <v>252</v>
      </c>
      <c r="E512" s="2" t="inlineStr">
        <is>
          <t>ZEN_USDT_PERP</t>
        </is>
      </c>
      <c r="F512" s="2" t="inlineStr">
        <is>
          <t>做多</t>
        </is>
      </c>
      <c r="G512" s="20" t="n">
        <v>6.741</v>
      </c>
      <c r="H512" s="20" t="n">
        <v>6.94323</v>
      </c>
      <c r="I512" s="20" t="n">
        <v>6.403949999999999</v>
      </c>
      <c r="J512" s="20" t="n">
        <v>6.94323</v>
      </c>
      <c r="K512" s="2" t="inlineStr">
        <is>
          <t>止盈</t>
        </is>
      </c>
      <c r="L512" s="5">
        <f>交易明細!K253</f>
        <v/>
      </c>
      <c r="M512" s="19">
        <f>M501</f>
        <v/>
      </c>
      <c r="N512" s="2">
        <f>N501</f>
        <v/>
      </c>
      <c r="O512" s="19">
        <f>O501</f>
        <v/>
      </c>
      <c r="P512" s="4">
        <f>交易明細!L253</f>
        <v/>
      </c>
      <c r="Q512" s="13">
        <f>IF(N512="已下單",O512*P512,0)</f>
        <v/>
      </c>
      <c r="R512" s="13">
        <f>R511+Q512</f>
        <v/>
      </c>
      <c r="S512" s="19">
        <f>S511-IF(N512="已下單",M512,0)</f>
        <v/>
      </c>
      <c r="T512" s="19">
        <f>R512-S512</f>
        <v/>
      </c>
      <c r="U512" s="2">
        <f>U511-IF(N512="已下單",1,0)</f>
        <v/>
      </c>
      <c r="V512" s="19">
        <f>IF(資金模擬!$B$9=2,MAX(R512,0),MAX(V511,FLOOR(MAX(R512,0),資金模擬!$B$6)))</f>
        <v/>
      </c>
      <c r="W512" s="13">
        <f>MAX(W511,R512)</f>
        <v/>
      </c>
      <c r="X512" s="4">
        <f>IF(W512&gt;0,R512/W512-1,-1)</f>
        <v/>
      </c>
      <c r="Y512" s="19">
        <f>IF(R512&gt;0,S512*資金模擬!$B$7/R512,0)</f>
        <v/>
      </c>
      <c r="Z512" s="2">
        <f>IF(OR(Z511=1,R512&lt;=資金模擬!$B$10),1,0)</f>
        <v/>
      </c>
    </row>
    <row r="513">
      <c r="A513" s="2" t="n">
        <v>511</v>
      </c>
      <c r="B513" s="7" t="n">
        <v>46282.45833333334</v>
      </c>
      <c r="C513" s="2" t="inlineStr">
        <is>
          <t>進場</t>
        </is>
      </c>
      <c r="D513" s="2" t="n">
        <v>256</v>
      </c>
      <c r="E513" s="2" t="inlineStr">
        <is>
          <t>USELESS_USDT_PERP</t>
        </is>
      </c>
      <c r="F513" s="2" t="inlineStr">
        <is>
          <t>做多</t>
        </is>
      </c>
      <c r="G513" s="20" t="n">
        <v>0.24275</v>
      </c>
      <c r="H513" s="20" t="n">
        <v>0.2500325</v>
      </c>
      <c r="I513" s="20" t="n">
        <v>0.2306125</v>
      </c>
      <c r="J513" s="20" t="n"/>
      <c r="K513" s="2" t="n"/>
      <c r="L513" s="5" t="n"/>
      <c r="M513" s="19">
        <f>資金模擬!$B$5*V512</f>
        <v/>
      </c>
      <c r="N513" s="2">
        <f>IF(Z512=1,"已停止",IF(T512&gt;=M513,"已下單","資金不足略過"))</f>
        <v/>
      </c>
      <c r="O513" s="19">
        <f>IF(N513="已下單",M513*資金模擬!$B$7,0)</f>
        <v/>
      </c>
      <c r="P513" s="4" t="n"/>
      <c r="Q513" s="13" t="n">
        <v>0</v>
      </c>
      <c r="R513" s="13">
        <f>R512+Q513</f>
        <v/>
      </c>
      <c r="S513" s="19">
        <f>S512+IF(N513="已下單",M513,0)</f>
        <v/>
      </c>
      <c r="T513" s="19">
        <f>R513-S513</f>
        <v/>
      </c>
      <c r="U513" s="2">
        <f>U512+IF(N513="已下單",1,0)</f>
        <v/>
      </c>
      <c r="V513" s="19">
        <f>IF(資金模擬!$B$9=2,MAX(R513,0),MAX(V512,FLOOR(MAX(R513,0),資金模擬!$B$6)))</f>
        <v/>
      </c>
      <c r="W513" s="13">
        <f>MAX(W512,R513)</f>
        <v/>
      </c>
      <c r="X513" s="4">
        <f>IF(W513&gt;0,R513/W513-1,-1)</f>
        <v/>
      </c>
      <c r="Y513" s="19">
        <f>IF(R513&gt;0,S513*資金模擬!$B$7/R513,0)</f>
        <v/>
      </c>
      <c r="Z513" s="2">
        <f>IF(OR(Z512=1,R513&lt;=資金模擬!$B$10),1,0)</f>
        <v/>
      </c>
    </row>
    <row r="514">
      <c r="A514" s="2" t="n">
        <v>512</v>
      </c>
      <c r="B514" s="7" t="n">
        <v>46282.5</v>
      </c>
      <c r="C514" s="2" t="inlineStr">
        <is>
          <t>出場</t>
        </is>
      </c>
      <c r="D514" s="2" t="n">
        <v>256</v>
      </c>
      <c r="E514" s="2" t="inlineStr">
        <is>
          <t>USELESS_USDT_PERP</t>
        </is>
      </c>
      <c r="F514" s="2" t="inlineStr">
        <is>
          <t>做多</t>
        </is>
      </c>
      <c r="G514" s="20" t="n">
        <v>0.24275</v>
      </c>
      <c r="H514" s="20" t="n">
        <v>0.2500325</v>
      </c>
      <c r="I514" s="20" t="n">
        <v>0.2306125</v>
      </c>
      <c r="J514" s="20" t="n">
        <v>0.2500325</v>
      </c>
      <c r="K514" s="2" t="inlineStr">
        <is>
          <t>止盈</t>
        </is>
      </c>
      <c r="L514" s="5">
        <f>交易明細!K257</f>
        <v/>
      </c>
      <c r="M514" s="19">
        <f>M513</f>
        <v/>
      </c>
      <c r="N514" s="2">
        <f>N513</f>
        <v/>
      </c>
      <c r="O514" s="19">
        <f>O513</f>
        <v/>
      </c>
      <c r="P514" s="4">
        <f>交易明細!L257</f>
        <v/>
      </c>
      <c r="Q514" s="13">
        <f>IF(N514="已下單",O514*P514,0)</f>
        <v/>
      </c>
      <c r="R514" s="13">
        <f>R513+Q514</f>
        <v/>
      </c>
      <c r="S514" s="19">
        <f>S513-IF(N514="已下單",M514,0)</f>
        <v/>
      </c>
      <c r="T514" s="19">
        <f>R514-S514</f>
        <v/>
      </c>
      <c r="U514" s="2">
        <f>U513-IF(N514="已下單",1,0)</f>
        <v/>
      </c>
      <c r="V514" s="19">
        <f>IF(資金模擬!$B$9=2,MAX(R514,0),MAX(V513,FLOOR(MAX(R514,0),資金模擬!$B$6)))</f>
        <v/>
      </c>
      <c r="W514" s="13">
        <f>MAX(W513,R514)</f>
        <v/>
      </c>
      <c r="X514" s="4">
        <f>IF(W514&gt;0,R514/W514-1,-1)</f>
        <v/>
      </c>
      <c r="Y514" s="19">
        <f>IF(R514&gt;0,S514*資金模擬!$B$7/R514,0)</f>
        <v/>
      </c>
      <c r="Z514" s="2">
        <f>IF(OR(Z513=1,R514&lt;=資金模擬!$B$10),1,0)</f>
        <v/>
      </c>
    </row>
    <row r="515">
      <c r="A515" s="2" t="n">
        <v>513</v>
      </c>
      <c r="B515" s="7" t="n">
        <v>46282.58333333334</v>
      </c>
      <c r="C515" s="2" t="inlineStr">
        <is>
          <t>進場</t>
        </is>
      </c>
      <c r="D515" s="2" t="n">
        <v>257</v>
      </c>
      <c r="E515" s="2" t="inlineStr">
        <is>
          <t>AIN_USDT_PERP</t>
        </is>
      </c>
      <c r="F515" s="2" t="inlineStr">
        <is>
          <t>做空</t>
        </is>
      </c>
      <c r="G515" s="20" t="n">
        <v>0.02385</v>
      </c>
      <c r="H515" s="20" t="n">
        <v>0.0231345</v>
      </c>
      <c r="I515" s="20" t="n">
        <v>0.0250425</v>
      </c>
      <c r="J515" s="20" t="n"/>
      <c r="K515" s="2" t="n"/>
      <c r="L515" s="5" t="n"/>
      <c r="M515" s="19">
        <f>資金模擬!$B$5*V514</f>
        <v/>
      </c>
      <c r="N515" s="2">
        <f>IF(Z514=1,"已停止",IF(T514&gt;=M515,"已下單","資金不足略過"))</f>
        <v/>
      </c>
      <c r="O515" s="19">
        <f>IF(N515="已下單",M515*資金模擬!$B$7,0)</f>
        <v/>
      </c>
      <c r="P515" s="4" t="n"/>
      <c r="Q515" s="13" t="n">
        <v>0</v>
      </c>
      <c r="R515" s="13">
        <f>R514+Q515</f>
        <v/>
      </c>
      <c r="S515" s="19">
        <f>S514+IF(N515="已下單",M515,0)</f>
        <v/>
      </c>
      <c r="T515" s="19">
        <f>R515-S515</f>
        <v/>
      </c>
      <c r="U515" s="2">
        <f>U514+IF(N515="已下單",1,0)</f>
        <v/>
      </c>
      <c r="V515" s="19">
        <f>IF(資金模擬!$B$9=2,MAX(R515,0),MAX(V514,FLOOR(MAX(R515,0),資金模擬!$B$6)))</f>
        <v/>
      </c>
      <c r="W515" s="13">
        <f>MAX(W514,R515)</f>
        <v/>
      </c>
      <c r="X515" s="4">
        <f>IF(W515&gt;0,R515/W515-1,-1)</f>
        <v/>
      </c>
      <c r="Y515" s="19">
        <f>IF(R515&gt;0,S515*資金模擬!$B$7/R515,0)</f>
        <v/>
      </c>
      <c r="Z515" s="2">
        <f>IF(OR(Z514=1,R515&lt;=資金模擬!$B$10),1,0)</f>
        <v/>
      </c>
    </row>
    <row r="516">
      <c r="A516" s="2" t="n">
        <v>514</v>
      </c>
      <c r="B516" s="7" t="n">
        <v>46282.66666666666</v>
      </c>
      <c r="C516" s="2" t="inlineStr">
        <is>
          <t>出場</t>
        </is>
      </c>
      <c r="D516" s="2" t="n">
        <v>257</v>
      </c>
      <c r="E516" s="2" t="inlineStr">
        <is>
          <t>AIN_USDT_PERP</t>
        </is>
      </c>
      <c r="F516" s="2" t="inlineStr">
        <is>
          <t>做空</t>
        </is>
      </c>
      <c r="G516" s="20" t="n">
        <v>0.02385</v>
      </c>
      <c r="H516" s="20" t="n">
        <v>0.0231345</v>
      </c>
      <c r="I516" s="20" t="n">
        <v>0.0250425</v>
      </c>
      <c r="J516" s="20" t="n">
        <v>0.0231345</v>
      </c>
      <c r="K516" s="2" t="inlineStr">
        <is>
          <t>止盈</t>
        </is>
      </c>
      <c r="L516" s="5">
        <f>交易明細!K258</f>
        <v/>
      </c>
      <c r="M516" s="19">
        <f>M515</f>
        <v/>
      </c>
      <c r="N516" s="2">
        <f>N515</f>
        <v/>
      </c>
      <c r="O516" s="19">
        <f>O515</f>
        <v/>
      </c>
      <c r="P516" s="4">
        <f>交易明細!L258</f>
        <v/>
      </c>
      <c r="Q516" s="13">
        <f>IF(N516="已下單",O516*P516,0)</f>
        <v/>
      </c>
      <c r="R516" s="13">
        <f>R515+Q516</f>
        <v/>
      </c>
      <c r="S516" s="19">
        <f>S515-IF(N516="已下單",M516,0)</f>
        <v/>
      </c>
      <c r="T516" s="19">
        <f>R516-S516</f>
        <v/>
      </c>
      <c r="U516" s="2">
        <f>U515-IF(N516="已下單",1,0)</f>
        <v/>
      </c>
      <c r="V516" s="19">
        <f>IF(資金模擬!$B$9=2,MAX(R516,0),MAX(V515,FLOOR(MAX(R516,0),資金模擬!$B$6)))</f>
        <v/>
      </c>
      <c r="W516" s="13">
        <f>MAX(W515,R516)</f>
        <v/>
      </c>
      <c r="X516" s="4">
        <f>IF(W516&gt;0,R516/W516-1,-1)</f>
        <v/>
      </c>
      <c r="Y516" s="19">
        <f>IF(R516&gt;0,S516*資金模擬!$B$7/R516,0)</f>
        <v/>
      </c>
      <c r="Z516" s="2">
        <f>IF(OR(Z515=1,R516&lt;=資金模擬!$B$10),1,0)</f>
        <v/>
      </c>
    </row>
    <row r="517">
      <c r="A517" s="2" t="n">
        <v>515</v>
      </c>
      <c r="B517" s="7" t="n">
        <v>46282.75</v>
      </c>
      <c r="C517" s="2" t="inlineStr">
        <is>
          <t>進場</t>
        </is>
      </c>
      <c r="D517" s="2" t="n">
        <v>258</v>
      </c>
      <c r="E517" s="2" t="inlineStr">
        <is>
          <t>AIN_USDT_PERP</t>
        </is>
      </c>
      <c r="F517" s="2" t="inlineStr">
        <is>
          <t>做空</t>
        </is>
      </c>
      <c r="G517" s="20" t="n">
        <v>0.02305</v>
      </c>
      <c r="H517" s="20" t="n">
        <v>0.0223585</v>
      </c>
      <c r="I517" s="20" t="n">
        <v>0.0242025</v>
      </c>
      <c r="J517" s="20" t="n"/>
      <c r="K517" s="2" t="n"/>
      <c r="L517" s="5" t="n"/>
      <c r="M517" s="19">
        <f>資金模擬!$B$5*V516</f>
        <v/>
      </c>
      <c r="N517" s="2">
        <f>IF(Z516=1,"已停止",IF(T516&gt;=M517,"已下單","資金不足略過"))</f>
        <v/>
      </c>
      <c r="O517" s="19">
        <f>IF(N517="已下單",M517*資金模擬!$B$7,0)</f>
        <v/>
      </c>
      <c r="P517" s="4" t="n"/>
      <c r="Q517" s="13" t="n">
        <v>0</v>
      </c>
      <c r="R517" s="13">
        <f>R516+Q517</f>
        <v/>
      </c>
      <c r="S517" s="19">
        <f>S516+IF(N517="已下單",M517,0)</f>
        <v/>
      </c>
      <c r="T517" s="19">
        <f>R517-S517</f>
        <v/>
      </c>
      <c r="U517" s="2">
        <f>U516+IF(N517="已下單",1,0)</f>
        <v/>
      </c>
      <c r="V517" s="19">
        <f>IF(資金模擬!$B$9=2,MAX(R517,0),MAX(V516,FLOOR(MAX(R517,0),資金模擬!$B$6)))</f>
        <v/>
      </c>
      <c r="W517" s="13">
        <f>MAX(W516,R517)</f>
        <v/>
      </c>
      <c r="X517" s="4">
        <f>IF(W517&gt;0,R517/W517-1,-1)</f>
        <v/>
      </c>
      <c r="Y517" s="19">
        <f>IF(R517&gt;0,S517*資金模擬!$B$7/R517,0)</f>
        <v/>
      </c>
      <c r="Z517" s="2">
        <f>IF(OR(Z516=1,R517&lt;=資金模擬!$B$10),1,0)</f>
        <v/>
      </c>
    </row>
    <row r="518">
      <c r="A518" s="2" t="n">
        <v>516</v>
      </c>
      <c r="B518" s="7" t="n">
        <v>46282.83333333334</v>
      </c>
      <c r="C518" s="2" t="inlineStr">
        <is>
          <t>進場</t>
        </is>
      </c>
      <c r="D518" s="2" t="n">
        <v>259</v>
      </c>
      <c r="E518" s="2" t="inlineStr">
        <is>
          <t>BR_USDT_PERP</t>
        </is>
      </c>
      <c r="F518" s="2" t="inlineStr">
        <is>
          <t>做多</t>
        </is>
      </c>
      <c r="G518" s="20" t="n">
        <v>0.65686</v>
      </c>
      <c r="H518" s="20" t="n">
        <v>0.6765658</v>
      </c>
      <c r="I518" s="20" t="n">
        <v>0.6240169999999999</v>
      </c>
      <c r="J518" s="20" t="n"/>
      <c r="K518" s="2" t="n"/>
      <c r="L518" s="5" t="n"/>
      <c r="M518" s="19">
        <f>資金模擬!$B$5*V517</f>
        <v/>
      </c>
      <c r="N518" s="2">
        <f>IF(Z517=1,"已停止",IF(T517&gt;=M518,"已下單","資金不足略過"))</f>
        <v/>
      </c>
      <c r="O518" s="19">
        <f>IF(N518="已下單",M518*資金模擬!$B$7,0)</f>
        <v/>
      </c>
      <c r="P518" s="4" t="n"/>
      <c r="Q518" s="13" t="n">
        <v>0</v>
      </c>
      <c r="R518" s="13">
        <f>R517+Q518</f>
        <v/>
      </c>
      <c r="S518" s="19">
        <f>S517+IF(N518="已下單",M518,0)</f>
        <v/>
      </c>
      <c r="T518" s="19">
        <f>R518-S518</f>
        <v/>
      </c>
      <c r="U518" s="2">
        <f>U517+IF(N518="已下單",1,0)</f>
        <v/>
      </c>
      <c r="V518" s="19">
        <f>IF(資金模擬!$B$9=2,MAX(R518,0),MAX(V517,FLOOR(MAX(R518,0),資金模擬!$B$6)))</f>
        <v/>
      </c>
      <c r="W518" s="13">
        <f>MAX(W517,R518)</f>
        <v/>
      </c>
      <c r="X518" s="4">
        <f>IF(W518&gt;0,R518/W518-1,-1)</f>
        <v/>
      </c>
      <c r="Y518" s="19">
        <f>IF(R518&gt;0,S518*資金模擬!$B$7/R518,0)</f>
        <v/>
      </c>
      <c r="Z518" s="2">
        <f>IF(OR(Z517=1,R518&lt;=資金模擬!$B$10),1,0)</f>
        <v/>
      </c>
    </row>
    <row r="519">
      <c r="A519" s="2" t="n">
        <v>517</v>
      </c>
      <c r="B519" s="7" t="n">
        <v>46282.83333333334</v>
      </c>
      <c r="C519" s="2" t="inlineStr">
        <is>
          <t>進場</t>
        </is>
      </c>
      <c r="D519" s="2" t="n">
        <v>260</v>
      </c>
      <c r="E519" s="2" t="inlineStr">
        <is>
          <t>牛来_USDT_PERP</t>
        </is>
      </c>
      <c r="F519" s="2" t="inlineStr">
        <is>
          <t>做空</t>
        </is>
      </c>
      <c r="G519" s="20" t="n">
        <v>0.10472</v>
      </c>
      <c r="H519" s="20" t="n">
        <v>0.1015784</v>
      </c>
      <c r="I519" s="20" t="n">
        <v>0.109956</v>
      </c>
      <c r="J519" s="20" t="n"/>
      <c r="K519" s="2" t="n"/>
      <c r="L519" s="5" t="n"/>
      <c r="M519" s="19">
        <f>資金模擬!$B$5*V518</f>
        <v/>
      </c>
      <c r="N519" s="2">
        <f>IF(Z518=1,"已停止",IF(T518&gt;=M519,"已下單","資金不足略過"))</f>
        <v/>
      </c>
      <c r="O519" s="19">
        <f>IF(N519="已下單",M519*資金模擬!$B$7,0)</f>
        <v/>
      </c>
      <c r="P519" s="4" t="n"/>
      <c r="Q519" s="13" t="n">
        <v>0</v>
      </c>
      <c r="R519" s="13">
        <f>R518+Q519</f>
        <v/>
      </c>
      <c r="S519" s="19">
        <f>S518+IF(N519="已下單",M519,0)</f>
        <v/>
      </c>
      <c r="T519" s="19">
        <f>R519-S519</f>
        <v/>
      </c>
      <c r="U519" s="2">
        <f>U518+IF(N519="已下單",1,0)</f>
        <v/>
      </c>
      <c r="V519" s="19">
        <f>IF(資金模擬!$B$9=2,MAX(R519,0),MAX(V518,FLOOR(MAX(R519,0),資金模擬!$B$6)))</f>
        <v/>
      </c>
      <c r="W519" s="13">
        <f>MAX(W518,R519)</f>
        <v/>
      </c>
      <c r="X519" s="4">
        <f>IF(W519&gt;0,R519/W519-1,-1)</f>
        <v/>
      </c>
      <c r="Y519" s="19">
        <f>IF(R519&gt;0,S519*資金模擬!$B$7/R519,0)</f>
        <v/>
      </c>
      <c r="Z519" s="2">
        <f>IF(OR(Z518=1,R519&lt;=資金模擬!$B$10),1,0)</f>
        <v/>
      </c>
    </row>
    <row r="520">
      <c r="A520" s="2" t="n">
        <v>518</v>
      </c>
      <c r="B520" s="7" t="n">
        <v>46282.91666666666</v>
      </c>
      <c r="C520" s="2" t="inlineStr">
        <is>
          <t>出場</t>
        </is>
      </c>
      <c r="D520" s="2" t="n">
        <v>260</v>
      </c>
      <c r="E520" s="2" t="inlineStr">
        <is>
          <t>牛来_USDT_PERP</t>
        </is>
      </c>
      <c r="F520" s="2" t="inlineStr">
        <is>
          <t>做空</t>
        </is>
      </c>
      <c r="G520" s="20" t="n">
        <v>0.10472</v>
      </c>
      <c r="H520" s="20" t="n">
        <v>0.1015784</v>
      </c>
      <c r="I520" s="20" t="n">
        <v>0.109956</v>
      </c>
      <c r="J520" s="20" t="n">
        <v>0.109956</v>
      </c>
      <c r="K520" s="2" t="inlineStr">
        <is>
          <t>止損</t>
        </is>
      </c>
      <c r="L520" s="5">
        <f>交易明細!K261</f>
        <v/>
      </c>
      <c r="M520" s="19">
        <f>M519</f>
        <v/>
      </c>
      <c r="N520" s="2">
        <f>N519</f>
        <v/>
      </c>
      <c r="O520" s="19">
        <f>O519</f>
        <v/>
      </c>
      <c r="P520" s="4">
        <f>交易明細!L261</f>
        <v/>
      </c>
      <c r="Q520" s="13">
        <f>IF(N520="已下單",O520*P520,0)</f>
        <v/>
      </c>
      <c r="R520" s="13">
        <f>R519+Q520</f>
        <v/>
      </c>
      <c r="S520" s="19">
        <f>S519-IF(N520="已下單",M520,0)</f>
        <v/>
      </c>
      <c r="T520" s="19">
        <f>R520-S520</f>
        <v/>
      </c>
      <c r="U520" s="2">
        <f>U519-IF(N520="已下單",1,0)</f>
        <v/>
      </c>
      <c r="V520" s="19">
        <f>IF(資金模擬!$B$9=2,MAX(R520,0),MAX(V519,FLOOR(MAX(R520,0),資金模擬!$B$6)))</f>
        <v/>
      </c>
      <c r="W520" s="13">
        <f>MAX(W519,R520)</f>
        <v/>
      </c>
      <c r="X520" s="4">
        <f>IF(W520&gt;0,R520/W520-1,-1)</f>
        <v/>
      </c>
      <c r="Y520" s="19">
        <f>IF(R520&gt;0,S520*資金模擬!$B$7/R520,0)</f>
        <v/>
      </c>
      <c r="Z520" s="2">
        <f>IF(OR(Z519=1,R520&lt;=資金模擬!$B$10),1,0)</f>
        <v/>
      </c>
    </row>
    <row r="521">
      <c r="A521" s="2" t="n">
        <v>519</v>
      </c>
      <c r="B521" s="7" t="n">
        <v>46282.95833333334</v>
      </c>
      <c r="C521" s="2" t="inlineStr">
        <is>
          <t>出場</t>
        </is>
      </c>
      <c r="D521" s="2" t="n">
        <v>258</v>
      </c>
      <c r="E521" s="2" t="inlineStr">
        <is>
          <t>AIN_USDT_PERP</t>
        </is>
      </c>
      <c r="F521" s="2" t="inlineStr">
        <is>
          <t>做空</t>
        </is>
      </c>
      <c r="G521" s="20" t="n">
        <v>0.02305</v>
      </c>
      <c r="H521" s="20" t="n">
        <v>0.0223585</v>
      </c>
      <c r="I521" s="20" t="n">
        <v>0.0242025</v>
      </c>
      <c r="J521" s="20" t="n">
        <v>0.0223585</v>
      </c>
      <c r="K521" s="2" t="inlineStr">
        <is>
          <t>止盈</t>
        </is>
      </c>
      <c r="L521" s="5">
        <f>交易明細!K259</f>
        <v/>
      </c>
      <c r="M521" s="19">
        <f>M517</f>
        <v/>
      </c>
      <c r="N521" s="2">
        <f>N517</f>
        <v/>
      </c>
      <c r="O521" s="19">
        <f>O517</f>
        <v/>
      </c>
      <c r="P521" s="4">
        <f>交易明細!L259</f>
        <v/>
      </c>
      <c r="Q521" s="13">
        <f>IF(N521="已下單",O521*P521,0)</f>
        <v/>
      </c>
      <c r="R521" s="13">
        <f>R520+Q521</f>
        <v/>
      </c>
      <c r="S521" s="19">
        <f>S520-IF(N521="已下單",M521,0)</f>
        <v/>
      </c>
      <c r="T521" s="19">
        <f>R521-S521</f>
        <v/>
      </c>
      <c r="U521" s="2">
        <f>U520-IF(N521="已下單",1,0)</f>
        <v/>
      </c>
      <c r="V521" s="19">
        <f>IF(資金模擬!$B$9=2,MAX(R521,0),MAX(V520,FLOOR(MAX(R521,0),資金模擬!$B$6)))</f>
        <v/>
      </c>
      <c r="W521" s="13">
        <f>MAX(W520,R521)</f>
        <v/>
      </c>
      <c r="X521" s="4">
        <f>IF(W521&gt;0,R521/W521-1,-1)</f>
        <v/>
      </c>
      <c r="Y521" s="19">
        <f>IF(R521&gt;0,S521*資金模擬!$B$7/R521,0)</f>
        <v/>
      </c>
      <c r="Z521" s="2">
        <f>IF(OR(Z520=1,R521&lt;=資金模擬!$B$10),1,0)</f>
        <v/>
      </c>
    </row>
    <row r="522">
      <c r="A522" s="2" t="n">
        <v>520</v>
      </c>
      <c r="B522" s="7" t="n">
        <v>46282.95833333334</v>
      </c>
      <c r="C522" s="2" t="inlineStr">
        <is>
          <t>出場</t>
        </is>
      </c>
      <c r="D522" s="2" t="n">
        <v>259</v>
      </c>
      <c r="E522" s="2" t="inlineStr">
        <is>
          <t>BR_USDT_PERP</t>
        </is>
      </c>
      <c r="F522" s="2" t="inlineStr">
        <is>
          <t>做多</t>
        </is>
      </c>
      <c r="G522" s="20" t="n">
        <v>0.65686</v>
      </c>
      <c r="H522" s="20" t="n">
        <v>0.6765658</v>
      </c>
      <c r="I522" s="20" t="n">
        <v>0.6240169999999999</v>
      </c>
      <c r="J522" s="20" t="n">
        <v>0.6765658</v>
      </c>
      <c r="K522" s="2" t="inlineStr">
        <is>
          <t>止盈</t>
        </is>
      </c>
      <c r="L522" s="5">
        <f>交易明細!K260</f>
        <v/>
      </c>
      <c r="M522" s="19">
        <f>M518</f>
        <v/>
      </c>
      <c r="N522" s="2">
        <f>N518</f>
        <v/>
      </c>
      <c r="O522" s="19">
        <f>O518</f>
        <v/>
      </c>
      <c r="P522" s="4">
        <f>交易明細!L260</f>
        <v/>
      </c>
      <c r="Q522" s="13">
        <f>IF(N522="已下單",O522*P522,0)</f>
        <v/>
      </c>
      <c r="R522" s="13">
        <f>R521+Q522</f>
        <v/>
      </c>
      <c r="S522" s="19">
        <f>S521-IF(N522="已下單",M522,0)</f>
        <v/>
      </c>
      <c r="T522" s="19">
        <f>R522-S522</f>
        <v/>
      </c>
      <c r="U522" s="2">
        <f>U521-IF(N522="已下單",1,0)</f>
        <v/>
      </c>
      <c r="V522" s="19">
        <f>IF(資金模擬!$B$9=2,MAX(R522,0),MAX(V521,FLOOR(MAX(R522,0),資金模擬!$B$6)))</f>
        <v/>
      </c>
      <c r="W522" s="13">
        <f>MAX(W521,R522)</f>
        <v/>
      </c>
      <c r="X522" s="4">
        <f>IF(W522&gt;0,R522/W522-1,-1)</f>
        <v/>
      </c>
      <c r="Y522" s="19">
        <f>IF(R522&gt;0,S522*資金模擬!$B$7/R522,0)</f>
        <v/>
      </c>
      <c r="Z522" s="2">
        <f>IF(OR(Z521=1,R522&lt;=資金模擬!$B$10),1,0)</f>
        <v/>
      </c>
    </row>
    <row r="523">
      <c r="A523" s="2" t="n">
        <v>521</v>
      </c>
      <c r="B523" s="7" t="n">
        <v>46282.95833333334</v>
      </c>
      <c r="C523" s="2" t="inlineStr">
        <is>
          <t>進場</t>
        </is>
      </c>
      <c r="D523" s="2" t="n">
        <v>261</v>
      </c>
      <c r="E523" s="2" t="inlineStr">
        <is>
          <t>PONS_USDT_PERP</t>
        </is>
      </c>
      <c r="F523" s="2" t="inlineStr">
        <is>
          <t>做多</t>
        </is>
      </c>
      <c r="G523" s="20" t="n">
        <v>0.6459</v>
      </c>
      <c r="H523" s="20" t="n">
        <v>0.665277</v>
      </c>
      <c r="I523" s="20" t="n">
        <v>0.613605</v>
      </c>
      <c r="J523" s="20" t="n"/>
      <c r="K523" s="2" t="n"/>
      <c r="L523" s="5" t="n"/>
      <c r="M523" s="19">
        <f>資金模擬!$B$5*V522</f>
        <v/>
      </c>
      <c r="N523" s="2">
        <f>IF(Z522=1,"已停止",IF(T522&gt;=M523,"已下單","資金不足略過"))</f>
        <v/>
      </c>
      <c r="O523" s="19">
        <f>IF(N523="已下單",M523*資金模擬!$B$7,0)</f>
        <v/>
      </c>
      <c r="P523" s="4" t="n"/>
      <c r="Q523" s="13" t="n">
        <v>0</v>
      </c>
      <c r="R523" s="13">
        <f>R522+Q523</f>
        <v/>
      </c>
      <c r="S523" s="19">
        <f>S522+IF(N523="已下單",M523,0)</f>
        <v/>
      </c>
      <c r="T523" s="19">
        <f>R523-S523</f>
        <v/>
      </c>
      <c r="U523" s="2">
        <f>U522+IF(N523="已下單",1,0)</f>
        <v/>
      </c>
      <c r="V523" s="19">
        <f>IF(資金模擬!$B$9=2,MAX(R523,0),MAX(V522,FLOOR(MAX(R523,0),資金模擬!$B$6)))</f>
        <v/>
      </c>
      <c r="W523" s="13">
        <f>MAX(W522,R523)</f>
        <v/>
      </c>
      <c r="X523" s="4">
        <f>IF(W523&gt;0,R523/W523-1,-1)</f>
        <v/>
      </c>
      <c r="Y523" s="19">
        <f>IF(R523&gt;0,S523*資金模擬!$B$7/R523,0)</f>
        <v/>
      </c>
      <c r="Z523" s="2">
        <f>IF(OR(Z522=1,R523&lt;=資金模擬!$B$10),1,0)</f>
        <v/>
      </c>
    </row>
    <row r="524">
      <c r="A524" s="2" t="n">
        <v>522</v>
      </c>
      <c r="B524" s="7" t="n">
        <v>46282.95833333334</v>
      </c>
      <c r="C524" s="2" t="inlineStr">
        <is>
          <t>進場</t>
        </is>
      </c>
      <c r="D524" s="2" t="n">
        <v>262</v>
      </c>
      <c r="E524" s="2" t="inlineStr">
        <is>
          <t>ZEC_USDT_PERP</t>
        </is>
      </c>
      <c r="F524" s="2" t="inlineStr">
        <is>
          <t>做多</t>
        </is>
      </c>
      <c r="G524" s="20" t="n">
        <v>1422.48</v>
      </c>
      <c r="H524" s="20" t="n">
        <v>1465.1544</v>
      </c>
      <c r="I524" s="20" t="n">
        <v>1351.356</v>
      </c>
      <c r="J524" s="20" t="n"/>
      <c r="K524" s="2" t="n"/>
      <c r="L524" s="5" t="n"/>
      <c r="M524" s="19">
        <f>資金模擬!$B$5*V523</f>
        <v/>
      </c>
      <c r="N524" s="2">
        <f>IF(Z523=1,"已停止",IF(T523&gt;=M524,"已下單","資金不足略過"))</f>
        <v/>
      </c>
      <c r="O524" s="19">
        <f>IF(N524="已下單",M524*資金模擬!$B$7,0)</f>
        <v/>
      </c>
      <c r="P524" s="4" t="n"/>
      <c r="Q524" s="13" t="n">
        <v>0</v>
      </c>
      <c r="R524" s="13">
        <f>R523+Q524</f>
        <v/>
      </c>
      <c r="S524" s="19">
        <f>S523+IF(N524="已下單",M524,0)</f>
        <v/>
      </c>
      <c r="T524" s="19">
        <f>R524-S524</f>
        <v/>
      </c>
      <c r="U524" s="2">
        <f>U523+IF(N524="已下單",1,0)</f>
        <v/>
      </c>
      <c r="V524" s="19">
        <f>IF(資金模擬!$B$9=2,MAX(R524,0),MAX(V523,FLOOR(MAX(R524,0),資金模擬!$B$6)))</f>
        <v/>
      </c>
      <c r="W524" s="13">
        <f>MAX(W523,R524)</f>
        <v/>
      </c>
      <c r="X524" s="4">
        <f>IF(W524&gt;0,R524/W524-1,-1)</f>
        <v/>
      </c>
      <c r="Y524" s="19">
        <f>IF(R524&gt;0,S524*資金模擬!$B$7/R524,0)</f>
        <v/>
      </c>
      <c r="Z524" s="2">
        <f>IF(OR(Z523=1,R524&lt;=資金模擬!$B$10),1,0)</f>
        <v/>
      </c>
    </row>
    <row r="525">
      <c r="A525" s="2" t="n">
        <v>523</v>
      </c>
      <c r="B525" s="7" t="n">
        <v>46283</v>
      </c>
      <c r="C525" s="2" t="inlineStr">
        <is>
          <t>出場</t>
        </is>
      </c>
      <c r="D525" s="2" t="n">
        <v>261</v>
      </c>
      <c r="E525" s="2" t="inlineStr">
        <is>
          <t>PONS_USDT_PERP</t>
        </is>
      </c>
      <c r="F525" s="2" t="inlineStr">
        <is>
          <t>做多</t>
        </is>
      </c>
      <c r="G525" s="20" t="n">
        <v>0.6459</v>
      </c>
      <c r="H525" s="20" t="n">
        <v>0.665277</v>
      </c>
      <c r="I525" s="20" t="n">
        <v>0.613605</v>
      </c>
      <c r="J525" s="20" t="n">
        <v>0.665277</v>
      </c>
      <c r="K525" s="2" t="inlineStr">
        <is>
          <t>止盈</t>
        </is>
      </c>
      <c r="L525" s="5">
        <f>交易明細!K262</f>
        <v/>
      </c>
      <c r="M525" s="19">
        <f>M523</f>
        <v/>
      </c>
      <c r="N525" s="2">
        <f>N523</f>
        <v/>
      </c>
      <c r="O525" s="19">
        <f>O523</f>
        <v/>
      </c>
      <c r="P525" s="4">
        <f>交易明細!L262</f>
        <v/>
      </c>
      <c r="Q525" s="13">
        <f>IF(N525="已下單",O525*P525,0)</f>
        <v/>
      </c>
      <c r="R525" s="13">
        <f>R524+Q525</f>
        <v/>
      </c>
      <c r="S525" s="19">
        <f>S524-IF(N525="已下單",M525,0)</f>
        <v/>
      </c>
      <c r="T525" s="19">
        <f>R525-S525</f>
        <v/>
      </c>
      <c r="U525" s="2">
        <f>U524-IF(N525="已下單",1,0)</f>
        <v/>
      </c>
      <c r="V525" s="19">
        <f>IF(資金模擬!$B$9=2,MAX(R525,0),MAX(V524,FLOOR(MAX(R525,0),資金模擬!$B$6)))</f>
        <v/>
      </c>
      <c r="W525" s="13">
        <f>MAX(W524,R525)</f>
        <v/>
      </c>
      <c r="X525" s="4">
        <f>IF(W525&gt;0,R525/W525-1,-1)</f>
        <v/>
      </c>
      <c r="Y525" s="19">
        <f>IF(R525&gt;0,S525*資金模擬!$B$7/R525,0)</f>
        <v/>
      </c>
      <c r="Z525" s="2">
        <f>IF(OR(Z524=1,R525&lt;=資金模擬!$B$10),1,0)</f>
        <v/>
      </c>
    </row>
    <row r="526">
      <c r="A526" s="2" t="n">
        <v>524</v>
      </c>
      <c r="B526" s="7" t="n">
        <v>46283</v>
      </c>
      <c r="C526" s="2" t="inlineStr">
        <is>
          <t>出場</t>
        </is>
      </c>
      <c r="D526" s="2" t="n">
        <v>262</v>
      </c>
      <c r="E526" s="2" t="inlineStr">
        <is>
          <t>ZEC_USDT_PERP</t>
        </is>
      </c>
      <c r="F526" s="2" t="inlineStr">
        <is>
          <t>做多</t>
        </is>
      </c>
      <c r="G526" s="20" t="n">
        <v>1422.48</v>
      </c>
      <c r="H526" s="20" t="n">
        <v>1465.1544</v>
      </c>
      <c r="I526" s="20" t="n">
        <v>1351.356</v>
      </c>
      <c r="J526" s="20" t="n">
        <v>1465.1544</v>
      </c>
      <c r="K526" s="2" t="inlineStr">
        <is>
          <t>止盈</t>
        </is>
      </c>
      <c r="L526" s="5">
        <f>交易明細!K263</f>
        <v/>
      </c>
      <c r="M526" s="19">
        <f>M524</f>
        <v/>
      </c>
      <c r="N526" s="2">
        <f>N524</f>
        <v/>
      </c>
      <c r="O526" s="19">
        <f>O524</f>
        <v/>
      </c>
      <c r="P526" s="4">
        <f>交易明細!L263</f>
        <v/>
      </c>
      <c r="Q526" s="13">
        <f>IF(N526="已下單",O526*P526,0)</f>
        <v/>
      </c>
      <c r="R526" s="13">
        <f>R525+Q526</f>
        <v/>
      </c>
      <c r="S526" s="19">
        <f>S525-IF(N526="已下單",M526,0)</f>
        <v/>
      </c>
      <c r="T526" s="19">
        <f>R526-S526</f>
        <v/>
      </c>
      <c r="U526" s="2">
        <f>U525-IF(N526="已下單",1,0)</f>
        <v/>
      </c>
      <c r="V526" s="19">
        <f>IF(資金模擬!$B$9=2,MAX(R526,0),MAX(V525,FLOOR(MAX(R526,0),資金模擬!$B$6)))</f>
        <v/>
      </c>
      <c r="W526" s="13">
        <f>MAX(W525,R526)</f>
        <v/>
      </c>
      <c r="X526" s="4">
        <f>IF(W526&gt;0,R526/W526-1,-1)</f>
        <v/>
      </c>
      <c r="Y526" s="19">
        <f>IF(R526&gt;0,S526*資金模擬!$B$7/R526,0)</f>
        <v/>
      </c>
      <c r="Z526" s="2">
        <f>IF(OR(Z525=1,R526&lt;=資金模擬!$B$10),1,0)</f>
        <v/>
      </c>
    </row>
    <row r="527">
      <c r="A527" s="2" t="n">
        <v>525</v>
      </c>
      <c r="B527" s="7" t="n">
        <v>46283</v>
      </c>
      <c r="C527" s="2" t="inlineStr">
        <is>
          <t>進場</t>
        </is>
      </c>
      <c r="D527" s="2" t="n">
        <v>263</v>
      </c>
      <c r="E527" s="2" t="inlineStr">
        <is>
          <t>ARB_USDT_PERP</t>
        </is>
      </c>
      <c r="F527" s="2" t="inlineStr">
        <is>
          <t>做多</t>
        </is>
      </c>
      <c r="G527" s="20" t="n">
        <v>0.1709</v>
      </c>
      <c r="H527" s="20" t="n">
        <v>0.176027</v>
      </c>
      <c r="I527" s="20" t="n">
        <v>0.162355</v>
      </c>
      <c r="J527" s="20" t="n"/>
      <c r="K527" s="2" t="n"/>
      <c r="L527" s="5" t="n"/>
      <c r="M527" s="19">
        <f>資金模擬!$B$5*V526</f>
        <v/>
      </c>
      <c r="N527" s="2">
        <f>IF(Z526=1,"已停止",IF(T526&gt;=M527,"已下單","資金不足略過"))</f>
        <v/>
      </c>
      <c r="O527" s="19">
        <f>IF(N527="已下單",M527*資金模擬!$B$7,0)</f>
        <v/>
      </c>
      <c r="P527" s="4" t="n"/>
      <c r="Q527" s="13" t="n">
        <v>0</v>
      </c>
      <c r="R527" s="13">
        <f>R526+Q527</f>
        <v/>
      </c>
      <c r="S527" s="19">
        <f>S526+IF(N527="已下單",M527,0)</f>
        <v/>
      </c>
      <c r="T527" s="19">
        <f>R527-S527</f>
        <v/>
      </c>
      <c r="U527" s="2">
        <f>U526+IF(N527="已下單",1,0)</f>
        <v/>
      </c>
      <c r="V527" s="19">
        <f>IF(資金模擬!$B$9=2,MAX(R527,0),MAX(V526,FLOOR(MAX(R527,0),資金模擬!$B$6)))</f>
        <v/>
      </c>
      <c r="W527" s="13">
        <f>MAX(W526,R527)</f>
        <v/>
      </c>
      <c r="X527" s="4">
        <f>IF(W527&gt;0,R527/W527-1,-1)</f>
        <v/>
      </c>
      <c r="Y527" s="19">
        <f>IF(R527&gt;0,S527*資金模擬!$B$7/R527,0)</f>
        <v/>
      </c>
      <c r="Z527" s="2">
        <f>IF(OR(Z526=1,R527&lt;=資金模擬!$B$10),1,0)</f>
        <v/>
      </c>
    </row>
    <row r="528">
      <c r="A528" s="2" t="n">
        <v>526</v>
      </c>
      <c r="B528" s="7" t="n">
        <v>46283</v>
      </c>
      <c r="C528" s="2" t="inlineStr">
        <is>
          <t>進場</t>
        </is>
      </c>
      <c r="D528" s="2" t="n">
        <v>264</v>
      </c>
      <c r="E528" s="2" t="inlineStr">
        <is>
          <t>DASH_USDT_PERP</t>
        </is>
      </c>
      <c r="F528" s="2" t="inlineStr">
        <is>
          <t>做多</t>
        </is>
      </c>
      <c r="G528" s="20" t="n">
        <v>60.16</v>
      </c>
      <c r="H528" s="20" t="n">
        <v>61.9648</v>
      </c>
      <c r="I528" s="20" t="n">
        <v>57.15199999999999</v>
      </c>
      <c r="J528" s="20" t="n"/>
      <c r="K528" s="2" t="n"/>
      <c r="L528" s="5" t="n"/>
      <c r="M528" s="19">
        <f>資金模擬!$B$5*V527</f>
        <v/>
      </c>
      <c r="N528" s="2">
        <f>IF(Z527=1,"已停止",IF(T527&gt;=M528,"已下單","資金不足略過"))</f>
        <v/>
      </c>
      <c r="O528" s="19">
        <f>IF(N528="已下單",M528*資金模擬!$B$7,0)</f>
        <v/>
      </c>
      <c r="P528" s="4" t="n"/>
      <c r="Q528" s="13" t="n">
        <v>0</v>
      </c>
      <c r="R528" s="13">
        <f>R527+Q528</f>
        <v/>
      </c>
      <c r="S528" s="19">
        <f>S527+IF(N528="已下單",M528,0)</f>
        <v/>
      </c>
      <c r="T528" s="19">
        <f>R528-S528</f>
        <v/>
      </c>
      <c r="U528" s="2">
        <f>U527+IF(N528="已下單",1,0)</f>
        <v/>
      </c>
      <c r="V528" s="19">
        <f>IF(資金模擬!$B$9=2,MAX(R528,0),MAX(V527,FLOOR(MAX(R528,0),資金模擬!$B$6)))</f>
        <v/>
      </c>
      <c r="W528" s="13">
        <f>MAX(W527,R528)</f>
        <v/>
      </c>
      <c r="X528" s="4">
        <f>IF(W528&gt;0,R528/W528-1,-1)</f>
        <v/>
      </c>
      <c r="Y528" s="19">
        <f>IF(R528&gt;0,S528*資金模擬!$B$7/R528,0)</f>
        <v/>
      </c>
      <c r="Z528" s="2">
        <f>IF(OR(Z527=1,R528&lt;=資金模擬!$B$10),1,0)</f>
        <v/>
      </c>
    </row>
    <row r="529">
      <c r="A529" s="2" t="n">
        <v>527</v>
      </c>
      <c r="B529" s="7" t="n">
        <v>46283</v>
      </c>
      <c r="C529" s="2" t="inlineStr">
        <is>
          <t>進場</t>
        </is>
      </c>
      <c r="D529" s="2" t="n">
        <v>265</v>
      </c>
      <c r="E529" s="2" t="inlineStr">
        <is>
          <t>NEAR_USDT_PERP</t>
        </is>
      </c>
      <c r="F529" s="2" t="inlineStr">
        <is>
          <t>做多</t>
        </is>
      </c>
      <c r="G529" s="20" t="n">
        <v>2.875</v>
      </c>
      <c r="H529" s="20" t="n">
        <v>2.96125</v>
      </c>
      <c r="I529" s="20" t="n">
        <v>2.73125</v>
      </c>
      <c r="J529" s="20" t="n"/>
      <c r="K529" s="2" t="n"/>
      <c r="L529" s="5" t="n"/>
      <c r="M529" s="19">
        <f>資金模擬!$B$5*V528</f>
        <v/>
      </c>
      <c r="N529" s="2">
        <f>IF(Z528=1,"已停止",IF(T528&gt;=M529,"已下單","資金不足略過"))</f>
        <v/>
      </c>
      <c r="O529" s="19">
        <f>IF(N529="已下單",M529*資金模擬!$B$7,0)</f>
        <v/>
      </c>
      <c r="P529" s="4" t="n"/>
      <c r="Q529" s="13" t="n">
        <v>0</v>
      </c>
      <c r="R529" s="13">
        <f>R528+Q529</f>
        <v/>
      </c>
      <c r="S529" s="19">
        <f>S528+IF(N529="已下單",M529,0)</f>
        <v/>
      </c>
      <c r="T529" s="19">
        <f>R529-S529</f>
        <v/>
      </c>
      <c r="U529" s="2">
        <f>U528+IF(N529="已下單",1,0)</f>
        <v/>
      </c>
      <c r="V529" s="19">
        <f>IF(資金模擬!$B$9=2,MAX(R529,0),MAX(V528,FLOOR(MAX(R529,0),資金模擬!$B$6)))</f>
        <v/>
      </c>
      <c r="W529" s="13">
        <f>MAX(W528,R529)</f>
        <v/>
      </c>
      <c r="X529" s="4">
        <f>IF(W529&gt;0,R529/W529-1,-1)</f>
        <v/>
      </c>
      <c r="Y529" s="19">
        <f>IF(R529&gt;0,S529*資金模擬!$B$7/R529,0)</f>
        <v/>
      </c>
      <c r="Z529" s="2">
        <f>IF(OR(Z528=1,R529&lt;=資金模擬!$B$10),1,0)</f>
        <v/>
      </c>
    </row>
    <row r="530">
      <c r="A530" s="2" t="n">
        <v>528</v>
      </c>
      <c r="B530" s="7" t="n">
        <v>46283.04166666666</v>
      </c>
      <c r="C530" s="2" t="inlineStr">
        <is>
          <t>出場</t>
        </is>
      </c>
      <c r="D530" s="2" t="n">
        <v>263</v>
      </c>
      <c r="E530" s="2" t="inlineStr">
        <is>
          <t>ARB_USDT_PERP</t>
        </is>
      </c>
      <c r="F530" s="2" t="inlineStr">
        <is>
          <t>做多</t>
        </is>
      </c>
      <c r="G530" s="20" t="n">
        <v>0.1709</v>
      </c>
      <c r="H530" s="20" t="n">
        <v>0.176027</v>
      </c>
      <c r="I530" s="20" t="n">
        <v>0.162355</v>
      </c>
      <c r="J530" s="20" t="n">
        <v>0.176027</v>
      </c>
      <c r="K530" s="2" t="inlineStr">
        <is>
          <t>止盈</t>
        </is>
      </c>
      <c r="L530" s="5">
        <f>交易明細!K264</f>
        <v/>
      </c>
      <c r="M530" s="19">
        <f>M527</f>
        <v/>
      </c>
      <c r="N530" s="2">
        <f>N527</f>
        <v/>
      </c>
      <c r="O530" s="19">
        <f>O527</f>
        <v/>
      </c>
      <c r="P530" s="4">
        <f>交易明細!L264</f>
        <v/>
      </c>
      <c r="Q530" s="13">
        <f>IF(N530="已下單",O530*P530,0)</f>
        <v/>
      </c>
      <c r="R530" s="13">
        <f>R529+Q530</f>
        <v/>
      </c>
      <c r="S530" s="19">
        <f>S529-IF(N530="已下單",M530,0)</f>
        <v/>
      </c>
      <c r="T530" s="19">
        <f>R530-S530</f>
        <v/>
      </c>
      <c r="U530" s="2">
        <f>U529-IF(N530="已下單",1,0)</f>
        <v/>
      </c>
      <c r="V530" s="19">
        <f>IF(資金模擬!$B$9=2,MAX(R530,0),MAX(V529,FLOOR(MAX(R530,0),資金模擬!$B$6)))</f>
        <v/>
      </c>
      <c r="W530" s="13">
        <f>MAX(W529,R530)</f>
        <v/>
      </c>
      <c r="X530" s="4">
        <f>IF(W530&gt;0,R530/W530-1,-1)</f>
        <v/>
      </c>
      <c r="Y530" s="19">
        <f>IF(R530&gt;0,S530*資金模擬!$B$7/R530,0)</f>
        <v/>
      </c>
      <c r="Z530" s="2">
        <f>IF(OR(Z529=1,R530&lt;=資金模擬!$B$10),1,0)</f>
        <v/>
      </c>
    </row>
    <row r="531">
      <c r="A531" s="2" t="n">
        <v>529</v>
      </c>
      <c r="B531" s="7" t="n">
        <v>46283.04166666666</v>
      </c>
      <c r="C531" s="2" t="inlineStr">
        <is>
          <t>出場</t>
        </is>
      </c>
      <c r="D531" s="2" t="n">
        <v>264</v>
      </c>
      <c r="E531" s="2" t="inlineStr">
        <is>
          <t>DASH_USDT_PERP</t>
        </is>
      </c>
      <c r="F531" s="2" t="inlineStr">
        <is>
          <t>做多</t>
        </is>
      </c>
      <c r="G531" s="20" t="n">
        <v>60.16</v>
      </c>
      <c r="H531" s="20" t="n">
        <v>61.9648</v>
      </c>
      <c r="I531" s="20" t="n">
        <v>57.15199999999999</v>
      </c>
      <c r="J531" s="20" t="n">
        <v>61.9648</v>
      </c>
      <c r="K531" s="2" t="inlineStr">
        <is>
          <t>止盈</t>
        </is>
      </c>
      <c r="L531" s="5">
        <f>交易明細!K265</f>
        <v/>
      </c>
      <c r="M531" s="19">
        <f>M528</f>
        <v/>
      </c>
      <c r="N531" s="2">
        <f>N528</f>
        <v/>
      </c>
      <c r="O531" s="19">
        <f>O528</f>
        <v/>
      </c>
      <c r="P531" s="4">
        <f>交易明細!L265</f>
        <v/>
      </c>
      <c r="Q531" s="13">
        <f>IF(N531="已下單",O531*P531,0)</f>
        <v/>
      </c>
      <c r="R531" s="13">
        <f>R530+Q531</f>
        <v/>
      </c>
      <c r="S531" s="19">
        <f>S530-IF(N531="已下單",M531,0)</f>
        <v/>
      </c>
      <c r="T531" s="19">
        <f>R531-S531</f>
        <v/>
      </c>
      <c r="U531" s="2">
        <f>U530-IF(N531="已下單",1,0)</f>
        <v/>
      </c>
      <c r="V531" s="19">
        <f>IF(資金模擬!$B$9=2,MAX(R531,0),MAX(V530,FLOOR(MAX(R531,0),資金模擬!$B$6)))</f>
        <v/>
      </c>
      <c r="W531" s="13">
        <f>MAX(W530,R531)</f>
        <v/>
      </c>
      <c r="X531" s="4">
        <f>IF(W531&gt;0,R531/W531-1,-1)</f>
        <v/>
      </c>
      <c r="Y531" s="19">
        <f>IF(R531&gt;0,S531*資金模擬!$B$7/R531,0)</f>
        <v/>
      </c>
      <c r="Z531" s="2">
        <f>IF(OR(Z530=1,R531&lt;=資金模擬!$B$10),1,0)</f>
        <v/>
      </c>
    </row>
    <row r="532">
      <c r="A532" s="2" t="n">
        <v>530</v>
      </c>
      <c r="B532" s="7" t="n">
        <v>46283.04166666666</v>
      </c>
      <c r="C532" s="2" t="inlineStr">
        <is>
          <t>出場</t>
        </is>
      </c>
      <c r="D532" s="2" t="n">
        <v>265</v>
      </c>
      <c r="E532" s="2" t="inlineStr">
        <is>
          <t>NEAR_USDT_PERP</t>
        </is>
      </c>
      <c r="F532" s="2" t="inlineStr">
        <is>
          <t>做多</t>
        </is>
      </c>
      <c r="G532" s="20" t="n">
        <v>2.875</v>
      </c>
      <c r="H532" s="20" t="n">
        <v>2.96125</v>
      </c>
      <c r="I532" s="20" t="n">
        <v>2.73125</v>
      </c>
      <c r="J532" s="20" t="n">
        <v>2.96125</v>
      </c>
      <c r="K532" s="2" t="inlineStr">
        <is>
          <t>止盈</t>
        </is>
      </c>
      <c r="L532" s="5">
        <f>交易明細!K266</f>
        <v/>
      </c>
      <c r="M532" s="19">
        <f>M529</f>
        <v/>
      </c>
      <c r="N532" s="2">
        <f>N529</f>
        <v/>
      </c>
      <c r="O532" s="19">
        <f>O529</f>
        <v/>
      </c>
      <c r="P532" s="4">
        <f>交易明細!L266</f>
        <v/>
      </c>
      <c r="Q532" s="13">
        <f>IF(N532="已下單",O532*P532,0)</f>
        <v/>
      </c>
      <c r="R532" s="13">
        <f>R531+Q532</f>
        <v/>
      </c>
      <c r="S532" s="19">
        <f>S531-IF(N532="已下單",M532,0)</f>
        <v/>
      </c>
      <c r="T532" s="19">
        <f>R532-S532</f>
        <v/>
      </c>
      <c r="U532" s="2">
        <f>U531-IF(N532="已下單",1,0)</f>
        <v/>
      </c>
      <c r="V532" s="19">
        <f>IF(資金模擬!$B$9=2,MAX(R532,0),MAX(V531,FLOOR(MAX(R532,0),資金模擬!$B$6)))</f>
        <v/>
      </c>
      <c r="W532" s="13">
        <f>MAX(W531,R532)</f>
        <v/>
      </c>
      <c r="X532" s="4">
        <f>IF(W532&gt;0,R532/W532-1,-1)</f>
        <v/>
      </c>
      <c r="Y532" s="19">
        <f>IF(R532&gt;0,S532*資金模擬!$B$7/R532,0)</f>
        <v/>
      </c>
      <c r="Z532" s="2">
        <f>IF(OR(Z531=1,R532&lt;=資金模擬!$B$10),1,0)</f>
        <v/>
      </c>
    </row>
    <row r="533">
      <c r="A533" s="2" t="n">
        <v>531</v>
      </c>
      <c r="B533" s="7" t="n">
        <v>46283.08333333334</v>
      </c>
      <c r="C533" s="2" t="inlineStr">
        <is>
          <t>進場</t>
        </is>
      </c>
      <c r="D533" s="2" t="n">
        <v>266</v>
      </c>
      <c r="E533" s="2" t="inlineStr">
        <is>
          <t>ENA_USDT_PERP</t>
        </is>
      </c>
      <c r="F533" s="2" t="inlineStr">
        <is>
          <t>做多</t>
        </is>
      </c>
      <c r="G533" s="20" t="n">
        <v>0.1581</v>
      </c>
      <c r="H533" s="20" t="n">
        <v>0.162843</v>
      </c>
      <c r="I533" s="20" t="n">
        <v>0.150195</v>
      </c>
      <c r="J533" s="20" t="n"/>
      <c r="K533" s="2" t="n"/>
      <c r="L533" s="5" t="n"/>
      <c r="M533" s="19">
        <f>資金模擬!$B$5*V532</f>
        <v/>
      </c>
      <c r="N533" s="2">
        <f>IF(Z532=1,"已停止",IF(T532&gt;=M533,"已下單","資金不足略過"))</f>
        <v/>
      </c>
      <c r="O533" s="19">
        <f>IF(N533="已下單",M533*資金模擬!$B$7,0)</f>
        <v/>
      </c>
      <c r="P533" s="4" t="n"/>
      <c r="Q533" s="13" t="n">
        <v>0</v>
      </c>
      <c r="R533" s="13">
        <f>R532+Q533</f>
        <v/>
      </c>
      <c r="S533" s="19">
        <f>S532+IF(N533="已下單",M533,0)</f>
        <v/>
      </c>
      <c r="T533" s="19">
        <f>R533-S533</f>
        <v/>
      </c>
      <c r="U533" s="2">
        <f>U532+IF(N533="已下單",1,0)</f>
        <v/>
      </c>
      <c r="V533" s="19">
        <f>IF(資金模擬!$B$9=2,MAX(R533,0),MAX(V532,FLOOR(MAX(R533,0),資金模擬!$B$6)))</f>
        <v/>
      </c>
      <c r="W533" s="13">
        <f>MAX(W532,R533)</f>
        <v/>
      </c>
      <c r="X533" s="4">
        <f>IF(W533&gt;0,R533/W533-1,-1)</f>
        <v/>
      </c>
      <c r="Y533" s="19">
        <f>IF(R533&gt;0,S533*資金模擬!$B$7/R533,0)</f>
        <v/>
      </c>
      <c r="Z533" s="2">
        <f>IF(OR(Z532=1,R533&lt;=資金模擬!$B$10),1,0)</f>
        <v/>
      </c>
    </row>
    <row r="534">
      <c r="A534" s="2" t="n">
        <v>532</v>
      </c>
      <c r="B534" s="7" t="n">
        <v>46283.125</v>
      </c>
      <c r="C534" s="2" t="inlineStr">
        <is>
          <t>進場</t>
        </is>
      </c>
      <c r="D534" s="2" t="n">
        <v>267</v>
      </c>
      <c r="E534" s="2" t="inlineStr">
        <is>
          <t>VVV_USDT_PERP</t>
        </is>
      </c>
      <c r="F534" s="2" t="inlineStr">
        <is>
          <t>做多</t>
        </is>
      </c>
      <c r="G534" s="20" t="n">
        <v>25.152</v>
      </c>
      <c r="H534" s="20" t="n">
        <v>25.90656</v>
      </c>
      <c r="I534" s="20" t="n">
        <v>23.8944</v>
      </c>
      <c r="J534" s="20" t="n"/>
      <c r="K534" s="2" t="n"/>
      <c r="L534" s="5" t="n"/>
      <c r="M534" s="19">
        <f>資金模擬!$B$5*V533</f>
        <v/>
      </c>
      <c r="N534" s="2">
        <f>IF(Z533=1,"已停止",IF(T533&gt;=M534,"已下單","資金不足略過"))</f>
        <v/>
      </c>
      <c r="O534" s="19">
        <f>IF(N534="已下單",M534*資金模擬!$B$7,0)</f>
        <v/>
      </c>
      <c r="P534" s="4" t="n"/>
      <c r="Q534" s="13" t="n">
        <v>0</v>
      </c>
      <c r="R534" s="13">
        <f>R533+Q534</f>
        <v/>
      </c>
      <c r="S534" s="19">
        <f>S533+IF(N534="已下單",M534,0)</f>
        <v/>
      </c>
      <c r="T534" s="19">
        <f>R534-S534</f>
        <v/>
      </c>
      <c r="U534" s="2">
        <f>U533+IF(N534="已下單",1,0)</f>
        <v/>
      </c>
      <c r="V534" s="19">
        <f>IF(資金模擬!$B$9=2,MAX(R534,0),MAX(V533,FLOOR(MAX(R534,0),資金模擬!$B$6)))</f>
        <v/>
      </c>
      <c r="W534" s="13">
        <f>MAX(W533,R534)</f>
        <v/>
      </c>
      <c r="X534" s="4">
        <f>IF(W534&gt;0,R534/W534-1,-1)</f>
        <v/>
      </c>
      <c r="Y534" s="19">
        <f>IF(R534&gt;0,S534*資金模擬!$B$7/R534,0)</f>
        <v/>
      </c>
      <c r="Z534" s="2">
        <f>IF(OR(Z533=1,R534&lt;=資金模擬!$B$10),1,0)</f>
        <v/>
      </c>
    </row>
    <row r="535">
      <c r="A535" s="2" t="n">
        <v>533</v>
      </c>
      <c r="B535" s="7" t="n">
        <v>46283.20833333334</v>
      </c>
      <c r="C535" s="2" t="inlineStr">
        <is>
          <t>進場</t>
        </is>
      </c>
      <c r="D535" s="2" t="n">
        <v>268</v>
      </c>
      <c r="E535" s="2" t="inlineStr">
        <is>
          <t>AKE_USDT_PERP</t>
        </is>
      </c>
      <c r="F535" s="2" t="inlineStr">
        <is>
          <t>做多</t>
        </is>
      </c>
      <c r="G535" s="20" t="n">
        <v>0.0214905</v>
      </c>
      <c r="H535" s="20" t="n">
        <v>0.022135215</v>
      </c>
      <c r="I535" s="20" t="n">
        <v>0.020415975</v>
      </c>
      <c r="J535" s="20" t="n"/>
      <c r="K535" s="2" t="n"/>
      <c r="L535" s="5" t="n"/>
      <c r="M535" s="19">
        <f>資金模擬!$B$5*V534</f>
        <v/>
      </c>
      <c r="N535" s="2">
        <f>IF(Z534=1,"已停止",IF(T534&gt;=M535,"已下單","資金不足略過"))</f>
        <v/>
      </c>
      <c r="O535" s="19">
        <f>IF(N535="已下單",M535*資金模擬!$B$7,0)</f>
        <v/>
      </c>
      <c r="P535" s="4" t="n"/>
      <c r="Q535" s="13" t="n">
        <v>0</v>
      </c>
      <c r="R535" s="13">
        <f>R534+Q535</f>
        <v/>
      </c>
      <c r="S535" s="19">
        <f>S534+IF(N535="已下單",M535,0)</f>
        <v/>
      </c>
      <c r="T535" s="19">
        <f>R535-S535</f>
        <v/>
      </c>
      <c r="U535" s="2">
        <f>U534+IF(N535="已下單",1,0)</f>
        <v/>
      </c>
      <c r="V535" s="19">
        <f>IF(資金模擬!$B$9=2,MAX(R535,0),MAX(V534,FLOOR(MAX(R535,0),資金模擬!$B$6)))</f>
        <v/>
      </c>
      <c r="W535" s="13">
        <f>MAX(W534,R535)</f>
        <v/>
      </c>
      <c r="X535" s="4">
        <f>IF(W535&gt;0,R535/W535-1,-1)</f>
        <v/>
      </c>
      <c r="Y535" s="19">
        <f>IF(R535&gt;0,S535*資金模擬!$B$7/R535,0)</f>
        <v/>
      </c>
      <c r="Z535" s="2">
        <f>IF(OR(Z534=1,R535&lt;=資金模擬!$B$10),1,0)</f>
        <v/>
      </c>
    </row>
    <row r="536">
      <c r="A536" s="2" t="n">
        <v>534</v>
      </c>
      <c r="B536" s="7" t="n">
        <v>46283.29166666666</v>
      </c>
      <c r="C536" s="2" t="inlineStr">
        <is>
          <t>進場</t>
        </is>
      </c>
      <c r="D536" s="2" t="n">
        <v>269</v>
      </c>
      <c r="E536" s="2" t="inlineStr">
        <is>
          <t>PONS_USDT_PERP</t>
        </is>
      </c>
      <c r="F536" s="2" t="inlineStr">
        <is>
          <t>做多</t>
        </is>
      </c>
      <c r="G536" s="20" t="n">
        <v>0.6647</v>
      </c>
      <c r="H536" s="20" t="n">
        <v>0.6846409999999999</v>
      </c>
      <c r="I536" s="20" t="n">
        <v>0.6314649999999999</v>
      </c>
      <c r="J536" s="20" t="n"/>
      <c r="K536" s="2" t="n"/>
      <c r="L536" s="5" t="n"/>
      <c r="M536" s="19">
        <f>資金模擬!$B$5*V535</f>
        <v/>
      </c>
      <c r="N536" s="2">
        <f>IF(Z535=1,"已停止",IF(T535&gt;=M536,"已下單","資金不足略過"))</f>
        <v/>
      </c>
      <c r="O536" s="19">
        <f>IF(N536="已下單",M536*資金模擬!$B$7,0)</f>
        <v/>
      </c>
      <c r="P536" s="4" t="n"/>
      <c r="Q536" s="13" t="n">
        <v>0</v>
      </c>
      <c r="R536" s="13">
        <f>R535+Q536</f>
        <v/>
      </c>
      <c r="S536" s="19">
        <f>S535+IF(N536="已下單",M536,0)</f>
        <v/>
      </c>
      <c r="T536" s="19">
        <f>R536-S536</f>
        <v/>
      </c>
      <c r="U536" s="2">
        <f>U535+IF(N536="已下單",1,0)</f>
        <v/>
      </c>
      <c r="V536" s="19">
        <f>IF(資金模擬!$B$9=2,MAX(R536,0),MAX(V535,FLOOR(MAX(R536,0),資金模擬!$B$6)))</f>
        <v/>
      </c>
      <c r="W536" s="13">
        <f>MAX(W535,R536)</f>
        <v/>
      </c>
      <c r="X536" s="4">
        <f>IF(W536&gt;0,R536/W536-1,-1)</f>
        <v/>
      </c>
      <c r="Y536" s="19">
        <f>IF(R536&gt;0,S536*資金模擬!$B$7/R536,0)</f>
        <v/>
      </c>
      <c r="Z536" s="2">
        <f>IF(OR(Z535=1,R536&lt;=資金模擬!$B$10),1,0)</f>
        <v/>
      </c>
    </row>
    <row r="537">
      <c r="A537" s="2" t="n">
        <v>535</v>
      </c>
      <c r="B537" s="7" t="n">
        <v>46283.33333333334</v>
      </c>
      <c r="C537" s="2" t="inlineStr">
        <is>
          <t>出場</t>
        </is>
      </c>
      <c r="D537" s="2" t="n">
        <v>269</v>
      </c>
      <c r="E537" s="2" t="inlineStr">
        <is>
          <t>PONS_USDT_PERP</t>
        </is>
      </c>
      <c r="F537" s="2" t="inlineStr">
        <is>
          <t>做多</t>
        </is>
      </c>
      <c r="G537" s="20" t="n">
        <v>0.6647</v>
      </c>
      <c r="H537" s="20" t="n">
        <v>0.6846409999999999</v>
      </c>
      <c r="I537" s="20" t="n">
        <v>0.6314649999999999</v>
      </c>
      <c r="J537" s="20" t="n">
        <v>0.6846409999999999</v>
      </c>
      <c r="K537" s="2" t="inlineStr">
        <is>
          <t>止盈</t>
        </is>
      </c>
      <c r="L537" s="5">
        <f>交易明細!K270</f>
        <v/>
      </c>
      <c r="M537" s="19">
        <f>M536</f>
        <v/>
      </c>
      <c r="N537" s="2">
        <f>N536</f>
        <v/>
      </c>
      <c r="O537" s="19">
        <f>O536</f>
        <v/>
      </c>
      <c r="P537" s="4">
        <f>交易明細!L270</f>
        <v/>
      </c>
      <c r="Q537" s="13">
        <f>IF(N537="已下單",O537*P537,0)</f>
        <v/>
      </c>
      <c r="R537" s="13">
        <f>R536+Q537</f>
        <v/>
      </c>
      <c r="S537" s="19">
        <f>S536-IF(N537="已下單",M537,0)</f>
        <v/>
      </c>
      <c r="T537" s="19">
        <f>R537-S537</f>
        <v/>
      </c>
      <c r="U537" s="2">
        <f>U536-IF(N537="已下單",1,0)</f>
        <v/>
      </c>
      <c r="V537" s="19">
        <f>IF(資金模擬!$B$9=2,MAX(R537,0),MAX(V536,FLOOR(MAX(R537,0),資金模擬!$B$6)))</f>
        <v/>
      </c>
      <c r="W537" s="13">
        <f>MAX(W536,R537)</f>
        <v/>
      </c>
      <c r="X537" s="4">
        <f>IF(W537&gt;0,R537/W537-1,-1)</f>
        <v/>
      </c>
      <c r="Y537" s="19">
        <f>IF(R537&gt;0,S537*資金模擬!$B$7/R537,0)</f>
        <v/>
      </c>
      <c r="Z537" s="2">
        <f>IF(OR(Z536=1,R537&lt;=資金模擬!$B$10),1,0)</f>
        <v/>
      </c>
    </row>
    <row r="538">
      <c r="A538" s="2" t="n">
        <v>536</v>
      </c>
      <c r="B538" s="7" t="n">
        <v>46283.33333333334</v>
      </c>
      <c r="C538" s="2" t="inlineStr">
        <is>
          <t>進場</t>
        </is>
      </c>
      <c r="D538" s="2" t="n">
        <v>270</v>
      </c>
      <c r="E538" s="2" t="inlineStr">
        <is>
          <t>GENIUS_USDT_PERP</t>
        </is>
      </c>
      <c r="F538" s="2" t="inlineStr">
        <is>
          <t>做多</t>
        </is>
      </c>
      <c r="G538" s="20" t="n">
        <v>0.361</v>
      </c>
      <c r="H538" s="20" t="n">
        <v>0.37183</v>
      </c>
      <c r="I538" s="20" t="n">
        <v>0.34295</v>
      </c>
      <c r="J538" s="20" t="n"/>
      <c r="K538" s="2" t="n"/>
      <c r="L538" s="5" t="n"/>
      <c r="M538" s="19">
        <f>資金模擬!$B$5*V537</f>
        <v/>
      </c>
      <c r="N538" s="2">
        <f>IF(Z537=1,"已停止",IF(T537&gt;=M538,"已下單","資金不足略過"))</f>
        <v/>
      </c>
      <c r="O538" s="19">
        <f>IF(N538="已下單",M538*資金模擬!$B$7,0)</f>
        <v/>
      </c>
      <c r="P538" s="4" t="n"/>
      <c r="Q538" s="13" t="n">
        <v>0</v>
      </c>
      <c r="R538" s="13">
        <f>R537+Q538</f>
        <v/>
      </c>
      <c r="S538" s="19">
        <f>S537+IF(N538="已下單",M538,0)</f>
        <v/>
      </c>
      <c r="T538" s="19">
        <f>R538-S538</f>
        <v/>
      </c>
      <c r="U538" s="2">
        <f>U537+IF(N538="已下單",1,0)</f>
        <v/>
      </c>
      <c r="V538" s="19">
        <f>IF(資金模擬!$B$9=2,MAX(R538,0),MAX(V537,FLOOR(MAX(R538,0),資金模擬!$B$6)))</f>
        <v/>
      </c>
      <c r="W538" s="13">
        <f>MAX(W537,R538)</f>
        <v/>
      </c>
      <c r="X538" s="4">
        <f>IF(W538&gt;0,R538/W538-1,-1)</f>
        <v/>
      </c>
      <c r="Y538" s="19">
        <f>IF(R538&gt;0,S538*資金模擬!$B$7/R538,0)</f>
        <v/>
      </c>
      <c r="Z538" s="2">
        <f>IF(OR(Z537=1,R538&lt;=資金模擬!$B$10),1,0)</f>
        <v/>
      </c>
    </row>
    <row r="539">
      <c r="A539" s="2" t="n">
        <v>537</v>
      </c>
      <c r="B539" s="7" t="n">
        <v>46283.375</v>
      </c>
      <c r="C539" s="2" t="inlineStr">
        <is>
          <t>出場</t>
        </is>
      </c>
      <c r="D539" s="2" t="n">
        <v>270</v>
      </c>
      <c r="E539" s="2" t="inlineStr">
        <is>
          <t>GENIUS_USDT_PERP</t>
        </is>
      </c>
      <c r="F539" s="2" t="inlineStr">
        <is>
          <t>做多</t>
        </is>
      </c>
      <c r="G539" s="20" t="n">
        <v>0.361</v>
      </c>
      <c r="H539" s="20" t="n">
        <v>0.37183</v>
      </c>
      <c r="I539" s="20" t="n">
        <v>0.34295</v>
      </c>
      <c r="J539" s="20" t="n">
        <v>0.37183</v>
      </c>
      <c r="K539" s="2" t="inlineStr">
        <is>
          <t>止盈</t>
        </is>
      </c>
      <c r="L539" s="5">
        <f>交易明細!K271</f>
        <v/>
      </c>
      <c r="M539" s="19">
        <f>M538</f>
        <v/>
      </c>
      <c r="N539" s="2">
        <f>N538</f>
        <v/>
      </c>
      <c r="O539" s="19">
        <f>O538</f>
        <v/>
      </c>
      <c r="P539" s="4">
        <f>交易明細!L271</f>
        <v/>
      </c>
      <c r="Q539" s="13">
        <f>IF(N539="已下單",O539*P539,0)</f>
        <v/>
      </c>
      <c r="R539" s="13">
        <f>R538+Q539</f>
        <v/>
      </c>
      <c r="S539" s="19">
        <f>S538-IF(N539="已下單",M539,0)</f>
        <v/>
      </c>
      <c r="T539" s="19">
        <f>R539-S539</f>
        <v/>
      </c>
      <c r="U539" s="2">
        <f>U538-IF(N539="已下單",1,0)</f>
        <v/>
      </c>
      <c r="V539" s="19">
        <f>IF(資金模擬!$B$9=2,MAX(R539,0),MAX(V538,FLOOR(MAX(R539,0),資金模擬!$B$6)))</f>
        <v/>
      </c>
      <c r="W539" s="13">
        <f>MAX(W538,R539)</f>
        <v/>
      </c>
      <c r="X539" s="4">
        <f>IF(W539&gt;0,R539/W539-1,-1)</f>
        <v/>
      </c>
      <c r="Y539" s="19">
        <f>IF(R539&gt;0,S539*資金模擬!$B$7/R539,0)</f>
        <v/>
      </c>
      <c r="Z539" s="2">
        <f>IF(OR(Z538=1,R539&lt;=資金模擬!$B$10),1,0)</f>
        <v/>
      </c>
    </row>
    <row r="540">
      <c r="A540" s="2" t="n">
        <v>538</v>
      </c>
      <c r="B540" s="7" t="n">
        <v>46283.41666666666</v>
      </c>
      <c r="C540" s="2" t="inlineStr">
        <is>
          <t>出場</t>
        </is>
      </c>
      <c r="D540" s="2" t="n">
        <v>267</v>
      </c>
      <c r="E540" s="2" t="inlineStr">
        <is>
          <t>VVV_USDT_PERP</t>
        </is>
      </c>
      <c r="F540" s="2" t="inlineStr">
        <is>
          <t>做多</t>
        </is>
      </c>
      <c r="G540" s="20" t="n">
        <v>25.152</v>
      </c>
      <c r="H540" s="20" t="n">
        <v>25.90656</v>
      </c>
      <c r="I540" s="20" t="n">
        <v>23.8944</v>
      </c>
      <c r="J540" s="20" t="n">
        <v>25.90656</v>
      </c>
      <c r="K540" s="2" t="inlineStr">
        <is>
          <t>止盈</t>
        </is>
      </c>
      <c r="L540" s="5">
        <f>交易明細!K268</f>
        <v/>
      </c>
      <c r="M540" s="19">
        <f>M534</f>
        <v/>
      </c>
      <c r="N540" s="2">
        <f>N534</f>
        <v/>
      </c>
      <c r="O540" s="19">
        <f>O534</f>
        <v/>
      </c>
      <c r="P540" s="4">
        <f>交易明細!L268</f>
        <v/>
      </c>
      <c r="Q540" s="13">
        <f>IF(N540="已下單",O540*P540,0)</f>
        <v/>
      </c>
      <c r="R540" s="13">
        <f>R539+Q540</f>
        <v/>
      </c>
      <c r="S540" s="19">
        <f>S539-IF(N540="已下單",M540,0)</f>
        <v/>
      </c>
      <c r="T540" s="19">
        <f>R540-S540</f>
        <v/>
      </c>
      <c r="U540" s="2">
        <f>U539-IF(N540="已下單",1,0)</f>
        <v/>
      </c>
      <c r="V540" s="19">
        <f>IF(資金模擬!$B$9=2,MAX(R540,0),MAX(V539,FLOOR(MAX(R540,0),資金模擬!$B$6)))</f>
        <v/>
      </c>
      <c r="W540" s="13">
        <f>MAX(W539,R540)</f>
        <v/>
      </c>
      <c r="X540" s="4">
        <f>IF(W540&gt;0,R540/W540-1,-1)</f>
        <v/>
      </c>
      <c r="Y540" s="19">
        <f>IF(R540&gt;0,S540*資金模擬!$B$7/R540,0)</f>
        <v/>
      </c>
      <c r="Z540" s="2">
        <f>IF(OR(Z539=1,R540&lt;=資金模擬!$B$10),1,0)</f>
        <v/>
      </c>
    </row>
    <row r="541">
      <c r="A541" s="2" t="n">
        <v>539</v>
      </c>
      <c r="B541" s="7" t="n">
        <v>46283.41666666666</v>
      </c>
      <c r="C541" s="2" t="inlineStr">
        <is>
          <t>進場</t>
        </is>
      </c>
      <c r="D541" s="2" t="n">
        <v>271</v>
      </c>
      <c r="E541" s="2" t="inlineStr">
        <is>
          <t>BR_USDT_PERP</t>
        </is>
      </c>
      <c r="F541" s="2" t="inlineStr">
        <is>
          <t>做多</t>
        </is>
      </c>
      <c r="G541" s="20" t="n">
        <v>0.68503</v>
      </c>
      <c r="H541" s="20" t="n">
        <v>0.7055809000000001</v>
      </c>
      <c r="I541" s="20" t="n">
        <v>0.6507785</v>
      </c>
      <c r="J541" s="20" t="n"/>
      <c r="K541" s="2" t="n"/>
      <c r="L541" s="5" t="n"/>
      <c r="M541" s="19">
        <f>資金模擬!$B$5*V540</f>
        <v/>
      </c>
      <c r="N541" s="2">
        <f>IF(Z540=1,"已停止",IF(T540&gt;=M541,"已下單","資金不足略過"))</f>
        <v/>
      </c>
      <c r="O541" s="19">
        <f>IF(N541="已下單",M541*資金模擬!$B$7,0)</f>
        <v/>
      </c>
      <c r="P541" s="4" t="n"/>
      <c r="Q541" s="13" t="n">
        <v>0</v>
      </c>
      <c r="R541" s="13">
        <f>R540+Q541</f>
        <v/>
      </c>
      <c r="S541" s="19">
        <f>S540+IF(N541="已下單",M541,0)</f>
        <v/>
      </c>
      <c r="T541" s="19">
        <f>R541-S541</f>
        <v/>
      </c>
      <c r="U541" s="2">
        <f>U540+IF(N541="已下單",1,0)</f>
        <v/>
      </c>
      <c r="V541" s="19">
        <f>IF(資金模擬!$B$9=2,MAX(R541,0),MAX(V540,FLOOR(MAX(R541,0),資金模擬!$B$6)))</f>
        <v/>
      </c>
      <c r="W541" s="13">
        <f>MAX(W540,R541)</f>
        <v/>
      </c>
      <c r="X541" s="4">
        <f>IF(W541&gt;0,R541/W541-1,-1)</f>
        <v/>
      </c>
      <c r="Y541" s="19">
        <f>IF(R541&gt;0,S541*資金模擬!$B$7/R541,0)</f>
        <v/>
      </c>
      <c r="Z541" s="2">
        <f>IF(OR(Z540=1,R541&lt;=資金模擬!$B$10),1,0)</f>
        <v/>
      </c>
    </row>
    <row r="542">
      <c r="A542" s="2" t="n">
        <v>540</v>
      </c>
      <c r="B542" s="7" t="n">
        <v>46283.41666666666</v>
      </c>
      <c r="C542" s="2" t="inlineStr">
        <is>
          <t>進場</t>
        </is>
      </c>
      <c r="D542" s="2" t="n">
        <v>272</v>
      </c>
      <c r="E542" s="2" t="inlineStr">
        <is>
          <t>LSK_USDT_PERP</t>
        </is>
      </c>
      <c r="F542" s="2" t="inlineStr">
        <is>
          <t>做空</t>
        </is>
      </c>
      <c r="G542" s="20" t="n">
        <v>0.4331</v>
      </c>
      <c r="H542" s="20" t="n">
        <v>0.420107</v>
      </c>
      <c r="I542" s="20" t="n">
        <v>0.454755</v>
      </c>
      <c r="J542" s="20" t="n"/>
      <c r="K542" s="2" t="n"/>
      <c r="L542" s="5" t="n"/>
      <c r="M542" s="19">
        <f>資金模擬!$B$5*V541</f>
        <v/>
      </c>
      <c r="N542" s="2">
        <f>IF(Z541=1,"已停止",IF(T541&gt;=M542,"已下單","資金不足略過"))</f>
        <v/>
      </c>
      <c r="O542" s="19">
        <f>IF(N542="已下單",M542*資金模擬!$B$7,0)</f>
        <v/>
      </c>
      <c r="P542" s="4" t="n"/>
      <c r="Q542" s="13" t="n">
        <v>0</v>
      </c>
      <c r="R542" s="13">
        <f>R541+Q542</f>
        <v/>
      </c>
      <c r="S542" s="19">
        <f>S541+IF(N542="已下單",M542,0)</f>
        <v/>
      </c>
      <c r="T542" s="19">
        <f>R542-S542</f>
        <v/>
      </c>
      <c r="U542" s="2">
        <f>U541+IF(N542="已下單",1,0)</f>
        <v/>
      </c>
      <c r="V542" s="19">
        <f>IF(資金模擬!$B$9=2,MAX(R542,0),MAX(V541,FLOOR(MAX(R542,0),資金模擬!$B$6)))</f>
        <v/>
      </c>
      <c r="W542" s="13">
        <f>MAX(W541,R542)</f>
        <v/>
      </c>
      <c r="X542" s="4">
        <f>IF(W542&gt;0,R542/W542-1,-1)</f>
        <v/>
      </c>
      <c r="Y542" s="19">
        <f>IF(R542&gt;0,S542*資金模擬!$B$7/R542,0)</f>
        <v/>
      </c>
      <c r="Z542" s="2">
        <f>IF(OR(Z541=1,R542&lt;=資金模擬!$B$10),1,0)</f>
        <v/>
      </c>
    </row>
    <row r="543">
      <c r="A543" s="2" t="n">
        <v>541</v>
      </c>
      <c r="B543" s="7" t="n">
        <v>46283.41666666666</v>
      </c>
      <c r="C543" s="2" t="inlineStr">
        <is>
          <t>進場</t>
        </is>
      </c>
      <c r="D543" s="2" t="n">
        <v>273</v>
      </c>
      <c r="E543" s="2" t="inlineStr">
        <is>
          <t>PONS_USDT_PERP</t>
        </is>
      </c>
      <c r="F543" s="2" t="inlineStr">
        <is>
          <t>做多</t>
        </is>
      </c>
      <c r="G543" s="20" t="n">
        <v>0.6899999999999999</v>
      </c>
      <c r="H543" s="20" t="n">
        <v>0.7107</v>
      </c>
      <c r="I543" s="20" t="n">
        <v>0.6555</v>
      </c>
      <c r="J543" s="20" t="n"/>
      <c r="K543" s="2" t="n"/>
      <c r="L543" s="5" t="n"/>
      <c r="M543" s="19">
        <f>資金模擬!$B$5*V542</f>
        <v/>
      </c>
      <c r="N543" s="2">
        <f>IF(Z542=1,"已停止",IF(T542&gt;=M543,"已下單","資金不足略過"))</f>
        <v/>
      </c>
      <c r="O543" s="19">
        <f>IF(N543="已下單",M543*資金模擬!$B$7,0)</f>
        <v/>
      </c>
      <c r="P543" s="4" t="n"/>
      <c r="Q543" s="13" t="n">
        <v>0</v>
      </c>
      <c r="R543" s="13">
        <f>R542+Q543</f>
        <v/>
      </c>
      <c r="S543" s="19">
        <f>S542+IF(N543="已下單",M543,0)</f>
        <v/>
      </c>
      <c r="T543" s="19">
        <f>R543-S543</f>
        <v/>
      </c>
      <c r="U543" s="2">
        <f>U542+IF(N543="已下單",1,0)</f>
        <v/>
      </c>
      <c r="V543" s="19">
        <f>IF(資金模擬!$B$9=2,MAX(R543,0),MAX(V542,FLOOR(MAX(R543,0),資金模擬!$B$6)))</f>
        <v/>
      </c>
      <c r="W543" s="13">
        <f>MAX(W542,R543)</f>
        <v/>
      </c>
      <c r="X543" s="4">
        <f>IF(W543&gt;0,R543/W543-1,-1)</f>
        <v/>
      </c>
      <c r="Y543" s="19">
        <f>IF(R543&gt;0,S543*資金模擬!$B$7/R543,0)</f>
        <v/>
      </c>
      <c r="Z543" s="2">
        <f>IF(OR(Z542=1,R543&lt;=資金模擬!$B$10),1,0)</f>
        <v/>
      </c>
    </row>
    <row r="544">
      <c r="A544" s="2" t="n">
        <v>542</v>
      </c>
      <c r="B544" s="7" t="n">
        <v>46283.41666666666</v>
      </c>
      <c r="C544" s="2" t="inlineStr">
        <is>
          <t>進場</t>
        </is>
      </c>
      <c r="D544" s="2" t="n">
        <v>274</v>
      </c>
      <c r="E544" s="2" t="inlineStr">
        <is>
          <t>USELESS_USDT_PERP</t>
        </is>
      </c>
      <c r="F544" s="2" t="inlineStr">
        <is>
          <t>做多</t>
        </is>
      </c>
      <c r="G544" s="20" t="n">
        <v>0.2663</v>
      </c>
      <c r="H544" s="20" t="n">
        <v>0.274289</v>
      </c>
      <c r="I544" s="20" t="n">
        <v>0.252985</v>
      </c>
      <c r="J544" s="20" t="n"/>
      <c r="K544" s="2" t="n"/>
      <c r="L544" s="5" t="n"/>
      <c r="M544" s="19">
        <f>資金模擬!$B$5*V543</f>
        <v/>
      </c>
      <c r="N544" s="2">
        <f>IF(Z543=1,"已停止",IF(T543&gt;=M544,"已下單","資金不足略過"))</f>
        <v/>
      </c>
      <c r="O544" s="19">
        <f>IF(N544="已下單",M544*資金模擬!$B$7,0)</f>
        <v/>
      </c>
      <c r="P544" s="4" t="n"/>
      <c r="Q544" s="13" t="n">
        <v>0</v>
      </c>
      <c r="R544" s="13">
        <f>R543+Q544</f>
        <v/>
      </c>
      <c r="S544" s="19">
        <f>S543+IF(N544="已下單",M544,0)</f>
        <v/>
      </c>
      <c r="T544" s="19">
        <f>R544-S544</f>
        <v/>
      </c>
      <c r="U544" s="2">
        <f>U543+IF(N544="已下單",1,0)</f>
        <v/>
      </c>
      <c r="V544" s="19">
        <f>IF(資金模擬!$B$9=2,MAX(R544,0),MAX(V543,FLOOR(MAX(R544,0),資金模擬!$B$6)))</f>
        <v/>
      </c>
      <c r="W544" s="13">
        <f>MAX(W543,R544)</f>
        <v/>
      </c>
      <c r="X544" s="4">
        <f>IF(W544&gt;0,R544/W544-1,-1)</f>
        <v/>
      </c>
      <c r="Y544" s="19">
        <f>IF(R544&gt;0,S544*資金模擬!$B$7/R544,0)</f>
        <v/>
      </c>
      <c r="Z544" s="2">
        <f>IF(OR(Z543=1,R544&lt;=資金模擬!$B$10),1,0)</f>
        <v/>
      </c>
    </row>
    <row r="545">
      <c r="A545" s="2" t="n">
        <v>543</v>
      </c>
      <c r="B545" s="7" t="n">
        <v>46283.45833333334</v>
      </c>
      <c r="C545" s="2" t="inlineStr">
        <is>
          <t>出場</t>
        </is>
      </c>
      <c r="D545" s="2" t="n">
        <v>266</v>
      </c>
      <c r="E545" s="2" t="inlineStr">
        <is>
          <t>ENA_USDT_PERP</t>
        </is>
      </c>
      <c r="F545" s="2" t="inlineStr">
        <is>
          <t>做多</t>
        </is>
      </c>
      <c r="G545" s="20" t="n">
        <v>0.1581</v>
      </c>
      <c r="H545" s="20" t="n">
        <v>0.162843</v>
      </c>
      <c r="I545" s="20" t="n">
        <v>0.150195</v>
      </c>
      <c r="J545" s="20" t="n">
        <v>0.162843</v>
      </c>
      <c r="K545" s="2" t="inlineStr">
        <is>
          <t>止盈</t>
        </is>
      </c>
      <c r="L545" s="5">
        <f>交易明細!K267</f>
        <v/>
      </c>
      <c r="M545" s="19">
        <f>M533</f>
        <v/>
      </c>
      <c r="N545" s="2">
        <f>N533</f>
        <v/>
      </c>
      <c r="O545" s="19">
        <f>O533</f>
        <v/>
      </c>
      <c r="P545" s="4">
        <f>交易明細!L267</f>
        <v/>
      </c>
      <c r="Q545" s="13">
        <f>IF(N545="已下單",O545*P545,0)</f>
        <v/>
      </c>
      <c r="R545" s="13">
        <f>R544+Q545</f>
        <v/>
      </c>
      <c r="S545" s="19">
        <f>S544-IF(N545="已下單",M545,0)</f>
        <v/>
      </c>
      <c r="T545" s="19">
        <f>R545-S545</f>
        <v/>
      </c>
      <c r="U545" s="2">
        <f>U544-IF(N545="已下單",1,0)</f>
        <v/>
      </c>
      <c r="V545" s="19">
        <f>IF(資金模擬!$B$9=2,MAX(R545,0),MAX(V544,FLOOR(MAX(R545,0),資金模擬!$B$6)))</f>
        <v/>
      </c>
      <c r="W545" s="13">
        <f>MAX(W544,R545)</f>
        <v/>
      </c>
      <c r="X545" s="4">
        <f>IF(W545&gt;0,R545/W545-1,-1)</f>
        <v/>
      </c>
      <c r="Y545" s="19">
        <f>IF(R545&gt;0,S545*資金模擬!$B$7/R545,0)</f>
        <v/>
      </c>
      <c r="Z545" s="2">
        <f>IF(OR(Z544=1,R545&lt;=資金模擬!$B$10),1,0)</f>
        <v/>
      </c>
    </row>
    <row r="546">
      <c r="A546" s="2" t="n">
        <v>544</v>
      </c>
      <c r="B546" s="7" t="n">
        <v>46283.45833333334</v>
      </c>
      <c r="C546" s="2" t="inlineStr">
        <is>
          <t>出場</t>
        </is>
      </c>
      <c r="D546" s="2" t="n">
        <v>271</v>
      </c>
      <c r="E546" s="2" t="inlineStr">
        <is>
          <t>BR_USDT_PERP</t>
        </is>
      </c>
      <c r="F546" s="2" t="inlineStr">
        <is>
          <t>做多</t>
        </is>
      </c>
      <c r="G546" s="20" t="n">
        <v>0.68503</v>
      </c>
      <c r="H546" s="20" t="n">
        <v>0.7055809000000001</v>
      </c>
      <c r="I546" s="20" t="n">
        <v>0.6507785</v>
      </c>
      <c r="J546" s="20" t="n">
        <v>0.6507785</v>
      </c>
      <c r="K546" s="2" t="inlineStr">
        <is>
          <t>止損</t>
        </is>
      </c>
      <c r="L546" s="5">
        <f>交易明細!K272</f>
        <v/>
      </c>
      <c r="M546" s="19">
        <f>M541</f>
        <v/>
      </c>
      <c r="N546" s="2">
        <f>N541</f>
        <v/>
      </c>
      <c r="O546" s="19">
        <f>O541</f>
        <v/>
      </c>
      <c r="P546" s="4">
        <f>交易明細!L272</f>
        <v/>
      </c>
      <c r="Q546" s="13">
        <f>IF(N546="已下單",O546*P546,0)</f>
        <v/>
      </c>
      <c r="R546" s="13">
        <f>R545+Q546</f>
        <v/>
      </c>
      <c r="S546" s="19">
        <f>S545-IF(N546="已下單",M546,0)</f>
        <v/>
      </c>
      <c r="T546" s="19">
        <f>R546-S546</f>
        <v/>
      </c>
      <c r="U546" s="2">
        <f>U545-IF(N546="已下單",1,0)</f>
        <v/>
      </c>
      <c r="V546" s="19">
        <f>IF(資金模擬!$B$9=2,MAX(R546,0),MAX(V545,FLOOR(MAX(R546,0),資金模擬!$B$6)))</f>
        <v/>
      </c>
      <c r="W546" s="13">
        <f>MAX(W545,R546)</f>
        <v/>
      </c>
      <c r="X546" s="4">
        <f>IF(W546&gt;0,R546/W546-1,-1)</f>
        <v/>
      </c>
      <c r="Y546" s="19">
        <f>IF(R546&gt;0,S546*資金模擬!$B$7/R546,0)</f>
        <v/>
      </c>
      <c r="Z546" s="2">
        <f>IF(OR(Z545=1,R546&lt;=資金模擬!$B$10),1,0)</f>
        <v/>
      </c>
    </row>
    <row r="547">
      <c r="A547" s="2" t="n">
        <v>545</v>
      </c>
      <c r="B547" s="7" t="n">
        <v>46283.45833333334</v>
      </c>
      <c r="C547" s="2" t="inlineStr">
        <is>
          <t>出場</t>
        </is>
      </c>
      <c r="D547" s="2" t="n">
        <v>272</v>
      </c>
      <c r="E547" s="2" t="inlineStr">
        <is>
          <t>LSK_USDT_PERP</t>
        </is>
      </c>
      <c r="F547" s="2" t="inlineStr">
        <is>
          <t>做空</t>
        </is>
      </c>
      <c r="G547" s="20" t="n">
        <v>0.4331</v>
      </c>
      <c r="H547" s="20" t="n">
        <v>0.420107</v>
      </c>
      <c r="I547" s="20" t="n">
        <v>0.454755</v>
      </c>
      <c r="J547" s="20" t="n">
        <v>0.420107</v>
      </c>
      <c r="K547" s="2" t="inlineStr">
        <is>
          <t>止盈</t>
        </is>
      </c>
      <c r="L547" s="5">
        <f>交易明細!K273</f>
        <v/>
      </c>
      <c r="M547" s="19">
        <f>M542</f>
        <v/>
      </c>
      <c r="N547" s="2">
        <f>N542</f>
        <v/>
      </c>
      <c r="O547" s="19">
        <f>O542</f>
        <v/>
      </c>
      <c r="P547" s="4">
        <f>交易明細!L273</f>
        <v/>
      </c>
      <c r="Q547" s="13">
        <f>IF(N547="已下單",O547*P547,0)</f>
        <v/>
      </c>
      <c r="R547" s="13">
        <f>R546+Q547</f>
        <v/>
      </c>
      <c r="S547" s="19">
        <f>S546-IF(N547="已下單",M547,0)</f>
        <v/>
      </c>
      <c r="T547" s="19">
        <f>R547-S547</f>
        <v/>
      </c>
      <c r="U547" s="2">
        <f>U546-IF(N547="已下單",1,0)</f>
        <v/>
      </c>
      <c r="V547" s="19">
        <f>IF(資金模擬!$B$9=2,MAX(R547,0),MAX(V546,FLOOR(MAX(R547,0),資金模擬!$B$6)))</f>
        <v/>
      </c>
      <c r="W547" s="13">
        <f>MAX(W546,R547)</f>
        <v/>
      </c>
      <c r="X547" s="4">
        <f>IF(W547&gt;0,R547/W547-1,-1)</f>
        <v/>
      </c>
      <c r="Y547" s="19">
        <f>IF(R547&gt;0,S547*資金模擬!$B$7/R547,0)</f>
        <v/>
      </c>
      <c r="Z547" s="2">
        <f>IF(OR(Z546=1,R547&lt;=資金模擬!$B$10),1,0)</f>
        <v/>
      </c>
    </row>
    <row r="548">
      <c r="A548" s="2" t="n">
        <v>546</v>
      </c>
      <c r="B548" s="7" t="n">
        <v>46283.45833333334</v>
      </c>
      <c r="C548" s="2" t="inlineStr">
        <is>
          <t>出場</t>
        </is>
      </c>
      <c r="D548" s="2" t="n">
        <v>273</v>
      </c>
      <c r="E548" s="2" t="inlineStr">
        <is>
          <t>PONS_USDT_PERP</t>
        </is>
      </c>
      <c r="F548" s="2" t="inlineStr">
        <is>
          <t>做多</t>
        </is>
      </c>
      <c r="G548" s="20" t="n">
        <v>0.6899999999999999</v>
      </c>
      <c r="H548" s="20" t="n">
        <v>0.7107</v>
      </c>
      <c r="I548" s="20" t="n">
        <v>0.6555</v>
      </c>
      <c r="J548" s="20" t="n">
        <v>0.7107</v>
      </c>
      <c r="K548" s="2" t="inlineStr">
        <is>
          <t>止盈</t>
        </is>
      </c>
      <c r="L548" s="5">
        <f>交易明細!K274</f>
        <v/>
      </c>
      <c r="M548" s="19">
        <f>M543</f>
        <v/>
      </c>
      <c r="N548" s="2">
        <f>N543</f>
        <v/>
      </c>
      <c r="O548" s="19">
        <f>O543</f>
        <v/>
      </c>
      <c r="P548" s="4">
        <f>交易明細!L274</f>
        <v/>
      </c>
      <c r="Q548" s="13">
        <f>IF(N548="已下單",O548*P548,0)</f>
        <v/>
      </c>
      <c r="R548" s="13">
        <f>R547+Q548</f>
        <v/>
      </c>
      <c r="S548" s="19">
        <f>S547-IF(N548="已下單",M548,0)</f>
        <v/>
      </c>
      <c r="T548" s="19">
        <f>R548-S548</f>
        <v/>
      </c>
      <c r="U548" s="2">
        <f>U547-IF(N548="已下單",1,0)</f>
        <v/>
      </c>
      <c r="V548" s="19">
        <f>IF(資金模擬!$B$9=2,MAX(R548,0),MAX(V547,FLOOR(MAX(R548,0),資金模擬!$B$6)))</f>
        <v/>
      </c>
      <c r="W548" s="13">
        <f>MAX(W547,R548)</f>
        <v/>
      </c>
      <c r="X548" s="4">
        <f>IF(W548&gt;0,R548/W548-1,-1)</f>
        <v/>
      </c>
      <c r="Y548" s="19">
        <f>IF(R548&gt;0,S548*資金模擬!$B$7/R548,0)</f>
        <v/>
      </c>
      <c r="Z548" s="2">
        <f>IF(OR(Z547=1,R548&lt;=資金模擬!$B$10),1,0)</f>
        <v/>
      </c>
    </row>
    <row r="549">
      <c r="A549" s="2" t="n">
        <v>547</v>
      </c>
      <c r="B549" s="7" t="n">
        <v>46283.45833333334</v>
      </c>
      <c r="C549" s="2" t="inlineStr">
        <is>
          <t>進場</t>
        </is>
      </c>
      <c r="D549" s="2" t="n">
        <v>275</v>
      </c>
      <c r="E549" s="2" t="inlineStr">
        <is>
          <t>MARSCOIN_USDT_PERP</t>
        </is>
      </c>
      <c r="F549" s="2" t="inlineStr">
        <is>
          <t>做多</t>
        </is>
      </c>
      <c r="G549" s="20" t="n">
        <v>0.11984</v>
      </c>
      <c r="H549" s="20" t="n">
        <v>0.1234352</v>
      </c>
      <c r="I549" s="20" t="n">
        <v>0.113848</v>
      </c>
      <c r="J549" s="20" t="n"/>
      <c r="K549" s="2" t="n"/>
      <c r="L549" s="5" t="n"/>
      <c r="M549" s="19">
        <f>資金模擬!$B$5*V548</f>
        <v/>
      </c>
      <c r="N549" s="2">
        <f>IF(Z548=1,"已停止",IF(T548&gt;=M549,"已下單","資金不足略過"))</f>
        <v/>
      </c>
      <c r="O549" s="19">
        <f>IF(N549="已下單",M549*資金模擬!$B$7,0)</f>
        <v/>
      </c>
      <c r="P549" s="4" t="n"/>
      <c r="Q549" s="13" t="n">
        <v>0</v>
      </c>
      <c r="R549" s="13">
        <f>R548+Q549</f>
        <v/>
      </c>
      <c r="S549" s="19">
        <f>S548+IF(N549="已下單",M549,0)</f>
        <v/>
      </c>
      <c r="T549" s="19">
        <f>R549-S549</f>
        <v/>
      </c>
      <c r="U549" s="2">
        <f>U548+IF(N549="已下單",1,0)</f>
        <v/>
      </c>
      <c r="V549" s="19">
        <f>IF(資金模擬!$B$9=2,MAX(R549,0),MAX(V548,FLOOR(MAX(R549,0),資金模擬!$B$6)))</f>
        <v/>
      </c>
      <c r="W549" s="13">
        <f>MAX(W548,R549)</f>
        <v/>
      </c>
      <c r="X549" s="4">
        <f>IF(W549&gt;0,R549/W549-1,-1)</f>
        <v/>
      </c>
      <c r="Y549" s="19">
        <f>IF(R549&gt;0,S549*資金模擬!$B$7/R549,0)</f>
        <v/>
      </c>
      <c r="Z549" s="2">
        <f>IF(OR(Z548=1,R549&lt;=資金模擬!$B$10),1,0)</f>
        <v/>
      </c>
    </row>
    <row r="550">
      <c r="A550" s="2" t="n">
        <v>548</v>
      </c>
      <c r="B550" s="7" t="n">
        <v>46283.5</v>
      </c>
      <c r="C550" s="2" t="inlineStr">
        <is>
          <t>出場</t>
        </is>
      </c>
      <c r="D550" s="2" t="n">
        <v>274</v>
      </c>
      <c r="E550" s="2" t="inlineStr">
        <is>
          <t>USELESS_USDT_PERP</t>
        </is>
      </c>
      <c r="F550" s="2" t="inlineStr">
        <is>
          <t>做多</t>
        </is>
      </c>
      <c r="G550" s="20" t="n">
        <v>0.2663</v>
      </c>
      <c r="H550" s="20" t="n">
        <v>0.274289</v>
      </c>
      <c r="I550" s="20" t="n">
        <v>0.252985</v>
      </c>
      <c r="J550" s="20" t="n">
        <v>0.274289</v>
      </c>
      <c r="K550" s="2" t="inlineStr">
        <is>
          <t>止盈</t>
        </is>
      </c>
      <c r="L550" s="5">
        <f>交易明細!K275</f>
        <v/>
      </c>
      <c r="M550" s="19">
        <f>M544</f>
        <v/>
      </c>
      <c r="N550" s="2">
        <f>N544</f>
        <v/>
      </c>
      <c r="O550" s="19">
        <f>O544</f>
        <v/>
      </c>
      <c r="P550" s="4">
        <f>交易明細!L275</f>
        <v/>
      </c>
      <c r="Q550" s="13">
        <f>IF(N550="已下單",O550*P550,0)</f>
        <v/>
      </c>
      <c r="R550" s="13">
        <f>R549+Q550</f>
        <v/>
      </c>
      <c r="S550" s="19">
        <f>S549-IF(N550="已下單",M550,0)</f>
        <v/>
      </c>
      <c r="T550" s="19">
        <f>R550-S550</f>
        <v/>
      </c>
      <c r="U550" s="2">
        <f>U549-IF(N550="已下單",1,0)</f>
        <v/>
      </c>
      <c r="V550" s="19">
        <f>IF(資金模擬!$B$9=2,MAX(R550,0),MAX(V549,FLOOR(MAX(R550,0),資金模擬!$B$6)))</f>
        <v/>
      </c>
      <c r="W550" s="13">
        <f>MAX(W549,R550)</f>
        <v/>
      </c>
      <c r="X550" s="4">
        <f>IF(W550&gt;0,R550/W550-1,-1)</f>
        <v/>
      </c>
      <c r="Y550" s="19">
        <f>IF(R550&gt;0,S550*資金模擬!$B$7/R550,0)</f>
        <v/>
      </c>
      <c r="Z550" s="2">
        <f>IF(OR(Z549=1,R550&lt;=資金模擬!$B$10),1,0)</f>
        <v/>
      </c>
    </row>
    <row r="551">
      <c r="A551" s="2" t="n">
        <v>549</v>
      </c>
      <c r="B551" s="7" t="n">
        <v>46283.5</v>
      </c>
      <c r="C551" s="2" t="inlineStr">
        <is>
          <t>出場</t>
        </is>
      </c>
      <c r="D551" s="2" t="n">
        <v>275</v>
      </c>
      <c r="E551" s="2" t="inlineStr">
        <is>
          <t>MARSCOIN_USDT_PERP</t>
        </is>
      </c>
      <c r="F551" s="2" t="inlineStr">
        <is>
          <t>做多</t>
        </is>
      </c>
      <c r="G551" s="20" t="n">
        <v>0.11984</v>
      </c>
      <c r="H551" s="20" t="n">
        <v>0.1234352</v>
      </c>
      <c r="I551" s="20" t="n">
        <v>0.113848</v>
      </c>
      <c r="J551" s="20" t="n">
        <v>0.1234352</v>
      </c>
      <c r="K551" s="2" t="inlineStr">
        <is>
          <t>止盈</t>
        </is>
      </c>
      <c r="L551" s="5">
        <f>交易明細!K276</f>
        <v/>
      </c>
      <c r="M551" s="19">
        <f>M549</f>
        <v/>
      </c>
      <c r="N551" s="2">
        <f>N549</f>
        <v/>
      </c>
      <c r="O551" s="19">
        <f>O549</f>
        <v/>
      </c>
      <c r="P551" s="4">
        <f>交易明細!L276</f>
        <v/>
      </c>
      <c r="Q551" s="13">
        <f>IF(N551="已下單",O551*P551,0)</f>
        <v/>
      </c>
      <c r="R551" s="13">
        <f>R550+Q551</f>
        <v/>
      </c>
      <c r="S551" s="19">
        <f>S550-IF(N551="已下單",M551,0)</f>
        <v/>
      </c>
      <c r="T551" s="19">
        <f>R551-S551</f>
        <v/>
      </c>
      <c r="U551" s="2">
        <f>U550-IF(N551="已下單",1,0)</f>
        <v/>
      </c>
      <c r="V551" s="19">
        <f>IF(資金模擬!$B$9=2,MAX(R551,0),MAX(V550,FLOOR(MAX(R551,0),資金模擬!$B$6)))</f>
        <v/>
      </c>
      <c r="W551" s="13">
        <f>MAX(W550,R551)</f>
        <v/>
      </c>
      <c r="X551" s="4">
        <f>IF(W551&gt;0,R551/W551-1,-1)</f>
        <v/>
      </c>
      <c r="Y551" s="19">
        <f>IF(R551&gt;0,S551*資金模擬!$B$7/R551,0)</f>
        <v/>
      </c>
      <c r="Z551" s="2">
        <f>IF(OR(Z550=1,R551&lt;=資金模擬!$B$10),1,0)</f>
        <v/>
      </c>
    </row>
    <row r="552">
      <c r="A552" s="2" t="n">
        <v>550</v>
      </c>
      <c r="B552" s="7" t="n">
        <v>46283.5</v>
      </c>
      <c r="C552" s="2" t="inlineStr">
        <is>
          <t>進場</t>
        </is>
      </c>
      <c r="D552" s="2" t="n">
        <v>276</v>
      </c>
      <c r="E552" s="2" t="inlineStr">
        <is>
          <t>LIT_USDT_PERP</t>
        </is>
      </c>
      <c r="F552" s="2" t="inlineStr">
        <is>
          <t>做多</t>
        </is>
      </c>
      <c r="G552" s="20" t="n">
        <v>5.032</v>
      </c>
      <c r="H552" s="20" t="n">
        <v>5.18296</v>
      </c>
      <c r="I552" s="20" t="n">
        <v>4.7804</v>
      </c>
      <c r="J552" s="20" t="n"/>
      <c r="K552" s="2" t="n"/>
      <c r="L552" s="5" t="n"/>
      <c r="M552" s="19">
        <f>資金模擬!$B$5*V551</f>
        <v/>
      </c>
      <c r="N552" s="2">
        <f>IF(Z551=1,"已停止",IF(T551&gt;=M552,"已下單","資金不足略過"))</f>
        <v/>
      </c>
      <c r="O552" s="19">
        <f>IF(N552="已下單",M552*資金模擬!$B$7,0)</f>
        <v/>
      </c>
      <c r="P552" s="4" t="n"/>
      <c r="Q552" s="13" t="n">
        <v>0</v>
      </c>
      <c r="R552" s="13">
        <f>R551+Q552</f>
        <v/>
      </c>
      <c r="S552" s="19">
        <f>S551+IF(N552="已下單",M552,0)</f>
        <v/>
      </c>
      <c r="T552" s="19">
        <f>R552-S552</f>
        <v/>
      </c>
      <c r="U552" s="2">
        <f>U551+IF(N552="已下單",1,0)</f>
        <v/>
      </c>
      <c r="V552" s="19">
        <f>IF(資金模擬!$B$9=2,MAX(R552,0),MAX(V551,FLOOR(MAX(R552,0),資金模擬!$B$6)))</f>
        <v/>
      </c>
      <c r="W552" s="13">
        <f>MAX(W551,R552)</f>
        <v/>
      </c>
      <c r="X552" s="4">
        <f>IF(W552&gt;0,R552/W552-1,-1)</f>
        <v/>
      </c>
      <c r="Y552" s="19">
        <f>IF(R552&gt;0,S552*資金模擬!$B$7/R552,0)</f>
        <v/>
      </c>
      <c r="Z552" s="2">
        <f>IF(OR(Z551=1,R552&lt;=資金模擬!$B$10),1,0)</f>
        <v/>
      </c>
    </row>
    <row r="553">
      <c r="A553" s="2" t="n">
        <v>551</v>
      </c>
      <c r="B553" s="7" t="n">
        <v>46283.5</v>
      </c>
      <c r="C553" s="2" t="inlineStr">
        <is>
          <t>進場</t>
        </is>
      </c>
      <c r="D553" s="2" t="n">
        <v>277</v>
      </c>
      <c r="E553" s="2" t="inlineStr">
        <is>
          <t>ZEC_USDT_PERP</t>
        </is>
      </c>
      <c r="F553" s="2" t="inlineStr">
        <is>
          <t>做多</t>
        </is>
      </c>
      <c r="G553" s="20" t="n">
        <v>1517.28</v>
      </c>
      <c r="H553" s="20" t="n">
        <v>1562.7984</v>
      </c>
      <c r="I553" s="20" t="n">
        <v>1441.416</v>
      </c>
      <c r="J553" s="20" t="n"/>
      <c r="K553" s="2" t="n"/>
      <c r="L553" s="5" t="n"/>
      <c r="M553" s="19">
        <f>資金模擬!$B$5*V552</f>
        <v/>
      </c>
      <c r="N553" s="2">
        <f>IF(Z552=1,"已停止",IF(T552&gt;=M553,"已下單","資金不足略過"))</f>
        <v/>
      </c>
      <c r="O553" s="19">
        <f>IF(N553="已下單",M553*資金模擬!$B$7,0)</f>
        <v/>
      </c>
      <c r="P553" s="4" t="n"/>
      <c r="Q553" s="13" t="n">
        <v>0</v>
      </c>
      <c r="R553" s="13">
        <f>R552+Q553</f>
        <v/>
      </c>
      <c r="S553" s="19">
        <f>S552+IF(N553="已下單",M553,0)</f>
        <v/>
      </c>
      <c r="T553" s="19">
        <f>R553-S553</f>
        <v/>
      </c>
      <c r="U553" s="2">
        <f>U552+IF(N553="已下單",1,0)</f>
        <v/>
      </c>
      <c r="V553" s="19">
        <f>IF(資金模擬!$B$9=2,MAX(R553,0),MAX(V552,FLOOR(MAX(R553,0),資金模擬!$B$6)))</f>
        <v/>
      </c>
      <c r="W553" s="13">
        <f>MAX(W552,R553)</f>
        <v/>
      </c>
      <c r="X553" s="4">
        <f>IF(W553&gt;0,R553/W553-1,-1)</f>
        <v/>
      </c>
      <c r="Y553" s="19">
        <f>IF(R553&gt;0,S553*資金模擬!$B$7/R553,0)</f>
        <v/>
      </c>
      <c r="Z553" s="2">
        <f>IF(OR(Z552=1,R553&lt;=資金模擬!$B$10),1,0)</f>
        <v/>
      </c>
    </row>
    <row r="554">
      <c r="A554" s="2" t="n">
        <v>552</v>
      </c>
      <c r="B554" s="7" t="n">
        <v>46283.54166666666</v>
      </c>
      <c r="C554" s="2" t="inlineStr">
        <is>
          <t>進場</t>
        </is>
      </c>
      <c r="D554" s="2" t="n">
        <v>278</v>
      </c>
      <c r="E554" s="2" t="inlineStr">
        <is>
          <t>GENIUS_USDT_PERP</t>
        </is>
      </c>
      <c r="F554" s="2" t="inlineStr">
        <is>
          <t>做多</t>
        </is>
      </c>
      <c r="G554" s="20" t="n">
        <v>0.3723</v>
      </c>
      <c r="H554" s="20" t="n">
        <v>0.383469</v>
      </c>
      <c r="I554" s="20" t="n">
        <v>0.353685</v>
      </c>
      <c r="J554" s="20" t="n"/>
      <c r="K554" s="2" t="n"/>
      <c r="L554" s="5" t="n"/>
      <c r="M554" s="19">
        <f>資金模擬!$B$5*V553</f>
        <v/>
      </c>
      <c r="N554" s="2">
        <f>IF(Z553=1,"已停止",IF(T553&gt;=M554,"已下單","資金不足略過"))</f>
        <v/>
      </c>
      <c r="O554" s="19">
        <f>IF(N554="已下單",M554*資金模擬!$B$7,0)</f>
        <v/>
      </c>
      <c r="P554" s="4" t="n"/>
      <c r="Q554" s="13" t="n">
        <v>0</v>
      </c>
      <c r="R554" s="13">
        <f>R553+Q554</f>
        <v/>
      </c>
      <c r="S554" s="19">
        <f>S553+IF(N554="已下單",M554,0)</f>
        <v/>
      </c>
      <c r="T554" s="19">
        <f>R554-S554</f>
        <v/>
      </c>
      <c r="U554" s="2">
        <f>U553+IF(N554="已下單",1,0)</f>
        <v/>
      </c>
      <c r="V554" s="19">
        <f>IF(資金模擬!$B$9=2,MAX(R554,0),MAX(V553,FLOOR(MAX(R554,0),資金模擬!$B$6)))</f>
        <v/>
      </c>
      <c r="W554" s="13">
        <f>MAX(W553,R554)</f>
        <v/>
      </c>
      <c r="X554" s="4">
        <f>IF(W554&gt;0,R554/W554-1,-1)</f>
        <v/>
      </c>
      <c r="Y554" s="19">
        <f>IF(R554&gt;0,S554*資金模擬!$B$7/R554,0)</f>
        <v/>
      </c>
      <c r="Z554" s="2">
        <f>IF(OR(Z553=1,R554&lt;=資金模擬!$B$10),1,0)</f>
        <v/>
      </c>
    </row>
    <row r="555">
      <c r="A555" s="2" t="n">
        <v>553</v>
      </c>
      <c r="B555" s="7" t="n">
        <v>46283.58333333334</v>
      </c>
      <c r="C555" s="2" t="inlineStr">
        <is>
          <t>出場</t>
        </is>
      </c>
      <c r="D555" s="2" t="n">
        <v>278</v>
      </c>
      <c r="E555" s="2" t="inlineStr">
        <is>
          <t>GENIUS_USDT_PERP</t>
        </is>
      </c>
      <c r="F555" s="2" t="inlineStr">
        <is>
          <t>做多</t>
        </is>
      </c>
      <c r="G555" s="20" t="n">
        <v>0.3723</v>
      </c>
      <c r="H555" s="20" t="n">
        <v>0.383469</v>
      </c>
      <c r="I555" s="20" t="n">
        <v>0.353685</v>
      </c>
      <c r="J555" s="20" t="n">
        <v>0.353685</v>
      </c>
      <c r="K555" s="2" t="inlineStr">
        <is>
          <t>止損</t>
        </is>
      </c>
      <c r="L555" s="5">
        <f>交易明細!K279</f>
        <v/>
      </c>
      <c r="M555" s="19">
        <f>M554</f>
        <v/>
      </c>
      <c r="N555" s="2">
        <f>N554</f>
        <v/>
      </c>
      <c r="O555" s="19">
        <f>O554</f>
        <v/>
      </c>
      <c r="P555" s="4">
        <f>交易明細!L279</f>
        <v/>
      </c>
      <c r="Q555" s="13">
        <f>IF(N555="已下單",O555*P555,0)</f>
        <v/>
      </c>
      <c r="R555" s="13">
        <f>R554+Q555</f>
        <v/>
      </c>
      <c r="S555" s="19">
        <f>S554-IF(N555="已下單",M555,0)</f>
        <v/>
      </c>
      <c r="T555" s="19">
        <f>R555-S555</f>
        <v/>
      </c>
      <c r="U555" s="2">
        <f>U554-IF(N555="已下單",1,0)</f>
        <v/>
      </c>
      <c r="V555" s="19">
        <f>IF(資金模擬!$B$9=2,MAX(R555,0),MAX(V554,FLOOR(MAX(R555,0),資金模擬!$B$6)))</f>
        <v/>
      </c>
      <c r="W555" s="13">
        <f>MAX(W554,R555)</f>
        <v/>
      </c>
      <c r="X555" s="4">
        <f>IF(W555&gt;0,R555/W555-1,-1)</f>
        <v/>
      </c>
      <c r="Y555" s="19">
        <f>IF(R555&gt;0,S555*資金模擬!$B$7/R555,0)</f>
        <v/>
      </c>
      <c r="Z555" s="2">
        <f>IF(OR(Z554=1,R555&lt;=資金模擬!$B$10),1,0)</f>
        <v/>
      </c>
    </row>
    <row r="556">
      <c r="A556" s="2" t="n">
        <v>554</v>
      </c>
      <c r="B556" s="7" t="n">
        <v>46283.58333333334</v>
      </c>
      <c r="C556" s="2" t="inlineStr">
        <is>
          <t>進場</t>
        </is>
      </c>
      <c r="D556" s="2" t="n">
        <v>279</v>
      </c>
      <c r="E556" s="2" t="inlineStr">
        <is>
          <t>USELESS_USDT_PERP</t>
        </is>
      </c>
      <c r="F556" s="2" t="inlineStr">
        <is>
          <t>做空</t>
        </is>
      </c>
      <c r="G556" s="20" t="n">
        <v>0.25685</v>
      </c>
      <c r="H556" s="20" t="n">
        <v>0.2491445</v>
      </c>
      <c r="I556" s="20" t="n">
        <v>0.2696925000000001</v>
      </c>
      <c r="J556" s="20" t="n"/>
      <c r="K556" s="2" t="n"/>
      <c r="L556" s="5" t="n"/>
      <c r="M556" s="19">
        <f>資金模擬!$B$5*V555</f>
        <v/>
      </c>
      <c r="N556" s="2">
        <f>IF(Z555=1,"已停止",IF(T555&gt;=M556,"已下單","資金不足略過"))</f>
        <v/>
      </c>
      <c r="O556" s="19">
        <f>IF(N556="已下單",M556*資金模擬!$B$7,0)</f>
        <v/>
      </c>
      <c r="P556" s="4" t="n"/>
      <c r="Q556" s="13" t="n">
        <v>0</v>
      </c>
      <c r="R556" s="13">
        <f>R555+Q556</f>
        <v/>
      </c>
      <c r="S556" s="19">
        <f>S555+IF(N556="已下單",M556,0)</f>
        <v/>
      </c>
      <c r="T556" s="19">
        <f>R556-S556</f>
        <v/>
      </c>
      <c r="U556" s="2">
        <f>U555+IF(N556="已下單",1,0)</f>
        <v/>
      </c>
      <c r="V556" s="19">
        <f>IF(資金模擬!$B$9=2,MAX(R556,0),MAX(V555,FLOOR(MAX(R556,0),資金模擬!$B$6)))</f>
        <v/>
      </c>
      <c r="W556" s="13">
        <f>MAX(W555,R556)</f>
        <v/>
      </c>
      <c r="X556" s="4">
        <f>IF(W556&gt;0,R556/W556-1,-1)</f>
        <v/>
      </c>
      <c r="Y556" s="19">
        <f>IF(R556&gt;0,S556*資金模擬!$B$7/R556,0)</f>
        <v/>
      </c>
      <c r="Z556" s="2">
        <f>IF(OR(Z555=1,R556&lt;=資金模擬!$B$10),1,0)</f>
        <v/>
      </c>
    </row>
    <row r="557">
      <c r="A557" s="2" t="n">
        <v>555</v>
      </c>
      <c r="B557" s="7" t="n">
        <v>46283.625</v>
      </c>
      <c r="C557" s="2" t="inlineStr">
        <is>
          <t>出場</t>
        </is>
      </c>
      <c r="D557" s="2" t="n">
        <v>268</v>
      </c>
      <c r="E557" s="2" t="inlineStr">
        <is>
          <t>AKE_USDT_PERP</t>
        </is>
      </c>
      <c r="F557" s="2" t="inlineStr">
        <is>
          <t>做多</t>
        </is>
      </c>
      <c r="G557" s="20" t="n">
        <v>0.0214905</v>
      </c>
      <c r="H557" s="20" t="n">
        <v>0.022135215</v>
      </c>
      <c r="I557" s="20" t="n">
        <v>0.020415975</v>
      </c>
      <c r="J557" s="20" t="n">
        <v>0.022135215</v>
      </c>
      <c r="K557" s="2" t="inlineStr">
        <is>
          <t>止盈</t>
        </is>
      </c>
      <c r="L557" s="5">
        <f>交易明細!K269</f>
        <v/>
      </c>
      <c r="M557" s="19">
        <f>M535</f>
        <v/>
      </c>
      <c r="N557" s="2">
        <f>N535</f>
        <v/>
      </c>
      <c r="O557" s="19">
        <f>O535</f>
        <v/>
      </c>
      <c r="P557" s="4">
        <f>交易明細!L269</f>
        <v/>
      </c>
      <c r="Q557" s="13">
        <f>IF(N557="已下單",O557*P557,0)</f>
        <v/>
      </c>
      <c r="R557" s="13">
        <f>R556+Q557</f>
        <v/>
      </c>
      <c r="S557" s="19">
        <f>S556-IF(N557="已下單",M557,0)</f>
        <v/>
      </c>
      <c r="T557" s="19">
        <f>R557-S557</f>
        <v/>
      </c>
      <c r="U557" s="2">
        <f>U556-IF(N557="已下單",1,0)</f>
        <v/>
      </c>
      <c r="V557" s="19">
        <f>IF(資金模擬!$B$9=2,MAX(R557,0),MAX(V556,FLOOR(MAX(R557,0),資金模擬!$B$6)))</f>
        <v/>
      </c>
      <c r="W557" s="13">
        <f>MAX(W556,R557)</f>
        <v/>
      </c>
      <c r="X557" s="4">
        <f>IF(W557&gt;0,R557/W557-1,-1)</f>
        <v/>
      </c>
      <c r="Y557" s="19">
        <f>IF(R557&gt;0,S557*資金模擬!$B$7/R557,0)</f>
        <v/>
      </c>
      <c r="Z557" s="2">
        <f>IF(OR(Z556=1,R557&lt;=資金模擬!$B$10),1,0)</f>
        <v/>
      </c>
    </row>
    <row r="558">
      <c r="A558" s="2" t="n">
        <v>556</v>
      </c>
      <c r="B558" s="7" t="n">
        <v>46283.66666666666</v>
      </c>
      <c r="C558" s="2" t="inlineStr">
        <is>
          <t>出場</t>
        </is>
      </c>
      <c r="D558" s="2" t="n">
        <v>279</v>
      </c>
      <c r="E558" s="2" t="inlineStr">
        <is>
          <t>USELESS_USDT_PERP</t>
        </is>
      </c>
      <c r="F558" s="2" t="inlineStr">
        <is>
          <t>做空</t>
        </is>
      </c>
      <c r="G558" s="20" t="n">
        <v>0.25685</v>
      </c>
      <c r="H558" s="20" t="n">
        <v>0.2491445</v>
      </c>
      <c r="I558" s="20" t="n">
        <v>0.2696925000000001</v>
      </c>
      <c r="J558" s="20" t="n">
        <v>0.2491445</v>
      </c>
      <c r="K558" s="2" t="inlineStr">
        <is>
          <t>止盈</t>
        </is>
      </c>
      <c r="L558" s="5">
        <f>交易明細!K280</f>
        <v/>
      </c>
      <c r="M558" s="19">
        <f>M556</f>
        <v/>
      </c>
      <c r="N558" s="2">
        <f>N556</f>
        <v/>
      </c>
      <c r="O558" s="19">
        <f>O556</f>
        <v/>
      </c>
      <c r="P558" s="4">
        <f>交易明細!L280</f>
        <v/>
      </c>
      <c r="Q558" s="13">
        <f>IF(N558="已下單",O558*P558,0)</f>
        <v/>
      </c>
      <c r="R558" s="13">
        <f>R557+Q558</f>
        <v/>
      </c>
      <c r="S558" s="19">
        <f>S557-IF(N558="已下單",M558,0)</f>
        <v/>
      </c>
      <c r="T558" s="19">
        <f>R558-S558</f>
        <v/>
      </c>
      <c r="U558" s="2">
        <f>U557-IF(N558="已下單",1,0)</f>
        <v/>
      </c>
      <c r="V558" s="19">
        <f>IF(資金模擬!$B$9=2,MAX(R558,0),MAX(V557,FLOOR(MAX(R558,0),資金模擬!$B$6)))</f>
        <v/>
      </c>
      <c r="W558" s="13">
        <f>MAX(W557,R558)</f>
        <v/>
      </c>
      <c r="X558" s="4">
        <f>IF(W558&gt;0,R558/W558-1,-1)</f>
        <v/>
      </c>
      <c r="Y558" s="19">
        <f>IF(R558&gt;0,S558*資金模擬!$B$7/R558,0)</f>
        <v/>
      </c>
      <c r="Z558" s="2">
        <f>IF(OR(Z557=1,R558&lt;=資金模擬!$B$10),1,0)</f>
        <v/>
      </c>
    </row>
    <row r="559">
      <c r="A559" s="2" t="n">
        <v>557</v>
      </c>
      <c r="B559" s="7" t="n">
        <v>46283.70833333334</v>
      </c>
      <c r="C559" s="2" t="inlineStr">
        <is>
          <t>進場</t>
        </is>
      </c>
      <c r="D559" s="2" t="n">
        <v>280</v>
      </c>
      <c r="E559" s="2" t="inlineStr">
        <is>
          <t>AIN_USDT_PERP</t>
        </is>
      </c>
      <c r="F559" s="2" t="inlineStr">
        <is>
          <t>做空</t>
        </is>
      </c>
      <c r="G559" s="20" t="n">
        <v>0.02091</v>
      </c>
      <c r="H559" s="20" t="n">
        <v>0.0202827</v>
      </c>
      <c r="I559" s="20" t="n">
        <v>0.0219555</v>
      </c>
      <c r="J559" s="20" t="n"/>
      <c r="K559" s="2" t="n"/>
      <c r="L559" s="5" t="n"/>
      <c r="M559" s="19">
        <f>資金模擬!$B$5*V558</f>
        <v/>
      </c>
      <c r="N559" s="2">
        <f>IF(Z558=1,"已停止",IF(T558&gt;=M559,"已下單","資金不足略過"))</f>
        <v/>
      </c>
      <c r="O559" s="19">
        <f>IF(N559="已下單",M559*資金模擬!$B$7,0)</f>
        <v/>
      </c>
      <c r="P559" s="4" t="n"/>
      <c r="Q559" s="13" t="n">
        <v>0</v>
      </c>
      <c r="R559" s="13">
        <f>R558+Q559</f>
        <v/>
      </c>
      <c r="S559" s="19">
        <f>S558+IF(N559="已下單",M559,0)</f>
        <v/>
      </c>
      <c r="T559" s="19">
        <f>R559-S559</f>
        <v/>
      </c>
      <c r="U559" s="2">
        <f>U558+IF(N559="已下單",1,0)</f>
        <v/>
      </c>
      <c r="V559" s="19">
        <f>IF(資金模擬!$B$9=2,MAX(R559,0),MAX(V558,FLOOR(MAX(R559,0),資金模擬!$B$6)))</f>
        <v/>
      </c>
      <c r="W559" s="13">
        <f>MAX(W558,R559)</f>
        <v/>
      </c>
      <c r="X559" s="4">
        <f>IF(W559&gt;0,R559/W559-1,-1)</f>
        <v/>
      </c>
      <c r="Y559" s="19">
        <f>IF(R559&gt;0,S559*資金模擬!$B$7/R559,0)</f>
        <v/>
      </c>
      <c r="Z559" s="2">
        <f>IF(OR(Z558=1,R559&lt;=資金模擬!$B$10),1,0)</f>
        <v/>
      </c>
    </row>
    <row r="560">
      <c r="A560" s="2" t="n">
        <v>558</v>
      </c>
      <c r="B560" s="7" t="n">
        <v>46283.75</v>
      </c>
      <c r="C560" s="2" t="inlineStr">
        <is>
          <t>進場</t>
        </is>
      </c>
      <c r="D560" s="2" t="n">
        <v>281</v>
      </c>
      <c r="E560" s="2" t="inlineStr">
        <is>
          <t>BR_USDT_PERP</t>
        </is>
      </c>
      <c r="F560" s="2" t="inlineStr">
        <is>
          <t>做多</t>
        </is>
      </c>
      <c r="G560" s="20" t="n">
        <v>0.6718</v>
      </c>
      <c r="H560" s="20" t="n">
        <v>0.691954</v>
      </c>
      <c r="I560" s="20" t="n">
        <v>0.6382099999999999</v>
      </c>
      <c r="J560" s="20" t="n"/>
      <c r="K560" s="2" t="n"/>
      <c r="L560" s="5" t="n"/>
      <c r="M560" s="19">
        <f>資金模擬!$B$5*V559</f>
        <v/>
      </c>
      <c r="N560" s="2">
        <f>IF(Z559=1,"已停止",IF(T559&gt;=M560,"已下單","資金不足略過"))</f>
        <v/>
      </c>
      <c r="O560" s="19">
        <f>IF(N560="已下單",M560*資金模擬!$B$7,0)</f>
        <v/>
      </c>
      <c r="P560" s="4" t="n"/>
      <c r="Q560" s="13" t="n">
        <v>0</v>
      </c>
      <c r="R560" s="13">
        <f>R559+Q560</f>
        <v/>
      </c>
      <c r="S560" s="19">
        <f>S559+IF(N560="已下單",M560,0)</f>
        <v/>
      </c>
      <c r="T560" s="19">
        <f>R560-S560</f>
        <v/>
      </c>
      <c r="U560" s="2">
        <f>U559+IF(N560="已下單",1,0)</f>
        <v/>
      </c>
      <c r="V560" s="19">
        <f>IF(資金模擬!$B$9=2,MAX(R560,0),MAX(V559,FLOOR(MAX(R560,0),資金模擬!$B$6)))</f>
        <v/>
      </c>
      <c r="W560" s="13">
        <f>MAX(W559,R560)</f>
        <v/>
      </c>
      <c r="X560" s="4">
        <f>IF(W560&gt;0,R560/W560-1,-1)</f>
        <v/>
      </c>
      <c r="Y560" s="19">
        <f>IF(R560&gt;0,S560*資金模擬!$B$7/R560,0)</f>
        <v/>
      </c>
      <c r="Z560" s="2">
        <f>IF(OR(Z559=1,R560&lt;=資金模擬!$B$10),1,0)</f>
        <v/>
      </c>
    </row>
    <row r="561">
      <c r="A561" s="2" t="n">
        <v>559</v>
      </c>
      <c r="B561" s="7" t="n">
        <v>46283.75</v>
      </c>
      <c r="C561" s="2" t="inlineStr">
        <is>
          <t>進場</t>
        </is>
      </c>
      <c r="D561" s="2" t="n">
        <v>282</v>
      </c>
      <c r="E561" s="2" t="inlineStr">
        <is>
          <t>CROSS_USDT_PERP</t>
        </is>
      </c>
      <c r="F561" s="2" t="inlineStr">
        <is>
          <t>做空</t>
        </is>
      </c>
      <c r="G561" s="20" t="n">
        <v>0.16706</v>
      </c>
      <c r="H561" s="20" t="n">
        <v>0.1620482</v>
      </c>
      <c r="I561" s="20" t="n">
        <v>0.175413</v>
      </c>
      <c r="J561" s="20" t="n"/>
      <c r="K561" s="2" t="n"/>
      <c r="L561" s="5" t="n"/>
      <c r="M561" s="19">
        <f>資金模擬!$B$5*V560</f>
        <v/>
      </c>
      <c r="N561" s="2">
        <f>IF(Z560=1,"已停止",IF(T560&gt;=M561,"已下單","資金不足略過"))</f>
        <v/>
      </c>
      <c r="O561" s="19">
        <f>IF(N561="已下單",M561*資金模擬!$B$7,0)</f>
        <v/>
      </c>
      <c r="P561" s="4" t="n"/>
      <c r="Q561" s="13" t="n">
        <v>0</v>
      </c>
      <c r="R561" s="13">
        <f>R560+Q561</f>
        <v/>
      </c>
      <c r="S561" s="19">
        <f>S560+IF(N561="已下單",M561,0)</f>
        <v/>
      </c>
      <c r="T561" s="19">
        <f>R561-S561</f>
        <v/>
      </c>
      <c r="U561" s="2">
        <f>U560+IF(N561="已下單",1,0)</f>
        <v/>
      </c>
      <c r="V561" s="19">
        <f>IF(資金模擬!$B$9=2,MAX(R561,0),MAX(V560,FLOOR(MAX(R561,0),資金模擬!$B$6)))</f>
        <v/>
      </c>
      <c r="W561" s="13">
        <f>MAX(W560,R561)</f>
        <v/>
      </c>
      <c r="X561" s="4">
        <f>IF(W561&gt;0,R561/W561-1,-1)</f>
        <v/>
      </c>
      <c r="Y561" s="19">
        <f>IF(R561&gt;0,S561*資金模擬!$B$7/R561,0)</f>
        <v/>
      </c>
      <c r="Z561" s="2">
        <f>IF(OR(Z560=1,R561&lt;=資金模擬!$B$10),1,0)</f>
        <v/>
      </c>
    </row>
    <row r="562">
      <c r="A562" s="2" t="n">
        <v>560</v>
      </c>
      <c r="B562" s="7" t="n">
        <v>46283.79166666666</v>
      </c>
      <c r="C562" s="2" t="inlineStr">
        <is>
          <t>出場</t>
        </is>
      </c>
      <c r="D562" s="2" t="n">
        <v>282</v>
      </c>
      <c r="E562" s="2" t="inlineStr">
        <is>
          <t>CROSS_USDT_PERP</t>
        </is>
      </c>
      <c r="F562" s="2" t="inlineStr">
        <is>
          <t>做空</t>
        </is>
      </c>
      <c r="G562" s="20" t="n">
        <v>0.16706</v>
      </c>
      <c r="H562" s="20" t="n">
        <v>0.1620482</v>
      </c>
      <c r="I562" s="20" t="n">
        <v>0.175413</v>
      </c>
      <c r="J562" s="20" t="n">
        <v>0.1620482</v>
      </c>
      <c r="K562" s="2" t="inlineStr">
        <is>
          <t>止盈</t>
        </is>
      </c>
      <c r="L562" s="5">
        <f>交易明細!K283</f>
        <v/>
      </c>
      <c r="M562" s="19">
        <f>M561</f>
        <v/>
      </c>
      <c r="N562" s="2">
        <f>N561</f>
        <v/>
      </c>
      <c r="O562" s="19">
        <f>O561</f>
        <v/>
      </c>
      <c r="P562" s="4">
        <f>交易明細!L283</f>
        <v/>
      </c>
      <c r="Q562" s="13">
        <f>IF(N562="已下單",O562*P562,0)</f>
        <v/>
      </c>
      <c r="R562" s="13">
        <f>R561+Q562</f>
        <v/>
      </c>
      <c r="S562" s="19">
        <f>S561-IF(N562="已下單",M562,0)</f>
        <v/>
      </c>
      <c r="T562" s="19">
        <f>R562-S562</f>
        <v/>
      </c>
      <c r="U562" s="2">
        <f>U561-IF(N562="已下單",1,0)</f>
        <v/>
      </c>
      <c r="V562" s="19">
        <f>IF(資金模擬!$B$9=2,MAX(R562,0),MAX(V561,FLOOR(MAX(R562,0),資金模擬!$B$6)))</f>
        <v/>
      </c>
      <c r="W562" s="13">
        <f>MAX(W561,R562)</f>
        <v/>
      </c>
      <c r="X562" s="4">
        <f>IF(W562&gt;0,R562/W562-1,-1)</f>
        <v/>
      </c>
      <c r="Y562" s="19">
        <f>IF(R562&gt;0,S562*資金模擬!$B$7/R562,0)</f>
        <v/>
      </c>
      <c r="Z562" s="2">
        <f>IF(OR(Z561=1,R562&lt;=資金模擬!$B$10),1,0)</f>
        <v/>
      </c>
    </row>
    <row r="563">
      <c r="A563" s="2" t="n">
        <v>561</v>
      </c>
      <c r="B563" s="7" t="n">
        <v>46283.83333333334</v>
      </c>
      <c r="C563" s="2" t="inlineStr">
        <is>
          <t>出場</t>
        </is>
      </c>
      <c r="D563" s="2" t="n">
        <v>280</v>
      </c>
      <c r="E563" s="2" t="inlineStr">
        <is>
          <t>AIN_USDT_PERP</t>
        </is>
      </c>
      <c r="F563" s="2" t="inlineStr">
        <is>
          <t>做空</t>
        </is>
      </c>
      <c r="G563" s="20" t="n">
        <v>0.02091</v>
      </c>
      <c r="H563" s="20" t="n">
        <v>0.0202827</v>
      </c>
      <c r="I563" s="20" t="n">
        <v>0.0219555</v>
      </c>
      <c r="J563" s="20" t="n">
        <v>0.0202827</v>
      </c>
      <c r="K563" s="2" t="inlineStr">
        <is>
          <t>止盈</t>
        </is>
      </c>
      <c r="L563" s="5">
        <f>交易明細!K281</f>
        <v/>
      </c>
      <c r="M563" s="19">
        <f>M559</f>
        <v/>
      </c>
      <c r="N563" s="2">
        <f>N559</f>
        <v/>
      </c>
      <c r="O563" s="19">
        <f>O559</f>
        <v/>
      </c>
      <c r="P563" s="4">
        <f>交易明細!L281</f>
        <v/>
      </c>
      <c r="Q563" s="13">
        <f>IF(N563="已下單",O563*P563,0)</f>
        <v/>
      </c>
      <c r="R563" s="13">
        <f>R562+Q563</f>
        <v/>
      </c>
      <c r="S563" s="19">
        <f>S562-IF(N563="已下單",M563,0)</f>
        <v/>
      </c>
      <c r="T563" s="19">
        <f>R563-S563</f>
        <v/>
      </c>
      <c r="U563" s="2">
        <f>U562-IF(N563="已下單",1,0)</f>
        <v/>
      </c>
      <c r="V563" s="19">
        <f>IF(資金模擬!$B$9=2,MAX(R563,0),MAX(V562,FLOOR(MAX(R563,0),資金模擬!$B$6)))</f>
        <v/>
      </c>
      <c r="W563" s="13">
        <f>MAX(W562,R563)</f>
        <v/>
      </c>
      <c r="X563" s="4">
        <f>IF(W563&gt;0,R563/W563-1,-1)</f>
        <v/>
      </c>
      <c r="Y563" s="19">
        <f>IF(R563&gt;0,S563*資金模擬!$B$7/R563,0)</f>
        <v/>
      </c>
      <c r="Z563" s="2">
        <f>IF(OR(Z562=1,R563&lt;=資金模擬!$B$10),1,0)</f>
        <v/>
      </c>
    </row>
    <row r="564">
      <c r="A564" s="2" t="n">
        <v>562</v>
      </c>
      <c r="B564" s="7" t="n">
        <v>46283.83333333334</v>
      </c>
      <c r="C564" s="2" t="inlineStr">
        <is>
          <t>出場</t>
        </is>
      </c>
      <c r="D564" s="2" t="n">
        <v>281</v>
      </c>
      <c r="E564" s="2" t="inlineStr">
        <is>
          <t>BR_USDT_PERP</t>
        </is>
      </c>
      <c r="F564" s="2" t="inlineStr">
        <is>
          <t>做多</t>
        </is>
      </c>
      <c r="G564" s="20" t="n">
        <v>0.6718</v>
      </c>
      <c r="H564" s="20" t="n">
        <v>0.691954</v>
      </c>
      <c r="I564" s="20" t="n">
        <v>0.6382099999999999</v>
      </c>
      <c r="J564" s="20" t="n">
        <v>0.691954</v>
      </c>
      <c r="K564" s="2" t="inlineStr">
        <is>
          <t>止盈</t>
        </is>
      </c>
      <c r="L564" s="5">
        <f>交易明細!K282</f>
        <v/>
      </c>
      <c r="M564" s="19">
        <f>M560</f>
        <v/>
      </c>
      <c r="N564" s="2">
        <f>N560</f>
        <v/>
      </c>
      <c r="O564" s="19">
        <f>O560</f>
        <v/>
      </c>
      <c r="P564" s="4">
        <f>交易明細!L282</f>
        <v/>
      </c>
      <c r="Q564" s="13">
        <f>IF(N564="已下單",O564*P564,0)</f>
        <v/>
      </c>
      <c r="R564" s="13">
        <f>R563+Q564</f>
        <v/>
      </c>
      <c r="S564" s="19">
        <f>S563-IF(N564="已下單",M564,0)</f>
        <v/>
      </c>
      <c r="T564" s="19">
        <f>R564-S564</f>
        <v/>
      </c>
      <c r="U564" s="2">
        <f>U563-IF(N564="已下單",1,0)</f>
        <v/>
      </c>
      <c r="V564" s="19">
        <f>IF(資金模擬!$B$9=2,MAX(R564,0),MAX(V563,FLOOR(MAX(R564,0),資金模擬!$B$6)))</f>
        <v/>
      </c>
      <c r="W564" s="13">
        <f>MAX(W563,R564)</f>
        <v/>
      </c>
      <c r="X564" s="4">
        <f>IF(W564&gt;0,R564/W564-1,-1)</f>
        <v/>
      </c>
      <c r="Y564" s="19">
        <f>IF(R564&gt;0,S564*資金模擬!$B$7/R564,0)</f>
        <v/>
      </c>
      <c r="Z564" s="2">
        <f>IF(OR(Z563=1,R564&lt;=資金模擬!$B$10),1,0)</f>
        <v/>
      </c>
    </row>
    <row r="565">
      <c r="A565" s="2" t="n">
        <v>563</v>
      </c>
      <c r="B565" s="7" t="n">
        <v>46283.91666666666</v>
      </c>
      <c r="C565" s="2" t="inlineStr">
        <is>
          <t>出場</t>
        </is>
      </c>
      <c r="D565" s="2" t="n">
        <v>277</v>
      </c>
      <c r="E565" s="2" t="inlineStr">
        <is>
          <t>ZEC_USDT_PERP</t>
        </is>
      </c>
      <c r="F565" s="2" t="inlineStr">
        <is>
          <t>做多</t>
        </is>
      </c>
      <c r="G565" s="20" t="n">
        <v>1517.28</v>
      </c>
      <c r="H565" s="20" t="n">
        <v>1562.7984</v>
      </c>
      <c r="I565" s="20" t="n">
        <v>1441.416</v>
      </c>
      <c r="J565" s="20" t="n">
        <v>1441.416</v>
      </c>
      <c r="K565" s="2" t="inlineStr">
        <is>
          <t>止損</t>
        </is>
      </c>
      <c r="L565" s="5">
        <f>交易明細!K278</f>
        <v/>
      </c>
      <c r="M565" s="19">
        <f>M553</f>
        <v/>
      </c>
      <c r="N565" s="2">
        <f>N553</f>
        <v/>
      </c>
      <c r="O565" s="19">
        <f>O553</f>
        <v/>
      </c>
      <c r="P565" s="4">
        <f>交易明細!L278</f>
        <v/>
      </c>
      <c r="Q565" s="13">
        <f>IF(N565="已下單",O565*P565,0)</f>
        <v/>
      </c>
      <c r="R565" s="13">
        <f>R564+Q565</f>
        <v/>
      </c>
      <c r="S565" s="19">
        <f>S564-IF(N565="已下單",M565,0)</f>
        <v/>
      </c>
      <c r="T565" s="19">
        <f>R565-S565</f>
        <v/>
      </c>
      <c r="U565" s="2">
        <f>U564-IF(N565="已下單",1,0)</f>
        <v/>
      </c>
      <c r="V565" s="19">
        <f>IF(資金模擬!$B$9=2,MAX(R565,0),MAX(V564,FLOOR(MAX(R565,0),資金模擬!$B$6)))</f>
        <v/>
      </c>
      <c r="W565" s="13">
        <f>MAX(W564,R565)</f>
        <v/>
      </c>
      <c r="X565" s="4">
        <f>IF(W565&gt;0,R565/W565-1,-1)</f>
        <v/>
      </c>
      <c r="Y565" s="19">
        <f>IF(R565&gt;0,S565*資金模擬!$B$7/R565,0)</f>
        <v/>
      </c>
      <c r="Z565" s="2">
        <f>IF(OR(Z564=1,R565&lt;=資金模擬!$B$10),1,0)</f>
        <v/>
      </c>
    </row>
    <row r="566">
      <c r="A566" s="2" t="n">
        <v>564</v>
      </c>
      <c r="B566" s="7" t="n">
        <v>46283.95833333334</v>
      </c>
      <c r="C566" s="2" t="inlineStr">
        <is>
          <t>進場</t>
        </is>
      </c>
      <c r="D566" s="2" t="n">
        <v>283</v>
      </c>
      <c r="E566" s="2" t="inlineStr">
        <is>
          <t>GENIUS_USDT_PERP</t>
        </is>
      </c>
      <c r="F566" s="2" t="inlineStr">
        <is>
          <t>做空</t>
        </is>
      </c>
      <c r="G566" s="20" t="n">
        <v>0.3319</v>
      </c>
      <c r="H566" s="20" t="n">
        <v>0.321943</v>
      </c>
      <c r="I566" s="20" t="n">
        <v>0.348495</v>
      </c>
      <c r="J566" s="20" t="n"/>
      <c r="K566" s="2" t="n"/>
      <c r="L566" s="5" t="n"/>
      <c r="M566" s="19">
        <f>資金模擬!$B$5*V565</f>
        <v/>
      </c>
      <c r="N566" s="2">
        <f>IF(Z565=1,"已停止",IF(T565&gt;=M566,"已下單","資金不足略過"))</f>
        <v/>
      </c>
      <c r="O566" s="19">
        <f>IF(N566="已下單",M566*資金模擬!$B$7,0)</f>
        <v/>
      </c>
      <c r="P566" s="4" t="n"/>
      <c r="Q566" s="13" t="n">
        <v>0</v>
      </c>
      <c r="R566" s="13">
        <f>R565+Q566</f>
        <v/>
      </c>
      <c r="S566" s="19">
        <f>S565+IF(N566="已下單",M566,0)</f>
        <v/>
      </c>
      <c r="T566" s="19">
        <f>R566-S566</f>
        <v/>
      </c>
      <c r="U566" s="2">
        <f>U565+IF(N566="已下單",1,0)</f>
        <v/>
      </c>
      <c r="V566" s="19">
        <f>IF(資金模擬!$B$9=2,MAX(R566,0),MAX(V565,FLOOR(MAX(R566,0),資金模擬!$B$6)))</f>
        <v/>
      </c>
      <c r="W566" s="13">
        <f>MAX(W565,R566)</f>
        <v/>
      </c>
      <c r="X566" s="4">
        <f>IF(W566&gt;0,R566/W566-1,-1)</f>
        <v/>
      </c>
      <c r="Y566" s="19">
        <f>IF(R566&gt;0,S566*資金模擬!$B$7/R566,0)</f>
        <v/>
      </c>
      <c r="Z566" s="2">
        <f>IF(OR(Z565=1,R566&lt;=資金模擬!$B$10),1,0)</f>
        <v/>
      </c>
    </row>
    <row r="567">
      <c r="A567" s="2" t="n">
        <v>565</v>
      </c>
      <c r="B567" s="7" t="n">
        <v>46284</v>
      </c>
      <c r="C567" s="2" t="inlineStr">
        <is>
          <t>出場</t>
        </is>
      </c>
      <c r="D567" s="2" t="n">
        <v>283</v>
      </c>
      <c r="E567" s="2" t="inlineStr">
        <is>
          <t>GENIUS_USDT_PERP</t>
        </is>
      </c>
      <c r="F567" s="2" t="inlineStr">
        <is>
          <t>做空</t>
        </is>
      </c>
      <c r="G567" s="20" t="n">
        <v>0.3319</v>
      </c>
      <c r="H567" s="20" t="n">
        <v>0.321943</v>
      </c>
      <c r="I567" s="20" t="n">
        <v>0.348495</v>
      </c>
      <c r="J567" s="20" t="n">
        <v>0.348495</v>
      </c>
      <c r="K567" s="2" t="inlineStr">
        <is>
          <t>止損</t>
        </is>
      </c>
      <c r="L567" s="5">
        <f>交易明細!K284</f>
        <v/>
      </c>
      <c r="M567" s="19">
        <f>M566</f>
        <v/>
      </c>
      <c r="N567" s="2">
        <f>N566</f>
        <v/>
      </c>
      <c r="O567" s="19">
        <f>O566</f>
        <v/>
      </c>
      <c r="P567" s="4">
        <f>交易明細!L284</f>
        <v/>
      </c>
      <c r="Q567" s="13">
        <f>IF(N567="已下單",O567*P567,0)</f>
        <v/>
      </c>
      <c r="R567" s="13">
        <f>R566+Q567</f>
        <v/>
      </c>
      <c r="S567" s="19">
        <f>S566-IF(N567="已下單",M567,0)</f>
        <v/>
      </c>
      <c r="T567" s="19">
        <f>R567-S567</f>
        <v/>
      </c>
      <c r="U567" s="2">
        <f>U566-IF(N567="已下單",1,0)</f>
        <v/>
      </c>
      <c r="V567" s="19">
        <f>IF(資金模擬!$B$9=2,MAX(R567,0),MAX(V566,FLOOR(MAX(R567,0),資金模擬!$B$6)))</f>
        <v/>
      </c>
      <c r="W567" s="13">
        <f>MAX(W566,R567)</f>
        <v/>
      </c>
      <c r="X567" s="4">
        <f>IF(W567&gt;0,R567/W567-1,-1)</f>
        <v/>
      </c>
      <c r="Y567" s="19">
        <f>IF(R567&gt;0,S567*資金模擬!$B$7/R567,0)</f>
        <v/>
      </c>
      <c r="Z567" s="2">
        <f>IF(OR(Z566=1,R567&lt;=資金模擬!$B$10),1,0)</f>
        <v/>
      </c>
    </row>
    <row r="568">
      <c r="A568" s="2" t="n">
        <v>566</v>
      </c>
      <c r="B568" s="7" t="n">
        <v>46284</v>
      </c>
      <c r="C568" s="2" t="inlineStr">
        <is>
          <t>進場</t>
        </is>
      </c>
      <c r="D568" s="2" t="n">
        <v>284</v>
      </c>
      <c r="E568" s="2" t="inlineStr">
        <is>
          <t>MARSCOIN_USDT_PERP</t>
        </is>
      </c>
      <c r="F568" s="2" t="inlineStr">
        <is>
          <t>做空</t>
        </is>
      </c>
      <c r="G568" s="20" t="n">
        <v>0.10782</v>
      </c>
      <c r="H568" s="20" t="n">
        <v>0.1045854</v>
      </c>
      <c r="I568" s="20" t="n">
        <v>0.113211</v>
      </c>
      <c r="J568" s="20" t="n"/>
      <c r="K568" s="2" t="n"/>
      <c r="L568" s="5" t="n"/>
      <c r="M568" s="19">
        <f>資金模擬!$B$5*V567</f>
        <v/>
      </c>
      <c r="N568" s="2">
        <f>IF(Z567=1,"已停止",IF(T567&gt;=M568,"已下單","資金不足略過"))</f>
        <v/>
      </c>
      <c r="O568" s="19">
        <f>IF(N568="已下單",M568*資金模擬!$B$7,0)</f>
        <v/>
      </c>
      <c r="P568" s="4" t="n"/>
      <c r="Q568" s="13" t="n">
        <v>0</v>
      </c>
      <c r="R568" s="13">
        <f>R567+Q568</f>
        <v/>
      </c>
      <c r="S568" s="19">
        <f>S567+IF(N568="已下單",M568,0)</f>
        <v/>
      </c>
      <c r="T568" s="19">
        <f>R568-S568</f>
        <v/>
      </c>
      <c r="U568" s="2">
        <f>U567+IF(N568="已下單",1,0)</f>
        <v/>
      </c>
      <c r="V568" s="19">
        <f>IF(資金模擬!$B$9=2,MAX(R568,0),MAX(V567,FLOOR(MAX(R568,0),資金模擬!$B$6)))</f>
        <v/>
      </c>
      <c r="W568" s="13">
        <f>MAX(W567,R568)</f>
        <v/>
      </c>
      <c r="X568" s="4">
        <f>IF(W568&gt;0,R568/W568-1,-1)</f>
        <v/>
      </c>
      <c r="Y568" s="19">
        <f>IF(R568&gt;0,S568*資金模擬!$B$7/R568,0)</f>
        <v/>
      </c>
      <c r="Z568" s="2">
        <f>IF(OR(Z567=1,R568&lt;=資金模擬!$B$10),1,0)</f>
        <v/>
      </c>
    </row>
    <row r="569">
      <c r="A569" s="2" t="n">
        <v>567</v>
      </c>
      <c r="B569" s="7" t="n">
        <v>46284</v>
      </c>
      <c r="C569" s="2" t="inlineStr">
        <is>
          <t>進場</t>
        </is>
      </c>
      <c r="D569" s="2" t="n">
        <v>285</v>
      </c>
      <c r="E569" s="2" t="inlineStr">
        <is>
          <t>PONS_USDT_PERP</t>
        </is>
      </c>
      <c r="F569" s="2" t="inlineStr">
        <is>
          <t>做空</t>
        </is>
      </c>
      <c r="G569" s="20" t="n">
        <v>0.6825</v>
      </c>
      <c r="H569" s="20" t="n">
        <v>0.662025</v>
      </c>
      <c r="I569" s="20" t="n">
        <v>0.7166250000000001</v>
      </c>
      <c r="J569" s="20" t="n"/>
      <c r="K569" s="2" t="n"/>
      <c r="L569" s="5" t="n"/>
      <c r="M569" s="19">
        <f>資金模擬!$B$5*V568</f>
        <v/>
      </c>
      <c r="N569" s="2">
        <f>IF(Z568=1,"已停止",IF(T568&gt;=M569,"已下單","資金不足略過"))</f>
        <v/>
      </c>
      <c r="O569" s="19">
        <f>IF(N569="已下單",M569*資金模擬!$B$7,0)</f>
        <v/>
      </c>
      <c r="P569" s="4" t="n"/>
      <c r="Q569" s="13" t="n">
        <v>0</v>
      </c>
      <c r="R569" s="13">
        <f>R568+Q569</f>
        <v/>
      </c>
      <c r="S569" s="19">
        <f>S568+IF(N569="已下單",M569,0)</f>
        <v/>
      </c>
      <c r="T569" s="19">
        <f>R569-S569</f>
        <v/>
      </c>
      <c r="U569" s="2">
        <f>U568+IF(N569="已下單",1,0)</f>
        <v/>
      </c>
      <c r="V569" s="19">
        <f>IF(資金模擬!$B$9=2,MAX(R569,0),MAX(V568,FLOOR(MAX(R569,0),資金模擬!$B$6)))</f>
        <v/>
      </c>
      <c r="W569" s="13">
        <f>MAX(W568,R569)</f>
        <v/>
      </c>
      <c r="X569" s="4">
        <f>IF(W569&gt;0,R569/W569-1,-1)</f>
        <v/>
      </c>
      <c r="Y569" s="19">
        <f>IF(R569&gt;0,S569*資金模擬!$B$7/R569,0)</f>
        <v/>
      </c>
      <c r="Z569" s="2">
        <f>IF(OR(Z568=1,R569&lt;=資金模擬!$B$10),1,0)</f>
        <v/>
      </c>
    </row>
    <row r="570">
      <c r="A570" s="2" t="n">
        <v>568</v>
      </c>
      <c r="B570" s="7" t="n">
        <v>46284.04166666666</v>
      </c>
      <c r="C570" s="2" t="inlineStr">
        <is>
          <t>出場</t>
        </is>
      </c>
      <c r="D570" s="2" t="n">
        <v>276</v>
      </c>
      <c r="E570" s="2" t="inlineStr">
        <is>
          <t>LIT_USDT_PERP</t>
        </is>
      </c>
      <c r="F570" s="2" t="inlineStr">
        <is>
          <t>做多</t>
        </is>
      </c>
      <c r="G570" s="20" t="n">
        <v>5.032</v>
      </c>
      <c r="H570" s="20" t="n">
        <v>5.18296</v>
      </c>
      <c r="I570" s="20" t="n">
        <v>4.7804</v>
      </c>
      <c r="J570" s="20" t="n">
        <v>4.7804</v>
      </c>
      <c r="K570" s="2" t="inlineStr">
        <is>
          <t>止損</t>
        </is>
      </c>
      <c r="L570" s="5">
        <f>交易明細!K277</f>
        <v/>
      </c>
      <c r="M570" s="19">
        <f>M552</f>
        <v/>
      </c>
      <c r="N570" s="2">
        <f>N552</f>
        <v/>
      </c>
      <c r="O570" s="19">
        <f>O552</f>
        <v/>
      </c>
      <c r="P570" s="4">
        <f>交易明細!L277</f>
        <v/>
      </c>
      <c r="Q570" s="13">
        <f>IF(N570="已下單",O570*P570,0)</f>
        <v/>
      </c>
      <c r="R570" s="13">
        <f>R569+Q570</f>
        <v/>
      </c>
      <c r="S570" s="19">
        <f>S569-IF(N570="已下單",M570,0)</f>
        <v/>
      </c>
      <c r="T570" s="19">
        <f>R570-S570</f>
        <v/>
      </c>
      <c r="U570" s="2">
        <f>U569-IF(N570="已下單",1,0)</f>
        <v/>
      </c>
      <c r="V570" s="19">
        <f>IF(資金模擬!$B$9=2,MAX(R570,0),MAX(V569,FLOOR(MAX(R570,0),資金模擬!$B$6)))</f>
        <v/>
      </c>
      <c r="W570" s="13">
        <f>MAX(W569,R570)</f>
        <v/>
      </c>
      <c r="X570" s="4">
        <f>IF(W570&gt;0,R570/W570-1,-1)</f>
        <v/>
      </c>
      <c r="Y570" s="19">
        <f>IF(R570&gt;0,S570*資金模擬!$B$7/R570,0)</f>
        <v/>
      </c>
      <c r="Z570" s="2">
        <f>IF(OR(Z569=1,R570&lt;=資金模擬!$B$10),1,0)</f>
        <v/>
      </c>
    </row>
    <row r="571">
      <c r="A571" s="2" t="n">
        <v>569</v>
      </c>
      <c r="B571" s="7" t="n">
        <v>46284.04166666666</v>
      </c>
      <c r="C571" s="2" t="inlineStr">
        <is>
          <t>進場</t>
        </is>
      </c>
      <c r="D571" s="2" t="n">
        <v>286</v>
      </c>
      <c r="E571" s="2" t="inlineStr">
        <is>
          <t>UNI_USDT_PERP</t>
        </is>
      </c>
      <c r="F571" s="2" t="inlineStr">
        <is>
          <t>做多</t>
        </is>
      </c>
      <c r="G571" s="20" t="n">
        <v>8.928000000000001</v>
      </c>
      <c r="H571" s="20" t="n">
        <v>9.19584</v>
      </c>
      <c r="I571" s="20" t="n">
        <v>8.4816</v>
      </c>
      <c r="J571" s="20" t="n"/>
      <c r="K571" s="2" t="n"/>
      <c r="L571" s="5" t="n"/>
      <c r="M571" s="19">
        <f>資金模擬!$B$5*V570</f>
        <v/>
      </c>
      <c r="N571" s="2">
        <f>IF(Z570=1,"已停止",IF(T570&gt;=M571,"已下單","資金不足略過"))</f>
        <v/>
      </c>
      <c r="O571" s="19">
        <f>IF(N571="已下單",M571*資金模擬!$B$7,0)</f>
        <v/>
      </c>
      <c r="P571" s="4" t="n"/>
      <c r="Q571" s="13" t="n">
        <v>0</v>
      </c>
      <c r="R571" s="13">
        <f>R570+Q571</f>
        <v/>
      </c>
      <c r="S571" s="19">
        <f>S570+IF(N571="已下單",M571,0)</f>
        <v/>
      </c>
      <c r="T571" s="19">
        <f>R571-S571</f>
        <v/>
      </c>
      <c r="U571" s="2">
        <f>U570+IF(N571="已下單",1,0)</f>
        <v/>
      </c>
      <c r="V571" s="19">
        <f>IF(資金模擬!$B$9=2,MAX(R571,0),MAX(V570,FLOOR(MAX(R571,0),資金模擬!$B$6)))</f>
        <v/>
      </c>
      <c r="W571" s="13">
        <f>MAX(W570,R571)</f>
        <v/>
      </c>
      <c r="X571" s="4">
        <f>IF(W571&gt;0,R571/W571-1,-1)</f>
        <v/>
      </c>
      <c r="Y571" s="19">
        <f>IF(R571&gt;0,S571*資金模擬!$B$7/R571,0)</f>
        <v/>
      </c>
      <c r="Z571" s="2">
        <f>IF(OR(Z570=1,R571&lt;=資金模擬!$B$10),1,0)</f>
        <v/>
      </c>
    </row>
    <row r="572">
      <c r="A572" s="2" t="n">
        <v>570</v>
      </c>
      <c r="B572" s="7" t="n">
        <v>46284.04166666666</v>
      </c>
      <c r="C572" s="2" t="inlineStr">
        <is>
          <t>進場</t>
        </is>
      </c>
      <c r="D572" s="2" t="n">
        <v>287</v>
      </c>
      <c r="E572" s="2" t="inlineStr">
        <is>
          <t>USELESS_USDT_PERP</t>
        </is>
      </c>
      <c r="F572" s="2" t="inlineStr">
        <is>
          <t>做多</t>
        </is>
      </c>
      <c r="G572" s="20" t="n">
        <v>0.25987</v>
      </c>
      <c r="H572" s="20" t="n">
        <v>0.2676661</v>
      </c>
      <c r="I572" s="20" t="n">
        <v>0.2468765</v>
      </c>
      <c r="J572" s="20" t="n"/>
      <c r="K572" s="2" t="n"/>
      <c r="L572" s="5" t="n"/>
      <c r="M572" s="19">
        <f>資金模擬!$B$5*V571</f>
        <v/>
      </c>
      <c r="N572" s="2">
        <f>IF(Z571=1,"已停止",IF(T571&gt;=M572,"已下單","資金不足略過"))</f>
        <v/>
      </c>
      <c r="O572" s="19">
        <f>IF(N572="已下單",M572*資金模擬!$B$7,0)</f>
        <v/>
      </c>
      <c r="P572" s="4" t="n"/>
      <c r="Q572" s="13" t="n">
        <v>0</v>
      </c>
      <c r="R572" s="13">
        <f>R571+Q572</f>
        <v/>
      </c>
      <c r="S572" s="19">
        <f>S571+IF(N572="已下單",M572,0)</f>
        <v/>
      </c>
      <c r="T572" s="19">
        <f>R572-S572</f>
        <v/>
      </c>
      <c r="U572" s="2">
        <f>U571+IF(N572="已下單",1,0)</f>
        <v/>
      </c>
      <c r="V572" s="19">
        <f>IF(資金模擬!$B$9=2,MAX(R572,0),MAX(V571,FLOOR(MAX(R572,0),資金模擬!$B$6)))</f>
        <v/>
      </c>
      <c r="W572" s="13">
        <f>MAX(W571,R572)</f>
        <v/>
      </c>
      <c r="X572" s="4">
        <f>IF(W572&gt;0,R572/W572-1,-1)</f>
        <v/>
      </c>
      <c r="Y572" s="19">
        <f>IF(R572&gt;0,S572*資金模擬!$B$7/R572,0)</f>
        <v/>
      </c>
      <c r="Z572" s="2">
        <f>IF(OR(Z571=1,R572&lt;=資金模擬!$B$10),1,0)</f>
        <v/>
      </c>
    </row>
    <row r="573">
      <c r="A573" s="2" t="n">
        <v>571</v>
      </c>
      <c r="B573" s="7" t="n">
        <v>46284.04166666666</v>
      </c>
      <c r="C573" s="2" t="inlineStr">
        <is>
          <t>進場</t>
        </is>
      </c>
      <c r="D573" s="2" t="n">
        <v>288</v>
      </c>
      <c r="E573" s="2" t="inlineStr">
        <is>
          <t>WLD_USDT_PERP</t>
        </is>
      </c>
      <c r="F573" s="2" t="inlineStr">
        <is>
          <t>做空</t>
        </is>
      </c>
      <c r="G573" s="20" t="n">
        <v>0.4166</v>
      </c>
      <c r="H573" s="20" t="n">
        <v>0.404102</v>
      </c>
      <c r="I573" s="20" t="n">
        <v>0.43743</v>
      </c>
      <c r="J573" s="20" t="n"/>
      <c r="K573" s="2" t="n"/>
      <c r="L573" s="5" t="n"/>
      <c r="M573" s="19">
        <f>資金模擬!$B$5*V572</f>
        <v/>
      </c>
      <c r="N573" s="2">
        <f>IF(Z572=1,"已停止",IF(T572&gt;=M573,"已下單","資金不足略過"))</f>
        <v/>
      </c>
      <c r="O573" s="19">
        <f>IF(N573="已下單",M573*資金模擬!$B$7,0)</f>
        <v/>
      </c>
      <c r="P573" s="4" t="n"/>
      <c r="Q573" s="13" t="n">
        <v>0</v>
      </c>
      <c r="R573" s="13">
        <f>R572+Q573</f>
        <v/>
      </c>
      <c r="S573" s="19">
        <f>S572+IF(N573="已下單",M573,0)</f>
        <v/>
      </c>
      <c r="T573" s="19">
        <f>R573-S573</f>
        <v/>
      </c>
      <c r="U573" s="2">
        <f>U572+IF(N573="已下單",1,0)</f>
        <v/>
      </c>
      <c r="V573" s="19">
        <f>IF(資金模擬!$B$9=2,MAX(R573,0),MAX(V572,FLOOR(MAX(R573,0),資金模擬!$B$6)))</f>
        <v/>
      </c>
      <c r="W573" s="13">
        <f>MAX(W572,R573)</f>
        <v/>
      </c>
      <c r="X573" s="4">
        <f>IF(W573&gt;0,R573/W573-1,-1)</f>
        <v/>
      </c>
      <c r="Y573" s="19">
        <f>IF(R573&gt;0,S573*資金模擬!$B$7/R573,0)</f>
        <v/>
      </c>
      <c r="Z573" s="2">
        <f>IF(OR(Z572=1,R573&lt;=資金模擬!$B$10),1,0)</f>
        <v/>
      </c>
    </row>
    <row r="574">
      <c r="A574" s="2" t="n">
        <v>572</v>
      </c>
      <c r="B574" s="7" t="n">
        <v>46284.08333333334</v>
      </c>
      <c r="C574" s="2" t="inlineStr">
        <is>
          <t>出場</t>
        </is>
      </c>
      <c r="D574" s="2" t="n">
        <v>287</v>
      </c>
      <c r="E574" s="2" t="inlineStr">
        <is>
          <t>USELESS_USDT_PERP</t>
        </is>
      </c>
      <c r="F574" s="2" t="inlineStr">
        <is>
          <t>做多</t>
        </is>
      </c>
      <c r="G574" s="20" t="n">
        <v>0.25987</v>
      </c>
      <c r="H574" s="20" t="n">
        <v>0.2676661</v>
      </c>
      <c r="I574" s="20" t="n">
        <v>0.2468765</v>
      </c>
      <c r="J574" s="20" t="n">
        <v>0.2676661</v>
      </c>
      <c r="K574" s="2" t="inlineStr">
        <is>
          <t>止盈</t>
        </is>
      </c>
      <c r="L574" s="5">
        <f>交易明細!K288</f>
        <v/>
      </c>
      <c r="M574" s="19">
        <f>M572</f>
        <v/>
      </c>
      <c r="N574" s="2">
        <f>N572</f>
        <v/>
      </c>
      <c r="O574" s="19">
        <f>O572</f>
        <v/>
      </c>
      <c r="P574" s="4">
        <f>交易明細!L288</f>
        <v/>
      </c>
      <c r="Q574" s="13">
        <f>IF(N574="已下單",O574*P574,0)</f>
        <v/>
      </c>
      <c r="R574" s="13">
        <f>R573+Q574</f>
        <v/>
      </c>
      <c r="S574" s="19">
        <f>S573-IF(N574="已下單",M574,0)</f>
        <v/>
      </c>
      <c r="T574" s="19">
        <f>R574-S574</f>
        <v/>
      </c>
      <c r="U574" s="2">
        <f>U573-IF(N574="已下單",1,0)</f>
        <v/>
      </c>
      <c r="V574" s="19">
        <f>IF(資金模擬!$B$9=2,MAX(R574,0),MAX(V573,FLOOR(MAX(R574,0),資金模擬!$B$6)))</f>
        <v/>
      </c>
      <c r="W574" s="13">
        <f>MAX(W573,R574)</f>
        <v/>
      </c>
      <c r="X574" s="4">
        <f>IF(W574&gt;0,R574/W574-1,-1)</f>
        <v/>
      </c>
      <c r="Y574" s="19">
        <f>IF(R574&gt;0,S574*資金模擬!$B$7/R574,0)</f>
        <v/>
      </c>
      <c r="Z574" s="2">
        <f>IF(OR(Z573=1,R574&lt;=資金模擬!$B$10),1,0)</f>
        <v/>
      </c>
    </row>
    <row r="575">
      <c r="A575" s="2" t="n">
        <v>573</v>
      </c>
      <c r="B575" s="7" t="n">
        <v>46284.16666666666</v>
      </c>
      <c r="C575" s="2" t="inlineStr">
        <is>
          <t>進場</t>
        </is>
      </c>
      <c r="D575" s="2" t="n">
        <v>289</v>
      </c>
      <c r="E575" s="2" t="inlineStr">
        <is>
          <t>DASH_USDT_PERP</t>
        </is>
      </c>
      <c r="F575" s="2" t="inlineStr">
        <is>
          <t>做多</t>
        </is>
      </c>
      <c r="G575" s="20" t="n">
        <v>61.07</v>
      </c>
      <c r="H575" s="20" t="n">
        <v>62.9021</v>
      </c>
      <c r="I575" s="20" t="n">
        <v>58.0165</v>
      </c>
      <c r="J575" s="20" t="n"/>
      <c r="K575" s="2" t="n"/>
      <c r="L575" s="5" t="n"/>
      <c r="M575" s="19">
        <f>資金模擬!$B$5*V574</f>
        <v/>
      </c>
      <c r="N575" s="2">
        <f>IF(Z574=1,"已停止",IF(T574&gt;=M575,"已下單","資金不足略過"))</f>
        <v/>
      </c>
      <c r="O575" s="19">
        <f>IF(N575="已下單",M575*資金模擬!$B$7,0)</f>
        <v/>
      </c>
      <c r="P575" s="4" t="n"/>
      <c r="Q575" s="13" t="n">
        <v>0</v>
      </c>
      <c r="R575" s="13">
        <f>R574+Q575</f>
        <v/>
      </c>
      <c r="S575" s="19">
        <f>S574+IF(N575="已下單",M575,0)</f>
        <v/>
      </c>
      <c r="T575" s="19">
        <f>R575-S575</f>
        <v/>
      </c>
      <c r="U575" s="2">
        <f>U574+IF(N575="已下單",1,0)</f>
        <v/>
      </c>
      <c r="V575" s="19">
        <f>IF(資金模擬!$B$9=2,MAX(R575,0),MAX(V574,FLOOR(MAX(R575,0),資金模擬!$B$6)))</f>
        <v/>
      </c>
      <c r="W575" s="13">
        <f>MAX(W574,R575)</f>
        <v/>
      </c>
      <c r="X575" s="4">
        <f>IF(W575&gt;0,R575/W575-1,-1)</f>
        <v/>
      </c>
      <c r="Y575" s="19">
        <f>IF(R575&gt;0,S575*資金模擬!$B$7/R575,0)</f>
        <v/>
      </c>
      <c r="Z575" s="2">
        <f>IF(OR(Z574=1,R575&lt;=資金模擬!$B$10),1,0)</f>
        <v/>
      </c>
    </row>
    <row r="576">
      <c r="A576" s="2" t="n">
        <v>574</v>
      </c>
      <c r="B576" s="7" t="n">
        <v>46284.20833333334</v>
      </c>
      <c r="C576" s="2" t="inlineStr">
        <is>
          <t>出場</t>
        </is>
      </c>
      <c r="D576" s="2" t="n">
        <v>284</v>
      </c>
      <c r="E576" s="2" t="inlineStr">
        <is>
          <t>MARSCOIN_USDT_PERP</t>
        </is>
      </c>
      <c r="F576" s="2" t="inlineStr">
        <is>
          <t>做空</t>
        </is>
      </c>
      <c r="G576" s="20" t="n">
        <v>0.10782</v>
      </c>
      <c r="H576" s="20" t="n">
        <v>0.1045854</v>
      </c>
      <c r="I576" s="20" t="n">
        <v>0.113211</v>
      </c>
      <c r="J576" s="20" t="n">
        <v>0.113211</v>
      </c>
      <c r="K576" s="2" t="inlineStr">
        <is>
          <t>止損</t>
        </is>
      </c>
      <c r="L576" s="5">
        <f>交易明細!K285</f>
        <v/>
      </c>
      <c r="M576" s="19">
        <f>M568</f>
        <v/>
      </c>
      <c r="N576" s="2">
        <f>N568</f>
        <v/>
      </c>
      <c r="O576" s="19">
        <f>O568</f>
        <v/>
      </c>
      <c r="P576" s="4">
        <f>交易明細!L285</f>
        <v/>
      </c>
      <c r="Q576" s="13">
        <f>IF(N576="已下單",O576*P576,0)</f>
        <v/>
      </c>
      <c r="R576" s="13">
        <f>R575+Q576</f>
        <v/>
      </c>
      <c r="S576" s="19">
        <f>S575-IF(N576="已下單",M576,0)</f>
        <v/>
      </c>
      <c r="T576" s="19">
        <f>R576-S576</f>
        <v/>
      </c>
      <c r="U576" s="2">
        <f>U575-IF(N576="已下單",1,0)</f>
        <v/>
      </c>
      <c r="V576" s="19">
        <f>IF(資金模擬!$B$9=2,MAX(R576,0),MAX(V575,FLOOR(MAX(R576,0),資金模擬!$B$6)))</f>
        <v/>
      </c>
      <c r="W576" s="13">
        <f>MAX(W575,R576)</f>
        <v/>
      </c>
      <c r="X576" s="4">
        <f>IF(W576&gt;0,R576/W576-1,-1)</f>
        <v/>
      </c>
      <c r="Y576" s="19">
        <f>IF(R576&gt;0,S576*資金模擬!$B$7/R576,0)</f>
        <v/>
      </c>
      <c r="Z576" s="2">
        <f>IF(OR(Z575=1,R576&lt;=資金模擬!$B$10),1,0)</f>
        <v/>
      </c>
    </row>
    <row r="577">
      <c r="A577" s="2" t="n">
        <v>575</v>
      </c>
      <c r="B577" s="7" t="n">
        <v>46284.20833333334</v>
      </c>
      <c r="C577" s="2" t="inlineStr">
        <is>
          <t>進場</t>
        </is>
      </c>
      <c r="D577" s="2" t="n">
        <v>290</v>
      </c>
      <c r="E577" s="2" t="inlineStr">
        <is>
          <t>ZEC_USDT_PERP</t>
        </is>
      </c>
      <c r="F577" s="2" t="inlineStr">
        <is>
          <t>做多</t>
        </is>
      </c>
      <c r="G577" s="20" t="n">
        <v>1501.55</v>
      </c>
      <c r="H577" s="20" t="n">
        <v>1546.5965</v>
      </c>
      <c r="I577" s="20" t="n">
        <v>1426.4725</v>
      </c>
      <c r="J577" s="20" t="n"/>
      <c r="K577" s="2" t="n"/>
      <c r="L577" s="5" t="n"/>
      <c r="M577" s="19">
        <f>資金模擬!$B$5*V576</f>
        <v/>
      </c>
      <c r="N577" s="2">
        <f>IF(Z576=1,"已停止",IF(T576&gt;=M577,"已下單","資金不足略過"))</f>
        <v/>
      </c>
      <c r="O577" s="19">
        <f>IF(N577="已下單",M577*資金模擬!$B$7,0)</f>
        <v/>
      </c>
      <c r="P577" s="4" t="n"/>
      <c r="Q577" s="13" t="n">
        <v>0</v>
      </c>
      <c r="R577" s="13">
        <f>R576+Q577</f>
        <v/>
      </c>
      <c r="S577" s="19">
        <f>S576+IF(N577="已下單",M577,0)</f>
        <v/>
      </c>
      <c r="T577" s="19">
        <f>R577-S577</f>
        <v/>
      </c>
      <c r="U577" s="2">
        <f>U576+IF(N577="已下單",1,0)</f>
        <v/>
      </c>
      <c r="V577" s="19">
        <f>IF(資金模擬!$B$9=2,MAX(R577,0),MAX(V576,FLOOR(MAX(R577,0),資金模擬!$B$6)))</f>
        <v/>
      </c>
      <c r="W577" s="13">
        <f>MAX(W576,R577)</f>
        <v/>
      </c>
      <c r="X577" s="4">
        <f>IF(W577&gt;0,R577/W577-1,-1)</f>
        <v/>
      </c>
      <c r="Y577" s="19">
        <f>IF(R577&gt;0,S577*資金模擬!$B$7/R577,0)</f>
        <v/>
      </c>
      <c r="Z577" s="2">
        <f>IF(OR(Z576=1,R577&lt;=資金模擬!$B$10),1,0)</f>
        <v/>
      </c>
    </row>
    <row r="578">
      <c r="A578" s="2" t="n">
        <v>576</v>
      </c>
      <c r="B578" s="7" t="n">
        <v>46284.25</v>
      </c>
      <c r="C578" s="2" t="inlineStr">
        <is>
          <t>進場</t>
        </is>
      </c>
      <c r="D578" s="2" t="n">
        <v>291</v>
      </c>
      <c r="E578" s="2" t="inlineStr">
        <is>
          <t>MARSCOIN_USDT_PERP</t>
        </is>
      </c>
      <c r="F578" s="2" t="inlineStr">
        <is>
          <t>做空</t>
        </is>
      </c>
      <c r="G578" s="20" t="n">
        <v>0.11236</v>
      </c>
      <c r="H578" s="20" t="n">
        <v>0.1089892</v>
      </c>
      <c r="I578" s="20" t="n">
        <v>0.117978</v>
      </c>
      <c r="J578" s="20" t="n"/>
      <c r="K578" s="2" t="n"/>
      <c r="L578" s="5" t="n"/>
      <c r="M578" s="19">
        <f>資金模擬!$B$5*V577</f>
        <v/>
      </c>
      <c r="N578" s="2">
        <f>IF(Z577=1,"已停止",IF(T577&gt;=M578,"已下單","資金不足略過"))</f>
        <v/>
      </c>
      <c r="O578" s="19">
        <f>IF(N578="已下單",M578*資金模擬!$B$7,0)</f>
        <v/>
      </c>
      <c r="P578" s="4" t="n"/>
      <c r="Q578" s="13" t="n">
        <v>0</v>
      </c>
      <c r="R578" s="13">
        <f>R577+Q578</f>
        <v/>
      </c>
      <c r="S578" s="19">
        <f>S577+IF(N578="已下單",M578,0)</f>
        <v/>
      </c>
      <c r="T578" s="19">
        <f>R578-S578</f>
        <v/>
      </c>
      <c r="U578" s="2">
        <f>U577+IF(N578="已下單",1,0)</f>
        <v/>
      </c>
      <c r="V578" s="19">
        <f>IF(資金模擬!$B$9=2,MAX(R578,0),MAX(V577,FLOOR(MAX(R578,0),資金模擬!$B$6)))</f>
        <v/>
      </c>
      <c r="W578" s="13">
        <f>MAX(W577,R578)</f>
        <v/>
      </c>
      <c r="X578" s="4">
        <f>IF(W578&gt;0,R578/W578-1,-1)</f>
        <v/>
      </c>
      <c r="Y578" s="19">
        <f>IF(R578&gt;0,S578*資金模擬!$B$7/R578,0)</f>
        <v/>
      </c>
      <c r="Z578" s="2">
        <f>IF(OR(Z577=1,R578&lt;=資金模擬!$B$10),1,0)</f>
        <v/>
      </c>
    </row>
    <row r="579">
      <c r="A579" s="2" t="n">
        <v>577</v>
      </c>
      <c r="B579" s="7" t="n">
        <v>46284.25</v>
      </c>
      <c r="C579" s="2" t="inlineStr">
        <is>
          <t>進場</t>
        </is>
      </c>
      <c r="D579" s="2" t="n">
        <v>292</v>
      </c>
      <c r="E579" s="2" t="inlineStr">
        <is>
          <t>NEAR_USDT_PERP</t>
        </is>
      </c>
      <c r="F579" s="2" t="inlineStr">
        <is>
          <t>做多</t>
        </is>
      </c>
      <c r="G579" s="20" t="n">
        <v>3.761</v>
      </c>
      <c r="H579" s="20" t="n">
        <v>3.87383</v>
      </c>
      <c r="I579" s="20" t="n">
        <v>3.57295</v>
      </c>
      <c r="J579" s="20" t="n"/>
      <c r="K579" s="2" t="n"/>
      <c r="L579" s="5" t="n"/>
      <c r="M579" s="19">
        <f>資金模擬!$B$5*V578</f>
        <v/>
      </c>
      <c r="N579" s="2">
        <f>IF(Z578=1,"已停止",IF(T578&gt;=M579,"已下單","資金不足略過"))</f>
        <v/>
      </c>
      <c r="O579" s="19">
        <f>IF(N579="已下單",M579*資金模擬!$B$7,0)</f>
        <v/>
      </c>
      <c r="P579" s="4" t="n"/>
      <c r="Q579" s="13" t="n">
        <v>0</v>
      </c>
      <c r="R579" s="13">
        <f>R578+Q579</f>
        <v/>
      </c>
      <c r="S579" s="19">
        <f>S578+IF(N579="已下單",M579,0)</f>
        <v/>
      </c>
      <c r="T579" s="19">
        <f>R579-S579</f>
        <v/>
      </c>
      <c r="U579" s="2">
        <f>U578+IF(N579="已下單",1,0)</f>
        <v/>
      </c>
      <c r="V579" s="19">
        <f>IF(資金模擬!$B$9=2,MAX(R579,0),MAX(V578,FLOOR(MAX(R579,0),資金模擬!$B$6)))</f>
        <v/>
      </c>
      <c r="W579" s="13">
        <f>MAX(W578,R579)</f>
        <v/>
      </c>
      <c r="X579" s="4">
        <f>IF(W579&gt;0,R579/W579-1,-1)</f>
        <v/>
      </c>
      <c r="Y579" s="19">
        <f>IF(R579&gt;0,S579*資金模擬!$B$7/R579,0)</f>
        <v/>
      </c>
      <c r="Z579" s="2">
        <f>IF(OR(Z578=1,R579&lt;=資金模擬!$B$10),1,0)</f>
        <v/>
      </c>
    </row>
    <row r="580">
      <c r="A580" s="2" t="n">
        <v>578</v>
      </c>
      <c r="B580" s="7" t="n">
        <v>46284.29166666666</v>
      </c>
      <c r="C580" s="2" t="inlineStr">
        <is>
          <t>出場</t>
        </is>
      </c>
      <c r="D580" s="2" t="n">
        <v>285</v>
      </c>
      <c r="E580" s="2" t="inlineStr">
        <is>
          <t>PONS_USDT_PERP</t>
        </is>
      </c>
      <c r="F580" s="2" t="inlineStr">
        <is>
          <t>做空</t>
        </is>
      </c>
      <c r="G580" s="20" t="n">
        <v>0.6825</v>
      </c>
      <c r="H580" s="20" t="n">
        <v>0.662025</v>
      </c>
      <c r="I580" s="20" t="n">
        <v>0.7166250000000001</v>
      </c>
      <c r="J580" s="20" t="n">
        <v>0.662025</v>
      </c>
      <c r="K580" s="2" t="inlineStr">
        <is>
          <t>止盈</t>
        </is>
      </c>
      <c r="L580" s="5">
        <f>交易明細!K286</f>
        <v/>
      </c>
      <c r="M580" s="19">
        <f>M569</f>
        <v/>
      </c>
      <c r="N580" s="2">
        <f>N569</f>
        <v/>
      </c>
      <c r="O580" s="19">
        <f>O569</f>
        <v/>
      </c>
      <c r="P580" s="4">
        <f>交易明細!L286</f>
        <v/>
      </c>
      <c r="Q580" s="13">
        <f>IF(N580="已下單",O580*P580,0)</f>
        <v/>
      </c>
      <c r="R580" s="13">
        <f>R579+Q580</f>
        <v/>
      </c>
      <c r="S580" s="19">
        <f>S579-IF(N580="已下單",M580,0)</f>
        <v/>
      </c>
      <c r="T580" s="19">
        <f>R580-S580</f>
        <v/>
      </c>
      <c r="U580" s="2">
        <f>U579-IF(N580="已下單",1,0)</f>
        <v/>
      </c>
      <c r="V580" s="19">
        <f>IF(資金模擬!$B$9=2,MAX(R580,0),MAX(V579,FLOOR(MAX(R580,0),資金模擬!$B$6)))</f>
        <v/>
      </c>
      <c r="W580" s="13">
        <f>MAX(W579,R580)</f>
        <v/>
      </c>
      <c r="X580" s="4">
        <f>IF(W580&gt;0,R580/W580-1,-1)</f>
        <v/>
      </c>
      <c r="Y580" s="19">
        <f>IF(R580&gt;0,S580*資金模擬!$B$7/R580,0)</f>
        <v/>
      </c>
      <c r="Z580" s="2">
        <f>IF(OR(Z579=1,R580&lt;=資金模擬!$B$10),1,0)</f>
        <v/>
      </c>
    </row>
    <row r="581">
      <c r="A581" s="2" t="n">
        <v>579</v>
      </c>
      <c r="B581" s="7" t="n">
        <v>46284.29166666666</v>
      </c>
      <c r="C581" s="2" t="inlineStr">
        <is>
          <t>出場</t>
        </is>
      </c>
      <c r="D581" s="2" t="n">
        <v>290</v>
      </c>
      <c r="E581" s="2" t="inlineStr">
        <is>
          <t>ZEC_USDT_PERP</t>
        </is>
      </c>
      <c r="F581" s="2" t="inlineStr">
        <is>
          <t>做多</t>
        </is>
      </c>
      <c r="G581" s="20" t="n">
        <v>1501.55</v>
      </c>
      <c r="H581" s="20" t="n">
        <v>1546.5965</v>
      </c>
      <c r="I581" s="20" t="n">
        <v>1426.4725</v>
      </c>
      <c r="J581" s="20" t="n">
        <v>1546.5965</v>
      </c>
      <c r="K581" s="2" t="inlineStr">
        <is>
          <t>止盈</t>
        </is>
      </c>
      <c r="L581" s="5">
        <f>交易明細!K291</f>
        <v/>
      </c>
      <c r="M581" s="19">
        <f>M577</f>
        <v/>
      </c>
      <c r="N581" s="2">
        <f>N577</f>
        <v/>
      </c>
      <c r="O581" s="19">
        <f>O577</f>
        <v/>
      </c>
      <c r="P581" s="4">
        <f>交易明細!L291</f>
        <v/>
      </c>
      <c r="Q581" s="13">
        <f>IF(N581="已下單",O581*P581,0)</f>
        <v/>
      </c>
      <c r="R581" s="13">
        <f>R580+Q581</f>
        <v/>
      </c>
      <c r="S581" s="19">
        <f>S580-IF(N581="已下單",M581,0)</f>
        <v/>
      </c>
      <c r="T581" s="19">
        <f>R581-S581</f>
        <v/>
      </c>
      <c r="U581" s="2">
        <f>U580-IF(N581="已下單",1,0)</f>
        <v/>
      </c>
      <c r="V581" s="19">
        <f>IF(資金模擬!$B$9=2,MAX(R581,0),MAX(V580,FLOOR(MAX(R581,0),資金模擬!$B$6)))</f>
        <v/>
      </c>
      <c r="W581" s="13">
        <f>MAX(W580,R581)</f>
        <v/>
      </c>
      <c r="X581" s="4">
        <f>IF(W581&gt;0,R581/W581-1,-1)</f>
        <v/>
      </c>
      <c r="Y581" s="19">
        <f>IF(R581&gt;0,S581*資金模擬!$B$7/R581,0)</f>
        <v/>
      </c>
      <c r="Z581" s="2">
        <f>IF(OR(Z580=1,R581&lt;=資金模擬!$B$10),1,0)</f>
        <v/>
      </c>
    </row>
    <row r="582">
      <c r="A582" s="2" t="n">
        <v>580</v>
      </c>
      <c r="B582" s="7" t="n">
        <v>46284.33333333334</v>
      </c>
      <c r="C582" s="2" t="inlineStr">
        <is>
          <t>出場</t>
        </is>
      </c>
      <c r="D582" s="2" t="n">
        <v>289</v>
      </c>
      <c r="E582" s="2" t="inlineStr">
        <is>
          <t>DASH_USDT_PERP</t>
        </is>
      </c>
      <c r="F582" s="2" t="inlineStr">
        <is>
          <t>做多</t>
        </is>
      </c>
      <c r="G582" s="20" t="n">
        <v>61.07</v>
      </c>
      <c r="H582" s="20" t="n">
        <v>62.9021</v>
      </c>
      <c r="I582" s="20" t="n">
        <v>58.0165</v>
      </c>
      <c r="J582" s="20" t="n">
        <v>62.9021</v>
      </c>
      <c r="K582" s="2" t="inlineStr">
        <is>
          <t>止盈</t>
        </is>
      </c>
      <c r="L582" s="5">
        <f>交易明細!K290</f>
        <v/>
      </c>
      <c r="M582" s="19">
        <f>M575</f>
        <v/>
      </c>
      <c r="N582" s="2">
        <f>N575</f>
        <v/>
      </c>
      <c r="O582" s="19">
        <f>O575</f>
        <v/>
      </c>
      <c r="P582" s="4">
        <f>交易明細!L290</f>
        <v/>
      </c>
      <c r="Q582" s="13">
        <f>IF(N582="已下單",O582*P582,0)</f>
        <v/>
      </c>
      <c r="R582" s="13">
        <f>R581+Q582</f>
        <v/>
      </c>
      <c r="S582" s="19">
        <f>S581-IF(N582="已下單",M582,0)</f>
        <v/>
      </c>
      <c r="T582" s="19">
        <f>R582-S582</f>
        <v/>
      </c>
      <c r="U582" s="2">
        <f>U581-IF(N582="已下單",1,0)</f>
        <v/>
      </c>
      <c r="V582" s="19">
        <f>IF(資金模擬!$B$9=2,MAX(R582,0),MAX(V581,FLOOR(MAX(R582,0),資金模擬!$B$6)))</f>
        <v/>
      </c>
      <c r="W582" s="13">
        <f>MAX(W581,R582)</f>
        <v/>
      </c>
      <c r="X582" s="4">
        <f>IF(W582&gt;0,R582/W582-1,-1)</f>
        <v/>
      </c>
      <c r="Y582" s="19">
        <f>IF(R582&gt;0,S582*資金模擬!$B$7/R582,0)</f>
        <v/>
      </c>
      <c r="Z582" s="2">
        <f>IF(OR(Z581=1,R582&lt;=資金模擬!$B$10),1,0)</f>
        <v/>
      </c>
    </row>
    <row r="583">
      <c r="A583" s="2" t="n">
        <v>581</v>
      </c>
      <c r="B583" s="7" t="n">
        <v>46284.375</v>
      </c>
      <c r="C583" s="2" t="inlineStr">
        <is>
          <t>出場</t>
        </is>
      </c>
      <c r="D583" s="2" t="n">
        <v>291</v>
      </c>
      <c r="E583" s="2" t="inlineStr">
        <is>
          <t>MARSCOIN_USDT_PERP</t>
        </is>
      </c>
      <c r="F583" s="2" t="inlineStr">
        <is>
          <t>做空</t>
        </is>
      </c>
      <c r="G583" s="20" t="n">
        <v>0.11236</v>
      </c>
      <c r="H583" s="20" t="n">
        <v>0.1089892</v>
      </c>
      <c r="I583" s="20" t="n">
        <v>0.117978</v>
      </c>
      <c r="J583" s="20" t="n">
        <v>0.117978</v>
      </c>
      <c r="K583" s="2" t="inlineStr">
        <is>
          <t>止損</t>
        </is>
      </c>
      <c r="L583" s="5">
        <f>交易明細!K292</f>
        <v/>
      </c>
      <c r="M583" s="19">
        <f>M578</f>
        <v/>
      </c>
      <c r="N583" s="2">
        <f>N578</f>
        <v/>
      </c>
      <c r="O583" s="19">
        <f>O578</f>
        <v/>
      </c>
      <c r="P583" s="4">
        <f>交易明細!L292</f>
        <v/>
      </c>
      <c r="Q583" s="13">
        <f>IF(N583="已下單",O583*P583,0)</f>
        <v/>
      </c>
      <c r="R583" s="13">
        <f>R582+Q583</f>
        <v/>
      </c>
      <c r="S583" s="19">
        <f>S582-IF(N583="已下單",M583,0)</f>
        <v/>
      </c>
      <c r="T583" s="19">
        <f>R583-S583</f>
        <v/>
      </c>
      <c r="U583" s="2">
        <f>U582-IF(N583="已下單",1,0)</f>
        <v/>
      </c>
      <c r="V583" s="19">
        <f>IF(資金模擬!$B$9=2,MAX(R583,0),MAX(V582,FLOOR(MAX(R583,0),資金模擬!$B$6)))</f>
        <v/>
      </c>
      <c r="W583" s="13">
        <f>MAX(W582,R583)</f>
        <v/>
      </c>
      <c r="X583" s="4">
        <f>IF(W583&gt;0,R583/W583-1,-1)</f>
        <v/>
      </c>
      <c r="Y583" s="19">
        <f>IF(R583&gt;0,S583*資金模擬!$B$7/R583,0)</f>
        <v/>
      </c>
      <c r="Z583" s="2">
        <f>IF(OR(Z582=1,R583&lt;=資金模擬!$B$10),1,0)</f>
        <v/>
      </c>
    </row>
    <row r="584">
      <c r="A584" s="2" t="n">
        <v>582</v>
      </c>
      <c r="B584" s="7" t="n">
        <v>46284.375</v>
      </c>
      <c r="C584" s="2" t="inlineStr">
        <is>
          <t>進場</t>
        </is>
      </c>
      <c r="D584" s="2" t="n">
        <v>293</v>
      </c>
      <c r="E584" s="2" t="inlineStr">
        <is>
          <t>ENA_USDT_PERP</t>
        </is>
      </c>
      <c r="F584" s="2" t="inlineStr">
        <is>
          <t>做多</t>
        </is>
      </c>
      <c r="G584" s="20" t="n">
        <v>0.1747</v>
      </c>
      <c r="H584" s="20" t="n">
        <v>0.179941</v>
      </c>
      <c r="I584" s="20" t="n">
        <v>0.165965</v>
      </c>
      <c r="J584" s="20" t="n"/>
      <c r="K584" s="2" t="n"/>
      <c r="L584" s="5" t="n"/>
      <c r="M584" s="19">
        <f>資金模擬!$B$5*V583</f>
        <v/>
      </c>
      <c r="N584" s="2">
        <f>IF(Z583=1,"已停止",IF(T583&gt;=M584,"已下單","資金不足略過"))</f>
        <v/>
      </c>
      <c r="O584" s="19">
        <f>IF(N584="已下單",M584*資金模擬!$B$7,0)</f>
        <v/>
      </c>
      <c r="P584" s="4" t="n"/>
      <c r="Q584" s="13" t="n">
        <v>0</v>
      </c>
      <c r="R584" s="13">
        <f>R583+Q584</f>
        <v/>
      </c>
      <c r="S584" s="19">
        <f>S583+IF(N584="已下單",M584,0)</f>
        <v/>
      </c>
      <c r="T584" s="19">
        <f>R584-S584</f>
        <v/>
      </c>
      <c r="U584" s="2">
        <f>U583+IF(N584="已下單",1,0)</f>
        <v/>
      </c>
      <c r="V584" s="19">
        <f>IF(資金模擬!$B$9=2,MAX(R584,0),MAX(V583,FLOOR(MAX(R584,0),資金模擬!$B$6)))</f>
        <v/>
      </c>
      <c r="W584" s="13">
        <f>MAX(W583,R584)</f>
        <v/>
      </c>
      <c r="X584" s="4">
        <f>IF(W584&gt;0,R584/W584-1,-1)</f>
        <v/>
      </c>
      <c r="Y584" s="19">
        <f>IF(R584&gt;0,S584*資金模擬!$B$7/R584,0)</f>
        <v/>
      </c>
      <c r="Z584" s="2">
        <f>IF(OR(Z583=1,R584&lt;=資金模擬!$B$10),1,0)</f>
        <v/>
      </c>
    </row>
    <row r="585">
      <c r="A585" s="2" t="n">
        <v>583</v>
      </c>
      <c r="B585" s="7" t="n">
        <v>46284.375</v>
      </c>
      <c r="C585" s="2" t="inlineStr">
        <is>
          <t>進場</t>
        </is>
      </c>
      <c r="D585" s="2" t="n">
        <v>294</v>
      </c>
      <c r="E585" s="2" t="inlineStr">
        <is>
          <t>牛来_USDT_PERP</t>
        </is>
      </c>
      <c r="F585" s="2" t="inlineStr">
        <is>
          <t>做多</t>
        </is>
      </c>
      <c r="G585" s="20" t="n">
        <v>0.12644</v>
      </c>
      <c r="H585" s="20" t="n">
        <v>0.1302332</v>
      </c>
      <c r="I585" s="20" t="n">
        <v>0.120118</v>
      </c>
      <c r="J585" s="20" t="n"/>
      <c r="K585" s="2" t="n"/>
      <c r="L585" s="5" t="n"/>
      <c r="M585" s="19">
        <f>資金模擬!$B$5*V584</f>
        <v/>
      </c>
      <c r="N585" s="2">
        <f>IF(Z584=1,"已停止",IF(T584&gt;=M585,"已下單","資金不足略過"))</f>
        <v/>
      </c>
      <c r="O585" s="19">
        <f>IF(N585="已下單",M585*資金模擬!$B$7,0)</f>
        <v/>
      </c>
      <c r="P585" s="4" t="n"/>
      <c r="Q585" s="13" t="n">
        <v>0</v>
      </c>
      <c r="R585" s="13">
        <f>R584+Q585</f>
        <v/>
      </c>
      <c r="S585" s="19">
        <f>S584+IF(N585="已下單",M585,0)</f>
        <v/>
      </c>
      <c r="T585" s="19">
        <f>R585-S585</f>
        <v/>
      </c>
      <c r="U585" s="2">
        <f>U584+IF(N585="已下單",1,0)</f>
        <v/>
      </c>
      <c r="V585" s="19">
        <f>IF(資金模擬!$B$9=2,MAX(R585,0),MAX(V584,FLOOR(MAX(R585,0),資金模擬!$B$6)))</f>
        <v/>
      </c>
      <c r="W585" s="13">
        <f>MAX(W584,R585)</f>
        <v/>
      </c>
      <c r="X585" s="4">
        <f>IF(W585&gt;0,R585/W585-1,-1)</f>
        <v/>
      </c>
      <c r="Y585" s="19">
        <f>IF(R585&gt;0,S585*資金模擬!$B$7/R585,0)</f>
        <v/>
      </c>
      <c r="Z585" s="2">
        <f>IF(OR(Z584=1,R585&lt;=資金模擬!$B$10),1,0)</f>
        <v/>
      </c>
    </row>
    <row r="586">
      <c r="A586" s="2" t="n">
        <v>584</v>
      </c>
      <c r="B586" s="7" t="n">
        <v>46284.41666666666</v>
      </c>
      <c r="C586" s="2" t="inlineStr">
        <is>
          <t>出場</t>
        </is>
      </c>
      <c r="D586" s="2" t="n">
        <v>292</v>
      </c>
      <c r="E586" s="2" t="inlineStr">
        <is>
          <t>NEAR_USDT_PERP</t>
        </is>
      </c>
      <c r="F586" s="2" t="inlineStr">
        <is>
          <t>做多</t>
        </is>
      </c>
      <c r="G586" s="20" t="n">
        <v>3.761</v>
      </c>
      <c r="H586" s="20" t="n">
        <v>3.87383</v>
      </c>
      <c r="I586" s="20" t="n">
        <v>3.57295</v>
      </c>
      <c r="J586" s="20" t="n">
        <v>3.87383</v>
      </c>
      <c r="K586" s="2" t="inlineStr">
        <is>
          <t>止盈</t>
        </is>
      </c>
      <c r="L586" s="5">
        <f>交易明細!K293</f>
        <v/>
      </c>
      <c r="M586" s="19">
        <f>M579</f>
        <v/>
      </c>
      <c r="N586" s="2">
        <f>N579</f>
        <v/>
      </c>
      <c r="O586" s="19">
        <f>O579</f>
        <v/>
      </c>
      <c r="P586" s="4">
        <f>交易明細!L293</f>
        <v/>
      </c>
      <c r="Q586" s="13">
        <f>IF(N586="已下單",O586*P586,0)</f>
        <v/>
      </c>
      <c r="R586" s="13">
        <f>R585+Q586</f>
        <v/>
      </c>
      <c r="S586" s="19">
        <f>S585-IF(N586="已下單",M586,0)</f>
        <v/>
      </c>
      <c r="T586" s="19">
        <f>R586-S586</f>
        <v/>
      </c>
      <c r="U586" s="2">
        <f>U585-IF(N586="已下單",1,0)</f>
        <v/>
      </c>
      <c r="V586" s="19">
        <f>IF(資金模擬!$B$9=2,MAX(R586,0),MAX(V585,FLOOR(MAX(R586,0),資金模擬!$B$6)))</f>
        <v/>
      </c>
      <c r="W586" s="13">
        <f>MAX(W585,R586)</f>
        <v/>
      </c>
      <c r="X586" s="4">
        <f>IF(W586&gt;0,R586/W586-1,-1)</f>
        <v/>
      </c>
      <c r="Y586" s="19">
        <f>IF(R586&gt;0,S586*資金模擬!$B$7/R586,0)</f>
        <v/>
      </c>
      <c r="Z586" s="2">
        <f>IF(OR(Z585=1,R586&lt;=資金模擬!$B$10),1,0)</f>
        <v/>
      </c>
    </row>
    <row r="587">
      <c r="A587" s="2" t="n">
        <v>585</v>
      </c>
      <c r="B587" s="7" t="n">
        <v>46284.45833333334</v>
      </c>
      <c r="C587" s="2" t="inlineStr">
        <is>
          <t>出場</t>
        </is>
      </c>
      <c r="D587" s="2" t="n">
        <v>286</v>
      </c>
      <c r="E587" s="2" t="inlineStr">
        <is>
          <t>UNI_USDT_PERP</t>
        </is>
      </c>
      <c r="F587" s="2" t="inlineStr">
        <is>
          <t>做多</t>
        </is>
      </c>
      <c r="G587" s="20" t="n">
        <v>8.928000000000001</v>
      </c>
      <c r="H587" s="20" t="n">
        <v>9.19584</v>
      </c>
      <c r="I587" s="20" t="n">
        <v>8.4816</v>
      </c>
      <c r="J587" s="20" t="n">
        <v>9.19584</v>
      </c>
      <c r="K587" s="2" t="inlineStr">
        <is>
          <t>止盈</t>
        </is>
      </c>
      <c r="L587" s="5">
        <f>交易明細!K287</f>
        <v/>
      </c>
      <c r="M587" s="19">
        <f>M571</f>
        <v/>
      </c>
      <c r="N587" s="2">
        <f>N571</f>
        <v/>
      </c>
      <c r="O587" s="19">
        <f>O571</f>
        <v/>
      </c>
      <c r="P587" s="4">
        <f>交易明細!L287</f>
        <v/>
      </c>
      <c r="Q587" s="13">
        <f>IF(N587="已下單",O587*P587,0)</f>
        <v/>
      </c>
      <c r="R587" s="13">
        <f>R586+Q587</f>
        <v/>
      </c>
      <c r="S587" s="19">
        <f>S586-IF(N587="已下單",M587,0)</f>
        <v/>
      </c>
      <c r="T587" s="19">
        <f>R587-S587</f>
        <v/>
      </c>
      <c r="U587" s="2">
        <f>U586-IF(N587="已下單",1,0)</f>
        <v/>
      </c>
      <c r="V587" s="19">
        <f>IF(資金模擬!$B$9=2,MAX(R587,0),MAX(V586,FLOOR(MAX(R587,0),資金模擬!$B$6)))</f>
        <v/>
      </c>
      <c r="W587" s="13">
        <f>MAX(W586,R587)</f>
        <v/>
      </c>
      <c r="X587" s="4">
        <f>IF(W587&gt;0,R587/W587-1,-1)</f>
        <v/>
      </c>
      <c r="Y587" s="19">
        <f>IF(R587&gt;0,S587*資金模擬!$B$7/R587,0)</f>
        <v/>
      </c>
      <c r="Z587" s="2">
        <f>IF(OR(Z586=1,R587&lt;=資金模擬!$B$10),1,0)</f>
        <v/>
      </c>
    </row>
    <row r="588">
      <c r="A588" s="2" t="n">
        <v>586</v>
      </c>
      <c r="B588" s="7" t="n">
        <v>46284.45833333334</v>
      </c>
      <c r="C588" s="2" t="inlineStr">
        <is>
          <t>出場</t>
        </is>
      </c>
      <c r="D588" s="2" t="n">
        <v>294</v>
      </c>
      <c r="E588" s="2" t="inlineStr">
        <is>
          <t>牛来_USDT_PERP</t>
        </is>
      </c>
      <c r="F588" s="2" t="inlineStr">
        <is>
          <t>做多</t>
        </is>
      </c>
      <c r="G588" s="20" t="n">
        <v>0.12644</v>
      </c>
      <c r="H588" s="20" t="n">
        <v>0.1302332</v>
      </c>
      <c r="I588" s="20" t="n">
        <v>0.120118</v>
      </c>
      <c r="J588" s="20" t="n">
        <v>0.120118</v>
      </c>
      <c r="K588" s="2" t="inlineStr">
        <is>
          <t>止損</t>
        </is>
      </c>
      <c r="L588" s="5">
        <f>交易明細!K295</f>
        <v/>
      </c>
      <c r="M588" s="19">
        <f>M585</f>
        <v/>
      </c>
      <c r="N588" s="2">
        <f>N585</f>
        <v/>
      </c>
      <c r="O588" s="19">
        <f>O585</f>
        <v/>
      </c>
      <c r="P588" s="4">
        <f>交易明細!L295</f>
        <v/>
      </c>
      <c r="Q588" s="13">
        <f>IF(N588="已下單",O588*P588,0)</f>
        <v/>
      </c>
      <c r="R588" s="13">
        <f>R587+Q588</f>
        <v/>
      </c>
      <c r="S588" s="19">
        <f>S587-IF(N588="已下單",M588,0)</f>
        <v/>
      </c>
      <c r="T588" s="19">
        <f>R588-S588</f>
        <v/>
      </c>
      <c r="U588" s="2">
        <f>U587-IF(N588="已下單",1,0)</f>
        <v/>
      </c>
      <c r="V588" s="19">
        <f>IF(資金模擬!$B$9=2,MAX(R588,0),MAX(V587,FLOOR(MAX(R588,0),資金模擬!$B$6)))</f>
        <v/>
      </c>
      <c r="W588" s="13">
        <f>MAX(W587,R588)</f>
        <v/>
      </c>
      <c r="X588" s="4">
        <f>IF(W588&gt;0,R588/W588-1,-1)</f>
        <v/>
      </c>
      <c r="Y588" s="19">
        <f>IF(R588&gt;0,S588*資金模擬!$B$7/R588,0)</f>
        <v/>
      </c>
      <c r="Z588" s="2">
        <f>IF(OR(Z587=1,R588&lt;=資金模擬!$B$10),1,0)</f>
        <v/>
      </c>
    </row>
    <row r="589">
      <c r="A589" s="2" t="n">
        <v>587</v>
      </c>
      <c r="B589" s="7" t="n">
        <v>46284.5</v>
      </c>
      <c r="C589" s="2" t="inlineStr">
        <is>
          <t>出場</t>
        </is>
      </c>
      <c r="D589" s="2" t="n">
        <v>293</v>
      </c>
      <c r="E589" s="2" t="inlineStr">
        <is>
          <t>ENA_USDT_PERP</t>
        </is>
      </c>
      <c r="F589" s="2" t="inlineStr">
        <is>
          <t>做多</t>
        </is>
      </c>
      <c r="G589" s="20" t="n">
        <v>0.1747</v>
      </c>
      <c r="H589" s="20" t="n">
        <v>0.179941</v>
      </c>
      <c r="I589" s="20" t="n">
        <v>0.165965</v>
      </c>
      <c r="J589" s="20" t="n">
        <v>0.179941</v>
      </c>
      <c r="K589" s="2" t="inlineStr">
        <is>
          <t>止盈</t>
        </is>
      </c>
      <c r="L589" s="5">
        <f>交易明細!K294</f>
        <v/>
      </c>
      <c r="M589" s="19">
        <f>M584</f>
        <v/>
      </c>
      <c r="N589" s="2">
        <f>N584</f>
        <v/>
      </c>
      <c r="O589" s="19">
        <f>O584</f>
        <v/>
      </c>
      <c r="P589" s="4">
        <f>交易明細!L294</f>
        <v/>
      </c>
      <c r="Q589" s="13">
        <f>IF(N589="已下單",O589*P589,0)</f>
        <v/>
      </c>
      <c r="R589" s="13">
        <f>R588+Q589</f>
        <v/>
      </c>
      <c r="S589" s="19">
        <f>S588-IF(N589="已下單",M589,0)</f>
        <v/>
      </c>
      <c r="T589" s="19">
        <f>R589-S589</f>
        <v/>
      </c>
      <c r="U589" s="2">
        <f>U588-IF(N589="已下單",1,0)</f>
        <v/>
      </c>
      <c r="V589" s="19">
        <f>IF(資金模擬!$B$9=2,MAX(R589,0),MAX(V588,FLOOR(MAX(R589,0),資金模擬!$B$6)))</f>
        <v/>
      </c>
      <c r="W589" s="13">
        <f>MAX(W588,R589)</f>
        <v/>
      </c>
      <c r="X589" s="4">
        <f>IF(W589&gt;0,R589/W589-1,-1)</f>
        <v/>
      </c>
      <c r="Y589" s="19">
        <f>IF(R589&gt;0,S589*資金模擬!$B$7/R589,0)</f>
        <v/>
      </c>
      <c r="Z589" s="2">
        <f>IF(OR(Z588=1,R589&lt;=資金模擬!$B$10),1,0)</f>
        <v/>
      </c>
    </row>
    <row r="590">
      <c r="A590" s="2" t="n">
        <v>588</v>
      </c>
      <c r="B590" s="7" t="n">
        <v>46284.54166666666</v>
      </c>
      <c r="C590" s="2" t="inlineStr">
        <is>
          <t>進場</t>
        </is>
      </c>
      <c r="D590" s="2" t="n">
        <v>295</v>
      </c>
      <c r="E590" s="2" t="inlineStr">
        <is>
          <t>MARSCOIN_USDT_PERP</t>
        </is>
      </c>
      <c r="F590" s="2" t="inlineStr">
        <is>
          <t>做空</t>
        </is>
      </c>
      <c r="G590" s="20" t="n">
        <v>0.10742</v>
      </c>
      <c r="H590" s="20" t="n">
        <v>0.1041974</v>
      </c>
      <c r="I590" s="20" t="n">
        <v>0.112791</v>
      </c>
      <c r="J590" s="20" t="n"/>
      <c r="K590" s="2" t="n"/>
      <c r="L590" s="5" t="n"/>
      <c r="M590" s="19">
        <f>資金模擬!$B$5*V589</f>
        <v/>
      </c>
      <c r="N590" s="2">
        <f>IF(Z589=1,"已停止",IF(T589&gt;=M590,"已下單","資金不足略過"))</f>
        <v/>
      </c>
      <c r="O590" s="19">
        <f>IF(N590="已下單",M590*資金模擬!$B$7,0)</f>
        <v/>
      </c>
      <c r="P590" s="4" t="n"/>
      <c r="Q590" s="13" t="n">
        <v>0</v>
      </c>
      <c r="R590" s="13">
        <f>R589+Q590</f>
        <v/>
      </c>
      <c r="S590" s="19">
        <f>S589+IF(N590="已下單",M590,0)</f>
        <v/>
      </c>
      <c r="T590" s="19">
        <f>R590-S590</f>
        <v/>
      </c>
      <c r="U590" s="2">
        <f>U589+IF(N590="已下單",1,0)</f>
        <v/>
      </c>
      <c r="V590" s="19">
        <f>IF(資金模擬!$B$9=2,MAX(R590,0),MAX(V589,FLOOR(MAX(R590,0),資金模擬!$B$6)))</f>
        <v/>
      </c>
      <c r="W590" s="13">
        <f>MAX(W589,R590)</f>
        <v/>
      </c>
      <c r="X590" s="4">
        <f>IF(W590&gt;0,R590/W590-1,-1)</f>
        <v/>
      </c>
      <c r="Y590" s="19">
        <f>IF(R590&gt;0,S590*資金模擬!$B$7/R590,0)</f>
        <v/>
      </c>
      <c r="Z590" s="2">
        <f>IF(OR(Z589=1,R590&lt;=資金模擬!$B$10),1,0)</f>
        <v/>
      </c>
    </row>
    <row r="591">
      <c r="A591" s="2" t="n">
        <v>589</v>
      </c>
      <c r="B591" s="7" t="n">
        <v>46284.54166666666</v>
      </c>
      <c r="C591" s="2" t="inlineStr">
        <is>
          <t>進場</t>
        </is>
      </c>
      <c r="D591" s="2" t="n">
        <v>296</v>
      </c>
      <c r="E591" s="2" t="inlineStr">
        <is>
          <t>NEAR_USDT_PERP</t>
        </is>
      </c>
      <c r="F591" s="2" t="inlineStr">
        <is>
          <t>做空</t>
        </is>
      </c>
      <c r="G591" s="20" t="n">
        <v>3.674</v>
      </c>
      <c r="H591" s="20" t="n">
        <v>3.56378</v>
      </c>
      <c r="I591" s="20" t="n">
        <v>3.8577</v>
      </c>
      <c r="J591" s="20" t="n"/>
      <c r="K591" s="2" t="n"/>
      <c r="L591" s="5" t="n"/>
      <c r="M591" s="19">
        <f>資金模擬!$B$5*V590</f>
        <v/>
      </c>
      <c r="N591" s="2">
        <f>IF(Z590=1,"已停止",IF(T590&gt;=M591,"已下單","資金不足略過"))</f>
        <v/>
      </c>
      <c r="O591" s="19">
        <f>IF(N591="已下單",M591*資金模擬!$B$7,0)</f>
        <v/>
      </c>
      <c r="P591" s="4" t="n"/>
      <c r="Q591" s="13" t="n">
        <v>0</v>
      </c>
      <c r="R591" s="13">
        <f>R590+Q591</f>
        <v/>
      </c>
      <c r="S591" s="19">
        <f>S590+IF(N591="已下單",M591,0)</f>
        <v/>
      </c>
      <c r="T591" s="19">
        <f>R591-S591</f>
        <v/>
      </c>
      <c r="U591" s="2">
        <f>U590+IF(N591="已下單",1,0)</f>
        <v/>
      </c>
      <c r="V591" s="19">
        <f>IF(資金模擬!$B$9=2,MAX(R591,0),MAX(V590,FLOOR(MAX(R591,0),資金模擬!$B$6)))</f>
        <v/>
      </c>
      <c r="W591" s="13">
        <f>MAX(W590,R591)</f>
        <v/>
      </c>
      <c r="X591" s="4">
        <f>IF(W591&gt;0,R591/W591-1,-1)</f>
        <v/>
      </c>
      <c r="Y591" s="19">
        <f>IF(R591&gt;0,S591*資金模擬!$B$7/R591,0)</f>
        <v/>
      </c>
      <c r="Z591" s="2">
        <f>IF(OR(Z590=1,R591&lt;=資金模擬!$B$10),1,0)</f>
        <v/>
      </c>
    </row>
    <row r="592">
      <c r="A592" s="2" t="n">
        <v>590</v>
      </c>
      <c r="B592" s="7" t="n">
        <v>46284.54166666666</v>
      </c>
      <c r="C592" s="2" t="inlineStr">
        <is>
          <t>進場</t>
        </is>
      </c>
      <c r="D592" s="2" t="n">
        <v>297</v>
      </c>
      <c r="E592" s="2" t="inlineStr">
        <is>
          <t>PONS_USDT_PERP</t>
        </is>
      </c>
      <c r="F592" s="2" t="inlineStr">
        <is>
          <t>做空</t>
        </is>
      </c>
      <c r="G592" s="20" t="n">
        <v>0.6696</v>
      </c>
      <c r="H592" s="20" t="n">
        <v>0.649512</v>
      </c>
      <c r="I592" s="20" t="n">
        <v>0.70308</v>
      </c>
      <c r="J592" s="20" t="n"/>
      <c r="K592" s="2" t="n"/>
      <c r="L592" s="5" t="n"/>
      <c r="M592" s="19">
        <f>資金模擬!$B$5*V591</f>
        <v/>
      </c>
      <c r="N592" s="2">
        <f>IF(Z591=1,"已停止",IF(T591&gt;=M592,"已下單","資金不足略過"))</f>
        <v/>
      </c>
      <c r="O592" s="19">
        <f>IF(N592="已下單",M592*資金模擬!$B$7,0)</f>
        <v/>
      </c>
      <c r="P592" s="4" t="n"/>
      <c r="Q592" s="13" t="n">
        <v>0</v>
      </c>
      <c r="R592" s="13">
        <f>R591+Q592</f>
        <v/>
      </c>
      <c r="S592" s="19">
        <f>S591+IF(N592="已下單",M592,0)</f>
        <v/>
      </c>
      <c r="T592" s="19">
        <f>R592-S592</f>
        <v/>
      </c>
      <c r="U592" s="2">
        <f>U591+IF(N592="已下單",1,0)</f>
        <v/>
      </c>
      <c r="V592" s="19">
        <f>IF(資金模擬!$B$9=2,MAX(R592,0),MAX(V591,FLOOR(MAX(R592,0),資金模擬!$B$6)))</f>
        <v/>
      </c>
      <c r="W592" s="13">
        <f>MAX(W591,R592)</f>
        <v/>
      </c>
      <c r="X592" s="4">
        <f>IF(W592&gt;0,R592/W592-1,-1)</f>
        <v/>
      </c>
      <c r="Y592" s="19">
        <f>IF(R592&gt;0,S592*資金模擬!$B$7/R592,0)</f>
        <v/>
      </c>
      <c r="Z592" s="2">
        <f>IF(OR(Z591=1,R592&lt;=資金模擬!$B$10),1,0)</f>
        <v/>
      </c>
    </row>
    <row r="593">
      <c r="A593" s="2" t="n">
        <v>591</v>
      </c>
      <c r="B593" s="7" t="n">
        <v>46284.54166666666</v>
      </c>
      <c r="C593" s="2" t="inlineStr">
        <is>
          <t>進場</t>
        </is>
      </c>
      <c r="D593" s="2" t="n">
        <v>298</v>
      </c>
      <c r="E593" s="2" t="inlineStr">
        <is>
          <t>PUMP_USDT_PERP</t>
        </is>
      </c>
      <c r="F593" s="2" t="inlineStr">
        <is>
          <t>做空</t>
        </is>
      </c>
      <c r="G593" s="20" t="n">
        <v>0.004132</v>
      </c>
      <c r="H593" s="20" t="n">
        <v>0.00400804</v>
      </c>
      <c r="I593" s="20" t="n">
        <v>0.004338600000000001</v>
      </c>
      <c r="J593" s="20" t="n"/>
      <c r="K593" s="2" t="n"/>
      <c r="L593" s="5" t="n"/>
      <c r="M593" s="19">
        <f>資金模擬!$B$5*V592</f>
        <v/>
      </c>
      <c r="N593" s="2">
        <f>IF(Z592=1,"已停止",IF(T592&gt;=M593,"已下單","資金不足略過"))</f>
        <v/>
      </c>
      <c r="O593" s="19">
        <f>IF(N593="已下單",M593*資金模擬!$B$7,0)</f>
        <v/>
      </c>
      <c r="P593" s="4" t="n"/>
      <c r="Q593" s="13" t="n">
        <v>0</v>
      </c>
      <c r="R593" s="13">
        <f>R592+Q593</f>
        <v/>
      </c>
      <c r="S593" s="19">
        <f>S592+IF(N593="已下單",M593,0)</f>
        <v/>
      </c>
      <c r="T593" s="19">
        <f>R593-S593</f>
        <v/>
      </c>
      <c r="U593" s="2">
        <f>U592+IF(N593="已下單",1,0)</f>
        <v/>
      </c>
      <c r="V593" s="19">
        <f>IF(資金模擬!$B$9=2,MAX(R593,0),MAX(V592,FLOOR(MAX(R593,0),資金模擬!$B$6)))</f>
        <v/>
      </c>
      <c r="W593" s="13">
        <f>MAX(W592,R593)</f>
        <v/>
      </c>
      <c r="X593" s="4">
        <f>IF(W593&gt;0,R593/W593-1,-1)</f>
        <v/>
      </c>
      <c r="Y593" s="19">
        <f>IF(R593&gt;0,S593*資金模擬!$B$7/R593,0)</f>
        <v/>
      </c>
      <c r="Z593" s="2">
        <f>IF(OR(Z592=1,R593&lt;=資金模擬!$B$10),1,0)</f>
        <v/>
      </c>
    </row>
    <row r="594">
      <c r="A594" s="2" t="n">
        <v>592</v>
      </c>
      <c r="B594" s="7" t="n">
        <v>46284.58333333334</v>
      </c>
      <c r="C594" s="2" t="inlineStr">
        <is>
          <t>進場</t>
        </is>
      </c>
      <c r="D594" s="2" t="n">
        <v>299</v>
      </c>
      <c r="E594" s="2" t="inlineStr">
        <is>
          <t>VVV_USDT_PERP</t>
        </is>
      </c>
      <c r="F594" s="2" t="inlineStr">
        <is>
          <t>做多</t>
        </is>
      </c>
      <c r="G594" s="20" t="n">
        <v>28.046</v>
      </c>
      <c r="H594" s="20" t="n">
        <v>28.88738</v>
      </c>
      <c r="I594" s="20" t="n">
        <v>26.6437</v>
      </c>
      <c r="J594" s="20" t="n"/>
      <c r="K594" s="2" t="n"/>
      <c r="L594" s="5" t="n"/>
      <c r="M594" s="19">
        <f>資金模擬!$B$5*V593</f>
        <v/>
      </c>
      <c r="N594" s="2">
        <f>IF(Z593=1,"已停止",IF(T593&gt;=M594,"已下單","資金不足略過"))</f>
        <v/>
      </c>
      <c r="O594" s="19">
        <f>IF(N594="已下單",M594*資金模擬!$B$7,0)</f>
        <v/>
      </c>
      <c r="P594" s="4" t="n"/>
      <c r="Q594" s="13" t="n">
        <v>0</v>
      </c>
      <c r="R594" s="13">
        <f>R593+Q594</f>
        <v/>
      </c>
      <c r="S594" s="19">
        <f>S593+IF(N594="已下單",M594,0)</f>
        <v/>
      </c>
      <c r="T594" s="19">
        <f>R594-S594</f>
        <v/>
      </c>
      <c r="U594" s="2">
        <f>U593+IF(N594="已下單",1,0)</f>
        <v/>
      </c>
      <c r="V594" s="19">
        <f>IF(資金模擬!$B$9=2,MAX(R594,0),MAX(V593,FLOOR(MAX(R594,0),資金模擬!$B$6)))</f>
        <v/>
      </c>
      <c r="W594" s="13">
        <f>MAX(W593,R594)</f>
        <v/>
      </c>
      <c r="X594" s="4">
        <f>IF(W594&gt;0,R594/W594-1,-1)</f>
        <v/>
      </c>
      <c r="Y594" s="19">
        <f>IF(R594&gt;0,S594*資金模擬!$B$7/R594,0)</f>
        <v/>
      </c>
      <c r="Z594" s="2">
        <f>IF(OR(Z593=1,R594&lt;=資金模擬!$B$10),1,0)</f>
        <v/>
      </c>
    </row>
    <row r="595">
      <c r="A595" s="2" t="n">
        <v>593</v>
      </c>
      <c r="B595" s="7" t="n">
        <v>46284.625</v>
      </c>
      <c r="C595" s="2" t="inlineStr">
        <is>
          <t>進場</t>
        </is>
      </c>
      <c r="D595" s="2" t="n">
        <v>300</v>
      </c>
      <c r="E595" s="2" t="inlineStr">
        <is>
          <t>ENA_USDT_PERP</t>
        </is>
      </c>
      <c r="F595" s="2" t="inlineStr">
        <is>
          <t>做多</t>
        </is>
      </c>
      <c r="G595" s="20" t="n">
        <v>0.179</v>
      </c>
      <c r="H595" s="20" t="n">
        <v>0.18437</v>
      </c>
      <c r="I595" s="20" t="n">
        <v>0.17005</v>
      </c>
      <c r="J595" s="20" t="n"/>
      <c r="K595" s="2" t="n"/>
      <c r="L595" s="5" t="n"/>
      <c r="M595" s="19">
        <f>資金模擬!$B$5*V594</f>
        <v/>
      </c>
      <c r="N595" s="2">
        <f>IF(Z594=1,"已停止",IF(T594&gt;=M595,"已下單","資金不足略過"))</f>
        <v/>
      </c>
      <c r="O595" s="19">
        <f>IF(N595="已下單",M595*資金模擬!$B$7,0)</f>
        <v/>
      </c>
      <c r="P595" s="4" t="n"/>
      <c r="Q595" s="13" t="n">
        <v>0</v>
      </c>
      <c r="R595" s="13">
        <f>R594+Q595</f>
        <v/>
      </c>
      <c r="S595" s="19">
        <f>S594+IF(N595="已下單",M595,0)</f>
        <v/>
      </c>
      <c r="T595" s="19">
        <f>R595-S595</f>
        <v/>
      </c>
      <c r="U595" s="2">
        <f>U594+IF(N595="已下單",1,0)</f>
        <v/>
      </c>
      <c r="V595" s="19">
        <f>IF(資金模擬!$B$9=2,MAX(R595,0),MAX(V594,FLOOR(MAX(R595,0),資金模擬!$B$6)))</f>
        <v/>
      </c>
      <c r="W595" s="13">
        <f>MAX(W594,R595)</f>
        <v/>
      </c>
      <c r="X595" s="4">
        <f>IF(W595&gt;0,R595/W595-1,-1)</f>
        <v/>
      </c>
      <c r="Y595" s="19">
        <f>IF(R595&gt;0,S595*資金模擬!$B$7/R595,0)</f>
        <v/>
      </c>
      <c r="Z595" s="2">
        <f>IF(OR(Z594=1,R595&lt;=資金模擬!$B$10),1,0)</f>
        <v/>
      </c>
    </row>
    <row r="596">
      <c r="A596" s="2" t="n">
        <v>594</v>
      </c>
      <c r="B596" s="7" t="n">
        <v>46284.625</v>
      </c>
      <c r="C596" s="2" t="inlineStr">
        <is>
          <t>進場</t>
        </is>
      </c>
      <c r="D596" s="2" t="n">
        <v>301</v>
      </c>
      <c r="E596" s="2" t="inlineStr">
        <is>
          <t>UNI_USDT_PERP</t>
        </is>
      </c>
      <c r="F596" s="2" t="inlineStr">
        <is>
          <t>做多</t>
        </is>
      </c>
      <c r="G596" s="20" t="n">
        <v>9.178000000000001</v>
      </c>
      <c r="H596" s="20" t="n">
        <v>9.453340000000001</v>
      </c>
      <c r="I596" s="20" t="n">
        <v>8.719100000000001</v>
      </c>
      <c r="J596" s="20" t="n"/>
      <c r="K596" s="2" t="n"/>
      <c r="L596" s="5" t="n"/>
      <c r="M596" s="19">
        <f>資金模擬!$B$5*V595</f>
        <v/>
      </c>
      <c r="N596" s="2">
        <f>IF(Z595=1,"已停止",IF(T595&gt;=M596,"已下單","資金不足略過"))</f>
        <v/>
      </c>
      <c r="O596" s="19">
        <f>IF(N596="已下單",M596*資金模擬!$B$7,0)</f>
        <v/>
      </c>
      <c r="P596" s="4" t="n"/>
      <c r="Q596" s="13" t="n">
        <v>0</v>
      </c>
      <c r="R596" s="13">
        <f>R595+Q596</f>
        <v/>
      </c>
      <c r="S596" s="19">
        <f>S595+IF(N596="已下單",M596,0)</f>
        <v/>
      </c>
      <c r="T596" s="19">
        <f>R596-S596</f>
        <v/>
      </c>
      <c r="U596" s="2">
        <f>U595+IF(N596="已下單",1,0)</f>
        <v/>
      </c>
      <c r="V596" s="19">
        <f>IF(資金模擬!$B$9=2,MAX(R596,0),MAX(V595,FLOOR(MAX(R596,0),資金模擬!$B$6)))</f>
        <v/>
      </c>
      <c r="W596" s="13">
        <f>MAX(W595,R596)</f>
        <v/>
      </c>
      <c r="X596" s="4">
        <f>IF(W596&gt;0,R596/W596-1,-1)</f>
        <v/>
      </c>
      <c r="Y596" s="19">
        <f>IF(R596&gt;0,S596*資金模擬!$B$7/R596,0)</f>
        <v/>
      </c>
      <c r="Z596" s="2">
        <f>IF(OR(Z595=1,R596&lt;=資金模擬!$B$10),1,0)</f>
        <v/>
      </c>
    </row>
    <row r="597">
      <c r="A597" s="2" t="n">
        <v>595</v>
      </c>
      <c r="B597" s="7" t="n">
        <v>46284.66666666666</v>
      </c>
      <c r="C597" s="2" t="inlineStr">
        <is>
          <t>進場</t>
        </is>
      </c>
      <c r="D597" s="2" t="n">
        <v>302</v>
      </c>
      <c r="E597" s="2" t="inlineStr">
        <is>
          <t>ARB_USDT_PERP</t>
        </is>
      </c>
      <c r="F597" s="2" t="inlineStr">
        <is>
          <t>做空</t>
        </is>
      </c>
      <c r="G597" s="20" t="n">
        <v>0.2116</v>
      </c>
      <c r="H597" s="20" t="n">
        <v>0.205252</v>
      </c>
      <c r="I597" s="20" t="n">
        <v>0.22218</v>
      </c>
      <c r="J597" s="20" t="n"/>
      <c r="K597" s="2" t="n"/>
      <c r="L597" s="5" t="n"/>
      <c r="M597" s="19">
        <f>資金模擬!$B$5*V596</f>
        <v/>
      </c>
      <c r="N597" s="2">
        <f>IF(Z596=1,"已停止",IF(T596&gt;=M597,"已下單","資金不足略過"))</f>
        <v/>
      </c>
      <c r="O597" s="19">
        <f>IF(N597="已下單",M597*資金模擬!$B$7,0)</f>
        <v/>
      </c>
      <c r="P597" s="4" t="n"/>
      <c r="Q597" s="13" t="n">
        <v>0</v>
      </c>
      <c r="R597" s="13">
        <f>R596+Q597</f>
        <v/>
      </c>
      <c r="S597" s="19">
        <f>S596+IF(N597="已下單",M597,0)</f>
        <v/>
      </c>
      <c r="T597" s="19">
        <f>R597-S597</f>
        <v/>
      </c>
      <c r="U597" s="2">
        <f>U596+IF(N597="已下單",1,0)</f>
        <v/>
      </c>
      <c r="V597" s="19">
        <f>IF(資金模擬!$B$9=2,MAX(R597,0),MAX(V596,FLOOR(MAX(R597,0),資金模擬!$B$6)))</f>
        <v/>
      </c>
      <c r="W597" s="13">
        <f>MAX(W596,R597)</f>
        <v/>
      </c>
      <c r="X597" s="4">
        <f>IF(W597&gt;0,R597/W597-1,-1)</f>
        <v/>
      </c>
      <c r="Y597" s="19">
        <f>IF(R597&gt;0,S597*資金模擬!$B$7/R597,0)</f>
        <v/>
      </c>
      <c r="Z597" s="2">
        <f>IF(OR(Z596=1,R597&lt;=資金模擬!$B$10),1,0)</f>
        <v/>
      </c>
    </row>
    <row r="598">
      <c r="A598" s="2" t="n">
        <v>596</v>
      </c>
      <c r="B598" s="7" t="n">
        <v>46284.66666666666</v>
      </c>
      <c r="C598" s="2" t="inlineStr">
        <is>
          <t>進場</t>
        </is>
      </c>
      <c r="D598" s="2" t="n">
        <v>303</v>
      </c>
      <c r="E598" s="2" t="inlineStr">
        <is>
          <t>LSK_USDT_PERP</t>
        </is>
      </c>
      <c r="F598" s="2" t="inlineStr">
        <is>
          <t>做空</t>
        </is>
      </c>
      <c r="G598" s="20" t="n">
        <v>0.4301</v>
      </c>
      <c r="H598" s="20" t="n">
        <v>0.417197</v>
      </c>
      <c r="I598" s="20" t="n">
        <v>0.451605</v>
      </c>
      <c r="J598" s="20" t="n"/>
      <c r="K598" s="2" t="n"/>
      <c r="L598" s="5" t="n"/>
      <c r="M598" s="19">
        <f>資金模擬!$B$5*V597</f>
        <v/>
      </c>
      <c r="N598" s="2">
        <f>IF(Z597=1,"已停止",IF(T597&gt;=M598,"已下單","資金不足略過"))</f>
        <v/>
      </c>
      <c r="O598" s="19">
        <f>IF(N598="已下單",M598*資金模擬!$B$7,0)</f>
        <v/>
      </c>
      <c r="P598" s="4" t="n"/>
      <c r="Q598" s="13" t="n">
        <v>0</v>
      </c>
      <c r="R598" s="13">
        <f>R597+Q598</f>
        <v/>
      </c>
      <c r="S598" s="19">
        <f>S597+IF(N598="已下單",M598,0)</f>
        <v/>
      </c>
      <c r="T598" s="19">
        <f>R598-S598</f>
        <v/>
      </c>
      <c r="U598" s="2">
        <f>U597+IF(N598="已下單",1,0)</f>
        <v/>
      </c>
      <c r="V598" s="19">
        <f>IF(資金模擬!$B$9=2,MAX(R598,0),MAX(V597,FLOOR(MAX(R598,0),資金模擬!$B$6)))</f>
        <v/>
      </c>
      <c r="W598" s="13">
        <f>MAX(W597,R598)</f>
        <v/>
      </c>
      <c r="X598" s="4">
        <f>IF(W598&gt;0,R598/W598-1,-1)</f>
        <v/>
      </c>
      <c r="Y598" s="19">
        <f>IF(R598&gt;0,S598*資金模擬!$B$7/R598,0)</f>
        <v/>
      </c>
      <c r="Z598" s="2">
        <f>IF(OR(Z597=1,R598&lt;=資金模擬!$B$10),1,0)</f>
        <v/>
      </c>
    </row>
    <row r="599">
      <c r="A599" s="2" t="n">
        <v>597</v>
      </c>
      <c r="B599" s="7" t="n">
        <v>46284.70833333334</v>
      </c>
      <c r="C599" s="2" t="inlineStr">
        <is>
          <t>出場</t>
        </is>
      </c>
      <c r="D599" s="2" t="n">
        <v>295</v>
      </c>
      <c r="E599" s="2" t="inlineStr">
        <is>
          <t>MARSCOIN_USDT_PERP</t>
        </is>
      </c>
      <c r="F599" s="2" t="inlineStr">
        <is>
          <t>做空</t>
        </is>
      </c>
      <c r="G599" s="20" t="n">
        <v>0.10742</v>
      </c>
      <c r="H599" s="20" t="n">
        <v>0.1041974</v>
      </c>
      <c r="I599" s="20" t="n">
        <v>0.112791</v>
      </c>
      <c r="J599" s="20" t="n">
        <v>0.1041974</v>
      </c>
      <c r="K599" s="2" t="inlineStr">
        <is>
          <t>止盈</t>
        </is>
      </c>
      <c r="L599" s="5">
        <f>交易明細!K296</f>
        <v/>
      </c>
      <c r="M599" s="19">
        <f>M590</f>
        <v/>
      </c>
      <c r="N599" s="2">
        <f>N590</f>
        <v/>
      </c>
      <c r="O599" s="19">
        <f>O590</f>
        <v/>
      </c>
      <c r="P599" s="4">
        <f>交易明細!L296</f>
        <v/>
      </c>
      <c r="Q599" s="13">
        <f>IF(N599="已下單",O599*P599,0)</f>
        <v/>
      </c>
      <c r="R599" s="13">
        <f>R598+Q599</f>
        <v/>
      </c>
      <c r="S599" s="19">
        <f>S598-IF(N599="已下單",M599,0)</f>
        <v/>
      </c>
      <c r="T599" s="19">
        <f>R599-S599</f>
        <v/>
      </c>
      <c r="U599" s="2">
        <f>U598-IF(N599="已下單",1,0)</f>
        <v/>
      </c>
      <c r="V599" s="19">
        <f>IF(資金模擬!$B$9=2,MAX(R599,0),MAX(V598,FLOOR(MAX(R599,0),資金模擬!$B$6)))</f>
        <v/>
      </c>
      <c r="W599" s="13">
        <f>MAX(W598,R599)</f>
        <v/>
      </c>
      <c r="X599" s="4">
        <f>IF(W599&gt;0,R599/W599-1,-1)</f>
        <v/>
      </c>
      <c r="Y599" s="19">
        <f>IF(R599&gt;0,S599*資金模擬!$B$7/R599,0)</f>
        <v/>
      </c>
      <c r="Z599" s="2">
        <f>IF(OR(Z598=1,R599&lt;=資金模擬!$B$10),1,0)</f>
        <v/>
      </c>
    </row>
    <row r="600">
      <c r="A600" s="2" t="n">
        <v>598</v>
      </c>
      <c r="B600" s="7" t="n">
        <v>46284.70833333334</v>
      </c>
      <c r="C600" s="2" t="inlineStr">
        <is>
          <t>出場</t>
        </is>
      </c>
      <c r="D600" s="2" t="n">
        <v>299</v>
      </c>
      <c r="E600" s="2" t="inlineStr">
        <is>
          <t>VVV_USDT_PERP</t>
        </is>
      </c>
      <c r="F600" s="2" t="inlineStr">
        <is>
          <t>做多</t>
        </is>
      </c>
      <c r="G600" s="20" t="n">
        <v>28.046</v>
      </c>
      <c r="H600" s="20" t="n">
        <v>28.88738</v>
      </c>
      <c r="I600" s="20" t="n">
        <v>26.6437</v>
      </c>
      <c r="J600" s="20" t="n">
        <v>28.88738</v>
      </c>
      <c r="K600" s="2" t="inlineStr">
        <is>
          <t>止盈</t>
        </is>
      </c>
      <c r="L600" s="5">
        <f>交易明細!K300</f>
        <v/>
      </c>
      <c r="M600" s="19">
        <f>M594</f>
        <v/>
      </c>
      <c r="N600" s="2">
        <f>N594</f>
        <v/>
      </c>
      <c r="O600" s="19">
        <f>O594</f>
        <v/>
      </c>
      <c r="P600" s="4">
        <f>交易明細!L300</f>
        <v/>
      </c>
      <c r="Q600" s="13">
        <f>IF(N600="已下單",O600*P600,0)</f>
        <v/>
      </c>
      <c r="R600" s="13">
        <f>R599+Q600</f>
        <v/>
      </c>
      <c r="S600" s="19">
        <f>S599-IF(N600="已下單",M600,0)</f>
        <v/>
      </c>
      <c r="T600" s="19">
        <f>R600-S600</f>
        <v/>
      </c>
      <c r="U600" s="2">
        <f>U599-IF(N600="已下單",1,0)</f>
        <v/>
      </c>
      <c r="V600" s="19">
        <f>IF(資金模擬!$B$9=2,MAX(R600,0),MAX(V599,FLOOR(MAX(R600,0),資金模擬!$B$6)))</f>
        <v/>
      </c>
      <c r="W600" s="13">
        <f>MAX(W599,R600)</f>
        <v/>
      </c>
      <c r="X600" s="4">
        <f>IF(W600&gt;0,R600/W600-1,-1)</f>
        <v/>
      </c>
      <c r="Y600" s="19">
        <f>IF(R600&gt;0,S600*資金模擬!$B$7/R600,0)</f>
        <v/>
      </c>
      <c r="Z600" s="2">
        <f>IF(OR(Z599=1,R600&lt;=資金模擬!$B$10),1,0)</f>
        <v/>
      </c>
    </row>
    <row r="601">
      <c r="A601" s="2" t="n">
        <v>599</v>
      </c>
      <c r="B601" s="7" t="n">
        <v>46284.70833333334</v>
      </c>
      <c r="C601" s="2" t="inlineStr">
        <is>
          <t>出場</t>
        </is>
      </c>
      <c r="D601" s="2" t="n">
        <v>300</v>
      </c>
      <c r="E601" s="2" t="inlineStr">
        <is>
          <t>ENA_USDT_PERP</t>
        </is>
      </c>
      <c r="F601" s="2" t="inlineStr">
        <is>
          <t>做多</t>
        </is>
      </c>
      <c r="G601" s="20" t="n">
        <v>0.179</v>
      </c>
      <c r="H601" s="20" t="n">
        <v>0.18437</v>
      </c>
      <c r="I601" s="20" t="n">
        <v>0.17005</v>
      </c>
      <c r="J601" s="20" t="n">
        <v>0.18437</v>
      </c>
      <c r="K601" s="2" t="inlineStr">
        <is>
          <t>止盈</t>
        </is>
      </c>
      <c r="L601" s="5">
        <f>交易明細!K301</f>
        <v/>
      </c>
      <c r="M601" s="19">
        <f>M595</f>
        <v/>
      </c>
      <c r="N601" s="2">
        <f>N595</f>
        <v/>
      </c>
      <c r="O601" s="19">
        <f>O595</f>
        <v/>
      </c>
      <c r="P601" s="4">
        <f>交易明細!L301</f>
        <v/>
      </c>
      <c r="Q601" s="13">
        <f>IF(N601="已下單",O601*P601,0)</f>
        <v/>
      </c>
      <c r="R601" s="13">
        <f>R600+Q601</f>
        <v/>
      </c>
      <c r="S601" s="19">
        <f>S600-IF(N601="已下單",M601,0)</f>
        <v/>
      </c>
      <c r="T601" s="19">
        <f>R601-S601</f>
        <v/>
      </c>
      <c r="U601" s="2">
        <f>U600-IF(N601="已下單",1,0)</f>
        <v/>
      </c>
      <c r="V601" s="19">
        <f>IF(資金模擬!$B$9=2,MAX(R601,0),MAX(V600,FLOOR(MAX(R601,0),資金模擬!$B$6)))</f>
        <v/>
      </c>
      <c r="W601" s="13">
        <f>MAX(W600,R601)</f>
        <v/>
      </c>
      <c r="X601" s="4">
        <f>IF(W601&gt;0,R601/W601-1,-1)</f>
        <v/>
      </c>
      <c r="Y601" s="19">
        <f>IF(R601&gt;0,S601*資金模擬!$B$7/R601,0)</f>
        <v/>
      </c>
      <c r="Z601" s="2">
        <f>IF(OR(Z600=1,R601&lt;=資金模擬!$B$10),1,0)</f>
        <v/>
      </c>
    </row>
    <row r="602">
      <c r="A602" s="2" t="n">
        <v>600</v>
      </c>
      <c r="B602" s="7" t="n">
        <v>46284.70833333334</v>
      </c>
      <c r="C602" s="2" t="inlineStr">
        <is>
          <t>出場</t>
        </is>
      </c>
      <c r="D602" s="2" t="n">
        <v>301</v>
      </c>
      <c r="E602" s="2" t="inlineStr">
        <is>
          <t>UNI_USDT_PERP</t>
        </is>
      </c>
      <c r="F602" s="2" t="inlineStr">
        <is>
          <t>做多</t>
        </is>
      </c>
      <c r="G602" s="20" t="n">
        <v>9.178000000000001</v>
      </c>
      <c r="H602" s="20" t="n">
        <v>9.453340000000001</v>
      </c>
      <c r="I602" s="20" t="n">
        <v>8.719100000000001</v>
      </c>
      <c r="J602" s="20" t="n">
        <v>9.453340000000001</v>
      </c>
      <c r="K602" s="2" t="inlineStr">
        <is>
          <t>止盈</t>
        </is>
      </c>
      <c r="L602" s="5">
        <f>交易明細!K302</f>
        <v/>
      </c>
      <c r="M602" s="19">
        <f>M596</f>
        <v/>
      </c>
      <c r="N602" s="2">
        <f>N596</f>
        <v/>
      </c>
      <c r="O602" s="19">
        <f>O596</f>
        <v/>
      </c>
      <c r="P602" s="4">
        <f>交易明細!L302</f>
        <v/>
      </c>
      <c r="Q602" s="13">
        <f>IF(N602="已下單",O602*P602,0)</f>
        <v/>
      </c>
      <c r="R602" s="13">
        <f>R601+Q602</f>
        <v/>
      </c>
      <c r="S602" s="19">
        <f>S601-IF(N602="已下單",M602,0)</f>
        <v/>
      </c>
      <c r="T602" s="19">
        <f>R602-S602</f>
        <v/>
      </c>
      <c r="U602" s="2">
        <f>U601-IF(N602="已下單",1,0)</f>
        <v/>
      </c>
      <c r="V602" s="19">
        <f>IF(資金模擬!$B$9=2,MAX(R602,0),MAX(V601,FLOOR(MAX(R602,0),資金模擬!$B$6)))</f>
        <v/>
      </c>
      <c r="W602" s="13">
        <f>MAX(W601,R602)</f>
        <v/>
      </c>
      <c r="X602" s="4">
        <f>IF(W602&gt;0,R602/W602-1,-1)</f>
        <v/>
      </c>
      <c r="Y602" s="19">
        <f>IF(R602&gt;0,S602*資金模擬!$B$7/R602,0)</f>
        <v/>
      </c>
      <c r="Z602" s="2">
        <f>IF(OR(Z601=1,R602&lt;=資金模擬!$B$10),1,0)</f>
        <v/>
      </c>
    </row>
    <row r="603">
      <c r="A603" s="2" t="n">
        <v>601</v>
      </c>
      <c r="B603" s="7" t="n">
        <v>46284.79166666666</v>
      </c>
      <c r="C603" s="2" t="inlineStr">
        <is>
          <t>出場</t>
        </is>
      </c>
      <c r="D603" s="2" t="n">
        <v>297</v>
      </c>
      <c r="E603" s="2" t="inlineStr">
        <is>
          <t>PONS_USDT_PERP</t>
        </is>
      </c>
      <c r="F603" s="2" t="inlineStr">
        <is>
          <t>做空</t>
        </is>
      </c>
      <c r="G603" s="20" t="n">
        <v>0.6696</v>
      </c>
      <c r="H603" s="20" t="n">
        <v>0.649512</v>
      </c>
      <c r="I603" s="20" t="n">
        <v>0.70308</v>
      </c>
      <c r="J603" s="20" t="n">
        <v>0.649512</v>
      </c>
      <c r="K603" s="2" t="inlineStr">
        <is>
          <t>止盈</t>
        </is>
      </c>
      <c r="L603" s="5">
        <f>交易明細!K298</f>
        <v/>
      </c>
      <c r="M603" s="19">
        <f>M592</f>
        <v/>
      </c>
      <c r="N603" s="2">
        <f>N592</f>
        <v/>
      </c>
      <c r="O603" s="19">
        <f>O592</f>
        <v/>
      </c>
      <c r="P603" s="4">
        <f>交易明細!L298</f>
        <v/>
      </c>
      <c r="Q603" s="13">
        <f>IF(N603="已下單",O603*P603,0)</f>
        <v/>
      </c>
      <c r="R603" s="13">
        <f>R602+Q603</f>
        <v/>
      </c>
      <c r="S603" s="19">
        <f>S602-IF(N603="已下單",M603,0)</f>
        <v/>
      </c>
      <c r="T603" s="19">
        <f>R603-S603</f>
        <v/>
      </c>
      <c r="U603" s="2">
        <f>U602-IF(N603="已下單",1,0)</f>
        <v/>
      </c>
      <c r="V603" s="19">
        <f>IF(資金模擬!$B$9=2,MAX(R603,0),MAX(V602,FLOOR(MAX(R603,0),資金模擬!$B$6)))</f>
        <v/>
      </c>
      <c r="W603" s="13">
        <f>MAX(W602,R603)</f>
        <v/>
      </c>
      <c r="X603" s="4">
        <f>IF(W603&gt;0,R603/W603-1,-1)</f>
        <v/>
      </c>
      <c r="Y603" s="19">
        <f>IF(R603&gt;0,S603*資金模擬!$B$7/R603,0)</f>
        <v/>
      </c>
      <c r="Z603" s="2">
        <f>IF(OR(Z602=1,R603&lt;=資金模擬!$B$10),1,0)</f>
        <v/>
      </c>
    </row>
    <row r="604">
      <c r="A604" s="2" t="n">
        <v>602</v>
      </c>
      <c r="B604" s="7" t="n">
        <v>46284.875</v>
      </c>
      <c r="C604" s="2" t="inlineStr">
        <is>
          <t>進場</t>
        </is>
      </c>
      <c r="D604" s="2" t="n">
        <v>304</v>
      </c>
      <c r="E604" s="2" t="inlineStr">
        <is>
          <t>PIEVERSE_USDT_PERP</t>
        </is>
      </c>
      <c r="F604" s="2" t="inlineStr">
        <is>
          <t>做空</t>
        </is>
      </c>
      <c r="G604" s="20" t="n">
        <v>1.5721</v>
      </c>
      <c r="H604" s="20" t="n">
        <v>1.524937</v>
      </c>
      <c r="I604" s="20" t="n">
        <v>1.650705</v>
      </c>
      <c r="J604" s="20" t="n"/>
      <c r="K604" s="2" t="n"/>
      <c r="L604" s="5" t="n"/>
      <c r="M604" s="19">
        <f>資金模擬!$B$5*V603</f>
        <v/>
      </c>
      <c r="N604" s="2">
        <f>IF(Z603=1,"已停止",IF(T603&gt;=M604,"已下單","資金不足略過"))</f>
        <v/>
      </c>
      <c r="O604" s="19">
        <f>IF(N604="已下單",M604*資金模擬!$B$7,0)</f>
        <v/>
      </c>
      <c r="P604" s="4" t="n"/>
      <c r="Q604" s="13" t="n">
        <v>0</v>
      </c>
      <c r="R604" s="13">
        <f>R603+Q604</f>
        <v/>
      </c>
      <c r="S604" s="19">
        <f>S603+IF(N604="已下單",M604,0)</f>
        <v/>
      </c>
      <c r="T604" s="19">
        <f>R604-S604</f>
        <v/>
      </c>
      <c r="U604" s="2">
        <f>U603+IF(N604="已下單",1,0)</f>
        <v/>
      </c>
      <c r="V604" s="19">
        <f>IF(資金模擬!$B$9=2,MAX(R604,0),MAX(V603,FLOOR(MAX(R604,0),資金模擬!$B$6)))</f>
        <v/>
      </c>
      <c r="W604" s="13">
        <f>MAX(W603,R604)</f>
        <v/>
      </c>
      <c r="X604" s="4">
        <f>IF(W604&gt;0,R604/W604-1,-1)</f>
        <v/>
      </c>
      <c r="Y604" s="19">
        <f>IF(R604&gt;0,S604*資金模擬!$B$7/R604,0)</f>
        <v/>
      </c>
      <c r="Z604" s="2">
        <f>IF(OR(Z603=1,R604&lt;=資金模擬!$B$10),1,0)</f>
        <v/>
      </c>
    </row>
    <row r="605">
      <c r="A605" s="2" t="n">
        <v>603</v>
      </c>
      <c r="B605" s="7" t="n">
        <v>46284.875</v>
      </c>
      <c r="C605" s="2" t="inlineStr">
        <is>
          <t>進場</t>
        </is>
      </c>
      <c r="D605" s="2" t="n">
        <v>305</v>
      </c>
      <c r="E605" s="2" t="inlineStr">
        <is>
          <t>PONS_USDT_PERP</t>
        </is>
      </c>
      <c r="F605" s="2" t="inlineStr">
        <is>
          <t>做空</t>
        </is>
      </c>
      <c r="G605" s="20" t="n">
        <v>0.6329</v>
      </c>
      <c r="H605" s="20" t="n">
        <v>0.613913</v>
      </c>
      <c r="I605" s="20" t="n">
        <v>0.6645450000000001</v>
      </c>
      <c r="J605" s="20" t="n"/>
      <c r="K605" s="2" t="n"/>
      <c r="L605" s="5" t="n"/>
      <c r="M605" s="19">
        <f>資金模擬!$B$5*V604</f>
        <v/>
      </c>
      <c r="N605" s="2">
        <f>IF(Z604=1,"已停止",IF(T604&gt;=M605,"已下單","資金不足略過"))</f>
        <v/>
      </c>
      <c r="O605" s="19">
        <f>IF(N605="已下單",M605*資金模擬!$B$7,0)</f>
        <v/>
      </c>
      <c r="P605" s="4" t="n"/>
      <c r="Q605" s="13" t="n">
        <v>0</v>
      </c>
      <c r="R605" s="13">
        <f>R604+Q605</f>
        <v/>
      </c>
      <c r="S605" s="19">
        <f>S604+IF(N605="已下單",M605,0)</f>
        <v/>
      </c>
      <c r="T605" s="19">
        <f>R605-S605</f>
        <v/>
      </c>
      <c r="U605" s="2">
        <f>U604+IF(N605="已下單",1,0)</f>
        <v/>
      </c>
      <c r="V605" s="19">
        <f>IF(資金模擬!$B$9=2,MAX(R605,0),MAX(V604,FLOOR(MAX(R605,0),資金模擬!$B$6)))</f>
        <v/>
      </c>
      <c r="W605" s="13">
        <f>MAX(W604,R605)</f>
        <v/>
      </c>
      <c r="X605" s="4">
        <f>IF(W605&gt;0,R605/W605-1,-1)</f>
        <v/>
      </c>
      <c r="Y605" s="19">
        <f>IF(R605&gt;0,S605*資金模擬!$B$7/R605,0)</f>
        <v/>
      </c>
      <c r="Z605" s="2">
        <f>IF(OR(Z604=1,R605&lt;=資金模擬!$B$10),1,0)</f>
        <v/>
      </c>
    </row>
    <row r="606">
      <c r="A606" s="2" t="n">
        <v>604</v>
      </c>
      <c r="B606" s="7" t="n">
        <v>46284.91666666666</v>
      </c>
      <c r="C606" s="2" t="inlineStr">
        <is>
          <t>出場</t>
        </is>
      </c>
      <c r="D606" s="2" t="n">
        <v>296</v>
      </c>
      <c r="E606" s="2" t="inlineStr">
        <is>
          <t>NEAR_USDT_PERP</t>
        </is>
      </c>
      <c r="F606" s="2" t="inlineStr">
        <is>
          <t>做空</t>
        </is>
      </c>
      <c r="G606" s="20" t="n">
        <v>3.674</v>
      </c>
      <c r="H606" s="20" t="n">
        <v>3.56378</v>
      </c>
      <c r="I606" s="20" t="n">
        <v>3.8577</v>
      </c>
      <c r="J606" s="20" t="n">
        <v>3.56378</v>
      </c>
      <c r="K606" s="2" t="inlineStr">
        <is>
          <t>止盈</t>
        </is>
      </c>
      <c r="L606" s="5">
        <f>交易明細!K297</f>
        <v/>
      </c>
      <c r="M606" s="19">
        <f>M591</f>
        <v/>
      </c>
      <c r="N606" s="2">
        <f>N591</f>
        <v/>
      </c>
      <c r="O606" s="19">
        <f>O591</f>
        <v/>
      </c>
      <c r="P606" s="4">
        <f>交易明細!L297</f>
        <v/>
      </c>
      <c r="Q606" s="13">
        <f>IF(N606="已下單",O606*P606,0)</f>
        <v/>
      </c>
      <c r="R606" s="13">
        <f>R605+Q606</f>
        <v/>
      </c>
      <c r="S606" s="19">
        <f>S605-IF(N606="已下單",M606,0)</f>
        <v/>
      </c>
      <c r="T606" s="19">
        <f>R606-S606</f>
        <v/>
      </c>
      <c r="U606" s="2">
        <f>U605-IF(N606="已下單",1,0)</f>
        <v/>
      </c>
      <c r="V606" s="19">
        <f>IF(資金模擬!$B$9=2,MAX(R606,0),MAX(V605,FLOOR(MAX(R606,0),資金模擬!$B$6)))</f>
        <v/>
      </c>
      <c r="W606" s="13">
        <f>MAX(W605,R606)</f>
        <v/>
      </c>
      <c r="X606" s="4">
        <f>IF(W606&gt;0,R606/W606-1,-1)</f>
        <v/>
      </c>
      <c r="Y606" s="19">
        <f>IF(R606&gt;0,S606*資金模擬!$B$7/R606,0)</f>
        <v/>
      </c>
      <c r="Z606" s="2">
        <f>IF(OR(Z605=1,R606&lt;=資金模擬!$B$10),1,0)</f>
        <v/>
      </c>
    </row>
    <row r="607">
      <c r="A607" s="2" t="n">
        <v>605</v>
      </c>
      <c r="B607" s="7" t="n">
        <v>46284.91666666666</v>
      </c>
      <c r="C607" s="2" t="inlineStr">
        <is>
          <t>出場</t>
        </is>
      </c>
      <c r="D607" s="2" t="n">
        <v>303</v>
      </c>
      <c r="E607" s="2" t="inlineStr">
        <is>
          <t>LSK_USDT_PERP</t>
        </is>
      </c>
      <c r="F607" s="2" t="inlineStr">
        <is>
          <t>做空</t>
        </is>
      </c>
      <c r="G607" s="20" t="n">
        <v>0.4301</v>
      </c>
      <c r="H607" s="20" t="n">
        <v>0.417197</v>
      </c>
      <c r="I607" s="20" t="n">
        <v>0.451605</v>
      </c>
      <c r="J607" s="20" t="n">
        <v>0.451605</v>
      </c>
      <c r="K607" s="2" t="inlineStr">
        <is>
          <t>止損</t>
        </is>
      </c>
      <c r="L607" s="5">
        <f>交易明細!K304</f>
        <v/>
      </c>
      <c r="M607" s="19">
        <f>M598</f>
        <v/>
      </c>
      <c r="N607" s="2">
        <f>N598</f>
        <v/>
      </c>
      <c r="O607" s="19">
        <f>O598</f>
        <v/>
      </c>
      <c r="P607" s="4">
        <f>交易明細!L304</f>
        <v/>
      </c>
      <c r="Q607" s="13">
        <f>IF(N607="已下單",O607*P607,0)</f>
        <v/>
      </c>
      <c r="R607" s="13">
        <f>R606+Q607</f>
        <v/>
      </c>
      <c r="S607" s="19">
        <f>S606-IF(N607="已下單",M607,0)</f>
        <v/>
      </c>
      <c r="T607" s="19">
        <f>R607-S607</f>
        <v/>
      </c>
      <c r="U607" s="2">
        <f>U606-IF(N607="已下單",1,0)</f>
        <v/>
      </c>
      <c r="V607" s="19">
        <f>IF(資金模擬!$B$9=2,MAX(R607,0),MAX(V606,FLOOR(MAX(R607,0),資金模擬!$B$6)))</f>
        <v/>
      </c>
      <c r="W607" s="13">
        <f>MAX(W606,R607)</f>
        <v/>
      </c>
      <c r="X607" s="4">
        <f>IF(W607&gt;0,R607/W607-1,-1)</f>
        <v/>
      </c>
      <c r="Y607" s="19">
        <f>IF(R607&gt;0,S607*資金模擬!$B$7/R607,0)</f>
        <v/>
      </c>
      <c r="Z607" s="2">
        <f>IF(OR(Z606=1,R607&lt;=資金模擬!$B$10),1,0)</f>
        <v/>
      </c>
    </row>
    <row r="608">
      <c r="A608" s="2" t="n">
        <v>606</v>
      </c>
      <c r="B608" s="7" t="n">
        <v>46284.95833333334</v>
      </c>
      <c r="C608" s="2" t="inlineStr">
        <is>
          <t>出場</t>
        </is>
      </c>
      <c r="D608" s="2" t="n">
        <v>304</v>
      </c>
      <c r="E608" s="2" t="inlineStr">
        <is>
          <t>PIEVERSE_USDT_PERP</t>
        </is>
      </c>
      <c r="F608" s="2" t="inlineStr">
        <is>
          <t>做空</t>
        </is>
      </c>
      <c r="G608" s="20" t="n">
        <v>1.5721</v>
      </c>
      <c r="H608" s="20" t="n">
        <v>1.524937</v>
      </c>
      <c r="I608" s="20" t="n">
        <v>1.650705</v>
      </c>
      <c r="J608" s="20" t="n">
        <v>1.524937</v>
      </c>
      <c r="K608" s="2" t="inlineStr">
        <is>
          <t>止盈</t>
        </is>
      </c>
      <c r="L608" s="5">
        <f>交易明細!K305</f>
        <v/>
      </c>
      <c r="M608" s="19">
        <f>M604</f>
        <v/>
      </c>
      <c r="N608" s="2">
        <f>N604</f>
        <v/>
      </c>
      <c r="O608" s="19">
        <f>O604</f>
        <v/>
      </c>
      <c r="P608" s="4">
        <f>交易明細!L305</f>
        <v/>
      </c>
      <c r="Q608" s="13">
        <f>IF(N608="已下單",O608*P608,0)</f>
        <v/>
      </c>
      <c r="R608" s="13">
        <f>R607+Q608</f>
        <v/>
      </c>
      <c r="S608" s="19">
        <f>S607-IF(N608="已下單",M608,0)</f>
        <v/>
      </c>
      <c r="T608" s="19">
        <f>R608-S608</f>
        <v/>
      </c>
      <c r="U608" s="2">
        <f>U607-IF(N608="已下單",1,0)</f>
        <v/>
      </c>
      <c r="V608" s="19">
        <f>IF(資金模擬!$B$9=2,MAX(R608,0),MAX(V607,FLOOR(MAX(R608,0),資金模擬!$B$6)))</f>
        <v/>
      </c>
      <c r="W608" s="13">
        <f>MAX(W607,R608)</f>
        <v/>
      </c>
      <c r="X608" s="4">
        <f>IF(W608&gt;0,R608/W608-1,-1)</f>
        <v/>
      </c>
      <c r="Y608" s="19">
        <f>IF(R608&gt;0,S608*資金模擬!$B$7/R608,0)</f>
        <v/>
      </c>
      <c r="Z608" s="2">
        <f>IF(OR(Z607=1,R608&lt;=資金模擬!$B$10),1,0)</f>
        <v/>
      </c>
    </row>
    <row r="609">
      <c r="A609" s="2" t="n">
        <v>607</v>
      </c>
      <c r="B609" s="7" t="n">
        <v>46285</v>
      </c>
      <c r="C609" s="2" t="inlineStr">
        <is>
          <t>出場</t>
        </is>
      </c>
      <c r="D609" s="2" t="n">
        <v>305</v>
      </c>
      <c r="E609" s="2" t="inlineStr">
        <is>
          <t>PONS_USDT_PERP</t>
        </is>
      </c>
      <c r="F609" s="2" t="inlineStr">
        <is>
          <t>做空</t>
        </is>
      </c>
      <c r="G609" s="20" t="n">
        <v>0.6329</v>
      </c>
      <c r="H609" s="20" t="n">
        <v>0.613913</v>
      </c>
      <c r="I609" s="20" t="n">
        <v>0.6645450000000001</v>
      </c>
      <c r="J609" s="20" t="n">
        <v>0.613913</v>
      </c>
      <c r="K609" s="2" t="inlineStr">
        <is>
          <t>止盈</t>
        </is>
      </c>
      <c r="L609" s="5">
        <f>交易明細!K306</f>
        <v/>
      </c>
      <c r="M609" s="19">
        <f>M605</f>
        <v/>
      </c>
      <c r="N609" s="2">
        <f>N605</f>
        <v/>
      </c>
      <c r="O609" s="19">
        <f>O605</f>
        <v/>
      </c>
      <c r="P609" s="4">
        <f>交易明細!L306</f>
        <v/>
      </c>
      <c r="Q609" s="13">
        <f>IF(N609="已下單",O609*P609,0)</f>
        <v/>
      </c>
      <c r="R609" s="13">
        <f>R608+Q609</f>
        <v/>
      </c>
      <c r="S609" s="19">
        <f>S608-IF(N609="已下單",M609,0)</f>
        <v/>
      </c>
      <c r="T609" s="19">
        <f>R609-S609</f>
        <v/>
      </c>
      <c r="U609" s="2">
        <f>U608-IF(N609="已下單",1,0)</f>
        <v/>
      </c>
      <c r="V609" s="19">
        <f>IF(資金模擬!$B$9=2,MAX(R609,0),MAX(V608,FLOOR(MAX(R609,0),資金模擬!$B$6)))</f>
        <v/>
      </c>
      <c r="W609" s="13">
        <f>MAX(W608,R609)</f>
        <v/>
      </c>
      <c r="X609" s="4">
        <f>IF(W609&gt;0,R609/W609-1,-1)</f>
        <v/>
      </c>
      <c r="Y609" s="19">
        <f>IF(R609&gt;0,S609*資金模擬!$B$7/R609,0)</f>
        <v/>
      </c>
      <c r="Z609" s="2">
        <f>IF(OR(Z608=1,R609&lt;=資金模擬!$B$10),1,0)</f>
        <v/>
      </c>
    </row>
    <row r="610">
      <c r="A610" s="2" t="n">
        <v>608</v>
      </c>
      <c r="B610" s="7" t="n">
        <v>46285</v>
      </c>
      <c r="C610" s="2" t="inlineStr">
        <is>
          <t>進場</t>
        </is>
      </c>
      <c r="D610" s="2" t="n">
        <v>306</v>
      </c>
      <c r="E610" s="2" t="inlineStr">
        <is>
          <t>LSK_USDT_PERP</t>
        </is>
      </c>
      <c r="F610" s="2" t="inlineStr">
        <is>
          <t>做空</t>
        </is>
      </c>
      <c r="G610" s="20" t="n">
        <v>0.4197</v>
      </c>
      <c r="H610" s="20" t="n">
        <v>0.407109</v>
      </c>
      <c r="I610" s="20" t="n">
        <v>0.440685</v>
      </c>
      <c r="J610" s="20" t="n"/>
      <c r="K610" s="2" t="n"/>
      <c r="L610" s="5" t="n"/>
      <c r="M610" s="19">
        <f>資金模擬!$B$5*V609</f>
        <v/>
      </c>
      <c r="N610" s="2">
        <f>IF(Z609=1,"已停止",IF(T609&gt;=M610,"已下單","資金不足略過"))</f>
        <v/>
      </c>
      <c r="O610" s="19">
        <f>IF(N610="已下單",M610*資金模擬!$B$7,0)</f>
        <v/>
      </c>
      <c r="P610" s="4" t="n"/>
      <c r="Q610" s="13" t="n">
        <v>0</v>
      </c>
      <c r="R610" s="13">
        <f>R609+Q610</f>
        <v/>
      </c>
      <c r="S610" s="19">
        <f>S609+IF(N610="已下單",M610,0)</f>
        <v/>
      </c>
      <c r="T610" s="19">
        <f>R610-S610</f>
        <v/>
      </c>
      <c r="U610" s="2">
        <f>U609+IF(N610="已下單",1,0)</f>
        <v/>
      </c>
      <c r="V610" s="19">
        <f>IF(資金模擬!$B$9=2,MAX(R610,0),MAX(V609,FLOOR(MAX(R610,0),資金模擬!$B$6)))</f>
        <v/>
      </c>
      <c r="W610" s="13">
        <f>MAX(W609,R610)</f>
        <v/>
      </c>
      <c r="X610" s="4">
        <f>IF(W610&gt;0,R610/W610-1,-1)</f>
        <v/>
      </c>
      <c r="Y610" s="19">
        <f>IF(R610&gt;0,S610*資金模擬!$B$7/R610,0)</f>
        <v/>
      </c>
      <c r="Z610" s="2">
        <f>IF(OR(Z609=1,R610&lt;=資金模擬!$B$10),1,0)</f>
        <v/>
      </c>
    </row>
    <row r="611">
      <c r="A611" s="2" t="n">
        <v>609</v>
      </c>
      <c r="B611" s="7" t="n">
        <v>46285.04166666666</v>
      </c>
      <c r="C611" s="2" t="inlineStr">
        <is>
          <t>出場</t>
        </is>
      </c>
      <c r="D611" s="2" t="n">
        <v>288</v>
      </c>
      <c r="E611" s="2" t="inlineStr">
        <is>
          <t>WLD_USDT_PERP</t>
        </is>
      </c>
      <c r="F611" s="2" t="inlineStr">
        <is>
          <t>做空</t>
        </is>
      </c>
      <c r="G611" s="20" t="n">
        <v>0.4166</v>
      </c>
      <c r="H611" s="20" t="n">
        <v>0.404102</v>
      </c>
      <c r="I611" s="20" t="n">
        <v>0.43743</v>
      </c>
      <c r="J611" s="20" t="n">
        <v>0.43743</v>
      </c>
      <c r="K611" s="2" t="inlineStr">
        <is>
          <t>止損</t>
        </is>
      </c>
      <c r="L611" s="5">
        <f>交易明細!K289</f>
        <v/>
      </c>
      <c r="M611" s="19">
        <f>M573</f>
        <v/>
      </c>
      <c r="N611" s="2">
        <f>N573</f>
        <v/>
      </c>
      <c r="O611" s="19">
        <f>O573</f>
        <v/>
      </c>
      <c r="P611" s="4">
        <f>交易明細!L289</f>
        <v/>
      </c>
      <c r="Q611" s="13">
        <f>IF(N611="已下單",O611*P611,0)</f>
        <v/>
      </c>
      <c r="R611" s="13">
        <f>R610+Q611</f>
        <v/>
      </c>
      <c r="S611" s="19">
        <f>S610-IF(N611="已下單",M611,0)</f>
        <v/>
      </c>
      <c r="T611" s="19">
        <f>R611-S611</f>
        <v/>
      </c>
      <c r="U611" s="2">
        <f>U610-IF(N611="已下單",1,0)</f>
        <v/>
      </c>
      <c r="V611" s="19">
        <f>IF(資金模擬!$B$9=2,MAX(R611,0),MAX(V610,FLOOR(MAX(R611,0),資金模擬!$B$6)))</f>
        <v/>
      </c>
      <c r="W611" s="13">
        <f>MAX(W610,R611)</f>
        <v/>
      </c>
      <c r="X611" s="4">
        <f>IF(W611&gt;0,R611/W611-1,-1)</f>
        <v/>
      </c>
      <c r="Y611" s="19">
        <f>IF(R611&gt;0,S611*資金模擬!$B$7/R611,0)</f>
        <v/>
      </c>
      <c r="Z611" s="2">
        <f>IF(OR(Z610=1,R611&lt;=資金模擬!$B$10),1,0)</f>
        <v/>
      </c>
    </row>
    <row r="612">
      <c r="A612" s="2" t="n">
        <v>610</v>
      </c>
      <c r="B612" s="7" t="n">
        <v>46285.08333333334</v>
      </c>
      <c r="C612" s="2" t="inlineStr">
        <is>
          <t>進場</t>
        </is>
      </c>
      <c r="D612" s="2" t="n">
        <v>307</v>
      </c>
      <c r="E612" s="2" t="inlineStr">
        <is>
          <t>LIT_USDT_PERP</t>
        </is>
      </c>
      <c r="F612" s="2" t="inlineStr">
        <is>
          <t>做空</t>
        </is>
      </c>
      <c r="G612" s="20" t="n">
        <v>4.951</v>
      </c>
      <c r="H612" s="20" t="n">
        <v>4.80247</v>
      </c>
      <c r="I612" s="20" t="n">
        <v>5.19855</v>
      </c>
      <c r="J612" s="20" t="n"/>
      <c r="K612" s="2" t="n"/>
      <c r="L612" s="5" t="n"/>
      <c r="M612" s="19">
        <f>資金模擬!$B$5*V611</f>
        <v/>
      </c>
      <c r="N612" s="2">
        <f>IF(Z611=1,"已停止",IF(T611&gt;=M612,"已下單","資金不足略過"))</f>
        <v/>
      </c>
      <c r="O612" s="19">
        <f>IF(N612="已下單",M612*資金模擬!$B$7,0)</f>
        <v/>
      </c>
      <c r="P612" s="4" t="n"/>
      <c r="Q612" s="13" t="n">
        <v>0</v>
      </c>
      <c r="R612" s="13">
        <f>R611+Q612</f>
        <v/>
      </c>
      <c r="S612" s="19">
        <f>S611+IF(N612="已下單",M612,0)</f>
        <v/>
      </c>
      <c r="T612" s="19">
        <f>R612-S612</f>
        <v/>
      </c>
      <c r="U612" s="2">
        <f>U611+IF(N612="已下單",1,0)</f>
        <v/>
      </c>
      <c r="V612" s="19">
        <f>IF(資金模擬!$B$9=2,MAX(R612,0),MAX(V611,FLOOR(MAX(R612,0),資金模擬!$B$6)))</f>
        <v/>
      </c>
      <c r="W612" s="13">
        <f>MAX(W611,R612)</f>
        <v/>
      </c>
      <c r="X612" s="4">
        <f>IF(W612&gt;0,R612/W612-1,-1)</f>
        <v/>
      </c>
      <c r="Y612" s="19">
        <f>IF(R612&gt;0,S612*資金模擬!$B$7/R612,0)</f>
        <v/>
      </c>
      <c r="Z612" s="2">
        <f>IF(OR(Z611=1,R612&lt;=資金模擬!$B$10),1,0)</f>
        <v/>
      </c>
    </row>
    <row r="613">
      <c r="A613" s="2" t="n">
        <v>611</v>
      </c>
      <c r="B613" s="7" t="n">
        <v>46285.08333333334</v>
      </c>
      <c r="C613" s="2" t="inlineStr">
        <is>
          <t>進場</t>
        </is>
      </c>
      <c r="D613" s="2" t="n">
        <v>308</v>
      </c>
      <c r="E613" s="2" t="inlineStr">
        <is>
          <t>XMR_USDT_PERP</t>
        </is>
      </c>
      <c r="F613" s="2" t="inlineStr">
        <is>
          <t>做空</t>
        </is>
      </c>
      <c r="G613" s="20" t="n">
        <v>554</v>
      </c>
      <c r="H613" s="20" t="n">
        <v>537.38</v>
      </c>
      <c r="I613" s="20" t="n">
        <v>581.7</v>
      </c>
      <c r="J613" s="20" t="n"/>
      <c r="K613" s="2" t="n"/>
      <c r="L613" s="5" t="n"/>
      <c r="M613" s="19">
        <f>資金模擬!$B$5*V612</f>
        <v/>
      </c>
      <c r="N613" s="2">
        <f>IF(Z612=1,"已停止",IF(T612&gt;=M613,"已下單","資金不足略過"))</f>
        <v/>
      </c>
      <c r="O613" s="19">
        <f>IF(N613="已下單",M613*資金模擬!$B$7,0)</f>
        <v/>
      </c>
      <c r="P613" s="4" t="n"/>
      <c r="Q613" s="13" t="n">
        <v>0</v>
      </c>
      <c r="R613" s="13">
        <f>R612+Q613</f>
        <v/>
      </c>
      <c r="S613" s="19">
        <f>S612+IF(N613="已下單",M613,0)</f>
        <v/>
      </c>
      <c r="T613" s="19">
        <f>R613-S613</f>
        <v/>
      </c>
      <c r="U613" s="2">
        <f>U612+IF(N613="已下單",1,0)</f>
        <v/>
      </c>
      <c r="V613" s="19">
        <f>IF(資金模擬!$B$9=2,MAX(R613,0),MAX(V612,FLOOR(MAX(R613,0),資金模擬!$B$6)))</f>
        <v/>
      </c>
      <c r="W613" s="13">
        <f>MAX(W612,R613)</f>
        <v/>
      </c>
      <c r="X613" s="4">
        <f>IF(W613&gt;0,R613/W613-1,-1)</f>
        <v/>
      </c>
      <c r="Y613" s="19">
        <f>IF(R613&gt;0,S613*資金模擬!$B$7/R613,0)</f>
        <v/>
      </c>
      <c r="Z613" s="2">
        <f>IF(OR(Z612=1,R613&lt;=資金模擬!$B$10),1,0)</f>
        <v/>
      </c>
    </row>
    <row r="614">
      <c r="A614" s="2" t="n">
        <v>612</v>
      </c>
      <c r="B614" s="7" t="n">
        <v>46285.125</v>
      </c>
      <c r="C614" s="2" t="inlineStr">
        <is>
          <t>出場</t>
        </is>
      </c>
      <c r="D614" s="2" t="n">
        <v>302</v>
      </c>
      <c r="E614" s="2" t="inlineStr">
        <is>
          <t>ARB_USDT_PERP</t>
        </is>
      </c>
      <c r="F614" s="2" t="inlineStr">
        <is>
          <t>做空</t>
        </is>
      </c>
      <c r="G614" s="20" t="n">
        <v>0.2116</v>
      </c>
      <c r="H614" s="20" t="n">
        <v>0.205252</v>
      </c>
      <c r="I614" s="20" t="n">
        <v>0.22218</v>
      </c>
      <c r="J614" s="20" t="n">
        <v>0.205252</v>
      </c>
      <c r="K614" s="2" t="inlineStr">
        <is>
          <t>止盈</t>
        </is>
      </c>
      <c r="L614" s="5">
        <f>交易明細!K303</f>
        <v/>
      </c>
      <c r="M614" s="19">
        <f>M597</f>
        <v/>
      </c>
      <c r="N614" s="2">
        <f>N597</f>
        <v/>
      </c>
      <c r="O614" s="19">
        <f>O597</f>
        <v/>
      </c>
      <c r="P614" s="4">
        <f>交易明細!L303</f>
        <v/>
      </c>
      <c r="Q614" s="13">
        <f>IF(N614="已下單",O614*P614,0)</f>
        <v/>
      </c>
      <c r="R614" s="13">
        <f>R613+Q614</f>
        <v/>
      </c>
      <c r="S614" s="19">
        <f>S613-IF(N614="已下單",M614,0)</f>
        <v/>
      </c>
      <c r="T614" s="19">
        <f>R614-S614</f>
        <v/>
      </c>
      <c r="U614" s="2">
        <f>U613-IF(N614="已下單",1,0)</f>
        <v/>
      </c>
      <c r="V614" s="19">
        <f>IF(資金模擬!$B$9=2,MAX(R614,0),MAX(V613,FLOOR(MAX(R614,0),資金模擬!$B$6)))</f>
        <v/>
      </c>
      <c r="W614" s="13">
        <f>MAX(W613,R614)</f>
        <v/>
      </c>
      <c r="X614" s="4">
        <f>IF(W614&gt;0,R614/W614-1,-1)</f>
        <v/>
      </c>
      <c r="Y614" s="19">
        <f>IF(R614&gt;0,S614*資金模擬!$B$7/R614,0)</f>
        <v/>
      </c>
      <c r="Z614" s="2">
        <f>IF(OR(Z613=1,R614&lt;=資金模擬!$B$10),1,0)</f>
        <v/>
      </c>
    </row>
    <row r="615">
      <c r="A615" s="2" t="n">
        <v>613</v>
      </c>
      <c r="B615" s="7" t="n">
        <v>46285.125</v>
      </c>
      <c r="C615" s="2" t="inlineStr">
        <is>
          <t>進場</t>
        </is>
      </c>
      <c r="D615" s="2" t="n">
        <v>309</v>
      </c>
      <c r="E615" s="2" t="inlineStr">
        <is>
          <t>MYX_USDT_PERP</t>
        </is>
      </c>
      <c r="F615" s="2" t="inlineStr">
        <is>
          <t>做多</t>
        </is>
      </c>
      <c r="G615" s="20" t="n">
        <v>0.08934</v>
      </c>
      <c r="H615" s="20" t="n">
        <v>0.09202020000000001</v>
      </c>
      <c r="I615" s="20" t="n">
        <v>0.084873</v>
      </c>
      <c r="J615" s="20" t="n"/>
      <c r="K615" s="2" t="n"/>
      <c r="L615" s="5" t="n"/>
      <c r="M615" s="19">
        <f>資金模擬!$B$5*V614</f>
        <v/>
      </c>
      <c r="N615" s="2">
        <f>IF(Z614=1,"已停止",IF(T614&gt;=M615,"已下單","資金不足略過"))</f>
        <v/>
      </c>
      <c r="O615" s="19">
        <f>IF(N615="已下單",M615*資金模擬!$B$7,0)</f>
        <v/>
      </c>
      <c r="P615" s="4" t="n"/>
      <c r="Q615" s="13" t="n">
        <v>0</v>
      </c>
      <c r="R615" s="13">
        <f>R614+Q615</f>
        <v/>
      </c>
      <c r="S615" s="19">
        <f>S614+IF(N615="已下單",M615,0)</f>
        <v/>
      </c>
      <c r="T615" s="19">
        <f>R615-S615</f>
        <v/>
      </c>
      <c r="U615" s="2">
        <f>U614+IF(N615="已下單",1,0)</f>
        <v/>
      </c>
      <c r="V615" s="19">
        <f>IF(資金模擬!$B$9=2,MAX(R615,0),MAX(V614,FLOOR(MAX(R615,0),資金模擬!$B$6)))</f>
        <v/>
      </c>
      <c r="W615" s="13">
        <f>MAX(W614,R615)</f>
        <v/>
      </c>
      <c r="X615" s="4">
        <f>IF(W615&gt;0,R615/W615-1,-1)</f>
        <v/>
      </c>
      <c r="Y615" s="19">
        <f>IF(R615&gt;0,S615*資金模擬!$B$7/R615,0)</f>
        <v/>
      </c>
      <c r="Z615" s="2">
        <f>IF(OR(Z614=1,R615&lt;=資金模擬!$B$10),1,0)</f>
        <v/>
      </c>
    </row>
    <row r="616">
      <c r="A616" s="2" t="n">
        <v>614</v>
      </c>
      <c r="B616" s="7" t="n">
        <v>46285.125</v>
      </c>
      <c r="C616" s="2" t="inlineStr">
        <is>
          <t>進場</t>
        </is>
      </c>
      <c r="D616" s="2" t="n">
        <v>310</v>
      </c>
      <c r="E616" s="2" t="inlineStr">
        <is>
          <t>NEAR_USDT_PERP</t>
        </is>
      </c>
      <c r="F616" s="2" t="inlineStr">
        <is>
          <t>做空</t>
        </is>
      </c>
      <c r="G616" s="20" t="n">
        <v>3.57</v>
      </c>
      <c r="H616" s="20" t="n">
        <v>3.4629</v>
      </c>
      <c r="I616" s="20" t="n">
        <v>3.7485</v>
      </c>
      <c r="J616" s="20" t="n"/>
      <c r="K616" s="2" t="n"/>
      <c r="L616" s="5" t="n"/>
      <c r="M616" s="19">
        <f>資金模擬!$B$5*V615</f>
        <v/>
      </c>
      <c r="N616" s="2">
        <f>IF(Z615=1,"已停止",IF(T615&gt;=M616,"已下單","資金不足略過"))</f>
        <v/>
      </c>
      <c r="O616" s="19">
        <f>IF(N616="已下單",M616*資金模擬!$B$7,0)</f>
        <v/>
      </c>
      <c r="P616" s="4" t="n"/>
      <c r="Q616" s="13" t="n">
        <v>0</v>
      </c>
      <c r="R616" s="13">
        <f>R615+Q616</f>
        <v/>
      </c>
      <c r="S616" s="19">
        <f>S615+IF(N616="已下單",M616,0)</f>
        <v/>
      </c>
      <c r="T616" s="19">
        <f>R616-S616</f>
        <v/>
      </c>
      <c r="U616" s="2">
        <f>U615+IF(N616="已下單",1,0)</f>
        <v/>
      </c>
      <c r="V616" s="19">
        <f>IF(資金模擬!$B$9=2,MAX(R616,0),MAX(V615,FLOOR(MAX(R616,0),資金模擬!$B$6)))</f>
        <v/>
      </c>
      <c r="W616" s="13">
        <f>MAX(W615,R616)</f>
        <v/>
      </c>
      <c r="X616" s="4">
        <f>IF(W616&gt;0,R616/W616-1,-1)</f>
        <v/>
      </c>
      <c r="Y616" s="19">
        <f>IF(R616&gt;0,S616*資金模擬!$B$7/R616,0)</f>
        <v/>
      </c>
      <c r="Z616" s="2">
        <f>IF(OR(Z615=1,R616&lt;=資金模擬!$B$10),1,0)</f>
        <v/>
      </c>
    </row>
    <row r="617">
      <c r="A617" s="2" t="n">
        <v>615</v>
      </c>
      <c r="B617" s="7" t="n">
        <v>46285.16666666666</v>
      </c>
      <c r="C617" s="2" t="inlineStr">
        <is>
          <t>出場</t>
        </is>
      </c>
      <c r="D617" s="2" t="n">
        <v>306</v>
      </c>
      <c r="E617" s="2" t="inlineStr">
        <is>
          <t>LSK_USDT_PERP</t>
        </is>
      </c>
      <c r="F617" s="2" t="inlineStr">
        <is>
          <t>做空</t>
        </is>
      </c>
      <c r="G617" s="20" t="n">
        <v>0.4197</v>
      </c>
      <c r="H617" s="20" t="n">
        <v>0.407109</v>
      </c>
      <c r="I617" s="20" t="n">
        <v>0.440685</v>
      </c>
      <c r="J617" s="20" t="n">
        <v>0.407109</v>
      </c>
      <c r="K617" s="2" t="inlineStr">
        <is>
          <t>止盈</t>
        </is>
      </c>
      <c r="L617" s="5">
        <f>交易明細!K307</f>
        <v/>
      </c>
      <c r="M617" s="19">
        <f>M610</f>
        <v/>
      </c>
      <c r="N617" s="2">
        <f>N610</f>
        <v/>
      </c>
      <c r="O617" s="19">
        <f>O610</f>
        <v/>
      </c>
      <c r="P617" s="4">
        <f>交易明細!L307</f>
        <v/>
      </c>
      <c r="Q617" s="13">
        <f>IF(N617="已下單",O617*P617,0)</f>
        <v/>
      </c>
      <c r="R617" s="13">
        <f>R616+Q617</f>
        <v/>
      </c>
      <c r="S617" s="19">
        <f>S616-IF(N617="已下單",M617,0)</f>
        <v/>
      </c>
      <c r="T617" s="19">
        <f>R617-S617</f>
        <v/>
      </c>
      <c r="U617" s="2">
        <f>U616-IF(N617="已下單",1,0)</f>
        <v/>
      </c>
      <c r="V617" s="19">
        <f>IF(資金模擬!$B$9=2,MAX(R617,0),MAX(V616,FLOOR(MAX(R617,0),資金模擬!$B$6)))</f>
        <v/>
      </c>
      <c r="W617" s="13">
        <f>MAX(W616,R617)</f>
        <v/>
      </c>
      <c r="X617" s="4">
        <f>IF(W617&gt;0,R617/W617-1,-1)</f>
        <v/>
      </c>
      <c r="Y617" s="19">
        <f>IF(R617&gt;0,S617*資金模擬!$B$7/R617,0)</f>
        <v/>
      </c>
      <c r="Z617" s="2">
        <f>IF(OR(Z616=1,R617&lt;=資金模擬!$B$10),1,0)</f>
        <v/>
      </c>
    </row>
    <row r="618">
      <c r="A618" s="2" t="n">
        <v>616</v>
      </c>
      <c r="B618" s="7" t="n">
        <v>46285.16666666666</v>
      </c>
      <c r="C618" s="2" t="inlineStr">
        <is>
          <t>出場</t>
        </is>
      </c>
      <c r="D618" s="2" t="n">
        <v>310</v>
      </c>
      <c r="E618" s="2" t="inlineStr">
        <is>
          <t>NEAR_USDT_PERP</t>
        </is>
      </c>
      <c r="F618" s="2" t="inlineStr">
        <is>
          <t>做空</t>
        </is>
      </c>
      <c r="G618" s="20" t="n">
        <v>3.57</v>
      </c>
      <c r="H618" s="20" t="n">
        <v>3.4629</v>
      </c>
      <c r="I618" s="20" t="n">
        <v>3.7485</v>
      </c>
      <c r="J618" s="20" t="n">
        <v>3.4629</v>
      </c>
      <c r="K618" s="2" t="inlineStr">
        <is>
          <t>止盈</t>
        </is>
      </c>
      <c r="L618" s="5">
        <f>交易明細!K311</f>
        <v/>
      </c>
      <c r="M618" s="19">
        <f>M616</f>
        <v/>
      </c>
      <c r="N618" s="2">
        <f>N616</f>
        <v/>
      </c>
      <c r="O618" s="19">
        <f>O616</f>
        <v/>
      </c>
      <c r="P618" s="4">
        <f>交易明細!L311</f>
        <v/>
      </c>
      <c r="Q618" s="13">
        <f>IF(N618="已下單",O618*P618,0)</f>
        <v/>
      </c>
      <c r="R618" s="13">
        <f>R617+Q618</f>
        <v/>
      </c>
      <c r="S618" s="19">
        <f>S617-IF(N618="已下單",M618,0)</f>
        <v/>
      </c>
      <c r="T618" s="19">
        <f>R618-S618</f>
        <v/>
      </c>
      <c r="U618" s="2">
        <f>U617-IF(N618="已下單",1,0)</f>
        <v/>
      </c>
      <c r="V618" s="19">
        <f>IF(資金模擬!$B$9=2,MAX(R618,0),MAX(V617,FLOOR(MAX(R618,0),資金模擬!$B$6)))</f>
        <v/>
      </c>
      <c r="W618" s="13">
        <f>MAX(W617,R618)</f>
        <v/>
      </c>
      <c r="X618" s="4">
        <f>IF(W618&gt;0,R618/W618-1,-1)</f>
        <v/>
      </c>
      <c r="Y618" s="19">
        <f>IF(R618&gt;0,S618*資金模擬!$B$7/R618,0)</f>
        <v/>
      </c>
      <c r="Z618" s="2">
        <f>IF(OR(Z617=1,R618&lt;=資金模擬!$B$10),1,0)</f>
        <v/>
      </c>
    </row>
    <row r="619">
      <c r="A619" s="2" t="n">
        <v>617</v>
      </c>
      <c r="B619" s="7" t="n">
        <v>46285.25</v>
      </c>
      <c r="C619" s="2" t="inlineStr">
        <is>
          <t>出場</t>
        </is>
      </c>
      <c r="D619" s="2" t="n">
        <v>307</v>
      </c>
      <c r="E619" s="2" t="inlineStr">
        <is>
          <t>LIT_USDT_PERP</t>
        </is>
      </c>
      <c r="F619" s="2" t="inlineStr">
        <is>
          <t>做空</t>
        </is>
      </c>
      <c r="G619" s="20" t="n">
        <v>4.951</v>
      </c>
      <c r="H619" s="20" t="n">
        <v>4.80247</v>
      </c>
      <c r="I619" s="20" t="n">
        <v>5.19855</v>
      </c>
      <c r="J619" s="20" t="n">
        <v>4.80247</v>
      </c>
      <c r="K619" s="2" t="inlineStr">
        <is>
          <t>止盈</t>
        </is>
      </c>
      <c r="L619" s="5">
        <f>交易明細!K308</f>
        <v/>
      </c>
      <c r="M619" s="19">
        <f>M612</f>
        <v/>
      </c>
      <c r="N619" s="2">
        <f>N612</f>
        <v/>
      </c>
      <c r="O619" s="19">
        <f>O612</f>
        <v/>
      </c>
      <c r="P619" s="4">
        <f>交易明細!L308</f>
        <v/>
      </c>
      <c r="Q619" s="13">
        <f>IF(N619="已下單",O619*P619,0)</f>
        <v/>
      </c>
      <c r="R619" s="13">
        <f>R618+Q619</f>
        <v/>
      </c>
      <c r="S619" s="19">
        <f>S618-IF(N619="已下單",M619,0)</f>
        <v/>
      </c>
      <c r="T619" s="19">
        <f>R619-S619</f>
        <v/>
      </c>
      <c r="U619" s="2">
        <f>U618-IF(N619="已下單",1,0)</f>
        <v/>
      </c>
      <c r="V619" s="19">
        <f>IF(資金模擬!$B$9=2,MAX(R619,0),MAX(V618,FLOOR(MAX(R619,0),資金模擬!$B$6)))</f>
        <v/>
      </c>
      <c r="W619" s="13">
        <f>MAX(W618,R619)</f>
        <v/>
      </c>
      <c r="X619" s="4">
        <f>IF(W619&gt;0,R619/W619-1,-1)</f>
        <v/>
      </c>
      <c r="Y619" s="19">
        <f>IF(R619&gt;0,S619*資金模擬!$B$7/R619,0)</f>
        <v/>
      </c>
      <c r="Z619" s="2">
        <f>IF(OR(Z618=1,R619&lt;=資金模擬!$B$10),1,0)</f>
        <v/>
      </c>
    </row>
    <row r="620">
      <c r="A620" s="2" t="n">
        <v>618</v>
      </c>
      <c r="B620" s="7" t="n">
        <v>46285.25</v>
      </c>
      <c r="C620" s="2" t="inlineStr">
        <is>
          <t>出場</t>
        </is>
      </c>
      <c r="D620" s="2" t="n">
        <v>308</v>
      </c>
      <c r="E620" s="2" t="inlineStr">
        <is>
          <t>XMR_USDT_PERP</t>
        </is>
      </c>
      <c r="F620" s="2" t="inlineStr">
        <is>
          <t>做空</t>
        </is>
      </c>
      <c r="G620" s="20" t="n">
        <v>554</v>
      </c>
      <c r="H620" s="20" t="n">
        <v>537.38</v>
      </c>
      <c r="I620" s="20" t="n">
        <v>581.7</v>
      </c>
      <c r="J620" s="20" t="n">
        <v>537.38</v>
      </c>
      <c r="K620" s="2" t="inlineStr">
        <is>
          <t>止盈</t>
        </is>
      </c>
      <c r="L620" s="5">
        <f>交易明細!K309</f>
        <v/>
      </c>
      <c r="M620" s="19">
        <f>M613</f>
        <v/>
      </c>
      <c r="N620" s="2">
        <f>N613</f>
        <v/>
      </c>
      <c r="O620" s="19">
        <f>O613</f>
        <v/>
      </c>
      <c r="P620" s="4">
        <f>交易明細!L309</f>
        <v/>
      </c>
      <c r="Q620" s="13">
        <f>IF(N620="已下單",O620*P620,0)</f>
        <v/>
      </c>
      <c r="R620" s="13">
        <f>R619+Q620</f>
        <v/>
      </c>
      <c r="S620" s="19">
        <f>S619-IF(N620="已下單",M620,0)</f>
        <v/>
      </c>
      <c r="T620" s="19">
        <f>R620-S620</f>
        <v/>
      </c>
      <c r="U620" s="2">
        <f>U619-IF(N620="已下單",1,0)</f>
        <v/>
      </c>
      <c r="V620" s="19">
        <f>IF(資金模擬!$B$9=2,MAX(R620,0),MAX(V619,FLOOR(MAX(R620,0),資金模擬!$B$6)))</f>
        <v/>
      </c>
      <c r="W620" s="13">
        <f>MAX(W619,R620)</f>
        <v/>
      </c>
      <c r="X620" s="4">
        <f>IF(W620&gt;0,R620/W620-1,-1)</f>
        <v/>
      </c>
      <c r="Y620" s="19">
        <f>IF(R620&gt;0,S620*資金模擬!$B$7/R620,0)</f>
        <v/>
      </c>
      <c r="Z620" s="2">
        <f>IF(OR(Z619=1,R620&lt;=資金模擬!$B$10),1,0)</f>
        <v/>
      </c>
    </row>
    <row r="621">
      <c r="A621" s="2" t="n">
        <v>619</v>
      </c>
      <c r="B621" s="7" t="n">
        <v>46285.25</v>
      </c>
      <c r="C621" s="2" t="inlineStr">
        <is>
          <t>進場</t>
        </is>
      </c>
      <c r="D621" s="2" t="n">
        <v>311</v>
      </c>
      <c r="E621" s="2" t="inlineStr">
        <is>
          <t>INJ_USDT_PERP</t>
        </is>
      </c>
      <c r="F621" s="2" t="inlineStr">
        <is>
          <t>做多</t>
        </is>
      </c>
      <c r="G621" s="20" t="n">
        <v>7.864</v>
      </c>
      <c r="H621" s="20" t="n">
        <v>8.099920000000001</v>
      </c>
      <c r="I621" s="20" t="n">
        <v>7.4708</v>
      </c>
      <c r="J621" s="20" t="n"/>
      <c r="K621" s="2" t="n"/>
      <c r="L621" s="5" t="n"/>
      <c r="M621" s="19">
        <f>資金模擬!$B$5*V620</f>
        <v/>
      </c>
      <c r="N621" s="2">
        <f>IF(Z620=1,"已停止",IF(T620&gt;=M621,"已下單","資金不足略過"))</f>
        <v/>
      </c>
      <c r="O621" s="19">
        <f>IF(N621="已下單",M621*資金模擬!$B$7,0)</f>
        <v/>
      </c>
      <c r="P621" s="4" t="n"/>
      <c r="Q621" s="13" t="n">
        <v>0</v>
      </c>
      <c r="R621" s="13">
        <f>R620+Q621</f>
        <v/>
      </c>
      <c r="S621" s="19">
        <f>S620+IF(N621="已下單",M621,0)</f>
        <v/>
      </c>
      <c r="T621" s="19">
        <f>R621-S621</f>
        <v/>
      </c>
      <c r="U621" s="2">
        <f>U620+IF(N621="已下單",1,0)</f>
        <v/>
      </c>
      <c r="V621" s="19">
        <f>IF(資金模擬!$B$9=2,MAX(R621,0),MAX(V620,FLOOR(MAX(R621,0),資金模擬!$B$6)))</f>
        <v/>
      </c>
      <c r="W621" s="13">
        <f>MAX(W620,R621)</f>
        <v/>
      </c>
      <c r="X621" s="4">
        <f>IF(W621&gt;0,R621/W621-1,-1)</f>
        <v/>
      </c>
      <c r="Y621" s="19">
        <f>IF(R621&gt;0,S621*資金模擬!$B$7/R621,0)</f>
        <v/>
      </c>
      <c r="Z621" s="2">
        <f>IF(OR(Z620=1,R621&lt;=資金模擬!$B$10),1,0)</f>
        <v/>
      </c>
    </row>
    <row r="622">
      <c r="A622" s="2" t="n">
        <v>620</v>
      </c>
      <c r="B622" s="7" t="n">
        <v>46285.29166666666</v>
      </c>
      <c r="C622" s="2" t="inlineStr">
        <is>
          <t>出場</t>
        </is>
      </c>
      <c r="D622" s="2" t="n">
        <v>311</v>
      </c>
      <c r="E622" s="2" t="inlineStr">
        <is>
          <t>INJ_USDT_PERP</t>
        </is>
      </c>
      <c r="F622" s="2" t="inlineStr">
        <is>
          <t>做多</t>
        </is>
      </c>
      <c r="G622" s="20" t="n">
        <v>7.864</v>
      </c>
      <c r="H622" s="20" t="n">
        <v>8.099920000000001</v>
      </c>
      <c r="I622" s="20" t="n">
        <v>7.4708</v>
      </c>
      <c r="J622" s="20" t="n">
        <v>8.099920000000001</v>
      </c>
      <c r="K622" s="2" t="inlineStr">
        <is>
          <t>止盈</t>
        </is>
      </c>
      <c r="L622" s="5">
        <f>交易明細!K312</f>
        <v/>
      </c>
      <c r="M622" s="19">
        <f>M621</f>
        <v/>
      </c>
      <c r="N622" s="2">
        <f>N621</f>
        <v/>
      </c>
      <c r="O622" s="19">
        <f>O621</f>
        <v/>
      </c>
      <c r="P622" s="4">
        <f>交易明細!L312</f>
        <v/>
      </c>
      <c r="Q622" s="13">
        <f>IF(N622="已下單",O622*P622,0)</f>
        <v/>
      </c>
      <c r="R622" s="13">
        <f>R621+Q622</f>
        <v/>
      </c>
      <c r="S622" s="19">
        <f>S621-IF(N622="已下單",M622,0)</f>
        <v/>
      </c>
      <c r="T622" s="19">
        <f>R622-S622</f>
        <v/>
      </c>
      <c r="U622" s="2">
        <f>U621-IF(N622="已下單",1,0)</f>
        <v/>
      </c>
      <c r="V622" s="19">
        <f>IF(資金模擬!$B$9=2,MAX(R622,0),MAX(V621,FLOOR(MAX(R622,0),資金模擬!$B$6)))</f>
        <v/>
      </c>
      <c r="W622" s="13">
        <f>MAX(W621,R622)</f>
        <v/>
      </c>
      <c r="X622" s="4">
        <f>IF(W622&gt;0,R622/W622-1,-1)</f>
        <v/>
      </c>
      <c r="Y622" s="19">
        <f>IF(R622&gt;0,S622*資金模擬!$B$7/R622,0)</f>
        <v/>
      </c>
      <c r="Z622" s="2">
        <f>IF(OR(Z621=1,R622&lt;=資金模擬!$B$10),1,0)</f>
        <v/>
      </c>
    </row>
    <row r="623">
      <c r="A623" s="2" t="n">
        <v>621</v>
      </c>
      <c r="B623" s="7" t="n">
        <v>46285.33333333334</v>
      </c>
      <c r="C623" s="2" t="inlineStr">
        <is>
          <t>進場</t>
        </is>
      </c>
      <c r="D623" s="2" t="n">
        <v>312</v>
      </c>
      <c r="E623" s="2" t="inlineStr">
        <is>
          <t>AR_USDT_PERP</t>
        </is>
      </c>
      <c r="F623" s="2" t="inlineStr">
        <is>
          <t>做多</t>
        </is>
      </c>
      <c r="G623" s="20" t="n">
        <v>4.413</v>
      </c>
      <c r="H623" s="20" t="n">
        <v>4.54539</v>
      </c>
      <c r="I623" s="20" t="n">
        <v>4.19235</v>
      </c>
      <c r="J623" s="20" t="n"/>
      <c r="K623" s="2" t="n"/>
      <c r="L623" s="5" t="n"/>
      <c r="M623" s="19">
        <f>資金模擬!$B$5*V622</f>
        <v/>
      </c>
      <c r="N623" s="2">
        <f>IF(Z622=1,"已停止",IF(T622&gt;=M623,"已下單","資金不足略過"))</f>
        <v/>
      </c>
      <c r="O623" s="19">
        <f>IF(N623="已下單",M623*資金模擬!$B$7,0)</f>
        <v/>
      </c>
      <c r="P623" s="4" t="n"/>
      <c r="Q623" s="13" t="n">
        <v>0</v>
      </c>
      <c r="R623" s="13">
        <f>R622+Q623</f>
        <v/>
      </c>
      <c r="S623" s="19">
        <f>S622+IF(N623="已下單",M623,0)</f>
        <v/>
      </c>
      <c r="T623" s="19">
        <f>R623-S623</f>
        <v/>
      </c>
      <c r="U623" s="2">
        <f>U622+IF(N623="已下單",1,0)</f>
        <v/>
      </c>
      <c r="V623" s="19">
        <f>IF(資金模擬!$B$9=2,MAX(R623,0),MAX(V622,FLOOR(MAX(R623,0),資金模擬!$B$6)))</f>
        <v/>
      </c>
      <c r="W623" s="13">
        <f>MAX(W622,R623)</f>
        <v/>
      </c>
      <c r="X623" s="4">
        <f>IF(W623&gt;0,R623/W623-1,-1)</f>
        <v/>
      </c>
      <c r="Y623" s="19">
        <f>IF(R623&gt;0,S623*資金模擬!$B$7/R623,0)</f>
        <v/>
      </c>
      <c r="Z623" s="2">
        <f>IF(OR(Z622=1,R623&lt;=資金模擬!$B$10),1,0)</f>
        <v/>
      </c>
    </row>
    <row r="624">
      <c r="A624" s="2" t="n">
        <v>622</v>
      </c>
      <c r="B624" s="7" t="n">
        <v>46285.375</v>
      </c>
      <c r="C624" s="2" t="inlineStr">
        <is>
          <t>出場</t>
        </is>
      </c>
      <c r="D624" s="2" t="n">
        <v>312</v>
      </c>
      <c r="E624" s="2" t="inlineStr">
        <is>
          <t>AR_USDT_PERP</t>
        </is>
      </c>
      <c r="F624" s="2" t="inlineStr">
        <is>
          <t>做多</t>
        </is>
      </c>
      <c r="G624" s="20" t="n">
        <v>4.413</v>
      </c>
      <c r="H624" s="20" t="n">
        <v>4.54539</v>
      </c>
      <c r="I624" s="20" t="n">
        <v>4.19235</v>
      </c>
      <c r="J624" s="20" t="n">
        <v>4.54539</v>
      </c>
      <c r="K624" s="2" t="inlineStr">
        <is>
          <t>止盈</t>
        </is>
      </c>
      <c r="L624" s="5">
        <f>交易明細!K313</f>
        <v/>
      </c>
      <c r="M624" s="19">
        <f>M623</f>
        <v/>
      </c>
      <c r="N624" s="2">
        <f>N623</f>
        <v/>
      </c>
      <c r="O624" s="19">
        <f>O623</f>
        <v/>
      </c>
      <c r="P624" s="4">
        <f>交易明細!L313</f>
        <v/>
      </c>
      <c r="Q624" s="13">
        <f>IF(N624="已下單",O624*P624,0)</f>
        <v/>
      </c>
      <c r="R624" s="13">
        <f>R623+Q624</f>
        <v/>
      </c>
      <c r="S624" s="19">
        <f>S623-IF(N624="已下單",M624,0)</f>
        <v/>
      </c>
      <c r="T624" s="19">
        <f>R624-S624</f>
        <v/>
      </c>
      <c r="U624" s="2">
        <f>U623-IF(N624="已下單",1,0)</f>
        <v/>
      </c>
      <c r="V624" s="19">
        <f>IF(資金模擬!$B$9=2,MAX(R624,0),MAX(V623,FLOOR(MAX(R624,0),資金模擬!$B$6)))</f>
        <v/>
      </c>
      <c r="W624" s="13">
        <f>MAX(W623,R624)</f>
        <v/>
      </c>
      <c r="X624" s="4">
        <f>IF(W624&gt;0,R624/W624-1,-1)</f>
        <v/>
      </c>
      <c r="Y624" s="19">
        <f>IF(R624&gt;0,S624*資金模擬!$B$7/R624,0)</f>
        <v/>
      </c>
      <c r="Z624" s="2">
        <f>IF(OR(Z623=1,R624&lt;=資金模擬!$B$10),1,0)</f>
        <v/>
      </c>
    </row>
    <row r="625">
      <c r="A625" s="2" t="n">
        <v>623</v>
      </c>
      <c r="B625" s="7" t="n">
        <v>46285.41666666666</v>
      </c>
      <c r="C625" s="2" t="inlineStr">
        <is>
          <t>出場</t>
        </is>
      </c>
      <c r="D625" s="2" t="n">
        <v>309</v>
      </c>
      <c r="E625" s="2" t="inlineStr">
        <is>
          <t>MYX_USDT_PERP</t>
        </is>
      </c>
      <c r="F625" s="2" t="inlineStr">
        <is>
          <t>做多</t>
        </is>
      </c>
      <c r="G625" s="20" t="n">
        <v>0.08934</v>
      </c>
      <c r="H625" s="20" t="n">
        <v>0.09202020000000001</v>
      </c>
      <c r="I625" s="20" t="n">
        <v>0.084873</v>
      </c>
      <c r="J625" s="20" t="n">
        <v>0.084873</v>
      </c>
      <c r="K625" s="2" t="inlineStr">
        <is>
          <t>止損</t>
        </is>
      </c>
      <c r="L625" s="5">
        <f>交易明細!K310</f>
        <v/>
      </c>
      <c r="M625" s="19">
        <f>M615</f>
        <v/>
      </c>
      <c r="N625" s="2">
        <f>N615</f>
        <v/>
      </c>
      <c r="O625" s="19">
        <f>O615</f>
        <v/>
      </c>
      <c r="P625" s="4">
        <f>交易明細!L310</f>
        <v/>
      </c>
      <c r="Q625" s="13">
        <f>IF(N625="已下單",O625*P625,0)</f>
        <v/>
      </c>
      <c r="R625" s="13">
        <f>R624+Q625</f>
        <v/>
      </c>
      <c r="S625" s="19">
        <f>S624-IF(N625="已下單",M625,0)</f>
        <v/>
      </c>
      <c r="T625" s="19">
        <f>R625-S625</f>
        <v/>
      </c>
      <c r="U625" s="2">
        <f>U624-IF(N625="已下單",1,0)</f>
        <v/>
      </c>
      <c r="V625" s="19">
        <f>IF(資金模擬!$B$9=2,MAX(R625,0),MAX(V624,FLOOR(MAX(R625,0),資金模擬!$B$6)))</f>
        <v/>
      </c>
      <c r="W625" s="13">
        <f>MAX(W624,R625)</f>
        <v/>
      </c>
      <c r="X625" s="4">
        <f>IF(W625&gt;0,R625/W625-1,-1)</f>
        <v/>
      </c>
      <c r="Y625" s="19">
        <f>IF(R625&gt;0,S625*資金模擬!$B$7/R625,0)</f>
        <v/>
      </c>
      <c r="Z625" s="2">
        <f>IF(OR(Z624=1,R625&lt;=資金模擬!$B$10),1,0)</f>
        <v/>
      </c>
    </row>
    <row r="626">
      <c r="A626" s="2" t="n">
        <v>624</v>
      </c>
      <c r="B626" s="7" t="n">
        <v>46285.45833333334</v>
      </c>
      <c r="C626" s="2" t="inlineStr">
        <is>
          <t>出場</t>
        </is>
      </c>
      <c r="D626" s="2" t="n">
        <v>298</v>
      </c>
      <c r="E626" s="2" t="inlineStr">
        <is>
          <t>PUMP_USDT_PERP</t>
        </is>
      </c>
      <c r="F626" s="2" t="inlineStr">
        <is>
          <t>做空</t>
        </is>
      </c>
      <c r="G626" s="20" t="n">
        <v>0.004132</v>
      </c>
      <c r="H626" s="20" t="n">
        <v>0.00400804</v>
      </c>
      <c r="I626" s="20" t="n">
        <v>0.004338600000000001</v>
      </c>
      <c r="J626" s="20" t="n">
        <v>0.00400804</v>
      </c>
      <c r="K626" s="2" t="inlineStr">
        <is>
          <t>止盈</t>
        </is>
      </c>
      <c r="L626" s="5">
        <f>交易明細!K299</f>
        <v/>
      </c>
      <c r="M626" s="19">
        <f>M593</f>
        <v/>
      </c>
      <c r="N626" s="2">
        <f>N593</f>
        <v/>
      </c>
      <c r="O626" s="19">
        <f>O593</f>
        <v/>
      </c>
      <c r="P626" s="4">
        <f>交易明細!L299</f>
        <v/>
      </c>
      <c r="Q626" s="13">
        <f>IF(N626="已下單",O626*P626,0)</f>
        <v/>
      </c>
      <c r="R626" s="13">
        <f>R625+Q626</f>
        <v/>
      </c>
      <c r="S626" s="19">
        <f>S625-IF(N626="已下單",M626,0)</f>
        <v/>
      </c>
      <c r="T626" s="19">
        <f>R626-S626</f>
        <v/>
      </c>
      <c r="U626" s="2">
        <f>U625-IF(N626="已下單",1,0)</f>
        <v/>
      </c>
      <c r="V626" s="19">
        <f>IF(資金模擬!$B$9=2,MAX(R626,0),MAX(V625,FLOOR(MAX(R626,0),資金模擬!$B$6)))</f>
        <v/>
      </c>
      <c r="W626" s="13">
        <f>MAX(W625,R626)</f>
        <v/>
      </c>
      <c r="X626" s="4">
        <f>IF(W626&gt;0,R626/W626-1,-1)</f>
        <v/>
      </c>
      <c r="Y626" s="19">
        <f>IF(R626&gt;0,S626*資金模擬!$B$7/R626,0)</f>
        <v/>
      </c>
      <c r="Z626" s="2">
        <f>IF(OR(Z625=1,R626&lt;=資金模擬!$B$10),1,0)</f>
        <v/>
      </c>
    </row>
    <row r="627">
      <c r="A627" s="2" t="n">
        <v>625</v>
      </c>
      <c r="B627" s="7" t="n">
        <v>46285.45833333334</v>
      </c>
      <c r="C627" s="2" t="inlineStr">
        <is>
          <t>進場</t>
        </is>
      </c>
      <c r="D627" s="2" t="n">
        <v>313</v>
      </c>
      <c r="E627" s="2" t="inlineStr">
        <is>
          <t>NEAR_USDT_PERP</t>
        </is>
      </c>
      <c r="F627" s="2" t="inlineStr">
        <is>
          <t>做空</t>
        </is>
      </c>
      <c r="G627" s="20" t="n">
        <v>3.486</v>
      </c>
      <c r="H627" s="20" t="n">
        <v>3.38142</v>
      </c>
      <c r="I627" s="20" t="n">
        <v>3.6603</v>
      </c>
      <c r="J627" s="20" t="n"/>
      <c r="K627" s="2" t="n"/>
      <c r="L627" s="5" t="n"/>
      <c r="M627" s="19">
        <f>資金模擬!$B$5*V626</f>
        <v/>
      </c>
      <c r="N627" s="2">
        <f>IF(Z626=1,"已停止",IF(T626&gt;=M627,"已下單","資金不足略過"))</f>
        <v/>
      </c>
      <c r="O627" s="19">
        <f>IF(N627="已下單",M627*資金模擬!$B$7,0)</f>
        <v/>
      </c>
      <c r="P627" s="4" t="n"/>
      <c r="Q627" s="13" t="n">
        <v>0</v>
      </c>
      <c r="R627" s="13">
        <f>R626+Q627</f>
        <v/>
      </c>
      <c r="S627" s="19">
        <f>S626+IF(N627="已下單",M627,0)</f>
        <v/>
      </c>
      <c r="T627" s="19">
        <f>R627-S627</f>
        <v/>
      </c>
      <c r="U627" s="2">
        <f>U626+IF(N627="已下單",1,0)</f>
        <v/>
      </c>
      <c r="V627" s="19">
        <f>IF(資金模擬!$B$9=2,MAX(R627,0),MAX(V626,FLOOR(MAX(R627,0),資金模擬!$B$6)))</f>
        <v/>
      </c>
      <c r="W627" s="13">
        <f>MAX(W626,R627)</f>
        <v/>
      </c>
      <c r="X627" s="4">
        <f>IF(W627&gt;0,R627/W627-1,-1)</f>
        <v/>
      </c>
      <c r="Y627" s="19">
        <f>IF(R627&gt;0,S627*資金模擬!$B$7/R627,0)</f>
        <v/>
      </c>
      <c r="Z627" s="2">
        <f>IF(OR(Z626=1,R627&lt;=資金模擬!$B$10),1,0)</f>
        <v/>
      </c>
    </row>
    <row r="628">
      <c r="A628" s="2" t="n">
        <v>626</v>
      </c>
      <c r="B628" s="7" t="n">
        <v>46285.45833333334</v>
      </c>
      <c r="C628" s="2" t="inlineStr">
        <is>
          <t>進場</t>
        </is>
      </c>
      <c r="D628" s="2" t="n">
        <v>314</v>
      </c>
      <c r="E628" s="2" t="inlineStr">
        <is>
          <t>ONDO_USDT_PERP</t>
        </is>
      </c>
      <c r="F628" s="2" t="inlineStr">
        <is>
          <t>做空</t>
        </is>
      </c>
      <c r="G628" s="20" t="n">
        <v>0.4017</v>
      </c>
      <c r="H628" s="20" t="n">
        <v>0.389649</v>
      </c>
      <c r="I628" s="20" t="n">
        <v>0.421785</v>
      </c>
      <c r="J628" s="20" t="n"/>
      <c r="K628" s="2" t="n"/>
      <c r="L628" s="5" t="n"/>
      <c r="M628" s="19">
        <f>資金模擬!$B$5*V627</f>
        <v/>
      </c>
      <c r="N628" s="2">
        <f>IF(Z627=1,"已停止",IF(T627&gt;=M628,"已下單","資金不足略過"))</f>
        <v/>
      </c>
      <c r="O628" s="19">
        <f>IF(N628="已下單",M628*資金模擬!$B$7,0)</f>
        <v/>
      </c>
      <c r="P628" s="4" t="n"/>
      <c r="Q628" s="13" t="n">
        <v>0</v>
      </c>
      <c r="R628" s="13">
        <f>R627+Q628</f>
        <v/>
      </c>
      <c r="S628" s="19">
        <f>S627+IF(N628="已下單",M628,0)</f>
        <v/>
      </c>
      <c r="T628" s="19">
        <f>R628-S628</f>
        <v/>
      </c>
      <c r="U628" s="2">
        <f>U627+IF(N628="已下單",1,0)</f>
        <v/>
      </c>
      <c r="V628" s="19">
        <f>IF(資金模擬!$B$9=2,MAX(R628,0),MAX(V627,FLOOR(MAX(R628,0),資金模擬!$B$6)))</f>
        <v/>
      </c>
      <c r="W628" s="13">
        <f>MAX(W627,R628)</f>
        <v/>
      </c>
      <c r="X628" s="4">
        <f>IF(W628&gt;0,R628/W628-1,-1)</f>
        <v/>
      </c>
      <c r="Y628" s="19">
        <f>IF(R628&gt;0,S628*資金模擬!$B$7/R628,0)</f>
        <v/>
      </c>
      <c r="Z628" s="2">
        <f>IF(OR(Z627=1,R628&lt;=資金模擬!$B$10),1,0)</f>
        <v/>
      </c>
    </row>
    <row r="629">
      <c r="A629" s="2" t="n">
        <v>627</v>
      </c>
      <c r="B629" s="7" t="n">
        <v>46285.45833333334</v>
      </c>
      <c r="C629" s="2" t="inlineStr">
        <is>
          <t>進場</t>
        </is>
      </c>
      <c r="D629" s="2" t="n">
        <v>315</v>
      </c>
      <c r="E629" s="2" t="inlineStr">
        <is>
          <t>PEPE_USDT_PERP</t>
        </is>
      </c>
      <c r="F629" s="2" t="inlineStr">
        <is>
          <t>做空</t>
        </is>
      </c>
      <c r="G629" s="20" t="n">
        <v>3.935e-06</v>
      </c>
      <c r="H629" s="20" t="n">
        <v>3.816949999999999e-06</v>
      </c>
      <c r="I629" s="20" t="n">
        <v>4.13175e-06</v>
      </c>
      <c r="J629" s="20" t="n"/>
      <c r="K629" s="2" t="n"/>
      <c r="L629" s="5" t="n"/>
      <c r="M629" s="19">
        <f>資金模擬!$B$5*V628</f>
        <v/>
      </c>
      <c r="N629" s="2">
        <f>IF(Z628=1,"已停止",IF(T628&gt;=M629,"已下單","資金不足略過"))</f>
        <v/>
      </c>
      <c r="O629" s="19">
        <f>IF(N629="已下單",M629*資金模擬!$B$7,0)</f>
        <v/>
      </c>
      <c r="P629" s="4" t="n"/>
      <c r="Q629" s="13" t="n">
        <v>0</v>
      </c>
      <c r="R629" s="13">
        <f>R628+Q629</f>
        <v/>
      </c>
      <c r="S629" s="19">
        <f>S628+IF(N629="已下單",M629,0)</f>
        <v/>
      </c>
      <c r="T629" s="19">
        <f>R629-S629</f>
        <v/>
      </c>
      <c r="U629" s="2">
        <f>U628+IF(N629="已下單",1,0)</f>
        <v/>
      </c>
      <c r="V629" s="19">
        <f>IF(資金模擬!$B$9=2,MAX(R629,0),MAX(V628,FLOOR(MAX(R629,0),資金模擬!$B$6)))</f>
        <v/>
      </c>
      <c r="W629" s="13">
        <f>MAX(W628,R629)</f>
        <v/>
      </c>
      <c r="X629" s="4">
        <f>IF(W629&gt;0,R629/W629-1,-1)</f>
        <v/>
      </c>
      <c r="Y629" s="19">
        <f>IF(R629&gt;0,S629*資金模擬!$B$7/R629,0)</f>
        <v/>
      </c>
      <c r="Z629" s="2">
        <f>IF(OR(Z628=1,R629&lt;=資金模擬!$B$10),1,0)</f>
        <v/>
      </c>
    </row>
    <row r="630">
      <c r="A630" s="2" t="n">
        <v>628</v>
      </c>
      <c r="B630" s="7" t="n">
        <v>46285.45833333334</v>
      </c>
      <c r="C630" s="2" t="inlineStr">
        <is>
          <t>進場</t>
        </is>
      </c>
      <c r="D630" s="2" t="n">
        <v>316</v>
      </c>
      <c r="E630" s="2" t="inlineStr">
        <is>
          <t>PONS_USDT_PERP</t>
        </is>
      </c>
      <c r="F630" s="2" t="inlineStr">
        <is>
          <t>做空</t>
        </is>
      </c>
      <c r="G630" s="20" t="n">
        <v>0.5768</v>
      </c>
      <c r="H630" s="20" t="n">
        <v>0.559496</v>
      </c>
      <c r="I630" s="20" t="n">
        <v>0.60564</v>
      </c>
      <c r="J630" s="20" t="n"/>
      <c r="K630" s="2" t="n"/>
      <c r="L630" s="5" t="n"/>
      <c r="M630" s="19">
        <f>資金模擬!$B$5*V629</f>
        <v/>
      </c>
      <c r="N630" s="2">
        <f>IF(Z629=1,"已停止",IF(T629&gt;=M630,"已下單","資金不足略過"))</f>
        <v/>
      </c>
      <c r="O630" s="19">
        <f>IF(N630="已下單",M630*資金模擬!$B$7,0)</f>
        <v/>
      </c>
      <c r="P630" s="4" t="n"/>
      <c r="Q630" s="13" t="n">
        <v>0</v>
      </c>
      <c r="R630" s="13">
        <f>R629+Q630</f>
        <v/>
      </c>
      <c r="S630" s="19">
        <f>S629+IF(N630="已下單",M630,0)</f>
        <v/>
      </c>
      <c r="T630" s="19">
        <f>R630-S630</f>
        <v/>
      </c>
      <c r="U630" s="2">
        <f>U629+IF(N630="已下單",1,0)</f>
        <v/>
      </c>
      <c r="V630" s="19">
        <f>IF(資金模擬!$B$9=2,MAX(R630,0),MAX(V629,FLOOR(MAX(R630,0),資金模擬!$B$6)))</f>
        <v/>
      </c>
      <c r="W630" s="13">
        <f>MAX(W629,R630)</f>
        <v/>
      </c>
      <c r="X630" s="4">
        <f>IF(W630&gt;0,R630/W630-1,-1)</f>
        <v/>
      </c>
      <c r="Y630" s="19">
        <f>IF(R630&gt;0,S630*資金模擬!$B$7/R630,0)</f>
        <v/>
      </c>
      <c r="Z630" s="2">
        <f>IF(OR(Z629=1,R630&lt;=資金模擬!$B$10),1,0)</f>
        <v/>
      </c>
    </row>
    <row r="631">
      <c r="A631" s="2" t="n">
        <v>629</v>
      </c>
      <c r="B631" s="7" t="n">
        <v>46285.45833333334</v>
      </c>
      <c r="C631" s="2" t="inlineStr">
        <is>
          <t>進場</t>
        </is>
      </c>
      <c r="D631" s="2" t="n">
        <v>317</v>
      </c>
      <c r="E631" s="2" t="inlineStr">
        <is>
          <t>SUI_USDT_PERP</t>
        </is>
      </c>
      <c r="F631" s="2" t="inlineStr">
        <is>
          <t>做空</t>
        </is>
      </c>
      <c r="G631" s="20" t="n">
        <v>0.8198</v>
      </c>
      <c r="H631" s="20" t="n">
        <v>0.795206</v>
      </c>
      <c r="I631" s="20" t="n">
        <v>0.8607900000000001</v>
      </c>
      <c r="J631" s="20" t="n"/>
      <c r="K631" s="2" t="n"/>
      <c r="L631" s="5" t="n"/>
      <c r="M631" s="19">
        <f>資金模擬!$B$5*V630</f>
        <v/>
      </c>
      <c r="N631" s="2">
        <f>IF(Z630=1,"已停止",IF(T630&gt;=M631,"已下單","資金不足略過"))</f>
        <v/>
      </c>
      <c r="O631" s="19">
        <f>IF(N631="已下單",M631*資金模擬!$B$7,0)</f>
        <v/>
      </c>
      <c r="P631" s="4" t="n"/>
      <c r="Q631" s="13" t="n">
        <v>0</v>
      </c>
      <c r="R631" s="13">
        <f>R630+Q631</f>
        <v/>
      </c>
      <c r="S631" s="19">
        <f>S630+IF(N631="已下單",M631,0)</f>
        <v/>
      </c>
      <c r="T631" s="19">
        <f>R631-S631</f>
        <v/>
      </c>
      <c r="U631" s="2">
        <f>U630+IF(N631="已下單",1,0)</f>
        <v/>
      </c>
      <c r="V631" s="19">
        <f>IF(資金模擬!$B$9=2,MAX(R631,0),MAX(V630,FLOOR(MAX(R631,0),資金模擬!$B$6)))</f>
        <v/>
      </c>
      <c r="W631" s="13">
        <f>MAX(W630,R631)</f>
        <v/>
      </c>
      <c r="X631" s="4">
        <f>IF(W631&gt;0,R631/W631-1,-1)</f>
        <v/>
      </c>
      <c r="Y631" s="19">
        <f>IF(R631&gt;0,S631*資金模擬!$B$7/R631,0)</f>
        <v/>
      </c>
      <c r="Z631" s="2">
        <f>IF(OR(Z630=1,R631&lt;=資金模擬!$B$10),1,0)</f>
        <v/>
      </c>
    </row>
    <row r="632">
      <c r="A632" s="2" t="n">
        <v>630</v>
      </c>
      <c r="B632" s="7" t="n">
        <v>46285.45833333334</v>
      </c>
      <c r="C632" s="2" t="inlineStr">
        <is>
          <t>進場</t>
        </is>
      </c>
      <c r="D632" s="2" t="n">
        <v>318</v>
      </c>
      <c r="E632" s="2" t="inlineStr">
        <is>
          <t>UNI_USDT_PERP</t>
        </is>
      </c>
      <c r="F632" s="2" t="inlineStr">
        <is>
          <t>做空</t>
        </is>
      </c>
      <c r="G632" s="20" t="n">
        <v>8.545</v>
      </c>
      <c r="H632" s="20" t="n">
        <v>8.288650000000001</v>
      </c>
      <c r="I632" s="20" t="n">
        <v>8.972250000000001</v>
      </c>
      <c r="J632" s="20" t="n"/>
      <c r="K632" s="2" t="n"/>
      <c r="L632" s="5" t="n"/>
      <c r="M632" s="19">
        <f>資金模擬!$B$5*V631</f>
        <v/>
      </c>
      <c r="N632" s="2">
        <f>IF(Z631=1,"已停止",IF(T631&gt;=M632,"已下單","資金不足略過"))</f>
        <v/>
      </c>
      <c r="O632" s="19">
        <f>IF(N632="已下單",M632*資金模擬!$B$7,0)</f>
        <v/>
      </c>
      <c r="P632" s="4" t="n"/>
      <c r="Q632" s="13" t="n">
        <v>0</v>
      </c>
      <c r="R632" s="13">
        <f>R631+Q632</f>
        <v/>
      </c>
      <c r="S632" s="19">
        <f>S631+IF(N632="已下單",M632,0)</f>
        <v/>
      </c>
      <c r="T632" s="19">
        <f>R632-S632</f>
        <v/>
      </c>
      <c r="U632" s="2">
        <f>U631+IF(N632="已下單",1,0)</f>
        <v/>
      </c>
      <c r="V632" s="19">
        <f>IF(資金模擬!$B$9=2,MAX(R632,0),MAX(V631,FLOOR(MAX(R632,0),資金模擬!$B$6)))</f>
        <v/>
      </c>
      <c r="W632" s="13">
        <f>MAX(W631,R632)</f>
        <v/>
      </c>
      <c r="X632" s="4">
        <f>IF(W632&gt;0,R632/W632-1,-1)</f>
        <v/>
      </c>
      <c r="Y632" s="19">
        <f>IF(R632&gt;0,S632*資金模擬!$B$7/R632,0)</f>
        <v/>
      </c>
      <c r="Z632" s="2">
        <f>IF(OR(Z631=1,R632&lt;=資金模擬!$B$10),1,0)</f>
        <v/>
      </c>
    </row>
    <row r="633">
      <c r="A633" s="2" t="n">
        <v>631</v>
      </c>
      <c r="B633" s="7" t="n">
        <v>46285.5</v>
      </c>
      <c r="C633" s="2" t="inlineStr">
        <is>
          <t>進場</t>
        </is>
      </c>
      <c r="D633" s="2" t="n">
        <v>319</v>
      </c>
      <c r="E633" s="2" t="inlineStr">
        <is>
          <t>AKE_USDT_PERP</t>
        </is>
      </c>
      <c r="F633" s="2" t="inlineStr">
        <is>
          <t>做多</t>
        </is>
      </c>
      <c r="G633" s="20" t="n">
        <v>0.06488480000000001</v>
      </c>
      <c r="H633" s="20" t="n">
        <v>0.06683134400000001</v>
      </c>
      <c r="I633" s="20" t="n">
        <v>0.06164056</v>
      </c>
      <c r="J633" s="20" t="n"/>
      <c r="K633" s="2" t="n"/>
      <c r="L633" s="5" t="n"/>
      <c r="M633" s="19">
        <f>資金模擬!$B$5*V632</f>
        <v/>
      </c>
      <c r="N633" s="2">
        <f>IF(Z632=1,"已停止",IF(T632&gt;=M633,"已下單","資金不足略過"))</f>
        <v/>
      </c>
      <c r="O633" s="19">
        <f>IF(N633="已下單",M633*資金模擬!$B$7,0)</f>
        <v/>
      </c>
      <c r="P633" s="4" t="n"/>
      <c r="Q633" s="13" t="n">
        <v>0</v>
      </c>
      <c r="R633" s="13">
        <f>R632+Q633</f>
        <v/>
      </c>
      <c r="S633" s="19">
        <f>S632+IF(N633="已下單",M633,0)</f>
        <v/>
      </c>
      <c r="T633" s="19">
        <f>R633-S633</f>
        <v/>
      </c>
      <c r="U633" s="2">
        <f>U632+IF(N633="已下單",1,0)</f>
        <v/>
      </c>
      <c r="V633" s="19">
        <f>IF(資金模擬!$B$9=2,MAX(R633,0),MAX(V632,FLOOR(MAX(R633,0),資金模擬!$B$6)))</f>
        <v/>
      </c>
      <c r="W633" s="13">
        <f>MAX(W632,R633)</f>
        <v/>
      </c>
      <c r="X633" s="4">
        <f>IF(W633&gt;0,R633/W633-1,-1)</f>
        <v/>
      </c>
      <c r="Y633" s="19">
        <f>IF(R633&gt;0,S633*資金模擬!$B$7/R633,0)</f>
        <v/>
      </c>
      <c r="Z633" s="2">
        <f>IF(OR(Z632=1,R633&lt;=資金模擬!$B$10),1,0)</f>
        <v/>
      </c>
    </row>
    <row r="634">
      <c r="A634" s="2" t="n">
        <v>632</v>
      </c>
      <c r="B634" s="7" t="n">
        <v>46285.5</v>
      </c>
      <c r="C634" s="2" t="inlineStr">
        <is>
          <t>進場</t>
        </is>
      </c>
      <c r="D634" s="2" t="n">
        <v>320</v>
      </c>
      <c r="E634" s="2" t="inlineStr">
        <is>
          <t>INJ_USDT_PERP</t>
        </is>
      </c>
      <c r="F634" s="2" t="inlineStr">
        <is>
          <t>做空</t>
        </is>
      </c>
      <c r="G634" s="20" t="n">
        <v>7.584</v>
      </c>
      <c r="H634" s="20" t="n">
        <v>7.356479999999999</v>
      </c>
      <c r="I634" s="20" t="n">
        <v>7.9632</v>
      </c>
      <c r="J634" s="20" t="n"/>
      <c r="K634" s="2" t="n"/>
      <c r="L634" s="5" t="n"/>
      <c r="M634" s="19">
        <f>資金模擬!$B$5*V633</f>
        <v/>
      </c>
      <c r="N634" s="2">
        <f>IF(Z633=1,"已停止",IF(T633&gt;=M634,"已下單","資金不足略過"))</f>
        <v/>
      </c>
      <c r="O634" s="19">
        <f>IF(N634="已下單",M634*資金模擬!$B$7,0)</f>
        <v/>
      </c>
      <c r="P634" s="4" t="n"/>
      <c r="Q634" s="13" t="n">
        <v>0</v>
      </c>
      <c r="R634" s="13">
        <f>R633+Q634</f>
        <v/>
      </c>
      <c r="S634" s="19">
        <f>S633+IF(N634="已下單",M634,0)</f>
        <v/>
      </c>
      <c r="T634" s="19">
        <f>R634-S634</f>
        <v/>
      </c>
      <c r="U634" s="2">
        <f>U633+IF(N634="已下單",1,0)</f>
        <v/>
      </c>
      <c r="V634" s="19">
        <f>IF(資金模擬!$B$9=2,MAX(R634,0),MAX(V633,FLOOR(MAX(R634,0),資金模擬!$B$6)))</f>
        <v/>
      </c>
      <c r="W634" s="13">
        <f>MAX(W633,R634)</f>
        <v/>
      </c>
      <c r="X634" s="4">
        <f>IF(W634&gt;0,R634/W634-1,-1)</f>
        <v/>
      </c>
      <c r="Y634" s="19">
        <f>IF(R634&gt;0,S634*資金模擬!$B$7/R634,0)</f>
        <v/>
      </c>
      <c r="Z634" s="2">
        <f>IF(OR(Z633=1,R634&lt;=資金模擬!$B$10),1,0)</f>
        <v/>
      </c>
    </row>
    <row r="635">
      <c r="A635" s="2" t="n">
        <v>633</v>
      </c>
      <c r="B635" s="7" t="n">
        <v>46285.5</v>
      </c>
      <c r="C635" s="2" t="inlineStr">
        <is>
          <t>進場</t>
        </is>
      </c>
      <c r="D635" s="2" t="n">
        <v>321</v>
      </c>
      <c r="E635" s="2" t="inlineStr">
        <is>
          <t>ZAMA_USDT_PERP</t>
        </is>
      </c>
      <c r="F635" s="2" t="inlineStr">
        <is>
          <t>做多</t>
        </is>
      </c>
      <c r="G635" s="20" t="n">
        <v>0.08441</v>
      </c>
      <c r="H635" s="20" t="n">
        <v>0.0869423</v>
      </c>
      <c r="I635" s="20" t="n">
        <v>0.0801895</v>
      </c>
      <c r="J635" s="20" t="n"/>
      <c r="K635" s="2" t="n"/>
      <c r="L635" s="5" t="n"/>
      <c r="M635" s="19">
        <f>資金模擬!$B$5*V634</f>
        <v/>
      </c>
      <c r="N635" s="2">
        <f>IF(Z634=1,"已停止",IF(T634&gt;=M635,"已下單","資金不足略過"))</f>
        <v/>
      </c>
      <c r="O635" s="19">
        <f>IF(N635="已下單",M635*資金模擬!$B$7,0)</f>
        <v/>
      </c>
      <c r="P635" s="4" t="n"/>
      <c r="Q635" s="13" t="n">
        <v>0</v>
      </c>
      <c r="R635" s="13">
        <f>R634+Q635</f>
        <v/>
      </c>
      <c r="S635" s="19">
        <f>S634+IF(N635="已下單",M635,0)</f>
        <v/>
      </c>
      <c r="T635" s="19">
        <f>R635-S635</f>
        <v/>
      </c>
      <c r="U635" s="2">
        <f>U634+IF(N635="已下單",1,0)</f>
        <v/>
      </c>
      <c r="V635" s="19">
        <f>IF(資金模擬!$B$9=2,MAX(R635,0),MAX(V634,FLOOR(MAX(R635,0),資金模擬!$B$6)))</f>
        <v/>
      </c>
      <c r="W635" s="13">
        <f>MAX(W634,R635)</f>
        <v/>
      </c>
      <c r="X635" s="4">
        <f>IF(W635&gt;0,R635/W635-1,-1)</f>
        <v/>
      </c>
      <c r="Y635" s="19">
        <f>IF(R635&gt;0,S635*資金模擬!$B$7/R635,0)</f>
        <v/>
      </c>
      <c r="Z635" s="2">
        <f>IF(OR(Z634=1,R635&lt;=資金模擬!$B$10),1,0)</f>
        <v/>
      </c>
    </row>
    <row r="636">
      <c r="A636" s="2" t="n">
        <v>634</v>
      </c>
      <c r="B636" s="7" t="n">
        <v>46285.58333333334</v>
      </c>
      <c r="C636" s="2" t="inlineStr">
        <is>
          <t>出場</t>
        </is>
      </c>
      <c r="D636" s="2" t="n">
        <v>316</v>
      </c>
      <c r="E636" s="2" t="inlineStr">
        <is>
          <t>PONS_USDT_PERP</t>
        </is>
      </c>
      <c r="F636" s="2" t="inlineStr">
        <is>
          <t>做空</t>
        </is>
      </c>
      <c r="G636" s="20" t="n">
        <v>0.5768</v>
      </c>
      <c r="H636" s="20" t="n">
        <v>0.559496</v>
      </c>
      <c r="I636" s="20" t="n">
        <v>0.60564</v>
      </c>
      <c r="J636" s="20" t="n">
        <v>0.60564</v>
      </c>
      <c r="K636" s="2" t="inlineStr">
        <is>
          <t>止損</t>
        </is>
      </c>
      <c r="L636" s="5">
        <f>交易明細!K317</f>
        <v/>
      </c>
      <c r="M636" s="19">
        <f>M630</f>
        <v/>
      </c>
      <c r="N636" s="2">
        <f>N630</f>
        <v/>
      </c>
      <c r="O636" s="19">
        <f>O630</f>
        <v/>
      </c>
      <c r="P636" s="4">
        <f>交易明細!L317</f>
        <v/>
      </c>
      <c r="Q636" s="13">
        <f>IF(N636="已下單",O636*P636,0)</f>
        <v/>
      </c>
      <c r="R636" s="13">
        <f>R635+Q636</f>
        <v/>
      </c>
      <c r="S636" s="19">
        <f>S635-IF(N636="已下單",M636,0)</f>
        <v/>
      </c>
      <c r="T636" s="19">
        <f>R636-S636</f>
        <v/>
      </c>
      <c r="U636" s="2">
        <f>U635-IF(N636="已下單",1,0)</f>
        <v/>
      </c>
      <c r="V636" s="19">
        <f>IF(資金模擬!$B$9=2,MAX(R636,0),MAX(V635,FLOOR(MAX(R636,0),資金模擬!$B$6)))</f>
        <v/>
      </c>
      <c r="W636" s="13">
        <f>MAX(W635,R636)</f>
        <v/>
      </c>
      <c r="X636" s="4">
        <f>IF(W636&gt;0,R636/W636-1,-1)</f>
        <v/>
      </c>
      <c r="Y636" s="19">
        <f>IF(R636&gt;0,S636*資金模擬!$B$7/R636,0)</f>
        <v/>
      </c>
      <c r="Z636" s="2">
        <f>IF(OR(Z635=1,R636&lt;=資金模擬!$B$10),1,0)</f>
        <v/>
      </c>
    </row>
    <row r="637">
      <c r="A637" s="2" t="n">
        <v>635</v>
      </c>
      <c r="B637" s="7" t="n">
        <v>46285.58333333334</v>
      </c>
      <c r="C637" s="2" t="inlineStr">
        <is>
          <t>出場</t>
        </is>
      </c>
      <c r="D637" s="2" t="n">
        <v>319</v>
      </c>
      <c r="E637" s="2" t="inlineStr">
        <is>
          <t>AKE_USDT_PERP</t>
        </is>
      </c>
      <c r="F637" s="2" t="inlineStr">
        <is>
          <t>做多</t>
        </is>
      </c>
      <c r="G637" s="20" t="n">
        <v>0.06488480000000001</v>
      </c>
      <c r="H637" s="20" t="n">
        <v>0.06683134400000001</v>
      </c>
      <c r="I637" s="20" t="n">
        <v>0.06164056</v>
      </c>
      <c r="J637" s="20" t="n">
        <v>0.06164056</v>
      </c>
      <c r="K637" s="2" t="inlineStr">
        <is>
          <t>止損</t>
        </is>
      </c>
      <c r="L637" s="5">
        <f>交易明細!K320</f>
        <v/>
      </c>
      <c r="M637" s="19">
        <f>M633</f>
        <v/>
      </c>
      <c r="N637" s="2">
        <f>N633</f>
        <v/>
      </c>
      <c r="O637" s="19">
        <f>O633</f>
        <v/>
      </c>
      <c r="P637" s="4">
        <f>交易明細!L320</f>
        <v/>
      </c>
      <c r="Q637" s="13">
        <f>IF(N637="已下單",O637*P637,0)</f>
        <v/>
      </c>
      <c r="R637" s="13">
        <f>R636+Q637</f>
        <v/>
      </c>
      <c r="S637" s="19">
        <f>S636-IF(N637="已下單",M637,0)</f>
        <v/>
      </c>
      <c r="T637" s="19">
        <f>R637-S637</f>
        <v/>
      </c>
      <c r="U637" s="2">
        <f>U636-IF(N637="已下單",1,0)</f>
        <v/>
      </c>
      <c r="V637" s="19">
        <f>IF(資金模擬!$B$9=2,MAX(R637,0),MAX(V636,FLOOR(MAX(R637,0),資金模擬!$B$6)))</f>
        <v/>
      </c>
      <c r="W637" s="13">
        <f>MAX(W636,R637)</f>
        <v/>
      </c>
      <c r="X637" s="4">
        <f>IF(W637&gt;0,R637/W637-1,-1)</f>
        <v/>
      </c>
      <c r="Y637" s="19">
        <f>IF(R637&gt;0,S637*資金模擬!$B$7/R637,0)</f>
        <v/>
      </c>
      <c r="Z637" s="2">
        <f>IF(OR(Z636=1,R637&lt;=資金模擬!$B$10),1,0)</f>
        <v/>
      </c>
    </row>
    <row r="638">
      <c r="A638" s="2" t="n">
        <v>636</v>
      </c>
      <c r="B638" s="7" t="n">
        <v>46285.58333333334</v>
      </c>
      <c r="C638" s="2" t="inlineStr">
        <is>
          <t>出場</t>
        </is>
      </c>
      <c r="D638" s="2" t="n">
        <v>321</v>
      </c>
      <c r="E638" s="2" t="inlineStr">
        <is>
          <t>ZAMA_USDT_PERP</t>
        </is>
      </c>
      <c r="F638" s="2" t="inlineStr">
        <is>
          <t>做多</t>
        </is>
      </c>
      <c r="G638" s="20" t="n">
        <v>0.08441</v>
      </c>
      <c r="H638" s="20" t="n">
        <v>0.0869423</v>
      </c>
      <c r="I638" s="20" t="n">
        <v>0.0801895</v>
      </c>
      <c r="J638" s="20" t="n">
        <v>0.0801895</v>
      </c>
      <c r="K638" s="2" t="inlineStr">
        <is>
          <t>止損</t>
        </is>
      </c>
      <c r="L638" s="5">
        <f>交易明細!K322</f>
        <v/>
      </c>
      <c r="M638" s="19">
        <f>M635</f>
        <v/>
      </c>
      <c r="N638" s="2">
        <f>N635</f>
        <v/>
      </c>
      <c r="O638" s="19">
        <f>O635</f>
        <v/>
      </c>
      <c r="P638" s="4">
        <f>交易明細!L322</f>
        <v/>
      </c>
      <c r="Q638" s="13">
        <f>IF(N638="已下單",O638*P638,0)</f>
        <v/>
      </c>
      <c r="R638" s="13">
        <f>R637+Q638</f>
        <v/>
      </c>
      <c r="S638" s="19">
        <f>S637-IF(N638="已下單",M638,0)</f>
        <v/>
      </c>
      <c r="T638" s="19">
        <f>R638-S638</f>
        <v/>
      </c>
      <c r="U638" s="2">
        <f>U637-IF(N638="已下單",1,0)</f>
        <v/>
      </c>
      <c r="V638" s="19">
        <f>IF(資金模擬!$B$9=2,MAX(R638,0),MAX(V637,FLOOR(MAX(R638,0),資金模擬!$B$6)))</f>
        <v/>
      </c>
      <c r="W638" s="13">
        <f>MAX(W637,R638)</f>
        <v/>
      </c>
      <c r="X638" s="4">
        <f>IF(W638&gt;0,R638/W638-1,-1)</f>
        <v/>
      </c>
      <c r="Y638" s="19">
        <f>IF(R638&gt;0,S638*資金模擬!$B$7/R638,0)</f>
        <v/>
      </c>
      <c r="Z638" s="2">
        <f>IF(OR(Z637=1,R638&lt;=資金模擬!$B$10),1,0)</f>
        <v/>
      </c>
    </row>
    <row r="639">
      <c r="A639" s="2" t="n">
        <v>637</v>
      </c>
      <c r="B639" s="7" t="n">
        <v>46285.625</v>
      </c>
      <c r="C639" s="2" t="inlineStr">
        <is>
          <t>進場</t>
        </is>
      </c>
      <c r="D639" s="2" t="n">
        <v>322</v>
      </c>
      <c r="E639" s="2" t="inlineStr">
        <is>
          <t>ARB_USDT_PERP</t>
        </is>
      </c>
      <c r="F639" s="2" t="inlineStr">
        <is>
          <t>做空</t>
        </is>
      </c>
      <c r="G639" s="20" t="n">
        <v>0.2083</v>
      </c>
      <c r="H639" s="20" t="n">
        <v>0.202051</v>
      </c>
      <c r="I639" s="20" t="n">
        <v>0.218715</v>
      </c>
      <c r="J639" s="20" t="n"/>
      <c r="K639" s="2" t="n"/>
      <c r="L639" s="5" t="n"/>
      <c r="M639" s="19">
        <f>資金模擬!$B$5*V638</f>
        <v/>
      </c>
      <c r="N639" s="2">
        <f>IF(Z638=1,"已停止",IF(T638&gt;=M639,"已下單","資金不足略過"))</f>
        <v/>
      </c>
      <c r="O639" s="19">
        <f>IF(N639="已下單",M639*資金模擬!$B$7,0)</f>
        <v/>
      </c>
      <c r="P639" s="4" t="n"/>
      <c r="Q639" s="13" t="n">
        <v>0</v>
      </c>
      <c r="R639" s="13">
        <f>R638+Q639</f>
        <v/>
      </c>
      <c r="S639" s="19">
        <f>S638+IF(N639="已下單",M639,0)</f>
        <v/>
      </c>
      <c r="T639" s="19">
        <f>R639-S639</f>
        <v/>
      </c>
      <c r="U639" s="2">
        <f>U638+IF(N639="已下單",1,0)</f>
        <v/>
      </c>
      <c r="V639" s="19">
        <f>IF(資金模擬!$B$9=2,MAX(R639,0),MAX(V638,FLOOR(MAX(R639,0),資金模擬!$B$6)))</f>
        <v/>
      </c>
      <c r="W639" s="13">
        <f>MAX(W638,R639)</f>
        <v/>
      </c>
      <c r="X639" s="4">
        <f>IF(W639&gt;0,R639/W639-1,-1)</f>
        <v/>
      </c>
      <c r="Y639" s="19">
        <f>IF(R639&gt;0,S639*資金模擬!$B$7/R639,0)</f>
        <v/>
      </c>
      <c r="Z639" s="2">
        <f>IF(OR(Z638=1,R639&lt;=資金模擬!$B$10),1,0)</f>
        <v/>
      </c>
    </row>
    <row r="640">
      <c r="A640" s="2" t="n">
        <v>638</v>
      </c>
      <c r="B640" s="7" t="n">
        <v>46285.625</v>
      </c>
      <c r="C640" s="2" t="inlineStr">
        <is>
          <t>進場</t>
        </is>
      </c>
      <c r="D640" s="2" t="n">
        <v>323</v>
      </c>
      <c r="E640" s="2" t="inlineStr">
        <is>
          <t>USELESS_USDT_PERP</t>
        </is>
      </c>
      <c r="F640" s="2" t="inlineStr">
        <is>
          <t>做空</t>
        </is>
      </c>
      <c r="G640" s="20" t="n">
        <v>0.25481</v>
      </c>
      <c r="H640" s="20" t="n">
        <v>0.2471657</v>
      </c>
      <c r="I640" s="20" t="n">
        <v>0.2675505</v>
      </c>
      <c r="J640" s="20" t="n"/>
      <c r="K640" s="2" t="n"/>
      <c r="L640" s="5" t="n"/>
      <c r="M640" s="19">
        <f>資金模擬!$B$5*V639</f>
        <v/>
      </c>
      <c r="N640" s="2">
        <f>IF(Z639=1,"已停止",IF(T639&gt;=M640,"已下單","資金不足略過"))</f>
        <v/>
      </c>
      <c r="O640" s="19">
        <f>IF(N640="已下單",M640*資金模擬!$B$7,0)</f>
        <v/>
      </c>
      <c r="P640" s="4" t="n"/>
      <c r="Q640" s="13" t="n">
        <v>0</v>
      </c>
      <c r="R640" s="13">
        <f>R639+Q640</f>
        <v/>
      </c>
      <c r="S640" s="19">
        <f>S639+IF(N640="已下單",M640,0)</f>
        <v/>
      </c>
      <c r="T640" s="19">
        <f>R640-S640</f>
        <v/>
      </c>
      <c r="U640" s="2">
        <f>U639+IF(N640="已下單",1,0)</f>
        <v/>
      </c>
      <c r="V640" s="19">
        <f>IF(資金模擬!$B$9=2,MAX(R640,0),MAX(V639,FLOOR(MAX(R640,0),資金模擬!$B$6)))</f>
        <v/>
      </c>
      <c r="W640" s="13">
        <f>MAX(W639,R640)</f>
        <v/>
      </c>
      <c r="X640" s="4">
        <f>IF(W640&gt;0,R640/W640-1,-1)</f>
        <v/>
      </c>
      <c r="Y640" s="19">
        <f>IF(R640&gt;0,S640*資金模擬!$B$7/R640,0)</f>
        <v/>
      </c>
      <c r="Z640" s="2">
        <f>IF(OR(Z639=1,R640&lt;=資金模擬!$B$10),1,0)</f>
        <v/>
      </c>
    </row>
    <row r="641">
      <c r="A641" s="2" t="n">
        <v>639</v>
      </c>
      <c r="B641" s="7" t="n">
        <v>46285.625</v>
      </c>
      <c r="C641" s="2" t="inlineStr">
        <is>
          <t>進場</t>
        </is>
      </c>
      <c r="D641" s="2" t="n">
        <v>324</v>
      </c>
      <c r="E641" s="2" t="inlineStr">
        <is>
          <t>ZAMA_USDT_PERP</t>
        </is>
      </c>
      <c r="F641" s="2" t="inlineStr">
        <is>
          <t>做多</t>
        </is>
      </c>
      <c r="G641" s="20" t="n">
        <v>0.08699999999999999</v>
      </c>
      <c r="H641" s="20" t="n">
        <v>0.08961</v>
      </c>
      <c r="I641" s="20" t="n">
        <v>0.08264999999999999</v>
      </c>
      <c r="J641" s="20" t="n"/>
      <c r="K641" s="2" t="n"/>
      <c r="L641" s="5" t="n"/>
      <c r="M641" s="19">
        <f>資金模擬!$B$5*V640</f>
        <v/>
      </c>
      <c r="N641" s="2">
        <f>IF(Z640=1,"已停止",IF(T640&gt;=M641,"已下單","資金不足略過"))</f>
        <v/>
      </c>
      <c r="O641" s="19">
        <f>IF(N641="已下單",M641*資金模擬!$B$7,0)</f>
        <v/>
      </c>
      <c r="P641" s="4" t="n"/>
      <c r="Q641" s="13" t="n">
        <v>0</v>
      </c>
      <c r="R641" s="13">
        <f>R640+Q641</f>
        <v/>
      </c>
      <c r="S641" s="19">
        <f>S640+IF(N641="已下單",M641,0)</f>
        <v/>
      </c>
      <c r="T641" s="19">
        <f>R641-S641</f>
        <v/>
      </c>
      <c r="U641" s="2">
        <f>U640+IF(N641="已下單",1,0)</f>
        <v/>
      </c>
      <c r="V641" s="19">
        <f>IF(資金模擬!$B$9=2,MAX(R641,0),MAX(V640,FLOOR(MAX(R641,0),資金模擬!$B$6)))</f>
        <v/>
      </c>
      <c r="W641" s="13">
        <f>MAX(W640,R641)</f>
        <v/>
      </c>
      <c r="X641" s="4">
        <f>IF(W641&gt;0,R641/W641-1,-1)</f>
        <v/>
      </c>
      <c r="Y641" s="19">
        <f>IF(R641&gt;0,S641*資金模擬!$B$7/R641,0)</f>
        <v/>
      </c>
      <c r="Z641" s="2">
        <f>IF(OR(Z640=1,R641&lt;=資金模擬!$B$10),1,0)</f>
        <v/>
      </c>
    </row>
    <row r="642">
      <c r="A642" s="2" t="n">
        <v>640</v>
      </c>
      <c r="B642" s="7" t="n">
        <v>46285.66666666666</v>
      </c>
      <c r="C642" s="2" t="inlineStr">
        <is>
          <t>出場</t>
        </is>
      </c>
      <c r="D642" s="2" t="n">
        <v>324</v>
      </c>
      <c r="E642" s="2" t="inlineStr">
        <is>
          <t>ZAMA_USDT_PERP</t>
        </is>
      </c>
      <c r="F642" s="2" t="inlineStr">
        <is>
          <t>做多</t>
        </is>
      </c>
      <c r="G642" s="20" t="n">
        <v>0.08699999999999999</v>
      </c>
      <c r="H642" s="20" t="n">
        <v>0.08961</v>
      </c>
      <c r="I642" s="20" t="n">
        <v>0.08264999999999999</v>
      </c>
      <c r="J642" s="20" t="n">
        <v>0.08264999999999999</v>
      </c>
      <c r="K642" s="2" t="inlineStr">
        <is>
          <t>止損</t>
        </is>
      </c>
      <c r="L642" s="5">
        <f>交易明細!K325</f>
        <v/>
      </c>
      <c r="M642" s="19">
        <f>M641</f>
        <v/>
      </c>
      <c r="N642" s="2">
        <f>N641</f>
        <v/>
      </c>
      <c r="O642" s="19">
        <f>O641</f>
        <v/>
      </c>
      <c r="P642" s="4">
        <f>交易明細!L325</f>
        <v/>
      </c>
      <c r="Q642" s="13">
        <f>IF(N642="已下單",O642*P642,0)</f>
        <v/>
      </c>
      <c r="R642" s="13">
        <f>R641+Q642</f>
        <v/>
      </c>
      <c r="S642" s="19">
        <f>S641-IF(N642="已下單",M642,0)</f>
        <v/>
      </c>
      <c r="T642" s="19">
        <f>R642-S642</f>
        <v/>
      </c>
      <c r="U642" s="2">
        <f>U641-IF(N642="已下單",1,0)</f>
        <v/>
      </c>
      <c r="V642" s="19">
        <f>IF(資金模擬!$B$9=2,MAX(R642,0),MAX(V641,FLOOR(MAX(R642,0),資金模擬!$B$6)))</f>
        <v/>
      </c>
      <c r="W642" s="13">
        <f>MAX(W641,R642)</f>
        <v/>
      </c>
      <c r="X642" s="4">
        <f>IF(W642&gt;0,R642/W642-1,-1)</f>
        <v/>
      </c>
      <c r="Y642" s="19">
        <f>IF(R642&gt;0,S642*資金模擬!$B$7/R642,0)</f>
        <v/>
      </c>
      <c r="Z642" s="2">
        <f>IF(OR(Z641=1,R642&lt;=資金模擬!$B$10),1,0)</f>
        <v/>
      </c>
    </row>
    <row r="643">
      <c r="A643" s="2" t="n">
        <v>641</v>
      </c>
      <c r="B643" s="7" t="n">
        <v>46285.66666666666</v>
      </c>
      <c r="C643" s="2" t="inlineStr">
        <is>
          <t>進場</t>
        </is>
      </c>
      <c r="D643" s="2" t="n">
        <v>325</v>
      </c>
      <c r="E643" s="2" t="inlineStr">
        <is>
          <t>BANK_USDT_PERP</t>
        </is>
      </c>
      <c r="F643" s="2" t="inlineStr">
        <is>
          <t>做空</t>
        </is>
      </c>
      <c r="G643" s="20" t="n">
        <v>0.03392</v>
      </c>
      <c r="H643" s="20" t="n">
        <v>0.0329024</v>
      </c>
      <c r="I643" s="20" t="n">
        <v>0.035616</v>
      </c>
      <c r="J643" s="20" t="n"/>
      <c r="K643" s="2" t="n"/>
      <c r="L643" s="5" t="n"/>
      <c r="M643" s="19">
        <f>資金模擬!$B$5*V642</f>
        <v/>
      </c>
      <c r="N643" s="2">
        <f>IF(Z642=1,"已停止",IF(T642&gt;=M643,"已下單","資金不足略過"))</f>
        <v/>
      </c>
      <c r="O643" s="19">
        <f>IF(N643="已下單",M643*資金模擬!$B$7,0)</f>
        <v/>
      </c>
      <c r="P643" s="4" t="n"/>
      <c r="Q643" s="13" t="n">
        <v>0</v>
      </c>
      <c r="R643" s="13">
        <f>R642+Q643</f>
        <v/>
      </c>
      <c r="S643" s="19">
        <f>S642+IF(N643="已下單",M643,0)</f>
        <v/>
      </c>
      <c r="T643" s="19">
        <f>R643-S643</f>
        <v/>
      </c>
      <c r="U643" s="2">
        <f>U642+IF(N643="已下單",1,0)</f>
        <v/>
      </c>
      <c r="V643" s="19">
        <f>IF(資金模擬!$B$9=2,MAX(R643,0),MAX(V642,FLOOR(MAX(R643,0),資金模擬!$B$6)))</f>
        <v/>
      </c>
      <c r="W643" s="13">
        <f>MAX(W642,R643)</f>
        <v/>
      </c>
      <c r="X643" s="4">
        <f>IF(W643&gt;0,R643/W643-1,-1)</f>
        <v/>
      </c>
      <c r="Y643" s="19">
        <f>IF(R643&gt;0,S643*資金模擬!$B$7/R643,0)</f>
        <v/>
      </c>
      <c r="Z643" s="2">
        <f>IF(OR(Z642=1,R643&lt;=資金模擬!$B$10),1,0)</f>
        <v/>
      </c>
    </row>
    <row r="644">
      <c r="A644" s="2" t="n">
        <v>642</v>
      </c>
      <c r="B644" s="7" t="n">
        <v>46285.66666666666</v>
      </c>
      <c r="C644" s="2" t="inlineStr">
        <is>
          <t>進場</t>
        </is>
      </c>
      <c r="D644" s="2" t="n">
        <v>326</v>
      </c>
      <c r="E644" s="2" t="inlineStr">
        <is>
          <t>BR_USDT_PERP</t>
        </is>
      </c>
      <c r="F644" s="2" t="inlineStr">
        <is>
          <t>做多</t>
        </is>
      </c>
      <c r="G644" s="20" t="n">
        <v>1.14032</v>
      </c>
      <c r="H644" s="20" t="n">
        <v>1.1745296</v>
      </c>
      <c r="I644" s="20" t="n">
        <v>1.083304</v>
      </c>
      <c r="J644" s="20" t="n"/>
      <c r="K644" s="2" t="n"/>
      <c r="L644" s="5" t="n"/>
      <c r="M644" s="19">
        <f>資金模擬!$B$5*V643</f>
        <v/>
      </c>
      <c r="N644" s="2">
        <f>IF(Z643=1,"已停止",IF(T643&gt;=M644,"已下單","資金不足略過"))</f>
        <v/>
      </c>
      <c r="O644" s="19">
        <f>IF(N644="已下單",M644*資金模擬!$B$7,0)</f>
        <v/>
      </c>
      <c r="P644" s="4" t="n"/>
      <c r="Q644" s="13" t="n">
        <v>0</v>
      </c>
      <c r="R644" s="13">
        <f>R643+Q644</f>
        <v/>
      </c>
      <c r="S644" s="19">
        <f>S643+IF(N644="已下單",M644,0)</f>
        <v/>
      </c>
      <c r="T644" s="19">
        <f>R644-S644</f>
        <v/>
      </c>
      <c r="U644" s="2">
        <f>U643+IF(N644="已下單",1,0)</f>
        <v/>
      </c>
      <c r="V644" s="19">
        <f>IF(資金模擬!$B$9=2,MAX(R644,0),MAX(V643,FLOOR(MAX(R644,0),資金模擬!$B$6)))</f>
        <v/>
      </c>
      <c r="W644" s="13">
        <f>MAX(W643,R644)</f>
        <v/>
      </c>
      <c r="X644" s="4">
        <f>IF(W644&gt;0,R644/W644-1,-1)</f>
        <v/>
      </c>
      <c r="Y644" s="19">
        <f>IF(R644&gt;0,S644*資金模擬!$B$7/R644,0)</f>
        <v/>
      </c>
      <c r="Z644" s="2">
        <f>IF(OR(Z643=1,R644&lt;=資金模擬!$B$10),1,0)</f>
        <v/>
      </c>
    </row>
    <row r="645">
      <c r="A645" s="2" t="n">
        <v>643</v>
      </c>
      <c r="B645" s="7" t="n">
        <v>46285.66666666666</v>
      </c>
      <c r="C645" s="2" t="inlineStr">
        <is>
          <t>進場</t>
        </is>
      </c>
      <c r="D645" s="2" t="n">
        <v>327</v>
      </c>
      <c r="E645" s="2" t="inlineStr">
        <is>
          <t>LSK_USDT_PERP</t>
        </is>
      </c>
      <c r="F645" s="2" t="inlineStr">
        <is>
          <t>做空</t>
        </is>
      </c>
      <c r="G645" s="20" t="n">
        <v>0.3845</v>
      </c>
      <c r="H645" s="20" t="n">
        <v>0.372965</v>
      </c>
      <c r="I645" s="20" t="n">
        <v>0.403725</v>
      </c>
      <c r="J645" s="20" t="n"/>
      <c r="K645" s="2" t="n"/>
      <c r="L645" s="5" t="n"/>
      <c r="M645" s="19">
        <f>資金模擬!$B$5*V644</f>
        <v/>
      </c>
      <c r="N645" s="2">
        <f>IF(Z644=1,"已停止",IF(T644&gt;=M645,"已下單","資金不足略過"))</f>
        <v/>
      </c>
      <c r="O645" s="19">
        <f>IF(N645="已下單",M645*資金模擬!$B$7,0)</f>
        <v/>
      </c>
      <c r="P645" s="4" t="n"/>
      <c r="Q645" s="13" t="n">
        <v>0</v>
      </c>
      <c r="R645" s="13">
        <f>R644+Q645</f>
        <v/>
      </c>
      <c r="S645" s="19">
        <f>S644+IF(N645="已下單",M645,0)</f>
        <v/>
      </c>
      <c r="T645" s="19">
        <f>R645-S645</f>
        <v/>
      </c>
      <c r="U645" s="2">
        <f>U644+IF(N645="已下單",1,0)</f>
        <v/>
      </c>
      <c r="V645" s="19">
        <f>IF(資金模擬!$B$9=2,MAX(R645,0),MAX(V644,FLOOR(MAX(R645,0),資金模擬!$B$6)))</f>
        <v/>
      </c>
      <c r="W645" s="13">
        <f>MAX(W644,R645)</f>
        <v/>
      </c>
      <c r="X645" s="4">
        <f>IF(W645&gt;0,R645/W645-1,-1)</f>
        <v/>
      </c>
      <c r="Y645" s="19">
        <f>IF(R645&gt;0,S645*資金模擬!$B$7/R645,0)</f>
        <v/>
      </c>
      <c r="Z645" s="2">
        <f>IF(OR(Z644=1,R645&lt;=資金模擬!$B$10),1,0)</f>
        <v/>
      </c>
    </row>
    <row r="646">
      <c r="A646" s="2" t="n">
        <v>644</v>
      </c>
      <c r="B646" s="7" t="n">
        <v>46285.70833333334</v>
      </c>
      <c r="C646" s="2" t="inlineStr">
        <is>
          <t>出場</t>
        </is>
      </c>
      <c r="D646" s="2" t="n">
        <v>325</v>
      </c>
      <c r="E646" s="2" t="inlineStr">
        <is>
          <t>BANK_USDT_PERP</t>
        </is>
      </c>
      <c r="F646" s="2" t="inlineStr">
        <is>
          <t>做空</t>
        </is>
      </c>
      <c r="G646" s="20" t="n">
        <v>0.03392</v>
      </c>
      <c r="H646" s="20" t="n">
        <v>0.0329024</v>
      </c>
      <c r="I646" s="20" t="n">
        <v>0.035616</v>
      </c>
      <c r="J646" s="20" t="n">
        <v>0.0329024</v>
      </c>
      <c r="K646" s="2" t="inlineStr">
        <is>
          <t>止盈</t>
        </is>
      </c>
      <c r="L646" s="5">
        <f>交易明細!K326</f>
        <v/>
      </c>
      <c r="M646" s="19">
        <f>M643</f>
        <v/>
      </c>
      <c r="N646" s="2">
        <f>N643</f>
        <v/>
      </c>
      <c r="O646" s="19">
        <f>O643</f>
        <v/>
      </c>
      <c r="P646" s="4">
        <f>交易明細!L326</f>
        <v/>
      </c>
      <c r="Q646" s="13">
        <f>IF(N646="已下單",O646*P646,0)</f>
        <v/>
      </c>
      <c r="R646" s="13">
        <f>R645+Q646</f>
        <v/>
      </c>
      <c r="S646" s="19">
        <f>S645-IF(N646="已下單",M646,0)</f>
        <v/>
      </c>
      <c r="T646" s="19">
        <f>R646-S646</f>
        <v/>
      </c>
      <c r="U646" s="2">
        <f>U645-IF(N646="已下單",1,0)</f>
        <v/>
      </c>
      <c r="V646" s="19">
        <f>IF(資金模擬!$B$9=2,MAX(R646,0),MAX(V645,FLOOR(MAX(R646,0),資金模擬!$B$6)))</f>
        <v/>
      </c>
      <c r="W646" s="13">
        <f>MAX(W645,R646)</f>
        <v/>
      </c>
      <c r="X646" s="4">
        <f>IF(W646&gt;0,R646/W646-1,-1)</f>
        <v/>
      </c>
      <c r="Y646" s="19">
        <f>IF(R646&gt;0,S646*資金模擬!$B$7/R646,0)</f>
        <v/>
      </c>
      <c r="Z646" s="2">
        <f>IF(OR(Z645=1,R646&lt;=資金模擬!$B$10),1,0)</f>
        <v/>
      </c>
    </row>
    <row r="647">
      <c r="A647" s="2" t="n">
        <v>645</v>
      </c>
      <c r="B647" s="7" t="n">
        <v>46285.70833333334</v>
      </c>
      <c r="C647" s="2" t="inlineStr">
        <is>
          <t>出場</t>
        </is>
      </c>
      <c r="D647" s="2" t="n">
        <v>326</v>
      </c>
      <c r="E647" s="2" t="inlineStr">
        <is>
          <t>BR_USDT_PERP</t>
        </is>
      </c>
      <c r="F647" s="2" t="inlineStr">
        <is>
          <t>做多</t>
        </is>
      </c>
      <c r="G647" s="20" t="n">
        <v>1.14032</v>
      </c>
      <c r="H647" s="20" t="n">
        <v>1.1745296</v>
      </c>
      <c r="I647" s="20" t="n">
        <v>1.083304</v>
      </c>
      <c r="J647" s="20" t="n">
        <v>1.1745296</v>
      </c>
      <c r="K647" s="2" t="inlineStr">
        <is>
          <t>止盈</t>
        </is>
      </c>
      <c r="L647" s="5">
        <f>交易明細!K327</f>
        <v/>
      </c>
      <c r="M647" s="19">
        <f>M644</f>
        <v/>
      </c>
      <c r="N647" s="2">
        <f>N644</f>
        <v/>
      </c>
      <c r="O647" s="19">
        <f>O644</f>
        <v/>
      </c>
      <c r="P647" s="4">
        <f>交易明細!L327</f>
        <v/>
      </c>
      <c r="Q647" s="13">
        <f>IF(N647="已下單",O647*P647,0)</f>
        <v/>
      </c>
      <c r="R647" s="13">
        <f>R646+Q647</f>
        <v/>
      </c>
      <c r="S647" s="19">
        <f>S646-IF(N647="已下單",M647,0)</f>
        <v/>
      </c>
      <c r="T647" s="19">
        <f>R647-S647</f>
        <v/>
      </c>
      <c r="U647" s="2">
        <f>U646-IF(N647="已下單",1,0)</f>
        <v/>
      </c>
      <c r="V647" s="19">
        <f>IF(資金模擬!$B$9=2,MAX(R647,0),MAX(V646,FLOOR(MAX(R647,0),資金模擬!$B$6)))</f>
        <v/>
      </c>
      <c r="W647" s="13">
        <f>MAX(W646,R647)</f>
        <v/>
      </c>
      <c r="X647" s="4">
        <f>IF(W647&gt;0,R647/W647-1,-1)</f>
        <v/>
      </c>
      <c r="Y647" s="19">
        <f>IF(R647&gt;0,S647*資金模擬!$B$7/R647,0)</f>
        <v/>
      </c>
      <c r="Z647" s="2">
        <f>IF(OR(Z646=1,R647&lt;=資金模擬!$B$10),1,0)</f>
        <v/>
      </c>
    </row>
    <row r="648">
      <c r="A648" s="2" t="n">
        <v>646</v>
      </c>
      <c r="B648" s="7" t="n">
        <v>46285.70833333334</v>
      </c>
      <c r="C648" s="2" t="inlineStr">
        <is>
          <t>出場</t>
        </is>
      </c>
      <c r="D648" s="2" t="n">
        <v>327</v>
      </c>
      <c r="E648" s="2" t="inlineStr">
        <is>
          <t>LSK_USDT_PERP</t>
        </is>
      </c>
      <c r="F648" s="2" t="inlineStr">
        <is>
          <t>做空</t>
        </is>
      </c>
      <c r="G648" s="20" t="n">
        <v>0.3845</v>
      </c>
      <c r="H648" s="20" t="n">
        <v>0.372965</v>
      </c>
      <c r="I648" s="20" t="n">
        <v>0.403725</v>
      </c>
      <c r="J648" s="20" t="n">
        <v>0.372965</v>
      </c>
      <c r="K648" s="2" t="inlineStr">
        <is>
          <t>止盈</t>
        </is>
      </c>
      <c r="L648" s="5">
        <f>交易明細!K328</f>
        <v/>
      </c>
      <c r="M648" s="19">
        <f>M645</f>
        <v/>
      </c>
      <c r="N648" s="2">
        <f>N645</f>
        <v/>
      </c>
      <c r="O648" s="19">
        <f>O645</f>
        <v/>
      </c>
      <c r="P648" s="4">
        <f>交易明細!L328</f>
        <v/>
      </c>
      <c r="Q648" s="13">
        <f>IF(N648="已下單",O648*P648,0)</f>
        <v/>
      </c>
      <c r="R648" s="13">
        <f>R647+Q648</f>
        <v/>
      </c>
      <c r="S648" s="19">
        <f>S647-IF(N648="已下單",M648,0)</f>
        <v/>
      </c>
      <c r="T648" s="19">
        <f>R648-S648</f>
        <v/>
      </c>
      <c r="U648" s="2">
        <f>U647-IF(N648="已下單",1,0)</f>
        <v/>
      </c>
      <c r="V648" s="19">
        <f>IF(資金模擬!$B$9=2,MAX(R648,0),MAX(V647,FLOOR(MAX(R648,0),資金模擬!$B$6)))</f>
        <v/>
      </c>
      <c r="W648" s="13">
        <f>MAX(W647,R648)</f>
        <v/>
      </c>
      <c r="X648" s="4">
        <f>IF(W648&gt;0,R648/W648-1,-1)</f>
        <v/>
      </c>
      <c r="Y648" s="19">
        <f>IF(R648&gt;0,S648*資金模擬!$B$7/R648,0)</f>
        <v/>
      </c>
      <c r="Z648" s="2">
        <f>IF(OR(Z647=1,R648&lt;=資金模擬!$B$10),1,0)</f>
        <v/>
      </c>
    </row>
    <row r="649">
      <c r="A649" s="2" t="n">
        <v>647</v>
      </c>
      <c r="B649" s="7" t="n">
        <v>46285.70833333334</v>
      </c>
      <c r="C649" s="2" t="inlineStr">
        <is>
          <t>進場</t>
        </is>
      </c>
      <c r="D649" s="2" t="n">
        <v>328</v>
      </c>
      <c r="E649" s="2" t="inlineStr">
        <is>
          <t>ENA_USDT_PERP</t>
        </is>
      </c>
      <c r="F649" s="2" t="inlineStr">
        <is>
          <t>做多</t>
        </is>
      </c>
      <c r="G649" s="20" t="n">
        <v>0.2019</v>
      </c>
      <c r="H649" s="20" t="n">
        <v>0.207957</v>
      </c>
      <c r="I649" s="20" t="n">
        <v>0.191805</v>
      </c>
      <c r="J649" s="20" t="n"/>
      <c r="K649" s="2" t="n"/>
      <c r="L649" s="5" t="n"/>
      <c r="M649" s="19">
        <f>資金模擬!$B$5*V648</f>
        <v/>
      </c>
      <c r="N649" s="2">
        <f>IF(Z648=1,"已停止",IF(T648&gt;=M649,"已下單","資金不足略過"))</f>
        <v/>
      </c>
      <c r="O649" s="19">
        <f>IF(N649="已下單",M649*資金模擬!$B$7,0)</f>
        <v/>
      </c>
      <c r="P649" s="4" t="n"/>
      <c r="Q649" s="13" t="n">
        <v>0</v>
      </c>
      <c r="R649" s="13">
        <f>R648+Q649</f>
        <v/>
      </c>
      <c r="S649" s="19">
        <f>S648+IF(N649="已下單",M649,0)</f>
        <v/>
      </c>
      <c r="T649" s="19">
        <f>R649-S649</f>
        <v/>
      </c>
      <c r="U649" s="2">
        <f>U648+IF(N649="已下單",1,0)</f>
        <v/>
      </c>
      <c r="V649" s="19">
        <f>IF(資金模擬!$B$9=2,MAX(R649,0),MAX(V648,FLOOR(MAX(R649,0),資金模擬!$B$6)))</f>
        <v/>
      </c>
      <c r="W649" s="13">
        <f>MAX(W648,R649)</f>
        <v/>
      </c>
      <c r="X649" s="4">
        <f>IF(W649&gt;0,R649/W649-1,-1)</f>
        <v/>
      </c>
      <c r="Y649" s="19">
        <f>IF(R649&gt;0,S649*資金模擬!$B$7/R649,0)</f>
        <v/>
      </c>
      <c r="Z649" s="2">
        <f>IF(OR(Z648=1,R649&lt;=資金模擬!$B$10),1,0)</f>
        <v/>
      </c>
    </row>
    <row r="650">
      <c r="A650" s="2" t="n">
        <v>648</v>
      </c>
      <c r="B650" s="7" t="n">
        <v>46285.83333333334</v>
      </c>
      <c r="C650" s="2" t="inlineStr">
        <is>
          <t>出場</t>
        </is>
      </c>
      <c r="D650" s="2" t="n">
        <v>313</v>
      </c>
      <c r="E650" s="2" t="inlineStr">
        <is>
          <t>NEAR_USDT_PERP</t>
        </is>
      </c>
      <c r="F650" s="2" t="inlineStr">
        <is>
          <t>做空</t>
        </is>
      </c>
      <c r="G650" s="20" t="n">
        <v>3.486</v>
      </c>
      <c r="H650" s="20" t="n">
        <v>3.38142</v>
      </c>
      <c r="I650" s="20" t="n">
        <v>3.6603</v>
      </c>
      <c r="J650" s="20" t="n">
        <v>3.6603</v>
      </c>
      <c r="K650" s="2" t="inlineStr">
        <is>
          <t>止損</t>
        </is>
      </c>
      <c r="L650" s="5">
        <f>交易明細!K314</f>
        <v/>
      </c>
      <c r="M650" s="19">
        <f>M627</f>
        <v/>
      </c>
      <c r="N650" s="2">
        <f>N627</f>
        <v/>
      </c>
      <c r="O650" s="19">
        <f>O627</f>
        <v/>
      </c>
      <c r="P650" s="4">
        <f>交易明細!L314</f>
        <v/>
      </c>
      <c r="Q650" s="13">
        <f>IF(N650="已下單",O650*P650,0)</f>
        <v/>
      </c>
      <c r="R650" s="13">
        <f>R649+Q650</f>
        <v/>
      </c>
      <c r="S650" s="19">
        <f>S649-IF(N650="已下單",M650,0)</f>
        <v/>
      </c>
      <c r="T650" s="19">
        <f>R650-S650</f>
        <v/>
      </c>
      <c r="U650" s="2">
        <f>U649-IF(N650="已下單",1,0)</f>
        <v/>
      </c>
      <c r="V650" s="19">
        <f>IF(資金模擬!$B$9=2,MAX(R650,0),MAX(V649,FLOOR(MAX(R650,0),資金模擬!$B$6)))</f>
        <v/>
      </c>
      <c r="W650" s="13">
        <f>MAX(W649,R650)</f>
        <v/>
      </c>
      <c r="X650" s="4">
        <f>IF(W650&gt;0,R650/W650-1,-1)</f>
        <v/>
      </c>
      <c r="Y650" s="19">
        <f>IF(R650&gt;0,S650*資金模擬!$B$7/R650,0)</f>
        <v/>
      </c>
      <c r="Z650" s="2">
        <f>IF(OR(Z649=1,R650&lt;=資金模擬!$B$10),1,0)</f>
        <v/>
      </c>
    </row>
    <row r="651">
      <c r="A651" s="2" t="n">
        <v>649</v>
      </c>
      <c r="B651" s="7" t="n">
        <v>46285.83333333334</v>
      </c>
      <c r="C651" s="2" t="inlineStr">
        <is>
          <t>出場</t>
        </is>
      </c>
      <c r="D651" s="2" t="n">
        <v>328</v>
      </c>
      <c r="E651" s="2" t="inlineStr">
        <is>
          <t>ENA_USDT_PERP</t>
        </is>
      </c>
      <c r="F651" s="2" t="inlineStr">
        <is>
          <t>做多</t>
        </is>
      </c>
      <c r="G651" s="20" t="n">
        <v>0.2019</v>
      </c>
      <c r="H651" s="20" t="n">
        <v>0.207957</v>
      </c>
      <c r="I651" s="20" t="n">
        <v>0.191805</v>
      </c>
      <c r="J651" s="20" t="n">
        <v>0.207957</v>
      </c>
      <c r="K651" s="2" t="inlineStr">
        <is>
          <t>止盈</t>
        </is>
      </c>
      <c r="L651" s="5">
        <f>交易明細!K329</f>
        <v/>
      </c>
      <c r="M651" s="19">
        <f>M649</f>
        <v/>
      </c>
      <c r="N651" s="2">
        <f>N649</f>
        <v/>
      </c>
      <c r="O651" s="19">
        <f>O649</f>
        <v/>
      </c>
      <c r="P651" s="4">
        <f>交易明細!L329</f>
        <v/>
      </c>
      <c r="Q651" s="13">
        <f>IF(N651="已下單",O651*P651,0)</f>
        <v/>
      </c>
      <c r="R651" s="13">
        <f>R650+Q651</f>
        <v/>
      </c>
      <c r="S651" s="19">
        <f>S650-IF(N651="已下單",M651,0)</f>
        <v/>
      </c>
      <c r="T651" s="19">
        <f>R651-S651</f>
        <v/>
      </c>
      <c r="U651" s="2">
        <f>U650-IF(N651="已下單",1,0)</f>
        <v/>
      </c>
      <c r="V651" s="19">
        <f>IF(資金模擬!$B$9=2,MAX(R651,0),MAX(V650,FLOOR(MAX(R651,0),資金模擬!$B$6)))</f>
        <v/>
      </c>
      <c r="W651" s="13">
        <f>MAX(W650,R651)</f>
        <v/>
      </c>
      <c r="X651" s="4">
        <f>IF(W651&gt;0,R651/W651-1,-1)</f>
        <v/>
      </c>
      <c r="Y651" s="19">
        <f>IF(R651&gt;0,S651*資金模擬!$B$7/R651,0)</f>
        <v/>
      </c>
      <c r="Z651" s="2">
        <f>IF(OR(Z650=1,R651&lt;=資金模擬!$B$10),1,0)</f>
        <v/>
      </c>
    </row>
    <row r="652">
      <c r="A652" s="2" t="n">
        <v>650</v>
      </c>
      <c r="B652" s="7" t="n">
        <v>46285.875</v>
      </c>
      <c r="C652" s="2" t="inlineStr">
        <is>
          <t>出場</t>
        </is>
      </c>
      <c r="D652" s="2" t="n">
        <v>323</v>
      </c>
      <c r="E652" s="2" t="inlineStr">
        <is>
          <t>USELESS_USDT_PERP</t>
        </is>
      </c>
      <c r="F652" s="2" t="inlineStr">
        <is>
          <t>做空</t>
        </is>
      </c>
      <c r="G652" s="20" t="n">
        <v>0.25481</v>
      </c>
      <c r="H652" s="20" t="n">
        <v>0.2471657</v>
      </c>
      <c r="I652" s="20" t="n">
        <v>0.2675505</v>
      </c>
      <c r="J652" s="20" t="n">
        <v>0.2675505</v>
      </c>
      <c r="K652" s="2" t="inlineStr">
        <is>
          <t>止損</t>
        </is>
      </c>
      <c r="L652" s="5">
        <f>交易明細!K324</f>
        <v/>
      </c>
      <c r="M652" s="19">
        <f>M640</f>
        <v/>
      </c>
      <c r="N652" s="2">
        <f>N640</f>
        <v/>
      </c>
      <c r="O652" s="19">
        <f>O640</f>
        <v/>
      </c>
      <c r="P652" s="4">
        <f>交易明細!L324</f>
        <v/>
      </c>
      <c r="Q652" s="13">
        <f>IF(N652="已下單",O652*P652,0)</f>
        <v/>
      </c>
      <c r="R652" s="13">
        <f>R651+Q652</f>
        <v/>
      </c>
      <c r="S652" s="19">
        <f>S651-IF(N652="已下單",M652,0)</f>
        <v/>
      </c>
      <c r="T652" s="19">
        <f>R652-S652</f>
        <v/>
      </c>
      <c r="U652" s="2">
        <f>U651-IF(N652="已下單",1,0)</f>
        <v/>
      </c>
      <c r="V652" s="19">
        <f>IF(資金模擬!$B$9=2,MAX(R652,0),MAX(V651,FLOOR(MAX(R652,0),資金模擬!$B$6)))</f>
        <v/>
      </c>
      <c r="W652" s="13">
        <f>MAX(W651,R652)</f>
        <v/>
      </c>
      <c r="X652" s="4">
        <f>IF(W652&gt;0,R652/W652-1,-1)</f>
        <v/>
      </c>
      <c r="Y652" s="19">
        <f>IF(R652&gt;0,S652*資金模擬!$B$7/R652,0)</f>
        <v/>
      </c>
      <c r="Z652" s="2">
        <f>IF(OR(Z651=1,R652&lt;=資金模擬!$B$10),1,0)</f>
        <v/>
      </c>
    </row>
    <row r="653">
      <c r="A653" s="2" t="n">
        <v>651</v>
      </c>
      <c r="B653" s="7" t="n">
        <v>46285.875</v>
      </c>
      <c r="C653" s="2" t="inlineStr">
        <is>
          <t>進場</t>
        </is>
      </c>
      <c r="D653" s="2" t="n">
        <v>329</v>
      </c>
      <c r="E653" s="2" t="inlineStr">
        <is>
          <t>NEAR_USDT_PERP</t>
        </is>
      </c>
      <c r="F653" s="2" t="inlineStr">
        <is>
          <t>做多</t>
        </is>
      </c>
      <c r="G653" s="20" t="n">
        <v>3.72</v>
      </c>
      <c r="H653" s="20" t="n">
        <v>3.8316</v>
      </c>
      <c r="I653" s="20" t="n">
        <v>3.534</v>
      </c>
      <c r="J653" s="20" t="n"/>
      <c r="K653" s="2" t="n"/>
      <c r="L653" s="5" t="n"/>
      <c r="M653" s="19">
        <f>資金模擬!$B$5*V652</f>
        <v/>
      </c>
      <c r="N653" s="2">
        <f>IF(Z652=1,"已停止",IF(T652&gt;=M653,"已下單","資金不足略過"))</f>
        <v/>
      </c>
      <c r="O653" s="19">
        <f>IF(N653="已下單",M653*資金模擬!$B$7,0)</f>
        <v/>
      </c>
      <c r="P653" s="4" t="n"/>
      <c r="Q653" s="13" t="n">
        <v>0</v>
      </c>
      <c r="R653" s="13">
        <f>R652+Q653</f>
        <v/>
      </c>
      <c r="S653" s="19">
        <f>S652+IF(N653="已下單",M653,0)</f>
        <v/>
      </c>
      <c r="T653" s="19">
        <f>R653-S653</f>
        <v/>
      </c>
      <c r="U653" s="2">
        <f>U652+IF(N653="已下單",1,0)</f>
        <v/>
      </c>
      <c r="V653" s="19">
        <f>IF(資金模擬!$B$9=2,MAX(R653,0),MAX(V652,FLOOR(MAX(R653,0),資金模擬!$B$6)))</f>
        <v/>
      </c>
      <c r="W653" s="13">
        <f>MAX(W652,R653)</f>
        <v/>
      </c>
      <c r="X653" s="4">
        <f>IF(W653&gt;0,R653/W653-1,-1)</f>
        <v/>
      </c>
      <c r="Y653" s="19">
        <f>IF(R653&gt;0,S653*資金模擬!$B$7/R653,0)</f>
        <v/>
      </c>
      <c r="Z653" s="2">
        <f>IF(OR(Z652=1,R653&lt;=資金模擬!$B$10),1,0)</f>
        <v/>
      </c>
    </row>
    <row r="654">
      <c r="A654" s="2" t="n">
        <v>652</v>
      </c>
      <c r="B654" s="7" t="n">
        <v>46285.91666666666</v>
      </c>
      <c r="C654" s="2" t="inlineStr">
        <is>
          <t>進場</t>
        </is>
      </c>
      <c r="D654" s="2" t="n">
        <v>330</v>
      </c>
      <c r="E654" s="2" t="inlineStr">
        <is>
          <t>FIL_USDT_PERP</t>
        </is>
      </c>
      <c r="F654" s="2" t="inlineStr">
        <is>
          <t>做空</t>
        </is>
      </c>
      <c r="G654" s="20" t="n">
        <v>0.918</v>
      </c>
      <c r="H654" s="20" t="n">
        <v>0.89046</v>
      </c>
      <c r="I654" s="20" t="n">
        <v>0.9639000000000001</v>
      </c>
      <c r="J654" s="20" t="n"/>
      <c r="K654" s="2" t="n"/>
      <c r="L654" s="5" t="n"/>
      <c r="M654" s="19">
        <f>資金模擬!$B$5*V653</f>
        <v/>
      </c>
      <c r="N654" s="2">
        <f>IF(Z653=1,"已停止",IF(T653&gt;=M654,"已下單","資金不足略過"))</f>
        <v/>
      </c>
      <c r="O654" s="19">
        <f>IF(N654="已下單",M654*資金模擬!$B$7,0)</f>
        <v/>
      </c>
      <c r="P654" s="4" t="n"/>
      <c r="Q654" s="13" t="n">
        <v>0</v>
      </c>
      <c r="R654" s="13">
        <f>R653+Q654</f>
        <v/>
      </c>
      <c r="S654" s="19">
        <f>S653+IF(N654="已下單",M654,0)</f>
        <v/>
      </c>
      <c r="T654" s="19">
        <f>R654-S654</f>
        <v/>
      </c>
      <c r="U654" s="2">
        <f>U653+IF(N654="已下單",1,0)</f>
        <v/>
      </c>
      <c r="V654" s="19">
        <f>IF(資金模擬!$B$9=2,MAX(R654,0),MAX(V653,FLOOR(MAX(R654,0),資金模擬!$B$6)))</f>
        <v/>
      </c>
      <c r="W654" s="13">
        <f>MAX(W653,R654)</f>
        <v/>
      </c>
      <c r="X654" s="4">
        <f>IF(W654&gt;0,R654/W654-1,-1)</f>
        <v/>
      </c>
      <c r="Y654" s="19">
        <f>IF(R654&gt;0,S654*資金模擬!$B$7/R654,0)</f>
        <v/>
      </c>
      <c r="Z654" s="2">
        <f>IF(OR(Z653=1,R654&lt;=資金模擬!$B$10),1,0)</f>
        <v/>
      </c>
    </row>
    <row r="655">
      <c r="A655" s="2" t="n">
        <v>653</v>
      </c>
      <c r="B655" s="7" t="n">
        <v>46285.91666666666</v>
      </c>
      <c r="C655" s="2" t="inlineStr">
        <is>
          <t>進場</t>
        </is>
      </c>
      <c r="D655" s="2" t="n">
        <v>331</v>
      </c>
      <c r="E655" s="2" t="inlineStr">
        <is>
          <t>PONS_USDT_PERP</t>
        </is>
      </c>
      <c r="F655" s="2" t="inlineStr">
        <is>
          <t>做空</t>
        </is>
      </c>
      <c r="G655" s="20" t="n">
        <v>0.5613</v>
      </c>
      <c r="H655" s="20" t="n">
        <v>0.544461</v>
      </c>
      <c r="I655" s="20" t="n">
        <v>0.589365</v>
      </c>
      <c r="J655" s="20" t="n"/>
      <c r="K655" s="2" t="n"/>
      <c r="L655" s="5" t="n"/>
      <c r="M655" s="19">
        <f>資金模擬!$B$5*V654</f>
        <v/>
      </c>
      <c r="N655" s="2">
        <f>IF(Z654=1,"已停止",IF(T654&gt;=M655,"已下單","資金不足略過"))</f>
        <v/>
      </c>
      <c r="O655" s="19">
        <f>IF(N655="已下單",M655*資金模擬!$B$7,0)</f>
        <v/>
      </c>
      <c r="P655" s="4" t="n"/>
      <c r="Q655" s="13" t="n">
        <v>0</v>
      </c>
      <c r="R655" s="13">
        <f>R654+Q655</f>
        <v/>
      </c>
      <c r="S655" s="19">
        <f>S654+IF(N655="已下單",M655,0)</f>
        <v/>
      </c>
      <c r="T655" s="19">
        <f>R655-S655</f>
        <v/>
      </c>
      <c r="U655" s="2">
        <f>U654+IF(N655="已下單",1,0)</f>
        <v/>
      </c>
      <c r="V655" s="19">
        <f>IF(資金模擬!$B$9=2,MAX(R655,0),MAX(V654,FLOOR(MAX(R655,0),資金模擬!$B$6)))</f>
        <v/>
      </c>
      <c r="W655" s="13">
        <f>MAX(W654,R655)</f>
        <v/>
      </c>
      <c r="X655" s="4">
        <f>IF(W655&gt;0,R655/W655-1,-1)</f>
        <v/>
      </c>
      <c r="Y655" s="19">
        <f>IF(R655&gt;0,S655*資金模擬!$B$7/R655,0)</f>
        <v/>
      </c>
      <c r="Z655" s="2">
        <f>IF(OR(Z654=1,R655&lt;=資金模擬!$B$10),1,0)</f>
        <v/>
      </c>
    </row>
    <row r="656">
      <c r="A656" s="2" t="n">
        <v>654</v>
      </c>
      <c r="B656" s="7" t="n">
        <v>46285.95833333334</v>
      </c>
      <c r="C656" s="2" t="inlineStr">
        <is>
          <t>出場</t>
        </is>
      </c>
      <c r="D656" s="2" t="n">
        <v>322</v>
      </c>
      <c r="E656" s="2" t="inlineStr">
        <is>
          <t>ARB_USDT_PERP</t>
        </is>
      </c>
      <c r="F656" s="2" t="inlineStr">
        <is>
          <t>做空</t>
        </is>
      </c>
      <c r="G656" s="20" t="n">
        <v>0.2083</v>
      </c>
      <c r="H656" s="20" t="n">
        <v>0.202051</v>
      </c>
      <c r="I656" s="20" t="n">
        <v>0.218715</v>
      </c>
      <c r="J656" s="20" t="n">
        <v>0.202051</v>
      </c>
      <c r="K656" s="2" t="inlineStr">
        <is>
          <t>止盈</t>
        </is>
      </c>
      <c r="L656" s="5">
        <f>交易明細!K323</f>
        <v/>
      </c>
      <c r="M656" s="19">
        <f>M639</f>
        <v/>
      </c>
      <c r="N656" s="2">
        <f>N639</f>
        <v/>
      </c>
      <c r="O656" s="19">
        <f>O639</f>
        <v/>
      </c>
      <c r="P656" s="4">
        <f>交易明細!L323</f>
        <v/>
      </c>
      <c r="Q656" s="13">
        <f>IF(N656="已下單",O656*P656,0)</f>
        <v/>
      </c>
      <c r="R656" s="13">
        <f>R655+Q656</f>
        <v/>
      </c>
      <c r="S656" s="19">
        <f>S655-IF(N656="已下單",M656,0)</f>
        <v/>
      </c>
      <c r="T656" s="19">
        <f>R656-S656</f>
        <v/>
      </c>
      <c r="U656" s="2">
        <f>U655-IF(N656="已下單",1,0)</f>
        <v/>
      </c>
      <c r="V656" s="19">
        <f>IF(資金模擬!$B$9=2,MAX(R656,0),MAX(V655,FLOOR(MAX(R656,0),資金模擬!$B$6)))</f>
        <v/>
      </c>
      <c r="W656" s="13">
        <f>MAX(W655,R656)</f>
        <v/>
      </c>
      <c r="X656" s="4">
        <f>IF(W656&gt;0,R656/W656-1,-1)</f>
        <v/>
      </c>
      <c r="Y656" s="19">
        <f>IF(R656&gt;0,S656*資金模擬!$B$7/R656,0)</f>
        <v/>
      </c>
      <c r="Z656" s="2">
        <f>IF(OR(Z655=1,R656&lt;=資金模擬!$B$10),1,0)</f>
        <v/>
      </c>
    </row>
    <row r="657">
      <c r="A657" s="2" t="n">
        <v>655</v>
      </c>
      <c r="B657" s="7" t="n">
        <v>46285.95833333334</v>
      </c>
      <c r="C657" s="2" t="inlineStr">
        <is>
          <t>進場</t>
        </is>
      </c>
      <c r="D657" s="2" t="n">
        <v>332</v>
      </c>
      <c r="E657" s="2" t="inlineStr">
        <is>
          <t>LSK_USDT_PERP</t>
        </is>
      </c>
      <c r="F657" s="2" t="inlineStr">
        <is>
          <t>做空</t>
        </is>
      </c>
      <c r="G657" s="20" t="n">
        <v>0.3804</v>
      </c>
      <c r="H657" s="20" t="n">
        <v>0.368988</v>
      </c>
      <c r="I657" s="20" t="n">
        <v>0.3994200000000001</v>
      </c>
      <c r="J657" s="20" t="n"/>
      <c r="K657" s="2" t="n"/>
      <c r="L657" s="5" t="n"/>
      <c r="M657" s="19">
        <f>資金模擬!$B$5*V656</f>
        <v/>
      </c>
      <c r="N657" s="2">
        <f>IF(Z656=1,"已停止",IF(T656&gt;=M657,"已下單","資金不足略過"))</f>
        <v/>
      </c>
      <c r="O657" s="19">
        <f>IF(N657="已下單",M657*資金模擬!$B$7,0)</f>
        <v/>
      </c>
      <c r="P657" s="4" t="n"/>
      <c r="Q657" s="13" t="n">
        <v>0</v>
      </c>
      <c r="R657" s="13">
        <f>R656+Q657</f>
        <v/>
      </c>
      <c r="S657" s="19">
        <f>S656+IF(N657="已下單",M657,0)</f>
        <v/>
      </c>
      <c r="T657" s="19">
        <f>R657-S657</f>
        <v/>
      </c>
      <c r="U657" s="2">
        <f>U656+IF(N657="已下單",1,0)</f>
        <v/>
      </c>
      <c r="V657" s="19">
        <f>IF(資金模擬!$B$9=2,MAX(R657,0),MAX(V656,FLOOR(MAX(R657,0),資金模擬!$B$6)))</f>
        <v/>
      </c>
      <c r="W657" s="13">
        <f>MAX(W656,R657)</f>
        <v/>
      </c>
      <c r="X657" s="4">
        <f>IF(W657&gt;0,R657/W657-1,-1)</f>
        <v/>
      </c>
      <c r="Y657" s="19">
        <f>IF(R657&gt;0,S657*資金模擬!$B$7/R657,0)</f>
        <v/>
      </c>
      <c r="Z657" s="2">
        <f>IF(OR(Z656=1,R657&lt;=資金模擬!$B$10),1,0)</f>
        <v/>
      </c>
    </row>
    <row r="658">
      <c r="A658" s="2" t="n">
        <v>656</v>
      </c>
      <c r="B658" s="7" t="n">
        <v>46286</v>
      </c>
      <c r="C658" s="2" t="inlineStr">
        <is>
          <t>出場</t>
        </is>
      </c>
      <c r="D658" s="2" t="n">
        <v>320</v>
      </c>
      <c r="E658" s="2" t="inlineStr">
        <is>
          <t>INJ_USDT_PERP</t>
        </is>
      </c>
      <c r="F658" s="2" t="inlineStr">
        <is>
          <t>做空</t>
        </is>
      </c>
      <c r="G658" s="20" t="n">
        <v>7.584</v>
      </c>
      <c r="H658" s="20" t="n">
        <v>7.356479999999999</v>
      </c>
      <c r="I658" s="20" t="n">
        <v>7.9632</v>
      </c>
      <c r="J658" s="20" t="n">
        <v>7.9632</v>
      </c>
      <c r="K658" s="2" t="inlineStr">
        <is>
          <t>止損</t>
        </is>
      </c>
      <c r="L658" s="5">
        <f>交易明細!K321</f>
        <v/>
      </c>
      <c r="M658" s="19">
        <f>M634</f>
        <v/>
      </c>
      <c r="N658" s="2">
        <f>N634</f>
        <v/>
      </c>
      <c r="O658" s="19">
        <f>O634</f>
        <v/>
      </c>
      <c r="P658" s="4">
        <f>交易明細!L321</f>
        <v/>
      </c>
      <c r="Q658" s="13">
        <f>IF(N658="已下單",O658*P658,0)</f>
        <v/>
      </c>
      <c r="R658" s="13">
        <f>R657+Q658</f>
        <v/>
      </c>
      <c r="S658" s="19">
        <f>S657-IF(N658="已下單",M658,0)</f>
        <v/>
      </c>
      <c r="T658" s="19">
        <f>R658-S658</f>
        <v/>
      </c>
      <c r="U658" s="2">
        <f>U657-IF(N658="已下單",1,0)</f>
        <v/>
      </c>
      <c r="V658" s="19">
        <f>IF(資金模擬!$B$9=2,MAX(R658,0),MAX(V657,FLOOR(MAX(R658,0),資金模擬!$B$6)))</f>
        <v/>
      </c>
      <c r="W658" s="13">
        <f>MAX(W657,R658)</f>
        <v/>
      </c>
      <c r="X658" s="4">
        <f>IF(W658&gt;0,R658/W658-1,-1)</f>
        <v/>
      </c>
      <c r="Y658" s="19">
        <f>IF(R658&gt;0,S658*資金模擬!$B$7/R658,0)</f>
        <v/>
      </c>
      <c r="Z658" s="2">
        <f>IF(OR(Z657=1,R658&lt;=資金模擬!$B$10),1,0)</f>
        <v/>
      </c>
    </row>
    <row r="659">
      <c r="A659" s="2" t="n">
        <v>657</v>
      </c>
      <c r="B659" s="7" t="n">
        <v>46286</v>
      </c>
      <c r="C659" s="2" t="inlineStr">
        <is>
          <t>出場</t>
        </is>
      </c>
      <c r="D659" s="2" t="n">
        <v>329</v>
      </c>
      <c r="E659" s="2" t="inlineStr">
        <is>
          <t>NEAR_USDT_PERP</t>
        </is>
      </c>
      <c r="F659" s="2" t="inlineStr">
        <is>
          <t>做多</t>
        </is>
      </c>
      <c r="G659" s="20" t="n">
        <v>3.72</v>
      </c>
      <c r="H659" s="20" t="n">
        <v>3.8316</v>
      </c>
      <c r="I659" s="20" t="n">
        <v>3.534</v>
      </c>
      <c r="J659" s="20" t="n">
        <v>3.8316</v>
      </c>
      <c r="K659" s="2" t="inlineStr">
        <is>
          <t>止盈</t>
        </is>
      </c>
      <c r="L659" s="5">
        <f>交易明細!K330</f>
        <v/>
      </c>
      <c r="M659" s="19">
        <f>M653</f>
        <v/>
      </c>
      <c r="N659" s="2">
        <f>N653</f>
        <v/>
      </c>
      <c r="O659" s="19">
        <f>O653</f>
        <v/>
      </c>
      <c r="P659" s="4">
        <f>交易明細!L330</f>
        <v/>
      </c>
      <c r="Q659" s="13">
        <f>IF(N659="已下單",O659*P659,0)</f>
        <v/>
      </c>
      <c r="R659" s="13">
        <f>R658+Q659</f>
        <v/>
      </c>
      <c r="S659" s="19">
        <f>S658-IF(N659="已下單",M659,0)</f>
        <v/>
      </c>
      <c r="T659" s="19">
        <f>R659-S659</f>
        <v/>
      </c>
      <c r="U659" s="2">
        <f>U658-IF(N659="已下單",1,0)</f>
        <v/>
      </c>
      <c r="V659" s="19">
        <f>IF(資金模擬!$B$9=2,MAX(R659,0),MAX(V658,FLOOR(MAX(R659,0),資金模擬!$B$6)))</f>
        <v/>
      </c>
      <c r="W659" s="13">
        <f>MAX(W658,R659)</f>
        <v/>
      </c>
      <c r="X659" s="4">
        <f>IF(W659&gt;0,R659/W659-1,-1)</f>
        <v/>
      </c>
      <c r="Y659" s="19">
        <f>IF(R659&gt;0,S659*資金模擬!$B$7/R659,0)</f>
        <v/>
      </c>
      <c r="Z659" s="2">
        <f>IF(OR(Z658=1,R659&lt;=資金模擬!$B$10),1,0)</f>
        <v/>
      </c>
    </row>
    <row r="660">
      <c r="A660" s="2" t="n">
        <v>658</v>
      </c>
      <c r="B660" s="7" t="n">
        <v>46286</v>
      </c>
      <c r="C660" s="2" t="inlineStr">
        <is>
          <t>出場</t>
        </is>
      </c>
      <c r="D660" s="2" t="n">
        <v>332</v>
      </c>
      <c r="E660" s="2" t="inlineStr">
        <is>
          <t>LSK_USDT_PERP</t>
        </is>
      </c>
      <c r="F660" s="2" t="inlineStr">
        <is>
          <t>做空</t>
        </is>
      </c>
      <c r="G660" s="20" t="n">
        <v>0.3804</v>
      </c>
      <c r="H660" s="20" t="n">
        <v>0.368988</v>
      </c>
      <c r="I660" s="20" t="n">
        <v>0.3994200000000001</v>
      </c>
      <c r="J660" s="20" t="n">
        <v>0.3994200000000001</v>
      </c>
      <c r="K660" s="2" t="inlineStr">
        <is>
          <t>止損</t>
        </is>
      </c>
      <c r="L660" s="5">
        <f>交易明細!K333</f>
        <v/>
      </c>
      <c r="M660" s="19">
        <f>M657</f>
        <v/>
      </c>
      <c r="N660" s="2">
        <f>N657</f>
        <v/>
      </c>
      <c r="O660" s="19">
        <f>O657</f>
        <v/>
      </c>
      <c r="P660" s="4">
        <f>交易明細!L333</f>
        <v/>
      </c>
      <c r="Q660" s="13">
        <f>IF(N660="已下單",O660*P660,0)</f>
        <v/>
      </c>
      <c r="R660" s="13">
        <f>R659+Q660</f>
        <v/>
      </c>
      <c r="S660" s="19">
        <f>S659-IF(N660="已下單",M660,0)</f>
        <v/>
      </c>
      <c r="T660" s="19">
        <f>R660-S660</f>
        <v/>
      </c>
      <c r="U660" s="2">
        <f>U659-IF(N660="已下單",1,0)</f>
        <v/>
      </c>
      <c r="V660" s="19">
        <f>IF(資金模擬!$B$9=2,MAX(R660,0),MAX(V659,FLOOR(MAX(R660,0),資金模擬!$B$6)))</f>
        <v/>
      </c>
      <c r="W660" s="13">
        <f>MAX(W659,R660)</f>
        <v/>
      </c>
      <c r="X660" s="4">
        <f>IF(W660&gt;0,R660/W660-1,-1)</f>
        <v/>
      </c>
      <c r="Y660" s="19">
        <f>IF(R660&gt;0,S660*資金模擬!$B$7/R660,0)</f>
        <v/>
      </c>
      <c r="Z660" s="2">
        <f>IF(OR(Z659=1,R660&lt;=資金模擬!$B$10),1,0)</f>
        <v/>
      </c>
    </row>
    <row r="661">
      <c r="A661" s="2" t="n">
        <v>659</v>
      </c>
      <c r="B661" s="7" t="n">
        <v>46286</v>
      </c>
      <c r="C661" s="2" t="inlineStr">
        <is>
          <t>進場</t>
        </is>
      </c>
      <c r="D661" s="2" t="n">
        <v>333</v>
      </c>
      <c r="E661" s="2" t="inlineStr">
        <is>
          <t>PIEVERSE_USDT_PERP</t>
        </is>
      </c>
      <c r="F661" s="2" t="inlineStr">
        <is>
          <t>做空</t>
        </is>
      </c>
      <c r="G661" s="20" t="n">
        <v>1.5856</v>
      </c>
      <c r="H661" s="20" t="n">
        <v>1.538032</v>
      </c>
      <c r="I661" s="20" t="n">
        <v>1.66488</v>
      </c>
      <c r="J661" s="20" t="n"/>
      <c r="K661" s="2" t="n"/>
      <c r="L661" s="5" t="n"/>
      <c r="M661" s="19">
        <f>資金模擬!$B$5*V660</f>
        <v/>
      </c>
      <c r="N661" s="2">
        <f>IF(Z660=1,"已停止",IF(T660&gt;=M661,"已下單","資金不足略過"))</f>
        <v/>
      </c>
      <c r="O661" s="19">
        <f>IF(N661="已下單",M661*資金模擬!$B$7,0)</f>
        <v/>
      </c>
      <c r="P661" s="4" t="n"/>
      <c r="Q661" s="13" t="n">
        <v>0</v>
      </c>
      <c r="R661" s="13">
        <f>R660+Q661</f>
        <v/>
      </c>
      <c r="S661" s="19">
        <f>S660+IF(N661="已下單",M661,0)</f>
        <v/>
      </c>
      <c r="T661" s="19">
        <f>R661-S661</f>
        <v/>
      </c>
      <c r="U661" s="2">
        <f>U660+IF(N661="已下單",1,0)</f>
        <v/>
      </c>
      <c r="V661" s="19">
        <f>IF(資金模擬!$B$9=2,MAX(R661,0),MAX(V660,FLOOR(MAX(R661,0),資金模擬!$B$6)))</f>
        <v/>
      </c>
      <c r="W661" s="13">
        <f>MAX(W660,R661)</f>
        <v/>
      </c>
      <c r="X661" s="4">
        <f>IF(W661&gt;0,R661/W661-1,-1)</f>
        <v/>
      </c>
      <c r="Y661" s="19">
        <f>IF(R661&gt;0,S661*資金模擬!$B$7/R661,0)</f>
        <v/>
      </c>
      <c r="Z661" s="2">
        <f>IF(OR(Z660=1,R661&lt;=資金模擬!$B$10),1,0)</f>
        <v/>
      </c>
    </row>
    <row r="662">
      <c r="A662" s="2" t="n">
        <v>660</v>
      </c>
      <c r="B662" s="7" t="n">
        <v>46286.04166666666</v>
      </c>
      <c r="C662" s="2" t="inlineStr">
        <is>
          <t>出場</t>
        </is>
      </c>
      <c r="D662" s="2" t="n">
        <v>314</v>
      </c>
      <c r="E662" s="2" t="inlineStr">
        <is>
          <t>ONDO_USDT_PERP</t>
        </is>
      </c>
      <c r="F662" s="2" t="inlineStr">
        <is>
          <t>做空</t>
        </is>
      </c>
      <c r="G662" s="20" t="n">
        <v>0.4017</v>
      </c>
      <c r="H662" s="20" t="n">
        <v>0.389649</v>
      </c>
      <c r="I662" s="20" t="n">
        <v>0.421785</v>
      </c>
      <c r="J662" s="20" t="n">
        <v>0.421785</v>
      </c>
      <c r="K662" s="2" t="inlineStr">
        <is>
          <t>止損</t>
        </is>
      </c>
      <c r="L662" s="5">
        <f>交易明細!K315</f>
        <v/>
      </c>
      <c r="M662" s="19">
        <f>M628</f>
        <v/>
      </c>
      <c r="N662" s="2">
        <f>N628</f>
        <v/>
      </c>
      <c r="O662" s="19">
        <f>O628</f>
        <v/>
      </c>
      <c r="P662" s="4">
        <f>交易明細!L315</f>
        <v/>
      </c>
      <c r="Q662" s="13">
        <f>IF(N662="已下單",O662*P662,0)</f>
        <v/>
      </c>
      <c r="R662" s="13">
        <f>R661+Q662</f>
        <v/>
      </c>
      <c r="S662" s="19">
        <f>S661-IF(N662="已下單",M662,0)</f>
        <v/>
      </c>
      <c r="T662" s="19">
        <f>R662-S662</f>
        <v/>
      </c>
      <c r="U662" s="2">
        <f>U661-IF(N662="已下單",1,0)</f>
        <v/>
      </c>
      <c r="V662" s="19">
        <f>IF(資金模擬!$B$9=2,MAX(R662,0),MAX(V661,FLOOR(MAX(R662,0),資金模擬!$B$6)))</f>
        <v/>
      </c>
      <c r="W662" s="13">
        <f>MAX(W661,R662)</f>
        <v/>
      </c>
      <c r="X662" s="4">
        <f>IF(W662&gt;0,R662/W662-1,-1)</f>
        <v/>
      </c>
      <c r="Y662" s="19">
        <f>IF(R662&gt;0,S662*資金模擬!$B$7/R662,0)</f>
        <v/>
      </c>
      <c r="Z662" s="2">
        <f>IF(OR(Z661=1,R662&lt;=資金模擬!$B$10),1,0)</f>
        <v/>
      </c>
    </row>
    <row r="663">
      <c r="A663" s="2" t="n">
        <v>661</v>
      </c>
      <c r="B663" s="7" t="n">
        <v>46286.04166666666</v>
      </c>
      <c r="C663" s="2" t="inlineStr">
        <is>
          <t>出場</t>
        </is>
      </c>
      <c r="D663" s="2" t="n">
        <v>317</v>
      </c>
      <c r="E663" s="2" t="inlineStr">
        <is>
          <t>SUI_USDT_PERP</t>
        </is>
      </c>
      <c r="F663" s="2" t="inlineStr">
        <is>
          <t>做空</t>
        </is>
      </c>
      <c r="G663" s="20" t="n">
        <v>0.8198</v>
      </c>
      <c r="H663" s="20" t="n">
        <v>0.795206</v>
      </c>
      <c r="I663" s="20" t="n">
        <v>0.8607900000000001</v>
      </c>
      <c r="J663" s="20" t="n">
        <v>0.8607900000000001</v>
      </c>
      <c r="K663" s="2" t="inlineStr">
        <is>
          <t>止損</t>
        </is>
      </c>
      <c r="L663" s="5">
        <f>交易明細!K318</f>
        <v/>
      </c>
      <c r="M663" s="19">
        <f>M631</f>
        <v/>
      </c>
      <c r="N663" s="2">
        <f>N631</f>
        <v/>
      </c>
      <c r="O663" s="19">
        <f>O631</f>
        <v/>
      </c>
      <c r="P663" s="4">
        <f>交易明細!L318</f>
        <v/>
      </c>
      <c r="Q663" s="13">
        <f>IF(N663="已下單",O663*P663,0)</f>
        <v/>
      </c>
      <c r="R663" s="13">
        <f>R662+Q663</f>
        <v/>
      </c>
      <c r="S663" s="19">
        <f>S662-IF(N663="已下單",M663,0)</f>
        <v/>
      </c>
      <c r="T663" s="19">
        <f>R663-S663</f>
        <v/>
      </c>
      <c r="U663" s="2">
        <f>U662-IF(N663="已下單",1,0)</f>
        <v/>
      </c>
      <c r="V663" s="19">
        <f>IF(資金模擬!$B$9=2,MAX(R663,0),MAX(V662,FLOOR(MAX(R663,0),資金模擬!$B$6)))</f>
        <v/>
      </c>
      <c r="W663" s="13">
        <f>MAX(W662,R663)</f>
        <v/>
      </c>
      <c r="X663" s="4">
        <f>IF(W663&gt;0,R663/W663-1,-1)</f>
        <v/>
      </c>
      <c r="Y663" s="19">
        <f>IF(R663&gt;0,S663*資金模擬!$B$7/R663,0)</f>
        <v/>
      </c>
      <c r="Z663" s="2">
        <f>IF(OR(Z662=1,R663&lt;=資金模擬!$B$10),1,0)</f>
        <v/>
      </c>
    </row>
    <row r="664">
      <c r="A664" s="2" t="n">
        <v>662</v>
      </c>
      <c r="B664" s="7" t="n">
        <v>46286.04166666666</v>
      </c>
      <c r="C664" s="2" t="inlineStr">
        <is>
          <t>出場</t>
        </is>
      </c>
      <c r="D664" s="2" t="n">
        <v>318</v>
      </c>
      <c r="E664" s="2" t="inlineStr">
        <is>
          <t>UNI_USDT_PERP</t>
        </is>
      </c>
      <c r="F664" s="2" t="inlineStr">
        <is>
          <t>做空</t>
        </is>
      </c>
      <c r="G664" s="20" t="n">
        <v>8.545</v>
      </c>
      <c r="H664" s="20" t="n">
        <v>8.288650000000001</v>
      </c>
      <c r="I664" s="20" t="n">
        <v>8.972250000000001</v>
      </c>
      <c r="J664" s="20" t="n">
        <v>8.972250000000001</v>
      </c>
      <c r="K664" s="2" t="inlineStr">
        <is>
          <t>止損</t>
        </is>
      </c>
      <c r="L664" s="5">
        <f>交易明細!K319</f>
        <v/>
      </c>
      <c r="M664" s="19">
        <f>M632</f>
        <v/>
      </c>
      <c r="N664" s="2">
        <f>N632</f>
        <v/>
      </c>
      <c r="O664" s="19">
        <f>O632</f>
        <v/>
      </c>
      <c r="P664" s="4">
        <f>交易明細!L319</f>
        <v/>
      </c>
      <c r="Q664" s="13">
        <f>IF(N664="已下單",O664*P664,0)</f>
        <v/>
      </c>
      <c r="R664" s="13">
        <f>R663+Q664</f>
        <v/>
      </c>
      <c r="S664" s="19">
        <f>S663-IF(N664="已下單",M664,0)</f>
        <v/>
      </c>
      <c r="T664" s="19">
        <f>R664-S664</f>
        <v/>
      </c>
      <c r="U664" s="2">
        <f>U663-IF(N664="已下單",1,0)</f>
        <v/>
      </c>
      <c r="V664" s="19">
        <f>IF(資金模擬!$B$9=2,MAX(R664,0),MAX(V663,FLOOR(MAX(R664,0),資金模擬!$B$6)))</f>
        <v/>
      </c>
      <c r="W664" s="13">
        <f>MAX(W663,R664)</f>
        <v/>
      </c>
      <c r="X664" s="4">
        <f>IF(W664&gt;0,R664/W664-1,-1)</f>
        <v/>
      </c>
      <c r="Y664" s="19">
        <f>IF(R664&gt;0,S664*資金模擬!$B$7/R664,0)</f>
        <v/>
      </c>
      <c r="Z664" s="2">
        <f>IF(OR(Z663=1,R664&lt;=資金模擬!$B$10),1,0)</f>
        <v/>
      </c>
    </row>
    <row r="665">
      <c r="A665" s="2" t="n">
        <v>663</v>
      </c>
      <c r="B665" s="7" t="n">
        <v>46286.04166666666</v>
      </c>
      <c r="C665" s="2" t="inlineStr">
        <is>
          <t>進場</t>
        </is>
      </c>
      <c r="D665" s="2" t="n">
        <v>334</v>
      </c>
      <c r="E665" s="2" t="inlineStr">
        <is>
          <t>ARB_USDT_PERP</t>
        </is>
      </c>
      <c r="F665" s="2" t="inlineStr">
        <is>
          <t>做多</t>
        </is>
      </c>
      <c r="G665" s="20" t="n">
        <v>0.2115</v>
      </c>
      <c r="H665" s="20" t="n">
        <v>0.217845</v>
      </c>
      <c r="I665" s="20" t="n">
        <v>0.200925</v>
      </c>
      <c r="J665" s="20" t="n"/>
      <c r="K665" s="2" t="n"/>
      <c r="L665" s="5" t="n"/>
      <c r="M665" s="19">
        <f>資金模擬!$B$5*V664</f>
        <v/>
      </c>
      <c r="N665" s="2">
        <f>IF(Z664=1,"已停止",IF(T664&gt;=M665,"已下單","資金不足略過"))</f>
        <v/>
      </c>
      <c r="O665" s="19">
        <f>IF(N665="已下單",M665*資金模擬!$B$7,0)</f>
        <v/>
      </c>
      <c r="P665" s="4" t="n"/>
      <c r="Q665" s="13" t="n">
        <v>0</v>
      </c>
      <c r="R665" s="13">
        <f>R664+Q665</f>
        <v/>
      </c>
      <c r="S665" s="19">
        <f>S664+IF(N665="已下單",M665,0)</f>
        <v/>
      </c>
      <c r="T665" s="19">
        <f>R665-S665</f>
        <v/>
      </c>
      <c r="U665" s="2">
        <f>U664+IF(N665="已下單",1,0)</f>
        <v/>
      </c>
      <c r="V665" s="19">
        <f>IF(資金模擬!$B$9=2,MAX(R665,0),MAX(V664,FLOOR(MAX(R665,0),資金模擬!$B$6)))</f>
        <v/>
      </c>
      <c r="W665" s="13">
        <f>MAX(W664,R665)</f>
        <v/>
      </c>
      <c r="X665" s="4">
        <f>IF(W665&gt;0,R665/W665-1,-1)</f>
        <v/>
      </c>
      <c r="Y665" s="19">
        <f>IF(R665&gt;0,S665*資金模擬!$B$7/R665,0)</f>
        <v/>
      </c>
      <c r="Z665" s="2">
        <f>IF(OR(Z664=1,R665&lt;=資金模擬!$B$10),1,0)</f>
        <v/>
      </c>
    </row>
    <row r="666">
      <c r="A666" s="2" t="n">
        <v>664</v>
      </c>
      <c r="B666" s="7" t="n">
        <v>46286.08333333334</v>
      </c>
      <c r="C666" s="2" t="inlineStr">
        <is>
          <t>出場</t>
        </is>
      </c>
      <c r="D666" s="2" t="n">
        <v>331</v>
      </c>
      <c r="E666" s="2" t="inlineStr">
        <is>
          <t>PONS_USDT_PERP</t>
        </is>
      </c>
      <c r="F666" s="2" t="inlineStr">
        <is>
          <t>做空</t>
        </is>
      </c>
      <c r="G666" s="20" t="n">
        <v>0.5613</v>
      </c>
      <c r="H666" s="20" t="n">
        <v>0.544461</v>
      </c>
      <c r="I666" s="20" t="n">
        <v>0.589365</v>
      </c>
      <c r="J666" s="20" t="n">
        <v>0.589365</v>
      </c>
      <c r="K666" s="2" t="inlineStr">
        <is>
          <t>止損</t>
        </is>
      </c>
      <c r="L666" s="5">
        <f>交易明細!K332</f>
        <v/>
      </c>
      <c r="M666" s="19">
        <f>M655</f>
        <v/>
      </c>
      <c r="N666" s="2">
        <f>N655</f>
        <v/>
      </c>
      <c r="O666" s="19">
        <f>O655</f>
        <v/>
      </c>
      <c r="P666" s="4">
        <f>交易明細!L332</f>
        <v/>
      </c>
      <c r="Q666" s="13">
        <f>IF(N666="已下單",O666*P666,0)</f>
        <v/>
      </c>
      <c r="R666" s="13">
        <f>R665+Q666</f>
        <v/>
      </c>
      <c r="S666" s="19">
        <f>S665-IF(N666="已下單",M666,0)</f>
        <v/>
      </c>
      <c r="T666" s="19">
        <f>R666-S666</f>
        <v/>
      </c>
      <c r="U666" s="2">
        <f>U665-IF(N666="已下單",1,0)</f>
        <v/>
      </c>
      <c r="V666" s="19">
        <f>IF(資金模擬!$B$9=2,MAX(R666,0),MAX(V665,FLOOR(MAX(R666,0),資金模擬!$B$6)))</f>
        <v/>
      </c>
      <c r="W666" s="13">
        <f>MAX(W665,R666)</f>
        <v/>
      </c>
      <c r="X666" s="4">
        <f>IF(W666&gt;0,R666/W666-1,-1)</f>
        <v/>
      </c>
      <c r="Y666" s="19">
        <f>IF(R666&gt;0,S666*資金模擬!$B$7/R666,0)</f>
        <v/>
      </c>
      <c r="Z666" s="2">
        <f>IF(OR(Z665=1,R666&lt;=資金模擬!$B$10),1,0)</f>
        <v/>
      </c>
    </row>
    <row r="667">
      <c r="A667" s="2" t="n">
        <v>665</v>
      </c>
      <c r="B667" s="7" t="n">
        <v>46286.125</v>
      </c>
      <c r="C667" s="2" t="inlineStr">
        <is>
          <t>進場</t>
        </is>
      </c>
      <c r="D667" s="2" t="n">
        <v>335</v>
      </c>
      <c r="E667" s="2" t="inlineStr">
        <is>
          <t>LIT_USDT_PERP</t>
        </is>
      </c>
      <c r="F667" s="2" t="inlineStr">
        <is>
          <t>做空</t>
        </is>
      </c>
      <c r="G667" s="20" t="n">
        <v>4.649</v>
      </c>
      <c r="H667" s="20" t="n">
        <v>4.50953</v>
      </c>
      <c r="I667" s="20" t="n">
        <v>4.88145</v>
      </c>
      <c r="J667" s="20" t="n"/>
      <c r="K667" s="2" t="n"/>
      <c r="L667" s="5" t="n"/>
      <c r="M667" s="19">
        <f>資金模擬!$B$5*V666</f>
        <v/>
      </c>
      <c r="N667" s="2">
        <f>IF(Z666=1,"已停止",IF(T666&gt;=M667,"已下單","資金不足略過"))</f>
        <v/>
      </c>
      <c r="O667" s="19">
        <f>IF(N667="已下單",M667*資金模擬!$B$7,0)</f>
        <v/>
      </c>
      <c r="P667" s="4" t="n"/>
      <c r="Q667" s="13" t="n">
        <v>0</v>
      </c>
      <c r="R667" s="13">
        <f>R666+Q667</f>
        <v/>
      </c>
      <c r="S667" s="19">
        <f>S666+IF(N667="已下單",M667,0)</f>
        <v/>
      </c>
      <c r="T667" s="19">
        <f>R667-S667</f>
        <v/>
      </c>
      <c r="U667" s="2">
        <f>U666+IF(N667="已下單",1,0)</f>
        <v/>
      </c>
      <c r="V667" s="19">
        <f>IF(資金模擬!$B$9=2,MAX(R667,0),MAX(V666,FLOOR(MAX(R667,0),資金模擬!$B$6)))</f>
        <v/>
      </c>
      <c r="W667" s="13">
        <f>MAX(W666,R667)</f>
        <v/>
      </c>
      <c r="X667" s="4">
        <f>IF(W667&gt;0,R667/W667-1,-1)</f>
        <v/>
      </c>
      <c r="Y667" s="19">
        <f>IF(R667&gt;0,S667*資金模擬!$B$7/R667,0)</f>
        <v/>
      </c>
      <c r="Z667" s="2">
        <f>IF(OR(Z666=1,R667&lt;=資金模擬!$B$10),1,0)</f>
        <v/>
      </c>
    </row>
    <row r="668">
      <c r="A668" s="2" t="n">
        <v>666</v>
      </c>
      <c r="B668" s="7" t="n">
        <v>46286.125</v>
      </c>
      <c r="C668" s="2" t="inlineStr">
        <is>
          <t>進場</t>
        </is>
      </c>
      <c r="D668" s="2" t="n">
        <v>336</v>
      </c>
      <c r="E668" s="2" t="inlineStr">
        <is>
          <t>LSK_USDT_PERP</t>
        </is>
      </c>
      <c r="F668" s="2" t="inlineStr">
        <is>
          <t>做空</t>
        </is>
      </c>
      <c r="G668" s="20" t="n">
        <v>0.3786</v>
      </c>
      <c r="H668" s="20" t="n">
        <v>0.367242</v>
      </c>
      <c r="I668" s="20" t="n">
        <v>0.39753</v>
      </c>
      <c r="J668" s="20" t="n"/>
      <c r="K668" s="2" t="n"/>
      <c r="L668" s="5" t="n"/>
      <c r="M668" s="19">
        <f>資金模擬!$B$5*V667</f>
        <v/>
      </c>
      <c r="N668" s="2">
        <f>IF(Z667=1,"已停止",IF(T667&gt;=M668,"已下單","資金不足略過"))</f>
        <v/>
      </c>
      <c r="O668" s="19">
        <f>IF(N668="已下單",M668*資金模擬!$B$7,0)</f>
        <v/>
      </c>
      <c r="P668" s="4" t="n"/>
      <c r="Q668" s="13" t="n">
        <v>0</v>
      </c>
      <c r="R668" s="13">
        <f>R667+Q668</f>
        <v/>
      </c>
      <c r="S668" s="19">
        <f>S667+IF(N668="已下單",M668,0)</f>
        <v/>
      </c>
      <c r="T668" s="19">
        <f>R668-S668</f>
        <v/>
      </c>
      <c r="U668" s="2">
        <f>U667+IF(N668="已下單",1,0)</f>
        <v/>
      </c>
      <c r="V668" s="19">
        <f>IF(資金模擬!$B$9=2,MAX(R668,0),MAX(V667,FLOOR(MAX(R668,0),資金模擬!$B$6)))</f>
        <v/>
      </c>
      <c r="W668" s="13">
        <f>MAX(W667,R668)</f>
        <v/>
      </c>
      <c r="X668" s="4">
        <f>IF(W668&gt;0,R668/W668-1,-1)</f>
        <v/>
      </c>
      <c r="Y668" s="19">
        <f>IF(R668&gt;0,S668*資金模擬!$B$7/R668,0)</f>
        <v/>
      </c>
      <c r="Z668" s="2">
        <f>IF(OR(Z667=1,R668&lt;=資金模擬!$B$10),1,0)</f>
        <v/>
      </c>
    </row>
    <row r="669">
      <c r="A669" s="2" t="n">
        <v>667</v>
      </c>
      <c r="B669" s="7" t="n">
        <v>46286.125</v>
      </c>
      <c r="C669" s="2" t="inlineStr">
        <is>
          <t>進場</t>
        </is>
      </c>
      <c r="D669" s="2" t="n">
        <v>337</v>
      </c>
      <c r="E669" s="2" t="inlineStr">
        <is>
          <t>PONS_USDT_PERP</t>
        </is>
      </c>
      <c r="F669" s="2" t="inlineStr">
        <is>
          <t>做空</t>
        </is>
      </c>
      <c r="G669" s="20" t="n">
        <v>0.5704</v>
      </c>
      <c r="H669" s="20" t="n">
        <v>0.553288</v>
      </c>
      <c r="I669" s="20" t="n">
        <v>0.59892</v>
      </c>
      <c r="J669" s="20" t="n"/>
      <c r="K669" s="2" t="n"/>
      <c r="L669" s="5" t="n"/>
      <c r="M669" s="19">
        <f>資金模擬!$B$5*V668</f>
        <v/>
      </c>
      <c r="N669" s="2">
        <f>IF(Z668=1,"已停止",IF(T668&gt;=M669,"已下單","資金不足略過"))</f>
        <v/>
      </c>
      <c r="O669" s="19">
        <f>IF(N669="已下單",M669*資金模擬!$B$7,0)</f>
        <v/>
      </c>
      <c r="P669" s="4" t="n"/>
      <c r="Q669" s="13" t="n">
        <v>0</v>
      </c>
      <c r="R669" s="13">
        <f>R668+Q669</f>
        <v/>
      </c>
      <c r="S669" s="19">
        <f>S668+IF(N669="已下單",M669,0)</f>
        <v/>
      </c>
      <c r="T669" s="19">
        <f>R669-S669</f>
        <v/>
      </c>
      <c r="U669" s="2">
        <f>U668+IF(N669="已下單",1,0)</f>
        <v/>
      </c>
      <c r="V669" s="19">
        <f>IF(資金模擬!$B$9=2,MAX(R669,0),MAX(V668,FLOOR(MAX(R669,0),資金模擬!$B$6)))</f>
        <v/>
      </c>
      <c r="W669" s="13">
        <f>MAX(W668,R669)</f>
        <v/>
      </c>
      <c r="X669" s="4">
        <f>IF(W669&gt;0,R669/W669-1,-1)</f>
        <v/>
      </c>
      <c r="Y669" s="19">
        <f>IF(R669&gt;0,S669*資金模擬!$B$7/R669,0)</f>
        <v/>
      </c>
      <c r="Z669" s="2">
        <f>IF(OR(Z668=1,R669&lt;=資金模擬!$B$10),1,0)</f>
        <v/>
      </c>
    </row>
    <row r="670">
      <c r="A670" s="2" t="n">
        <v>668</v>
      </c>
      <c r="B670" s="7" t="n">
        <v>46286.16666666666</v>
      </c>
      <c r="C670" s="2" t="inlineStr">
        <is>
          <t>進場</t>
        </is>
      </c>
      <c r="D670" s="2" t="n">
        <v>338</v>
      </c>
      <c r="E670" s="2" t="inlineStr">
        <is>
          <t>ONDO_USDT_PERP</t>
        </is>
      </c>
      <c r="F670" s="2" t="inlineStr">
        <is>
          <t>做多</t>
        </is>
      </c>
      <c r="G670" s="20" t="n">
        <v>0.4278</v>
      </c>
      <c r="H670" s="20" t="n">
        <v>0.440634</v>
      </c>
      <c r="I670" s="20" t="n">
        <v>0.40641</v>
      </c>
      <c r="J670" s="20" t="n"/>
      <c r="K670" s="2" t="n"/>
      <c r="L670" s="5" t="n"/>
      <c r="M670" s="19">
        <f>資金模擬!$B$5*V669</f>
        <v/>
      </c>
      <c r="N670" s="2">
        <f>IF(Z669=1,"已停止",IF(T669&gt;=M670,"已下單","資金不足略過"))</f>
        <v/>
      </c>
      <c r="O670" s="19">
        <f>IF(N670="已下單",M670*資金模擬!$B$7,0)</f>
        <v/>
      </c>
      <c r="P670" s="4" t="n"/>
      <c r="Q670" s="13" t="n">
        <v>0</v>
      </c>
      <c r="R670" s="13">
        <f>R669+Q670</f>
        <v/>
      </c>
      <c r="S670" s="19">
        <f>S669+IF(N670="已下單",M670,0)</f>
        <v/>
      </c>
      <c r="T670" s="19">
        <f>R670-S670</f>
        <v/>
      </c>
      <c r="U670" s="2">
        <f>U669+IF(N670="已下單",1,0)</f>
        <v/>
      </c>
      <c r="V670" s="19">
        <f>IF(資金模擬!$B$9=2,MAX(R670,0),MAX(V669,FLOOR(MAX(R670,0),資金模擬!$B$6)))</f>
        <v/>
      </c>
      <c r="W670" s="13">
        <f>MAX(W669,R670)</f>
        <v/>
      </c>
      <c r="X670" s="4">
        <f>IF(W670&gt;0,R670/W670-1,-1)</f>
        <v/>
      </c>
      <c r="Y670" s="19">
        <f>IF(R670&gt;0,S670*資金模擬!$B$7/R670,0)</f>
        <v/>
      </c>
      <c r="Z670" s="2">
        <f>IF(OR(Z669=1,R670&lt;=資金模擬!$B$10),1,0)</f>
        <v/>
      </c>
    </row>
    <row r="671">
      <c r="A671" s="2" t="n">
        <v>669</v>
      </c>
      <c r="B671" s="7" t="n">
        <v>46286.20833333334</v>
      </c>
      <c r="C671" s="2" t="inlineStr">
        <is>
          <t>進場</t>
        </is>
      </c>
      <c r="D671" s="2" t="n">
        <v>339</v>
      </c>
      <c r="E671" s="2" t="inlineStr">
        <is>
          <t>AKE_USDT_PERP</t>
        </is>
      </c>
      <c r="F671" s="2" t="inlineStr">
        <is>
          <t>做空</t>
        </is>
      </c>
      <c r="G671" s="20" t="n">
        <v>0.058871</v>
      </c>
      <c r="H671" s="20" t="n">
        <v>0.05710487</v>
      </c>
      <c r="I671" s="20" t="n">
        <v>0.06181455</v>
      </c>
      <c r="J671" s="20" t="n"/>
      <c r="K671" s="2" t="n"/>
      <c r="L671" s="5" t="n"/>
      <c r="M671" s="19">
        <f>資金模擬!$B$5*V670</f>
        <v/>
      </c>
      <c r="N671" s="2">
        <f>IF(Z670=1,"已停止",IF(T670&gt;=M671,"已下單","資金不足略過"))</f>
        <v/>
      </c>
      <c r="O671" s="19">
        <f>IF(N671="已下單",M671*資金模擬!$B$7,0)</f>
        <v/>
      </c>
      <c r="P671" s="4" t="n"/>
      <c r="Q671" s="13" t="n">
        <v>0</v>
      </c>
      <c r="R671" s="13">
        <f>R670+Q671</f>
        <v/>
      </c>
      <c r="S671" s="19">
        <f>S670+IF(N671="已下單",M671,0)</f>
        <v/>
      </c>
      <c r="T671" s="19">
        <f>R671-S671</f>
        <v/>
      </c>
      <c r="U671" s="2">
        <f>U670+IF(N671="已下單",1,0)</f>
        <v/>
      </c>
      <c r="V671" s="19">
        <f>IF(資金模擬!$B$9=2,MAX(R671,0),MAX(V670,FLOOR(MAX(R671,0),資金模擬!$B$6)))</f>
        <v/>
      </c>
      <c r="W671" s="13">
        <f>MAX(W670,R671)</f>
        <v/>
      </c>
      <c r="X671" s="4">
        <f>IF(W671&gt;0,R671/W671-1,-1)</f>
        <v/>
      </c>
      <c r="Y671" s="19">
        <f>IF(R671&gt;0,S671*資金模擬!$B$7/R671,0)</f>
        <v/>
      </c>
      <c r="Z671" s="2">
        <f>IF(OR(Z670=1,R671&lt;=資金模擬!$B$10),1,0)</f>
        <v/>
      </c>
    </row>
    <row r="672">
      <c r="A672" s="2" t="n">
        <v>670</v>
      </c>
      <c r="B672" s="7" t="n">
        <v>46286.25</v>
      </c>
      <c r="C672" s="2" t="inlineStr">
        <is>
          <t>出場</t>
        </is>
      </c>
      <c r="D672" s="2" t="n">
        <v>336</v>
      </c>
      <c r="E672" s="2" t="inlineStr">
        <is>
          <t>LSK_USDT_PERP</t>
        </is>
      </c>
      <c r="F672" s="2" t="inlineStr">
        <is>
          <t>做空</t>
        </is>
      </c>
      <c r="G672" s="20" t="n">
        <v>0.3786</v>
      </c>
      <c r="H672" s="20" t="n">
        <v>0.367242</v>
      </c>
      <c r="I672" s="20" t="n">
        <v>0.39753</v>
      </c>
      <c r="J672" s="20" t="n">
        <v>0.367242</v>
      </c>
      <c r="K672" s="2" t="inlineStr">
        <is>
          <t>止盈</t>
        </is>
      </c>
      <c r="L672" s="5">
        <f>交易明細!K337</f>
        <v/>
      </c>
      <c r="M672" s="19">
        <f>M668</f>
        <v/>
      </c>
      <c r="N672" s="2">
        <f>N668</f>
        <v/>
      </c>
      <c r="O672" s="19">
        <f>O668</f>
        <v/>
      </c>
      <c r="P672" s="4">
        <f>交易明細!L337</f>
        <v/>
      </c>
      <c r="Q672" s="13">
        <f>IF(N672="已下單",O672*P672,0)</f>
        <v/>
      </c>
      <c r="R672" s="13">
        <f>R671+Q672</f>
        <v/>
      </c>
      <c r="S672" s="19">
        <f>S671-IF(N672="已下單",M672,0)</f>
        <v/>
      </c>
      <c r="T672" s="19">
        <f>R672-S672</f>
        <v/>
      </c>
      <c r="U672" s="2">
        <f>U671-IF(N672="已下單",1,0)</f>
        <v/>
      </c>
      <c r="V672" s="19">
        <f>IF(資金模擬!$B$9=2,MAX(R672,0),MAX(V671,FLOOR(MAX(R672,0),資金模擬!$B$6)))</f>
        <v/>
      </c>
      <c r="W672" s="13">
        <f>MAX(W671,R672)</f>
        <v/>
      </c>
      <c r="X672" s="4">
        <f>IF(W672&gt;0,R672/W672-1,-1)</f>
        <v/>
      </c>
      <c r="Y672" s="19">
        <f>IF(R672&gt;0,S672*資金模擬!$B$7/R672,0)</f>
        <v/>
      </c>
      <c r="Z672" s="2">
        <f>IF(OR(Z671=1,R672&lt;=資金模擬!$B$10),1,0)</f>
        <v/>
      </c>
    </row>
    <row r="673">
      <c r="A673" s="2" t="n">
        <v>671</v>
      </c>
      <c r="B673" s="7" t="n">
        <v>46286.25</v>
      </c>
      <c r="C673" s="2" t="inlineStr">
        <is>
          <t>出場</t>
        </is>
      </c>
      <c r="D673" s="2" t="n">
        <v>339</v>
      </c>
      <c r="E673" s="2" t="inlineStr">
        <is>
          <t>AKE_USDT_PERP</t>
        </is>
      </c>
      <c r="F673" s="2" t="inlineStr">
        <is>
          <t>做空</t>
        </is>
      </c>
      <c r="G673" s="20" t="n">
        <v>0.058871</v>
      </c>
      <c r="H673" s="20" t="n">
        <v>0.05710487</v>
      </c>
      <c r="I673" s="20" t="n">
        <v>0.06181455</v>
      </c>
      <c r="J673" s="20" t="n">
        <v>0.06181455</v>
      </c>
      <c r="K673" s="2" t="inlineStr">
        <is>
          <t>止損</t>
        </is>
      </c>
      <c r="L673" s="5">
        <f>交易明細!K340</f>
        <v/>
      </c>
      <c r="M673" s="19">
        <f>M671</f>
        <v/>
      </c>
      <c r="N673" s="2">
        <f>N671</f>
        <v/>
      </c>
      <c r="O673" s="19">
        <f>O671</f>
        <v/>
      </c>
      <c r="P673" s="4">
        <f>交易明細!L340</f>
        <v/>
      </c>
      <c r="Q673" s="13">
        <f>IF(N673="已下單",O673*P673,0)</f>
        <v/>
      </c>
      <c r="R673" s="13">
        <f>R672+Q673</f>
        <v/>
      </c>
      <c r="S673" s="19">
        <f>S672-IF(N673="已下單",M673,0)</f>
        <v/>
      </c>
      <c r="T673" s="19">
        <f>R673-S673</f>
        <v/>
      </c>
      <c r="U673" s="2">
        <f>U672-IF(N673="已下單",1,0)</f>
        <v/>
      </c>
      <c r="V673" s="19">
        <f>IF(資金模擬!$B$9=2,MAX(R673,0),MAX(V672,FLOOR(MAX(R673,0),資金模擬!$B$6)))</f>
        <v/>
      </c>
      <c r="W673" s="13">
        <f>MAX(W672,R673)</f>
        <v/>
      </c>
      <c r="X673" s="4">
        <f>IF(W673&gt;0,R673/W673-1,-1)</f>
        <v/>
      </c>
      <c r="Y673" s="19">
        <f>IF(R673&gt;0,S673*資金模擬!$B$7/R673,0)</f>
        <v/>
      </c>
      <c r="Z673" s="2">
        <f>IF(OR(Z672=1,R673&lt;=資金模擬!$B$10),1,0)</f>
        <v/>
      </c>
    </row>
    <row r="674">
      <c r="A674" s="2" t="n">
        <v>672</v>
      </c>
      <c r="B674" s="7" t="n">
        <v>46286.29166666666</v>
      </c>
      <c r="C674" s="2" t="inlineStr">
        <is>
          <t>出場</t>
        </is>
      </c>
      <c r="D674" s="2" t="n">
        <v>334</v>
      </c>
      <c r="E674" s="2" t="inlineStr">
        <is>
          <t>ARB_USDT_PERP</t>
        </is>
      </c>
      <c r="F674" s="2" t="inlineStr">
        <is>
          <t>做多</t>
        </is>
      </c>
      <c r="G674" s="20" t="n">
        <v>0.2115</v>
      </c>
      <c r="H674" s="20" t="n">
        <v>0.217845</v>
      </c>
      <c r="I674" s="20" t="n">
        <v>0.200925</v>
      </c>
      <c r="J674" s="20" t="n">
        <v>0.217845</v>
      </c>
      <c r="K674" s="2" t="inlineStr">
        <is>
          <t>止盈</t>
        </is>
      </c>
      <c r="L674" s="5">
        <f>交易明細!K335</f>
        <v/>
      </c>
      <c r="M674" s="19">
        <f>M665</f>
        <v/>
      </c>
      <c r="N674" s="2">
        <f>N665</f>
        <v/>
      </c>
      <c r="O674" s="19">
        <f>O665</f>
        <v/>
      </c>
      <c r="P674" s="4">
        <f>交易明細!L335</f>
        <v/>
      </c>
      <c r="Q674" s="13">
        <f>IF(N674="已下單",O674*P674,0)</f>
        <v/>
      </c>
      <c r="R674" s="13">
        <f>R673+Q674</f>
        <v/>
      </c>
      <c r="S674" s="19">
        <f>S673-IF(N674="已下單",M674,0)</f>
        <v/>
      </c>
      <c r="T674" s="19">
        <f>R674-S674</f>
        <v/>
      </c>
      <c r="U674" s="2">
        <f>U673-IF(N674="已下單",1,0)</f>
        <v/>
      </c>
      <c r="V674" s="19">
        <f>IF(資金模擬!$B$9=2,MAX(R674,0),MAX(V673,FLOOR(MAX(R674,0),資金模擬!$B$6)))</f>
        <v/>
      </c>
      <c r="W674" s="13">
        <f>MAX(W673,R674)</f>
        <v/>
      </c>
      <c r="X674" s="4">
        <f>IF(W674&gt;0,R674/W674-1,-1)</f>
        <v/>
      </c>
      <c r="Y674" s="19">
        <f>IF(R674&gt;0,S674*資金模擬!$B$7/R674,0)</f>
        <v/>
      </c>
      <c r="Z674" s="2">
        <f>IF(OR(Z673=1,R674&lt;=資金模擬!$B$10),1,0)</f>
        <v/>
      </c>
    </row>
    <row r="675">
      <c r="A675" s="2" t="n">
        <v>673</v>
      </c>
      <c r="B675" s="7" t="n">
        <v>46286.29166666666</v>
      </c>
      <c r="C675" s="2" t="inlineStr">
        <is>
          <t>進場</t>
        </is>
      </c>
      <c r="D675" s="2" t="n">
        <v>340</v>
      </c>
      <c r="E675" s="2" t="inlineStr">
        <is>
          <t>VVV_USDT_PERP</t>
        </is>
      </c>
      <c r="F675" s="2" t="inlineStr">
        <is>
          <t>做多</t>
        </is>
      </c>
      <c r="G675" s="20" t="n">
        <v>28.767</v>
      </c>
      <c r="H675" s="20" t="n">
        <v>29.63001</v>
      </c>
      <c r="I675" s="20" t="n">
        <v>27.32865</v>
      </c>
      <c r="J675" s="20" t="n"/>
      <c r="K675" s="2" t="n"/>
      <c r="L675" s="5" t="n"/>
      <c r="M675" s="19">
        <f>資金模擬!$B$5*V674</f>
        <v/>
      </c>
      <c r="N675" s="2">
        <f>IF(Z674=1,"已停止",IF(T674&gt;=M675,"已下單","資金不足略過"))</f>
        <v/>
      </c>
      <c r="O675" s="19">
        <f>IF(N675="已下單",M675*資金模擬!$B$7,0)</f>
        <v/>
      </c>
      <c r="P675" s="4" t="n"/>
      <c r="Q675" s="13" t="n">
        <v>0</v>
      </c>
      <c r="R675" s="13">
        <f>R674+Q675</f>
        <v/>
      </c>
      <c r="S675" s="19">
        <f>S674+IF(N675="已下單",M675,0)</f>
        <v/>
      </c>
      <c r="T675" s="19">
        <f>R675-S675</f>
        <v/>
      </c>
      <c r="U675" s="2">
        <f>U674+IF(N675="已下單",1,0)</f>
        <v/>
      </c>
      <c r="V675" s="19">
        <f>IF(資金模擬!$B$9=2,MAX(R675,0),MAX(V674,FLOOR(MAX(R675,0),資金模擬!$B$6)))</f>
        <v/>
      </c>
      <c r="W675" s="13">
        <f>MAX(W674,R675)</f>
        <v/>
      </c>
      <c r="X675" s="4">
        <f>IF(W675&gt;0,R675/W675-1,-1)</f>
        <v/>
      </c>
      <c r="Y675" s="19">
        <f>IF(R675&gt;0,S675*資金模擬!$B$7/R675,0)</f>
        <v/>
      </c>
      <c r="Z675" s="2">
        <f>IF(OR(Z674=1,R675&lt;=資金模擬!$B$10),1,0)</f>
        <v/>
      </c>
    </row>
    <row r="676">
      <c r="A676" s="2" t="n">
        <v>674</v>
      </c>
      <c r="B676" s="7" t="n">
        <v>46286.33333333334</v>
      </c>
      <c r="C676" s="2" t="inlineStr">
        <is>
          <t>出場</t>
        </is>
      </c>
      <c r="D676" s="2" t="n">
        <v>337</v>
      </c>
      <c r="E676" s="2" t="inlineStr">
        <is>
          <t>PONS_USDT_PERP</t>
        </is>
      </c>
      <c r="F676" s="2" t="inlineStr">
        <is>
          <t>做空</t>
        </is>
      </c>
      <c r="G676" s="20" t="n">
        <v>0.5704</v>
      </c>
      <c r="H676" s="20" t="n">
        <v>0.553288</v>
      </c>
      <c r="I676" s="20" t="n">
        <v>0.59892</v>
      </c>
      <c r="J676" s="20" t="n">
        <v>0.59892</v>
      </c>
      <c r="K676" s="2" t="inlineStr">
        <is>
          <t>止損</t>
        </is>
      </c>
      <c r="L676" s="5">
        <f>交易明細!K338</f>
        <v/>
      </c>
      <c r="M676" s="19">
        <f>M669</f>
        <v/>
      </c>
      <c r="N676" s="2">
        <f>N669</f>
        <v/>
      </c>
      <c r="O676" s="19">
        <f>O669</f>
        <v/>
      </c>
      <c r="P676" s="4">
        <f>交易明細!L338</f>
        <v/>
      </c>
      <c r="Q676" s="13">
        <f>IF(N676="已下單",O676*P676,0)</f>
        <v/>
      </c>
      <c r="R676" s="13">
        <f>R675+Q676</f>
        <v/>
      </c>
      <c r="S676" s="19">
        <f>S675-IF(N676="已下單",M676,0)</f>
        <v/>
      </c>
      <c r="T676" s="19">
        <f>R676-S676</f>
        <v/>
      </c>
      <c r="U676" s="2">
        <f>U675-IF(N676="已下單",1,0)</f>
        <v/>
      </c>
      <c r="V676" s="19">
        <f>IF(資金模擬!$B$9=2,MAX(R676,0),MAX(V675,FLOOR(MAX(R676,0),資金模擬!$B$6)))</f>
        <v/>
      </c>
      <c r="W676" s="13">
        <f>MAX(W675,R676)</f>
        <v/>
      </c>
      <c r="X676" s="4">
        <f>IF(W676&gt;0,R676/W676-1,-1)</f>
        <v/>
      </c>
      <c r="Y676" s="19">
        <f>IF(R676&gt;0,S676*資金模擬!$B$7/R676,0)</f>
        <v/>
      </c>
      <c r="Z676" s="2">
        <f>IF(OR(Z675=1,R676&lt;=資金模擬!$B$10),1,0)</f>
        <v/>
      </c>
    </row>
    <row r="677">
      <c r="A677" s="2" t="n">
        <v>675</v>
      </c>
      <c r="B677" s="7" t="n">
        <v>46286.33333333334</v>
      </c>
      <c r="C677" s="2" t="inlineStr">
        <is>
          <t>進場</t>
        </is>
      </c>
      <c r="D677" s="2" t="n">
        <v>341</v>
      </c>
      <c r="E677" s="2" t="inlineStr">
        <is>
          <t>BR_USDT_PERP</t>
        </is>
      </c>
      <c r="F677" s="2" t="inlineStr">
        <is>
          <t>做多</t>
        </is>
      </c>
      <c r="G677" s="20" t="n">
        <v>1.19252</v>
      </c>
      <c r="H677" s="20" t="n">
        <v>1.2282956</v>
      </c>
      <c r="I677" s="20" t="n">
        <v>1.132894</v>
      </c>
      <c r="J677" s="20" t="n"/>
      <c r="K677" s="2" t="n"/>
      <c r="L677" s="5" t="n"/>
      <c r="M677" s="19">
        <f>資金模擬!$B$5*V676</f>
        <v/>
      </c>
      <c r="N677" s="2">
        <f>IF(Z676=1,"已停止",IF(T676&gt;=M677,"已下單","資金不足略過"))</f>
        <v/>
      </c>
      <c r="O677" s="19">
        <f>IF(N677="已下單",M677*資金模擬!$B$7,0)</f>
        <v/>
      </c>
      <c r="P677" s="4" t="n"/>
      <c r="Q677" s="13" t="n">
        <v>0</v>
      </c>
      <c r="R677" s="13">
        <f>R676+Q677</f>
        <v/>
      </c>
      <c r="S677" s="19">
        <f>S676+IF(N677="已下單",M677,0)</f>
        <v/>
      </c>
      <c r="T677" s="19">
        <f>R677-S677</f>
        <v/>
      </c>
      <c r="U677" s="2">
        <f>U676+IF(N677="已下單",1,0)</f>
        <v/>
      </c>
      <c r="V677" s="19">
        <f>IF(資金模擬!$B$9=2,MAX(R677,0),MAX(V676,FLOOR(MAX(R677,0),資金模擬!$B$6)))</f>
        <v/>
      </c>
      <c r="W677" s="13">
        <f>MAX(W676,R677)</f>
        <v/>
      </c>
      <c r="X677" s="4">
        <f>IF(W677&gt;0,R677/W677-1,-1)</f>
        <v/>
      </c>
      <c r="Y677" s="19">
        <f>IF(R677&gt;0,S677*資金模擬!$B$7/R677,0)</f>
        <v/>
      </c>
      <c r="Z677" s="2">
        <f>IF(OR(Z676=1,R677&lt;=資金模擬!$B$10),1,0)</f>
        <v/>
      </c>
    </row>
    <row r="678">
      <c r="A678" s="2" t="n">
        <v>676</v>
      </c>
      <c r="B678" s="7" t="n">
        <v>46286.33333333334</v>
      </c>
      <c r="C678" s="2" t="inlineStr">
        <is>
          <t>進場</t>
        </is>
      </c>
      <c r="D678" s="2" t="n">
        <v>342</v>
      </c>
      <c r="E678" s="2" t="inlineStr">
        <is>
          <t>ZAMA_USDT_PERP</t>
        </is>
      </c>
      <c r="F678" s="2" t="inlineStr">
        <is>
          <t>做空</t>
        </is>
      </c>
      <c r="G678" s="20" t="n">
        <v>0.08348</v>
      </c>
      <c r="H678" s="20" t="n">
        <v>0.08097559999999999</v>
      </c>
      <c r="I678" s="20" t="n">
        <v>0.087654</v>
      </c>
      <c r="J678" s="20" t="n"/>
      <c r="K678" s="2" t="n"/>
      <c r="L678" s="5" t="n"/>
      <c r="M678" s="19">
        <f>資金模擬!$B$5*V677</f>
        <v/>
      </c>
      <c r="N678" s="2">
        <f>IF(Z677=1,"已停止",IF(T677&gt;=M678,"已下單","資金不足略過"))</f>
        <v/>
      </c>
      <c r="O678" s="19">
        <f>IF(N678="已下單",M678*資金模擬!$B$7,0)</f>
        <v/>
      </c>
      <c r="P678" s="4" t="n"/>
      <c r="Q678" s="13" t="n">
        <v>0</v>
      </c>
      <c r="R678" s="13">
        <f>R677+Q678</f>
        <v/>
      </c>
      <c r="S678" s="19">
        <f>S677+IF(N678="已下單",M678,0)</f>
        <v/>
      </c>
      <c r="T678" s="19">
        <f>R678-S678</f>
        <v/>
      </c>
      <c r="U678" s="2">
        <f>U677+IF(N678="已下單",1,0)</f>
        <v/>
      </c>
      <c r="V678" s="19">
        <f>IF(資金模擬!$B$9=2,MAX(R678,0),MAX(V677,FLOOR(MAX(R678,0),資金模擬!$B$6)))</f>
        <v/>
      </c>
      <c r="W678" s="13">
        <f>MAX(W677,R678)</f>
        <v/>
      </c>
      <c r="X678" s="4">
        <f>IF(W678&gt;0,R678/W678-1,-1)</f>
        <v/>
      </c>
      <c r="Y678" s="19">
        <f>IF(R678&gt;0,S678*資金模擬!$B$7/R678,0)</f>
        <v/>
      </c>
      <c r="Z678" s="2">
        <f>IF(OR(Z677=1,R678&lt;=資金模擬!$B$10),1,0)</f>
        <v/>
      </c>
    </row>
    <row r="679">
      <c r="A679" s="2" t="n">
        <v>677</v>
      </c>
      <c r="B679" s="7" t="n">
        <v>46286.375</v>
      </c>
      <c r="C679" s="2" t="inlineStr">
        <is>
          <t>出場</t>
        </is>
      </c>
      <c r="D679" s="2" t="n">
        <v>333</v>
      </c>
      <c r="E679" s="2" t="inlineStr">
        <is>
          <t>PIEVERSE_USDT_PERP</t>
        </is>
      </c>
      <c r="F679" s="2" t="inlineStr">
        <is>
          <t>做空</t>
        </is>
      </c>
      <c r="G679" s="20" t="n">
        <v>1.5856</v>
      </c>
      <c r="H679" s="20" t="n">
        <v>1.538032</v>
      </c>
      <c r="I679" s="20" t="n">
        <v>1.66488</v>
      </c>
      <c r="J679" s="20" t="n">
        <v>1.66488</v>
      </c>
      <c r="K679" s="2" t="inlineStr">
        <is>
          <t>止損</t>
        </is>
      </c>
      <c r="L679" s="5">
        <f>交易明細!K334</f>
        <v/>
      </c>
      <c r="M679" s="19">
        <f>M661</f>
        <v/>
      </c>
      <c r="N679" s="2">
        <f>N661</f>
        <v/>
      </c>
      <c r="O679" s="19">
        <f>O661</f>
        <v/>
      </c>
      <c r="P679" s="4">
        <f>交易明細!L334</f>
        <v/>
      </c>
      <c r="Q679" s="13">
        <f>IF(N679="已下單",O679*P679,0)</f>
        <v/>
      </c>
      <c r="R679" s="13">
        <f>R678+Q679</f>
        <v/>
      </c>
      <c r="S679" s="19">
        <f>S678-IF(N679="已下單",M679,0)</f>
        <v/>
      </c>
      <c r="T679" s="19">
        <f>R679-S679</f>
        <v/>
      </c>
      <c r="U679" s="2">
        <f>U678-IF(N679="已下單",1,0)</f>
        <v/>
      </c>
      <c r="V679" s="19">
        <f>IF(資金模擬!$B$9=2,MAX(R679,0),MAX(V678,FLOOR(MAX(R679,0),資金模擬!$B$6)))</f>
        <v/>
      </c>
      <c r="W679" s="13">
        <f>MAX(W678,R679)</f>
        <v/>
      </c>
      <c r="X679" s="4">
        <f>IF(W679&gt;0,R679/W679-1,-1)</f>
        <v/>
      </c>
      <c r="Y679" s="19">
        <f>IF(R679&gt;0,S679*資金模擬!$B$7/R679,0)</f>
        <v/>
      </c>
      <c r="Z679" s="2">
        <f>IF(OR(Z678=1,R679&lt;=資金模擬!$B$10),1,0)</f>
        <v/>
      </c>
    </row>
    <row r="680">
      <c r="A680" s="2" t="n">
        <v>678</v>
      </c>
      <c r="B680" s="7" t="n">
        <v>46286.375</v>
      </c>
      <c r="C680" s="2" t="inlineStr">
        <is>
          <t>出場</t>
        </is>
      </c>
      <c r="D680" s="2" t="n">
        <v>335</v>
      </c>
      <c r="E680" s="2" t="inlineStr">
        <is>
          <t>LIT_USDT_PERP</t>
        </is>
      </c>
      <c r="F680" s="2" t="inlineStr">
        <is>
          <t>做空</t>
        </is>
      </c>
      <c r="G680" s="20" t="n">
        <v>4.649</v>
      </c>
      <c r="H680" s="20" t="n">
        <v>4.50953</v>
      </c>
      <c r="I680" s="20" t="n">
        <v>4.88145</v>
      </c>
      <c r="J680" s="20" t="n">
        <v>4.88145</v>
      </c>
      <c r="K680" s="2" t="inlineStr">
        <is>
          <t>止損</t>
        </is>
      </c>
      <c r="L680" s="5">
        <f>交易明細!K336</f>
        <v/>
      </c>
      <c r="M680" s="19">
        <f>M667</f>
        <v/>
      </c>
      <c r="N680" s="2">
        <f>N667</f>
        <v/>
      </c>
      <c r="O680" s="19">
        <f>O667</f>
        <v/>
      </c>
      <c r="P680" s="4">
        <f>交易明細!L336</f>
        <v/>
      </c>
      <c r="Q680" s="13">
        <f>IF(N680="已下單",O680*P680,0)</f>
        <v/>
      </c>
      <c r="R680" s="13">
        <f>R679+Q680</f>
        <v/>
      </c>
      <c r="S680" s="19">
        <f>S679-IF(N680="已下單",M680,0)</f>
        <v/>
      </c>
      <c r="T680" s="19">
        <f>R680-S680</f>
        <v/>
      </c>
      <c r="U680" s="2">
        <f>U679-IF(N680="已下單",1,0)</f>
        <v/>
      </c>
      <c r="V680" s="19">
        <f>IF(資金模擬!$B$9=2,MAX(R680,0),MAX(V679,FLOOR(MAX(R680,0),資金模擬!$B$6)))</f>
        <v/>
      </c>
      <c r="W680" s="13">
        <f>MAX(W679,R680)</f>
        <v/>
      </c>
      <c r="X680" s="4">
        <f>IF(W680&gt;0,R680/W680-1,-1)</f>
        <v/>
      </c>
      <c r="Y680" s="19">
        <f>IF(R680&gt;0,S680*資金模擬!$B$7/R680,0)</f>
        <v/>
      </c>
      <c r="Z680" s="2">
        <f>IF(OR(Z679=1,R680&lt;=資金模擬!$B$10),1,0)</f>
        <v/>
      </c>
    </row>
    <row r="681">
      <c r="A681" s="2" t="n">
        <v>679</v>
      </c>
      <c r="B681" s="7" t="n">
        <v>46286.375</v>
      </c>
      <c r="C681" s="2" t="inlineStr">
        <is>
          <t>出場</t>
        </is>
      </c>
      <c r="D681" s="2" t="n">
        <v>338</v>
      </c>
      <c r="E681" s="2" t="inlineStr">
        <is>
          <t>ONDO_USDT_PERP</t>
        </is>
      </c>
      <c r="F681" s="2" t="inlineStr">
        <is>
          <t>做多</t>
        </is>
      </c>
      <c r="G681" s="20" t="n">
        <v>0.4278</v>
      </c>
      <c r="H681" s="20" t="n">
        <v>0.440634</v>
      </c>
      <c r="I681" s="20" t="n">
        <v>0.40641</v>
      </c>
      <c r="J681" s="20" t="n">
        <v>0.440634</v>
      </c>
      <c r="K681" s="2" t="inlineStr">
        <is>
          <t>止盈</t>
        </is>
      </c>
      <c r="L681" s="5">
        <f>交易明細!K339</f>
        <v/>
      </c>
      <c r="M681" s="19">
        <f>M670</f>
        <v/>
      </c>
      <c r="N681" s="2">
        <f>N670</f>
        <v/>
      </c>
      <c r="O681" s="19">
        <f>O670</f>
        <v/>
      </c>
      <c r="P681" s="4">
        <f>交易明細!L339</f>
        <v/>
      </c>
      <c r="Q681" s="13">
        <f>IF(N681="已下單",O681*P681,0)</f>
        <v/>
      </c>
      <c r="R681" s="13">
        <f>R680+Q681</f>
        <v/>
      </c>
      <c r="S681" s="19">
        <f>S680-IF(N681="已下單",M681,0)</f>
        <v/>
      </c>
      <c r="T681" s="19">
        <f>R681-S681</f>
        <v/>
      </c>
      <c r="U681" s="2">
        <f>U680-IF(N681="已下單",1,0)</f>
        <v/>
      </c>
      <c r="V681" s="19">
        <f>IF(資金模擬!$B$9=2,MAX(R681,0),MAX(V680,FLOOR(MAX(R681,0),資金模擬!$B$6)))</f>
        <v/>
      </c>
      <c r="W681" s="13">
        <f>MAX(W680,R681)</f>
        <v/>
      </c>
      <c r="X681" s="4">
        <f>IF(W681&gt;0,R681/W681-1,-1)</f>
        <v/>
      </c>
      <c r="Y681" s="19">
        <f>IF(R681&gt;0,S681*資金模擬!$B$7/R681,0)</f>
        <v/>
      </c>
      <c r="Z681" s="2">
        <f>IF(OR(Z680=1,R681&lt;=資金模擬!$B$10),1,0)</f>
        <v/>
      </c>
    </row>
    <row r="682">
      <c r="A682" s="2" t="n">
        <v>680</v>
      </c>
      <c r="B682" s="7" t="n">
        <v>46286.375</v>
      </c>
      <c r="C682" s="2" t="inlineStr">
        <is>
          <t>出場</t>
        </is>
      </c>
      <c r="D682" s="2" t="n">
        <v>340</v>
      </c>
      <c r="E682" s="2" t="inlineStr">
        <is>
          <t>VVV_USDT_PERP</t>
        </is>
      </c>
      <c r="F682" s="2" t="inlineStr">
        <is>
          <t>做多</t>
        </is>
      </c>
      <c r="G682" s="20" t="n">
        <v>28.767</v>
      </c>
      <c r="H682" s="20" t="n">
        <v>29.63001</v>
      </c>
      <c r="I682" s="20" t="n">
        <v>27.32865</v>
      </c>
      <c r="J682" s="20" t="n">
        <v>29.63001</v>
      </c>
      <c r="K682" s="2" t="inlineStr">
        <is>
          <t>止盈</t>
        </is>
      </c>
      <c r="L682" s="5">
        <f>交易明細!K341</f>
        <v/>
      </c>
      <c r="M682" s="19">
        <f>M675</f>
        <v/>
      </c>
      <c r="N682" s="2">
        <f>N675</f>
        <v/>
      </c>
      <c r="O682" s="19">
        <f>O675</f>
        <v/>
      </c>
      <c r="P682" s="4">
        <f>交易明細!L341</f>
        <v/>
      </c>
      <c r="Q682" s="13">
        <f>IF(N682="已下單",O682*P682,0)</f>
        <v/>
      </c>
      <c r="R682" s="13">
        <f>R681+Q682</f>
        <v/>
      </c>
      <c r="S682" s="19">
        <f>S681-IF(N682="已下單",M682,0)</f>
        <v/>
      </c>
      <c r="T682" s="19">
        <f>R682-S682</f>
        <v/>
      </c>
      <c r="U682" s="2">
        <f>U681-IF(N682="已下單",1,0)</f>
        <v/>
      </c>
      <c r="V682" s="19">
        <f>IF(資金模擬!$B$9=2,MAX(R682,0),MAX(V681,FLOOR(MAX(R682,0),資金模擬!$B$6)))</f>
        <v/>
      </c>
      <c r="W682" s="13">
        <f>MAX(W681,R682)</f>
        <v/>
      </c>
      <c r="X682" s="4">
        <f>IF(W682&gt;0,R682/W682-1,-1)</f>
        <v/>
      </c>
      <c r="Y682" s="19">
        <f>IF(R682&gt;0,S682*資金模擬!$B$7/R682,0)</f>
        <v/>
      </c>
      <c r="Z682" s="2">
        <f>IF(OR(Z681=1,R682&lt;=資金模擬!$B$10),1,0)</f>
        <v/>
      </c>
    </row>
    <row r="683">
      <c r="A683" s="2" t="n">
        <v>681</v>
      </c>
      <c r="B683" s="7" t="n">
        <v>46286.41666666666</v>
      </c>
      <c r="C683" s="2" t="inlineStr">
        <is>
          <t>出場</t>
        </is>
      </c>
      <c r="D683" s="2" t="n">
        <v>330</v>
      </c>
      <c r="E683" s="2" t="inlineStr">
        <is>
          <t>FIL_USDT_PERP</t>
        </is>
      </c>
      <c r="F683" s="2" t="inlineStr">
        <is>
          <t>做空</t>
        </is>
      </c>
      <c r="G683" s="20" t="n">
        <v>0.918</v>
      </c>
      <c r="H683" s="20" t="n">
        <v>0.89046</v>
      </c>
      <c r="I683" s="20" t="n">
        <v>0.9639000000000001</v>
      </c>
      <c r="J683" s="20" t="n">
        <v>0.9639000000000001</v>
      </c>
      <c r="K683" s="2" t="inlineStr">
        <is>
          <t>止損</t>
        </is>
      </c>
      <c r="L683" s="5">
        <f>交易明細!K331</f>
        <v/>
      </c>
      <c r="M683" s="19">
        <f>M654</f>
        <v/>
      </c>
      <c r="N683" s="2">
        <f>N654</f>
        <v/>
      </c>
      <c r="O683" s="19">
        <f>O654</f>
        <v/>
      </c>
      <c r="P683" s="4">
        <f>交易明細!L331</f>
        <v/>
      </c>
      <c r="Q683" s="13">
        <f>IF(N683="已下單",O683*P683,0)</f>
        <v/>
      </c>
      <c r="R683" s="13">
        <f>R682+Q683</f>
        <v/>
      </c>
      <c r="S683" s="19">
        <f>S682-IF(N683="已下單",M683,0)</f>
        <v/>
      </c>
      <c r="T683" s="19">
        <f>R683-S683</f>
        <v/>
      </c>
      <c r="U683" s="2">
        <f>U682-IF(N683="已下單",1,0)</f>
        <v/>
      </c>
      <c r="V683" s="19">
        <f>IF(資金模擬!$B$9=2,MAX(R683,0),MAX(V682,FLOOR(MAX(R683,0),資金模擬!$B$6)))</f>
        <v/>
      </c>
      <c r="W683" s="13">
        <f>MAX(W682,R683)</f>
        <v/>
      </c>
      <c r="X683" s="4">
        <f>IF(W683&gt;0,R683/W683-1,-1)</f>
        <v/>
      </c>
      <c r="Y683" s="19">
        <f>IF(R683&gt;0,S683*資金模擬!$B$7/R683,0)</f>
        <v/>
      </c>
      <c r="Z683" s="2">
        <f>IF(OR(Z682=1,R683&lt;=資金模擬!$B$10),1,0)</f>
        <v/>
      </c>
    </row>
    <row r="684">
      <c r="A684" s="2" t="n">
        <v>682</v>
      </c>
      <c r="B684" s="7" t="n">
        <v>46286.41666666666</v>
      </c>
      <c r="C684" s="2" t="inlineStr">
        <is>
          <t>出場</t>
        </is>
      </c>
      <c r="D684" s="2" t="n">
        <v>341</v>
      </c>
      <c r="E684" s="2" t="inlineStr">
        <is>
          <t>BR_USDT_PERP</t>
        </is>
      </c>
      <c r="F684" s="2" t="inlineStr">
        <is>
          <t>做多</t>
        </is>
      </c>
      <c r="G684" s="20" t="n">
        <v>1.19252</v>
      </c>
      <c r="H684" s="20" t="n">
        <v>1.2282956</v>
      </c>
      <c r="I684" s="20" t="n">
        <v>1.132894</v>
      </c>
      <c r="J684" s="20" t="n">
        <v>1.2282956</v>
      </c>
      <c r="K684" s="2" t="inlineStr">
        <is>
          <t>止盈</t>
        </is>
      </c>
      <c r="L684" s="5">
        <f>交易明細!K342</f>
        <v/>
      </c>
      <c r="M684" s="19">
        <f>M677</f>
        <v/>
      </c>
      <c r="N684" s="2">
        <f>N677</f>
        <v/>
      </c>
      <c r="O684" s="19">
        <f>O677</f>
        <v/>
      </c>
      <c r="P684" s="4">
        <f>交易明細!L342</f>
        <v/>
      </c>
      <c r="Q684" s="13">
        <f>IF(N684="已下單",O684*P684,0)</f>
        <v/>
      </c>
      <c r="R684" s="13">
        <f>R683+Q684</f>
        <v/>
      </c>
      <c r="S684" s="19">
        <f>S683-IF(N684="已下單",M684,0)</f>
        <v/>
      </c>
      <c r="T684" s="19">
        <f>R684-S684</f>
        <v/>
      </c>
      <c r="U684" s="2">
        <f>U683-IF(N684="已下單",1,0)</f>
        <v/>
      </c>
      <c r="V684" s="19">
        <f>IF(資金模擬!$B$9=2,MAX(R684,0),MAX(V683,FLOOR(MAX(R684,0),資金模擬!$B$6)))</f>
        <v/>
      </c>
      <c r="W684" s="13">
        <f>MAX(W683,R684)</f>
        <v/>
      </c>
      <c r="X684" s="4">
        <f>IF(W684&gt;0,R684/W684-1,-1)</f>
        <v/>
      </c>
      <c r="Y684" s="19">
        <f>IF(R684&gt;0,S684*資金模擬!$B$7/R684,0)</f>
        <v/>
      </c>
      <c r="Z684" s="2">
        <f>IF(OR(Z683=1,R684&lt;=資金模擬!$B$10),1,0)</f>
        <v/>
      </c>
    </row>
    <row r="685">
      <c r="A685" s="2" t="n">
        <v>683</v>
      </c>
      <c r="B685" s="7" t="n">
        <v>46286.41666666666</v>
      </c>
      <c r="C685" s="2" t="inlineStr">
        <is>
          <t>出場</t>
        </is>
      </c>
      <c r="D685" s="2" t="n">
        <v>342</v>
      </c>
      <c r="E685" s="2" t="inlineStr">
        <is>
          <t>ZAMA_USDT_PERP</t>
        </is>
      </c>
      <c r="F685" s="2" t="inlineStr">
        <is>
          <t>做空</t>
        </is>
      </c>
      <c r="G685" s="20" t="n">
        <v>0.08348</v>
      </c>
      <c r="H685" s="20" t="n">
        <v>0.08097559999999999</v>
      </c>
      <c r="I685" s="20" t="n">
        <v>0.087654</v>
      </c>
      <c r="J685" s="20" t="n">
        <v>0.087654</v>
      </c>
      <c r="K685" s="2" t="inlineStr">
        <is>
          <t>止損</t>
        </is>
      </c>
      <c r="L685" s="5">
        <f>交易明細!K343</f>
        <v/>
      </c>
      <c r="M685" s="19">
        <f>M678</f>
        <v/>
      </c>
      <c r="N685" s="2">
        <f>N678</f>
        <v/>
      </c>
      <c r="O685" s="19">
        <f>O678</f>
        <v/>
      </c>
      <c r="P685" s="4">
        <f>交易明細!L343</f>
        <v/>
      </c>
      <c r="Q685" s="13">
        <f>IF(N685="已下單",O685*P685,0)</f>
        <v/>
      </c>
      <c r="R685" s="13">
        <f>R684+Q685</f>
        <v/>
      </c>
      <c r="S685" s="19">
        <f>S684-IF(N685="已下單",M685,0)</f>
        <v/>
      </c>
      <c r="T685" s="19">
        <f>R685-S685</f>
        <v/>
      </c>
      <c r="U685" s="2">
        <f>U684-IF(N685="已下單",1,0)</f>
        <v/>
      </c>
      <c r="V685" s="19">
        <f>IF(資金模擬!$B$9=2,MAX(R685,0),MAX(V684,FLOOR(MAX(R685,0),資金模擬!$B$6)))</f>
        <v/>
      </c>
      <c r="W685" s="13">
        <f>MAX(W684,R685)</f>
        <v/>
      </c>
      <c r="X685" s="4">
        <f>IF(W685&gt;0,R685/W685-1,-1)</f>
        <v/>
      </c>
      <c r="Y685" s="19">
        <f>IF(R685&gt;0,S685*資金模擬!$B$7/R685,0)</f>
        <v/>
      </c>
      <c r="Z685" s="2">
        <f>IF(OR(Z684=1,R685&lt;=資金模擬!$B$10),1,0)</f>
        <v/>
      </c>
    </row>
    <row r="686">
      <c r="A686" s="2" t="n">
        <v>684</v>
      </c>
      <c r="B686" s="7" t="n">
        <v>46286.41666666666</v>
      </c>
      <c r="C686" s="2" t="inlineStr">
        <is>
          <t>進場</t>
        </is>
      </c>
      <c r="D686" s="2" t="n">
        <v>343</v>
      </c>
      <c r="E686" s="2" t="inlineStr">
        <is>
          <t>ENA_USDT_PERP</t>
        </is>
      </c>
      <c r="F686" s="2" t="inlineStr">
        <is>
          <t>做空</t>
        </is>
      </c>
      <c r="G686" s="20" t="n">
        <v>0.21</v>
      </c>
      <c r="H686" s="20" t="n">
        <v>0.2037</v>
      </c>
      <c r="I686" s="20" t="n">
        <v>0.2205</v>
      </c>
      <c r="J686" s="20" t="n"/>
      <c r="K686" s="2" t="n"/>
      <c r="L686" s="5" t="n"/>
      <c r="M686" s="19">
        <f>資金模擬!$B$5*V685</f>
        <v/>
      </c>
      <c r="N686" s="2">
        <f>IF(Z685=1,"已停止",IF(T685&gt;=M686,"已下單","資金不足略過"))</f>
        <v/>
      </c>
      <c r="O686" s="19">
        <f>IF(N686="已下單",M686*資金模擬!$B$7,0)</f>
        <v/>
      </c>
      <c r="P686" s="4" t="n"/>
      <c r="Q686" s="13" t="n">
        <v>0</v>
      </c>
      <c r="R686" s="13">
        <f>R685+Q686</f>
        <v/>
      </c>
      <c r="S686" s="19">
        <f>S685+IF(N686="已下單",M686,0)</f>
        <v/>
      </c>
      <c r="T686" s="19">
        <f>R686-S686</f>
        <v/>
      </c>
      <c r="U686" s="2">
        <f>U685+IF(N686="已下單",1,0)</f>
        <v/>
      </c>
      <c r="V686" s="19">
        <f>IF(資金模擬!$B$9=2,MAX(R686,0),MAX(V685,FLOOR(MAX(R686,0),資金模擬!$B$6)))</f>
        <v/>
      </c>
      <c r="W686" s="13">
        <f>MAX(W685,R686)</f>
        <v/>
      </c>
      <c r="X686" s="4">
        <f>IF(W686&gt;0,R686/W686-1,-1)</f>
        <v/>
      </c>
      <c r="Y686" s="19">
        <f>IF(R686&gt;0,S686*資金模擬!$B$7/R686,0)</f>
        <v/>
      </c>
      <c r="Z686" s="2">
        <f>IF(OR(Z685=1,R686&lt;=資金模擬!$B$10),1,0)</f>
        <v/>
      </c>
    </row>
    <row r="687">
      <c r="A687" s="2" t="n">
        <v>685</v>
      </c>
      <c r="B687" s="7" t="n">
        <v>46286.41666666666</v>
      </c>
      <c r="C687" s="2" t="inlineStr">
        <is>
          <t>進場</t>
        </is>
      </c>
      <c r="D687" s="2" t="n">
        <v>344</v>
      </c>
      <c r="E687" s="2" t="inlineStr">
        <is>
          <t>UNI_USDT_PERP</t>
        </is>
      </c>
      <c r="F687" s="2" t="inlineStr">
        <is>
          <t>做空</t>
        </is>
      </c>
      <c r="G687" s="20" t="n">
        <v>8.573</v>
      </c>
      <c r="H687" s="20" t="n">
        <v>8.315810000000001</v>
      </c>
      <c r="I687" s="20" t="n">
        <v>9.001650000000001</v>
      </c>
      <c r="J687" s="20" t="n"/>
      <c r="K687" s="2" t="n"/>
      <c r="L687" s="5" t="n"/>
      <c r="M687" s="19">
        <f>資金模擬!$B$5*V686</f>
        <v/>
      </c>
      <c r="N687" s="2">
        <f>IF(Z686=1,"已停止",IF(T686&gt;=M687,"已下單","資金不足略過"))</f>
        <v/>
      </c>
      <c r="O687" s="19">
        <f>IF(N687="已下單",M687*資金模擬!$B$7,0)</f>
        <v/>
      </c>
      <c r="P687" s="4" t="n"/>
      <c r="Q687" s="13" t="n">
        <v>0</v>
      </c>
      <c r="R687" s="13">
        <f>R686+Q687</f>
        <v/>
      </c>
      <c r="S687" s="19">
        <f>S686+IF(N687="已下單",M687,0)</f>
        <v/>
      </c>
      <c r="T687" s="19">
        <f>R687-S687</f>
        <v/>
      </c>
      <c r="U687" s="2">
        <f>U686+IF(N687="已下單",1,0)</f>
        <v/>
      </c>
      <c r="V687" s="19">
        <f>IF(資金模擬!$B$9=2,MAX(R687,0),MAX(V686,FLOOR(MAX(R687,0),資金模擬!$B$6)))</f>
        <v/>
      </c>
      <c r="W687" s="13">
        <f>MAX(W686,R687)</f>
        <v/>
      </c>
      <c r="X687" s="4">
        <f>IF(W687&gt;0,R687/W687-1,-1)</f>
        <v/>
      </c>
      <c r="Y687" s="19">
        <f>IF(R687&gt;0,S687*資金模擬!$B$7/R687,0)</f>
        <v/>
      </c>
      <c r="Z687" s="2">
        <f>IF(OR(Z686=1,R687&lt;=資金模擬!$B$10),1,0)</f>
        <v/>
      </c>
    </row>
    <row r="688">
      <c r="A688" s="2" t="n">
        <v>686</v>
      </c>
      <c r="B688" s="7" t="n">
        <v>46286.41666666666</v>
      </c>
      <c r="C688" s="2" t="inlineStr">
        <is>
          <t>進場</t>
        </is>
      </c>
      <c r="D688" s="2" t="n">
        <v>345</v>
      </c>
      <c r="E688" s="2" t="inlineStr">
        <is>
          <t>USELESS_USDT_PERP</t>
        </is>
      </c>
      <c r="F688" s="2" t="inlineStr">
        <is>
          <t>做空</t>
        </is>
      </c>
      <c r="G688" s="20" t="n">
        <v>0.2375</v>
      </c>
      <c r="H688" s="20" t="n">
        <v>0.230375</v>
      </c>
      <c r="I688" s="20" t="n">
        <v>0.249375</v>
      </c>
      <c r="J688" s="20" t="n"/>
      <c r="K688" s="2" t="n"/>
      <c r="L688" s="5" t="n"/>
      <c r="M688" s="19">
        <f>資金模擬!$B$5*V687</f>
        <v/>
      </c>
      <c r="N688" s="2">
        <f>IF(Z687=1,"已停止",IF(T687&gt;=M688,"已下單","資金不足略過"))</f>
        <v/>
      </c>
      <c r="O688" s="19">
        <f>IF(N688="已下單",M688*資金模擬!$B$7,0)</f>
        <v/>
      </c>
      <c r="P688" s="4" t="n"/>
      <c r="Q688" s="13" t="n">
        <v>0</v>
      </c>
      <c r="R688" s="13">
        <f>R687+Q688</f>
        <v/>
      </c>
      <c r="S688" s="19">
        <f>S687+IF(N688="已下單",M688,0)</f>
        <v/>
      </c>
      <c r="T688" s="19">
        <f>R688-S688</f>
        <v/>
      </c>
      <c r="U688" s="2">
        <f>U687+IF(N688="已下單",1,0)</f>
        <v/>
      </c>
      <c r="V688" s="19">
        <f>IF(資金模擬!$B$9=2,MAX(R688,0),MAX(V687,FLOOR(MAX(R688,0),資金模擬!$B$6)))</f>
        <v/>
      </c>
      <c r="W688" s="13">
        <f>MAX(W687,R688)</f>
        <v/>
      </c>
      <c r="X688" s="4">
        <f>IF(W688&gt;0,R688/W688-1,-1)</f>
        <v/>
      </c>
      <c r="Y688" s="19">
        <f>IF(R688&gt;0,S688*資金模擬!$B$7/R688,0)</f>
        <v/>
      </c>
      <c r="Z688" s="2">
        <f>IF(OR(Z687=1,R688&lt;=資金模擬!$B$10),1,0)</f>
        <v/>
      </c>
    </row>
    <row r="689">
      <c r="A689" s="2" t="n">
        <v>687</v>
      </c>
      <c r="B689" s="7" t="n">
        <v>46286.45833333334</v>
      </c>
      <c r="C689" s="2" t="inlineStr">
        <is>
          <t>進場</t>
        </is>
      </c>
      <c r="D689" s="2" t="n">
        <v>346</v>
      </c>
      <c r="E689" s="2" t="inlineStr">
        <is>
          <t>ARB_USDT_PERP</t>
        </is>
      </c>
      <c r="F689" s="2" t="inlineStr">
        <is>
          <t>做多</t>
        </is>
      </c>
      <c r="G689" s="20" t="n">
        <v>0.2174</v>
      </c>
      <c r="H689" s="20" t="n">
        <v>0.223922</v>
      </c>
      <c r="I689" s="20" t="n">
        <v>0.20653</v>
      </c>
      <c r="J689" s="20" t="n"/>
      <c r="K689" s="2" t="n"/>
      <c r="L689" s="5" t="n"/>
      <c r="M689" s="19">
        <f>資金模擬!$B$5*V688</f>
        <v/>
      </c>
      <c r="N689" s="2">
        <f>IF(Z688=1,"已停止",IF(T688&gt;=M689,"已下單","資金不足略過"))</f>
        <v/>
      </c>
      <c r="O689" s="19">
        <f>IF(N689="已下單",M689*資金模擬!$B$7,0)</f>
        <v/>
      </c>
      <c r="P689" s="4" t="n"/>
      <c r="Q689" s="13" t="n">
        <v>0</v>
      </c>
      <c r="R689" s="13">
        <f>R688+Q689</f>
        <v/>
      </c>
      <c r="S689" s="19">
        <f>S688+IF(N689="已下單",M689,0)</f>
        <v/>
      </c>
      <c r="T689" s="19">
        <f>R689-S689</f>
        <v/>
      </c>
      <c r="U689" s="2">
        <f>U688+IF(N689="已下單",1,0)</f>
        <v/>
      </c>
      <c r="V689" s="19">
        <f>IF(資金模擬!$B$9=2,MAX(R689,0),MAX(V688,FLOOR(MAX(R689,0),資金模擬!$B$6)))</f>
        <v/>
      </c>
      <c r="W689" s="13">
        <f>MAX(W688,R689)</f>
        <v/>
      </c>
      <c r="X689" s="4">
        <f>IF(W689&gt;0,R689/W689-1,-1)</f>
        <v/>
      </c>
      <c r="Y689" s="19">
        <f>IF(R689&gt;0,S689*資金模擬!$B$7/R689,0)</f>
        <v/>
      </c>
      <c r="Z689" s="2">
        <f>IF(OR(Z688=1,R689&lt;=資金模擬!$B$10),1,0)</f>
        <v/>
      </c>
    </row>
    <row r="690">
      <c r="A690" s="2" t="n">
        <v>688</v>
      </c>
      <c r="B690" s="7" t="n">
        <v>46286.5</v>
      </c>
      <c r="C690" s="2" t="inlineStr">
        <is>
          <t>出場</t>
        </is>
      </c>
      <c r="D690" s="2" t="n">
        <v>345</v>
      </c>
      <c r="E690" s="2" t="inlineStr">
        <is>
          <t>USELESS_USDT_PERP</t>
        </is>
      </c>
      <c r="F690" s="2" t="inlineStr">
        <is>
          <t>做空</t>
        </is>
      </c>
      <c r="G690" s="20" t="n">
        <v>0.2375</v>
      </c>
      <c r="H690" s="20" t="n">
        <v>0.230375</v>
      </c>
      <c r="I690" s="20" t="n">
        <v>0.249375</v>
      </c>
      <c r="J690" s="20" t="n">
        <v>0.249375</v>
      </c>
      <c r="K690" s="2" t="inlineStr">
        <is>
          <t>止損</t>
        </is>
      </c>
      <c r="L690" s="5">
        <f>交易明細!K346</f>
        <v/>
      </c>
      <c r="M690" s="19">
        <f>M688</f>
        <v/>
      </c>
      <c r="N690" s="2">
        <f>N688</f>
        <v/>
      </c>
      <c r="O690" s="19">
        <f>O688</f>
        <v/>
      </c>
      <c r="P690" s="4">
        <f>交易明細!L346</f>
        <v/>
      </c>
      <c r="Q690" s="13">
        <f>IF(N690="已下單",O690*P690,0)</f>
        <v/>
      </c>
      <c r="R690" s="13">
        <f>R689+Q690</f>
        <v/>
      </c>
      <c r="S690" s="19">
        <f>S689-IF(N690="已下單",M690,0)</f>
        <v/>
      </c>
      <c r="T690" s="19">
        <f>R690-S690</f>
        <v/>
      </c>
      <c r="U690" s="2">
        <f>U689-IF(N690="已下單",1,0)</f>
        <v/>
      </c>
      <c r="V690" s="19">
        <f>IF(資金模擬!$B$9=2,MAX(R690,0),MAX(V689,FLOOR(MAX(R690,0),資金模擬!$B$6)))</f>
        <v/>
      </c>
      <c r="W690" s="13">
        <f>MAX(W689,R690)</f>
        <v/>
      </c>
      <c r="X690" s="4">
        <f>IF(W690&gt;0,R690/W690-1,-1)</f>
        <v/>
      </c>
      <c r="Y690" s="19">
        <f>IF(R690&gt;0,S690*資金模擬!$B$7/R690,0)</f>
        <v/>
      </c>
      <c r="Z690" s="2">
        <f>IF(OR(Z689=1,R690&lt;=資金模擬!$B$10),1,0)</f>
        <v/>
      </c>
    </row>
    <row r="691">
      <c r="A691" s="2" t="n">
        <v>689</v>
      </c>
      <c r="B691" s="7" t="n">
        <v>46286.5</v>
      </c>
      <c r="C691" s="2" t="inlineStr">
        <is>
          <t>出場</t>
        </is>
      </c>
      <c r="D691" s="2" t="n">
        <v>346</v>
      </c>
      <c r="E691" s="2" t="inlineStr">
        <is>
          <t>ARB_USDT_PERP</t>
        </is>
      </c>
      <c r="F691" s="2" t="inlineStr">
        <is>
          <t>做多</t>
        </is>
      </c>
      <c r="G691" s="20" t="n">
        <v>0.2174</v>
      </c>
      <c r="H691" s="20" t="n">
        <v>0.223922</v>
      </c>
      <c r="I691" s="20" t="n">
        <v>0.20653</v>
      </c>
      <c r="J691" s="20" t="n">
        <v>0.223922</v>
      </c>
      <c r="K691" s="2" t="inlineStr">
        <is>
          <t>止盈</t>
        </is>
      </c>
      <c r="L691" s="5">
        <f>交易明細!K347</f>
        <v/>
      </c>
      <c r="M691" s="19">
        <f>M689</f>
        <v/>
      </c>
      <c r="N691" s="2">
        <f>N689</f>
        <v/>
      </c>
      <c r="O691" s="19">
        <f>O689</f>
        <v/>
      </c>
      <c r="P691" s="4">
        <f>交易明細!L347</f>
        <v/>
      </c>
      <c r="Q691" s="13">
        <f>IF(N691="已下單",O691*P691,0)</f>
        <v/>
      </c>
      <c r="R691" s="13">
        <f>R690+Q691</f>
        <v/>
      </c>
      <c r="S691" s="19">
        <f>S690-IF(N691="已下單",M691,0)</f>
        <v/>
      </c>
      <c r="T691" s="19">
        <f>R691-S691</f>
        <v/>
      </c>
      <c r="U691" s="2">
        <f>U690-IF(N691="已下單",1,0)</f>
        <v/>
      </c>
      <c r="V691" s="19">
        <f>IF(資金模擬!$B$9=2,MAX(R691,0),MAX(V690,FLOOR(MAX(R691,0),資金模擬!$B$6)))</f>
        <v/>
      </c>
      <c r="W691" s="13">
        <f>MAX(W690,R691)</f>
        <v/>
      </c>
      <c r="X691" s="4">
        <f>IF(W691&gt;0,R691/W691-1,-1)</f>
        <v/>
      </c>
      <c r="Y691" s="19">
        <f>IF(R691&gt;0,S691*資金模擬!$B$7/R691,0)</f>
        <v/>
      </c>
      <c r="Z691" s="2">
        <f>IF(OR(Z690=1,R691&lt;=資金模擬!$B$10),1,0)</f>
        <v/>
      </c>
    </row>
    <row r="692">
      <c r="A692" s="2" t="n">
        <v>690</v>
      </c>
      <c r="B692" s="7" t="n">
        <v>46286.5</v>
      </c>
      <c r="C692" s="2" t="inlineStr">
        <is>
          <t>進場</t>
        </is>
      </c>
      <c r="D692" s="2" t="n">
        <v>347</v>
      </c>
      <c r="E692" s="2" t="inlineStr">
        <is>
          <t>PUMP_USDT_PERP</t>
        </is>
      </c>
      <c r="F692" s="2" t="inlineStr">
        <is>
          <t>做多</t>
        </is>
      </c>
      <c r="G692" s="20" t="n">
        <v>0.004403</v>
      </c>
      <c r="H692" s="20" t="n">
        <v>0.00453509</v>
      </c>
      <c r="I692" s="20" t="n">
        <v>0.004182849999999999</v>
      </c>
      <c r="J692" s="20" t="n"/>
      <c r="K692" s="2" t="n"/>
      <c r="L692" s="5" t="n"/>
      <c r="M692" s="19">
        <f>資金模擬!$B$5*V691</f>
        <v/>
      </c>
      <c r="N692" s="2">
        <f>IF(Z691=1,"已停止",IF(T691&gt;=M692,"已下單","資金不足略過"))</f>
        <v/>
      </c>
      <c r="O692" s="19">
        <f>IF(N692="已下單",M692*資金模擬!$B$7,0)</f>
        <v/>
      </c>
      <c r="P692" s="4" t="n"/>
      <c r="Q692" s="13" t="n">
        <v>0</v>
      </c>
      <c r="R692" s="13">
        <f>R691+Q692</f>
        <v/>
      </c>
      <c r="S692" s="19">
        <f>S691+IF(N692="已下單",M692,0)</f>
        <v/>
      </c>
      <c r="T692" s="19">
        <f>R692-S692</f>
        <v/>
      </c>
      <c r="U692" s="2">
        <f>U691+IF(N692="已下單",1,0)</f>
        <v/>
      </c>
      <c r="V692" s="19">
        <f>IF(資金模擬!$B$9=2,MAX(R692,0),MAX(V691,FLOOR(MAX(R692,0),資金模擬!$B$6)))</f>
        <v/>
      </c>
      <c r="W692" s="13">
        <f>MAX(W691,R692)</f>
        <v/>
      </c>
      <c r="X692" s="4">
        <f>IF(W692&gt;0,R692/W692-1,-1)</f>
        <v/>
      </c>
      <c r="Y692" s="19">
        <f>IF(R692&gt;0,S692*資金模擬!$B$7/R692,0)</f>
        <v/>
      </c>
      <c r="Z692" s="2">
        <f>IF(OR(Z691=1,R692&lt;=資金模擬!$B$10),1,0)</f>
        <v/>
      </c>
    </row>
    <row r="693">
      <c r="A693" s="2" t="n">
        <v>691</v>
      </c>
      <c r="B693" s="7" t="n">
        <v>46286.54166666666</v>
      </c>
      <c r="C693" s="2" t="inlineStr">
        <is>
          <t>進場</t>
        </is>
      </c>
      <c r="D693" s="2" t="n">
        <v>348</v>
      </c>
      <c r="E693" s="2" t="inlineStr">
        <is>
          <t>AVAX_USDT_PERP</t>
        </is>
      </c>
      <c r="F693" s="2" t="inlineStr">
        <is>
          <t>做多</t>
        </is>
      </c>
      <c r="G693" s="20" t="n">
        <v>11.534</v>
      </c>
      <c r="H693" s="20" t="n">
        <v>11.88002</v>
      </c>
      <c r="I693" s="20" t="n">
        <v>10.9573</v>
      </c>
      <c r="J693" s="20" t="n"/>
      <c r="K693" s="2" t="n"/>
      <c r="L693" s="5" t="n"/>
      <c r="M693" s="19">
        <f>資金模擬!$B$5*V692</f>
        <v/>
      </c>
      <c r="N693" s="2">
        <f>IF(Z692=1,"已停止",IF(T692&gt;=M693,"已下單","資金不足略過"))</f>
        <v/>
      </c>
      <c r="O693" s="19">
        <f>IF(N693="已下單",M693*資金模擬!$B$7,0)</f>
        <v/>
      </c>
      <c r="P693" s="4" t="n"/>
      <c r="Q693" s="13" t="n">
        <v>0</v>
      </c>
      <c r="R693" s="13">
        <f>R692+Q693</f>
        <v/>
      </c>
      <c r="S693" s="19">
        <f>S692+IF(N693="已下單",M693,0)</f>
        <v/>
      </c>
      <c r="T693" s="19">
        <f>R693-S693</f>
        <v/>
      </c>
      <c r="U693" s="2">
        <f>U692+IF(N693="已下單",1,0)</f>
        <v/>
      </c>
      <c r="V693" s="19">
        <f>IF(資金模擬!$B$9=2,MAX(R693,0),MAX(V692,FLOOR(MAX(R693,0),資金模擬!$B$6)))</f>
        <v/>
      </c>
      <c r="W693" s="13">
        <f>MAX(W692,R693)</f>
        <v/>
      </c>
      <c r="X693" s="4">
        <f>IF(W693&gt;0,R693/W693-1,-1)</f>
        <v/>
      </c>
      <c r="Y693" s="19">
        <f>IF(R693&gt;0,S693*資金模擬!$B$7/R693,0)</f>
        <v/>
      </c>
      <c r="Z693" s="2">
        <f>IF(OR(Z692=1,R693&lt;=資金模擬!$B$10),1,0)</f>
        <v/>
      </c>
    </row>
    <row r="694">
      <c r="A694" s="2" t="n">
        <v>692</v>
      </c>
      <c r="B694" s="7" t="n">
        <v>46286.58333333334</v>
      </c>
      <c r="C694" s="2" t="inlineStr">
        <is>
          <t>進場</t>
        </is>
      </c>
      <c r="D694" s="2" t="n">
        <v>349</v>
      </c>
      <c r="E694" s="2" t="inlineStr">
        <is>
          <t>PONS_USDT_PERP</t>
        </is>
      </c>
      <c r="F694" s="2" t="inlineStr">
        <is>
          <t>做多</t>
        </is>
      </c>
      <c r="G694" s="20" t="n">
        <v>0.5992</v>
      </c>
      <c r="H694" s="20" t="n">
        <v>0.6171759999999999</v>
      </c>
      <c r="I694" s="20" t="n">
        <v>0.56924</v>
      </c>
      <c r="J694" s="20" t="n"/>
      <c r="K694" s="2" t="n"/>
      <c r="L694" s="5" t="n"/>
      <c r="M694" s="19">
        <f>資金模擬!$B$5*V693</f>
        <v/>
      </c>
      <c r="N694" s="2">
        <f>IF(Z693=1,"已停止",IF(T693&gt;=M694,"已下單","資金不足略過"))</f>
        <v/>
      </c>
      <c r="O694" s="19">
        <f>IF(N694="已下單",M694*資金模擬!$B$7,0)</f>
        <v/>
      </c>
      <c r="P694" s="4" t="n"/>
      <c r="Q694" s="13" t="n">
        <v>0</v>
      </c>
      <c r="R694" s="13">
        <f>R693+Q694</f>
        <v/>
      </c>
      <c r="S694" s="19">
        <f>S693+IF(N694="已下單",M694,0)</f>
        <v/>
      </c>
      <c r="T694" s="19">
        <f>R694-S694</f>
        <v/>
      </c>
      <c r="U694" s="2">
        <f>U693+IF(N694="已下單",1,0)</f>
        <v/>
      </c>
      <c r="V694" s="19">
        <f>IF(資金模擬!$B$9=2,MAX(R694,0),MAX(V693,FLOOR(MAX(R694,0),資金模擬!$B$6)))</f>
        <v/>
      </c>
      <c r="W694" s="13">
        <f>MAX(W693,R694)</f>
        <v/>
      </c>
      <c r="X694" s="4">
        <f>IF(W694&gt;0,R694/W694-1,-1)</f>
        <v/>
      </c>
      <c r="Y694" s="19">
        <f>IF(R694&gt;0,S694*資金模擬!$B$7/R694,0)</f>
        <v/>
      </c>
      <c r="Z694" s="2">
        <f>IF(OR(Z693=1,R694&lt;=資金模擬!$B$10),1,0)</f>
        <v/>
      </c>
    </row>
    <row r="695">
      <c r="A695" s="2" t="n">
        <v>693</v>
      </c>
      <c r="B695" s="7" t="n">
        <v>46286.58333333334</v>
      </c>
      <c r="C695" s="2" t="inlineStr">
        <is>
          <t>進場</t>
        </is>
      </c>
      <c r="D695" s="2" t="n">
        <v>350</v>
      </c>
      <c r="E695" s="2" t="inlineStr">
        <is>
          <t>USELESS_USDT_PERP</t>
        </is>
      </c>
      <c r="F695" s="2" t="inlineStr">
        <is>
          <t>做空</t>
        </is>
      </c>
      <c r="G695" s="20" t="n">
        <v>0.24482</v>
      </c>
      <c r="H695" s="20" t="n">
        <v>0.2374754</v>
      </c>
      <c r="I695" s="20" t="n">
        <v>0.257061</v>
      </c>
      <c r="J695" s="20" t="n"/>
      <c r="K695" s="2" t="n"/>
      <c r="L695" s="5" t="n"/>
      <c r="M695" s="19">
        <f>資金模擬!$B$5*V694</f>
        <v/>
      </c>
      <c r="N695" s="2">
        <f>IF(Z694=1,"已停止",IF(T694&gt;=M695,"已下單","資金不足略過"))</f>
        <v/>
      </c>
      <c r="O695" s="19">
        <f>IF(N695="已下單",M695*資金模擬!$B$7,0)</f>
        <v/>
      </c>
      <c r="P695" s="4" t="n"/>
      <c r="Q695" s="13" t="n">
        <v>0</v>
      </c>
      <c r="R695" s="13">
        <f>R694+Q695</f>
        <v/>
      </c>
      <c r="S695" s="19">
        <f>S694+IF(N695="已下單",M695,0)</f>
        <v/>
      </c>
      <c r="T695" s="19">
        <f>R695-S695</f>
        <v/>
      </c>
      <c r="U695" s="2">
        <f>U694+IF(N695="已下單",1,0)</f>
        <v/>
      </c>
      <c r="V695" s="19">
        <f>IF(資金模擬!$B$9=2,MAX(R695,0),MAX(V694,FLOOR(MAX(R695,0),資金模擬!$B$6)))</f>
        <v/>
      </c>
      <c r="W695" s="13">
        <f>MAX(W694,R695)</f>
        <v/>
      </c>
      <c r="X695" s="4">
        <f>IF(W695&gt;0,R695/W695-1,-1)</f>
        <v/>
      </c>
      <c r="Y695" s="19">
        <f>IF(R695&gt;0,S695*資金模擬!$B$7/R695,0)</f>
        <v/>
      </c>
      <c r="Z695" s="2">
        <f>IF(OR(Z694=1,R695&lt;=資金模擬!$B$10),1,0)</f>
        <v/>
      </c>
    </row>
    <row r="696">
      <c r="A696" s="2" t="n">
        <v>694</v>
      </c>
      <c r="B696" s="7" t="n">
        <v>46286.625</v>
      </c>
      <c r="C696" s="2" t="inlineStr">
        <is>
          <t>進場</t>
        </is>
      </c>
      <c r="D696" s="2" t="n">
        <v>351</v>
      </c>
      <c r="E696" s="2" t="inlineStr">
        <is>
          <t>LIT_USDT_PERP</t>
        </is>
      </c>
      <c r="F696" s="2" t="inlineStr">
        <is>
          <t>做多</t>
        </is>
      </c>
      <c r="G696" s="20" t="n">
        <v>5.064</v>
      </c>
      <c r="H696" s="20" t="n">
        <v>5.215920000000001</v>
      </c>
      <c r="I696" s="20" t="n">
        <v>4.8108</v>
      </c>
      <c r="J696" s="20" t="n"/>
      <c r="K696" s="2" t="n"/>
      <c r="L696" s="5" t="n"/>
      <c r="M696" s="19">
        <f>資金模擬!$B$5*V695</f>
        <v/>
      </c>
      <c r="N696" s="2">
        <f>IF(Z695=1,"已停止",IF(T695&gt;=M696,"已下單","資金不足略過"))</f>
        <v/>
      </c>
      <c r="O696" s="19">
        <f>IF(N696="已下單",M696*資金模擬!$B$7,0)</f>
        <v/>
      </c>
      <c r="P696" s="4" t="n"/>
      <c r="Q696" s="13" t="n">
        <v>0</v>
      </c>
      <c r="R696" s="13">
        <f>R695+Q696</f>
        <v/>
      </c>
      <c r="S696" s="19">
        <f>S695+IF(N696="已下單",M696,0)</f>
        <v/>
      </c>
      <c r="T696" s="19">
        <f>R696-S696</f>
        <v/>
      </c>
      <c r="U696" s="2">
        <f>U695+IF(N696="已下單",1,0)</f>
        <v/>
      </c>
      <c r="V696" s="19">
        <f>IF(資金模擬!$B$9=2,MAX(R696,0),MAX(V695,FLOOR(MAX(R696,0),資金模擬!$B$6)))</f>
        <v/>
      </c>
      <c r="W696" s="13">
        <f>MAX(W695,R696)</f>
        <v/>
      </c>
      <c r="X696" s="4">
        <f>IF(W696&gt;0,R696/W696-1,-1)</f>
        <v/>
      </c>
      <c r="Y696" s="19">
        <f>IF(R696&gt;0,S696*資金模擬!$B$7/R696,0)</f>
        <v/>
      </c>
      <c r="Z696" s="2">
        <f>IF(OR(Z695=1,R696&lt;=資金模擬!$B$10),1,0)</f>
        <v/>
      </c>
    </row>
    <row r="697">
      <c r="A697" s="2" t="n">
        <v>695</v>
      </c>
      <c r="B697" s="7" t="n">
        <v>46286.66666666666</v>
      </c>
      <c r="C697" s="2" t="inlineStr">
        <is>
          <t>出場</t>
        </is>
      </c>
      <c r="D697" s="2" t="n">
        <v>348</v>
      </c>
      <c r="E697" s="2" t="inlineStr">
        <is>
          <t>AVAX_USDT_PERP</t>
        </is>
      </c>
      <c r="F697" s="2" t="inlineStr">
        <is>
          <t>做多</t>
        </is>
      </c>
      <c r="G697" s="20" t="n">
        <v>11.534</v>
      </c>
      <c r="H697" s="20" t="n">
        <v>11.88002</v>
      </c>
      <c r="I697" s="20" t="n">
        <v>10.9573</v>
      </c>
      <c r="J697" s="20" t="n">
        <v>10.9573</v>
      </c>
      <c r="K697" s="2" t="inlineStr">
        <is>
          <t>止損</t>
        </is>
      </c>
      <c r="L697" s="5">
        <f>交易明細!K349</f>
        <v/>
      </c>
      <c r="M697" s="19">
        <f>M693</f>
        <v/>
      </c>
      <c r="N697" s="2">
        <f>N693</f>
        <v/>
      </c>
      <c r="O697" s="19">
        <f>O693</f>
        <v/>
      </c>
      <c r="P697" s="4">
        <f>交易明細!L349</f>
        <v/>
      </c>
      <c r="Q697" s="13">
        <f>IF(N697="已下單",O697*P697,0)</f>
        <v/>
      </c>
      <c r="R697" s="13">
        <f>R696+Q697</f>
        <v/>
      </c>
      <c r="S697" s="19">
        <f>S696-IF(N697="已下單",M697,0)</f>
        <v/>
      </c>
      <c r="T697" s="19">
        <f>R697-S697</f>
        <v/>
      </c>
      <c r="U697" s="2">
        <f>U696-IF(N697="已下單",1,0)</f>
        <v/>
      </c>
      <c r="V697" s="19">
        <f>IF(資金模擬!$B$9=2,MAX(R697,0),MAX(V696,FLOOR(MAX(R697,0),資金模擬!$B$6)))</f>
        <v/>
      </c>
      <c r="W697" s="13">
        <f>MAX(W696,R697)</f>
        <v/>
      </c>
      <c r="X697" s="4">
        <f>IF(W697&gt;0,R697/W697-1,-1)</f>
        <v/>
      </c>
      <c r="Y697" s="19">
        <f>IF(R697&gt;0,S697*資金模擬!$B$7/R697,0)</f>
        <v/>
      </c>
      <c r="Z697" s="2">
        <f>IF(OR(Z696=1,R697&lt;=資金模擬!$B$10),1,0)</f>
        <v/>
      </c>
    </row>
    <row r="698">
      <c r="A698" s="2" t="n">
        <v>696</v>
      </c>
      <c r="B698" s="7" t="n">
        <v>46286.70833333334</v>
      </c>
      <c r="C698" s="2" t="inlineStr">
        <is>
          <t>出場</t>
        </is>
      </c>
      <c r="D698" s="2" t="n">
        <v>315</v>
      </c>
      <c r="E698" s="2" t="inlineStr">
        <is>
          <t>PEPE_USDT_PERP</t>
        </is>
      </c>
      <c r="F698" s="2" t="inlineStr">
        <is>
          <t>做空</t>
        </is>
      </c>
      <c r="G698" s="20" t="n">
        <v>3.935e-06</v>
      </c>
      <c r="H698" s="20" t="n">
        <v>3.816949999999999e-06</v>
      </c>
      <c r="I698" s="20" t="n">
        <v>4.13175e-06</v>
      </c>
      <c r="J698" s="20" t="n">
        <v>4.13175e-06</v>
      </c>
      <c r="K698" s="2" t="inlineStr">
        <is>
          <t>止損</t>
        </is>
      </c>
      <c r="L698" s="5">
        <f>交易明細!K316</f>
        <v/>
      </c>
      <c r="M698" s="19">
        <f>M629</f>
        <v/>
      </c>
      <c r="N698" s="2">
        <f>N629</f>
        <v/>
      </c>
      <c r="O698" s="19">
        <f>O629</f>
        <v/>
      </c>
      <c r="P698" s="4">
        <f>交易明細!L316</f>
        <v/>
      </c>
      <c r="Q698" s="13">
        <f>IF(N698="已下單",O698*P698,0)</f>
        <v/>
      </c>
      <c r="R698" s="13">
        <f>R697+Q698</f>
        <v/>
      </c>
      <c r="S698" s="19">
        <f>S697-IF(N698="已下單",M698,0)</f>
        <v/>
      </c>
      <c r="T698" s="19">
        <f>R698-S698</f>
        <v/>
      </c>
      <c r="U698" s="2">
        <f>U697-IF(N698="已下單",1,0)</f>
        <v/>
      </c>
      <c r="V698" s="19">
        <f>IF(資金模擬!$B$9=2,MAX(R698,0),MAX(V697,FLOOR(MAX(R698,0),資金模擬!$B$6)))</f>
        <v/>
      </c>
      <c r="W698" s="13">
        <f>MAX(W697,R698)</f>
        <v/>
      </c>
      <c r="X698" s="4">
        <f>IF(W698&gt;0,R698/W698-1,-1)</f>
        <v/>
      </c>
      <c r="Y698" s="19">
        <f>IF(R698&gt;0,S698*資金模擬!$B$7/R698,0)</f>
        <v/>
      </c>
      <c r="Z698" s="2">
        <f>IF(OR(Z697=1,R698&lt;=資金模擬!$B$10),1,0)</f>
        <v/>
      </c>
    </row>
    <row r="699">
      <c r="A699" s="2" t="n">
        <v>697</v>
      </c>
      <c r="B699" s="7" t="n">
        <v>46286.70833333334</v>
      </c>
      <c r="C699" s="2" t="inlineStr">
        <is>
          <t>出場</t>
        </is>
      </c>
      <c r="D699" s="2" t="n">
        <v>343</v>
      </c>
      <c r="E699" s="2" t="inlineStr">
        <is>
          <t>ENA_USDT_PERP</t>
        </is>
      </c>
      <c r="F699" s="2" t="inlineStr">
        <is>
          <t>做空</t>
        </is>
      </c>
      <c r="G699" s="20" t="n">
        <v>0.21</v>
      </c>
      <c r="H699" s="20" t="n">
        <v>0.2037</v>
      </c>
      <c r="I699" s="20" t="n">
        <v>0.2205</v>
      </c>
      <c r="J699" s="20" t="n">
        <v>0.2205</v>
      </c>
      <c r="K699" s="2" t="inlineStr">
        <is>
          <t>止損</t>
        </is>
      </c>
      <c r="L699" s="5">
        <f>交易明細!K344</f>
        <v/>
      </c>
      <c r="M699" s="19">
        <f>M686</f>
        <v/>
      </c>
      <c r="N699" s="2">
        <f>N686</f>
        <v/>
      </c>
      <c r="O699" s="19">
        <f>O686</f>
        <v/>
      </c>
      <c r="P699" s="4">
        <f>交易明細!L344</f>
        <v/>
      </c>
      <c r="Q699" s="13">
        <f>IF(N699="已下單",O699*P699,0)</f>
        <v/>
      </c>
      <c r="R699" s="13">
        <f>R698+Q699</f>
        <v/>
      </c>
      <c r="S699" s="19">
        <f>S698-IF(N699="已下單",M699,0)</f>
        <v/>
      </c>
      <c r="T699" s="19">
        <f>R699-S699</f>
        <v/>
      </c>
      <c r="U699" s="2">
        <f>U698-IF(N699="已下單",1,0)</f>
        <v/>
      </c>
      <c r="V699" s="19">
        <f>IF(資金模擬!$B$9=2,MAX(R699,0),MAX(V698,FLOOR(MAX(R699,0),資金模擬!$B$6)))</f>
        <v/>
      </c>
      <c r="W699" s="13">
        <f>MAX(W698,R699)</f>
        <v/>
      </c>
      <c r="X699" s="4">
        <f>IF(W699&gt;0,R699/W699-1,-1)</f>
        <v/>
      </c>
      <c r="Y699" s="19">
        <f>IF(R699&gt;0,S699*資金模擬!$B$7/R699,0)</f>
        <v/>
      </c>
      <c r="Z699" s="2">
        <f>IF(OR(Z698=1,R699&lt;=資金模擬!$B$10),1,0)</f>
        <v/>
      </c>
    </row>
    <row r="700">
      <c r="A700" s="2" t="n">
        <v>698</v>
      </c>
      <c r="B700" s="7" t="n">
        <v>46286.70833333334</v>
      </c>
      <c r="C700" s="2" t="inlineStr">
        <is>
          <t>出場</t>
        </is>
      </c>
      <c r="D700" s="2" t="n">
        <v>349</v>
      </c>
      <c r="E700" s="2" t="inlineStr">
        <is>
          <t>PONS_USDT_PERP</t>
        </is>
      </c>
      <c r="F700" s="2" t="inlineStr">
        <is>
          <t>做多</t>
        </is>
      </c>
      <c r="G700" s="20" t="n">
        <v>0.5992</v>
      </c>
      <c r="H700" s="20" t="n">
        <v>0.6171759999999999</v>
      </c>
      <c r="I700" s="20" t="n">
        <v>0.56924</v>
      </c>
      <c r="J700" s="20" t="n">
        <v>0.6171759999999999</v>
      </c>
      <c r="K700" s="2" t="inlineStr">
        <is>
          <t>止盈</t>
        </is>
      </c>
      <c r="L700" s="5">
        <f>交易明細!K350</f>
        <v/>
      </c>
      <c r="M700" s="19">
        <f>M694</f>
        <v/>
      </c>
      <c r="N700" s="2">
        <f>N694</f>
        <v/>
      </c>
      <c r="O700" s="19">
        <f>O694</f>
        <v/>
      </c>
      <c r="P700" s="4">
        <f>交易明細!L350</f>
        <v/>
      </c>
      <c r="Q700" s="13">
        <f>IF(N700="已下單",O700*P700,0)</f>
        <v/>
      </c>
      <c r="R700" s="13">
        <f>R699+Q700</f>
        <v/>
      </c>
      <c r="S700" s="19">
        <f>S699-IF(N700="已下單",M700,0)</f>
        <v/>
      </c>
      <c r="T700" s="19">
        <f>R700-S700</f>
        <v/>
      </c>
      <c r="U700" s="2">
        <f>U699-IF(N700="已下單",1,0)</f>
        <v/>
      </c>
      <c r="V700" s="19">
        <f>IF(資金模擬!$B$9=2,MAX(R700,0),MAX(V699,FLOOR(MAX(R700,0),資金模擬!$B$6)))</f>
        <v/>
      </c>
      <c r="W700" s="13">
        <f>MAX(W699,R700)</f>
        <v/>
      </c>
      <c r="X700" s="4">
        <f>IF(W700&gt;0,R700/W700-1,-1)</f>
        <v/>
      </c>
      <c r="Y700" s="19">
        <f>IF(R700&gt;0,S700*資金模擬!$B$7/R700,0)</f>
        <v/>
      </c>
      <c r="Z700" s="2">
        <f>IF(OR(Z699=1,R700&lt;=資金模擬!$B$10),1,0)</f>
        <v/>
      </c>
    </row>
    <row r="701">
      <c r="A701" s="2" t="n">
        <v>699</v>
      </c>
      <c r="B701" s="7" t="n">
        <v>46286.70833333334</v>
      </c>
      <c r="C701" s="2" t="inlineStr">
        <is>
          <t>出場</t>
        </is>
      </c>
      <c r="D701" s="2" t="n">
        <v>350</v>
      </c>
      <c r="E701" s="2" t="inlineStr">
        <is>
          <t>USELESS_USDT_PERP</t>
        </is>
      </c>
      <c r="F701" s="2" t="inlineStr">
        <is>
          <t>做空</t>
        </is>
      </c>
      <c r="G701" s="20" t="n">
        <v>0.24482</v>
      </c>
      <c r="H701" s="20" t="n">
        <v>0.2374754</v>
      </c>
      <c r="I701" s="20" t="n">
        <v>0.257061</v>
      </c>
      <c r="J701" s="20" t="n">
        <v>0.257061</v>
      </c>
      <c r="K701" s="2" t="inlineStr">
        <is>
          <t>止損</t>
        </is>
      </c>
      <c r="L701" s="5">
        <f>交易明細!K351</f>
        <v/>
      </c>
      <c r="M701" s="19">
        <f>M695</f>
        <v/>
      </c>
      <c r="N701" s="2">
        <f>N695</f>
        <v/>
      </c>
      <c r="O701" s="19">
        <f>O695</f>
        <v/>
      </c>
      <c r="P701" s="4">
        <f>交易明細!L351</f>
        <v/>
      </c>
      <c r="Q701" s="13">
        <f>IF(N701="已下單",O701*P701,0)</f>
        <v/>
      </c>
      <c r="R701" s="13">
        <f>R700+Q701</f>
        <v/>
      </c>
      <c r="S701" s="19">
        <f>S700-IF(N701="已下單",M701,0)</f>
        <v/>
      </c>
      <c r="T701" s="19">
        <f>R701-S701</f>
        <v/>
      </c>
      <c r="U701" s="2">
        <f>U700-IF(N701="已下單",1,0)</f>
        <v/>
      </c>
      <c r="V701" s="19">
        <f>IF(資金模擬!$B$9=2,MAX(R701,0),MAX(V700,FLOOR(MAX(R701,0),資金模擬!$B$6)))</f>
        <v/>
      </c>
      <c r="W701" s="13">
        <f>MAX(W700,R701)</f>
        <v/>
      </c>
      <c r="X701" s="4">
        <f>IF(W701&gt;0,R701/W701-1,-1)</f>
        <v/>
      </c>
      <c r="Y701" s="19">
        <f>IF(R701&gt;0,S701*資金模擬!$B$7/R701,0)</f>
        <v/>
      </c>
      <c r="Z701" s="2">
        <f>IF(OR(Z700=1,R701&lt;=資金模擬!$B$10),1,0)</f>
        <v/>
      </c>
    </row>
    <row r="702">
      <c r="A702" s="2" t="n">
        <v>700</v>
      </c>
      <c r="B702" s="7" t="n">
        <v>46286.70833333334</v>
      </c>
      <c r="C702" s="2" t="inlineStr">
        <is>
          <t>進場</t>
        </is>
      </c>
      <c r="D702" s="2" t="n">
        <v>352</v>
      </c>
      <c r="E702" s="2" t="inlineStr">
        <is>
          <t>ONDO_USDT_PERP</t>
        </is>
      </c>
      <c r="F702" s="2" t="inlineStr">
        <is>
          <t>做多</t>
        </is>
      </c>
      <c r="G702" s="20" t="n">
        <v>0.4409</v>
      </c>
      <c r="H702" s="20" t="n">
        <v>0.454127</v>
      </c>
      <c r="I702" s="20" t="n">
        <v>0.418855</v>
      </c>
      <c r="J702" s="20" t="n"/>
      <c r="K702" s="2" t="n"/>
      <c r="L702" s="5" t="n"/>
      <c r="M702" s="19">
        <f>資金模擬!$B$5*V701</f>
        <v/>
      </c>
      <c r="N702" s="2">
        <f>IF(Z701=1,"已停止",IF(T701&gt;=M702,"已下單","資金不足略過"))</f>
        <v/>
      </c>
      <c r="O702" s="19">
        <f>IF(N702="已下單",M702*資金模擬!$B$7,0)</f>
        <v/>
      </c>
      <c r="P702" s="4" t="n"/>
      <c r="Q702" s="13" t="n">
        <v>0</v>
      </c>
      <c r="R702" s="13">
        <f>R701+Q702</f>
        <v/>
      </c>
      <c r="S702" s="19">
        <f>S701+IF(N702="已下單",M702,0)</f>
        <v/>
      </c>
      <c r="T702" s="19">
        <f>R702-S702</f>
        <v/>
      </c>
      <c r="U702" s="2">
        <f>U701+IF(N702="已下單",1,0)</f>
        <v/>
      </c>
      <c r="V702" s="19">
        <f>IF(資金模擬!$B$9=2,MAX(R702,0),MAX(V701,FLOOR(MAX(R702,0),資金模擬!$B$6)))</f>
        <v/>
      </c>
      <c r="W702" s="13">
        <f>MAX(W701,R702)</f>
        <v/>
      </c>
      <c r="X702" s="4">
        <f>IF(W702&gt;0,R702/W702-1,-1)</f>
        <v/>
      </c>
      <c r="Y702" s="19">
        <f>IF(R702&gt;0,S702*資金模擬!$B$7/R702,0)</f>
        <v/>
      </c>
      <c r="Z702" s="2">
        <f>IF(OR(Z701=1,R702&lt;=資金模擬!$B$10),1,0)</f>
        <v/>
      </c>
    </row>
    <row r="703">
      <c r="A703" s="2" t="n">
        <v>701</v>
      </c>
      <c r="B703" s="7" t="n">
        <v>46286.75</v>
      </c>
      <c r="C703" s="2" t="inlineStr">
        <is>
          <t>出場</t>
        </is>
      </c>
      <c r="D703" s="2" t="n">
        <v>344</v>
      </c>
      <c r="E703" s="2" t="inlineStr">
        <is>
          <t>UNI_USDT_PERP</t>
        </is>
      </c>
      <c r="F703" s="2" t="inlineStr">
        <is>
          <t>做空</t>
        </is>
      </c>
      <c r="G703" s="20" t="n">
        <v>8.573</v>
      </c>
      <c r="H703" s="20" t="n">
        <v>8.315810000000001</v>
      </c>
      <c r="I703" s="20" t="n">
        <v>9.001650000000001</v>
      </c>
      <c r="J703" s="20" t="n">
        <v>9.001650000000001</v>
      </c>
      <c r="K703" s="2" t="inlineStr">
        <is>
          <t>止損</t>
        </is>
      </c>
      <c r="L703" s="5">
        <f>交易明細!K345</f>
        <v/>
      </c>
      <c r="M703" s="19">
        <f>M687</f>
        <v/>
      </c>
      <c r="N703" s="2">
        <f>N687</f>
        <v/>
      </c>
      <c r="O703" s="19">
        <f>O687</f>
        <v/>
      </c>
      <c r="P703" s="4">
        <f>交易明細!L345</f>
        <v/>
      </c>
      <c r="Q703" s="13">
        <f>IF(N703="已下單",O703*P703,0)</f>
        <v/>
      </c>
      <c r="R703" s="13">
        <f>R702+Q703</f>
        <v/>
      </c>
      <c r="S703" s="19">
        <f>S702-IF(N703="已下單",M703,0)</f>
        <v/>
      </c>
      <c r="T703" s="19">
        <f>R703-S703</f>
        <v/>
      </c>
      <c r="U703" s="2">
        <f>U702-IF(N703="已下單",1,0)</f>
        <v/>
      </c>
      <c r="V703" s="19">
        <f>IF(資金模擬!$B$9=2,MAX(R703,0),MAX(V702,FLOOR(MAX(R703,0),資金模擬!$B$6)))</f>
        <v/>
      </c>
      <c r="W703" s="13">
        <f>MAX(W702,R703)</f>
        <v/>
      </c>
      <c r="X703" s="4">
        <f>IF(W703&gt;0,R703/W703-1,-1)</f>
        <v/>
      </c>
      <c r="Y703" s="19">
        <f>IF(R703&gt;0,S703*資金模擬!$B$7/R703,0)</f>
        <v/>
      </c>
      <c r="Z703" s="2">
        <f>IF(OR(Z702=1,R703&lt;=資金模擬!$B$10),1,0)</f>
        <v/>
      </c>
    </row>
    <row r="704">
      <c r="A704" s="2" t="n">
        <v>702</v>
      </c>
      <c r="B704" s="7" t="n">
        <v>46286.79166666666</v>
      </c>
      <c r="C704" s="2" t="inlineStr">
        <is>
          <t>出場</t>
        </is>
      </c>
      <c r="D704" s="2" t="n">
        <v>352</v>
      </c>
      <c r="E704" s="2" t="inlineStr">
        <is>
          <t>ONDO_USDT_PERP</t>
        </is>
      </c>
      <c r="F704" s="2" t="inlineStr">
        <is>
          <t>做多</t>
        </is>
      </c>
      <c r="G704" s="20" t="n">
        <v>0.4409</v>
      </c>
      <c r="H704" s="20" t="n">
        <v>0.454127</v>
      </c>
      <c r="I704" s="20" t="n">
        <v>0.418855</v>
      </c>
      <c r="J704" s="20" t="n">
        <v>0.454127</v>
      </c>
      <c r="K704" s="2" t="inlineStr">
        <is>
          <t>止盈</t>
        </is>
      </c>
      <c r="L704" s="5">
        <f>交易明細!K353</f>
        <v/>
      </c>
      <c r="M704" s="19">
        <f>M702</f>
        <v/>
      </c>
      <c r="N704" s="2">
        <f>N702</f>
        <v/>
      </c>
      <c r="O704" s="19">
        <f>O702</f>
        <v/>
      </c>
      <c r="P704" s="4">
        <f>交易明細!L353</f>
        <v/>
      </c>
      <c r="Q704" s="13">
        <f>IF(N704="已下單",O704*P704,0)</f>
        <v/>
      </c>
      <c r="R704" s="13">
        <f>R703+Q704</f>
        <v/>
      </c>
      <c r="S704" s="19">
        <f>S703-IF(N704="已下單",M704,0)</f>
        <v/>
      </c>
      <c r="T704" s="19">
        <f>R704-S704</f>
        <v/>
      </c>
      <c r="U704" s="2">
        <f>U703-IF(N704="已下單",1,0)</f>
        <v/>
      </c>
      <c r="V704" s="19">
        <f>IF(資金模擬!$B$9=2,MAX(R704,0),MAX(V703,FLOOR(MAX(R704,0),資金模擬!$B$6)))</f>
        <v/>
      </c>
      <c r="W704" s="13">
        <f>MAX(W703,R704)</f>
        <v/>
      </c>
      <c r="X704" s="4">
        <f>IF(W704&gt;0,R704/W704-1,-1)</f>
        <v/>
      </c>
      <c r="Y704" s="19">
        <f>IF(R704&gt;0,S704*資金模擬!$B$7/R704,0)</f>
        <v/>
      </c>
      <c r="Z704" s="2">
        <f>IF(OR(Z703=1,R704&lt;=資金模擬!$B$10),1,0)</f>
        <v/>
      </c>
    </row>
    <row r="705">
      <c r="A705" s="2" t="n">
        <v>703</v>
      </c>
      <c r="B705" s="7" t="n">
        <v>46286.79166666666</v>
      </c>
      <c r="C705" s="2" t="inlineStr">
        <is>
          <t>進場</t>
        </is>
      </c>
      <c r="D705" s="2" t="n">
        <v>353</v>
      </c>
      <c r="E705" s="2" t="inlineStr">
        <is>
          <t>ENA_USDT_PERP</t>
        </is>
      </c>
      <c r="F705" s="2" t="inlineStr">
        <is>
          <t>做多</t>
        </is>
      </c>
      <c r="G705" s="20" t="n">
        <v>0.227</v>
      </c>
      <c r="H705" s="20" t="n">
        <v>0.23381</v>
      </c>
      <c r="I705" s="20" t="n">
        <v>0.21565</v>
      </c>
      <c r="J705" s="20" t="n"/>
      <c r="K705" s="2" t="n"/>
      <c r="L705" s="5" t="n"/>
      <c r="M705" s="19">
        <f>資金模擬!$B$5*V704</f>
        <v/>
      </c>
      <c r="N705" s="2">
        <f>IF(Z704=1,"已停止",IF(T704&gt;=M705,"已下單","資金不足略過"))</f>
        <v/>
      </c>
      <c r="O705" s="19">
        <f>IF(N705="已下單",M705*資金模擬!$B$7,0)</f>
        <v/>
      </c>
      <c r="P705" s="4" t="n"/>
      <c r="Q705" s="13" t="n">
        <v>0</v>
      </c>
      <c r="R705" s="13">
        <f>R704+Q705</f>
        <v/>
      </c>
      <c r="S705" s="19">
        <f>S704+IF(N705="已下單",M705,0)</f>
        <v/>
      </c>
      <c r="T705" s="19">
        <f>R705-S705</f>
        <v/>
      </c>
      <c r="U705" s="2">
        <f>U704+IF(N705="已下單",1,0)</f>
        <v/>
      </c>
      <c r="V705" s="19">
        <f>IF(資金模擬!$B$9=2,MAX(R705,0),MAX(V704,FLOOR(MAX(R705,0),資金模擬!$B$6)))</f>
        <v/>
      </c>
      <c r="W705" s="13">
        <f>MAX(W704,R705)</f>
        <v/>
      </c>
      <c r="X705" s="4">
        <f>IF(W705&gt;0,R705/W705-1,-1)</f>
        <v/>
      </c>
      <c r="Y705" s="19">
        <f>IF(R705&gt;0,S705*資金模擬!$B$7/R705,0)</f>
        <v/>
      </c>
      <c r="Z705" s="2">
        <f>IF(OR(Z704=1,R705&lt;=資金模擬!$B$10),1,0)</f>
        <v/>
      </c>
    </row>
    <row r="706">
      <c r="A706" s="2" t="n">
        <v>704</v>
      </c>
      <c r="B706" s="7" t="n">
        <v>46286.79166666666</v>
      </c>
      <c r="C706" s="2" t="inlineStr">
        <is>
          <t>進場</t>
        </is>
      </c>
      <c r="D706" s="2" t="n">
        <v>354</v>
      </c>
      <c r="E706" s="2" t="inlineStr">
        <is>
          <t>PONS_USDT_PERP</t>
        </is>
      </c>
      <c r="F706" s="2" t="inlineStr">
        <is>
          <t>做多</t>
        </is>
      </c>
      <c r="G706" s="20" t="n">
        <v>0.6218</v>
      </c>
      <c r="H706" s="20" t="n">
        <v>0.6404540000000001</v>
      </c>
      <c r="I706" s="20" t="n">
        <v>0.59071</v>
      </c>
      <c r="J706" s="20" t="n"/>
      <c r="K706" s="2" t="n"/>
      <c r="L706" s="5" t="n"/>
      <c r="M706" s="19">
        <f>資金模擬!$B$5*V705</f>
        <v/>
      </c>
      <c r="N706" s="2">
        <f>IF(Z705=1,"已停止",IF(T705&gt;=M706,"已下單","資金不足略過"))</f>
        <v/>
      </c>
      <c r="O706" s="19">
        <f>IF(N706="已下單",M706*資金模擬!$B$7,0)</f>
        <v/>
      </c>
      <c r="P706" s="4" t="n"/>
      <c r="Q706" s="13" t="n">
        <v>0</v>
      </c>
      <c r="R706" s="13">
        <f>R705+Q706</f>
        <v/>
      </c>
      <c r="S706" s="19">
        <f>S705+IF(N706="已下單",M706,0)</f>
        <v/>
      </c>
      <c r="T706" s="19">
        <f>R706-S706</f>
        <v/>
      </c>
      <c r="U706" s="2">
        <f>U705+IF(N706="已下單",1,0)</f>
        <v/>
      </c>
      <c r="V706" s="19">
        <f>IF(資金模擬!$B$9=2,MAX(R706,0),MAX(V705,FLOOR(MAX(R706,0),資金模擬!$B$6)))</f>
        <v/>
      </c>
      <c r="W706" s="13">
        <f>MAX(W705,R706)</f>
        <v/>
      </c>
      <c r="X706" s="4">
        <f>IF(W706&gt;0,R706/W706-1,-1)</f>
        <v/>
      </c>
      <c r="Y706" s="19">
        <f>IF(R706&gt;0,S706*資金模擬!$B$7/R706,0)</f>
        <v/>
      </c>
      <c r="Z706" s="2">
        <f>IF(OR(Z705=1,R706&lt;=資金模擬!$B$10),1,0)</f>
        <v/>
      </c>
    </row>
    <row r="707">
      <c r="A707" s="2" t="n">
        <v>705</v>
      </c>
      <c r="B707" s="7" t="n">
        <v>46286.79166666666</v>
      </c>
      <c r="C707" s="2" t="inlineStr">
        <is>
          <t>進場</t>
        </is>
      </c>
      <c r="D707" s="2" t="n">
        <v>355</v>
      </c>
      <c r="E707" s="2" t="inlineStr">
        <is>
          <t>XMR_USDT_PERP</t>
        </is>
      </c>
      <c r="F707" s="2" t="inlineStr">
        <is>
          <t>做多</t>
        </is>
      </c>
      <c r="G707" s="20" t="n">
        <v>580.71</v>
      </c>
      <c r="H707" s="20" t="n">
        <v>598.1313</v>
      </c>
      <c r="I707" s="20" t="n">
        <v>551.6745</v>
      </c>
      <c r="J707" s="20" t="n"/>
      <c r="K707" s="2" t="n"/>
      <c r="L707" s="5" t="n"/>
      <c r="M707" s="19">
        <f>資金模擬!$B$5*V706</f>
        <v/>
      </c>
      <c r="N707" s="2">
        <f>IF(Z706=1,"已停止",IF(T706&gt;=M707,"已下單","資金不足略過"))</f>
        <v/>
      </c>
      <c r="O707" s="19">
        <f>IF(N707="已下單",M707*資金模擬!$B$7,0)</f>
        <v/>
      </c>
      <c r="P707" s="4" t="n"/>
      <c r="Q707" s="13" t="n">
        <v>0</v>
      </c>
      <c r="R707" s="13">
        <f>R706+Q707</f>
        <v/>
      </c>
      <c r="S707" s="19">
        <f>S706+IF(N707="已下單",M707,0)</f>
        <v/>
      </c>
      <c r="T707" s="19">
        <f>R707-S707</f>
        <v/>
      </c>
      <c r="U707" s="2">
        <f>U706+IF(N707="已下單",1,0)</f>
        <v/>
      </c>
      <c r="V707" s="19">
        <f>IF(資金模擬!$B$9=2,MAX(R707,0),MAX(V706,FLOOR(MAX(R707,0),資金模擬!$B$6)))</f>
        <v/>
      </c>
      <c r="W707" s="13">
        <f>MAX(W706,R707)</f>
        <v/>
      </c>
      <c r="X707" s="4">
        <f>IF(W707&gt;0,R707/W707-1,-1)</f>
        <v/>
      </c>
      <c r="Y707" s="19">
        <f>IF(R707&gt;0,S707*資金模擬!$B$7/R707,0)</f>
        <v/>
      </c>
      <c r="Z707" s="2">
        <f>IF(OR(Z706=1,R707&lt;=資金模擬!$B$10),1,0)</f>
        <v/>
      </c>
    </row>
    <row r="708">
      <c r="A708" s="2" t="n">
        <v>706</v>
      </c>
      <c r="B708" s="7" t="n">
        <v>46286.83333333334</v>
      </c>
      <c r="C708" s="2" t="inlineStr">
        <is>
          <t>進場</t>
        </is>
      </c>
      <c r="D708" s="2" t="n">
        <v>356</v>
      </c>
      <c r="E708" s="2" t="inlineStr">
        <is>
          <t>BR_USDT_PERP</t>
        </is>
      </c>
      <c r="F708" s="2" t="inlineStr">
        <is>
          <t>做多</t>
        </is>
      </c>
      <c r="G708" s="20" t="n">
        <v>1.19281</v>
      </c>
      <c r="H708" s="20" t="n">
        <v>1.2285943</v>
      </c>
      <c r="I708" s="20" t="n">
        <v>1.1331695</v>
      </c>
      <c r="J708" s="20" t="n"/>
      <c r="K708" s="2" t="n"/>
      <c r="L708" s="5" t="n"/>
      <c r="M708" s="19">
        <f>資金模擬!$B$5*V707</f>
        <v/>
      </c>
      <c r="N708" s="2">
        <f>IF(Z707=1,"已停止",IF(T707&gt;=M708,"已下單","資金不足略過"))</f>
        <v/>
      </c>
      <c r="O708" s="19">
        <f>IF(N708="已下單",M708*資金模擬!$B$7,0)</f>
        <v/>
      </c>
      <c r="P708" s="4" t="n"/>
      <c r="Q708" s="13" t="n">
        <v>0</v>
      </c>
      <c r="R708" s="13">
        <f>R707+Q708</f>
        <v/>
      </c>
      <c r="S708" s="19">
        <f>S707+IF(N708="已下單",M708,0)</f>
        <v/>
      </c>
      <c r="T708" s="19">
        <f>R708-S708</f>
        <v/>
      </c>
      <c r="U708" s="2">
        <f>U707+IF(N708="已下單",1,0)</f>
        <v/>
      </c>
      <c r="V708" s="19">
        <f>IF(資金模擬!$B$9=2,MAX(R708,0),MAX(V707,FLOOR(MAX(R708,0),資金模擬!$B$6)))</f>
        <v/>
      </c>
      <c r="W708" s="13">
        <f>MAX(W707,R708)</f>
        <v/>
      </c>
      <c r="X708" s="4">
        <f>IF(W708&gt;0,R708/W708-1,-1)</f>
        <v/>
      </c>
      <c r="Y708" s="19">
        <f>IF(R708&gt;0,S708*資金模擬!$B$7/R708,0)</f>
        <v/>
      </c>
      <c r="Z708" s="2">
        <f>IF(OR(Z707=1,R708&lt;=資金模擬!$B$10),1,0)</f>
        <v/>
      </c>
    </row>
    <row r="709">
      <c r="A709" s="2" t="n">
        <v>707</v>
      </c>
      <c r="B709" s="7" t="n">
        <v>46286.875</v>
      </c>
      <c r="C709" s="2" t="inlineStr">
        <is>
          <t>出場</t>
        </is>
      </c>
      <c r="D709" s="2" t="n">
        <v>354</v>
      </c>
      <c r="E709" s="2" t="inlineStr">
        <is>
          <t>PONS_USDT_PERP</t>
        </is>
      </c>
      <c r="F709" s="2" t="inlineStr">
        <is>
          <t>做多</t>
        </is>
      </c>
      <c r="G709" s="20" t="n">
        <v>0.6218</v>
      </c>
      <c r="H709" s="20" t="n">
        <v>0.6404540000000001</v>
      </c>
      <c r="I709" s="20" t="n">
        <v>0.59071</v>
      </c>
      <c r="J709" s="20" t="n">
        <v>0.6404540000000001</v>
      </c>
      <c r="K709" s="2" t="inlineStr">
        <is>
          <t>止盈</t>
        </is>
      </c>
      <c r="L709" s="5">
        <f>交易明細!K355</f>
        <v/>
      </c>
      <c r="M709" s="19">
        <f>M706</f>
        <v/>
      </c>
      <c r="N709" s="2">
        <f>N706</f>
        <v/>
      </c>
      <c r="O709" s="19">
        <f>O706</f>
        <v/>
      </c>
      <c r="P709" s="4">
        <f>交易明細!L355</f>
        <v/>
      </c>
      <c r="Q709" s="13">
        <f>IF(N709="已下單",O709*P709,0)</f>
        <v/>
      </c>
      <c r="R709" s="13">
        <f>R708+Q709</f>
        <v/>
      </c>
      <c r="S709" s="19">
        <f>S708-IF(N709="已下單",M709,0)</f>
        <v/>
      </c>
      <c r="T709" s="19">
        <f>R709-S709</f>
        <v/>
      </c>
      <c r="U709" s="2">
        <f>U708-IF(N709="已下單",1,0)</f>
        <v/>
      </c>
      <c r="V709" s="19">
        <f>IF(資金模擬!$B$9=2,MAX(R709,0),MAX(V708,FLOOR(MAX(R709,0),資金模擬!$B$6)))</f>
        <v/>
      </c>
      <c r="W709" s="13">
        <f>MAX(W708,R709)</f>
        <v/>
      </c>
      <c r="X709" s="4">
        <f>IF(W709&gt;0,R709/W709-1,-1)</f>
        <v/>
      </c>
      <c r="Y709" s="19">
        <f>IF(R709&gt;0,S709*資金模擬!$B$7/R709,0)</f>
        <v/>
      </c>
      <c r="Z709" s="2">
        <f>IF(OR(Z708=1,R709&lt;=資金模擬!$B$10),1,0)</f>
        <v/>
      </c>
    </row>
    <row r="710">
      <c r="A710" s="2" t="n">
        <v>708</v>
      </c>
      <c r="B710" s="7" t="n">
        <v>46286.875</v>
      </c>
      <c r="C710" s="2" t="inlineStr">
        <is>
          <t>進場</t>
        </is>
      </c>
      <c r="D710" s="2" t="n">
        <v>357</v>
      </c>
      <c r="E710" s="2" t="inlineStr">
        <is>
          <t>AKE_USDT_PERP</t>
        </is>
      </c>
      <c r="F710" s="2" t="inlineStr">
        <is>
          <t>做多</t>
        </is>
      </c>
      <c r="G710" s="20" t="n">
        <v>0.0533389</v>
      </c>
      <c r="H710" s="20" t="n">
        <v>0.054939067</v>
      </c>
      <c r="I710" s="20" t="n">
        <v>0.050671955</v>
      </c>
      <c r="J710" s="20" t="n"/>
      <c r="K710" s="2" t="n"/>
      <c r="L710" s="5" t="n"/>
      <c r="M710" s="19">
        <f>資金模擬!$B$5*V709</f>
        <v/>
      </c>
      <c r="N710" s="2">
        <f>IF(Z709=1,"已停止",IF(T709&gt;=M710,"已下單","資金不足略過"))</f>
        <v/>
      </c>
      <c r="O710" s="19">
        <f>IF(N710="已下單",M710*資金模擬!$B$7,0)</f>
        <v/>
      </c>
      <c r="P710" s="4" t="n"/>
      <c r="Q710" s="13" t="n">
        <v>0</v>
      </c>
      <c r="R710" s="13">
        <f>R709+Q710</f>
        <v/>
      </c>
      <c r="S710" s="19">
        <f>S709+IF(N710="已下單",M710,0)</f>
        <v/>
      </c>
      <c r="T710" s="19">
        <f>R710-S710</f>
        <v/>
      </c>
      <c r="U710" s="2">
        <f>U709+IF(N710="已下單",1,0)</f>
        <v/>
      </c>
      <c r="V710" s="19">
        <f>IF(資金模擬!$B$9=2,MAX(R710,0),MAX(V709,FLOOR(MAX(R710,0),資金模擬!$B$6)))</f>
        <v/>
      </c>
      <c r="W710" s="13">
        <f>MAX(W709,R710)</f>
        <v/>
      </c>
      <c r="X710" s="4">
        <f>IF(W710&gt;0,R710/W710-1,-1)</f>
        <v/>
      </c>
      <c r="Y710" s="19">
        <f>IF(R710&gt;0,S710*資金模擬!$B$7/R710,0)</f>
        <v/>
      </c>
      <c r="Z710" s="2">
        <f>IF(OR(Z709=1,R710&lt;=資金模擬!$B$10),1,0)</f>
        <v/>
      </c>
    </row>
    <row r="711">
      <c r="A711" s="2" t="n">
        <v>709</v>
      </c>
      <c r="B711" s="7" t="n">
        <v>46286.87847222222</v>
      </c>
      <c r="C711" s="2" t="inlineStr">
        <is>
          <t>出場</t>
        </is>
      </c>
      <c r="D711" s="2" t="n">
        <v>357</v>
      </c>
      <c r="E711" s="2" t="inlineStr">
        <is>
          <t>AKE_USDT_PERP</t>
        </is>
      </c>
      <c r="F711" s="2" t="inlineStr">
        <is>
          <t>做多</t>
        </is>
      </c>
      <c r="G711" s="20" t="n">
        <v>0.0533389</v>
      </c>
      <c r="H711" s="20" t="n">
        <v>0.054939067</v>
      </c>
      <c r="I711" s="20" t="n">
        <v>0.050671955</v>
      </c>
      <c r="J711" s="20" t="n">
        <v>0.054939067</v>
      </c>
      <c r="K711" s="2" t="inlineStr">
        <is>
          <t>止盈</t>
        </is>
      </c>
      <c r="L711" s="5">
        <f>交易明細!K358</f>
        <v/>
      </c>
      <c r="M711" s="19">
        <f>M710</f>
        <v/>
      </c>
      <c r="N711" s="2">
        <f>N710</f>
        <v/>
      </c>
      <c r="O711" s="19">
        <f>O710</f>
        <v/>
      </c>
      <c r="P711" s="4">
        <f>交易明細!L358</f>
        <v/>
      </c>
      <c r="Q711" s="13">
        <f>IF(N711="已下單",O711*P711,0)</f>
        <v/>
      </c>
      <c r="R711" s="13">
        <f>R710+Q711</f>
        <v/>
      </c>
      <c r="S711" s="19">
        <f>S710-IF(N711="已下單",M711,0)</f>
        <v/>
      </c>
      <c r="T711" s="19">
        <f>R711-S711</f>
        <v/>
      </c>
      <c r="U711" s="2">
        <f>U710-IF(N711="已下單",1,0)</f>
        <v/>
      </c>
      <c r="V711" s="19">
        <f>IF(資金模擬!$B$9=2,MAX(R711,0),MAX(V710,FLOOR(MAX(R711,0),資金模擬!$B$6)))</f>
        <v/>
      </c>
      <c r="W711" s="13">
        <f>MAX(W710,R711)</f>
        <v/>
      </c>
      <c r="X711" s="4">
        <f>IF(W711&gt;0,R711/W711-1,-1)</f>
        <v/>
      </c>
      <c r="Y711" s="19">
        <f>IF(R711&gt;0,S711*資金模擬!$B$7/R711,0)</f>
        <v/>
      </c>
      <c r="Z711" s="2">
        <f>IF(OR(Z710=1,R711&lt;=資金模擬!$B$10),1,0)</f>
        <v/>
      </c>
    </row>
    <row r="712">
      <c r="A712" s="2" t="n">
        <v>710</v>
      </c>
      <c r="B712" s="7" t="n">
        <v>46286.91666666666</v>
      </c>
      <c r="C712" s="2" t="inlineStr">
        <is>
          <t>出場</t>
        </is>
      </c>
      <c r="D712" s="2" t="n">
        <v>356</v>
      </c>
      <c r="E712" s="2" t="inlineStr">
        <is>
          <t>BR_USDT_PERP</t>
        </is>
      </c>
      <c r="F712" s="2" t="inlineStr">
        <is>
          <t>做多</t>
        </is>
      </c>
      <c r="G712" s="20" t="n">
        <v>1.19281</v>
      </c>
      <c r="H712" s="20" t="n">
        <v>1.2285943</v>
      </c>
      <c r="I712" s="20" t="n">
        <v>1.1331695</v>
      </c>
      <c r="J712" s="20" t="n">
        <v>1.2285943</v>
      </c>
      <c r="K712" s="2" t="inlineStr">
        <is>
          <t>止盈</t>
        </is>
      </c>
      <c r="L712" s="5">
        <f>交易明細!K357</f>
        <v/>
      </c>
      <c r="M712" s="19">
        <f>M708</f>
        <v/>
      </c>
      <c r="N712" s="2">
        <f>N708</f>
        <v/>
      </c>
      <c r="O712" s="19">
        <f>O708</f>
        <v/>
      </c>
      <c r="P712" s="4">
        <f>交易明細!L357</f>
        <v/>
      </c>
      <c r="Q712" s="13">
        <f>IF(N712="已下單",O712*P712,0)</f>
        <v/>
      </c>
      <c r="R712" s="13">
        <f>R711+Q712</f>
        <v/>
      </c>
      <c r="S712" s="19">
        <f>S711-IF(N712="已下單",M712,0)</f>
        <v/>
      </c>
      <c r="T712" s="19">
        <f>R712-S712</f>
        <v/>
      </c>
      <c r="U712" s="2">
        <f>U711-IF(N712="已下單",1,0)</f>
        <v/>
      </c>
      <c r="V712" s="19">
        <f>IF(資金模擬!$B$9=2,MAX(R712,0),MAX(V711,FLOOR(MAX(R712,0),資金模擬!$B$6)))</f>
        <v/>
      </c>
      <c r="W712" s="13">
        <f>MAX(W711,R712)</f>
        <v/>
      </c>
      <c r="X712" s="4">
        <f>IF(W712&gt;0,R712/W712-1,-1)</f>
        <v/>
      </c>
      <c r="Y712" s="19">
        <f>IF(R712&gt;0,S712*資金模擬!$B$7/R712,0)</f>
        <v/>
      </c>
      <c r="Z712" s="2">
        <f>IF(OR(Z711=1,R712&lt;=資金模擬!$B$10),1,0)</f>
        <v/>
      </c>
    </row>
    <row r="713">
      <c r="A713" s="2" t="n">
        <v>711</v>
      </c>
      <c r="B713" s="7" t="n">
        <v>46286.95833333334</v>
      </c>
      <c r="C713" s="2" t="inlineStr">
        <is>
          <t>進場</t>
        </is>
      </c>
      <c r="D713" s="2" t="n">
        <v>358</v>
      </c>
      <c r="E713" s="2" t="inlineStr">
        <is>
          <t>BR_USDT_PERP</t>
        </is>
      </c>
      <c r="F713" s="2" t="inlineStr">
        <is>
          <t>做多</t>
        </is>
      </c>
      <c r="G713" s="20" t="n">
        <v>1.21805</v>
      </c>
      <c r="H713" s="20" t="n">
        <v>1.2545915</v>
      </c>
      <c r="I713" s="20" t="n">
        <v>1.1571475</v>
      </c>
      <c r="J713" s="20" t="n"/>
      <c r="K713" s="2" t="n"/>
      <c r="L713" s="5" t="n"/>
      <c r="M713" s="19">
        <f>資金模擬!$B$5*V712</f>
        <v/>
      </c>
      <c r="N713" s="2">
        <f>IF(Z712=1,"已停止",IF(T712&gt;=M713,"已下單","資金不足略過"))</f>
        <v/>
      </c>
      <c r="O713" s="19">
        <f>IF(N713="已下單",M713*資金模擬!$B$7,0)</f>
        <v/>
      </c>
      <c r="P713" s="4" t="n"/>
      <c r="Q713" s="13" t="n">
        <v>0</v>
      </c>
      <c r="R713" s="13">
        <f>R712+Q713</f>
        <v/>
      </c>
      <c r="S713" s="19">
        <f>S712+IF(N713="已下單",M713,0)</f>
        <v/>
      </c>
      <c r="T713" s="19">
        <f>R713-S713</f>
        <v/>
      </c>
      <c r="U713" s="2">
        <f>U712+IF(N713="已下單",1,0)</f>
        <v/>
      </c>
      <c r="V713" s="19">
        <f>IF(資金模擬!$B$9=2,MAX(R713,0),MAX(V712,FLOOR(MAX(R713,0),資金模擬!$B$6)))</f>
        <v/>
      </c>
      <c r="W713" s="13">
        <f>MAX(W712,R713)</f>
        <v/>
      </c>
      <c r="X713" s="4">
        <f>IF(W713&gt;0,R713/W713-1,-1)</f>
        <v/>
      </c>
      <c r="Y713" s="19">
        <f>IF(R713&gt;0,S713*資金模擬!$B$7/R713,0)</f>
        <v/>
      </c>
      <c r="Z713" s="2">
        <f>IF(OR(Z712=1,R713&lt;=資金模擬!$B$10),1,0)</f>
        <v/>
      </c>
    </row>
    <row r="714">
      <c r="A714" s="2" t="n">
        <v>712</v>
      </c>
      <c r="B714" s="7" t="n">
        <v>46287</v>
      </c>
      <c r="C714" s="2" t="inlineStr">
        <is>
          <t>出場</t>
        </is>
      </c>
      <c r="D714" s="2" t="n">
        <v>353</v>
      </c>
      <c r="E714" s="2" t="inlineStr">
        <is>
          <t>ENA_USDT_PERP</t>
        </is>
      </c>
      <c r="F714" s="2" t="inlineStr">
        <is>
          <t>做多</t>
        </is>
      </c>
      <c r="G714" s="20" t="n">
        <v>0.227</v>
      </c>
      <c r="H714" s="20" t="n">
        <v>0.23381</v>
      </c>
      <c r="I714" s="20" t="n">
        <v>0.21565</v>
      </c>
      <c r="J714" s="20" t="n">
        <v>0.21565</v>
      </c>
      <c r="K714" s="2" t="inlineStr">
        <is>
          <t>止損</t>
        </is>
      </c>
      <c r="L714" s="5">
        <f>交易明細!K354</f>
        <v/>
      </c>
      <c r="M714" s="19">
        <f>M705</f>
        <v/>
      </c>
      <c r="N714" s="2">
        <f>N705</f>
        <v/>
      </c>
      <c r="O714" s="19">
        <f>O705</f>
        <v/>
      </c>
      <c r="P714" s="4">
        <f>交易明細!L354</f>
        <v/>
      </c>
      <c r="Q714" s="13">
        <f>IF(N714="已下單",O714*P714,0)</f>
        <v/>
      </c>
      <c r="R714" s="13">
        <f>R713+Q714</f>
        <v/>
      </c>
      <c r="S714" s="19">
        <f>S713-IF(N714="已下單",M714,0)</f>
        <v/>
      </c>
      <c r="T714" s="19">
        <f>R714-S714</f>
        <v/>
      </c>
      <c r="U714" s="2">
        <f>U713-IF(N714="已下單",1,0)</f>
        <v/>
      </c>
      <c r="V714" s="19">
        <f>IF(資金模擬!$B$9=2,MAX(R714,0),MAX(V713,FLOOR(MAX(R714,0),資金模擬!$B$6)))</f>
        <v/>
      </c>
      <c r="W714" s="13">
        <f>MAX(W713,R714)</f>
        <v/>
      </c>
      <c r="X714" s="4">
        <f>IF(W714&gt;0,R714/W714-1,-1)</f>
        <v/>
      </c>
      <c r="Y714" s="19">
        <f>IF(R714&gt;0,S714*資金模擬!$B$7/R714,0)</f>
        <v/>
      </c>
      <c r="Z714" s="2">
        <f>IF(OR(Z713=1,R714&lt;=資金模擬!$B$10),1,0)</f>
        <v/>
      </c>
    </row>
    <row r="715">
      <c r="A715" s="2" t="n">
        <v>713</v>
      </c>
      <c r="B715" s="7" t="n">
        <v>46287</v>
      </c>
      <c r="C715" s="2" t="inlineStr">
        <is>
          <t>進場</t>
        </is>
      </c>
      <c r="D715" s="2" t="n">
        <v>359</v>
      </c>
      <c r="E715" s="2" t="inlineStr">
        <is>
          <t>LSK_USDT_PERP</t>
        </is>
      </c>
      <c r="F715" s="2" t="inlineStr">
        <is>
          <t>做空</t>
        </is>
      </c>
      <c r="G715" s="20" t="n">
        <v>0.3723</v>
      </c>
      <c r="H715" s="20" t="n">
        <v>0.361131</v>
      </c>
      <c r="I715" s="20" t="n">
        <v>0.390915</v>
      </c>
      <c r="J715" s="20" t="n"/>
      <c r="K715" s="2" t="n"/>
      <c r="L715" s="5" t="n"/>
      <c r="M715" s="19">
        <f>資金模擬!$B$5*V714</f>
        <v/>
      </c>
      <c r="N715" s="2">
        <f>IF(Z714=1,"已停止",IF(T714&gt;=M715,"已下單","資金不足略過"))</f>
        <v/>
      </c>
      <c r="O715" s="19">
        <f>IF(N715="已下單",M715*資金模擬!$B$7,0)</f>
        <v/>
      </c>
      <c r="P715" s="4" t="n"/>
      <c r="Q715" s="13" t="n">
        <v>0</v>
      </c>
      <c r="R715" s="13">
        <f>R714+Q715</f>
        <v/>
      </c>
      <c r="S715" s="19">
        <f>S714+IF(N715="已下單",M715,0)</f>
        <v/>
      </c>
      <c r="T715" s="19">
        <f>R715-S715</f>
        <v/>
      </c>
      <c r="U715" s="2">
        <f>U714+IF(N715="已下單",1,0)</f>
        <v/>
      </c>
      <c r="V715" s="19">
        <f>IF(資金模擬!$B$9=2,MAX(R715,0),MAX(V714,FLOOR(MAX(R715,0),資金模擬!$B$6)))</f>
        <v/>
      </c>
      <c r="W715" s="13">
        <f>MAX(W714,R715)</f>
        <v/>
      </c>
      <c r="X715" s="4">
        <f>IF(W715&gt;0,R715/W715-1,-1)</f>
        <v/>
      </c>
      <c r="Y715" s="19">
        <f>IF(R715&gt;0,S715*資金模擬!$B$7/R715,0)</f>
        <v/>
      </c>
      <c r="Z715" s="2">
        <f>IF(OR(Z714=1,R715&lt;=資金模擬!$B$10),1,0)</f>
        <v/>
      </c>
    </row>
    <row r="716">
      <c r="A716" s="2" t="n">
        <v>714</v>
      </c>
      <c r="B716" s="7" t="n">
        <v>46287</v>
      </c>
      <c r="C716" s="2" t="inlineStr">
        <is>
          <t>進場</t>
        </is>
      </c>
      <c r="D716" s="2" t="n">
        <v>360</v>
      </c>
      <c r="E716" s="2" t="inlineStr">
        <is>
          <t>VVV_USDT_PERP</t>
        </is>
      </c>
      <c r="F716" s="2" t="inlineStr">
        <is>
          <t>做空</t>
        </is>
      </c>
      <c r="G716" s="20" t="n">
        <v>31.09</v>
      </c>
      <c r="H716" s="20" t="n">
        <v>30.1573</v>
      </c>
      <c r="I716" s="20" t="n">
        <v>32.6445</v>
      </c>
      <c r="J716" s="20" t="n"/>
      <c r="K716" s="2" t="n"/>
      <c r="L716" s="5" t="n"/>
      <c r="M716" s="19">
        <f>資金模擬!$B$5*V715</f>
        <v/>
      </c>
      <c r="N716" s="2">
        <f>IF(Z715=1,"已停止",IF(T715&gt;=M716,"已下單","資金不足略過"))</f>
        <v/>
      </c>
      <c r="O716" s="19">
        <f>IF(N716="已下單",M716*資金模擬!$B$7,0)</f>
        <v/>
      </c>
      <c r="P716" s="4" t="n"/>
      <c r="Q716" s="13" t="n">
        <v>0</v>
      </c>
      <c r="R716" s="13">
        <f>R715+Q716</f>
        <v/>
      </c>
      <c r="S716" s="19">
        <f>S715+IF(N716="已下單",M716,0)</f>
        <v/>
      </c>
      <c r="T716" s="19">
        <f>R716-S716</f>
        <v/>
      </c>
      <c r="U716" s="2">
        <f>U715+IF(N716="已下單",1,0)</f>
        <v/>
      </c>
      <c r="V716" s="19">
        <f>IF(資金模擬!$B$9=2,MAX(R716,0),MAX(V715,FLOOR(MAX(R716,0),資金模擬!$B$6)))</f>
        <v/>
      </c>
      <c r="W716" s="13">
        <f>MAX(W715,R716)</f>
        <v/>
      </c>
      <c r="X716" s="4">
        <f>IF(W716&gt;0,R716/W716-1,-1)</f>
        <v/>
      </c>
      <c r="Y716" s="19">
        <f>IF(R716&gt;0,S716*資金模擬!$B$7/R716,0)</f>
        <v/>
      </c>
      <c r="Z716" s="2">
        <f>IF(OR(Z715=1,R716&lt;=資金模擬!$B$10),1,0)</f>
        <v/>
      </c>
    </row>
    <row r="717">
      <c r="A717" s="2" t="n">
        <v>715</v>
      </c>
      <c r="B717" s="7" t="n">
        <v>46287.04166666666</v>
      </c>
      <c r="C717" s="2" t="inlineStr">
        <is>
          <t>進場</t>
        </is>
      </c>
      <c r="D717" s="2" t="n">
        <v>361</v>
      </c>
      <c r="E717" s="2" t="inlineStr">
        <is>
          <t>PONS_USDT_PERP</t>
        </is>
      </c>
      <c r="F717" s="2" t="inlineStr">
        <is>
          <t>做空</t>
        </is>
      </c>
      <c r="G717" s="20" t="n">
        <v>0.5881</v>
      </c>
      <c r="H717" s="20" t="n">
        <v>0.570457</v>
      </c>
      <c r="I717" s="20" t="n">
        <v>0.617505</v>
      </c>
      <c r="J717" s="20" t="n"/>
      <c r="K717" s="2" t="n"/>
      <c r="L717" s="5" t="n"/>
      <c r="M717" s="19">
        <f>資金模擬!$B$5*V716</f>
        <v/>
      </c>
      <c r="N717" s="2">
        <f>IF(Z716=1,"已停止",IF(T716&gt;=M717,"已下單","資金不足略過"))</f>
        <v/>
      </c>
      <c r="O717" s="19">
        <f>IF(N717="已下單",M717*資金模擬!$B$7,0)</f>
        <v/>
      </c>
      <c r="P717" s="4" t="n"/>
      <c r="Q717" s="13" t="n">
        <v>0</v>
      </c>
      <c r="R717" s="13">
        <f>R716+Q717</f>
        <v/>
      </c>
      <c r="S717" s="19">
        <f>S716+IF(N717="已下單",M717,0)</f>
        <v/>
      </c>
      <c r="T717" s="19">
        <f>R717-S717</f>
        <v/>
      </c>
      <c r="U717" s="2">
        <f>U716+IF(N717="已下單",1,0)</f>
        <v/>
      </c>
      <c r="V717" s="19">
        <f>IF(資金模擬!$B$9=2,MAX(R717,0),MAX(V716,FLOOR(MAX(R717,0),資金模擬!$B$6)))</f>
        <v/>
      </c>
      <c r="W717" s="13">
        <f>MAX(W716,R717)</f>
        <v/>
      </c>
      <c r="X717" s="4">
        <f>IF(W717&gt;0,R717/W717-1,-1)</f>
        <v/>
      </c>
      <c r="Y717" s="19">
        <f>IF(R717&gt;0,S717*資金模擬!$B$7/R717,0)</f>
        <v/>
      </c>
      <c r="Z717" s="2">
        <f>IF(OR(Z716=1,R717&lt;=資金模擬!$B$10),1,0)</f>
        <v/>
      </c>
    </row>
    <row r="718">
      <c r="A718" s="2" t="n">
        <v>716</v>
      </c>
      <c r="B718" s="7" t="n">
        <v>46287.04166666666</v>
      </c>
      <c r="C718" s="2" t="inlineStr">
        <is>
          <t>進場</t>
        </is>
      </c>
      <c r="D718" s="2" t="n">
        <v>362</v>
      </c>
      <c r="E718" s="2" t="inlineStr">
        <is>
          <t>牛来_USDT_PERP</t>
        </is>
      </c>
      <c r="F718" s="2" t="inlineStr">
        <is>
          <t>做空</t>
        </is>
      </c>
      <c r="G718" s="20" t="n">
        <v>0.10672</v>
      </c>
      <c r="H718" s="20" t="n">
        <v>0.1035184</v>
      </c>
      <c r="I718" s="20" t="n">
        <v>0.112056</v>
      </c>
      <c r="J718" s="20" t="n"/>
      <c r="K718" s="2" t="n"/>
      <c r="L718" s="5" t="n"/>
      <c r="M718" s="19">
        <f>資金模擬!$B$5*V717</f>
        <v/>
      </c>
      <c r="N718" s="2">
        <f>IF(Z717=1,"已停止",IF(T717&gt;=M718,"已下單","資金不足略過"))</f>
        <v/>
      </c>
      <c r="O718" s="19">
        <f>IF(N718="已下單",M718*資金模擬!$B$7,0)</f>
        <v/>
      </c>
      <c r="P718" s="4" t="n"/>
      <c r="Q718" s="13" t="n">
        <v>0</v>
      </c>
      <c r="R718" s="13">
        <f>R717+Q718</f>
        <v/>
      </c>
      <c r="S718" s="19">
        <f>S717+IF(N718="已下單",M718,0)</f>
        <v/>
      </c>
      <c r="T718" s="19">
        <f>R718-S718</f>
        <v/>
      </c>
      <c r="U718" s="2">
        <f>U717+IF(N718="已下單",1,0)</f>
        <v/>
      </c>
      <c r="V718" s="19">
        <f>IF(資金模擬!$B$9=2,MAX(R718,0),MAX(V717,FLOOR(MAX(R718,0),資金模擬!$B$6)))</f>
        <v/>
      </c>
      <c r="W718" s="13">
        <f>MAX(W717,R718)</f>
        <v/>
      </c>
      <c r="X718" s="4">
        <f>IF(W718&gt;0,R718/W718-1,-1)</f>
        <v/>
      </c>
      <c r="Y718" s="19">
        <f>IF(R718&gt;0,S718*資金模擬!$B$7/R718,0)</f>
        <v/>
      </c>
      <c r="Z718" s="2">
        <f>IF(OR(Z717=1,R718&lt;=資金模擬!$B$10),1,0)</f>
        <v/>
      </c>
    </row>
    <row r="719">
      <c r="A719" s="2" t="n">
        <v>717</v>
      </c>
      <c r="B719" s="7" t="n">
        <v>46287.08333333334</v>
      </c>
      <c r="C719" s="2" t="inlineStr">
        <is>
          <t>出場</t>
        </is>
      </c>
      <c r="D719" s="2" t="n">
        <v>347</v>
      </c>
      <c r="E719" s="2" t="inlineStr">
        <is>
          <t>PUMP_USDT_PERP</t>
        </is>
      </c>
      <c r="F719" s="2" t="inlineStr">
        <is>
          <t>做多</t>
        </is>
      </c>
      <c r="G719" s="20" t="n">
        <v>0.004403</v>
      </c>
      <c r="H719" s="20" t="n">
        <v>0.00453509</v>
      </c>
      <c r="I719" s="20" t="n">
        <v>0.004182849999999999</v>
      </c>
      <c r="J719" s="20" t="n">
        <v>0.004182849999999999</v>
      </c>
      <c r="K719" s="2" t="inlineStr">
        <is>
          <t>止損</t>
        </is>
      </c>
      <c r="L719" s="5">
        <f>交易明細!K348</f>
        <v/>
      </c>
      <c r="M719" s="19">
        <f>M692</f>
        <v/>
      </c>
      <c r="N719" s="2">
        <f>N692</f>
        <v/>
      </c>
      <c r="O719" s="19">
        <f>O692</f>
        <v/>
      </c>
      <c r="P719" s="4">
        <f>交易明細!L348</f>
        <v/>
      </c>
      <c r="Q719" s="13">
        <f>IF(N719="已下單",O719*P719,0)</f>
        <v/>
      </c>
      <c r="R719" s="13">
        <f>R718+Q719</f>
        <v/>
      </c>
      <c r="S719" s="19">
        <f>S718-IF(N719="已下單",M719,0)</f>
        <v/>
      </c>
      <c r="T719" s="19">
        <f>R719-S719</f>
        <v/>
      </c>
      <c r="U719" s="2">
        <f>U718-IF(N719="已下單",1,0)</f>
        <v/>
      </c>
      <c r="V719" s="19">
        <f>IF(資金模擬!$B$9=2,MAX(R719,0),MAX(V718,FLOOR(MAX(R719,0),資金模擬!$B$6)))</f>
        <v/>
      </c>
      <c r="W719" s="13">
        <f>MAX(W718,R719)</f>
        <v/>
      </c>
      <c r="X719" s="4">
        <f>IF(W719&gt;0,R719/W719-1,-1)</f>
        <v/>
      </c>
      <c r="Y719" s="19">
        <f>IF(R719&gt;0,S719*資金模擬!$B$7/R719,0)</f>
        <v/>
      </c>
      <c r="Z719" s="2">
        <f>IF(OR(Z718=1,R719&lt;=資金模擬!$B$10),1,0)</f>
        <v/>
      </c>
    </row>
    <row r="720">
      <c r="A720" s="2" t="n">
        <v>718</v>
      </c>
      <c r="B720" s="7" t="n">
        <v>46287.08333333334</v>
      </c>
      <c r="C720" s="2" t="inlineStr">
        <is>
          <t>出場</t>
        </is>
      </c>
      <c r="D720" s="2" t="n">
        <v>351</v>
      </c>
      <c r="E720" s="2" t="inlineStr">
        <is>
          <t>LIT_USDT_PERP</t>
        </is>
      </c>
      <c r="F720" s="2" t="inlineStr">
        <is>
          <t>做多</t>
        </is>
      </c>
      <c r="G720" s="20" t="n">
        <v>5.064</v>
      </c>
      <c r="H720" s="20" t="n">
        <v>5.215920000000001</v>
      </c>
      <c r="I720" s="20" t="n">
        <v>4.8108</v>
      </c>
      <c r="J720" s="20" t="n">
        <v>4.8108</v>
      </c>
      <c r="K720" s="2" t="inlineStr">
        <is>
          <t>止損</t>
        </is>
      </c>
      <c r="L720" s="5">
        <f>交易明細!K352</f>
        <v/>
      </c>
      <c r="M720" s="19">
        <f>M696</f>
        <v/>
      </c>
      <c r="N720" s="2">
        <f>N696</f>
        <v/>
      </c>
      <c r="O720" s="19">
        <f>O696</f>
        <v/>
      </c>
      <c r="P720" s="4">
        <f>交易明細!L352</f>
        <v/>
      </c>
      <c r="Q720" s="13">
        <f>IF(N720="已下單",O720*P720,0)</f>
        <v/>
      </c>
      <c r="R720" s="13">
        <f>R719+Q720</f>
        <v/>
      </c>
      <c r="S720" s="19">
        <f>S719-IF(N720="已下單",M720,0)</f>
        <v/>
      </c>
      <c r="T720" s="19">
        <f>R720-S720</f>
        <v/>
      </c>
      <c r="U720" s="2">
        <f>U719-IF(N720="已下單",1,0)</f>
        <v/>
      </c>
      <c r="V720" s="19">
        <f>IF(資金模擬!$B$9=2,MAX(R720,0),MAX(V719,FLOOR(MAX(R720,0),資金模擬!$B$6)))</f>
        <v/>
      </c>
      <c r="W720" s="13">
        <f>MAX(W719,R720)</f>
        <v/>
      </c>
      <c r="X720" s="4">
        <f>IF(W720&gt;0,R720/W720-1,-1)</f>
        <v/>
      </c>
      <c r="Y720" s="19">
        <f>IF(R720&gt;0,S720*資金模擬!$B$7/R720,0)</f>
        <v/>
      </c>
      <c r="Z720" s="2">
        <f>IF(OR(Z719=1,R720&lt;=資金模擬!$B$10),1,0)</f>
        <v/>
      </c>
    </row>
    <row r="721">
      <c r="A721" s="2" t="n">
        <v>719</v>
      </c>
      <c r="B721" s="7" t="n">
        <v>46287.08333333334</v>
      </c>
      <c r="C721" s="2" t="inlineStr">
        <is>
          <t>出場</t>
        </is>
      </c>
      <c r="D721" s="2" t="n">
        <v>355</v>
      </c>
      <c r="E721" s="2" t="inlineStr">
        <is>
          <t>XMR_USDT_PERP</t>
        </is>
      </c>
      <c r="F721" s="2" t="inlineStr">
        <is>
          <t>做多</t>
        </is>
      </c>
      <c r="G721" s="20" t="n">
        <v>580.71</v>
      </c>
      <c r="H721" s="20" t="n">
        <v>598.1313</v>
      </c>
      <c r="I721" s="20" t="n">
        <v>551.6745</v>
      </c>
      <c r="J721" s="20" t="n">
        <v>551.6745</v>
      </c>
      <c r="K721" s="2" t="inlineStr">
        <is>
          <t>止損</t>
        </is>
      </c>
      <c r="L721" s="5">
        <f>交易明細!K356</f>
        <v/>
      </c>
      <c r="M721" s="19">
        <f>M707</f>
        <v/>
      </c>
      <c r="N721" s="2">
        <f>N707</f>
        <v/>
      </c>
      <c r="O721" s="19">
        <f>O707</f>
        <v/>
      </c>
      <c r="P721" s="4">
        <f>交易明細!L356</f>
        <v/>
      </c>
      <c r="Q721" s="13">
        <f>IF(N721="已下單",O721*P721,0)</f>
        <v/>
      </c>
      <c r="R721" s="13">
        <f>R720+Q721</f>
        <v/>
      </c>
      <c r="S721" s="19">
        <f>S720-IF(N721="已下單",M721,0)</f>
        <v/>
      </c>
      <c r="T721" s="19">
        <f>R721-S721</f>
        <v/>
      </c>
      <c r="U721" s="2">
        <f>U720-IF(N721="已下單",1,0)</f>
        <v/>
      </c>
      <c r="V721" s="19">
        <f>IF(資金模擬!$B$9=2,MAX(R721,0),MAX(V720,FLOOR(MAX(R721,0),資金模擬!$B$6)))</f>
        <v/>
      </c>
      <c r="W721" s="13">
        <f>MAX(W720,R721)</f>
        <v/>
      </c>
      <c r="X721" s="4">
        <f>IF(W721&gt;0,R721/W721-1,-1)</f>
        <v/>
      </c>
      <c r="Y721" s="19">
        <f>IF(R721&gt;0,S721*資金模擬!$B$7/R721,0)</f>
        <v/>
      </c>
      <c r="Z721" s="2">
        <f>IF(OR(Z720=1,R721&lt;=資金模擬!$B$10),1,0)</f>
        <v/>
      </c>
    </row>
    <row r="722">
      <c r="A722" s="2" t="n">
        <v>720</v>
      </c>
      <c r="B722" s="7" t="n">
        <v>46287.08333333334</v>
      </c>
      <c r="C722" s="2" t="inlineStr">
        <is>
          <t>出場</t>
        </is>
      </c>
      <c r="D722" s="2" t="n">
        <v>362</v>
      </c>
      <c r="E722" s="2" t="inlineStr">
        <is>
          <t>牛来_USDT_PERP</t>
        </is>
      </c>
      <c r="F722" s="2" t="inlineStr">
        <is>
          <t>做空</t>
        </is>
      </c>
      <c r="G722" s="20" t="n">
        <v>0.10672</v>
      </c>
      <c r="H722" s="20" t="n">
        <v>0.1035184</v>
      </c>
      <c r="I722" s="20" t="n">
        <v>0.112056</v>
      </c>
      <c r="J722" s="20" t="n">
        <v>0.1035184</v>
      </c>
      <c r="K722" s="2" t="inlineStr">
        <is>
          <t>止盈</t>
        </is>
      </c>
      <c r="L722" s="5">
        <f>交易明細!K363</f>
        <v/>
      </c>
      <c r="M722" s="19">
        <f>M718</f>
        <v/>
      </c>
      <c r="N722" s="2">
        <f>N718</f>
        <v/>
      </c>
      <c r="O722" s="19">
        <f>O718</f>
        <v/>
      </c>
      <c r="P722" s="4">
        <f>交易明細!L363</f>
        <v/>
      </c>
      <c r="Q722" s="13">
        <f>IF(N722="已下單",O722*P722,0)</f>
        <v/>
      </c>
      <c r="R722" s="13">
        <f>R721+Q722</f>
        <v/>
      </c>
      <c r="S722" s="19">
        <f>S721-IF(N722="已下單",M722,0)</f>
        <v/>
      </c>
      <c r="T722" s="19">
        <f>R722-S722</f>
        <v/>
      </c>
      <c r="U722" s="2">
        <f>U721-IF(N722="已下單",1,0)</f>
        <v/>
      </c>
      <c r="V722" s="19">
        <f>IF(資金模擬!$B$9=2,MAX(R722,0),MAX(V721,FLOOR(MAX(R722,0),資金模擬!$B$6)))</f>
        <v/>
      </c>
      <c r="W722" s="13">
        <f>MAX(W721,R722)</f>
        <v/>
      </c>
      <c r="X722" s="4">
        <f>IF(W722&gt;0,R722/W722-1,-1)</f>
        <v/>
      </c>
      <c r="Y722" s="19">
        <f>IF(R722&gt;0,S722*資金模擬!$B$7/R722,0)</f>
        <v/>
      </c>
      <c r="Z722" s="2">
        <f>IF(OR(Z721=1,R722&lt;=資金模擬!$B$10),1,0)</f>
        <v/>
      </c>
    </row>
    <row r="723">
      <c r="A723" s="2" t="n">
        <v>721</v>
      </c>
      <c r="B723" s="7" t="n">
        <v>46287.08333333334</v>
      </c>
      <c r="C723" s="2" t="inlineStr">
        <is>
          <t>進場</t>
        </is>
      </c>
      <c r="D723" s="2" t="n">
        <v>363</v>
      </c>
      <c r="E723" s="2" t="inlineStr">
        <is>
          <t>NIL_USDT_PERP</t>
        </is>
      </c>
      <c r="F723" s="2" t="inlineStr">
        <is>
          <t>做空</t>
        </is>
      </c>
      <c r="G723" s="20" t="n">
        <v>0.06272</v>
      </c>
      <c r="H723" s="20" t="n">
        <v>0.06083839999999999</v>
      </c>
      <c r="I723" s="20" t="n">
        <v>0.065856</v>
      </c>
      <c r="J723" s="20" t="n"/>
      <c r="K723" s="2" t="n"/>
      <c r="L723" s="5" t="n"/>
      <c r="M723" s="19">
        <f>資金模擬!$B$5*V722</f>
        <v/>
      </c>
      <c r="N723" s="2">
        <f>IF(Z722=1,"已停止",IF(T722&gt;=M723,"已下單","資金不足略過"))</f>
        <v/>
      </c>
      <c r="O723" s="19">
        <f>IF(N723="已下單",M723*資金模擬!$B$7,0)</f>
        <v/>
      </c>
      <c r="P723" s="4" t="n"/>
      <c r="Q723" s="13" t="n">
        <v>0</v>
      </c>
      <c r="R723" s="13">
        <f>R722+Q723</f>
        <v/>
      </c>
      <c r="S723" s="19">
        <f>S722+IF(N723="已下單",M723,0)</f>
        <v/>
      </c>
      <c r="T723" s="19">
        <f>R723-S723</f>
        <v/>
      </c>
      <c r="U723" s="2">
        <f>U722+IF(N723="已下單",1,0)</f>
        <v/>
      </c>
      <c r="V723" s="19">
        <f>IF(資金模擬!$B$9=2,MAX(R723,0),MAX(V722,FLOOR(MAX(R723,0),資金模擬!$B$6)))</f>
        <v/>
      </c>
      <c r="W723" s="13">
        <f>MAX(W722,R723)</f>
        <v/>
      </c>
      <c r="X723" s="4">
        <f>IF(W723&gt;0,R723/W723-1,-1)</f>
        <v/>
      </c>
      <c r="Y723" s="19">
        <f>IF(R723&gt;0,S723*資金模擬!$B$7/R723,0)</f>
        <v/>
      </c>
      <c r="Z723" s="2">
        <f>IF(OR(Z722=1,R723&lt;=資金模擬!$B$10),1,0)</f>
        <v/>
      </c>
    </row>
    <row r="724">
      <c r="A724" s="2" t="n">
        <v>722</v>
      </c>
      <c r="B724" s="7" t="n">
        <v>46287.16666666666</v>
      </c>
      <c r="C724" s="2" t="inlineStr">
        <is>
          <t>出場</t>
        </is>
      </c>
      <c r="D724" s="2" t="n">
        <v>358</v>
      </c>
      <c r="E724" s="2" t="inlineStr">
        <is>
          <t>BR_USDT_PERP</t>
        </is>
      </c>
      <c r="F724" s="2" t="inlineStr">
        <is>
          <t>做多</t>
        </is>
      </c>
      <c r="G724" s="20" t="n">
        <v>1.21805</v>
      </c>
      <c r="H724" s="20" t="n">
        <v>1.2545915</v>
      </c>
      <c r="I724" s="20" t="n">
        <v>1.1571475</v>
      </c>
      <c r="J724" s="20" t="n">
        <v>1.1571475</v>
      </c>
      <c r="K724" s="2" t="inlineStr">
        <is>
          <t>止損</t>
        </is>
      </c>
      <c r="L724" s="5">
        <f>交易明細!K359</f>
        <v/>
      </c>
      <c r="M724" s="19">
        <f>M713</f>
        <v/>
      </c>
      <c r="N724" s="2">
        <f>N713</f>
        <v/>
      </c>
      <c r="O724" s="19">
        <f>O713</f>
        <v/>
      </c>
      <c r="P724" s="4">
        <f>交易明細!L359</f>
        <v/>
      </c>
      <c r="Q724" s="13">
        <f>IF(N724="已下單",O724*P724,0)</f>
        <v/>
      </c>
      <c r="R724" s="13">
        <f>R723+Q724</f>
        <v/>
      </c>
      <c r="S724" s="19">
        <f>S723-IF(N724="已下單",M724,0)</f>
        <v/>
      </c>
      <c r="T724" s="19">
        <f>R724-S724</f>
        <v/>
      </c>
      <c r="U724" s="2">
        <f>U723-IF(N724="已下單",1,0)</f>
        <v/>
      </c>
      <c r="V724" s="19">
        <f>IF(資金模擬!$B$9=2,MAX(R724,0),MAX(V723,FLOOR(MAX(R724,0),資金模擬!$B$6)))</f>
        <v/>
      </c>
      <c r="W724" s="13">
        <f>MAX(W723,R724)</f>
        <v/>
      </c>
      <c r="X724" s="4">
        <f>IF(W724&gt;0,R724/W724-1,-1)</f>
        <v/>
      </c>
      <c r="Y724" s="19">
        <f>IF(R724&gt;0,S724*資金模擬!$B$7/R724,0)</f>
        <v/>
      </c>
      <c r="Z724" s="2">
        <f>IF(OR(Z723=1,R724&lt;=資金模擬!$B$10),1,0)</f>
        <v/>
      </c>
    </row>
    <row r="725">
      <c r="A725" s="2" t="n">
        <v>723</v>
      </c>
      <c r="B725" s="7" t="n">
        <v>46287.16666666666</v>
      </c>
      <c r="C725" s="2" t="inlineStr">
        <is>
          <t>出場</t>
        </is>
      </c>
      <c r="D725" s="2" t="n">
        <v>363</v>
      </c>
      <c r="E725" s="2" t="inlineStr">
        <is>
          <t>NIL_USDT_PERP</t>
        </is>
      </c>
      <c r="F725" s="2" t="inlineStr">
        <is>
          <t>做空</t>
        </is>
      </c>
      <c r="G725" s="20" t="n">
        <v>0.06272</v>
      </c>
      <c r="H725" s="20" t="n">
        <v>0.06083839999999999</v>
      </c>
      <c r="I725" s="20" t="n">
        <v>0.065856</v>
      </c>
      <c r="J725" s="20" t="n">
        <v>0.065856</v>
      </c>
      <c r="K725" s="2" t="inlineStr">
        <is>
          <t>止損</t>
        </is>
      </c>
      <c r="L725" s="5">
        <f>交易明細!K364</f>
        <v/>
      </c>
      <c r="M725" s="19">
        <f>M723</f>
        <v/>
      </c>
      <c r="N725" s="2">
        <f>N723</f>
        <v/>
      </c>
      <c r="O725" s="19">
        <f>O723</f>
        <v/>
      </c>
      <c r="P725" s="4">
        <f>交易明細!L364</f>
        <v/>
      </c>
      <c r="Q725" s="13">
        <f>IF(N725="已下單",O725*P725,0)</f>
        <v/>
      </c>
      <c r="R725" s="13">
        <f>R724+Q725</f>
        <v/>
      </c>
      <c r="S725" s="19">
        <f>S724-IF(N725="已下單",M725,0)</f>
        <v/>
      </c>
      <c r="T725" s="19">
        <f>R725-S725</f>
        <v/>
      </c>
      <c r="U725" s="2">
        <f>U724-IF(N725="已下單",1,0)</f>
        <v/>
      </c>
      <c r="V725" s="19">
        <f>IF(資金模擬!$B$9=2,MAX(R725,0),MAX(V724,FLOOR(MAX(R725,0),資金模擬!$B$6)))</f>
        <v/>
      </c>
      <c r="W725" s="13">
        <f>MAX(W724,R725)</f>
        <v/>
      </c>
      <c r="X725" s="4">
        <f>IF(W725&gt;0,R725/W725-1,-1)</f>
        <v/>
      </c>
      <c r="Y725" s="19">
        <f>IF(R725&gt;0,S725*資金模擬!$B$7/R725,0)</f>
        <v/>
      </c>
      <c r="Z725" s="2">
        <f>IF(OR(Z724=1,R725&lt;=資金模擬!$B$10),1,0)</f>
        <v/>
      </c>
    </row>
    <row r="726">
      <c r="A726" s="2" t="n">
        <v>724</v>
      </c>
      <c r="B726" s="7" t="n">
        <v>46287.16666666666</v>
      </c>
      <c r="C726" s="2" t="inlineStr">
        <is>
          <t>進場</t>
        </is>
      </c>
      <c r="D726" s="2" t="n">
        <v>364</v>
      </c>
      <c r="E726" s="2" t="inlineStr">
        <is>
          <t>SUI_USDT_PERP</t>
        </is>
      </c>
      <c r="F726" s="2" t="inlineStr">
        <is>
          <t>做多</t>
        </is>
      </c>
      <c r="G726" s="20" t="n">
        <v>1.0362</v>
      </c>
      <c r="H726" s="20" t="n">
        <v>1.067286</v>
      </c>
      <c r="I726" s="20" t="n">
        <v>0.98439</v>
      </c>
      <c r="J726" s="20" t="n"/>
      <c r="K726" s="2" t="n"/>
      <c r="L726" s="5" t="n"/>
      <c r="M726" s="19">
        <f>資金模擬!$B$5*V725</f>
        <v/>
      </c>
      <c r="N726" s="2">
        <f>IF(Z725=1,"已停止",IF(T725&gt;=M726,"已下單","資金不足略過"))</f>
        <v/>
      </c>
      <c r="O726" s="19">
        <f>IF(N726="已下單",M726*資金模擬!$B$7,0)</f>
        <v/>
      </c>
      <c r="P726" s="4" t="n"/>
      <c r="Q726" s="13" t="n">
        <v>0</v>
      </c>
      <c r="R726" s="13">
        <f>R725+Q726</f>
        <v/>
      </c>
      <c r="S726" s="19">
        <f>S725+IF(N726="已下單",M726,0)</f>
        <v/>
      </c>
      <c r="T726" s="19">
        <f>R726-S726</f>
        <v/>
      </c>
      <c r="U726" s="2">
        <f>U725+IF(N726="已下單",1,0)</f>
        <v/>
      </c>
      <c r="V726" s="19">
        <f>IF(資金模擬!$B$9=2,MAX(R726,0),MAX(V725,FLOOR(MAX(R726,0),資金模擬!$B$6)))</f>
        <v/>
      </c>
      <c r="W726" s="13">
        <f>MAX(W725,R726)</f>
        <v/>
      </c>
      <c r="X726" s="4">
        <f>IF(W726&gt;0,R726/W726-1,-1)</f>
        <v/>
      </c>
      <c r="Y726" s="19">
        <f>IF(R726&gt;0,S726*資金模擬!$B$7/R726,0)</f>
        <v/>
      </c>
      <c r="Z726" s="2">
        <f>IF(OR(Z725=1,R726&lt;=資金模擬!$B$10),1,0)</f>
        <v/>
      </c>
    </row>
    <row r="727">
      <c r="A727" s="2" t="n">
        <v>725</v>
      </c>
      <c r="B727" s="7" t="n">
        <v>46287.16666666666</v>
      </c>
      <c r="C727" s="2" t="inlineStr">
        <is>
          <t>進場</t>
        </is>
      </c>
      <c r="D727" s="2" t="n">
        <v>365</v>
      </c>
      <c r="E727" s="2" t="inlineStr">
        <is>
          <t>ZAMA_USDT_PERP</t>
        </is>
      </c>
      <c r="F727" s="2" t="inlineStr">
        <is>
          <t>做空</t>
        </is>
      </c>
      <c r="G727" s="20" t="n">
        <v>0.09168</v>
      </c>
      <c r="H727" s="20" t="n">
        <v>0.0889296</v>
      </c>
      <c r="I727" s="20" t="n">
        <v>0.096264</v>
      </c>
      <c r="J727" s="20" t="n"/>
      <c r="K727" s="2" t="n"/>
      <c r="L727" s="5" t="n"/>
      <c r="M727" s="19">
        <f>資金模擬!$B$5*V726</f>
        <v/>
      </c>
      <c r="N727" s="2">
        <f>IF(Z726=1,"已停止",IF(T726&gt;=M727,"已下單","資金不足略過"))</f>
        <v/>
      </c>
      <c r="O727" s="19">
        <f>IF(N727="已下單",M727*資金模擬!$B$7,0)</f>
        <v/>
      </c>
      <c r="P727" s="4" t="n"/>
      <c r="Q727" s="13" t="n">
        <v>0</v>
      </c>
      <c r="R727" s="13">
        <f>R726+Q727</f>
        <v/>
      </c>
      <c r="S727" s="19">
        <f>S726+IF(N727="已下單",M727,0)</f>
        <v/>
      </c>
      <c r="T727" s="19">
        <f>R727-S727</f>
        <v/>
      </c>
      <c r="U727" s="2">
        <f>U726+IF(N727="已下單",1,0)</f>
        <v/>
      </c>
      <c r="V727" s="19">
        <f>IF(資金模擬!$B$9=2,MAX(R727,0),MAX(V726,FLOOR(MAX(R727,0),資金模擬!$B$6)))</f>
        <v/>
      </c>
      <c r="W727" s="13">
        <f>MAX(W726,R727)</f>
        <v/>
      </c>
      <c r="X727" s="4">
        <f>IF(W727&gt;0,R727/W727-1,-1)</f>
        <v/>
      </c>
      <c r="Y727" s="19">
        <f>IF(R727&gt;0,S727*資金模擬!$B$7/R727,0)</f>
        <v/>
      </c>
      <c r="Z727" s="2">
        <f>IF(OR(Z726=1,R727&lt;=資金模擬!$B$10),1,0)</f>
        <v/>
      </c>
    </row>
    <row r="728">
      <c r="A728" s="2" t="n">
        <v>726</v>
      </c>
      <c r="B728" s="7" t="n">
        <v>46287.20833333334</v>
      </c>
      <c r="C728" s="2" t="inlineStr">
        <is>
          <t>進場</t>
        </is>
      </c>
      <c r="D728" s="2" t="n">
        <v>366</v>
      </c>
      <c r="E728" s="2" t="inlineStr">
        <is>
          <t>ARB_USDT_PERP</t>
        </is>
      </c>
      <c r="F728" s="2" t="inlineStr">
        <is>
          <t>做空</t>
        </is>
      </c>
      <c r="G728" s="20" t="n">
        <v>0.2221</v>
      </c>
      <c r="H728" s="20" t="n">
        <v>0.215437</v>
      </c>
      <c r="I728" s="20" t="n">
        <v>0.233205</v>
      </c>
      <c r="J728" s="20" t="n"/>
      <c r="K728" s="2" t="n"/>
      <c r="L728" s="5" t="n"/>
      <c r="M728" s="19">
        <f>資金模擬!$B$5*V727</f>
        <v/>
      </c>
      <c r="N728" s="2">
        <f>IF(Z727=1,"已停止",IF(T727&gt;=M728,"已下單","資金不足略過"))</f>
        <v/>
      </c>
      <c r="O728" s="19">
        <f>IF(N728="已下單",M728*資金模擬!$B$7,0)</f>
        <v/>
      </c>
      <c r="P728" s="4" t="n"/>
      <c r="Q728" s="13" t="n">
        <v>0</v>
      </c>
      <c r="R728" s="13">
        <f>R727+Q728</f>
        <v/>
      </c>
      <c r="S728" s="19">
        <f>S727+IF(N728="已下單",M728,0)</f>
        <v/>
      </c>
      <c r="T728" s="19">
        <f>R728-S728</f>
        <v/>
      </c>
      <c r="U728" s="2">
        <f>U727+IF(N728="已下單",1,0)</f>
        <v/>
      </c>
      <c r="V728" s="19">
        <f>IF(資金模擬!$B$9=2,MAX(R728,0),MAX(V727,FLOOR(MAX(R728,0),資金模擬!$B$6)))</f>
        <v/>
      </c>
      <c r="W728" s="13">
        <f>MAX(W727,R728)</f>
        <v/>
      </c>
      <c r="X728" s="4">
        <f>IF(W728&gt;0,R728/W728-1,-1)</f>
        <v/>
      </c>
      <c r="Y728" s="19">
        <f>IF(R728&gt;0,S728*資金模擬!$B$7/R728,0)</f>
        <v/>
      </c>
      <c r="Z728" s="2">
        <f>IF(OR(Z727=1,R728&lt;=資金模擬!$B$10),1,0)</f>
        <v/>
      </c>
    </row>
    <row r="729">
      <c r="A729" s="2" t="n">
        <v>727</v>
      </c>
      <c r="B729" s="7" t="n">
        <v>46287.20833333334</v>
      </c>
      <c r="C729" s="2" t="inlineStr">
        <is>
          <t>進場</t>
        </is>
      </c>
      <c r="D729" s="2" t="n">
        <v>367</v>
      </c>
      <c r="E729" s="2" t="inlineStr">
        <is>
          <t>NEAR_USDT_PERP</t>
        </is>
      </c>
      <c r="F729" s="2" t="inlineStr">
        <is>
          <t>做空</t>
        </is>
      </c>
      <c r="G729" s="20" t="n">
        <v>4.073</v>
      </c>
      <c r="H729" s="20" t="n">
        <v>3.95081</v>
      </c>
      <c r="I729" s="20" t="n">
        <v>4.276650000000001</v>
      </c>
      <c r="J729" s="20" t="n"/>
      <c r="K729" s="2" t="n"/>
      <c r="L729" s="5" t="n"/>
      <c r="M729" s="19">
        <f>資金模擬!$B$5*V728</f>
        <v/>
      </c>
      <c r="N729" s="2">
        <f>IF(Z728=1,"已停止",IF(T728&gt;=M729,"已下單","資金不足略過"))</f>
        <v/>
      </c>
      <c r="O729" s="19">
        <f>IF(N729="已下單",M729*資金模擬!$B$7,0)</f>
        <v/>
      </c>
      <c r="P729" s="4" t="n"/>
      <c r="Q729" s="13" t="n">
        <v>0</v>
      </c>
      <c r="R729" s="13">
        <f>R728+Q729</f>
        <v/>
      </c>
      <c r="S729" s="19">
        <f>S728+IF(N729="已下單",M729,0)</f>
        <v/>
      </c>
      <c r="T729" s="19">
        <f>R729-S729</f>
        <v/>
      </c>
      <c r="U729" s="2">
        <f>U728+IF(N729="已下單",1,0)</f>
        <v/>
      </c>
      <c r="V729" s="19">
        <f>IF(資金模擬!$B$9=2,MAX(R729,0),MAX(V728,FLOOR(MAX(R729,0),資金模擬!$B$6)))</f>
        <v/>
      </c>
      <c r="W729" s="13">
        <f>MAX(W728,R729)</f>
        <v/>
      </c>
      <c r="X729" s="4">
        <f>IF(W729&gt;0,R729/W729-1,-1)</f>
        <v/>
      </c>
      <c r="Y729" s="19">
        <f>IF(R729&gt;0,S729*資金模擬!$B$7/R729,0)</f>
        <v/>
      </c>
      <c r="Z729" s="2">
        <f>IF(OR(Z728=1,R729&lt;=資金模擬!$B$10),1,0)</f>
        <v/>
      </c>
    </row>
    <row r="730">
      <c r="A730" s="2" t="n">
        <v>728</v>
      </c>
      <c r="B730" s="7" t="n">
        <v>46287.20833333334</v>
      </c>
      <c r="C730" s="2" t="inlineStr">
        <is>
          <t>進場</t>
        </is>
      </c>
      <c r="D730" s="2" t="n">
        <v>368</v>
      </c>
      <c r="E730" s="2" t="inlineStr">
        <is>
          <t>WLD_USDT_PERP</t>
        </is>
      </c>
      <c r="F730" s="2" t="inlineStr">
        <is>
          <t>做多</t>
        </is>
      </c>
      <c r="G730" s="20" t="n">
        <v>0.4636</v>
      </c>
      <c r="H730" s="20" t="n">
        <v>0.477508</v>
      </c>
      <c r="I730" s="20" t="n">
        <v>0.44042</v>
      </c>
      <c r="J730" s="20" t="n"/>
      <c r="K730" s="2" t="n"/>
      <c r="L730" s="5" t="n"/>
      <c r="M730" s="19">
        <f>資金模擬!$B$5*V729</f>
        <v/>
      </c>
      <c r="N730" s="2">
        <f>IF(Z729=1,"已停止",IF(T729&gt;=M730,"已下單","資金不足略過"))</f>
        <v/>
      </c>
      <c r="O730" s="19">
        <f>IF(N730="已下單",M730*資金模擬!$B$7,0)</f>
        <v/>
      </c>
      <c r="P730" s="4" t="n"/>
      <c r="Q730" s="13" t="n">
        <v>0</v>
      </c>
      <c r="R730" s="13">
        <f>R729+Q730</f>
        <v/>
      </c>
      <c r="S730" s="19">
        <f>S729+IF(N730="已下單",M730,0)</f>
        <v/>
      </c>
      <c r="T730" s="19">
        <f>R730-S730</f>
        <v/>
      </c>
      <c r="U730" s="2">
        <f>U729+IF(N730="已下單",1,0)</f>
        <v/>
      </c>
      <c r="V730" s="19">
        <f>IF(資金模擬!$B$9=2,MAX(R730,0),MAX(V729,FLOOR(MAX(R730,0),資金模擬!$B$6)))</f>
        <v/>
      </c>
      <c r="W730" s="13">
        <f>MAX(W729,R730)</f>
        <v/>
      </c>
      <c r="X730" s="4">
        <f>IF(W730&gt;0,R730/W730-1,-1)</f>
        <v/>
      </c>
      <c r="Y730" s="19">
        <f>IF(R730&gt;0,S730*資金模擬!$B$7/R730,0)</f>
        <v/>
      </c>
      <c r="Z730" s="2">
        <f>IF(OR(Z729=1,R730&lt;=資金模擬!$B$10),1,0)</f>
        <v/>
      </c>
    </row>
    <row r="731">
      <c r="A731" s="2" t="n">
        <v>729</v>
      </c>
      <c r="B731" s="7" t="n">
        <v>46287.25</v>
      </c>
      <c r="C731" s="2" t="inlineStr">
        <is>
          <t>出場</t>
        </is>
      </c>
      <c r="D731" s="2" t="n">
        <v>360</v>
      </c>
      <c r="E731" s="2" t="inlineStr">
        <is>
          <t>VVV_USDT_PERP</t>
        </is>
      </c>
      <c r="F731" s="2" t="inlineStr">
        <is>
          <t>做空</t>
        </is>
      </c>
      <c r="G731" s="20" t="n">
        <v>31.09</v>
      </c>
      <c r="H731" s="20" t="n">
        <v>30.1573</v>
      </c>
      <c r="I731" s="20" t="n">
        <v>32.6445</v>
      </c>
      <c r="J731" s="20" t="n">
        <v>32.6445</v>
      </c>
      <c r="K731" s="2" t="inlineStr">
        <is>
          <t>止損</t>
        </is>
      </c>
      <c r="L731" s="5">
        <f>交易明細!K361</f>
        <v/>
      </c>
      <c r="M731" s="19">
        <f>M716</f>
        <v/>
      </c>
      <c r="N731" s="2">
        <f>N716</f>
        <v/>
      </c>
      <c r="O731" s="19">
        <f>O716</f>
        <v/>
      </c>
      <c r="P731" s="4">
        <f>交易明細!L361</f>
        <v/>
      </c>
      <c r="Q731" s="13">
        <f>IF(N731="已下單",O731*P731,0)</f>
        <v/>
      </c>
      <c r="R731" s="13">
        <f>R730+Q731</f>
        <v/>
      </c>
      <c r="S731" s="19">
        <f>S730-IF(N731="已下單",M731,0)</f>
        <v/>
      </c>
      <c r="T731" s="19">
        <f>R731-S731</f>
        <v/>
      </c>
      <c r="U731" s="2">
        <f>U730-IF(N731="已下單",1,0)</f>
        <v/>
      </c>
      <c r="V731" s="19">
        <f>IF(資金模擬!$B$9=2,MAX(R731,0),MAX(V730,FLOOR(MAX(R731,0),資金模擬!$B$6)))</f>
        <v/>
      </c>
      <c r="W731" s="13">
        <f>MAX(W730,R731)</f>
        <v/>
      </c>
      <c r="X731" s="4">
        <f>IF(W731&gt;0,R731/W731-1,-1)</f>
        <v/>
      </c>
      <c r="Y731" s="19">
        <f>IF(R731&gt;0,S731*資金模擬!$B$7/R731,0)</f>
        <v/>
      </c>
      <c r="Z731" s="2">
        <f>IF(OR(Z730=1,R731&lt;=資金模擬!$B$10),1,0)</f>
        <v/>
      </c>
    </row>
    <row r="732">
      <c r="A732" s="2" t="n">
        <v>730</v>
      </c>
      <c r="B732" s="7" t="n">
        <v>46287.25</v>
      </c>
      <c r="C732" s="2" t="inlineStr">
        <is>
          <t>進場</t>
        </is>
      </c>
      <c r="D732" s="2" t="n">
        <v>369</v>
      </c>
      <c r="E732" s="2" t="inlineStr">
        <is>
          <t>BTW_USDT_PERP</t>
        </is>
      </c>
      <c r="F732" s="2" t="inlineStr">
        <is>
          <t>做多</t>
        </is>
      </c>
      <c r="G732" s="20" t="n">
        <v>0.873247</v>
      </c>
      <c r="H732" s="20" t="n">
        <v>0.89944441</v>
      </c>
      <c r="I732" s="20" t="n">
        <v>0.8295846499999999</v>
      </c>
      <c r="J732" s="20" t="n"/>
      <c r="K732" s="2" t="n"/>
      <c r="L732" s="5" t="n"/>
      <c r="M732" s="19">
        <f>資金模擬!$B$5*V731</f>
        <v/>
      </c>
      <c r="N732" s="2">
        <f>IF(Z731=1,"已停止",IF(T731&gt;=M732,"已下單","資金不足略過"))</f>
        <v/>
      </c>
      <c r="O732" s="19">
        <f>IF(N732="已下單",M732*資金模擬!$B$7,0)</f>
        <v/>
      </c>
      <c r="P732" s="4" t="n"/>
      <c r="Q732" s="13" t="n">
        <v>0</v>
      </c>
      <c r="R732" s="13">
        <f>R731+Q732</f>
        <v/>
      </c>
      <c r="S732" s="19">
        <f>S731+IF(N732="已下單",M732,0)</f>
        <v/>
      </c>
      <c r="T732" s="19">
        <f>R732-S732</f>
        <v/>
      </c>
      <c r="U732" s="2">
        <f>U731+IF(N732="已下單",1,0)</f>
        <v/>
      </c>
      <c r="V732" s="19">
        <f>IF(資金模擬!$B$9=2,MAX(R732,0),MAX(V731,FLOOR(MAX(R732,0),資金模擬!$B$6)))</f>
        <v/>
      </c>
      <c r="W732" s="13">
        <f>MAX(W731,R732)</f>
        <v/>
      </c>
      <c r="X732" s="4">
        <f>IF(W732&gt;0,R732/W732-1,-1)</f>
        <v/>
      </c>
      <c r="Y732" s="19">
        <f>IF(R732&gt;0,S732*資金模擬!$B$7/R732,0)</f>
        <v/>
      </c>
      <c r="Z732" s="2">
        <f>IF(OR(Z731=1,R732&lt;=資金模擬!$B$10),1,0)</f>
        <v/>
      </c>
    </row>
    <row r="733">
      <c r="A733" s="2" t="n">
        <v>731</v>
      </c>
      <c r="B733" s="7" t="n">
        <v>46287.29166666666</v>
      </c>
      <c r="C733" s="2" t="inlineStr">
        <is>
          <t>出場</t>
        </is>
      </c>
      <c r="D733" s="2" t="n">
        <v>367</v>
      </c>
      <c r="E733" s="2" t="inlineStr">
        <is>
          <t>NEAR_USDT_PERP</t>
        </is>
      </c>
      <c r="F733" s="2" t="inlineStr">
        <is>
          <t>做空</t>
        </is>
      </c>
      <c r="G733" s="20" t="n">
        <v>4.073</v>
      </c>
      <c r="H733" s="20" t="n">
        <v>3.95081</v>
      </c>
      <c r="I733" s="20" t="n">
        <v>4.276650000000001</v>
      </c>
      <c r="J733" s="20" t="n">
        <v>4.276650000000001</v>
      </c>
      <c r="K733" s="2" t="inlineStr">
        <is>
          <t>止損</t>
        </is>
      </c>
      <c r="L733" s="5">
        <f>交易明細!K368</f>
        <v/>
      </c>
      <c r="M733" s="19">
        <f>M729</f>
        <v/>
      </c>
      <c r="N733" s="2">
        <f>N729</f>
        <v/>
      </c>
      <c r="O733" s="19">
        <f>O729</f>
        <v/>
      </c>
      <c r="P733" s="4">
        <f>交易明細!L368</f>
        <v/>
      </c>
      <c r="Q733" s="13">
        <f>IF(N733="已下單",O733*P733,0)</f>
        <v/>
      </c>
      <c r="R733" s="13">
        <f>R732+Q733</f>
        <v/>
      </c>
      <c r="S733" s="19">
        <f>S732-IF(N733="已下單",M733,0)</f>
        <v/>
      </c>
      <c r="T733" s="19">
        <f>R733-S733</f>
        <v/>
      </c>
      <c r="U733" s="2">
        <f>U732-IF(N733="已下單",1,0)</f>
        <v/>
      </c>
      <c r="V733" s="19">
        <f>IF(資金模擬!$B$9=2,MAX(R733,0),MAX(V732,FLOOR(MAX(R733,0),資金模擬!$B$6)))</f>
        <v/>
      </c>
      <c r="W733" s="13">
        <f>MAX(W732,R733)</f>
        <v/>
      </c>
      <c r="X733" s="4">
        <f>IF(W733&gt;0,R733/W733-1,-1)</f>
        <v/>
      </c>
      <c r="Y733" s="19">
        <f>IF(R733&gt;0,S733*資金模擬!$B$7/R733,0)</f>
        <v/>
      </c>
      <c r="Z733" s="2">
        <f>IF(OR(Z732=1,R733&lt;=資金模擬!$B$10),1,0)</f>
        <v/>
      </c>
    </row>
    <row r="734">
      <c r="A734" s="2" t="n">
        <v>732</v>
      </c>
      <c r="B734" s="7" t="n">
        <v>46287.29166666666</v>
      </c>
      <c r="C734" s="2" t="inlineStr">
        <is>
          <t>出場</t>
        </is>
      </c>
      <c r="D734" s="2" t="n">
        <v>369</v>
      </c>
      <c r="E734" s="2" t="inlineStr">
        <is>
          <t>BTW_USDT_PERP</t>
        </is>
      </c>
      <c r="F734" s="2" t="inlineStr">
        <is>
          <t>做多</t>
        </is>
      </c>
      <c r="G734" s="20" t="n">
        <v>0.873247</v>
      </c>
      <c r="H734" s="20" t="n">
        <v>0.89944441</v>
      </c>
      <c r="I734" s="20" t="n">
        <v>0.8295846499999999</v>
      </c>
      <c r="J734" s="20" t="n">
        <v>0.8295846499999999</v>
      </c>
      <c r="K734" s="2" t="inlineStr">
        <is>
          <t>止損</t>
        </is>
      </c>
      <c r="L734" s="5">
        <f>交易明細!K370</f>
        <v/>
      </c>
      <c r="M734" s="19">
        <f>M732</f>
        <v/>
      </c>
      <c r="N734" s="2">
        <f>N732</f>
        <v/>
      </c>
      <c r="O734" s="19">
        <f>O732</f>
        <v/>
      </c>
      <c r="P734" s="4">
        <f>交易明細!L370</f>
        <v/>
      </c>
      <c r="Q734" s="13">
        <f>IF(N734="已下單",O734*P734,0)</f>
        <v/>
      </c>
      <c r="R734" s="13">
        <f>R733+Q734</f>
        <v/>
      </c>
      <c r="S734" s="19">
        <f>S733-IF(N734="已下單",M734,0)</f>
        <v/>
      </c>
      <c r="T734" s="19">
        <f>R734-S734</f>
        <v/>
      </c>
      <c r="U734" s="2">
        <f>U733-IF(N734="已下單",1,0)</f>
        <v/>
      </c>
      <c r="V734" s="19">
        <f>IF(資金模擬!$B$9=2,MAX(R734,0),MAX(V733,FLOOR(MAX(R734,0),資金模擬!$B$6)))</f>
        <v/>
      </c>
      <c r="W734" s="13">
        <f>MAX(W733,R734)</f>
        <v/>
      </c>
      <c r="X734" s="4">
        <f>IF(W734&gt;0,R734/W734-1,-1)</f>
        <v/>
      </c>
      <c r="Y734" s="19">
        <f>IF(R734&gt;0,S734*資金模擬!$B$7/R734,0)</f>
        <v/>
      </c>
      <c r="Z734" s="2">
        <f>IF(OR(Z733=1,R734&lt;=資金模擬!$B$10),1,0)</f>
        <v/>
      </c>
    </row>
    <row r="735">
      <c r="A735" s="2" t="n">
        <v>733</v>
      </c>
      <c r="B735" s="7" t="n">
        <v>46287.29166666666</v>
      </c>
      <c r="C735" s="2" t="inlineStr">
        <is>
          <t>進場</t>
        </is>
      </c>
      <c r="D735" s="2" t="n">
        <v>370</v>
      </c>
      <c r="E735" s="2" t="inlineStr">
        <is>
          <t>FET_USDT_PERP</t>
        </is>
      </c>
      <c r="F735" s="2" t="inlineStr">
        <is>
          <t>做多</t>
        </is>
      </c>
      <c r="G735" s="20" t="n">
        <v>0.2047</v>
      </c>
      <c r="H735" s="20" t="n">
        <v>0.210841</v>
      </c>
      <c r="I735" s="20" t="n">
        <v>0.194465</v>
      </c>
      <c r="J735" s="20" t="n"/>
      <c r="K735" s="2" t="n"/>
      <c r="L735" s="5" t="n"/>
      <c r="M735" s="19">
        <f>資金模擬!$B$5*V734</f>
        <v/>
      </c>
      <c r="N735" s="2">
        <f>IF(Z734=1,"已停止",IF(T734&gt;=M735,"已下單","資金不足略過"))</f>
        <v/>
      </c>
      <c r="O735" s="19">
        <f>IF(N735="已下單",M735*資金模擬!$B$7,0)</f>
        <v/>
      </c>
      <c r="P735" s="4" t="n"/>
      <c r="Q735" s="13" t="n">
        <v>0</v>
      </c>
      <c r="R735" s="13">
        <f>R734+Q735</f>
        <v/>
      </c>
      <c r="S735" s="19">
        <f>S734+IF(N735="已下單",M735,0)</f>
        <v/>
      </c>
      <c r="T735" s="19">
        <f>R735-S735</f>
        <v/>
      </c>
      <c r="U735" s="2">
        <f>U734+IF(N735="已下單",1,0)</f>
        <v/>
      </c>
      <c r="V735" s="19">
        <f>IF(資金模擬!$B$9=2,MAX(R735,0),MAX(V734,FLOOR(MAX(R735,0),資金模擬!$B$6)))</f>
        <v/>
      </c>
      <c r="W735" s="13">
        <f>MAX(W734,R735)</f>
        <v/>
      </c>
      <c r="X735" s="4">
        <f>IF(W735&gt;0,R735/W735-1,-1)</f>
        <v/>
      </c>
      <c r="Y735" s="19">
        <f>IF(R735&gt;0,S735*資金模擬!$B$7/R735,0)</f>
        <v/>
      </c>
      <c r="Z735" s="2">
        <f>IF(OR(Z734=1,R735&lt;=資金模擬!$B$10),1,0)</f>
        <v/>
      </c>
    </row>
    <row r="736">
      <c r="A736" s="2" t="n">
        <v>734</v>
      </c>
      <c r="B736" s="7" t="n">
        <v>46287.29166666666</v>
      </c>
      <c r="C736" s="2" t="inlineStr">
        <is>
          <t>進場</t>
        </is>
      </c>
      <c r="D736" s="2" t="n">
        <v>371</v>
      </c>
      <c r="E736" s="2" t="inlineStr">
        <is>
          <t>INJ_USDT_PERP</t>
        </is>
      </c>
      <c r="F736" s="2" t="inlineStr">
        <is>
          <t>做多</t>
        </is>
      </c>
      <c r="G736" s="20" t="n">
        <v>7.909</v>
      </c>
      <c r="H736" s="20" t="n">
        <v>8.146269999999999</v>
      </c>
      <c r="I736" s="20" t="n">
        <v>7.51355</v>
      </c>
      <c r="J736" s="20" t="n"/>
      <c r="K736" s="2" t="n"/>
      <c r="L736" s="5" t="n"/>
      <c r="M736" s="19">
        <f>資金模擬!$B$5*V735</f>
        <v/>
      </c>
      <c r="N736" s="2">
        <f>IF(Z735=1,"已停止",IF(T735&gt;=M736,"已下單","資金不足略過"))</f>
        <v/>
      </c>
      <c r="O736" s="19">
        <f>IF(N736="已下單",M736*資金模擬!$B$7,0)</f>
        <v/>
      </c>
      <c r="P736" s="4" t="n"/>
      <c r="Q736" s="13" t="n">
        <v>0</v>
      </c>
      <c r="R736" s="13">
        <f>R735+Q736</f>
        <v/>
      </c>
      <c r="S736" s="19">
        <f>S735+IF(N736="已下單",M736,0)</f>
        <v/>
      </c>
      <c r="T736" s="19">
        <f>R736-S736</f>
        <v/>
      </c>
      <c r="U736" s="2">
        <f>U735+IF(N736="已下單",1,0)</f>
        <v/>
      </c>
      <c r="V736" s="19">
        <f>IF(資金模擬!$B$9=2,MAX(R736,0),MAX(V735,FLOOR(MAX(R736,0),資金模擬!$B$6)))</f>
        <v/>
      </c>
      <c r="W736" s="13">
        <f>MAX(W735,R736)</f>
        <v/>
      </c>
      <c r="X736" s="4">
        <f>IF(W736&gt;0,R736/W736-1,-1)</f>
        <v/>
      </c>
      <c r="Y736" s="19">
        <f>IF(R736&gt;0,S736*資金模擬!$B$7/R736,0)</f>
        <v/>
      </c>
      <c r="Z736" s="2">
        <f>IF(OR(Z735=1,R736&lt;=資金模擬!$B$10),1,0)</f>
        <v/>
      </c>
    </row>
    <row r="737">
      <c r="A737" s="2" t="n">
        <v>735</v>
      </c>
      <c r="B737" s="7" t="n">
        <v>46287.29166666666</v>
      </c>
      <c r="C737" s="2" t="inlineStr">
        <is>
          <t>進場</t>
        </is>
      </c>
      <c r="D737" s="2" t="n">
        <v>372</v>
      </c>
      <c r="E737" s="2" t="inlineStr">
        <is>
          <t>UNI_USDT_PERP</t>
        </is>
      </c>
      <c r="F737" s="2" t="inlineStr">
        <is>
          <t>做多</t>
        </is>
      </c>
      <c r="G737" s="20" t="n">
        <v>8.986000000000001</v>
      </c>
      <c r="H737" s="20" t="n">
        <v>9.25558</v>
      </c>
      <c r="I737" s="20" t="n">
        <v>8.5367</v>
      </c>
      <c r="J737" s="20" t="n"/>
      <c r="K737" s="2" t="n"/>
      <c r="L737" s="5" t="n"/>
      <c r="M737" s="19">
        <f>資金模擬!$B$5*V736</f>
        <v/>
      </c>
      <c r="N737" s="2">
        <f>IF(Z736=1,"已停止",IF(T736&gt;=M737,"已下單","資金不足略過"))</f>
        <v/>
      </c>
      <c r="O737" s="19">
        <f>IF(N737="已下單",M737*資金模擬!$B$7,0)</f>
        <v/>
      </c>
      <c r="P737" s="4" t="n"/>
      <c r="Q737" s="13" t="n">
        <v>0</v>
      </c>
      <c r="R737" s="13">
        <f>R736+Q737</f>
        <v/>
      </c>
      <c r="S737" s="19">
        <f>S736+IF(N737="已下單",M737,0)</f>
        <v/>
      </c>
      <c r="T737" s="19">
        <f>R737-S737</f>
        <v/>
      </c>
      <c r="U737" s="2">
        <f>U736+IF(N737="已下單",1,0)</f>
        <v/>
      </c>
      <c r="V737" s="19">
        <f>IF(資金模擬!$B$9=2,MAX(R737,0),MAX(V736,FLOOR(MAX(R737,0),資金模擬!$B$6)))</f>
        <v/>
      </c>
      <c r="W737" s="13">
        <f>MAX(W736,R737)</f>
        <v/>
      </c>
      <c r="X737" s="4">
        <f>IF(W737&gt;0,R737/W737-1,-1)</f>
        <v/>
      </c>
      <c r="Y737" s="19">
        <f>IF(R737&gt;0,S737*資金模擬!$B$7/R737,0)</f>
        <v/>
      </c>
      <c r="Z737" s="2">
        <f>IF(OR(Z736=1,R737&lt;=資金模擬!$B$10),1,0)</f>
        <v/>
      </c>
    </row>
    <row r="738">
      <c r="A738" s="2" t="n">
        <v>736</v>
      </c>
      <c r="B738" s="7" t="n">
        <v>46287.33333333334</v>
      </c>
      <c r="C738" s="2" t="inlineStr">
        <is>
          <t>出場</t>
        </is>
      </c>
      <c r="D738" s="2" t="n">
        <v>359</v>
      </c>
      <c r="E738" s="2" t="inlineStr">
        <is>
          <t>LSK_USDT_PERP</t>
        </is>
      </c>
      <c r="F738" s="2" t="inlineStr">
        <is>
          <t>做空</t>
        </is>
      </c>
      <c r="G738" s="20" t="n">
        <v>0.3723</v>
      </c>
      <c r="H738" s="20" t="n">
        <v>0.361131</v>
      </c>
      <c r="I738" s="20" t="n">
        <v>0.390915</v>
      </c>
      <c r="J738" s="20" t="n">
        <v>0.361131</v>
      </c>
      <c r="K738" s="2" t="inlineStr">
        <is>
          <t>止盈</t>
        </is>
      </c>
      <c r="L738" s="5">
        <f>交易明細!K360</f>
        <v/>
      </c>
      <c r="M738" s="19">
        <f>M715</f>
        <v/>
      </c>
      <c r="N738" s="2">
        <f>N715</f>
        <v/>
      </c>
      <c r="O738" s="19">
        <f>O715</f>
        <v/>
      </c>
      <c r="P738" s="4">
        <f>交易明細!L360</f>
        <v/>
      </c>
      <c r="Q738" s="13">
        <f>IF(N738="已下單",O738*P738,0)</f>
        <v/>
      </c>
      <c r="R738" s="13">
        <f>R737+Q738</f>
        <v/>
      </c>
      <c r="S738" s="19">
        <f>S737-IF(N738="已下單",M738,0)</f>
        <v/>
      </c>
      <c r="T738" s="19">
        <f>R738-S738</f>
        <v/>
      </c>
      <c r="U738" s="2">
        <f>U737-IF(N738="已下單",1,0)</f>
        <v/>
      </c>
      <c r="V738" s="19">
        <f>IF(資金模擬!$B$9=2,MAX(R738,0),MAX(V737,FLOOR(MAX(R738,0),資金模擬!$B$6)))</f>
        <v/>
      </c>
      <c r="W738" s="13">
        <f>MAX(W737,R738)</f>
        <v/>
      </c>
      <c r="X738" s="4">
        <f>IF(W738&gt;0,R738/W738-1,-1)</f>
        <v/>
      </c>
      <c r="Y738" s="19">
        <f>IF(R738&gt;0,S738*資金模擬!$B$7/R738,0)</f>
        <v/>
      </c>
      <c r="Z738" s="2">
        <f>IF(OR(Z737=1,R738&lt;=資金模擬!$B$10),1,0)</f>
        <v/>
      </c>
    </row>
    <row r="739">
      <c r="A739" s="2" t="n">
        <v>737</v>
      </c>
      <c r="B739" s="7" t="n">
        <v>46287.33333333334</v>
      </c>
      <c r="C739" s="2" t="inlineStr">
        <is>
          <t>出場</t>
        </is>
      </c>
      <c r="D739" s="2" t="n">
        <v>365</v>
      </c>
      <c r="E739" s="2" t="inlineStr">
        <is>
          <t>ZAMA_USDT_PERP</t>
        </is>
      </c>
      <c r="F739" s="2" t="inlineStr">
        <is>
          <t>做空</t>
        </is>
      </c>
      <c r="G739" s="20" t="n">
        <v>0.09168</v>
      </c>
      <c r="H739" s="20" t="n">
        <v>0.0889296</v>
      </c>
      <c r="I739" s="20" t="n">
        <v>0.096264</v>
      </c>
      <c r="J739" s="20" t="n">
        <v>0.096264</v>
      </c>
      <c r="K739" s="2" t="inlineStr">
        <is>
          <t>止損</t>
        </is>
      </c>
      <c r="L739" s="5">
        <f>交易明細!K366</f>
        <v/>
      </c>
      <c r="M739" s="19">
        <f>M727</f>
        <v/>
      </c>
      <c r="N739" s="2">
        <f>N727</f>
        <v/>
      </c>
      <c r="O739" s="19">
        <f>O727</f>
        <v/>
      </c>
      <c r="P739" s="4">
        <f>交易明細!L366</f>
        <v/>
      </c>
      <c r="Q739" s="13">
        <f>IF(N739="已下單",O739*P739,0)</f>
        <v/>
      </c>
      <c r="R739" s="13">
        <f>R738+Q739</f>
        <v/>
      </c>
      <c r="S739" s="19">
        <f>S738-IF(N739="已下單",M739,0)</f>
        <v/>
      </c>
      <c r="T739" s="19">
        <f>R739-S739</f>
        <v/>
      </c>
      <c r="U739" s="2">
        <f>U738-IF(N739="已下單",1,0)</f>
        <v/>
      </c>
      <c r="V739" s="19">
        <f>IF(資金模擬!$B$9=2,MAX(R739,0),MAX(V738,FLOOR(MAX(R739,0),資金模擬!$B$6)))</f>
        <v/>
      </c>
      <c r="W739" s="13">
        <f>MAX(W738,R739)</f>
        <v/>
      </c>
      <c r="X739" s="4">
        <f>IF(W739&gt;0,R739/W739-1,-1)</f>
        <v/>
      </c>
      <c r="Y739" s="19">
        <f>IF(R739&gt;0,S739*資金模擬!$B$7/R739,0)</f>
        <v/>
      </c>
      <c r="Z739" s="2">
        <f>IF(OR(Z738=1,R739&lt;=資金模擬!$B$10),1,0)</f>
        <v/>
      </c>
    </row>
    <row r="740">
      <c r="A740" s="2" t="n">
        <v>738</v>
      </c>
      <c r="B740" s="7" t="n">
        <v>46287.375</v>
      </c>
      <c r="C740" s="2" t="inlineStr">
        <is>
          <t>出場</t>
        </is>
      </c>
      <c r="D740" s="2" t="n">
        <v>364</v>
      </c>
      <c r="E740" s="2" t="inlineStr">
        <is>
          <t>SUI_USDT_PERP</t>
        </is>
      </c>
      <c r="F740" s="2" t="inlineStr">
        <is>
          <t>做多</t>
        </is>
      </c>
      <c r="G740" s="20" t="n">
        <v>1.0362</v>
      </c>
      <c r="H740" s="20" t="n">
        <v>1.067286</v>
      </c>
      <c r="I740" s="20" t="n">
        <v>0.98439</v>
      </c>
      <c r="J740" s="20" t="n">
        <v>1.067286</v>
      </c>
      <c r="K740" s="2" t="inlineStr">
        <is>
          <t>止盈</t>
        </is>
      </c>
      <c r="L740" s="5">
        <f>交易明細!K365</f>
        <v/>
      </c>
      <c r="M740" s="19">
        <f>M726</f>
        <v/>
      </c>
      <c r="N740" s="2">
        <f>N726</f>
        <v/>
      </c>
      <c r="O740" s="19">
        <f>O726</f>
        <v/>
      </c>
      <c r="P740" s="4">
        <f>交易明細!L365</f>
        <v/>
      </c>
      <c r="Q740" s="13">
        <f>IF(N740="已下單",O740*P740,0)</f>
        <v/>
      </c>
      <c r="R740" s="13">
        <f>R739+Q740</f>
        <v/>
      </c>
      <c r="S740" s="19">
        <f>S739-IF(N740="已下單",M740,0)</f>
        <v/>
      </c>
      <c r="T740" s="19">
        <f>R740-S740</f>
        <v/>
      </c>
      <c r="U740" s="2">
        <f>U739-IF(N740="已下單",1,0)</f>
        <v/>
      </c>
      <c r="V740" s="19">
        <f>IF(資金模擬!$B$9=2,MAX(R740,0),MAX(V739,FLOOR(MAX(R740,0),資金模擬!$B$6)))</f>
        <v/>
      </c>
      <c r="W740" s="13">
        <f>MAX(W739,R740)</f>
        <v/>
      </c>
      <c r="X740" s="4">
        <f>IF(W740&gt;0,R740/W740-1,-1)</f>
        <v/>
      </c>
      <c r="Y740" s="19">
        <f>IF(R740&gt;0,S740*資金模擬!$B$7/R740,0)</f>
        <v/>
      </c>
      <c r="Z740" s="2">
        <f>IF(OR(Z739=1,R740&lt;=資金模擬!$B$10),1,0)</f>
        <v/>
      </c>
    </row>
    <row r="741">
      <c r="A741" s="2" t="n">
        <v>739</v>
      </c>
      <c r="B741" s="7" t="n">
        <v>46287.375</v>
      </c>
      <c r="C741" s="2" t="inlineStr">
        <is>
          <t>出場</t>
        </is>
      </c>
      <c r="D741" s="2" t="n">
        <v>372</v>
      </c>
      <c r="E741" s="2" t="inlineStr">
        <is>
          <t>UNI_USDT_PERP</t>
        </is>
      </c>
      <c r="F741" s="2" t="inlineStr">
        <is>
          <t>做多</t>
        </is>
      </c>
      <c r="G741" s="20" t="n">
        <v>8.986000000000001</v>
      </c>
      <c r="H741" s="20" t="n">
        <v>9.25558</v>
      </c>
      <c r="I741" s="20" t="n">
        <v>8.5367</v>
      </c>
      <c r="J741" s="20" t="n">
        <v>9.25558</v>
      </c>
      <c r="K741" s="2" t="inlineStr">
        <is>
          <t>止盈</t>
        </is>
      </c>
      <c r="L741" s="5">
        <f>交易明細!K373</f>
        <v/>
      </c>
      <c r="M741" s="19">
        <f>M737</f>
        <v/>
      </c>
      <c r="N741" s="2">
        <f>N737</f>
        <v/>
      </c>
      <c r="O741" s="19">
        <f>O737</f>
        <v/>
      </c>
      <c r="P741" s="4">
        <f>交易明細!L373</f>
        <v/>
      </c>
      <c r="Q741" s="13">
        <f>IF(N741="已下單",O741*P741,0)</f>
        <v/>
      </c>
      <c r="R741" s="13">
        <f>R740+Q741</f>
        <v/>
      </c>
      <c r="S741" s="19">
        <f>S740-IF(N741="已下單",M741,0)</f>
        <v/>
      </c>
      <c r="T741" s="19">
        <f>R741-S741</f>
        <v/>
      </c>
      <c r="U741" s="2">
        <f>U740-IF(N741="已下單",1,0)</f>
        <v/>
      </c>
      <c r="V741" s="19">
        <f>IF(資金模擬!$B$9=2,MAX(R741,0),MAX(V740,FLOOR(MAX(R741,0),資金模擬!$B$6)))</f>
        <v/>
      </c>
      <c r="W741" s="13">
        <f>MAX(W740,R741)</f>
        <v/>
      </c>
      <c r="X741" s="4">
        <f>IF(W741&gt;0,R741/W741-1,-1)</f>
        <v/>
      </c>
      <c r="Y741" s="19">
        <f>IF(R741&gt;0,S741*資金模擬!$B$7/R741,0)</f>
        <v/>
      </c>
      <c r="Z741" s="2">
        <f>IF(OR(Z740=1,R741&lt;=資金模擬!$B$10),1,0)</f>
        <v/>
      </c>
    </row>
    <row r="742">
      <c r="A742" s="2" t="n">
        <v>740</v>
      </c>
      <c r="B742" s="7" t="n">
        <v>46287.375</v>
      </c>
      <c r="C742" s="2" t="inlineStr">
        <is>
          <t>進場</t>
        </is>
      </c>
      <c r="D742" s="2" t="n">
        <v>373</v>
      </c>
      <c r="E742" s="2" t="inlineStr">
        <is>
          <t>PHA_USDT_PERP</t>
        </is>
      </c>
      <c r="F742" s="2" t="inlineStr">
        <is>
          <t>做多</t>
        </is>
      </c>
      <c r="G742" s="20" t="n">
        <v>0.05167</v>
      </c>
      <c r="H742" s="20" t="n">
        <v>0.0532201</v>
      </c>
      <c r="I742" s="20" t="n">
        <v>0.0490865</v>
      </c>
      <c r="J742" s="20" t="n"/>
      <c r="K742" s="2" t="n"/>
      <c r="L742" s="5" t="n"/>
      <c r="M742" s="19">
        <f>資金模擬!$B$5*V741</f>
        <v/>
      </c>
      <c r="N742" s="2">
        <f>IF(Z741=1,"已停止",IF(T741&gt;=M742,"已下單","資金不足略過"))</f>
        <v/>
      </c>
      <c r="O742" s="19">
        <f>IF(N742="已下單",M742*資金模擬!$B$7,0)</f>
        <v/>
      </c>
      <c r="P742" s="4" t="n"/>
      <c r="Q742" s="13" t="n">
        <v>0</v>
      </c>
      <c r="R742" s="13">
        <f>R741+Q742</f>
        <v/>
      </c>
      <c r="S742" s="19">
        <f>S741+IF(N742="已下單",M742,0)</f>
        <v/>
      </c>
      <c r="T742" s="19">
        <f>R742-S742</f>
        <v/>
      </c>
      <c r="U742" s="2">
        <f>U741+IF(N742="已下單",1,0)</f>
        <v/>
      </c>
      <c r="V742" s="19">
        <f>IF(資金模擬!$B$9=2,MAX(R742,0),MAX(V741,FLOOR(MAX(R742,0),資金模擬!$B$6)))</f>
        <v/>
      </c>
      <c r="W742" s="13">
        <f>MAX(W741,R742)</f>
        <v/>
      </c>
      <c r="X742" s="4">
        <f>IF(W742&gt;0,R742/W742-1,-1)</f>
        <v/>
      </c>
      <c r="Y742" s="19">
        <f>IF(R742&gt;0,S742*資金模擬!$B$7/R742,0)</f>
        <v/>
      </c>
      <c r="Z742" s="2">
        <f>IF(OR(Z741=1,R742&lt;=資金模擬!$B$10),1,0)</f>
        <v/>
      </c>
    </row>
    <row r="743">
      <c r="A743" s="2" t="n">
        <v>741</v>
      </c>
      <c r="B743" s="7" t="n">
        <v>46287.375</v>
      </c>
      <c r="C743" s="2" t="inlineStr">
        <is>
          <t>進場</t>
        </is>
      </c>
      <c r="D743" s="2" t="n">
        <v>374</v>
      </c>
      <c r="E743" s="2" t="inlineStr">
        <is>
          <t>USELESS_USDT_PERP</t>
        </is>
      </c>
      <c r="F743" s="2" t="inlineStr">
        <is>
          <t>做多</t>
        </is>
      </c>
      <c r="G743" s="20" t="n">
        <v>0.28673</v>
      </c>
      <c r="H743" s="20" t="n">
        <v>0.2953319</v>
      </c>
      <c r="I743" s="20" t="n">
        <v>0.2723935</v>
      </c>
      <c r="J743" s="20" t="n"/>
      <c r="K743" s="2" t="n"/>
      <c r="L743" s="5" t="n"/>
      <c r="M743" s="19">
        <f>資金模擬!$B$5*V742</f>
        <v/>
      </c>
      <c r="N743" s="2">
        <f>IF(Z742=1,"已停止",IF(T742&gt;=M743,"已下單","資金不足略過"))</f>
        <v/>
      </c>
      <c r="O743" s="19">
        <f>IF(N743="已下單",M743*資金模擬!$B$7,0)</f>
        <v/>
      </c>
      <c r="P743" s="4" t="n"/>
      <c r="Q743" s="13" t="n">
        <v>0</v>
      </c>
      <c r="R743" s="13">
        <f>R742+Q743</f>
        <v/>
      </c>
      <c r="S743" s="19">
        <f>S742+IF(N743="已下單",M743,0)</f>
        <v/>
      </c>
      <c r="T743" s="19">
        <f>R743-S743</f>
        <v/>
      </c>
      <c r="U743" s="2">
        <f>U742+IF(N743="已下單",1,0)</f>
        <v/>
      </c>
      <c r="V743" s="19">
        <f>IF(資金模擬!$B$9=2,MAX(R743,0),MAX(V742,FLOOR(MAX(R743,0),資金模擬!$B$6)))</f>
        <v/>
      </c>
      <c r="W743" s="13">
        <f>MAX(W742,R743)</f>
        <v/>
      </c>
      <c r="X743" s="4">
        <f>IF(W743&gt;0,R743/W743-1,-1)</f>
        <v/>
      </c>
      <c r="Y743" s="19">
        <f>IF(R743&gt;0,S743*資金模擬!$B$7/R743,0)</f>
        <v/>
      </c>
      <c r="Z743" s="2">
        <f>IF(OR(Z742=1,R743&lt;=資金模擬!$B$10),1,0)</f>
        <v/>
      </c>
    </row>
    <row r="744">
      <c r="A744" s="2" t="n">
        <v>742</v>
      </c>
      <c r="B744" s="7" t="n">
        <v>46287.41666666666</v>
      </c>
      <c r="C744" s="2" t="inlineStr">
        <is>
          <t>進場</t>
        </is>
      </c>
      <c r="D744" s="2" t="n">
        <v>375</v>
      </c>
      <c r="E744" s="2" t="inlineStr">
        <is>
          <t>牛来_USDT_PERP</t>
        </is>
      </c>
      <c r="F744" s="2" t="inlineStr">
        <is>
          <t>做空</t>
        </is>
      </c>
      <c r="G744" s="20" t="n">
        <v>0.10653</v>
      </c>
      <c r="H744" s="20" t="n">
        <v>0.1033341</v>
      </c>
      <c r="I744" s="20" t="n">
        <v>0.1118565</v>
      </c>
      <c r="J744" s="20" t="n"/>
      <c r="K744" s="2" t="n"/>
      <c r="L744" s="5" t="n"/>
      <c r="M744" s="19">
        <f>資金模擬!$B$5*V743</f>
        <v/>
      </c>
      <c r="N744" s="2">
        <f>IF(Z743=1,"已停止",IF(T743&gt;=M744,"已下單","資金不足略過"))</f>
        <v/>
      </c>
      <c r="O744" s="19">
        <f>IF(N744="已下單",M744*資金模擬!$B$7,0)</f>
        <v/>
      </c>
      <c r="P744" s="4" t="n"/>
      <c r="Q744" s="13" t="n">
        <v>0</v>
      </c>
      <c r="R744" s="13">
        <f>R743+Q744</f>
        <v/>
      </c>
      <c r="S744" s="19">
        <f>S743+IF(N744="已下單",M744,0)</f>
        <v/>
      </c>
      <c r="T744" s="19">
        <f>R744-S744</f>
        <v/>
      </c>
      <c r="U744" s="2">
        <f>U743+IF(N744="已下單",1,0)</f>
        <v/>
      </c>
      <c r="V744" s="19">
        <f>IF(資金模擬!$B$9=2,MAX(R744,0),MAX(V743,FLOOR(MAX(R744,0),資金模擬!$B$6)))</f>
        <v/>
      </c>
      <c r="W744" s="13">
        <f>MAX(W743,R744)</f>
        <v/>
      </c>
      <c r="X744" s="4">
        <f>IF(W744&gt;0,R744/W744-1,-1)</f>
        <v/>
      </c>
      <c r="Y744" s="19">
        <f>IF(R744&gt;0,S744*資金模擬!$B$7/R744,0)</f>
        <v/>
      </c>
      <c r="Z744" s="2">
        <f>IF(OR(Z743=1,R744&lt;=資金模擬!$B$10),1,0)</f>
        <v/>
      </c>
    </row>
    <row r="745">
      <c r="A745" s="2" t="n">
        <v>743</v>
      </c>
      <c r="B745" s="7" t="n">
        <v>46287.45833333334</v>
      </c>
      <c r="C745" s="2" t="inlineStr">
        <is>
          <t>出場</t>
        </is>
      </c>
      <c r="D745" s="2" t="n">
        <v>373</v>
      </c>
      <c r="E745" s="2" t="inlineStr">
        <is>
          <t>PHA_USDT_PERP</t>
        </is>
      </c>
      <c r="F745" s="2" t="inlineStr">
        <is>
          <t>做多</t>
        </is>
      </c>
      <c r="G745" s="20" t="n">
        <v>0.05167</v>
      </c>
      <c r="H745" s="20" t="n">
        <v>0.0532201</v>
      </c>
      <c r="I745" s="20" t="n">
        <v>0.0490865</v>
      </c>
      <c r="J745" s="20" t="n">
        <v>0.0532201</v>
      </c>
      <c r="K745" s="2" t="inlineStr">
        <is>
          <t>止盈</t>
        </is>
      </c>
      <c r="L745" s="5">
        <f>交易明細!K374</f>
        <v/>
      </c>
      <c r="M745" s="19">
        <f>M742</f>
        <v/>
      </c>
      <c r="N745" s="2">
        <f>N742</f>
        <v/>
      </c>
      <c r="O745" s="19">
        <f>O742</f>
        <v/>
      </c>
      <c r="P745" s="4">
        <f>交易明細!L374</f>
        <v/>
      </c>
      <c r="Q745" s="13">
        <f>IF(N745="已下單",O745*P745,0)</f>
        <v/>
      </c>
      <c r="R745" s="13">
        <f>R744+Q745</f>
        <v/>
      </c>
      <c r="S745" s="19">
        <f>S744-IF(N745="已下單",M745,0)</f>
        <v/>
      </c>
      <c r="T745" s="19">
        <f>R745-S745</f>
        <v/>
      </c>
      <c r="U745" s="2">
        <f>U744-IF(N745="已下單",1,0)</f>
        <v/>
      </c>
      <c r="V745" s="19">
        <f>IF(資金模擬!$B$9=2,MAX(R745,0),MAX(V744,FLOOR(MAX(R745,0),資金模擬!$B$6)))</f>
        <v/>
      </c>
      <c r="W745" s="13">
        <f>MAX(W744,R745)</f>
        <v/>
      </c>
      <c r="X745" s="4">
        <f>IF(W745&gt;0,R745/W745-1,-1)</f>
        <v/>
      </c>
      <c r="Y745" s="19">
        <f>IF(R745&gt;0,S745*資金模擬!$B$7/R745,0)</f>
        <v/>
      </c>
      <c r="Z745" s="2">
        <f>IF(OR(Z744=1,R745&lt;=資金模擬!$B$10),1,0)</f>
        <v/>
      </c>
    </row>
    <row r="746">
      <c r="A746" s="2" t="n">
        <v>744</v>
      </c>
      <c r="B746" s="7" t="n">
        <v>46287.45833333334</v>
      </c>
      <c r="C746" s="2" t="inlineStr">
        <is>
          <t>出場</t>
        </is>
      </c>
      <c r="D746" s="2" t="n">
        <v>374</v>
      </c>
      <c r="E746" s="2" t="inlineStr">
        <is>
          <t>USELESS_USDT_PERP</t>
        </is>
      </c>
      <c r="F746" s="2" t="inlineStr">
        <is>
          <t>做多</t>
        </is>
      </c>
      <c r="G746" s="20" t="n">
        <v>0.28673</v>
      </c>
      <c r="H746" s="20" t="n">
        <v>0.2953319</v>
      </c>
      <c r="I746" s="20" t="n">
        <v>0.2723935</v>
      </c>
      <c r="J746" s="20" t="n">
        <v>0.2723935</v>
      </c>
      <c r="K746" s="2" t="inlineStr">
        <is>
          <t>止損</t>
        </is>
      </c>
      <c r="L746" s="5">
        <f>交易明細!K375</f>
        <v/>
      </c>
      <c r="M746" s="19">
        <f>M743</f>
        <v/>
      </c>
      <c r="N746" s="2">
        <f>N743</f>
        <v/>
      </c>
      <c r="O746" s="19">
        <f>O743</f>
        <v/>
      </c>
      <c r="P746" s="4">
        <f>交易明細!L375</f>
        <v/>
      </c>
      <c r="Q746" s="13">
        <f>IF(N746="已下單",O746*P746,0)</f>
        <v/>
      </c>
      <c r="R746" s="13">
        <f>R745+Q746</f>
        <v/>
      </c>
      <c r="S746" s="19">
        <f>S745-IF(N746="已下單",M746,0)</f>
        <v/>
      </c>
      <c r="T746" s="19">
        <f>R746-S746</f>
        <v/>
      </c>
      <c r="U746" s="2">
        <f>U745-IF(N746="已下單",1,0)</f>
        <v/>
      </c>
      <c r="V746" s="19">
        <f>IF(資金模擬!$B$9=2,MAX(R746,0),MAX(V745,FLOOR(MAX(R746,0),資金模擬!$B$6)))</f>
        <v/>
      </c>
      <c r="W746" s="13">
        <f>MAX(W745,R746)</f>
        <v/>
      </c>
      <c r="X746" s="4">
        <f>IF(W746&gt;0,R746/W746-1,-1)</f>
        <v/>
      </c>
      <c r="Y746" s="19">
        <f>IF(R746&gt;0,S746*資金模擬!$B$7/R746,0)</f>
        <v/>
      </c>
      <c r="Z746" s="2">
        <f>IF(OR(Z745=1,R746&lt;=資金模擬!$B$10),1,0)</f>
        <v/>
      </c>
    </row>
    <row r="747">
      <c r="A747" s="2" t="n">
        <v>745</v>
      </c>
      <c r="B747" s="7" t="n">
        <v>46287.45833333334</v>
      </c>
      <c r="C747" s="2" t="inlineStr">
        <is>
          <t>出場</t>
        </is>
      </c>
      <c r="D747" s="2" t="n">
        <v>375</v>
      </c>
      <c r="E747" s="2" t="inlineStr">
        <is>
          <t>牛来_USDT_PERP</t>
        </is>
      </c>
      <c r="F747" s="2" t="inlineStr">
        <is>
          <t>做空</t>
        </is>
      </c>
      <c r="G747" s="20" t="n">
        <v>0.10653</v>
      </c>
      <c r="H747" s="20" t="n">
        <v>0.1033341</v>
      </c>
      <c r="I747" s="20" t="n">
        <v>0.1118565</v>
      </c>
      <c r="J747" s="20" t="n">
        <v>0.1033341</v>
      </c>
      <c r="K747" s="2" t="inlineStr">
        <is>
          <t>止盈</t>
        </is>
      </c>
      <c r="L747" s="5">
        <f>交易明細!K376</f>
        <v/>
      </c>
      <c r="M747" s="19">
        <f>M744</f>
        <v/>
      </c>
      <c r="N747" s="2">
        <f>N744</f>
        <v/>
      </c>
      <c r="O747" s="19">
        <f>O744</f>
        <v/>
      </c>
      <c r="P747" s="4">
        <f>交易明細!L376</f>
        <v/>
      </c>
      <c r="Q747" s="13">
        <f>IF(N747="已下單",O747*P747,0)</f>
        <v/>
      </c>
      <c r="R747" s="13">
        <f>R746+Q747</f>
        <v/>
      </c>
      <c r="S747" s="19">
        <f>S746-IF(N747="已下單",M747,0)</f>
        <v/>
      </c>
      <c r="T747" s="19">
        <f>R747-S747</f>
        <v/>
      </c>
      <c r="U747" s="2">
        <f>U746-IF(N747="已下單",1,0)</f>
        <v/>
      </c>
      <c r="V747" s="19">
        <f>IF(資金模擬!$B$9=2,MAX(R747,0),MAX(V746,FLOOR(MAX(R747,0),資金模擬!$B$6)))</f>
        <v/>
      </c>
      <c r="W747" s="13">
        <f>MAX(W746,R747)</f>
        <v/>
      </c>
      <c r="X747" s="4">
        <f>IF(W747&gt;0,R747/W747-1,-1)</f>
        <v/>
      </c>
      <c r="Y747" s="19">
        <f>IF(R747&gt;0,S747*資金模擬!$B$7/R747,0)</f>
        <v/>
      </c>
      <c r="Z747" s="2">
        <f>IF(OR(Z746=1,R747&lt;=資金模擬!$B$10),1,0)</f>
        <v/>
      </c>
    </row>
    <row r="748">
      <c r="A748" s="2" t="n">
        <v>746</v>
      </c>
      <c r="B748" s="7" t="n">
        <v>46287.5</v>
      </c>
      <c r="C748" s="2" t="inlineStr">
        <is>
          <t>出場</t>
        </is>
      </c>
      <c r="D748" s="2" t="n">
        <v>371</v>
      </c>
      <c r="E748" s="2" t="inlineStr">
        <is>
          <t>INJ_USDT_PERP</t>
        </is>
      </c>
      <c r="F748" s="2" t="inlineStr">
        <is>
          <t>做多</t>
        </is>
      </c>
      <c r="G748" s="20" t="n">
        <v>7.909</v>
      </c>
      <c r="H748" s="20" t="n">
        <v>8.146269999999999</v>
      </c>
      <c r="I748" s="20" t="n">
        <v>7.51355</v>
      </c>
      <c r="J748" s="20" t="n">
        <v>7.51355</v>
      </c>
      <c r="K748" s="2" t="inlineStr">
        <is>
          <t>止損</t>
        </is>
      </c>
      <c r="L748" s="5">
        <f>交易明細!K372</f>
        <v/>
      </c>
      <c r="M748" s="19">
        <f>M736</f>
        <v/>
      </c>
      <c r="N748" s="2">
        <f>N736</f>
        <v/>
      </c>
      <c r="O748" s="19">
        <f>O736</f>
        <v/>
      </c>
      <c r="P748" s="4">
        <f>交易明細!L372</f>
        <v/>
      </c>
      <c r="Q748" s="13">
        <f>IF(N748="已下單",O748*P748,0)</f>
        <v/>
      </c>
      <c r="R748" s="13">
        <f>R747+Q748</f>
        <v/>
      </c>
      <c r="S748" s="19">
        <f>S747-IF(N748="已下單",M748,0)</f>
        <v/>
      </c>
      <c r="T748" s="19">
        <f>R748-S748</f>
        <v/>
      </c>
      <c r="U748" s="2">
        <f>U747-IF(N748="已下單",1,0)</f>
        <v/>
      </c>
      <c r="V748" s="19">
        <f>IF(資金模擬!$B$9=2,MAX(R748,0),MAX(V747,FLOOR(MAX(R748,0),資金模擬!$B$6)))</f>
        <v/>
      </c>
      <c r="W748" s="13">
        <f>MAX(W747,R748)</f>
        <v/>
      </c>
      <c r="X748" s="4">
        <f>IF(W748&gt;0,R748/W748-1,-1)</f>
        <v/>
      </c>
      <c r="Y748" s="19">
        <f>IF(R748&gt;0,S748*資金模擬!$B$7/R748,0)</f>
        <v/>
      </c>
      <c r="Z748" s="2">
        <f>IF(OR(Z747=1,R748&lt;=資金模擬!$B$10),1,0)</f>
        <v/>
      </c>
    </row>
    <row r="749">
      <c r="A749" s="2" t="n">
        <v>747</v>
      </c>
      <c r="B749" s="7" t="n">
        <v>46287.5</v>
      </c>
      <c r="C749" s="2" t="inlineStr">
        <is>
          <t>進場</t>
        </is>
      </c>
      <c r="D749" s="2" t="n">
        <v>376</v>
      </c>
      <c r="E749" s="2" t="inlineStr">
        <is>
          <t>DOGE_USDT_PERP</t>
        </is>
      </c>
      <c r="F749" s="2" t="inlineStr">
        <is>
          <t>做多</t>
        </is>
      </c>
      <c r="G749" s="20" t="n">
        <v>0.10204</v>
      </c>
      <c r="H749" s="20" t="n">
        <v>0.1051012</v>
      </c>
      <c r="I749" s="20" t="n">
        <v>0.096938</v>
      </c>
      <c r="J749" s="20" t="n"/>
      <c r="K749" s="2" t="n"/>
      <c r="L749" s="5" t="n"/>
      <c r="M749" s="19">
        <f>資金模擬!$B$5*V748</f>
        <v/>
      </c>
      <c r="N749" s="2">
        <f>IF(Z748=1,"已停止",IF(T748&gt;=M749,"已下單","資金不足略過"))</f>
        <v/>
      </c>
      <c r="O749" s="19">
        <f>IF(N749="已下單",M749*資金模擬!$B$7,0)</f>
        <v/>
      </c>
      <c r="P749" s="4" t="n"/>
      <c r="Q749" s="13" t="n">
        <v>0</v>
      </c>
      <c r="R749" s="13">
        <f>R748+Q749</f>
        <v/>
      </c>
      <c r="S749" s="19">
        <f>S748+IF(N749="已下單",M749,0)</f>
        <v/>
      </c>
      <c r="T749" s="19">
        <f>R749-S749</f>
        <v/>
      </c>
      <c r="U749" s="2">
        <f>U748+IF(N749="已下單",1,0)</f>
        <v/>
      </c>
      <c r="V749" s="19">
        <f>IF(資金模擬!$B$9=2,MAX(R749,0),MAX(V748,FLOOR(MAX(R749,0),資金模擬!$B$6)))</f>
        <v/>
      </c>
      <c r="W749" s="13">
        <f>MAX(W748,R749)</f>
        <v/>
      </c>
      <c r="X749" s="4">
        <f>IF(W749&gt;0,R749/W749-1,-1)</f>
        <v/>
      </c>
      <c r="Y749" s="19">
        <f>IF(R749&gt;0,S749*資金模擬!$B$7/R749,0)</f>
        <v/>
      </c>
      <c r="Z749" s="2">
        <f>IF(OR(Z748=1,R749&lt;=資金模擬!$B$10),1,0)</f>
        <v/>
      </c>
    </row>
    <row r="750">
      <c r="A750" s="2" t="n">
        <v>748</v>
      </c>
      <c r="B750" s="7" t="n">
        <v>46287.5</v>
      </c>
      <c r="C750" s="2" t="inlineStr">
        <is>
          <t>進場</t>
        </is>
      </c>
      <c r="D750" s="2" t="n">
        <v>377</v>
      </c>
      <c r="E750" s="2" t="inlineStr">
        <is>
          <t>PENGU_USDT_PERP</t>
        </is>
      </c>
      <c r="F750" s="2" t="inlineStr">
        <is>
          <t>做多</t>
        </is>
      </c>
      <c r="G750" s="20" t="n">
        <v>0.008932000000000001</v>
      </c>
      <c r="H750" s="20" t="n">
        <v>0.009199960000000002</v>
      </c>
      <c r="I750" s="20" t="n">
        <v>0.008485400000000001</v>
      </c>
      <c r="J750" s="20" t="n"/>
      <c r="K750" s="2" t="n"/>
      <c r="L750" s="5" t="n"/>
      <c r="M750" s="19">
        <f>資金模擬!$B$5*V749</f>
        <v/>
      </c>
      <c r="N750" s="2">
        <f>IF(Z749=1,"已停止",IF(T749&gt;=M750,"已下單","資金不足略過"))</f>
        <v/>
      </c>
      <c r="O750" s="19">
        <f>IF(N750="已下單",M750*資金模擬!$B$7,0)</f>
        <v/>
      </c>
      <c r="P750" s="4" t="n"/>
      <c r="Q750" s="13" t="n">
        <v>0</v>
      </c>
      <c r="R750" s="13">
        <f>R749+Q750</f>
        <v/>
      </c>
      <c r="S750" s="19">
        <f>S749+IF(N750="已下單",M750,0)</f>
        <v/>
      </c>
      <c r="T750" s="19">
        <f>R750-S750</f>
        <v/>
      </c>
      <c r="U750" s="2">
        <f>U749+IF(N750="已下單",1,0)</f>
        <v/>
      </c>
      <c r="V750" s="19">
        <f>IF(資金模擬!$B$9=2,MAX(R750,0),MAX(V749,FLOOR(MAX(R750,0),資金模擬!$B$6)))</f>
        <v/>
      </c>
      <c r="W750" s="13">
        <f>MAX(W749,R750)</f>
        <v/>
      </c>
      <c r="X750" s="4">
        <f>IF(W750&gt;0,R750/W750-1,-1)</f>
        <v/>
      </c>
      <c r="Y750" s="19">
        <f>IF(R750&gt;0,S750*資金模擬!$B$7/R750,0)</f>
        <v/>
      </c>
      <c r="Z750" s="2">
        <f>IF(OR(Z749=1,R750&lt;=資金模擬!$B$10),1,0)</f>
        <v/>
      </c>
    </row>
    <row r="751">
      <c r="A751" s="2" t="n">
        <v>749</v>
      </c>
      <c r="B751" s="7" t="n">
        <v>46287.5</v>
      </c>
      <c r="C751" s="2" t="inlineStr">
        <is>
          <t>進場</t>
        </is>
      </c>
      <c r="D751" s="2" t="n">
        <v>378</v>
      </c>
      <c r="E751" s="2" t="inlineStr">
        <is>
          <t>PHA_USDT_PERP</t>
        </is>
      </c>
      <c r="F751" s="2" t="inlineStr">
        <is>
          <t>做多</t>
        </is>
      </c>
      <c r="G751" s="20" t="n">
        <v>0.05505</v>
      </c>
      <c r="H751" s="20" t="n">
        <v>0.0567015</v>
      </c>
      <c r="I751" s="20" t="n">
        <v>0.0522975</v>
      </c>
      <c r="J751" s="20" t="n"/>
      <c r="K751" s="2" t="n"/>
      <c r="L751" s="5" t="n"/>
      <c r="M751" s="19">
        <f>資金模擬!$B$5*V750</f>
        <v/>
      </c>
      <c r="N751" s="2">
        <f>IF(Z750=1,"已停止",IF(T750&gt;=M751,"已下單","資金不足略過"))</f>
        <v/>
      </c>
      <c r="O751" s="19">
        <f>IF(N751="已下單",M751*資金模擬!$B$7,0)</f>
        <v/>
      </c>
      <c r="P751" s="4" t="n"/>
      <c r="Q751" s="13" t="n">
        <v>0</v>
      </c>
      <c r="R751" s="13">
        <f>R750+Q751</f>
        <v/>
      </c>
      <c r="S751" s="19">
        <f>S750+IF(N751="已下單",M751,0)</f>
        <v/>
      </c>
      <c r="T751" s="19">
        <f>R751-S751</f>
        <v/>
      </c>
      <c r="U751" s="2">
        <f>U750+IF(N751="已下單",1,0)</f>
        <v/>
      </c>
      <c r="V751" s="19">
        <f>IF(資金模擬!$B$9=2,MAX(R751,0),MAX(V750,FLOOR(MAX(R751,0),資金模擬!$B$6)))</f>
        <v/>
      </c>
      <c r="W751" s="13">
        <f>MAX(W750,R751)</f>
        <v/>
      </c>
      <c r="X751" s="4">
        <f>IF(W751&gt;0,R751/W751-1,-1)</f>
        <v/>
      </c>
      <c r="Y751" s="19">
        <f>IF(R751&gt;0,S751*資金模擬!$B$7/R751,0)</f>
        <v/>
      </c>
      <c r="Z751" s="2">
        <f>IF(OR(Z750=1,R751&lt;=資金模擬!$B$10),1,0)</f>
        <v/>
      </c>
    </row>
    <row r="752">
      <c r="A752" s="2" t="n">
        <v>750</v>
      </c>
      <c r="B752" s="7" t="n">
        <v>46287.5</v>
      </c>
      <c r="C752" s="2" t="inlineStr">
        <is>
          <t>進場</t>
        </is>
      </c>
      <c r="D752" s="2" t="n">
        <v>379</v>
      </c>
      <c r="E752" s="2" t="inlineStr">
        <is>
          <t>ZETA_USDT_PERP</t>
        </is>
      </c>
      <c r="F752" s="2" t="inlineStr">
        <is>
          <t>做空</t>
        </is>
      </c>
      <c r="G752" s="20" t="n">
        <v>0.06036</v>
      </c>
      <c r="H752" s="20" t="n">
        <v>0.0585492</v>
      </c>
      <c r="I752" s="20" t="n">
        <v>0.063378</v>
      </c>
      <c r="J752" s="20" t="n"/>
      <c r="K752" s="2" t="n"/>
      <c r="L752" s="5" t="n"/>
      <c r="M752" s="19">
        <f>資金模擬!$B$5*V751</f>
        <v/>
      </c>
      <c r="N752" s="2">
        <f>IF(Z751=1,"已停止",IF(T751&gt;=M752,"已下單","資金不足略過"))</f>
        <v/>
      </c>
      <c r="O752" s="19">
        <f>IF(N752="已下單",M752*資金模擬!$B$7,0)</f>
        <v/>
      </c>
      <c r="P752" s="4" t="n"/>
      <c r="Q752" s="13" t="n">
        <v>0</v>
      </c>
      <c r="R752" s="13">
        <f>R751+Q752</f>
        <v/>
      </c>
      <c r="S752" s="19">
        <f>S751+IF(N752="已下單",M752,0)</f>
        <v/>
      </c>
      <c r="T752" s="19">
        <f>R752-S752</f>
        <v/>
      </c>
      <c r="U752" s="2">
        <f>U751+IF(N752="已下單",1,0)</f>
        <v/>
      </c>
      <c r="V752" s="19">
        <f>IF(資金模擬!$B$9=2,MAX(R752,0),MAX(V751,FLOOR(MAX(R752,0),資金模擬!$B$6)))</f>
        <v/>
      </c>
      <c r="W752" s="13">
        <f>MAX(W751,R752)</f>
        <v/>
      </c>
      <c r="X752" s="4">
        <f>IF(W752&gt;0,R752/W752-1,-1)</f>
        <v/>
      </c>
      <c r="Y752" s="19">
        <f>IF(R752&gt;0,S752*資金模擬!$B$7/R752,0)</f>
        <v/>
      </c>
      <c r="Z752" s="2">
        <f>IF(OR(Z751=1,R752&lt;=資金模擬!$B$10),1,0)</f>
        <v/>
      </c>
    </row>
    <row r="753">
      <c r="A753" s="2" t="n">
        <v>751</v>
      </c>
      <c r="B753" s="7" t="n">
        <v>46287.54166666666</v>
      </c>
      <c r="C753" s="2" t="inlineStr">
        <is>
          <t>出場</t>
        </is>
      </c>
      <c r="D753" s="2" t="n">
        <v>376</v>
      </c>
      <c r="E753" s="2" t="inlineStr">
        <is>
          <t>DOGE_USDT_PERP</t>
        </is>
      </c>
      <c r="F753" s="2" t="inlineStr">
        <is>
          <t>做多</t>
        </is>
      </c>
      <c r="G753" s="20" t="n">
        <v>0.10204</v>
      </c>
      <c r="H753" s="20" t="n">
        <v>0.1051012</v>
      </c>
      <c r="I753" s="20" t="n">
        <v>0.096938</v>
      </c>
      <c r="J753" s="20" t="n">
        <v>0.1051012</v>
      </c>
      <c r="K753" s="2" t="inlineStr">
        <is>
          <t>止盈</t>
        </is>
      </c>
      <c r="L753" s="5">
        <f>交易明細!K377</f>
        <v/>
      </c>
      <c r="M753" s="19">
        <f>M749</f>
        <v/>
      </c>
      <c r="N753" s="2">
        <f>N749</f>
        <v/>
      </c>
      <c r="O753" s="19">
        <f>O749</f>
        <v/>
      </c>
      <c r="P753" s="4">
        <f>交易明細!L377</f>
        <v/>
      </c>
      <c r="Q753" s="13">
        <f>IF(N753="已下單",O753*P753,0)</f>
        <v/>
      </c>
      <c r="R753" s="13">
        <f>R752+Q753</f>
        <v/>
      </c>
      <c r="S753" s="19">
        <f>S752-IF(N753="已下單",M753,0)</f>
        <v/>
      </c>
      <c r="T753" s="19">
        <f>R753-S753</f>
        <v/>
      </c>
      <c r="U753" s="2">
        <f>U752-IF(N753="已下單",1,0)</f>
        <v/>
      </c>
      <c r="V753" s="19">
        <f>IF(資金模擬!$B$9=2,MAX(R753,0),MAX(V752,FLOOR(MAX(R753,0),資金模擬!$B$6)))</f>
        <v/>
      </c>
      <c r="W753" s="13">
        <f>MAX(W752,R753)</f>
        <v/>
      </c>
      <c r="X753" s="4">
        <f>IF(W753&gt;0,R753/W753-1,-1)</f>
        <v/>
      </c>
      <c r="Y753" s="19">
        <f>IF(R753&gt;0,S753*資金模擬!$B$7/R753,0)</f>
        <v/>
      </c>
      <c r="Z753" s="2">
        <f>IF(OR(Z752=1,R753&lt;=資金模擬!$B$10),1,0)</f>
        <v/>
      </c>
    </row>
    <row r="754">
      <c r="A754" s="2" t="n">
        <v>752</v>
      </c>
      <c r="B754" s="7" t="n">
        <v>46287.54166666666</v>
      </c>
      <c r="C754" s="2" t="inlineStr">
        <is>
          <t>出場</t>
        </is>
      </c>
      <c r="D754" s="2" t="n">
        <v>378</v>
      </c>
      <c r="E754" s="2" t="inlineStr">
        <is>
          <t>PHA_USDT_PERP</t>
        </is>
      </c>
      <c r="F754" s="2" t="inlineStr">
        <is>
          <t>做多</t>
        </is>
      </c>
      <c r="G754" s="20" t="n">
        <v>0.05505</v>
      </c>
      <c r="H754" s="20" t="n">
        <v>0.0567015</v>
      </c>
      <c r="I754" s="20" t="n">
        <v>0.0522975</v>
      </c>
      <c r="J754" s="20" t="n">
        <v>0.0522975</v>
      </c>
      <c r="K754" s="2" t="inlineStr">
        <is>
          <t>止損</t>
        </is>
      </c>
      <c r="L754" s="5">
        <f>交易明細!K379</f>
        <v/>
      </c>
      <c r="M754" s="19">
        <f>M751</f>
        <v/>
      </c>
      <c r="N754" s="2">
        <f>N751</f>
        <v/>
      </c>
      <c r="O754" s="19">
        <f>O751</f>
        <v/>
      </c>
      <c r="P754" s="4">
        <f>交易明細!L379</f>
        <v/>
      </c>
      <c r="Q754" s="13">
        <f>IF(N754="已下單",O754*P754,0)</f>
        <v/>
      </c>
      <c r="R754" s="13">
        <f>R753+Q754</f>
        <v/>
      </c>
      <c r="S754" s="19">
        <f>S753-IF(N754="已下單",M754,0)</f>
        <v/>
      </c>
      <c r="T754" s="19">
        <f>R754-S754</f>
        <v/>
      </c>
      <c r="U754" s="2">
        <f>U753-IF(N754="已下單",1,0)</f>
        <v/>
      </c>
      <c r="V754" s="19">
        <f>IF(資金模擬!$B$9=2,MAX(R754,0),MAX(V753,FLOOR(MAX(R754,0),資金模擬!$B$6)))</f>
        <v/>
      </c>
      <c r="W754" s="13">
        <f>MAX(W753,R754)</f>
        <v/>
      </c>
      <c r="X754" s="4">
        <f>IF(W754&gt;0,R754/W754-1,-1)</f>
        <v/>
      </c>
      <c r="Y754" s="19">
        <f>IF(R754&gt;0,S754*資金模擬!$B$7/R754,0)</f>
        <v/>
      </c>
      <c r="Z754" s="2">
        <f>IF(OR(Z753=1,R754&lt;=資金模擬!$B$10),1,0)</f>
        <v/>
      </c>
    </row>
    <row r="755">
      <c r="A755" s="2" t="n">
        <v>753</v>
      </c>
      <c r="B755" s="7" t="n">
        <v>46287.54166666666</v>
      </c>
      <c r="C755" s="2" t="inlineStr">
        <is>
          <t>出場</t>
        </is>
      </c>
      <c r="D755" s="2" t="n">
        <v>379</v>
      </c>
      <c r="E755" s="2" t="inlineStr">
        <is>
          <t>ZETA_USDT_PERP</t>
        </is>
      </c>
      <c r="F755" s="2" t="inlineStr">
        <is>
          <t>做空</t>
        </is>
      </c>
      <c r="G755" s="20" t="n">
        <v>0.06036</v>
      </c>
      <c r="H755" s="20" t="n">
        <v>0.0585492</v>
      </c>
      <c r="I755" s="20" t="n">
        <v>0.063378</v>
      </c>
      <c r="J755" s="20" t="n">
        <v>0.0585492</v>
      </c>
      <c r="K755" s="2" t="inlineStr">
        <is>
          <t>止盈</t>
        </is>
      </c>
      <c r="L755" s="5">
        <f>交易明細!K380</f>
        <v/>
      </c>
      <c r="M755" s="19">
        <f>M752</f>
        <v/>
      </c>
      <c r="N755" s="2">
        <f>N752</f>
        <v/>
      </c>
      <c r="O755" s="19">
        <f>O752</f>
        <v/>
      </c>
      <c r="P755" s="4">
        <f>交易明細!L380</f>
        <v/>
      </c>
      <c r="Q755" s="13">
        <f>IF(N755="已下單",O755*P755,0)</f>
        <v/>
      </c>
      <c r="R755" s="13">
        <f>R754+Q755</f>
        <v/>
      </c>
      <c r="S755" s="19">
        <f>S754-IF(N755="已下單",M755,0)</f>
        <v/>
      </c>
      <c r="T755" s="19">
        <f>R755-S755</f>
        <v/>
      </c>
      <c r="U755" s="2">
        <f>U754-IF(N755="已下單",1,0)</f>
        <v/>
      </c>
      <c r="V755" s="19">
        <f>IF(資金模擬!$B$9=2,MAX(R755,0),MAX(V754,FLOOR(MAX(R755,0),資金模擬!$B$6)))</f>
        <v/>
      </c>
      <c r="W755" s="13">
        <f>MAX(W754,R755)</f>
        <v/>
      </c>
      <c r="X755" s="4">
        <f>IF(W755&gt;0,R755/W755-1,-1)</f>
        <v/>
      </c>
      <c r="Y755" s="19">
        <f>IF(R755&gt;0,S755*資金模擬!$B$7/R755,0)</f>
        <v/>
      </c>
      <c r="Z755" s="2">
        <f>IF(OR(Z754=1,R755&lt;=資金模擬!$B$10),1,0)</f>
        <v/>
      </c>
    </row>
    <row r="756">
      <c r="A756" s="2" t="n">
        <v>754</v>
      </c>
      <c r="B756" s="7" t="n">
        <v>46287.54166666666</v>
      </c>
      <c r="C756" s="2" t="inlineStr">
        <is>
          <t>進場</t>
        </is>
      </c>
      <c r="D756" s="2" t="n">
        <v>380</v>
      </c>
      <c r="E756" s="2" t="inlineStr">
        <is>
          <t>AVAX_USDT_PERP</t>
        </is>
      </c>
      <c r="F756" s="2" t="inlineStr">
        <is>
          <t>做空</t>
        </is>
      </c>
      <c r="G756" s="20" t="n">
        <v>10.767</v>
      </c>
      <c r="H756" s="20" t="n">
        <v>10.44399</v>
      </c>
      <c r="I756" s="20" t="n">
        <v>11.30535</v>
      </c>
      <c r="J756" s="20" t="n"/>
      <c r="K756" s="2" t="n"/>
      <c r="L756" s="5" t="n"/>
      <c r="M756" s="19">
        <f>資金模擬!$B$5*V755</f>
        <v/>
      </c>
      <c r="N756" s="2">
        <f>IF(Z755=1,"已停止",IF(T755&gt;=M756,"已下單","資金不足略過"))</f>
        <v/>
      </c>
      <c r="O756" s="19">
        <f>IF(N756="已下單",M756*資金模擬!$B$7,0)</f>
        <v/>
      </c>
      <c r="P756" s="4" t="n"/>
      <c r="Q756" s="13" t="n">
        <v>0</v>
      </c>
      <c r="R756" s="13">
        <f>R755+Q756</f>
        <v/>
      </c>
      <c r="S756" s="19">
        <f>S755+IF(N756="已下單",M756,0)</f>
        <v/>
      </c>
      <c r="T756" s="19">
        <f>R756-S756</f>
        <v/>
      </c>
      <c r="U756" s="2">
        <f>U755+IF(N756="已下單",1,0)</f>
        <v/>
      </c>
      <c r="V756" s="19">
        <f>IF(資金模擬!$B$9=2,MAX(R756,0),MAX(V755,FLOOR(MAX(R756,0),資金模擬!$B$6)))</f>
        <v/>
      </c>
      <c r="W756" s="13">
        <f>MAX(W755,R756)</f>
        <v/>
      </c>
      <c r="X756" s="4">
        <f>IF(W756&gt;0,R756/W756-1,-1)</f>
        <v/>
      </c>
      <c r="Y756" s="19">
        <f>IF(R756&gt;0,S756*資金模擬!$B$7/R756,0)</f>
        <v/>
      </c>
      <c r="Z756" s="2">
        <f>IF(OR(Z755=1,R756&lt;=資金模擬!$B$10),1,0)</f>
        <v/>
      </c>
    </row>
    <row r="757">
      <c r="A757" s="2" t="n">
        <v>755</v>
      </c>
      <c r="B757" s="7" t="n">
        <v>46287.58333333334</v>
      </c>
      <c r="C757" s="2" t="inlineStr">
        <is>
          <t>進場</t>
        </is>
      </c>
      <c r="D757" s="2" t="n">
        <v>381</v>
      </c>
      <c r="E757" s="2" t="inlineStr">
        <is>
          <t>NEAR_USDT_PERP</t>
        </is>
      </c>
      <c r="F757" s="2" t="inlineStr">
        <is>
          <t>做多</t>
        </is>
      </c>
      <c r="G757" s="20" t="n">
        <v>4.41</v>
      </c>
      <c r="H757" s="20" t="n">
        <v>4.5423</v>
      </c>
      <c r="I757" s="20" t="n">
        <v>4.1895</v>
      </c>
      <c r="J757" s="20" t="n"/>
      <c r="K757" s="2" t="n"/>
      <c r="L757" s="5" t="n"/>
      <c r="M757" s="19">
        <f>資金模擬!$B$5*V756</f>
        <v/>
      </c>
      <c r="N757" s="2">
        <f>IF(Z756=1,"已停止",IF(T756&gt;=M757,"已下單","資金不足略過"))</f>
        <v/>
      </c>
      <c r="O757" s="19">
        <f>IF(N757="已下單",M757*資金模擬!$B$7,0)</f>
        <v/>
      </c>
      <c r="P757" s="4" t="n"/>
      <c r="Q757" s="13" t="n">
        <v>0</v>
      </c>
      <c r="R757" s="13">
        <f>R756+Q757</f>
        <v/>
      </c>
      <c r="S757" s="19">
        <f>S756+IF(N757="已下單",M757,0)</f>
        <v/>
      </c>
      <c r="T757" s="19">
        <f>R757-S757</f>
        <v/>
      </c>
      <c r="U757" s="2">
        <f>U756+IF(N757="已下單",1,0)</f>
        <v/>
      </c>
      <c r="V757" s="19">
        <f>IF(資金模擬!$B$9=2,MAX(R757,0),MAX(V756,FLOOR(MAX(R757,0),資金模擬!$B$6)))</f>
        <v/>
      </c>
      <c r="W757" s="13">
        <f>MAX(W756,R757)</f>
        <v/>
      </c>
      <c r="X757" s="4">
        <f>IF(W757&gt;0,R757/W757-1,-1)</f>
        <v/>
      </c>
      <c r="Y757" s="19">
        <f>IF(R757&gt;0,S757*資金模擬!$B$7/R757,0)</f>
        <v/>
      </c>
      <c r="Z757" s="2">
        <f>IF(OR(Z756=1,R757&lt;=資金模擬!$B$10),1,0)</f>
        <v/>
      </c>
    </row>
    <row r="758">
      <c r="A758" s="2" t="n">
        <v>756</v>
      </c>
      <c r="B758" s="7" t="n">
        <v>46287.625</v>
      </c>
      <c r="C758" s="2" t="inlineStr">
        <is>
          <t>進場</t>
        </is>
      </c>
      <c r="D758" s="2" t="n">
        <v>382</v>
      </c>
      <c r="E758" s="2" t="inlineStr">
        <is>
          <t>ENA_USDT_PERP</t>
        </is>
      </c>
      <c r="F758" s="2" t="inlineStr">
        <is>
          <t>做空</t>
        </is>
      </c>
      <c r="G758" s="20" t="n">
        <v>0.2105</v>
      </c>
      <c r="H758" s="20" t="n">
        <v>0.204185</v>
      </c>
      <c r="I758" s="20" t="n">
        <v>0.221025</v>
      </c>
      <c r="J758" s="20" t="n"/>
      <c r="K758" s="2" t="n"/>
      <c r="L758" s="5" t="n"/>
      <c r="M758" s="19">
        <f>資金模擬!$B$5*V757</f>
        <v/>
      </c>
      <c r="N758" s="2">
        <f>IF(Z757=1,"已停止",IF(T757&gt;=M758,"已下單","資金不足略過"))</f>
        <v/>
      </c>
      <c r="O758" s="19">
        <f>IF(N758="已下單",M758*資金模擬!$B$7,0)</f>
        <v/>
      </c>
      <c r="P758" s="4" t="n"/>
      <c r="Q758" s="13" t="n">
        <v>0</v>
      </c>
      <c r="R758" s="13">
        <f>R757+Q758</f>
        <v/>
      </c>
      <c r="S758" s="19">
        <f>S757+IF(N758="已下單",M758,0)</f>
        <v/>
      </c>
      <c r="T758" s="19">
        <f>R758-S758</f>
        <v/>
      </c>
      <c r="U758" s="2">
        <f>U757+IF(N758="已下單",1,0)</f>
        <v/>
      </c>
      <c r="V758" s="19">
        <f>IF(資金模擬!$B$9=2,MAX(R758,0),MAX(V757,FLOOR(MAX(R758,0),資金模擬!$B$6)))</f>
        <v/>
      </c>
      <c r="W758" s="13">
        <f>MAX(W757,R758)</f>
        <v/>
      </c>
      <c r="X758" s="4">
        <f>IF(W758&gt;0,R758/W758-1,-1)</f>
        <v/>
      </c>
      <c r="Y758" s="19">
        <f>IF(R758&gt;0,S758*資金模擬!$B$7/R758,0)</f>
        <v/>
      </c>
      <c r="Z758" s="2">
        <f>IF(OR(Z757=1,R758&lt;=資金模擬!$B$10),1,0)</f>
        <v/>
      </c>
    </row>
    <row r="759">
      <c r="A759" s="2" t="n">
        <v>757</v>
      </c>
      <c r="B759" s="7" t="n">
        <v>46287.625</v>
      </c>
      <c r="C759" s="2" t="inlineStr">
        <is>
          <t>進場</t>
        </is>
      </c>
      <c r="D759" s="2" t="n">
        <v>383</v>
      </c>
      <c r="E759" s="2" t="inlineStr">
        <is>
          <t>USELESS_USDT_PERP</t>
        </is>
      </c>
      <c r="F759" s="2" t="inlineStr">
        <is>
          <t>做多</t>
        </is>
      </c>
      <c r="G759" s="20" t="n">
        <v>0.28361</v>
      </c>
      <c r="H759" s="20" t="n">
        <v>0.2921183</v>
      </c>
      <c r="I759" s="20" t="n">
        <v>0.2694295</v>
      </c>
      <c r="J759" s="20" t="n"/>
      <c r="K759" s="2" t="n"/>
      <c r="L759" s="5" t="n"/>
      <c r="M759" s="19">
        <f>資金模擬!$B$5*V758</f>
        <v/>
      </c>
      <c r="N759" s="2">
        <f>IF(Z758=1,"已停止",IF(T758&gt;=M759,"已下單","資金不足略過"))</f>
        <v/>
      </c>
      <c r="O759" s="19">
        <f>IF(N759="已下單",M759*資金模擬!$B$7,0)</f>
        <v/>
      </c>
      <c r="P759" s="4" t="n"/>
      <c r="Q759" s="13" t="n">
        <v>0</v>
      </c>
      <c r="R759" s="13">
        <f>R758+Q759</f>
        <v/>
      </c>
      <c r="S759" s="19">
        <f>S758+IF(N759="已下單",M759,0)</f>
        <v/>
      </c>
      <c r="T759" s="19">
        <f>R759-S759</f>
        <v/>
      </c>
      <c r="U759" s="2">
        <f>U758+IF(N759="已下單",1,0)</f>
        <v/>
      </c>
      <c r="V759" s="19">
        <f>IF(資金模擬!$B$9=2,MAX(R759,0),MAX(V758,FLOOR(MAX(R759,0),資金模擬!$B$6)))</f>
        <v/>
      </c>
      <c r="W759" s="13">
        <f>MAX(W758,R759)</f>
        <v/>
      </c>
      <c r="X759" s="4">
        <f>IF(W759&gt;0,R759/W759-1,-1)</f>
        <v/>
      </c>
      <c r="Y759" s="19">
        <f>IF(R759&gt;0,S759*資金模擬!$B$7/R759,0)</f>
        <v/>
      </c>
      <c r="Z759" s="2">
        <f>IF(OR(Z758=1,R759&lt;=資金模擬!$B$10),1,0)</f>
        <v/>
      </c>
    </row>
    <row r="760">
      <c r="A760" s="2" t="n">
        <v>758</v>
      </c>
      <c r="B760" s="7" t="n">
        <v>46287.625</v>
      </c>
      <c r="C760" s="2" t="inlineStr">
        <is>
          <t>進場</t>
        </is>
      </c>
      <c r="D760" s="2" t="n">
        <v>384</v>
      </c>
      <c r="E760" s="2" t="inlineStr">
        <is>
          <t>ZAMA_USDT_PERP</t>
        </is>
      </c>
      <c r="F760" s="2" t="inlineStr">
        <is>
          <t>做空</t>
        </is>
      </c>
      <c r="G760" s="20" t="n">
        <v>0.09397999999999999</v>
      </c>
      <c r="H760" s="20" t="n">
        <v>0.09116059999999999</v>
      </c>
      <c r="I760" s="20" t="n">
        <v>0.098679</v>
      </c>
      <c r="J760" s="20" t="n"/>
      <c r="K760" s="2" t="n"/>
      <c r="L760" s="5" t="n"/>
      <c r="M760" s="19">
        <f>資金模擬!$B$5*V759</f>
        <v/>
      </c>
      <c r="N760" s="2">
        <f>IF(Z759=1,"已停止",IF(T759&gt;=M760,"已下單","資金不足略過"))</f>
        <v/>
      </c>
      <c r="O760" s="19">
        <f>IF(N760="已下單",M760*資金模擬!$B$7,0)</f>
        <v/>
      </c>
      <c r="P760" s="4" t="n"/>
      <c r="Q760" s="13" t="n">
        <v>0</v>
      </c>
      <c r="R760" s="13">
        <f>R759+Q760</f>
        <v/>
      </c>
      <c r="S760" s="19">
        <f>S759+IF(N760="已下單",M760,0)</f>
        <v/>
      </c>
      <c r="T760" s="19">
        <f>R760-S760</f>
        <v/>
      </c>
      <c r="U760" s="2">
        <f>U759+IF(N760="已下單",1,0)</f>
        <v/>
      </c>
      <c r="V760" s="19">
        <f>IF(資金模擬!$B$9=2,MAX(R760,0),MAX(V759,FLOOR(MAX(R760,0),資金模擬!$B$6)))</f>
        <v/>
      </c>
      <c r="W760" s="13">
        <f>MAX(W759,R760)</f>
        <v/>
      </c>
      <c r="X760" s="4">
        <f>IF(W760&gt;0,R760/W760-1,-1)</f>
        <v/>
      </c>
      <c r="Y760" s="19">
        <f>IF(R760&gt;0,S760*資金模擬!$B$7/R760,0)</f>
        <v/>
      </c>
      <c r="Z760" s="2">
        <f>IF(OR(Z759=1,R760&lt;=資金模擬!$B$10),1,0)</f>
        <v/>
      </c>
    </row>
    <row r="761">
      <c r="A761" s="2" t="n">
        <v>759</v>
      </c>
      <c r="B761" s="7" t="n">
        <v>46287.66666666666</v>
      </c>
      <c r="C761" s="2" t="inlineStr">
        <is>
          <t>出場</t>
        </is>
      </c>
      <c r="D761" s="2" t="n">
        <v>361</v>
      </c>
      <c r="E761" s="2" t="inlineStr">
        <is>
          <t>PONS_USDT_PERP</t>
        </is>
      </c>
      <c r="F761" s="2" t="inlineStr">
        <is>
          <t>做空</t>
        </is>
      </c>
      <c r="G761" s="20" t="n">
        <v>0.5881</v>
      </c>
      <c r="H761" s="20" t="n">
        <v>0.570457</v>
      </c>
      <c r="I761" s="20" t="n">
        <v>0.617505</v>
      </c>
      <c r="J761" s="20" t="n">
        <v>0.617505</v>
      </c>
      <c r="K761" s="2" t="inlineStr">
        <is>
          <t>止損</t>
        </is>
      </c>
      <c r="L761" s="5">
        <f>交易明細!K362</f>
        <v/>
      </c>
      <c r="M761" s="19">
        <f>M717</f>
        <v/>
      </c>
      <c r="N761" s="2">
        <f>N717</f>
        <v/>
      </c>
      <c r="O761" s="19">
        <f>O717</f>
        <v/>
      </c>
      <c r="P761" s="4">
        <f>交易明細!L362</f>
        <v/>
      </c>
      <c r="Q761" s="13">
        <f>IF(N761="已下單",O761*P761,0)</f>
        <v/>
      </c>
      <c r="R761" s="13">
        <f>R760+Q761</f>
        <v/>
      </c>
      <c r="S761" s="19">
        <f>S760-IF(N761="已下單",M761,0)</f>
        <v/>
      </c>
      <c r="T761" s="19">
        <f>R761-S761</f>
        <v/>
      </c>
      <c r="U761" s="2">
        <f>U760-IF(N761="已下單",1,0)</f>
        <v/>
      </c>
      <c r="V761" s="19">
        <f>IF(資金模擬!$B$9=2,MAX(R761,0),MAX(V760,FLOOR(MAX(R761,0),資金模擬!$B$6)))</f>
        <v/>
      </c>
      <c r="W761" s="13">
        <f>MAX(W760,R761)</f>
        <v/>
      </c>
      <c r="X761" s="4">
        <f>IF(W761&gt;0,R761/W761-1,-1)</f>
        <v/>
      </c>
      <c r="Y761" s="19">
        <f>IF(R761&gt;0,S761*資金模擬!$B$7/R761,0)</f>
        <v/>
      </c>
      <c r="Z761" s="2">
        <f>IF(OR(Z760=1,R761&lt;=資金模擬!$B$10),1,0)</f>
        <v/>
      </c>
    </row>
    <row r="762">
      <c r="A762" s="2" t="n">
        <v>760</v>
      </c>
      <c r="B762" s="7" t="n">
        <v>46287.66666666666</v>
      </c>
      <c r="C762" s="2" t="inlineStr">
        <is>
          <t>出場</t>
        </is>
      </c>
      <c r="D762" s="2" t="n">
        <v>377</v>
      </c>
      <c r="E762" s="2" t="inlineStr">
        <is>
          <t>PENGU_USDT_PERP</t>
        </is>
      </c>
      <c r="F762" s="2" t="inlineStr">
        <is>
          <t>做多</t>
        </is>
      </c>
      <c r="G762" s="20" t="n">
        <v>0.008932000000000001</v>
      </c>
      <c r="H762" s="20" t="n">
        <v>0.009199960000000002</v>
      </c>
      <c r="I762" s="20" t="n">
        <v>0.008485400000000001</v>
      </c>
      <c r="J762" s="20" t="n">
        <v>0.009199960000000002</v>
      </c>
      <c r="K762" s="2" t="inlineStr">
        <is>
          <t>止盈</t>
        </is>
      </c>
      <c r="L762" s="5">
        <f>交易明細!K378</f>
        <v/>
      </c>
      <c r="M762" s="19">
        <f>M750</f>
        <v/>
      </c>
      <c r="N762" s="2">
        <f>N750</f>
        <v/>
      </c>
      <c r="O762" s="19">
        <f>O750</f>
        <v/>
      </c>
      <c r="P762" s="4">
        <f>交易明細!L378</f>
        <v/>
      </c>
      <c r="Q762" s="13">
        <f>IF(N762="已下單",O762*P762,0)</f>
        <v/>
      </c>
      <c r="R762" s="13">
        <f>R761+Q762</f>
        <v/>
      </c>
      <c r="S762" s="19">
        <f>S761-IF(N762="已下單",M762,0)</f>
        <v/>
      </c>
      <c r="T762" s="19">
        <f>R762-S762</f>
        <v/>
      </c>
      <c r="U762" s="2">
        <f>U761-IF(N762="已下單",1,0)</f>
        <v/>
      </c>
      <c r="V762" s="19">
        <f>IF(資金模擬!$B$9=2,MAX(R762,0),MAX(V761,FLOOR(MAX(R762,0),資金模擬!$B$6)))</f>
        <v/>
      </c>
      <c r="W762" s="13">
        <f>MAX(W761,R762)</f>
        <v/>
      </c>
      <c r="X762" s="4">
        <f>IF(W762&gt;0,R762/W762-1,-1)</f>
        <v/>
      </c>
      <c r="Y762" s="19">
        <f>IF(R762&gt;0,S762*資金模擬!$B$7/R762,0)</f>
        <v/>
      </c>
      <c r="Z762" s="2">
        <f>IF(OR(Z761=1,R762&lt;=資金模擬!$B$10),1,0)</f>
        <v/>
      </c>
    </row>
    <row r="763">
      <c r="A763" s="2" t="n">
        <v>761</v>
      </c>
      <c r="B763" s="7" t="n">
        <v>46287.66666666666</v>
      </c>
      <c r="C763" s="2" t="inlineStr">
        <is>
          <t>出場</t>
        </is>
      </c>
      <c r="D763" s="2" t="n">
        <v>383</v>
      </c>
      <c r="E763" s="2" t="inlineStr">
        <is>
          <t>USELESS_USDT_PERP</t>
        </is>
      </c>
      <c r="F763" s="2" t="inlineStr">
        <is>
          <t>做多</t>
        </is>
      </c>
      <c r="G763" s="20" t="n">
        <v>0.28361</v>
      </c>
      <c r="H763" s="20" t="n">
        <v>0.2921183</v>
      </c>
      <c r="I763" s="20" t="n">
        <v>0.2694295</v>
      </c>
      <c r="J763" s="20" t="n">
        <v>0.2921183</v>
      </c>
      <c r="K763" s="2" t="inlineStr">
        <is>
          <t>止盈</t>
        </is>
      </c>
      <c r="L763" s="5">
        <f>交易明細!K384</f>
        <v/>
      </c>
      <c r="M763" s="19">
        <f>M759</f>
        <v/>
      </c>
      <c r="N763" s="2">
        <f>N759</f>
        <v/>
      </c>
      <c r="O763" s="19">
        <f>O759</f>
        <v/>
      </c>
      <c r="P763" s="4">
        <f>交易明細!L384</f>
        <v/>
      </c>
      <c r="Q763" s="13">
        <f>IF(N763="已下單",O763*P763,0)</f>
        <v/>
      </c>
      <c r="R763" s="13">
        <f>R762+Q763</f>
        <v/>
      </c>
      <c r="S763" s="19">
        <f>S762-IF(N763="已下單",M763,0)</f>
        <v/>
      </c>
      <c r="T763" s="19">
        <f>R763-S763</f>
        <v/>
      </c>
      <c r="U763" s="2">
        <f>U762-IF(N763="已下單",1,0)</f>
        <v/>
      </c>
      <c r="V763" s="19">
        <f>IF(資金模擬!$B$9=2,MAX(R763,0),MAX(V762,FLOOR(MAX(R763,0),資金模擬!$B$6)))</f>
        <v/>
      </c>
      <c r="W763" s="13">
        <f>MAX(W762,R763)</f>
        <v/>
      </c>
      <c r="X763" s="4">
        <f>IF(W763&gt;0,R763/W763-1,-1)</f>
        <v/>
      </c>
      <c r="Y763" s="19">
        <f>IF(R763&gt;0,S763*資金模擬!$B$7/R763,0)</f>
        <v/>
      </c>
      <c r="Z763" s="2">
        <f>IF(OR(Z762=1,R763&lt;=資金模擬!$B$10),1,0)</f>
        <v/>
      </c>
    </row>
    <row r="764">
      <c r="A764" s="2" t="n">
        <v>762</v>
      </c>
      <c r="B764" s="7" t="n">
        <v>46287.70833333334</v>
      </c>
      <c r="C764" s="2" t="inlineStr">
        <is>
          <t>出場</t>
        </is>
      </c>
      <c r="D764" s="2" t="n">
        <v>370</v>
      </c>
      <c r="E764" s="2" t="inlineStr">
        <is>
          <t>FET_USDT_PERP</t>
        </is>
      </c>
      <c r="F764" s="2" t="inlineStr">
        <is>
          <t>做多</t>
        </is>
      </c>
      <c r="G764" s="20" t="n">
        <v>0.2047</v>
      </c>
      <c r="H764" s="20" t="n">
        <v>0.210841</v>
      </c>
      <c r="I764" s="20" t="n">
        <v>0.194465</v>
      </c>
      <c r="J764" s="20" t="n">
        <v>0.210841</v>
      </c>
      <c r="K764" s="2" t="inlineStr">
        <is>
          <t>止盈</t>
        </is>
      </c>
      <c r="L764" s="5">
        <f>交易明細!K371</f>
        <v/>
      </c>
      <c r="M764" s="19">
        <f>M735</f>
        <v/>
      </c>
      <c r="N764" s="2">
        <f>N735</f>
        <v/>
      </c>
      <c r="O764" s="19">
        <f>O735</f>
        <v/>
      </c>
      <c r="P764" s="4">
        <f>交易明細!L371</f>
        <v/>
      </c>
      <c r="Q764" s="13">
        <f>IF(N764="已下單",O764*P764,0)</f>
        <v/>
      </c>
      <c r="R764" s="13">
        <f>R763+Q764</f>
        <v/>
      </c>
      <c r="S764" s="19">
        <f>S763-IF(N764="已下單",M764,0)</f>
        <v/>
      </c>
      <c r="T764" s="19">
        <f>R764-S764</f>
        <v/>
      </c>
      <c r="U764" s="2">
        <f>U763-IF(N764="已下單",1,0)</f>
        <v/>
      </c>
      <c r="V764" s="19">
        <f>IF(資金模擬!$B$9=2,MAX(R764,0),MAX(V763,FLOOR(MAX(R764,0),資金模擬!$B$6)))</f>
        <v/>
      </c>
      <c r="W764" s="13">
        <f>MAX(W763,R764)</f>
        <v/>
      </c>
      <c r="X764" s="4">
        <f>IF(W764&gt;0,R764/W764-1,-1)</f>
        <v/>
      </c>
      <c r="Y764" s="19">
        <f>IF(R764&gt;0,S764*資金模擬!$B$7/R764,0)</f>
        <v/>
      </c>
      <c r="Z764" s="2">
        <f>IF(OR(Z763=1,R764&lt;=資金模擬!$B$10),1,0)</f>
        <v/>
      </c>
    </row>
    <row r="765">
      <c r="A765" s="2" t="n">
        <v>763</v>
      </c>
      <c r="B765" s="7" t="n">
        <v>46287.70833333334</v>
      </c>
      <c r="C765" s="2" t="inlineStr">
        <is>
          <t>出場</t>
        </is>
      </c>
      <c r="D765" s="2" t="n">
        <v>381</v>
      </c>
      <c r="E765" s="2" t="inlineStr">
        <is>
          <t>NEAR_USDT_PERP</t>
        </is>
      </c>
      <c r="F765" s="2" t="inlineStr">
        <is>
          <t>做多</t>
        </is>
      </c>
      <c r="G765" s="20" t="n">
        <v>4.41</v>
      </c>
      <c r="H765" s="20" t="n">
        <v>4.5423</v>
      </c>
      <c r="I765" s="20" t="n">
        <v>4.1895</v>
      </c>
      <c r="J765" s="20" t="n">
        <v>4.5423</v>
      </c>
      <c r="K765" s="2" t="inlineStr">
        <is>
          <t>止盈</t>
        </is>
      </c>
      <c r="L765" s="5">
        <f>交易明細!K382</f>
        <v/>
      </c>
      <c r="M765" s="19">
        <f>M757</f>
        <v/>
      </c>
      <c r="N765" s="2">
        <f>N757</f>
        <v/>
      </c>
      <c r="O765" s="19">
        <f>O757</f>
        <v/>
      </c>
      <c r="P765" s="4">
        <f>交易明細!L382</f>
        <v/>
      </c>
      <c r="Q765" s="13">
        <f>IF(N765="已下單",O765*P765,0)</f>
        <v/>
      </c>
      <c r="R765" s="13">
        <f>R764+Q765</f>
        <v/>
      </c>
      <c r="S765" s="19">
        <f>S764-IF(N765="已下單",M765,0)</f>
        <v/>
      </c>
      <c r="T765" s="19">
        <f>R765-S765</f>
        <v/>
      </c>
      <c r="U765" s="2">
        <f>U764-IF(N765="已下單",1,0)</f>
        <v/>
      </c>
      <c r="V765" s="19">
        <f>IF(資金模擬!$B$9=2,MAX(R765,0),MAX(V764,FLOOR(MAX(R765,0),資金模擬!$B$6)))</f>
        <v/>
      </c>
      <c r="W765" s="13">
        <f>MAX(W764,R765)</f>
        <v/>
      </c>
      <c r="X765" s="4">
        <f>IF(W765&gt;0,R765/W765-1,-1)</f>
        <v/>
      </c>
      <c r="Y765" s="19">
        <f>IF(R765&gt;0,S765*資金模擬!$B$7/R765,0)</f>
        <v/>
      </c>
      <c r="Z765" s="2">
        <f>IF(OR(Z764=1,R765&lt;=資金模擬!$B$10),1,0)</f>
        <v/>
      </c>
    </row>
    <row r="766">
      <c r="A766" s="2" t="n">
        <v>764</v>
      </c>
      <c r="B766" s="7" t="n">
        <v>46287.70833333334</v>
      </c>
      <c r="C766" s="2" t="inlineStr">
        <is>
          <t>出場</t>
        </is>
      </c>
      <c r="D766" s="2" t="n">
        <v>384</v>
      </c>
      <c r="E766" s="2" t="inlineStr">
        <is>
          <t>ZAMA_USDT_PERP</t>
        </is>
      </c>
      <c r="F766" s="2" t="inlineStr">
        <is>
          <t>做空</t>
        </is>
      </c>
      <c r="G766" s="20" t="n">
        <v>0.09397999999999999</v>
      </c>
      <c r="H766" s="20" t="n">
        <v>0.09116059999999999</v>
      </c>
      <c r="I766" s="20" t="n">
        <v>0.098679</v>
      </c>
      <c r="J766" s="20" t="n">
        <v>0.09116059999999999</v>
      </c>
      <c r="K766" s="2" t="inlineStr">
        <is>
          <t>止盈</t>
        </is>
      </c>
      <c r="L766" s="5">
        <f>交易明細!K385</f>
        <v/>
      </c>
      <c r="M766" s="19">
        <f>M760</f>
        <v/>
      </c>
      <c r="N766" s="2">
        <f>N760</f>
        <v/>
      </c>
      <c r="O766" s="19">
        <f>O760</f>
        <v/>
      </c>
      <c r="P766" s="4">
        <f>交易明細!L385</f>
        <v/>
      </c>
      <c r="Q766" s="13">
        <f>IF(N766="已下單",O766*P766,0)</f>
        <v/>
      </c>
      <c r="R766" s="13">
        <f>R765+Q766</f>
        <v/>
      </c>
      <c r="S766" s="19">
        <f>S765-IF(N766="已下單",M766,0)</f>
        <v/>
      </c>
      <c r="T766" s="19">
        <f>R766-S766</f>
        <v/>
      </c>
      <c r="U766" s="2">
        <f>U765-IF(N766="已下單",1,0)</f>
        <v/>
      </c>
      <c r="V766" s="19">
        <f>IF(資金模擬!$B$9=2,MAX(R766,0),MAX(V765,FLOOR(MAX(R766,0),資金模擬!$B$6)))</f>
        <v/>
      </c>
      <c r="W766" s="13">
        <f>MAX(W765,R766)</f>
        <v/>
      </c>
      <c r="X766" s="4">
        <f>IF(W766&gt;0,R766/W766-1,-1)</f>
        <v/>
      </c>
      <c r="Y766" s="19">
        <f>IF(R766&gt;0,S766*資金模擬!$B$7/R766,0)</f>
        <v/>
      </c>
      <c r="Z766" s="2">
        <f>IF(OR(Z765=1,R766&lt;=資金模擬!$B$10),1,0)</f>
        <v/>
      </c>
    </row>
    <row r="767">
      <c r="A767" s="2" t="n">
        <v>765</v>
      </c>
      <c r="B767" s="7" t="n">
        <v>46287.70833333334</v>
      </c>
      <c r="C767" s="2" t="inlineStr">
        <is>
          <t>進場</t>
        </is>
      </c>
      <c r="D767" s="2" t="n">
        <v>385</v>
      </c>
      <c r="E767" s="2" t="inlineStr">
        <is>
          <t>WIF_USDT_PERP</t>
        </is>
      </c>
      <c r="F767" s="2" t="inlineStr">
        <is>
          <t>做多</t>
        </is>
      </c>
      <c r="G767" s="20" t="n">
        <v>0.2576</v>
      </c>
      <c r="H767" s="20" t="n">
        <v>0.265328</v>
      </c>
      <c r="I767" s="20" t="n">
        <v>0.24472</v>
      </c>
      <c r="J767" s="20" t="n"/>
      <c r="K767" s="2" t="n"/>
      <c r="L767" s="5" t="n"/>
      <c r="M767" s="19">
        <f>資金模擬!$B$5*V766</f>
        <v/>
      </c>
      <c r="N767" s="2">
        <f>IF(Z766=1,"已停止",IF(T766&gt;=M767,"已下單","資金不足略過"))</f>
        <v/>
      </c>
      <c r="O767" s="19">
        <f>IF(N767="已下單",M767*資金模擬!$B$7,0)</f>
        <v/>
      </c>
      <c r="P767" s="4" t="n"/>
      <c r="Q767" s="13" t="n">
        <v>0</v>
      </c>
      <c r="R767" s="13">
        <f>R766+Q767</f>
        <v/>
      </c>
      <c r="S767" s="19">
        <f>S766+IF(N767="已下單",M767,0)</f>
        <v/>
      </c>
      <c r="T767" s="19">
        <f>R767-S767</f>
        <v/>
      </c>
      <c r="U767" s="2">
        <f>U766+IF(N767="已下單",1,0)</f>
        <v/>
      </c>
      <c r="V767" s="19">
        <f>IF(資金模擬!$B$9=2,MAX(R767,0),MAX(V766,FLOOR(MAX(R767,0),資金模擬!$B$6)))</f>
        <v/>
      </c>
      <c r="W767" s="13">
        <f>MAX(W766,R767)</f>
        <v/>
      </c>
      <c r="X767" s="4">
        <f>IF(W767&gt;0,R767/W767-1,-1)</f>
        <v/>
      </c>
      <c r="Y767" s="19">
        <f>IF(R767&gt;0,S767*資金模擬!$B$7/R767,0)</f>
        <v/>
      </c>
      <c r="Z767" s="2">
        <f>IF(OR(Z766=1,R767&lt;=資金模擬!$B$10),1,0)</f>
        <v/>
      </c>
    </row>
    <row r="768">
      <c r="A768" s="2" t="n">
        <v>766</v>
      </c>
      <c r="B768" s="7" t="n">
        <v>46287.79166666666</v>
      </c>
      <c r="C768" s="2" t="inlineStr">
        <is>
          <t>出場</t>
        </is>
      </c>
      <c r="D768" s="2" t="n">
        <v>366</v>
      </c>
      <c r="E768" s="2" t="inlineStr">
        <is>
          <t>ARB_USDT_PERP</t>
        </is>
      </c>
      <c r="F768" s="2" t="inlineStr">
        <is>
          <t>做空</t>
        </is>
      </c>
      <c r="G768" s="20" t="n">
        <v>0.2221</v>
      </c>
      <c r="H768" s="20" t="n">
        <v>0.215437</v>
      </c>
      <c r="I768" s="20" t="n">
        <v>0.233205</v>
      </c>
      <c r="J768" s="20" t="n">
        <v>0.215437</v>
      </c>
      <c r="K768" s="2" t="inlineStr">
        <is>
          <t>止盈</t>
        </is>
      </c>
      <c r="L768" s="5">
        <f>交易明細!K367</f>
        <v/>
      </c>
      <c r="M768" s="19">
        <f>M728</f>
        <v/>
      </c>
      <c r="N768" s="2">
        <f>N728</f>
        <v/>
      </c>
      <c r="O768" s="19">
        <f>O728</f>
        <v/>
      </c>
      <c r="P768" s="4">
        <f>交易明細!L367</f>
        <v/>
      </c>
      <c r="Q768" s="13">
        <f>IF(N768="已下單",O768*P768,0)</f>
        <v/>
      </c>
      <c r="R768" s="13">
        <f>R767+Q768</f>
        <v/>
      </c>
      <c r="S768" s="19">
        <f>S767-IF(N768="已下單",M768,0)</f>
        <v/>
      </c>
      <c r="T768" s="19">
        <f>R768-S768</f>
        <v/>
      </c>
      <c r="U768" s="2">
        <f>U767-IF(N768="已下單",1,0)</f>
        <v/>
      </c>
      <c r="V768" s="19">
        <f>IF(資金模擬!$B$9=2,MAX(R768,0),MAX(V767,FLOOR(MAX(R768,0),資金模擬!$B$6)))</f>
        <v/>
      </c>
      <c r="W768" s="13">
        <f>MAX(W767,R768)</f>
        <v/>
      </c>
      <c r="X768" s="4">
        <f>IF(W768&gt;0,R768/W768-1,-1)</f>
        <v/>
      </c>
      <c r="Y768" s="19">
        <f>IF(R768&gt;0,S768*資金模擬!$B$7/R768,0)</f>
        <v/>
      </c>
      <c r="Z768" s="2">
        <f>IF(OR(Z767=1,R768&lt;=資金模擬!$B$10),1,0)</f>
        <v/>
      </c>
    </row>
    <row r="769">
      <c r="A769" s="2" t="n">
        <v>767</v>
      </c>
      <c r="B769" s="7" t="n">
        <v>46287.83333333334</v>
      </c>
      <c r="C769" s="2" t="inlineStr">
        <is>
          <t>進場</t>
        </is>
      </c>
      <c r="D769" s="2" t="n">
        <v>386</v>
      </c>
      <c r="E769" s="2" t="inlineStr">
        <is>
          <t>BR_USDT_PERP</t>
        </is>
      </c>
      <c r="F769" s="2" t="inlineStr">
        <is>
          <t>做空</t>
        </is>
      </c>
      <c r="G769" s="20" t="n">
        <v>1.13431</v>
      </c>
      <c r="H769" s="20" t="n">
        <v>1.1002807</v>
      </c>
      <c r="I769" s="20" t="n">
        <v>1.1910255</v>
      </c>
      <c r="J769" s="20" t="n"/>
      <c r="K769" s="2" t="n"/>
      <c r="L769" s="5" t="n"/>
      <c r="M769" s="19">
        <f>資金模擬!$B$5*V768</f>
        <v/>
      </c>
      <c r="N769" s="2">
        <f>IF(Z768=1,"已停止",IF(T768&gt;=M769,"已下單","資金不足略過"))</f>
        <v/>
      </c>
      <c r="O769" s="19">
        <f>IF(N769="已下單",M769*資金模擬!$B$7,0)</f>
        <v/>
      </c>
      <c r="P769" s="4" t="n"/>
      <c r="Q769" s="13" t="n">
        <v>0</v>
      </c>
      <c r="R769" s="13">
        <f>R768+Q769</f>
        <v/>
      </c>
      <c r="S769" s="19">
        <f>S768+IF(N769="已下單",M769,0)</f>
        <v/>
      </c>
      <c r="T769" s="19">
        <f>R769-S769</f>
        <v/>
      </c>
      <c r="U769" s="2">
        <f>U768+IF(N769="已下單",1,0)</f>
        <v/>
      </c>
      <c r="V769" s="19">
        <f>IF(資金模擬!$B$9=2,MAX(R769,0),MAX(V768,FLOOR(MAX(R769,0),資金模擬!$B$6)))</f>
        <v/>
      </c>
      <c r="W769" s="13">
        <f>MAX(W768,R769)</f>
        <v/>
      </c>
      <c r="X769" s="4">
        <f>IF(W769&gt;0,R769/W769-1,-1)</f>
        <v/>
      </c>
      <c r="Y769" s="19">
        <f>IF(R769&gt;0,S769*資金模擬!$B$7/R769,0)</f>
        <v/>
      </c>
      <c r="Z769" s="2">
        <f>IF(OR(Z768=1,R769&lt;=資金模擬!$B$10),1,0)</f>
        <v/>
      </c>
    </row>
    <row r="770">
      <c r="A770" s="2" t="n">
        <v>768</v>
      </c>
      <c r="B770" s="7" t="n">
        <v>46287.83333333334</v>
      </c>
      <c r="C770" s="2" t="inlineStr">
        <is>
          <t>進場</t>
        </is>
      </c>
      <c r="D770" s="2" t="n">
        <v>387</v>
      </c>
      <c r="E770" s="2" t="inlineStr">
        <is>
          <t>FET_USDT_PERP</t>
        </is>
      </c>
      <c r="F770" s="2" t="inlineStr">
        <is>
          <t>做多</t>
        </is>
      </c>
      <c r="G770" s="20" t="n">
        <v>0.2109</v>
      </c>
      <c r="H770" s="20" t="n">
        <v>0.217227</v>
      </c>
      <c r="I770" s="20" t="n">
        <v>0.200355</v>
      </c>
      <c r="J770" s="20" t="n"/>
      <c r="K770" s="2" t="n"/>
      <c r="L770" s="5" t="n"/>
      <c r="M770" s="19">
        <f>資金模擬!$B$5*V769</f>
        <v/>
      </c>
      <c r="N770" s="2">
        <f>IF(Z769=1,"已停止",IF(T769&gt;=M770,"已下單","資金不足略過"))</f>
        <v/>
      </c>
      <c r="O770" s="19">
        <f>IF(N770="已下單",M770*資金模擬!$B$7,0)</f>
        <v/>
      </c>
      <c r="P770" s="4" t="n"/>
      <c r="Q770" s="13" t="n">
        <v>0</v>
      </c>
      <c r="R770" s="13">
        <f>R769+Q770</f>
        <v/>
      </c>
      <c r="S770" s="19">
        <f>S769+IF(N770="已下單",M770,0)</f>
        <v/>
      </c>
      <c r="T770" s="19">
        <f>R770-S770</f>
        <v/>
      </c>
      <c r="U770" s="2">
        <f>U769+IF(N770="已下單",1,0)</f>
        <v/>
      </c>
      <c r="V770" s="19">
        <f>IF(資金模擬!$B$9=2,MAX(R770,0),MAX(V769,FLOOR(MAX(R770,0),資金模擬!$B$6)))</f>
        <v/>
      </c>
      <c r="W770" s="13">
        <f>MAX(W769,R770)</f>
        <v/>
      </c>
      <c r="X770" s="4">
        <f>IF(W770&gt;0,R770/W770-1,-1)</f>
        <v/>
      </c>
      <c r="Y770" s="19">
        <f>IF(R770&gt;0,S770*資金模擬!$B$7/R770,0)</f>
        <v/>
      </c>
      <c r="Z770" s="2">
        <f>IF(OR(Z769=1,R770&lt;=資金模擬!$B$10),1,0)</f>
        <v/>
      </c>
    </row>
    <row r="771">
      <c r="A771" s="2" t="n">
        <v>769</v>
      </c>
      <c r="B771" s="7" t="n">
        <v>46287.875</v>
      </c>
      <c r="C771" s="2" t="inlineStr">
        <is>
          <t>出場</t>
        </is>
      </c>
      <c r="D771" s="2" t="n">
        <v>385</v>
      </c>
      <c r="E771" s="2" t="inlineStr">
        <is>
          <t>WIF_USDT_PERP</t>
        </is>
      </c>
      <c r="F771" s="2" t="inlineStr">
        <is>
          <t>做多</t>
        </is>
      </c>
      <c r="G771" s="20" t="n">
        <v>0.2576</v>
      </c>
      <c r="H771" s="20" t="n">
        <v>0.265328</v>
      </c>
      <c r="I771" s="20" t="n">
        <v>0.24472</v>
      </c>
      <c r="J771" s="20" t="n">
        <v>0.265328</v>
      </c>
      <c r="K771" s="2" t="inlineStr">
        <is>
          <t>止盈</t>
        </is>
      </c>
      <c r="L771" s="5">
        <f>交易明細!K386</f>
        <v/>
      </c>
      <c r="M771" s="19">
        <f>M767</f>
        <v/>
      </c>
      <c r="N771" s="2">
        <f>N767</f>
        <v/>
      </c>
      <c r="O771" s="19">
        <f>O767</f>
        <v/>
      </c>
      <c r="P771" s="4">
        <f>交易明細!L386</f>
        <v/>
      </c>
      <c r="Q771" s="13">
        <f>IF(N771="已下單",O771*P771,0)</f>
        <v/>
      </c>
      <c r="R771" s="13">
        <f>R770+Q771</f>
        <v/>
      </c>
      <c r="S771" s="19">
        <f>S770-IF(N771="已下單",M771,0)</f>
        <v/>
      </c>
      <c r="T771" s="19">
        <f>R771-S771</f>
        <v/>
      </c>
      <c r="U771" s="2">
        <f>U770-IF(N771="已下單",1,0)</f>
        <v/>
      </c>
      <c r="V771" s="19">
        <f>IF(資金模擬!$B$9=2,MAX(R771,0),MAX(V770,FLOOR(MAX(R771,0),資金模擬!$B$6)))</f>
        <v/>
      </c>
      <c r="W771" s="13">
        <f>MAX(W770,R771)</f>
        <v/>
      </c>
      <c r="X771" s="4">
        <f>IF(W771&gt;0,R771/W771-1,-1)</f>
        <v/>
      </c>
      <c r="Y771" s="19">
        <f>IF(R771&gt;0,S771*資金模擬!$B$7/R771,0)</f>
        <v/>
      </c>
      <c r="Z771" s="2">
        <f>IF(OR(Z770=1,R771&lt;=資金模擬!$B$10),1,0)</f>
        <v/>
      </c>
    </row>
    <row r="772">
      <c r="A772" s="2" t="n">
        <v>770</v>
      </c>
      <c r="B772" s="7" t="n">
        <v>46287.875</v>
      </c>
      <c r="C772" s="2" t="inlineStr">
        <is>
          <t>出場</t>
        </is>
      </c>
      <c r="D772" s="2" t="n">
        <v>386</v>
      </c>
      <c r="E772" s="2" t="inlineStr">
        <is>
          <t>BR_USDT_PERP</t>
        </is>
      </c>
      <c r="F772" s="2" t="inlineStr">
        <is>
          <t>做空</t>
        </is>
      </c>
      <c r="G772" s="20" t="n">
        <v>1.13431</v>
      </c>
      <c r="H772" s="20" t="n">
        <v>1.1002807</v>
      </c>
      <c r="I772" s="20" t="n">
        <v>1.1910255</v>
      </c>
      <c r="J772" s="20" t="n">
        <v>1.1002807</v>
      </c>
      <c r="K772" s="2" t="inlineStr">
        <is>
          <t>止盈</t>
        </is>
      </c>
      <c r="L772" s="5">
        <f>交易明細!K387</f>
        <v/>
      </c>
      <c r="M772" s="19">
        <f>M769</f>
        <v/>
      </c>
      <c r="N772" s="2">
        <f>N769</f>
        <v/>
      </c>
      <c r="O772" s="19">
        <f>O769</f>
        <v/>
      </c>
      <c r="P772" s="4">
        <f>交易明細!L387</f>
        <v/>
      </c>
      <c r="Q772" s="13">
        <f>IF(N772="已下單",O772*P772,0)</f>
        <v/>
      </c>
      <c r="R772" s="13">
        <f>R771+Q772</f>
        <v/>
      </c>
      <c r="S772" s="19">
        <f>S771-IF(N772="已下單",M772,0)</f>
        <v/>
      </c>
      <c r="T772" s="19">
        <f>R772-S772</f>
        <v/>
      </c>
      <c r="U772" s="2">
        <f>U771-IF(N772="已下單",1,0)</f>
        <v/>
      </c>
      <c r="V772" s="19">
        <f>IF(資金模擬!$B$9=2,MAX(R772,0),MAX(V771,FLOOR(MAX(R772,0),資金模擬!$B$6)))</f>
        <v/>
      </c>
      <c r="W772" s="13">
        <f>MAX(W771,R772)</f>
        <v/>
      </c>
      <c r="X772" s="4">
        <f>IF(W772&gt;0,R772/W772-1,-1)</f>
        <v/>
      </c>
      <c r="Y772" s="19">
        <f>IF(R772&gt;0,S772*資金模擬!$B$7/R772,0)</f>
        <v/>
      </c>
      <c r="Z772" s="2">
        <f>IF(OR(Z771=1,R772&lt;=資金模擬!$B$10),1,0)</f>
        <v/>
      </c>
    </row>
    <row r="773">
      <c r="A773" s="2" t="n">
        <v>771</v>
      </c>
      <c r="B773" s="7" t="n">
        <v>46287.875</v>
      </c>
      <c r="C773" s="2" t="inlineStr">
        <is>
          <t>進場</t>
        </is>
      </c>
      <c r="D773" s="2" t="n">
        <v>388</v>
      </c>
      <c r="E773" s="2" t="inlineStr">
        <is>
          <t>DOGE_USDT_PERP</t>
        </is>
      </c>
      <c r="F773" s="2" t="inlineStr">
        <is>
          <t>做多</t>
        </is>
      </c>
      <c r="G773" s="20" t="n">
        <v>0.09988</v>
      </c>
      <c r="H773" s="20" t="n">
        <v>0.1028764</v>
      </c>
      <c r="I773" s="20" t="n">
        <v>0.094886</v>
      </c>
      <c r="J773" s="20" t="n"/>
      <c r="K773" s="2" t="n"/>
      <c r="L773" s="5" t="n"/>
      <c r="M773" s="19">
        <f>資金模擬!$B$5*V772</f>
        <v/>
      </c>
      <c r="N773" s="2">
        <f>IF(Z772=1,"已停止",IF(T772&gt;=M773,"已下單","資金不足略過"))</f>
        <v/>
      </c>
      <c r="O773" s="19">
        <f>IF(N773="已下單",M773*資金模擬!$B$7,0)</f>
        <v/>
      </c>
      <c r="P773" s="4" t="n"/>
      <c r="Q773" s="13" t="n">
        <v>0</v>
      </c>
      <c r="R773" s="13">
        <f>R772+Q773</f>
        <v/>
      </c>
      <c r="S773" s="19">
        <f>S772+IF(N773="已下單",M773,0)</f>
        <v/>
      </c>
      <c r="T773" s="19">
        <f>R773-S773</f>
        <v/>
      </c>
      <c r="U773" s="2">
        <f>U772+IF(N773="已下單",1,0)</f>
        <v/>
      </c>
      <c r="V773" s="19">
        <f>IF(資金模擬!$B$9=2,MAX(R773,0),MAX(V772,FLOOR(MAX(R773,0),資金模擬!$B$6)))</f>
        <v/>
      </c>
      <c r="W773" s="13">
        <f>MAX(W772,R773)</f>
        <v/>
      </c>
      <c r="X773" s="4">
        <f>IF(W773&gt;0,R773/W773-1,-1)</f>
        <v/>
      </c>
      <c r="Y773" s="19">
        <f>IF(R773&gt;0,S773*資金模擬!$B$7/R773,0)</f>
        <v/>
      </c>
      <c r="Z773" s="2">
        <f>IF(OR(Z772=1,R773&lt;=資金模擬!$B$10),1,0)</f>
        <v/>
      </c>
    </row>
    <row r="774">
      <c r="A774" s="2" t="n">
        <v>772</v>
      </c>
      <c r="B774" s="7" t="n">
        <v>46287.91666666666</v>
      </c>
      <c r="C774" s="2" t="inlineStr">
        <is>
          <t>進場</t>
        </is>
      </c>
      <c r="D774" s="2" t="n">
        <v>389</v>
      </c>
      <c r="E774" s="2" t="inlineStr">
        <is>
          <t>ZAMA_USDT_PERP</t>
        </is>
      </c>
      <c r="F774" s="2" t="inlineStr">
        <is>
          <t>做空</t>
        </is>
      </c>
      <c r="G774" s="20" t="n">
        <v>0.09107</v>
      </c>
      <c r="H774" s="20" t="n">
        <v>0.0883379</v>
      </c>
      <c r="I774" s="20" t="n">
        <v>0.0956235</v>
      </c>
      <c r="J774" s="20" t="n"/>
      <c r="K774" s="2" t="n"/>
      <c r="L774" s="5" t="n"/>
      <c r="M774" s="19">
        <f>資金模擬!$B$5*V773</f>
        <v/>
      </c>
      <c r="N774" s="2">
        <f>IF(Z773=1,"已停止",IF(T773&gt;=M774,"已下單","資金不足略過"))</f>
        <v/>
      </c>
      <c r="O774" s="19">
        <f>IF(N774="已下單",M774*資金模擬!$B$7,0)</f>
        <v/>
      </c>
      <c r="P774" s="4" t="n"/>
      <c r="Q774" s="13" t="n">
        <v>0</v>
      </c>
      <c r="R774" s="13">
        <f>R773+Q774</f>
        <v/>
      </c>
      <c r="S774" s="19">
        <f>S773+IF(N774="已下單",M774,0)</f>
        <v/>
      </c>
      <c r="T774" s="19">
        <f>R774-S774</f>
        <v/>
      </c>
      <c r="U774" s="2">
        <f>U773+IF(N774="已下單",1,0)</f>
        <v/>
      </c>
      <c r="V774" s="19">
        <f>IF(資金模擬!$B$9=2,MAX(R774,0),MAX(V773,FLOOR(MAX(R774,0),資金模擬!$B$6)))</f>
        <v/>
      </c>
      <c r="W774" s="13">
        <f>MAX(W773,R774)</f>
        <v/>
      </c>
      <c r="X774" s="4">
        <f>IF(W774&gt;0,R774/W774-1,-1)</f>
        <v/>
      </c>
      <c r="Y774" s="19">
        <f>IF(R774&gt;0,S774*資金模擬!$B$7/R774,0)</f>
        <v/>
      </c>
      <c r="Z774" s="2">
        <f>IF(OR(Z773=1,R774&lt;=資金模擬!$B$10),1,0)</f>
        <v/>
      </c>
    </row>
    <row r="775">
      <c r="A775" s="2" t="n">
        <v>773</v>
      </c>
      <c r="B775" s="7" t="n">
        <v>46287.95833333334</v>
      </c>
      <c r="C775" s="2" t="inlineStr">
        <is>
          <t>出場</t>
        </is>
      </c>
      <c r="D775" s="2" t="n">
        <v>382</v>
      </c>
      <c r="E775" s="2" t="inlineStr">
        <is>
          <t>ENA_USDT_PERP</t>
        </is>
      </c>
      <c r="F775" s="2" t="inlineStr">
        <is>
          <t>做空</t>
        </is>
      </c>
      <c r="G775" s="20" t="n">
        <v>0.2105</v>
      </c>
      <c r="H775" s="20" t="n">
        <v>0.204185</v>
      </c>
      <c r="I775" s="20" t="n">
        <v>0.221025</v>
      </c>
      <c r="J775" s="20" t="n">
        <v>0.204185</v>
      </c>
      <c r="K775" s="2" t="inlineStr">
        <is>
          <t>止盈</t>
        </is>
      </c>
      <c r="L775" s="5">
        <f>交易明細!K383</f>
        <v/>
      </c>
      <c r="M775" s="19">
        <f>M758</f>
        <v/>
      </c>
      <c r="N775" s="2">
        <f>N758</f>
        <v/>
      </c>
      <c r="O775" s="19">
        <f>O758</f>
        <v/>
      </c>
      <c r="P775" s="4">
        <f>交易明細!L383</f>
        <v/>
      </c>
      <c r="Q775" s="13">
        <f>IF(N775="已下單",O775*P775,0)</f>
        <v/>
      </c>
      <c r="R775" s="13">
        <f>R774+Q775</f>
        <v/>
      </c>
      <c r="S775" s="19">
        <f>S774-IF(N775="已下單",M775,0)</f>
        <v/>
      </c>
      <c r="T775" s="19">
        <f>R775-S775</f>
        <v/>
      </c>
      <c r="U775" s="2">
        <f>U774-IF(N775="已下單",1,0)</f>
        <v/>
      </c>
      <c r="V775" s="19">
        <f>IF(資金模擬!$B$9=2,MAX(R775,0),MAX(V774,FLOOR(MAX(R775,0),資金模擬!$B$6)))</f>
        <v/>
      </c>
      <c r="W775" s="13">
        <f>MAX(W774,R775)</f>
        <v/>
      </c>
      <c r="X775" s="4">
        <f>IF(W775&gt;0,R775/W775-1,-1)</f>
        <v/>
      </c>
      <c r="Y775" s="19">
        <f>IF(R775&gt;0,S775*資金模擬!$B$7/R775,0)</f>
        <v/>
      </c>
      <c r="Z775" s="2">
        <f>IF(OR(Z774=1,R775&lt;=資金模擬!$B$10),1,0)</f>
        <v/>
      </c>
    </row>
    <row r="776">
      <c r="A776" s="2" t="n">
        <v>774</v>
      </c>
      <c r="B776" s="7" t="n">
        <v>46287.95833333334</v>
      </c>
      <c r="C776" s="2" t="inlineStr">
        <is>
          <t>出場</t>
        </is>
      </c>
      <c r="D776" s="2" t="n">
        <v>389</v>
      </c>
      <c r="E776" s="2" t="inlineStr">
        <is>
          <t>ZAMA_USDT_PERP</t>
        </is>
      </c>
      <c r="F776" s="2" t="inlineStr">
        <is>
          <t>做空</t>
        </is>
      </c>
      <c r="G776" s="20" t="n">
        <v>0.09107</v>
      </c>
      <c r="H776" s="20" t="n">
        <v>0.0883379</v>
      </c>
      <c r="I776" s="20" t="n">
        <v>0.0956235</v>
      </c>
      <c r="J776" s="20" t="n">
        <v>0.0883379</v>
      </c>
      <c r="K776" s="2" t="inlineStr">
        <is>
          <t>止盈</t>
        </is>
      </c>
      <c r="L776" s="5">
        <f>交易明細!K390</f>
        <v/>
      </c>
      <c r="M776" s="19">
        <f>M774</f>
        <v/>
      </c>
      <c r="N776" s="2">
        <f>N774</f>
        <v/>
      </c>
      <c r="O776" s="19">
        <f>O774</f>
        <v/>
      </c>
      <c r="P776" s="4">
        <f>交易明細!L390</f>
        <v/>
      </c>
      <c r="Q776" s="13">
        <f>IF(N776="已下單",O776*P776,0)</f>
        <v/>
      </c>
      <c r="R776" s="13">
        <f>R775+Q776</f>
        <v/>
      </c>
      <c r="S776" s="19">
        <f>S775-IF(N776="已下單",M776,0)</f>
        <v/>
      </c>
      <c r="T776" s="19">
        <f>R776-S776</f>
        <v/>
      </c>
      <c r="U776" s="2">
        <f>U775-IF(N776="已下單",1,0)</f>
        <v/>
      </c>
      <c r="V776" s="19">
        <f>IF(資金模擬!$B$9=2,MAX(R776,0),MAX(V775,FLOOR(MAX(R776,0),資金模擬!$B$6)))</f>
        <v/>
      </c>
      <c r="W776" s="13">
        <f>MAX(W775,R776)</f>
        <v/>
      </c>
      <c r="X776" s="4">
        <f>IF(W776&gt;0,R776/W776-1,-1)</f>
        <v/>
      </c>
      <c r="Y776" s="19">
        <f>IF(R776&gt;0,S776*資金模擬!$B$7/R776,0)</f>
        <v/>
      </c>
      <c r="Z776" s="2">
        <f>IF(OR(Z775=1,R776&lt;=資金模擬!$B$10),1,0)</f>
        <v/>
      </c>
    </row>
    <row r="777">
      <c r="A777" s="2" t="n">
        <v>775</v>
      </c>
      <c r="B777" s="7" t="n">
        <v>46287.95833333334</v>
      </c>
      <c r="C777" s="2" t="inlineStr">
        <is>
          <t>進場</t>
        </is>
      </c>
      <c r="D777" s="2" t="n">
        <v>390</v>
      </c>
      <c r="E777" s="2" t="inlineStr">
        <is>
          <t>ETHFI_USDT_PERP</t>
        </is>
      </c>
      <c r="F777" s="2" t="inlineStr">
        <is>
          <t>做空</t>
        </is>
      </c>
      <c r="G777" s="20" t="n">
        <v>0.6907</v>
      </c>
      <c r="H777" s="20" t="n">
        <v>0.669979</v>
      </c>
      <c r="I777" s="20" t="n">
        <v>0.725235</v>
      </c>
      <c r="J777" s="20" t="n"/>
      <c r="K777" s="2" t="n"/>
      <c r="L777" s="5" t="n"/>
      <c r="M777" s="19">
        <f>資金模擬!$B$5*V776</f>
        <v/>
      </c>
      <c r="N777" s="2">
        <f>IF(Z776=1,"已停止",IF(T776&gt;=M777,"已下單","資金不足略過"))</f>
        <v/>
      </c>
      <c r="O777" s="19">
        <f>IF(N777="已下單",M777*資金模擬!$B$7,0)</f>
        <v/>
      </c>
      <c r="P777" s="4" t="n"/>
      <c r="Q777" s="13" t="n">
        <v>0</v>
      </c>
      <c r="R777" s="13">
        <f>R776+Q777</f>
        <v/>
      </c>
      <c r="S777" s="19">
        <f>S776+IF(N777="已下單",M777,0)</f>
        <v/>
      </c>
      <c r="T777" s="19">
        <f>R777-S777</f>
        <v/>
      </c>
      <c r="U777" s="2">
        <f>U776+IF(N777="已下單",1,0)</f>
        <v/>
      </c>
      <c r="V777" s="19">
        <f>IF(資金模擬!$B$9=2,MAX(R777,0),MAX(V776,FLOOR(MAX(R777,0),資金模擬!$B$6)))</f>
        <v/>
      </c>
      <c r="W777" s="13">
        <f>MAX(W776,R777)</f>
        <v/>
      </c>
      <c r="X777" s="4">
        <f>IF(W777&gt;0,R777/W777-1,-1)</f>
        <v/>
      </c>
      <c r="Y777" s="19">
        <f>IF(R777&gt;0,S777*資金模擬!$B$7/R777,0)</f>
        <v/>
      </c>
      <c r="Z777" s="2">
        <f>IF(OR(Z776=1,R777&lt;=資金模擬!$B$10),1,0)</f>
        <v/>
      </c>
    </row>
    <row r="778">
      <c r="A778" s="2" t="n">
        <v>776</v>
      </c>
      <c r="B778" s="7" t="n">
        <v>46287.95833333334</v>
      </c>
      <c r="C778" s="2" t="inlineStr">
        <is>
          <t>進場</t>
        </is>
      </c>
      <c r="D778" s="2" t="n">
        <v>391</v>
      </c>
      <c r="E778" s="2" t="inlineStr">
        <is>
          <t>INJ_USDT_PERP</t>
        </is>
      </c>
      <c r="F778" s="2" t="inlineStr">
        <is>
          <t>做空</t>
        </is>
      </c>
      <c r="G778" s="20" t="n">
        <v>7.683</v>
      </c>
      <c r="H778" s="20" t="n">
        <v>7.452509999999999</v>
      </c>
      <c r="I778" s="20" t="n">
        <v>8.06715</v>
      </c>
      <c r="J778" s="20" t="n"/>
      <c r="K778" s="2" t="n"/>
      <c r="L778" s="5" t="n"/>
      <c r="M778" s="19">
        <f>資金模擬!$B$5*V777</f>
        <v/>
      </c>
      <c r="N778" s="2">
        <f>IF(Z777=1,"已停止",IF(T777&gt;=M778,"已下單","資金不足略過"))</f>
        <v/>
      </c>
      <c r="O778" s="19">
        <f>IF(N778="已下單",M778*資金模擬!$B$7,0)</f>
        <v/>
      </c>
      <c r="P778" s="4" t="n"/>
      <c r="Q778" s="13" t="n">
        <v>0</v>
      </c>
      <c r="R778" s="13">
        <f>R777+Q778</f>
        <v/>
      </c>
      <c r="S778" s="19">
        <f>S777+IF(N778="已下單",M778,0)</f>
        <v/>
      </c>
      <c r="T778" s="19">
        <f>R778-S778</f>
        <v/>
      </c>
      <c r="U778" s="2">
        <f>U777+IF(N778="已下單",1,0)</f>
        <v/>
      </c>
      <c r="V778" s="19">
        <f>IF(資金模擬!$B$9=2,MAX(R778,0),MAX(V777,FLOOR(MAX(R778,0),資金模擬!$B$6)))</f>
        <v/>
      </c>
      <c r="W778" s="13">
        <f>MAX(W777,R778)</f>
        <v/>
      </c>
      <c r="X778" s="4">
        <f>IF(W778&gt;0,R778/W778-1,-1)</f>
        <v/>
      </c>
      <c r="Y778" s="19">
        <f>IF(R778&gt;0,S778*資金模擬!$B$7/R778,0)</f>
        <v/>
      </c>
      <c r="Z778" s="2">
        <f>IF(OR(Z777=1,R778&lt;=資金模擬!$B$10),1,0)</f>
        <v/>
      </c>
    </row>
    <row r="779">
      <c r="A779" s="2" t="n">
        <v>777</v>
      </c>
      <c r="B779" s="7" t="n">
        <v>46288</v>
      </c>
      <c r="C779" s="2" t="inlineStr">
        <is>
          <t>進場</t>
        </is>
      </c>
      <c r="D779" s="2" t="n">
        <v>392</v>
      </c>
      <c r="E779" s="2" t="inlineStr">
        <is>
          <t>HBAR_USDT_PERP</t>
        </is>
      </c>
      <c r="F779" s="2" t="inlineStr">
        <is>
          <t>做多</t>
        </is>
      </c>
      <c r="G779" s="20" t="n">
        <v>0.09859</v>
      </c>
      <c r="H779" s="20" t="n">
        <v>0.1015477</v>
      </c>
      <c r="I779" s="20" t="n">
        <v>0.09366049999999999</v>
      </c>
      <c r="J779" s="20" t="n"/>
      <c r="K779" s="2" t="n"/>
      <c r="L779" s="5" t="n"/>
      <c r="M779" s="19">
        <f>資金模擬!$B$5*V778</f>
        <v/>
      </c>
      <c r="N779" s="2">
        <f>IF(Z778=1,"已停止",IF(T778&gt;=M779,"已下單","資金不足略過"))</f>
        <v/>
      </c>
      <c r="O779" s="19">
        <f>IF(N779="已下單",M779*資金模擬!$B$7,0)</f>
        <v/>
      </c>
      <c r="P779" s="4" t="n"/>
      <c r="Q779" s="13" t="n">
        <v>0</v>
      </c>
      <c r="R779" s="13">
        <f>R778+Q779</f>
        <v/>
      </c>
      <c r="S779" s="19">
        <f>S778+IF(N779="已下單",M779,0)</f>
        <v/>
      </c>
      <c r="T779" s="19">
        <f>R779-S779</f>
        <v/>
      </c>
      <c r="U779" s="2">
        <f>U778+IF(N779="已下單",1,0)</f>
        <v/>
      </c>
      <c r="V779" s="19">
        <f>IF(資金模擬!$B$9=2,MAX(R779,0),MAX(V778,FLOOR(MAX(R779,0),資金模擬!$B$6)))</f>
        <v/>
      </c>
      <c r="W779" s="13">
        <f>MAX(W778,R779)</f>
        <v/>
      </c>
      <c r="X779" s="4">
        <f>IF(W779&gt;0,R779/W779-1,-1)</f>
        <v/>
      </c>
      <c r="Y779" s="19">
        <f>IF(R779&gt;0,S779*資金模擬!$B$7/R779,0)</f>
        <v/>
      </c>
      <c r="Z779" s="2">
        <f>IF(OR(Z778=1,R779&lt;=資金模擬!$B$10),1,0)</f>
        <v/>
      </c>
    </row>
    <row r="780">
      <c r="A780" s="2" t="n">
        <v>778</v>
      </c>
      <c r="B780" s="7" t="n">
        <v>46288</v>
      </c>
      <c r="C780" s="2" t="inlineStr">
        <is>
          <t>進場</t>
        </is>
      </c>
      <c r="D780" s="2" t="n">
        <v>393</v>
      </c>
      <c r="E780" s="2" t="inlineStr">
        <is>
          <t>LSK_USDT_PERP</t>
        </is>
      </c>
      <c r="F780" s="2" t="inlineStr">
        <is>
          <t>做空</t>
        </is>
      </c>
      <c r="G780" s="20" t="n">
        <v>0.3326</v>
      </c>
      <c r="H780" s="20" t="n">
        <v>0.322622</v>
      </c>
      <c r="I780" s="20" t="n">
        <v>0.34923</v>
      </c>
      <c r="J780" s="20" t="n"/>
      <c r="K780" s="2" t="n"/>
      <c r="L780" s="5" t="n"/>
      <c r="M780" s="19">
        <f>資金模擬!$B$5*V779</f>
        <v/>
      </c>
      <c r="N780" s="2">
        <f>IF(Z779=1,"已停止",IF(T779&gt;=M780,"已下單","資金不足略過"))</f>
        <v/>
      </c>
      <c r="O780" s="19">
        <f>IF(N780="已下單",M780*資金模擬!$B$7,0)</f>
        <v/>
      </c>
      <c r="P780" s="4" t="n"/>
      <c r="Q780" s="13" t="n">
        <v>0</v>
      </c>
      <c r="R780" s="13">
        <f>R779+Q780</f>
        <v/>
      </c>
      <c r="S780" s="19">
        <f>S779+IF(N780="已下單",M780,0)</f>
        <v/>
      </c>
      <c r="T780" s="19">
        <f>R780-S780</f>
        <v/>
      </c>
      <c r="U780" s="2">
        <f>U779+IF(N780="已下單",1,0)</f>
        <v/>
      </c>
      <c r="V780" s="19">
        <f>IF(資金模擬!$B$9=2,MAX(R780,0),MAX(V779,FLOOR(MAX(R780,0),資金模擬!$B$6)))</f>
        <v/>
      </c>
      <c r="W780" s="13">
        <f>MAX(W779,R780)</f>
        <v/>
      </c>
      <c r="X780" s="4">
        <f>IF(W780&gt;0,R780/W780-1,-1)</f>
        <v/>
      </c>
      <c r="Y780" s="19">
        <f>IF(R780&gt;0,S780*資金模擬!$B$7/R780,0)</f>
        <v/>
      </c>
      <c r="Z780" s="2">
        <f>IF(OR(Z779=1,R780&lt;=資金模擬!$B$10),1,0)</f>
        <v/>
      </c>
    </row>
    <row r="781">
      <c r="A781" s="2" t="n">
        <v>779</v>
      </c>
      <c r="B781" s="7" t="n">
        <v>46288</v>
      </c>
      <c r="C781" s="2" t="inlineStr">
        <is>
          <t>進場</t>
        </is>
      </c>
      <c r="D781" s="2" t="n">
        <v>394</v>
      </c>
      <c r="E781" s="2" t="inlineStr">
        <is>
          <t>UNI_USDT_PERP</t>
        </is>
      </c>
      <c r="F781" s="2" t="inlineStr">
        <is>
          <t>做多</t>
        </is>
      </c>
      <c r="G781" s="20" t="n">
        <v>9.182</v>
      </c>
      <c r="H781" s="20" t="n">
        <v>9.457460000000001</v>
      </c>
      <c r="I781" s="20" t="n">
        <v>8.722899999999999</v>
      </c>
      <c r="J781" s="20" t="n"/>
      <c r="K781" s="2" t="n"/>
      <c r="L781" s="5" t="n"/>
      <c r="M781" s="19">
        <f>資金模擬!$B$5*V780</f>
        <v/>
      </c>
      <c r="N781" s="2">
        <f>IF(Z780=1,"已停止",IF(T780&gt;=M781,"已下單","資金不足略過"))</f>
        <v/>
      </c>
      <c r="O781" s="19">
        <f>IF(N781="已下單",M781*資金模擬!$B$7,0)</f>
        <v/>
      </c>
      <c r="P781" s="4" t="n"/>
      <c r="Q781" s="13" t="n">
        <v>0</v>
      </c>
      <c r="R781" s="13">
        <f>R780+Q781</f>
        <v/>
      </c>
      <c r="S781" s="19">
        <f>S780+IF(N781="已下單",M781,0)</f>
        <v/>
      </c>
      <c r="T781" s="19">
        <f>R781-S781</f>
        <v/>
      </c>
      <c r="U781" s="2">
        <f>U780+IF(N781="已下單",1,0)</f>
        <v/>
      </c>
      <c r="V781" s="19">
        <f>IF(資金模擬!$B$9=2,MAX(R781,0),MAX(V780,FLOOR(MAX(R781,0),資金模擬!$B$6)))</f>
        <v/>
      </c>
      <c r="W781" s="13">
        <f>MAX(W780,R781)</f>
        <v/>
      </c>
      <c r="X781" s="4">
        <f>IF(W781&gt;0,R781/W781-1,-1)</f>
        <v/>
      </c>
      <c r="Y781" s="19">
        <f>IF(R781&gt;0,S781*資金模擬!$B$7/R781,0)</f>
        <v/>
      </c>
      <c r="Z781" s="2">
        <f>IF(OR(Z780=1,R781&lt;=資金模擬!$B$10),1,0)</f>
        <v/>
      </c>
    </row>
    <row r="782">
      <c r="A782" s="2" t="n">
        <v>780</v>
      </c>
      <c r="B782" s="7" t="n">
        <v>46288</v>
      </c>
      <c r="C782" s="2" t="inlineStr">
        <is>
          <t>進場</t>
        </is>
      </c>
      <c r="D782" s="2" t="n">
        <v>395</v>
      </c>
      <c r="E782" s="2" t="inlineStr">
        <is>
          <t>WIF_USDT_PERP</t>
        </is>
      </c>
      <c r="F782" s="2" t="inlineStr">
        <is>
          <t>做多</t>
        </is>
      </c>
      <c r="G782" s="20" t="n">
        <v>0.2649</v>
      </c>
      <c r="H782" s="20" t="n">
        <v>0.272847</v>
      </c>
      <c r="I782" s="20" t="n">
        <v>0.251655</v>
      </c>
      <c r="J782" s="20" t="n"/>
      <c r="K782" s="2" t="n"/>
      <c r="L782" s="5" t="n"/>
      <c r="M782" s="19">
        <f>資金模擬!$B$5*V781</f>
        <v/>
      </c>
      <c r="N782" s="2">
        <f>IF(Z781=1,"已停止",IF(T781&gt;=M782,"已下單","資金不足略過"))</f>
        <v/>
      </c>
      <c r="O782" s="19">
        <f>IF(N782="已下單",M782*資金模擬!$B$7,0)</f>
        <v/>
      </c>
      <c r="P782" s="4" t="n"/>
      <c r="Q782" s="13" t="n">
        <v>0</v>
      </c>
      <c r="R782" s="13">
        <f>R781+Q782</f>
        <v/>
      </c>
      <c r="S782" s="19">
        <f>S781+IF(N782="已下單",M782,0)</f>
        <v/>
      </c>
      <c r="T782" s="19">
        <f>R782-S782</f>
        <v/>
      </c>
      <c r="U782" s="2">
        <f>U781+IF(N782="已下單",1,0)</f>
        <v/>
      </c>
      <c r="V782" s="19">
        <f>IF(資金模擬!$B$9=2,MAX(R782,0),MAX(V781,FLOOR(MAX(R782,0),資金模擬!$B$6)))</f>
        <v/>
      </c>
      <c r="W782" s="13">
        <f>MAX(W781,R782)</f>
        <v/>
      </c>
      <c r="X782" s="4">
        <f>IF(W782&gt;0,R782/W782-1,-1)</f>
        <v/>
      </c>
      <c r="Y782" s="19">
        <f>IF(R782&gt;0,S782*資金模擬!$B$7/R782,0)</f>
        <v/>
      </c>
      <c r="Z782" s="2">
        <f>IF(OR(Z781=1,R782&lt;=資金模擬!$B$10),1,0)</f>
        <v/>
      </c>
    </row>
    <row r="783">
      <c r="A783" s="2" t="n">
        <v>781</v>
      </c>
      <c r="B783" s="7" t="n">
        <v>46288.08333333334</v>
      </c>
      <c r="C783" s="2" t="inlineStr">
        <is>
          <t>出場</t>
        </is>
      </c>
      <c r="D783" s="2" t="n">
        <v>393</v>
      </c>
      <c r="E783" s="2" t="inlineStr">
        <is>
          <t>LSK_USDT_PERP</t>
        </is>
      </c>
      <c r="F783" s="2" t="inlineStr">
        <is>
          <t>做空</t>
        </is>
      </c>
      <c r="G783" s="20" t="n">
        <v>0.3326</v>
      </c>
      <c r="H783" s="20" t="n">
        <v>0.322622</v>
      </c>
      <c r="I783" s="20" t="n">
        <v>0.34923</v>
      </c>
      <c r="J783" s="20" t="n">
        <v>0.322622</v>
      </c>
      <c r="K783" s="2" t="inlineStr">
        <is>
          <t>止盈</t>
        </is>
      </c>
      <c r="L783" s="5">
        <f>交易明細!K394</f>
        <v/>
      </c>
      <c r="M783" s="19">
        <f>M780</f>
        <v/>
      </c>
      <c r="N783" s="2">
        <f>N780</f>
        <v/>
      </c>
      <c r="O783" s="19">
        <f>O780</f>
        <v/>
      </c>
      <c r="P783" s="4">
        <f>交易明細!L394</f>
        <v/>
      </c>
      <c r="Q783" s="13">
        <f>IF(N783="已下單",O783*P783,0)</f>
        <v/>
      </c>
      <c r="R783" s="13">
        <f>R782+Q783</f>
        <v/>
      </c>
      <c r="S783" s="19">
        <f>S782-IF(N783="已下單",M783,0)</f>
        <v/>
      </c>
      <c r="T783" s="19">
        <f>R783-S783</f>
        <v/>
      </c>
      <c r="U783" s="2">
        <f>U782-IF(N783="已下單",1,0)</f>
        <v/>
      </c>
      <c r="V783" s="19">
        <f>IF(資金模擬!$B$9=2,MAX(R783,0),MAX(V782,FLOOR(MAX(R783,0),資金模擬!$B$6)))</f>
        <v/>
      </c>
      <c r="W783" s="13">
        <f>MAX(W782,R783)</f>
        <v/>
      </c>
      <c r="X783" s="4">
        <f>IF(W783&gt;0,R783/W783-1,-1)</f>
        <v/>
      </c>
      <c r="Y783" s="19">
        <f>IF(R783&gt;0,S783*資金模擬!$B$7/R783,0)</f>
        <v/>
      </c>
      <c r="Z783" s="2">
        <f>IF(OR(Z782=1,R783&lt;=資金模擬!$B$10),1,0)</f>
        <v/>
      </c>
    </row>
    <row r="784">
      <c r="A784" s="2" t="n">
        <v>782</v>
      </c>
      <c r="B784" s="7" t="n">
        <v>46288.08333333334</v>
      </c>
      <c r="C784" s="2" t="inlineStr">
        <is>
          <t>進場</t>
        </is>
      </c>
      <c r="D784" s="2" t="n">
        <v>396</v>
      </c>
      <c r="E784" s="2" t="inlineStr">
        <is>
          <t>LIT_USDT_PERP</t>
        </is>
      </c>
      <c r="F784" s="2" t="inlineStr">
        <is>
          <t>做多</t>
        </is>
      </c>
      <c r="G784" s="20" t="n">
        <v>4.911</v>
      </c>
      <c r="H784" s="20" t="n">
        <v>5.05833</v>
      </c>
      <c r="I784" s="20" t="n">
        <v>4.665449999999999</v>
      </c>
      <c r="J784" s="20" t="n"/>
      <c r="K784" s="2" t="n"/>
      <c r="L784" s="5" t="n"/>
      <c r="M784" s="19">
        <f>資金模擬!$B$5*V783</f>
        <v/>
      </c>
      <c r="N784" s="2">
        <f>IF(Z783=1,"已停止",IF(T783&gt;=M784,"已下單","資金不足略過"))</f>
        <v/>
      </c>
      <c r="O784" s="19">
        <f>IF(N784="已下單",M784*資金模擬!$B$7,0)</f>
        <v/>
      </c>
      <c r="P784" s="4" t="n"/>
      <c r="Q784" s="13" t="n">
        <v>0</v>
      </c>
      <c r="R784" s="13">
        <f>R783+Q784</f>
        <v/>
      </c>
      <c r="S784" s="19">
        <f>S783+IF(N784="已下單",M784,0)</f>
        <v/>
      </c>
      <c r="T784" s="19">
        <f>R784-S784</f>
        <v/>
      </c>
      <c r="U784" s="2">
        <f>U783+IF(N784="已下單",1,0)</f>
        <v/>
      </c>
      <c r="V784" s="19">
        <f>IF(資金模擬!$B$9=2,MAX(R784,0),MAX(V783,FLOOR(MAX(R784,0),資金模擬!$B$6)))</f>
        <v/>
      </c>
      <c r="W784" s="13">
        <f>MAX(W783,R784)</f>
        <v/>
      </c>
      <c r="X784" s="4">
        <f>IF(W784&gt;0,R784/W784-1,-1)</f>
        <v/>
      </c>
      <c r="Y784" s="19">
        <f>IF(R784&gt;0,S784*資金模擬!$B$7/R784,0)</f>
        <v/>
      </c>
      <c r="Z784" s="2">
        <f>IF(OR(Z783=1,R784&lt;=資金模擬!$B$10),1,0)</f>
        <v/>
      </c>
    </row>
    <row r="785">
      <c r="A785" s="2" t="n">
        <v>783</v>
      </c>
      <c r="B785" s="7" t="n">
        <v>46288.08333333334</v>
      </c>
      <c r="C785" s="2" t="inlineStr">
        <is>
          <t>進場</t>
        </is>
      </c>
      <c r="D785" s="2" t="n">
        <v>397</v>
      </c>
      <c r="E785" s="2" t="inlineStr">
        <is>
          <t>PENGU_USDT_PERP</t>
        </is>
      </c>
      <c r="F785" s="2" t="inlineStr">
        <is>
          <t>做多</t>
        </is>
      </c>
      <c r="G785" s="20" t="n">
        <v>0.00949</v>
      </c>
      <c r="H785" s="20" t="n">
        <v>0.009774700000000001</v>
      </c>
      <c r="I785" s="20" t="n">
        <v>0.009015499999999999</v>
      </c>
      <c r="J785" s="20" t="n"/>
      <c r="K785" s="2" t="n"/>
      <c r="L785" s="5" t="n"/>
      <c r="M785" s="19">
        <f>資金模擬!$B$5*V784</f>
        <v/>
      </c>
      <c r="N785" s="2">
        <f>IF(Z784=1,"已停止",IF(T784&gt;=M785,"已下單","資金不足略過"))</f>
        <v/>
      </c>
      <c r="O785" s="19">
        <f>IF(N785="已下單",M785*資金模擬!$B$7,0)</f>
        <v/>
      </c>
      <c r="P785" s="4" t="n"/>
      <c r="Q785" s="13" t="n">
        <v>0</v>
      </c>
      <c r="R785" s="13">
        <f>R784+Q785</f>
        <v/>
      </c>
      <c r="S785" s="19">
        <f>S784+IF(N785="已下單",M785,0)</f>
        <v/>
      </c>
      <c r="T785" s="19">
        <f>R785-S785</f>
        <v/>
      </c>
      <c r="U785" s="2">
        <f>U784+IF(N785="已下單",1,0)</f>
        <v/>
      </c>
      <c r="V785" s="19">
        <f>IF(資金模擬!$B$9=2,MAX(R785,0),MAX(V784,FLOOR(MAX(R785,0),資金模擬!$B$6)))</f>
        <v/>
      </c>
      <c r="W785" s="13">
        <f>MAX(W784,R785)</f>
        <v/>
      </c>
      <c r="X785" s="4">
        <f>IF(W785&gt;0,R785/W785-1,-1)</f>
        <v/>
      </c>
      <c r="Y785" s="19">
        <f>IF(R785&gt;0,S785*資金模擬!$B$7/R785,0)</f>
        <v/>
      </c>
      <c r="Z785" s="2">
        <f>IF(OR(Z784=1,R785&lt;=資金模擬!$B$10),1,0)</f>
        <v/>
      </c>
    </row>
    <row r="786">
      <c r="A786" s="2" t="n">
        <v>784</v>
      </c>
      <c r="B786" s="7" t="n">
        <v>46288.08333333334</v>
      </c>
      <c r="C786" s="2" t="inlineStr">
        <is>
          <t>進場</t>
        </is>
      </c>
      <c r="D786" s="2" t="n">
        <v>398</v>
      </c>
      <c r="E786" s="2" t="inlineStr">
        <is>
          <t>VVV_USDT_PERP</t>
        </is>
      </c>
      <c r="F786" s="2" t="inlineStr">
        <is>
          <t>做多</t>
        </is>
      </c>
      <c r="G786" s="20" t="n">
        <v>32.63</v>
      </c>
      <c r="H786" s="20" t="n">
        <v>33.60890000000001</v>
      </c>
      <c r="I786" s="20" t="n">
        <v>30.9985</v>
      </c>
      <c r="J786" s="20" t="n"/>
      <c r="K786" s="2" t="n"/>
      <c r="L786" s="5" t="n"/>
      <c r="M786" s="19">
        <f>資金模擬!$B$5*V785</f>
        <v/>
      </c>
      <c r="N786" s="2">
        <f>IF(Z785=1,"已停止",IF(T785&gt;=M786,"已下單","資金不足略過"))</f>
        <v/>
      </c>
      <c r="O786" s="19">
        <f>IF(N786="已下單",M786*資金模擬!$B$7,0)</f>
        <v/>
      </c>
      <c r="P786" s="4" t="n"/>
      <c r="Q786" s="13" t="n">
        <v>0</v>
      </c>
      <c r="R786" s="13">
        <f>R785+Q786</f>
        <v/>
      </c>
      <c r="S786" s="19">
        <f>S785+IF(N786="已下單",M786,0)</f>
        <v/>
      </c>
      <c r="T786" s="19">
        <f>R786-S786</f>
        <v/>
      </c>
      <c r="U786" s="2">
        <f>U785+IF(N786="已下單",1,0)</f>
        <v/>
      </c>
      <c r="V786" s="19">
        <f>IF(資金模擬!$B$9=2,MAX(R786,0),MAX(V785,FLOOR(MAX(R786,0),資金模擬!$B$6)))</f>
        <v/>
      </c>
      <c r="W786" s="13">
        <f>MAX(W785,R786)</f>
        <v/>
      </c>
      <c r="X786" s="4">
        <f>IF(W786&gt;0,R786/W786-1,-1)</f>
        <v/>
      </c>
      <c r="Y786" s="19">
        <f>IF(R786&gt;0,S786*資金模擬!$B$7/R786,0)</f>
        <v/>
      </c>
      <c r="Z786" s="2">
        <f>IF(OR(Z785=1,R786&lt;=資金模擬!$B$10),1,0)</f>
        <v/>
      </c>
    </row>
    <row r="787">
      <c r="A787" s="2" t="n">
        <v>785</v>
      </c>
      <c r="B787" s="7" t="n">
        <v>46288.125</v>
      </c>
      <c r="C787" s="2" t="inlineStr">
        <is>
          <t>出場</t>
        </is>
      </c>
      <c r="D787" s="2" t="n">
        <v>397</v>
      </c>
      <c r="E787" s="2" t="inlineStr">
        <is>
          <t>PENGU_USDT_PERP</t>
        </is>
      </c>
      <c r="F787" s="2" t="inlineStr">
        <is>
          <t>做多</t>
        </is>
      </c>
      <c r="G787" s="20" t="n">
        <v>0.00949</v>
      </c>
      <c r="H787" s="20" t="n">
        <v>0.009774700000000001</v>
      </c>
      <c r="I787" s="20" t="n">
        <v>0.009015499999999999</v>
      </c>
      <c r="J787" s="20" t="n">
        <v>0.009774700000000001</v>
      </c>
      <c r="K787" s="2" t="inlineStr">
        <is>
          <t>止盈</t>
        </is>
      </c>
      <c r="L787" s="5">
        <f>交易明細!K398</f>
        <v/>
      </c>
      <c r="M787" s="19">
        <f>M785</f>
        <v/>
      </c>
      <c r="N787" s="2">
        <f>N785</f>
        <v/>
      </c>
      <c r="O787" s="19">
        <f>O785</f>
        <v/>
      </c>
      <c r="P787" s="4">
        <f>交易明細!L398</f>
        <v/>
      </c>
      <c r="Q787" s="13">
        <f>IF(N787="已下單",O787*P787,0)</f>
        <v/>
      </c>
      <c r="R787" s="13">
        <f>R786+Q787</f>
        <v/>
      </c>
      <c r="S787" s="19">
        <f>S786-IF(N787="已下單",M787,0)</f>
        <v/>
      </c>
      <c r="T787" s="19">
        <f>R787-S787</f>
        <v/>
      </c>
      <c r="U787" s="2">
        <f>U786-IF(N787="已下單",1,0)</f>
        <v/>
      </c>
      <c r="V787" s="19">
        <f>IF(資金模擬!$B$9=2,MAX(R787,0),MAX(V786,FLOOR(MAX(R787,0),資金模擬!$B$6)))</f>
        <v/>
      </c>
      <c r="W787" s="13">
        <f>MAX(W786,R787)</f>
        <v/>
      </c>
      <c r="X787" s="4">
        <f>IF(W787&gt;0,R787/W787-1,-1)</f>
        <v/>
      </c>
      <c r="Y787" s="19">
        <f>IF(R787&gt;0,S787*資金模擬!$B$7/R787,0)</f>
        <v/>
      </c>
      <c r="Z787" s="2">
        <f>IF(OR(Z786=1,R787&lt;=資金模擬!$B$10),1,0)</f>
        <v/>
      </c>
    </row>
    <row r="788">
      <c r="A788" s="2" t="n">
        <v>786</v>
      </c>
      <c r="B788" s="7" t="n">
        <v>46288.20833333334</v>
      </c>
      <c r="C788" s="2" t="inlineStr">
        <is>
          <t>出場</t>
        </is>
      </c>
      <c r="D788" s="2" t="n">
        <v>394</v>
      </c>
      <c r="E788" s="2" t="inlineStr">
        <is>
          <t>UNI_USDT_PERP</t>
        </is>
      </c>
      <c r="F788" s="2" t="inlineStr">
        <is>
          <t>做多</t>
        </is>
      </c>
      <c r="G788" s="20" t="n">
        <v>9.182</v>
      </c>
      <c r="H788" s="20" t="n">
        <v>9.457460000000001</v>
      </c>
      <c r="I788" s="20" t="n">
        <v>8.722899999999999</v>
      </c>
      <c r="J788" s="20" t="n">
        <v>9.457460000000001</v>
      </c>
      <c r="K788" s="2" t="inlineStr">
        <is>
          <t>止盈</t>
        </is>
      </c>
      <c r="L788" s="5">
        <f>交易明細!K395</f>
        <v/>
      </c>
      <c r="M788" s="19">
        <f>M781</f>
        <v/>
      </c>
      <c r="N788" s="2">
        <f>N781</f>
        <v/>
      </c>
      <c r="O788" s="19">
        <f>O781</f>
        <v/>
      </c>
      <c r="P788" s="4">
        <f>交易明細!L395</f>
        <v/>
      </c>
      <c r="Q788" s="13">
        <f>IF(N788="已下單",O788*P788,0)</f>
        <v/>
      </c>
      <c r="R788" s="13">
        <f>R787+Q788</f>
        <v/>
      </c>
      <c r="S788" s="19">
        <f>S787-IF(N788="已下單",M788,0)</f>
        <v/>
      </c>
      <c r="T788" s="19">
        <f>R788-S788</f>
        <v/>
      </c>
      <c r="U788" s="2">
        <f>U787-IF(N788="已下單",1,0)</f>
        <v/>
      </c>
      <c r="V788" s="19">
        <f>IF(資金模擬!$B$9=2,MAX(R788,0),MAX(V787,FLOOR(MAX(R788,0),資金模擬!$B$6)))</f>
        <v/>
      </c>
      <c r="W788" s="13">
        <f>MAX(W787,R788)</f>
        <v/>
      </c>
      <c r="X788" s="4">
        <f>IF(W788&gt;0,R788/W788-1,-1)</f>
        <v/>
      </c>
      <c r="Y788" s="19">
        <f>IF(R788&gt;0,S788*資金模擬!$B$7/R788,0)</f>
        <v/>
      </c>
      <c r="Z788" s="2">
        <f>IF(OR(Z787=1,R788&lt;=資金模擬!$B$10),1,0)</f>
        <v/>
      </c>
    </row>
    <row r="789">
      <c r="A789" s="2" t="n">
        <v>787</v>
      </c>
      <c r="B789" s="7" t="n">
        <v>46288.20833333334</v>
      </c>
      <c r="C789" s="2" t="inlineStr">
        <is>
          <t>出場</t>
        </is>
      </c>
      <c r="D789" s="2" t="n">
        <v>395</v>
      </c>
      <c r="E789" s="2" t="inlineStr">
        <is>
          <t>WIF_USDT_PERP</t>
        </is>
      </c>
      <c r="F789" s="2" t="inlineStr">
        <is>
          <t>做多</t>
        </is>
      </c>
      <c r="G789" s="20" t="n">
        <v>0.2649</v>
      </c>
      <c r="H789" s="20" t="n">
        <v>0.272847</v>
      </c>
      <c r="I789" s="20" t="n">
        <v>0.251655</v>
      </c>
      <c r="J789" s="20" t="n">
        <v>0.251655</v>
      </c>
      <c r="K789" s="2" t="inlineStr">
        <is>
          <t>止損</t>
        </is>
      </c>
      <c r="L789" s="5">
        <f>交易明細!K396</f>
        <v/>
      </c>
      <c r="M789" s="19">
        <f>M782</f>
        <v/>
      </c>
      <c r="N789" s="2">
        <f>N782</f>
        <v/>
      </c>
      <c r="O789" s="19">
        <f>O782</f>
        <v/>
      </c>
      <c r="P789" s="4">
        <f>交易明細!L396</f>
        <v/>
      </c>
      <c r="Q789" s="13">
        <f>IF(N789="已下單",O789*P789,0)</f>
        <v/>
      </c>
      <c r="R789" s="13">
        <f>R788+Q789</f>
        <v/>
      </c>
      <c r="S789" s="19">
        <f>S788-IF(N789="已下單",M789,0)</f>
        <v/>
      </c>
      <c r="T789" s="19">
        <f>R789-S789</f>
        <v/>
      </c>
      <c r="U789" s="2">
        <f>U788-IF(N789="已下單",1,0)</f>
        <v/>
      </c>
      <c r="V789" s="19">
        <f>IF(資金模擬!$B$9=2,MAX(R789,0),MAX(V788,FLOOR(MAX(R789,0),資金模擬!$B$6)))</f>
        <v/>
      </c>
      <c r="W789" s="13">
        <f>MAX(W788,R789)</f>
        <v/>
      </c>
      <c r="X789" s="4">
        <f>IF(W789&gt;0,R789/W789-1,-1)</f>
        <v/>
      </c>
      <c r="Y789" s="19">
        <f>IF(R789&gt;0,S789*資金模擬!$B$7/R789,0)</f>
        <v/>
      </c>
      <c r="Z789" s="2">
        <f>IF(OR(Z788=1,R789&lt;=資金模擬!$B$10),1,0)</f>
        <v/>
      </c>
    </row>
    <row r="790">
      <c r="A790" s="2" t="n">
        <v>788</v>
      </c>
      <c r="B790" s="7" t="n">
        <v>46288.29166666666</v>
      </c>
      <c r="C790" s="2" t="inlineStr">
        <is>
          <t>進場</t>
        </is>
      </c>
      <c r="D790" s="2" t="n">
        <v>399</v>
      </c>
      <c r="E790" s="2" t="inlineStr">
        <is>
          <t>ARB_USDT_PERP</t>
        </is>
      </c>
      <c r="F790" s="2" t="inlineStr">
        <is>
          <t>做多</t>
        </is>
      </c>
      <c r="G790" s="20" t="n">
        <v>0.2255</v>
      </c>
      <c r="H790" s="20" t="n">
        <v>0.232265</v>
      </c>
      <c r="I790" s="20" t="n">
        <v>0.214225</v>
      </c>
      <c r="J790" s="20" t="n"/>
      <c r="K790" s="2" t="n"/>
      <c r="L790" s="5" t="n"/>
      <c r="M790" s="19">
        <f>資金模擬!$B$5*V789</f>
        <v/>
      </c>
      <c r="N790" s="2">
        <f>IF(Z789=1,"已停止",IF(T789&gt;=M790,"已下單","資金不足略過"))</f>
        <v/>
      </c>
      <c r="O790" s="19">
        <f>IF(N790="已下單",M790*資金模擬!$B$7,0)</f>
        <v/>
      </c>
      <c r="P790" s="4" t="n"/>
      <c r="Q790" s="13" t="n">
        <v>0</v>
      </c>
      <c r="R790" s="13">
        <f>R789+Q790</f>
        <v/>
      </c>
      <c r="S790" s="19">
        <f>S789+IF(N790="已下單",M790,0)</f>
        <v/>
      </c>
      <c r="T790" s="19">
        <f>R790-S790</f>
        <v/>
      </c>
      <c r="U790" s="2">
        <f>U789+IF(N790="已下單",1,0)</f>
        <v/>
      </c>
      <c r="V790" s="19">
        <f>IF(資金模擬!$B$9=2,MAX(R790,0),MAX(V789,FLOOR(MAX(R790,0),資金模擬!$B$6)))</f>
        <v/>
      </c>
      <c r="W790" s="13">
        <f>MAX(W789,R790)</f>
        <v/>
      </c>
      <c r="X790" s="4">
        <f>IF(W790&gt;0,R790/W790-1,-1)</f>
        <v/>
      </c>
      <c r="Y790" s="19">
        <f>IF(R790&gt;0,S790*資金模擬!$B$7/R790,0)</f>
        <v/>
      </c>
      <c r="Z790" s="2">
        <f>IF(OR(Z789=1,R790&lt;=資金模擬!$B$10),1,0)</f>
        <v/>
      </c>
    </row>
    <row r="791">
      <c r="A791" s="2" t="n">
        <v>789</v>
      </c>
      <c r="B791" s="7" t="n">
        <v>46288.29166666666</v>
      </c>
      <c r="C791" s="2" t="inlineStr">
        <is>
          <t>進場</t>
        </is>
      </c>
      <c r="D791" s="2" t="n">
        <v>400</v>
      </c>
      <c r="E791" s="2" t="inlineStr">
        <is>
          <t>ENA_USDT_PERP</t>
        </is>
      </c>
      <c r="F791" s="2" t="inlineStr">
        <is>
          <t>做多</t>
        </is>
      </c>
      <c r="G791" s="20" t="n">
        <v>0.2161</v>
      </c>
      <c r="H791" s="20" t="n">
        <v>0.222583</v>
      </c>
      <c r="I791" s="20" t="n">
        <v>0.205295</v>
      </c>
      <c r="J791" s="20" t="n"/>
      <c r="K791" s="2" t="n"/>
      <c r="L791" s="5" t="n"/>
      <c r="M791" s="19">
        <f>資金模擬!$B$5*V790</f>
        <v/>
      </c>
      <c r="N791" s="2">
        <f>IF(Z790=1,"已停止",IF(T790&gt;=M791,"已下單","資金不足略過"))</f>
        <v/>
      </c>
      <c r="O791" s="19">
        <f>IF(N791="已下單",M791*資金模擬!$B$7,0)</f>
        <v/>
      </c>
      <c r="P791" s="4" t="n"/>
      <c r="Q791" s="13" t="n">
        <v>0</v>
      </c>
      <c r="R791" s="13">
        <f>R790+Q791</f>
        <v/>
      </c>
      <c r="S791" s="19">
        <f>S790+IF(N791="已下單",M791,0)</f>
        <v/>
      </c>
      <c r="T791" s="19">
        <f>R791-S791</f>
        <v/>
      </c>
      <c r="U791" s="2">
        <f>U790+IF(N791="已下單",1,0)</f>
        <v/>
      </c>
      <c r="V791" s="19">
        <f>IF(資金模擬!$B$9=2,MAX(R791,0),MAX(V790,FLOOR(MAX(R791,0),資金模擬!$B$6)))</f>
        <v/>
      </c>
      <c r="W791" s="13">
        <f>MAX(W790,R791)</f>
        <v/>
      </c>
      <c r="X791" s="4">
        <f>IF(W791&gt;0,R791/W791-1,-1)</f>
        <v/>
      </c>
      <c r="Y791" s="19">
        <f>IF(R791&gt;0,S791*資金模擬!$B$7/R791,0)</f>
        <v/>
      </c>
      <c r="Z791" s="2">
        <f>IF(OR(Z790=1,R791&lt;=資金模擬!$B$10),1,0)</f>
        <v/>
      </c>
    </row>
    <row r="792">
      <c r="A792" s="2" t="n">
        <v>790</v>
      </c>
      <c r="B792" s="7" t="n">
        <v>46288.33333333334</v>
      </c>
      <c r="C792" s="2" t="inlineStr">
        <is>
          <t>出場</t>
        </is>
      </c>
      <c r="D792" s="2" t="n">
        <v>380</v>
      </c>
      <c r="E792" s="2" t="inlineStr">
        <is>
          <t>AVAX_USDT_PERP</t>
        </is>
      </c>
      <c r="F792" s="2" t="inlineStr">
        <is>
          <t>做空</t>
        </is>
      </c>
      <c r="G792" s="20" t="n">
        <v>10.767</v>
      </c>
      <c r="H792" s="20" t="n">
        <v>10.44399</v>
      </c>
      <c r="I792" s="20" t="n">
        <v>11.30535</v>
      </c>
      <c r="J792" s="20" t="n">
        <v>11.30535</v>
      </c>
      <c r="K792" s="2" t="inlineStr">
        <is>
          <t>止損</t>
        </is>
      </c>
      <c r="L792" s="5">
        <f>交易明細!K381</f>
        <v/>
      </c>
      <c r="M792" s="19">
        <f>M756</f>
        <v/>
      </c>
      <c r="N792" s="2">
        <f>N756</f>
        <v/>
      </c>
      <c r="O792" s="19">
        <f>O756</f>
        <v/>
      </c>
      <c r="P792" s="4">
        <f>交易明細!L381</f>
        <v/>
      </c>
      <c r="Q792" s="13">
        <f>IF(N792="已下單",O792*P792,0)</f>
        <v/>
      </c>
      <c r="R792" s="13">
        <f>R791+Q792</f>
        <v/>
      </c>
      <c r="S792" s="19">
        <f>S791-IF(N792="已下單",M792,0)</f>
        <v/>
      </c>
      <c r="T792" s="19">
        <f>R792-S792</f>
        <v/>
      </c>
      <c r="U792" s="2">
        <f>U791-IF(N792="已下單",1,0)</f>
        <v/>
      </c>
      <c r="V792" s="19">
        <f>IF(資金模擬!$B$9=2,MAX(R792,0),MAX(V791,FLOOR(MAX(R792,0),資金模擬!$B$6)))</f>
        <v/>
      </c>
      <c r="W792" s="13">
        <f>MAX(W791,R792)</f>
        <v/>
      </c>
      <c r="X792" s="4">
        <f>IF(W792&gt;0,R792/W792-1,-1)</f>
        <v/>
      </c>
      <c r="Y792" s="19">
        <f>IF(R792&gt;0,S792*資金模擬!$B$7/R792,0)</f>
        <v/>
      </c>
      <c r="Z792" s="2">
        <f>IF(OR(Z791=1,R792&lt;=資金模擬!$B$10),1,0)</f>
        <v/>
      </c>
    </row>
    <row r="793">
      <c r="A793" s="2" t="n">
        <v>791</v>
      </c>
      <c r="B793" s="7" t="n">
        <v>46288.33333333334</v>
      </c>
      <c r="C793" s="2" t="inlineStr">
        <is>
          <t>出場</t>
        </is>
      </c>
      <c r="D793" s="2" t="n">
        <v>391</v>
      </c>
      <c r="E793" s="2" t="inlineStr">
        <is>
          <t>INJ_USDT_PERP</t>
        </is>
      </c>
      <c r="F793" s="2" t="inlineStr">
        <is>
          <t>做空</t>
        </is>
      </c>
      <c r="G793" s="20" t="n">
        <v>7.683</v>
      </c>
      <c r="H793" s="20" t="n">
        <v>7.452509999999999</v>
      </c>
      <c r="I793" s="20" t="n">
        <v>8.06715</v>
      </c>
      <c r="J793" s="20" t="n">
        <v>8.06715</v>
      </c>
      <c r="K793" s="2" t="inlineStr">
        <is>
          <t>止損</t>
        </is>
      </c>
      <c r="L793" s="5">
        <f>交易明細!K392</f>
        <v/>
      </c>
      <c r="M793" s="19">
        <f>M778</f>
        <v/>
      </c>
      <c r="N793" s="2">
        <f>N778</f>
        <v/>
      </c>
      <c r="O793" s="19">
        <f>O778</f>
        <v/>
      </c>
      <c r="P793" s="4">
        <f>交易明細!L392</f>
        <v/>
      </c>
      <c r="Q793" s="13">
        <f>IF(N793="已下單",O793*P793,0)</f>
        <v/>
      </c>
      <c r="R793" s="13">
        <f>R792+Q793</f>
        <v/>
      </c>
      <c r="S793" s="19">
        <f>S792-IF(N793="已下單",M793,0)</f>
        <v/>
      </c>
      <c r="T793" s="19">
        <f>R793-S793</f>
        <v/>
      </c>
      <c r="U793" s="2">
        <f>U792-IF(N793="已下單",1,0)</f>
        <v/>
      </c>
      <c r="V793" s="19">
        <f>IF(資金模擬!$B$9=2,MAX(R793,0),MAX(V792,FLOOR(MAX(R793,0),資金模擬!$B$6)))</f>
        <v/>
      </c>
      <c r="W793" s="13">
        <f>MAX(W792,R793)</f>
        <v/>
      </c>
      <c r="X793" s="4">
        <f>IF(W793&gt;0,R793/W793-1,-1)</f>
        <v/>
      </c>
      <c r="Y793" s="19">
        <f>IF(R793&gt;0,S793*資金模擬!$B$7/R793,0)</f>
        <v/>
      </c>
      <c r="Z793" s="2">
        <f>IF(OR(Z792=1,R793&lt;=資金模擬!$B$10),1,0)</f>
        <v/>
      </c>
    </row>
    <row r="794">
      <c r="A794" s="2" t="n">
        <v>792</v>
      </c>
      <c r="B794" s="7" t="n">
        <v>46288.33333333334</v>
      </c>
      <c r="C794" s="2" t="inlineStr">
        <is>
          <t>出場</t>
        </is>
      </c>
      <c r="D794" s="2" t="n">
        <v>396</v>
      </c>
      <c r="E794" s="2" t="inlineStr">
        <is>
          <t>LIT_USDT_PERP</t>
        </is>
      </c>
      <c r="F794" s="2" t="inlineStr">
        <is>
          <t>做多</t>
        </is>
      </c>
      <c r="G794" s="20" t="n">
        <v>4.911</v>
      </c>
      <c r="H794" s="20" t="n">
        <v>5.05833</v>
      </c>
      <c r="I794" s="20" t="n">
        <v>4.665449999999999</v>
      </c>
      <c r="J794" s="20" t="n">
        <v>5.05833</v>
      </c>
      <c r="K794" s="2" t="inlineStr">
        <is>
          <t>止盈</t>
        </is>
      </c>
      <c r="L794" s="5">
        <f>交易明細!K397</f>
        <v/>
      </c>
      <c r="M794" s="19">
        <f>M784</f>
        <v/>
      </c>
      <c r="N794" s="2">
        <f>N784</f>
        <v/>
      </c>
      <c r="O794" s="19">
        <f>O784</f>
        <v/>
      </c>
      <c r="P794" s="4">
        <f>交易明細!L397</f>
        <v/>
      </c>
      <c r="Q794" s="13">
        <f>IF(N794="已下單",O794*P794,0)</f>
        <v/>
      </c>
      <c r="R794" s="13">
        <f>R793+Q794</f>
        <v/>
      </c>
      <c r="S794" s="19">
        <f>S793-IF(N794="已下單",M794,0)</f>
        <v/>
      </c>
      <c r="T794" s="19">
        <f>R794-S794</f>
        <v/>
      </c>
      <c r="U794" s="2">
        <f>U793-IF(N794="已下單",1,0)</f>
        <v/>
      </c>
      <c r="V794" s="19">
        <f>IF(資金模擬!$B$9=2,MAX(R794,0),MAX(V793,FLOOR(MAX(R794,0),資金模擬!$B$6)))</f>
        <v/>
      </c>
      <c r="W794" s="13">
        <f>MAX(W793,R794)</f>
        <v/>
      </c>
      <c r="X794" s="4">
        <f>IF(W794&gt;0,R794/W794-1,-1)</f>
        <v/>
      </c>
      <c r="Y794" s="19">
        <f>IF(R794&gt;0,S794*資金模擬!$B$7/R794,0)</f>
        <v/>
      </c>
      <c r="Z794" s="2">
        <f>IF(OR(Z793=1,R794&lt;=資金模擬!$B$10),1,0)</f>
        <v/>
      </c>
    </row>
    <row r="795">
      <c r="A795" s="2" t="n">
        <v>793</v>
      </c>
      <c r="B795" s="7" t="n">
        <v>46288.33333333334</v>
      </c>
      <c r="C795" s="2" t="inlineStr">
        <is>
          <t>出場</t>
        </is>
      </c>
      <c r="D795" s="2" t="n">
        <v>399</v>
      </c>
      <c r="E795" s="2" t="inlineStr">
        <is>
          <t>ARB_USDT_PERP</t>
        </is>
      </c>
      <c r="F795" s="2" t="inlineStr">
        <is>
          <t>做多</t>
        </is>
      </c>
      <c r="G795" s="20" t="n">
        <v>0.2255</v>
      </c>
      <c r="H795" s="20" t="n">
        <v>0.232265</v>
      </c>
      <c r="I795" s="20" t="n">
        <v>0.214225</v>
      </c>
      <c r="J795" s="20" t="n">
        <v>0.232265</v>
      </c>
      <c r="K795" s="2" t="inlineStr">
        <is>
          <t>止盈</t>
        </is>
      </c>
      <c r="L795" s="5">
        <f>交易明細!K400</f>
        <v/>
      </c>
      <c r="M795" s="19">
        <f>M790</f>
        <v/>
      </c>
      <c r="N795" s="2">
        <f>N790</f>
        <v/>
      </c>
      <c r="O795" s="19">
        <f>O790</f>
        <v/>
      </c>
      <c r="P795" s="4">
        <f>交易明細!L400</f>
        <v/>
      </c>
      <c r="Q795" s="13">
        <f>IF(N795="已下單",O795*P795,0)</f>
        <v/>
      </c>
      <c r="R795" s="13">
        <f>R794+Q795</f>
        <v/>
      </c>
      <c r="S795" s="19">
        <f>S794-IF(N795="已下單",M795,0)</f>
        <v/>
      </c>
      <c r="T795" s="19">
        <f>R795-S795</f>
        <v/>
      </c>
      <c r="U795" s="2">
        <f>U794-IF(N795="已下單",1,0)</f>
        <v/>
      </c>
      <c r="V795" s="19">
        <f>IF(資金模擬!$B$9=2,MAX(R795,0),MAX(V794,FLOOR(MAX(R795,0),資金模擬!$B$6)))</f>
        <v/>
      </c>
      <c r="W795" s="13">
        <f>MAX(W794,R795)</f>
        <v/>
      </c>
      <c r="X795" s="4">
        <f>IF(W795&gt;0,R795/W795-1,-1)</f>
        <v/>
      </c>
      <c r="Y795" s="19">
        <f>IF(R795&gt;0,S795*資金模擬!$B$7/R795,0)</f>
        <v/>
      </c>
      <c r="Z795" s="2">
        <f>IF(OR(Z794=1,R795&lt;=資金模擬!$B$10),1,0)</f>
        <v/>
      </c>
    </row>
    <row r="796">
      <c r="A796" s="2" t="n">
        <v>794</v>
      </c>
      <c r="B796" s="7" t="n">
        <v>46288.375</v>
      </c>
      <c r="C796" s="2" t="inlineStr">
        <is>
          <t>出場</t>
        </is>
      </c>
      <c r="D796" s="2" t="n">
        <v>368</v>
      </c>
      <c r="E796" s="2" t="inlineStr">
        <is>
          <t>WLD_USDT_PERP</t>
        </is>
      </c>
      <c r="F796" s="2" t="inlineStr">
        <is>
          <t>做多</t>
        </is>
      </c>
      <c r="G796" s="20" t="n">
        <v>0.4636</v>
      </c>
      <c r="H796" s="20" t="n">
        <v>0.477508</v>
      </c>
      <c r="I796" s="20" t="n">
        <v>0.44042</v>
      </c>
      <c r="J796" s="20" t="n">
        <v>0.477508</v>
      </c>
      <c r="K796" s="2" t="inlineStr">
        <is>
          <t>止盈</t>
        </is>
      </c>
      <c r="L796" s="5">
        <f>交易明細!K369</f>
        <v/>
      </c>
      <c r="M796" s="19">
        <f>M730</f>
        <v/>
      </c>
      <c r="N796" s="2">
        <f>N730</f>
        <v/>
      </c>
      <c r="O796" s="19">
        <f>O730</f>
        <v/>
      </c>
      <c r="P796" s="4">
        <f>交易明細!L369</f>
        <v/>
      </c>
      <c r="Q796" s="13">
        <f>IF(N796="已下單",O796*P796,0)</f>
        <v/>
      </c>
      <c r="R796" s="13">
        <f>R795+Q796</f>
        <v/>
      </c>
      <c r="S796" s="19">
        <f>S795-IF(N796="已下單",M796,0)</f>
        <v/>
      </c>
      <c r="T796" s="19">
        <f>R796-S796</f>
        <v/>
      </c>
      <c r="U796" s="2">
        <f>U795-IF(N796="已下單",1,0)</f>
        <v/>
      </c>
      <c r="V796" s="19">
        <f>IF(資金模擬!$B$9=2,MAX(R796,0),MAX(V795,FLOOR(MAX(R796,0),資金模擬!$B$6)))</f>
        <v/>
      </c>
      <c r="W796" s="13">
        <f>MAX(W795,R796)</f>
        <v/>
      </c>
      <c r="X796" s="4">
        <f>IF(W796&gt;0,R796/W796-1,-1)</f>
        <v/>
      </c>
      <c r="Y796" s="19">
        <f>IF(R796&gt;0,S796*資金模擬!$B$7/R796,0)</f>
        <v/>
      </c>
      <c r="Z796" s="2">
        <f>IF(OR(Z795=1,R796&lt;=資金模擬!$B$10),1,0)</f>
        <v/>
      </c>
    </row>
    <row r="797">
      <c r="A797" s="2" t="n">
        <v>795</v>
      </c>
      <c r="B797" s="7" t="n">
        <v>46288.375</v>
      </c>
      <c r="C797" s="2" t="inlineStr">
        <is>
          <t>進場</t>
        </is>
      </c>
      <c r="D797" s="2" t="n">
        <v>401</v>
      </c>
      <c r="E797" s="2" t="inlineStr">
        <is>
          <t>INJ_USDT_PERP</t>
        </is>
      </c>
      <c r="F797" s="2" t="inlineStr">
        <is>
          <t>做多</t>
        </is>
      </c>
      <c r="G797" s="20" t="n">
        <v>8.077999999999999</v>
      </c>
      <c r="H797" s="20" t="n">
        <v>8.32034</v>
      </c>
      <c r="I797" s="20" t="n">
        <v>7.674099999999999</v>
      </c>
      <c r="J797" s="20" t="n"/>
      <c r="K797" s="2" t="n"/>
      <c r="L797" s="5" t="n"/>
      <c r="M797" s="19">
        <f>資金模擬!$B$5*V796</f>
        <v/>
      </c>
      <c r="N797" s="2">
        <f>IF(Z796=1,"已停止",IF(T796&gt;=M797,"已下單","資金不足略過"))</f>
        <v/>
      </c>
      <c r="O797" s="19">
        <f>IF(N797="已下單",M797*資金模擬!$B$7,0)</f>
        <v/>
      </c>
      <c r="P797" s="4" t="n"/>
      <c r="Q797" s="13" t="n">
        <v>0</v>
      </c>
      <c r="R797" s="13">
        <f>R796+Q797</f>
        <v/>
      </c>
      <c r="S797" s="19">
        <f>S796+IF(N797="已下單",M797,0)</f>
        <v/>
      </c>
      <c r="T797" s="19">
        <f>R797-S797</f>
        <v/>
      </c>
      <c r="U797" s="2">
        <f>U796+IF(N797="已下單",1,0)</f>
        <v/>
      </c>
      <c r="V797" s="19">
        <f>IF(資金模擬!$B$9=2,MAX(R797,0),MAX(V796,FLOOR(MAX(R797,0),資金模擬!$B$6)))</f>
        <v/>
      </c>
      <c r="W797" s="13">
        <f>MAX(W796,R797)</f>
        <v/>
      </c>
      <c r="X797" s="4">
        <f>IF(W797&gt;0,R797/W797-1,-1)</f>
        <v/>
      </c>
      <c r="Y797" s="19">
        <f>IF(R797&gt;0,S797*資金模擬!$B$7/R797,0)</f>
        <v/>
      </c>
      <c r="Z797" s="2">
        <f>IF(OR(Z796=1,R797&lt;=資金模擬!$B$10),1,0)</f>
        <v/>
      </c>
    </row>
    <row r="798">
      <c r="A798" s="2" t="n">
        <v>796</v>
      </c>
      <c r="B798" s="7" t="n">
        <v>46288.375</v>
      </c>
      <c r="C798" s="2" t="inlineStr">
        <is>
          <t>進場</t>
        </is>
      </c>
      <c r="D798" s="2" t="n">
        <v>402</v>
      </c>
      <c r="E798" s="2" t="inlineStr">
        <is>
          <t>ZETA_USDT_PERP</t>
        </is>
      </c>
      <c r="F798" s="2" t="inlineStr">
        <is>
          <t>做空</t>
        </is>
      </c>
      <c r="G798" s="20" t="n">
        <v>0.05288</v>
      </c>
      <c r="H798" s="20" t="n">
        <v>0.0512936</v>
      </c>
      <c r="I798" s="20" t="n">
        <v>0.055524</v>
      </c>
      <c r="J798" s="20" t="n"/>
      <c r="K798" s="2" t="n"/>
      <c r="L798" s="5" t="n"/>
      <c r="M798" s="19">
        <f>資金模擬!$B$5*V797</f>
        <v/>
      </c>
      <c r="N798" s="2">
        <f>IF(Z797=1,"已停止",IF(T797&gt;=M798,"已下單","資金不足略過"))</f>
        <v/>
      </c>
      <c r="O798" s="19">
        <f>IF(N798="已下單",M798*資金模擬!$B$7,0)</f>
        <v/>
      </c>
      <c r="P798" s="4" t="n"/>
      <c r="Q798" s="13" t="n">
        <v>0</v>
      </c>
      <c r="R798" s="13">
        <f>R797+Q798</f>
        <v/>
      </c>
      <c r="S798" s="19">
        <f>S797+IF(N798="已下單",M798,0)</f>
        <v/>
      </c>
      <c r="T798" s="19">
        <f>R798-S798</f>
        <v/>
      </c>
      <c r="U798" s="2">
        <f>U797+IF(N798="已下單",1,0)</f>
        <v/>
      </c>
      <c r="V798" s="19">
        <f>IF(資金模擬!$B$9=2,MAX(R798,0),MAX(V797,FLOOR(MAX(R798,0),資金模擬!$B$6)))</f>
        <v/>
      </c>
      <c r="W798" s="13">
        <f>MAX(W797,R798)</f>
        <v/>
      </c>
      <c r="X798" s="4">
        <f>IF(W798&gt;0,R798/W798-1,-1)</f>
        <v/>
      </c>
      <c r="Y798" s="19">
        <f>IF(R798&gt;0,S798*資金模擬!$B$7/R798,0)</f>
        <v/>
      </c>
      <c r="Z798" s="2">
        <f>IF(OR(Z797=1,R798&lt;=資金模擬!$B$10),1,0)</f>
        <v/>
      </c>
    </row>
    <row r="799">
      <c r="A799" s="2" t="n">
        <v>797</v>
      </c>
      <c r="B799" s="7" t="n">
        <v>46288.41666666666</v>
      </c>
      <c r="C799" s="2" t="inlineStr">
        <is>
          <t>出場</t>
        </is>
      </c>
      <c r="D799" s="2" t="n">
        <v>401</v>
      </c>
      <c r="E799" s="2" t="inlineStr">
        <is>
          <t>INJ_USDT_PERP</t>
        </is>
      </c>
      <c r="F799" s="2" t="inlineStr">
        <is>
          <t>做多</t>
        </is>
      </c>
      <c r="G799" s="20" t="n">
        <v>8.077999999999999</v>
      </c>
      <c r="H799" s="20" t="n">
        <v>8.32034</v>
      </c>
      <c r="I799" s="20" t="n">
        <v>7.674099999999999</v>
      </c>
      <c r="J799" s="20" t="n">
        <v>7.674099999999999</v>
      </c>
      <c r="K799" s="2" t="inlineStr">
        <is>
          <t>止損</t>
        </is>
      </c>
      <c r="L799" s="5">
        <f>交易明細!K402</f>
        <v/>
      </c>
      <c r="M799" s="19">
        <f>M797</f>
        <v/>
      </c>
      <c r="N799" s="2">
        <f>N797</f>
        <v/>
      </c>
      <c r="O799" s="19">
        <f>O797</f>
        <v/>
      </c>
      <c r="P799" s="4">
        <f>交易明細!L402</f>
        <v/>
      </c>
      <c r="Q799" s="13">
        <f>IF(N799="已下單",O799*P799,0)</f>
        <v/>
      </c>
      <c r="R799" s="13">
        <f>R798+Q799</f>
        <v/>
      </c>
      <c r="S799" s="19">
        <f>S798-IF(N799="已下單",M799,0)</f>
        <v/>
      </c>
      <c r="T799" s="19">
        <f>R799-S799</f>
        <v/>
      </c>
      <c r="U799" s="2">
        <f>U798-IF(N799="已下單",1,0)</f>
        <v/>
      </c>
      <c r="V799" s="19">
        <f>IF(資金模擬!$B$9=2,MAX(R799,0),MAX(V798,FLOOR(MAX(R799,0),資金模擬!$B$6)))</f>
        <v/>
      </c>
      <c r="W799" s="13">
        <f>MAX(W798,R799)</f>
        <v/>
      </c>
      <c r="X799" s="4">
        <f>IF(W799&gt;0,R799/W799-1,-1)</f>
        <v/>
      </c>
      <c r="Y799" s="19">
        <f>IF(R799&gt;0,S799*資金模擬!$B$7/R799,0)</f>
        <v/>
      </c>
      <c r="Z799" s="2">
        <f>IF(OR(Z798=1,R799&lt;=資金模擬!$B$10),1,0)</f>
        <v/>
      </c>
    </row>
    <row r="800">
      <c r="A800" s="2" t="n">
        <v>798</v>
      </c>
      <c r="B800" s="7" t="n">
        <v>46288.45833333334</v>
      </c>
      <c r="C800" s="2" t="inlineStr">
        <is>
          <t>出場</t>
        </is>
      </c>
      <c r="D800" s="2" t="n">
        <v>388</v>
      </c>
      <c r="E800" s="2" t="inlineStr">
        <is>
          <t>DOGE_USDT_PERP</t>
        </is>
      </c>
      <c r="F800" s="2" t="inlineStr">
        <is>
          <t>做多</t>
        </is>
      </c>
      <c r="G800" s="20" t="n">
        <v>0.09988</v>
      </c>
      <c r="H800" s="20" t="n">
        <v>0.1028764</v>
      </c>
      <c r="I800" s="20" t="n">
        <v>0.094886</v>
      </c>
      <c r="J800" s="20" t="n">
        <v>0.1028764</v>
      </c>
      <c r="K800" s="2" t="inlineStr">
        <is>
          <t>止盈</t>
        </is>
      </c>
      <c r="L800" s="5">
        <f>交易明細!K389</f>
        <v/>
      </c>
      <c r="M800" s="19">
        <f>M773</f>
        <v/>
      </c>
      <c r="N800" s="2">
        <f>N773</f>
        <v/>
      </c>
      <c r="O800" s="19">
        <f>O773</f>
        <v/>
      </c>
      <c r="P800" s="4">
        <f>交易明細!L389</f>
        <v/>
      </c>
      <c r="Q800" s="13">
        <f>IF(N800="已下單",O800*P800,0)</f>
        <v/>
      </c>
      <c r="R800" s="13">
        <f>R799+Q800</f>
        <v/>
      </c>
      <c r="S800" s="19">
        <f>S799-IF(N800="已下單",M800,0)</f>
        <v/>
      </c>
      <c r="T800" s="19">
        <f>R800-S800</f>
        <v/>
      </c>
      <c r="U800" s="2">
        <f>U799-IF(N800="已下單",1,0)</f>
        <v/>
      </c>
      <c r="V800" s="19">
        <f>IF(資金模擬!$B$9=2,MAX(R800,0),MAX(V799,FLOOR(MAX(R800,0),資金模擬!$B$6)))</f>
        <v/>
      </c>
      <c r="W800" s="13">
        <f>MAX(W799,R800)</f>
        <v/>
      </c>
      <c r="X800" s="4">
        <f>IF(W800&gt;0,R800/W800-1,-1)</f>
        <v/>
      </c>
      <c r="Y800" s="19">
        <f>IF(R800&gt;0,S800*資金模擬!$B$7/R800,0)</f>
        <v/>
      </c>
      <c r="Z800" s="2">
        <f>IF(OR(Z799=1,R800&lt;=資金模擬!$B$10),1,0)</f>
        <v/>
      </c>
    </row>
    <row r="801">
      <c r="A801" s="2" t="n">
        <v>799</v>
      </c>
      <c r="B801" s="7" t="n">
        <v>46288.45833333334</v>
      </c>
      <c r="C801" s="2" t="inlineStr">
        <is>
          <t>出場</t>
        </is>
      </c>
      <c r="D801" s="2" t="n">
        <v>390</v>
      </c>
      <c r="E801" s="2" t="inlineStr">
        <is>
          <t>ETHFI_USDT_PERP</t>
        </is>
      </c>
      <c r="F801" s="2" t="inlineStr">
        <is>
          <t>做空</t>
        </is>
      </c>
      <c r="G801" s="20" t="n">
        <v>0.6907</v>
      </c>
      <c r="H801" s="20" t="n">
        <v>0.669979</v>
      </c>
      <c r="I801" s="20" t="n">
        <v>0.725235</v>
      </c>
      <c r="J801" s="20" t="n">
        <v>0.725235</v>
      </c>
      <c r="K801" s="2" t="inlineStr">
        <is>
          <t>止損</t>
        </is>
      </c>
      <c r="L801" s="5">
        <f>交易明細!K391</f>
        <v/>
      </c>
      <c r="M801" s="19">
        <f>M777</f>
        <v/>
      </c>
      <c r="N801" s="2">
        <f>N777</f>
        <v/>
      </c>
      <c r="O801" s="19">
        <f>O777</f>
        <v/>
      </c>
      <c r="P801" s="4">
        <f>交易明細!L391</f>
        <v/>
      </c>
      <c r="Q801" s="13">
        <f>IF(N801="已下單",O801*P801,0)</f>
        <v/>
      </c>
      <c r="R801" s="13">
        <f>R800+Q801</f>
        <v/>
      </c>
      <c r="S801" s="19">
        <f>S800-IF(N801="已下單",M801,0)</f>
        <v/>
      </c>
      <c r="T801" s="19">
        <f>R801-S801</f>
        <v/>
      </c>
      <c r="U801" s="2">
        <f>U800-IF(N801="已下單",1,0)</f>
        <v/>
      </c>
      <c r="V801" s="19">
        <f>IF(資金模擬!$B$9=2,MAX(R801,0),MAX(V800,FLOOR(MAX(R801,0),資金模擬!$B$6)))</f>
        <v/>
      </c>
      <c r="W801" s="13">
        <f>MAX(W800,R801)</f>
        <v/>
      </c>
      <c r="X801" s="4">
        <f>IF(W801&gt;0,R801/W801-1,-1)</f>
        <v/>
      </c>
      <c r="Y801" s="19">
        <f>IF(R801&gt;0,S801*資金模擬!$B$7/R801,0)</f>
        <v/>
      </c>
      <c r="Z801" s="2">
        <f>IF(OR(Z800=1,R801&lt;=資金模擬!$B$10),1,0)</f>
        <v/>
      </c>
    </row>
    <row r="802">
      <c r="A802" s="2" t="n">
        <v>800</v>
      </c>
      <c r="B802" s="7" t="n">
        <v>46288.45833333334</v>
      </c>
      <c r="C802" s="2" t="inlineStr">
        <is>
          <t>進場</t>
        </is>
      </c>
      <c r="D802" s="2" t="n">
        <v>403</v>
      </c>
      <c r="E802" s="2" t="inlineStr">
        <is>
          <t>INJ_USDT_PERP</t>
        </is>
      </c>
      <c r="F802" s="2" t="inlineStr">
        <is>
          <t>做多</t>
        </is>
      </c>
      <c r="G802" s="20" t="n">
        <v>7.877</v>
      </c>
      <c r="H802" s="20" t="n">
        <v>8.11331</v>
      </c>
      <c r="I802" s="20" t="n">
        <v>7.483149999999999</v>
      </c>
      <c r="J802" s="20" t="n"/>
      <c r="K802" s="2" t="n"/>
      <c r="L802" s="5" t="n"/>
      <c r="M802" s="19">
        <f>資金模擬!$B$5*V801</f>
        <v/>
      </c>
      <c r="N802" s="2">
        <f>IF(Z801=1,"已停止",IF(T801&gt;=M802,"已下單","資金不足略過"))</f>
        <v/>
      </c>
      <c r="O802" s="19">
        <f>IF(N802="已下單",M802*資金模擬!$B$7,0)</f>
        <v/>
      </c>
      <c r="P802" s="4" t="n"/>
      <c r="Q802" s="13" t="n">
        <v>0</v>
      </c>
      <c r="R802" s="13">
        <f>R801+Q802</f>
        <v/>
      </c>
      <c r="S802" s="19">
        <f>S801+IF(N802="已下單",M802,0)</f>
        <v/>
      </c>
      <c r="T802" s="19">
        <f>R802-S802</f>
        <v/>
      </c>
      <c r="U802" s="2">
        <f>U801+IF(N802="已下單",1,0)</f>
        <v/>
      </c>
      <c r="V802" s="19">
        <f>IF(資金模擬!$B$9=2,MAX(R802,0),MAX(V801,FLOOR(MAX(R802,0),資金模擬!$B$6)))</f>
        <v/>
      </c>
      <c r="W802" s="13">
        <f>MAX(W801,R802)</f>
        <v/>
      </c>
      <c r="X802" s="4">
        <f>IF(W802&gt;0,R802/W802-1,-1)</f>
        <v/>
      </c>
      <c r="Y802" s="19">
        <f>IF(R802&gt;0,S802*資金模擬!$B$7/R802,0)</f>
        <v/>
      </c>
      <c r="Z802" s="2">
        <f>IF(OR(Z801=1,R802&lt;=資金模擬!$B$10),1,0)</f>
        <v/>
      </c>
    </row>
    <row r="803">
      <c r="A803" s="2" t="n">
        <v>801</v>
      </c>
      <c r="B803" s="7" t="n">
        <v>46288.45833333334</v>
      </c>
      <c r="C803" s="2" t="inlineStr">
        <is>
          <t>進場</t>
        </is>
      </c>
      <c r="D803" s="2" t="n">
        <v>404</v>
      </c>
      <c r="E803" s="2" t="inlineStr">
        <is>
          <t>牛来_USDT_PERP</t>
        </is>
      </c>
      <c r="F803" s="2" t="inlineStr">
        <is>
          <t>做多</t>
        </is>
      </c>
      <c r="G803" s="20" t="n">
        <v>0.11678</v>
      </c>
      <c r="H803" s="20" t="n">
        <v>0.1202834</v>
      </c>
      <c r="I803" s="20" t="n">
        <v>0.110941</v>
      </c>
      <c r="J803" s="20" t="n"/>
      <c r="K803" s="2" t="n"/>
      <c r="L803" s="5" t="n"/>
      <c r="M803" s="19">
        <f>資金模擬!$B$5*V802</f>
        <v/>
      </c>
      <c r="N803" s="2">
        <f>IF(Z802=1,"已停止",IF(T802&gt;=M803,"已下單","資金不足略過"))</f>
        <v/>
      </c>
      <c r="O803" s="19">
        <f>IF(N803="已下單",M803*資金模擬!$B$7,0)</f>
        <v/>
      </c>
      <c r="P803" s="4" t="n"/>
      <c r="Q803" s="13" t="n">
        <v>0</v>
      </c>
      <c r="R803" s="13">
        <f>R802+Q803</f>
        <v/>
      </c>
      <c r="S803" s="19">
        <f>S802+IF(N803="已下單",M803,0)</f>
        <v/>
      </c>
      <c r="T803" s="19">
        <f>R803-S803</f>
        <v/>
      </c>
      <c r="U803" s="2">
        <f>U802+IF(N803="已下單",1,0)</f>
        <v/>
      </c>
      <c r="V803" s="19">
        <f>IF(資金模擬!$B$9=2,MAX(R803,0),MAX(V802,FLOOR(MAX(R803,0),資金模擬!$B$6)))</f>
        <v/>
      </c>
      <c r="W803" s="13">
        <f>MAX(W802,R803)</f>
        <v/>
      </c>
      <c r="X803" s="4">
        <f>IF(W803&gt;0,R803/W803-1,-1)</f>
        <v/>
      </c>
      <c r="Y803" s="19">
        <f>IF(R803&gt;0,S803*資金模擬!$B$7/R803,0)</f>
        <v/>
      </c>
      <c r="Z803" s="2">
        <f>IF(OR(Z802=1,R803&lt;=資金模擬!$B$10),1,0)</f>
        <v/>
      </c>
    </row>
    <row r="804">
      <c r="A804" s="2" t="n">
        <v>802</v>
      </c>
      <c r="B804" s="7" t="n">
        <v>46288.5</v>
      </c>
      <c r="C804" s="2" t="inlineStr">
        <is>
          <t>出場</t>
        </is>
      </c>
      <c r="D804" s="2" t="n">
        <v>404</v>
      </c>
      <c r="E804" s="2" t="inlineStr">
        <is>
          <t>牛来_USDT_PERP</t>
        </is>
      </c>
      <c r="F804" s="2" t="inlineStr">
        <is>
          <t>做多</t>
        </is>
      </c>
      <c r="G804" s="20" t="n">
        <v>0.11678</v>
      </c>
      <c r="H804" s="20" t="n">
        <v>0.1202834</v>
      </c>
      <c r="I804" s="20" t="n">
        <v>0.110941</v>
      </c>
      <c r="J804" s="20" t="n">
        <v>0.1202834</v>
      </c>
      <c r="K804" s="2" t="inlineStr">
        <is>
          <t>止盈</t>
        </is>
      </c>
      <c r="L804" s="5">
        <f>交易明細!K405</f>
        <v/>
      </c>
      <c r="M804" s="19">
        <f>M803</f>
        <v/>
      </c>
      <c r="N804" s="2">
        <f>N803</f>
        <v/>
      </c>
      <c r="O804" s="19">
        <f>O803</f>
        <v/>
      </c>
      <c r="P804" s="4">
        <f>交易明細!L405</f>
        <v/>
      </c>
      <c r="Q804" s="13">
        <f>IF(N804="已下單",O804*P804,0)</f>
        <v/>
      </c>
      <c r="R804" s="13">
        <f>R803+Q804</f>
        <v/>
      </c>
      <c r="S804" s="19">
        <f>S803-IF(N804="已下單",M804,0)</f>
        <v/>
      </c>
      <c r="T804" s="19">
        <f>R804-S804</f>
        <v/>
      </c>
      <c r="U804" s="2">
        <f>U803-IF(N804="已下單",1,0)</f>
        <v/>
      </c>
      <c r="V804" s="19">
        <f>IF(資金模擬!$B$9=2,MAX(R804,0),MAX(V803,FLOOR(MAX(R804,0),資金模擬!$B$6)))</f>
        <v/>
      </c>
      <c r="W804" s="13">
        <f>MAX(W803,R804)</f>
        <v/>
      </c>
      <c r="X804" s="4">
        <f>IF(W804&gt;0,R804/W804-1,-1)</f>
        <v/>
      </c>
      <c r="Y804" s="19">
        <f>IF(R804&gt;0,S804*資金模擬!$B$7/R804,0)</f>
        <v/>
      </c>
      <c r="Z804" s="2">
        <f>IF(OR(Z803=1,R804&lt;=資金模擬!$B$10),1,0)</f>
        <v/>
      </c>
    </row>
    <row r="805">
      <c r="A805" s="2" t="n">
        <v>803</v>
      </c>
      <c r="B805" s="7" t="n">
        <v>46288.625</v>
      </c>
      <c r="C805" s="2" t="inlineStr">
        <is>
          <t>進場</t>
        </is>
      </c>
      <c r="D805" s="2" t="n">
        <v>405</v>
      </c>
      <c r="E805" s="2" t="inlineStr">
        <is>
          <t>BR_USDT_PERP</t>
        </is>
      </c>
      <c r="F805" s="2" t="inlineStr">
        <is>
          <t>做空</t>
        </is>
      </c>
      <c r="G805" s="20" t="n">
        <v>1.10674</v>
      </c>
      <c r="H805" s="20" t="n">
        <v>1.0735378</v>
      </c>
      <c r="I805" s="20" t="n">
        <v>1.162077</v>
      </c>
      <c r="J805" s="20" t="n"/>
      <c r="K805" s="2" t="n"/>
      <c r="L805" s="5" t="n"/>
      <c r="M805" s="19">
        <f>資金模擬!$B$5*V804</f>
        <v/>
      </c>
      <c r="N805" s="2">
        <f>IF(Z804=1,"已停止",IF(T804&gt;=M805,"已下單","資金不足略過"))</f>
        <v/>
      </c>
      <c r="O805" s="19">
        <f>IF(N805="已下單",M805*資金模擬!$B$7,0)</f>
        <v/>
      </c>
      <c r="P805" s="4" t="n"/>
      <c r="Q805" s="13" t="n">
        <v>0</v>
      </c>
      <c r="R805" s="13">
        <f>R804+Q805</f>
        <v/>
      </c>
      <c r="S805" s="19">
        <f>S804+IF(N805="已下單",M805,0)</f>
        <v/>
      </c>
      <c r="T805" s="19">
        <f>R805-S805</f>
        <v/>
      </c>
      <c r="U805" s="2">
        <f>U804+IF(N805="已下單",1,0)</f>
        <v/>
      </c>
      <c r="V805" s="19">
        <f>IF(資金模擬!$B$9=2,MAX(R805,0),MAX(V804,FLOOR(MAX(R805,0),資金模擬!$B$6)))</f>
        <v/>
      </c>
      <c r="W805" s="13">
        <f>MAX(W804,R805)</f>
        <v/>
      </c>
      <c r="X805" s="4">
        <f>IF(W805&gt;0,R805/W805-1,-1)</f>
        <v/>
      </c>
      <c r="Y805" s="19">
        <f>IF(R805&gt;0,S805*資金模擬!$B$7/R805,0)</f>
        <v/>
      </c>
      <c r="Z805" s="2">
        <f>IF(OR(Z804=1,R805&lt;=資金模擬!$B$10),1,0)</f>
        <v/>
      </c>
    </row>
    <row r="806">
      <c r="A806" s="2" t="n">
        <v>804</v>
      </c>
      <c r="B806" s="7" t="n">
        <v>46288.625</v>
      </c>
      <c r="C806" s="2" t="inlineStr">
        <is>
          <t>進場</t>
        </is>
      </c>
      <c r="D806" s="2" t="n">
        <v>406</v>
      </c>
      <c r="E806" s="2" t="inlineStr">
        <is>
          <t>KITE_USDT_PERP</t>
        </is>
      </c>
      <c r="F806" s="2" t="inlineStr">
        <is>
          <t>做空</t>
        </is>
      </c>
      <c r="G806" s="20" t="n">
        <v>0.13436</v>
      </c>
      <c r="H806" s="20" t="n">
        <v>0.1303292</v>
      </c>
      <c r="I806" s="20" t="n">
        <v>0.141078</v>
      </c>
      <c r="J806" s="20" t="n"/>
      <c r="K806" s="2" t="n"/>
      <c r="L806" s="5" t="n"/>
      <c r="M806" s="19">
        <f>資金模擬!$B$5*V805</f>
        <v/>
      </c>
      <c r="N806" s="2">
        <f>IF(Z805=1,"已停止",IF(T805&gt;=M806,"已下單","資金不足略過"))</f>
        <v/>
      </c>
      <c r="O806" s="19">
        <f>IF(N806="已下單",M806*資金模擬!$B$7,0)</f>
        <v/>
      </c>
      <c r="P806" s="4" t="n"/>
      <c r="Q806" s="13" t="n">
        <v>0</v>
      </c>
      <c r="R806" s="13">
        <f>R805+Q806</f>
        <v/>
      </c>
      <c r="S806" s="19">
        <f>S805+IF(N806="已下單",M806,0)</f>
        <v/>
      </c>
      <c r="T806" s="19">
        <f>R806-S806</f>
        <v/>
      </c>
      <c r="U806" s="2">
        <f>U805+IF(N806="已下單",1,0)</f>
        <v/>
      </c>
      <c r="V806" s="19">
        <f>IF(資金模擬!$B$9=2,MAX(R806,0),MAX(V805,FLOOR(MAX(R806,0),資金模擬!$B$6)))</f>
        <v/>
      </c>
      <c r="W806" s="13">
        <f>MAX(W805,R806)</f>
        <v/>
      </c>
      <c r="X806" s="4">
        <f>IF(W806&gt;0,R806/W806-1,-1)</f>
        <v/>
      </c>
      <c r="Y806" s="19">
        <f>IF(R806&gt;0,S806*資金模擬!$B$7/R806,0)</f>
        <v/>
      </c>
      <c r="Z806" s="2">
        <f>IF(OR(Z805=1,R806&lt;=資金模擬!$B$10),1,0)</f>
        <v/>
      </c>
    </row>
    <row r="807">
      <c r="A807" s="2" t="n">
        <v>805</v>
      </c>
      <c r="B807" s="7" t="n">
        <v>46288.63194444445</v>
      </c>
      <c r="C807" s="2" t="inlineStr">
        <is>
          <t>出場</t>
        </is>
      </c>
      <c r="D807" s="2" t="n">
        <v>405</v>
      </c>
      <c r="E807" s="2" t="inlineStr">
        <is>
          <t>BR_USDT_PERP</t>
        </is>
      </c>
      <c r="F807" s="2" t="inlineStr">
        <is>
          <t>做空</t>
        </is>
      </c>
      <c r="G807" s="20" t="n">
        <v>1.10674</v>
      </c>
      <c r="H807" s="20" t="n">
        <v>1.0735378</v>
      </c>
      <c r="I807" s="20" t="n">
        <v>1.162077</v>
      </c>
      <c r="J807" s="20" t="n">
        <v>1.0735378</v>
      </c>
      <c r="K807" s="2" t="inlineStr">
        <is>
          <t>止盈</t>
        </is>
      </c>
      <c r="L807" s="5">
        <f>交易明細!K406</f>
        <v/>
      </c>
      <c r="M807" s="19">
        <f>M805</f>
        <v/>
      </c>
      <c r="N807" s="2">
        <f>N805</f>
        <v/>
      </c>
      <c r="O807" s="19">
        <f>O805</f>
        <v/>
      </c>
      <c r="P807" s="4">
        <f>交易明細!L406</f>
        <v/>
      </c>
      <c r="Q807" s="13">
        <f>IF(N807="已下單",O807*P807,0)</f>
        <v/>
      </c>
      <c r="R807" s="13">
        <f>R806+Q807</f>
        <v/>
      </c>
      <c r="S807" s="19">
        <f>S806-IF(N807="已下單",M807,0)</f>
        <v/>
      </c>
      <c r="T807" s="19">
        <f>R807-S807</f>
        <v/>
      </c>
      <c r="U807" s="2">
        <f>U806-IF(N807="已下單",1,0)</f>
        <v/>
      </c>
      <c r="V807" s="19">
        <f>IF(資金模擬!$B$9=2,MAX(R807,0),MAX(V806,FLOOR(MAX(R807,0),資金模擬!$B$6)))</f>
        <v/>
      </c>
      <c r="W807" s="13">
        <f>MAX(W806,R807)</f>
        <v/>
      </c>
      <c r="X807" s="4">
        <f>IF(W807&gt;0,R807/W807-1,-1)</f>
        <v/>
      </c>
      <c r="Y807" s="19">
        <f>IF(R807&gt;0,S807*資金模擬!$B$7/R807,0)</f>
        <v/>
      </c>
      <c r="Z807" s="2">
        <f>IF(OR(Z806=1,R807&lt;=資金模擬!$B$10),1,0)</f>
        <v/>
      </c>
    </row>
    <row r="808">
      <c r="A808" s="2" t="n">
        <v>806</v>
      </c>
      <c r="B808" s="7" t="n">
        <v>46288.66666666666</v>
      </c>
      <c r="C808" s="2" t="inlineStr">
        <is>
          <t>出場</t>
        </is>
      </c>
      <c r="D808" s="2" t="n">
        <v>402</v>
      </c>
      <c r="E808" s="2" t="inlineStr">
        <is>
          <t>ZETA_USDT_PERP</t>
        </is>
      </c>
      <c r="F808" s="2" t="inlineStr">
        <is>
          <t>做空</t>
        </is>
      </c>
      <c r="G808" s="20" t="n">
        <v>0.05288</v>
      </c>
      <c r="H808" s="20" t="n">
        <v>0.0512936</v>
      </c>
      <c r="I808" s="20" t="n">
        <v>0.055524</v>
      </c>
      <c r="J808" s="20" t="n">
        <v>0.0512936</v>
      </c>
      <c r="K808" s="2" t="inlineStr">
        <is>
          <t>止盈</t>
        </is>
      </c>
      <c r="L808" s="5">
        <f>交易明細!K403</f>
        <v/>
      </c>
      <c r="M808" s="19">
        <f>M798</f>
        <v/>
      </c>
      <c r="N808" s="2">
        <f>N798</f>
        <v/>
      </c>
      <c r="O808" s="19">
        <f>O798</f>
        <v/>
      </c>
      <c r="P808" s="4">
        <f>交易明細!L403</f>
        <v/>
      </c>
      <c r="Q808" s="13">
        <f>IF(N808="已下單",O808*P808,0)</f>
        <v/>
      </c>
      <c r="R808" s="13">
        <f>R807+Q808</f>
        <v/>
      </c>
      <c r="S808" s="19">
        <f>S807-IF(N808="已下單",M808,0)</f>
        <v/>
      </c>
      <c r="T808" s="19">
        <f>R808-S808</f>
        <v/>
      </c>
      <c r="U808" s="2">
        <f>U807-IF(N808="已下單",1,0)</f>
        <v/>
      </c>
      <c r="V808" s="19">
        <f>IF(資金模擬!$B$9=2,MAX(R808,0),MAX(V807,FLOOR(MAX(R808,0),資金模擬!$B$6)))</f>
        <v/>
      </c>
      <c r="W808" s="13">
        <f>MAX(W807,R808)</f>
        <v/>
      </c>
      <c r="X808" s="4">
        <f>IF(W808&gt;0,R808/W808-1,-1)</f>
        <v/>
      </c>
      <c r="Y808" s="19">
        <f>IF(R808&gt;0,S808*資金模擬!$B$7/R808,0)</f>
        <v/>
      </c>
      <c r="Z808" s="2">
        <f>IF(OR(Z807=1,R808&lt;=資金模擬!$B$10),1,0)</f>
        <v/>
      </c>
    </row>
    <row r="809">
      <c r="A809" s="2" t="n">
        <v>807</v>
      </c>
      <c r="B809" s="7" t="n">
        <v>46288.70833333334</v>
      </c>
      <c r="C809" s="2" t="inlineStr">
        <is>
          <t>出場</t>
        </is>
      </c>
      <c r="D809" s="2" t="n">
        <v>403</v>
      </c>
      <c r="E809" s="2" t="inlineStr">
        <is>
          <t>INJ_USDT_PERP</t>
        </is>
      </c>
      <c r="F809" s="2" t="inlineStr">
        <is>
          <t>做多</t>
        </is>
      </c>
      <c r="G809" s="20" t="n">
        <v>7.877</v>
      </c>
      <c r="H809" s="20" t="n">
        <v>8.11331</v>
      </c>
      <c r="I809" s="20" t="n">
        <v>7.483149999999999</v>
      </c>
      <c r="J809" s="20" t="n">
        <v>8.11331</v>
      </c>
      <c r="K809" s="2" t="inlineStr">
        <is>
          <t>止盈</t>
        </is>
      </c>
      <c r="L809" s="5">
        <f>交易明細!K404</f>
        <v/>
      </c>
      <c r="M809" s="19">
        <f>M802</f>
        <v/>
      </c>
      <c r="N809" s="2">
        <f>N802</f>
        <v/>
      </c>
      <c r="O809" s="19">
        <f>O802</f>
        <v/>
      </c>
      <c r="P809" s="4">
        <f>交易明細!L404</f>
        <v/>
      </c>
      <c r="Q809" s="13">
        <f>IF(N809="已下單",O809*P809,0)</f>
        <v/>
      </c>
      <c r="R809" s="13">
        <f>R808+Q809</f>
        <v/>
      </c>
      <c r="S809" s="19">
        <f>S808-IF(N809="已下單",M809,0)</f>
        <v/>
      </c>
      <c r="T809" s="19">
        <f>R809-S809</f>
        <v/>
      </c>
      <c r="U809" s="2">
        <f>U808-IF(N809="已下單",1,0)</f>
        <v/>
      </c>
      <c r="V809" s="19">
        <f>IF(資金模擬!$B$9=2,MAX(R809,0),MAX(V808,FLOOR(MAX(R809,0),資金模擬!$B$6)))</f>
        <v/>
      </c>
      <c r="W809" s="13">
        <f>MAX(W808,R809)</f>
        <v/>
      </c>
      <c r="X809" s="4">
        <f>IF(W809&gt;0,R809/W809-1,-1)</f>
        <v/>
      </c>
      <c r="Y809" s="19">
        <f>IF(R809&gt;0,S809*資金模擬!$B$7/R809,0)</f>
        <v/>
      </c>
      <c r="Z809" s="2">
        <f>IF(OR(Z808=1,R809&lt;=資金模擬!$B$10),1,0)</f>
        <v/>
      </c>
    </row>
    <row r="810">
      <c r="A810" s="2" t="n">
        <v>808</v>
      </c>
      <c r="B810" s="7" t="n">
        <v>46288.70833333334</v>
      </c>
      <c r="C810" s="2" t="inlineStr">
        <is>
          <t>進場</t>
        </is>
      </c>
      <c r="D810" s="2" t="n">
        <v>407</v>
      </c>
      <c r="E810" s="2" t="inlineStr">
        <is>
          <t>MARSCOIN_USDT_PERP</t>
        </is>
      </c>
      <c r="F810" s="2" t="inlineStr">
        <is>
          <t>做空</t>
        </is>
      </c>
      <c r="G810" s="20" t="n">
        <v>0.12836</v>
      </c>
      <c r="H810" s="20" t="n">
        <v>0.1245092</v>
      </c>
      <c r="I810" s="20" t="n">
        <v>0.134778</v>
      </c>
      <c r="J810" s="20" t="n"/>
      <c r="K810" s="2" t="n"/>
      <c r="L810" s="5" t="n"/>
      <c r="M810" s="19">
        <f>資金模擬!$B$5*V809</f>
        <v/>
      </c>
      <c r="N810" s="2">
        <f>IF(Z809=1,"已停止",IF(T809&gt;=M810,"已下單","資金不足略過"))</f>
        <v/>
      </c>
      <c r="O810" s="19">
        <f>IF(N810="已下單",M810*資金模擬!$B$7,0)</f>
        <v/>
      </c>
      <c r="P810" s="4" t="n"/>
      <c r="Q810" s="13" t="n">
        <v>0</v>
      </c>
      <c r="R810" s="13">
        <f>R809+Q810</f>
        <v/>
      </c>
      <c r="S810" s="19">
        <f>S809+IF(N810="已下單",M810,0)</f>
        <v/>
      </c>
      <c r="T810" s="19">
        <f>R810-S810</f>
        <v/>
      </c>
      <c r="U810" s="2">
        <f>U809+IF(N810="已下單",1,0)</f>
        <v/>
      </c>
      <c r="V810" s="19">
        <f>IF(資金模擬!$B$9=2,MAX(R810,0),MAX(V809,FLOOR(MAX(R810,0),資金模擬!$B$6)))</f>
        <v/>
      </c>
      <c r="W810" s="13">
        <f>MAX(W809,R810)</f>
        <v/>
      </c>
      <c r="X810" s="4">
        <f>IF(W810&gt;0,R810/W810-1,-1)</f>
        <v/>
      </c>
      <c r="Y810" s="19">
        <f>IF(R810&gt;0,S810*資金模擬!$B$7/R810,0)</f>
        <v/>
      </c>
      <c r="Z810" s="2">
        <f>IF(OR(Z809=1,R810&lt;=資金模擬!$B$10),1,0)</f>
        <v/>
      </c>
    </row>
    <row r="811">
      <c r="A811" s="2" t="n">
        <v>809</v>
      </c>
      <c r="B811" s="7" t="n">
        <v>46288.70833333334</v>
      </c>
      <c r="C811" s="2" t="inlineStr">
        <is>
          <t>進場</t>
        </is>
      </c>
      <c r="D811" s="2" t="n">
        <v>408</v>
      </c>
      <c r="E811" s="2" t="inlineStr">
        <is>
          <t>NEAR_USDT_PERP</t>
        </is>
      </c>
      <c r="F811" s="2" t="inlineStr">
        <is>
          <t>做多</t>
        </is>
      </c>
      <c r="G811" s="20" t="n">
        <v>4.543</v>
      </c>
      <c r="H811" s="20" t="n">
        <v>4.67929</v>
      </c>
      <c r="I811" s="20" t="n">
        <v>4.31585</v>
      </c>
      <c r="J811" s="20" t="n"/>
      <c r="K811" s="2" t="n"/>
      <c r="L811" s="5" t="n"/>
      <c r="M811" s="19">
        <f>資金模擬!$B$5*V810</f>
        <v/>
      </c>
      <c r="N811" s="2">
        <f>IF(Z810=1,"已停止",IF(T810&gt;=M811,"已下單","資金不足略過"))</f>
        <v/>
      </c>
      <c r="O811" s="19">
        <f>IF(N811="已下單",M811*資金模擬!$B$7,0)</f>
        <v/>
      </c>
      <c r="P811" s="4" t="n"/>
      <c r="Q811" s="13" t="n">
        <v>0</v>
      </c>
      <c r="R811" s="13">
        <f>R810+Q811</f>
        <v/>
      </c>
      <c r="S811" s="19">
        <f>S810+IF(N811="已下單",M811,0)</f>
        <v/>
      </c>
      <c r="T811" s="19">
        <f>R811-S811</f>
        <v/>
      </c>
      <c r="U811" s="2">
        <f>U810+IF(N811="已下單",1,0)</f>
        <v/>
      </c>
      <c r="V811" s="19">
        <f>IF(資金模擬!$B$9=2,MAX(R811,0),MAX(V810,FLOOR(MAX(R811,0),資金模擬!$B$6)))</f>
        <v/>
      </c>
      <c r="W811" s="13">
        <f>MAX(W810,R811)</f>
        <v/>
      </c>
      <c r="X811" s="4">
        <f>IF(W811&gt;0,R811/W811-1,-1)</f>
        <v/>
      </c>
      <c r="Y811" s="19">
        <f>IF(R811&gt;0,S811*資金模擬!$B$7/R811,0)</f>
        <v/>
      </c>
      <c r="Z811" s="2">
        <f>IF(OR(Z810=1,R811&lt;=資金模擬!$B$10),1,0)</f>
        <v/>
      </c>
    </row>
    <row r="812">
      <c r="A812" s="2" t="n">
        <v>810</v>
      </c>
      <c r="B812" s="7" t="n">
        <v>46288.79166666666</v>
      </c>
      <c r="C812" s="2" t="inlineStr">
        <is>
          <t>出場</t>
        </is>
      </c>
      <c r="D812" s="2" t="n">
        <v>398</v>
      </c>
      <c r="E812" s="2" t="inlineStr">
        <is>
          <t>VVV_USDT_PERP</t>
        </is>
      </c>
      <c r="F812" s="2" t="inlineStr">
        <is>
          <t>做多</t>
        </is>
      </c>
      <c r="G812" s="20" t="n">
        <v>32.63</v>
      </c>
      <c r="H812" s="20" t="n">
        <v>33.60890000000001</v>
      </c>
      <c r="I812" s="20" t="n">
        <v>30.9985</v>
      </c>
      <c r="J812" s="20" t="n">
        <v>30.9985</v>
      </c>
      <c r="K812" s="2" t="inlineStr">
        <is>
          <t>止損</t>
        </is>
      </c>
      <c r="L812" s="5">
        <f>交易明細!K399</f>
        <v/>
      </c>
      <c r="M812" s="19">
        <f>M786</f>
        <v/>
      </c>
      <c r="N812" s="2">
        <f>N786</f>
        <v/>
      </c>
      <c r="O812" s="19">
        <f>O786</f>
        <v/>
      </c>
      <c r="P812" s="4">
        <f>交易明細!L399</f>
        <v/>
      </c>
      <c r="Q812" s="13">
        <f>IF(N812="已下單",O812*P812,0)</f>
        <v/>
      </c>
      <c r="R812" s="13">
        <f>R811+Q812</f>
        <v/>
      </c>
      <c r="S812" s="19">
        <f>S811-IF(N812="已下單",M812,0)</f>
        <v/>
      </c>
      <c r="T812" s="19">
        <f>R812-S812</f>
        <v/>
      </c>
      <c r="U812" s="2">
        <f>U811-IF(N812="已下單",1,0)</f>
        <v/>
      </c>
      <c r="V812" s="19">
        <f>IF(資金模擬!$B$9=2,MAX(R812,0),MAX(V811,FLOOR(MAX(R812,0),資金模擬!$B$6)))</f>
        <v/>
      </c>
      <c r="W812" s="13">
        <f>MAX(W811,R812)</f>
        <v/>
      </c>
      <c r="X812" s="4">
        <f>IF(W812&gt;0,R812/W812-1,-1)</f>
        <v/>
      </c>
      <c r="Y812" s="19">
        <f>IF(R812&gt;0,S812*資金模擬!$B$7/R812,0)</f>
        <v/>
      </c>
      <c r="Z812" s="2">
        <f>IF(OR(Z811=1,R812&lt;=資金模擬!$B$10),1,0)</f>
        <v/>
      </c>
    </row>
    <row r="813">
      <c r="A813" s="2" t="n">
        <v>811</v>
      </c>
      <c r="B813" s="7" t="n">
        <v>46288.79166666666</v>
      </c>
      <c r="C813" s="2" t="inlineStr">
        <is>
          <t>出場</t>
        </is>
      </c>
      <c r="D813" s="2" t="n">
        <v>408</v>
      </c>
      <c r="E813" s="2" t="inlineStr">
        <is>
          <t>NEAR_USDT_PERP</t>
        </is>
      </c>
      <c r="F813" s="2" t="inlineStr">
        <is>
          <t>做多</t>
        </is>
      </c>
      <c r="G813" s="20" t="n">
        <v>4.543</v>
      </c>
      <c r="H813" s="20" t="n">
        <v>4.67929</v>
      </c>
      <c r="I813" s="20" t="n">
        <v>4.31585</v>
      </c>
      <c r="J813" s="20" t="n">
        <v>4.67929</v>
      </c>
      <c r="K813" s="2" t="inlineStr">
        <is>
          <t>止盈</t>
        </is>
      </c>
      <c r="L813" s="5">
        <f>交易明細!K409</f>
        <v/>
      </c>
      <c r="M813" s="19">
        <f>M811</f>
        <v/>
      </c>
      <c r="N813" s="2">
        <f>N811</f>
        <v/>
      </c>
      <c r="O813" s="19">
        <f>O811</f>
        <v/>
      </c>
      <c r="P813" s="4">
        <f>交易明細!L409</f>
        <v/>
      </c>
      <c r="Q813" s="13">
        <f>IF(N813="已下單",O813*P813,0)</f>
        <v/>
      </c>
      <c r="R813" s="13">
        <f>R812+Q813</f>
        <v/>
      </c>
      <c r="S813" s="19">
        <f>S812-IF(N813="已下單",M813,0)</f>
        <v/>
      </c>
      <c r="T813" s="19">
        <f>R813-S813</f>
        <v/>
      </c>
      <c r="U813" s="2">
        <f>U812-IF(N813="已下單",1,0)</f>
        <v/>
      </c>
      <c r="V813" s="19">
        <f>IF(資金模擬!$B$9=2,MAX(R813,0),MAX(V812,FLOOR(MAX(R813,0),資金模擬!$B$6)))</f>
        <v/>
      </c>
      <c r="W813" s="13">
        <f>MAX(W812,R813)</f>
        <v/>
      </c>
      <c r="X813" s="4">
        <f>IF(W813&gt;0,R813/W813-1,-1)</f>
        <v/>
      </c>
      <c r="Y813" s="19">
        <f>IF(R813&gt;0,S813*資金模擬!$B$7/R813,0)</f>
        <v/>
      </c>
      <c r="Z813" s="2">
        <f>IF(OR(Z812=1,R813&lt;=資金模擬!$B$10),1,0)</f>
        <v/>
      </c>
    </row>
    <row r="814">
      <c r="A814" s="2" t="n">
        <v>812</v>
      </c>
      <c r="B814" s="7" t="n">
        <v>46288.79166666666</v>
      </c>
      <c r="C814" s="2" t="inlineStr">
        <is>
          <t>進場</t>
        </is>
      </c>
      <c r="D814" s="2" t="n">
        <v>409</v>
      </c>
      <c r="E814" s="2" t="inlineStr">
        <is>
          <t>PONS_USDT_PERP</t>
        </is>
      </c>
      <c r="F814" s="2" t="inlineStr">
        <is>
          <t>做多</t>
        </is>
      </c>
      <c r="G814" s="20" t="n">
        <v>0.7004</v>
      </c>
      <c r="H814" s="20" t="n">
        <v>0.7214120000000001</v>
      </c>
      <c r="I814" s="20" t="n">
        <v>0.66538</v>
      </c>
      <c r="J814" s="20" t="n"/>
      <c r="K814" s="2" t="n"/>
      <c r="L814" s="5" t="n"/>
      <c r="M814" s="19">
        <f>資金模擬!$B$5*V813</f>
        <v/>
      </c>
      <c r="N814" s="2">
        <f>IF(Z813=1,"已停止",IF(T813&gt;=M814,"已下單","資金不足略過"))</f>
        <v/>
      </c>
      <c r="O814" s="19">
        <f>IF(N814="已下單",M814*資金模擬!$B$7,0)</f>
        <v/>
      </c>
      <c r="P814" s="4" t="n"/>
      <c r="Q814" s="13" t="n">
        <v>0</v>
      </c>
      <c r="R814" s="13">
        <f>R813+Q814</f>
        <v/>
      </c>
      <c r="S814" s="19">
        <f>S813+IF(N814="已下單",M814,0)</f>
        <v/>
      </c>
      <c r="T814" s="19">
        <f>R814-S814</f>
        <v/>
      </c>
      <c r="U814" s="2">
        <f>U813+IF(N814="已下單",1,0)</f>
        <v/>
      </c>
      <c r="V814" s="19">
        <f>IF(資金模擬!$B$9=2,MAX(R814,0),MAX(V813,FLOOR(MAX(R814,0),資金模擬!$B$6)))</f>
        <v/>
      </c>
      <c r="W814" s="13">
        <f>MAX(W813,R814)</f>
        <v/>
      </c>
      <c r="X814" s="4">
        <f>IF(W814&gt;0,R814/W814-1,-1)</f>
        <v/>
      </c>
      <c r="Y814" s="19">
        <f>IF(R814&gt;0,S814*資金模擬!$B$7/R814,0)</f>
        <v/>
      </c>
      <c r="Z814" s="2">
        <f>IF(OR(Z813=1,R814&lt;=資金模擬!$B$10),1,0)</f>
        <v/>
      </c>
    </row>
    <row r="815">
      <c r="A815" s="2" t="n">
        <v>813</v>
      </c>
      <c r="B815" s="7" t="n">
        <v>46288.83333333334</v>
      </c>
      <c r="C815" s="2" t="inlineStr">
        <is>
          <t>進場</t>
        </is>
      </c>
      <c r="D815" s="2" t="n">
        <v>410</v>
      </c>
      <c r="E815" s="2" t="inlineStr">
        <is>
          <t>LSK_USDT_PERP</t>
        </is>
      </c>
      <c r="F815" s="2" t="inlineStr">
        <is>
          <t>做空</t>
        </is>
      </c>
      <c r="G815" s="20" t="n">
        <v>0.3145</v>
      </c>
      <c r="H815" s="20" t="n">
        <v>0.305065</v>
      </c>
      <c r="I815" s="20" t="n">
        <v>0.330225</v>
      </c>
      <c r="J815" s="20" t="n"/>
      <c r="K815" s="2" t="n"/>
      <c r="L815" s="5" t="n"/>
      <c r="M815" s="19">
        <f>資金模擬!$B$5*V814</f>
        <v/>
      </c>
      <c r="N815" s="2">
        <f>IF(Z814=1,"已停止",IF(T814&gt;=M815,"已下單","資金不足略過"))</f>
        <v/>
      </c>
      <c r="O815" s="19">
        <f>IF(N815="已下單",M815*資金模擬!$B$7,0)</f>
        <v/>
      </c>
      <c r="P815" s="4" t="n"/>
      <c r="Q815" s="13" t="n">
        <v>0</v>
      </c>
      <c r="R815" s="13">
        <f>R814+Q815</f>
        <v/>
      </c>
      <c r="S815" s="19">
        <f>S814+IF(N815="已下單",M815,0)</f>
        <v/>
      </c>
      <c r="T815" s="19">
        <f>R815-S815</f>
        <v/>
      </c>
      <c r="U815" s="2">
        <f>U814+IF(N815="已下單",1,0)</f>
        <v/>
      </c>
      <c r="V815" s="19">
        <f>IF(資金模擬!$B$9=2,MAX(R815,0),MAX(V814,FLOOR(MAX(R815,0),資金模擬!$B$6)))</f>
        <v/>
      </c>
      <c r="W815" s="13">
        <f>MAX(W814,R815)</f>
        <v/>
      </c>
      <c r="X815" s="4">
        <f>IF(W815&gt;0,R815/W815-1,-1)</f>
        <v/>
      </c>
      <c r="Y815" s="19">
        <f>IF(R815&gt;0,S815*資金模擬!$B$7/R815,0)</f>
        <v/>
      </c>
      <c r="Z815" s="2">
        <f>IF(OR(Z814=1,R815&lt;=資金模擬!$B$10),1,0)</f>
        <v/>
      </c>
    </row>
    <row r="816">
      <c r="A816" s="2" t="n">
        <v>814</v>
      </c>
      <c r="B816" s="7" t="n">
        <v>46288.83333333334</v>
      </c>
      <c r="C816" s="2" t="inlineStr">
        <is>
          <t>進場</t>
        </is>
      </c>
      <c r="D816" s="2" t="n">
        <v>411</v>
      </c>
      <c r="E816" s="2" t="inlineStr">
        <is>
          <t>PEPE_USDT_PERP</t>
        </is>
      </c>
      <c r="F816" s="2" t="inlineStr">
        <is>
          <t>做空</t>
        </is>
      </c>
      <c r="G816" s="20" t="n">
        <v>4.7347e-06</v>
      </c>
      <c r="H816" s="20" t="n">
        <v>4.592659e-06</v>
      </c>
      <c r="I816" s="20" t="n">
        <v>4.971435e-06</v>
      </c>
      <c r="J816" s="20" t="n"/>
      <c r="K816" s="2" t="n"/>
      <c r="L816" s="5" t="n"/>
      <c r="M816" s="19">
        <f>資金模擬!$B$5*V815</f>
        <v/>
      </c>
      <c r="N816" s="2">
        <f>IF(Z815=1,"已停止",IF(T815&gt;=M816,"已下單","資金不足略過"))</f>
        <v/>
      </c>
      <c r="O816" s="19">
        <f>IF(N816="已下單",M816*資金模擬!$B$7,0)</f>
        <v/>
      </c>
      <c r="P816" s="4" t="n"/>
      <c r="Q816" s="13" t="n">
        <v>0</v>
      </c>
      <c r="R816" s="13">
        <f>R815+Q816</f>
        <v/>
      </c>
      <c r="S816" s="19">
        <f>S815+IF(N816="已下單",M816,0)</f>
        <v/>
      </c>
      <c r="T816" s="19">
        <f>R816-S816</f>
        <v/>
      </c>
      <c r="U816" s="2">
        <f>U815+IF(N816="已下單",1,0)</f>
        <v/>
      </c>
      <c r="V816" s="19">
        <f>IF(資金模擬!$B$9=2,MAX(R816,0),MAX(V815,FLOOR(MAX(R816,0),資金模擬!$B$6)))</f>
        <v/>
      </c>
      <c r="W816" s="13">
        <f>MAX(W815,R816)</f>
        <v/>
      </c>
      <c r="X816" s="4">
        <f>IF(W816&gt;0,R816/W816-1,-1)</f>
        <v/>
      </c>
      <c r="Y816" s="19">
        <f>IF(R816&gt;0,S816*資金模擬!$B$7/R816,0)</f>
        <v/>
      </c>
      <c r="Z816" s="2">
        <f>IF(OR(Z815=1,R816&lt;=資金模擬!$B$10),1,0)</f>
        <v/>
      </c>
    </row>
    <row r="817">
      <c r="A817" s="2" t="n">
        <v>815</v>
      </c>
      <c r="B817" s="7" t="n">
        <v>46288.83333333334</v>
      </c>
      <c r="C817" s="2" t="inlineStr">
        <is>
          <t>進場</t>
        </is>
      </c>
      <c r="D817" s="2" t="n">
        <v>412</v>
      </c>
      <c r="E817" s="2" t="inlineStr">
        <is>
          <t>PUMP_USDT_PERP</t>
        </is>
      </c>
      <c r="F817" s="2" t="inlineStr">
        <is>
          <t>做空</t>
        </is>
      </c>
      <c r="G817" s="20" t="n">
        <v>0.004206</v>
      </c>
      <c r="H817" s="20" t="n">
        <v>0.00407982</v>
      </c>
      <c r="I817" s="20" t="n">
        <v>0.0044163</v>
      </c>
      <c r="J817" s="20" t="n"/>
      <c r="K817" s="2" t="n"/>
      <c r="L817" s="5" t="n"/>
      <c r="M817" s="19">
        <f>資金模擬!$B$5*V816</f>
        <v/>
      </c>
      <c r="N817" s="2">
        <f>IF(Z816=1,"已停止",IF(T816&gt;=M817,"已下單","資金不足略過"))</f>
        <v/>
      </c>
      <c r="O817" s="19">
        <f>IF(N817="已下單",M817*資金模擬!$B$7,0)</f>
        <v/>
      </c>
      <c r="P817" s="4" t="n"/>
      <c r="Q817" s="13" t="n">
        <v>0</v>
      </c>
      <c r="R817" s="13">
        <f>R816+Q817</f>
        <v/>
      </c>
      <c r="S817" s="19">
        <f>S816+IF(N817="已下單",M817,0)</f>
        <v/>
      </c>
      <c r="T817" s="19">
        <f>R817-S817</f>
        <v/>
      </c>
      <c r="U817" s="2">
        <f>U816+IF(N817="已下單",1,0)</f>
        <v/>
      </c>
      <c r="V817" s="19">
        <f>IF(資金模擬!$B$9=2,MAX(R817,0),MAX(V816,FLOOR(MAX(R817,0),資金模擬!$B$6)))</f>
        <v/>
      </c>
      <c r="W817" s="13">
        <f>MAX(W816,R817)</f>
        <v/>
      </c>
      <c r="X817" s="4">
        <f>IF(W817&gt;0,R817/W817-1,-1)</f>
        <v/>
      </c>
      <c r="Y817" s="19">
        <f>IF(R817&gt;0,S817*資金模擬!$B$7/R817,0)</f>
        <v/>
      </c>
      <c r="Z817" s="2">
        <f>IF(OR(Z816=1,R817&lt;=資金模擬!$B$10),1,0)</f>
        <v/>
      </c>
    </row>
    <row r="818">
      <c r="A818" s="2" t="n">
        <v>816</v>
      </c>
      <c r="B818" s="7" t="n">
        <v>46288.875</v>
      </c>
      <c r="C818" s="2" t="inlineStr">
        <is>
          <t>進場</t>
        </is>
      </c>
      <c r="D818" s="2" t="n">
        <v>413</v>
      </c>
      <c r="E818" s="2" t="inlineStr">
        <is>
          <t>BCH_USDT_PERP</t>
        </is>
      </c>
      <c r="F818" s="2" t="inlineStr">
        <is>
          <t>做多</t>
        </is>
      </c>
      <c r="G818" s="20" t="n">
        <v>358.92</v>
      </c>
      <c r="H818" s="20" t="n">
        <v>369.6876</v>
      </c>
      <c r="I818" s="20" t="n">
        <v>340.974</v>
      </c>
      <c r="J818" s="20" t="n"/>
      <c r="K818" s="2" t="n"/>
      <c r="L818" s="5" t="n"/>
      <c r="M818" s="19">
        <f>資金模擬!$B$5*V817</f>
        <v/>
      </c>
      <c r="N818" s="2">
        <f>IF(Z817=1,"已停止",IF(T817&gt;=M818,"已下單","資金不足略過"))</f>
        <v/>
      </c>
      <c r="O818" s="19">
        <f>IF(N818="已下單",M818*資金模擬!$B$7,0)</f>
        <v/>
      </c>
      <c r="P818" s="4" t="n"/>
      <c r="Q818" s="13" t="n">
        <v>0</v>
      </c>
      <c r="R818" s="13">
        <f>R817+Q818</f>
        <v/>
      </c>
      <c r="S818" s="19">
        <f>S817+IF(N818="已下單",M818,0)</f>
        <v/>
      </c>
      <c r="T818" s="19">
        <f>R818-S818</f>
        <v/>
      </c>
      <c r="U818" s="2">
        <f>U817+IF(N818="已下單",1,0)</f>
        <v/>
      </c>
      <c r="V818" s="19">
        <f>IF(資金模擬!$B$9=2,MAX(R818,0),MAX(V817,FLOOR(MAX(R818,0),資金模擬!$B$6)))</f>
        <v/>
      </c>
      <c r="W818" s="13">
        <f>MAX(W817,R818)</f>
        <v/>
      </c>
      <c r="X818" s="4">
        <f>IF(W818&gt;0,R818/W818-1,-1)</f>
        <v/>
      </c>
      <c r="Y818" s="19">
        <f>IF(R818&gt;0,S818*資金模擬!$B$7/R818,0)</f>
        <v/>
      </c>
      <c r="Z818" s="2">
        <f>IF(OR(Z817=1,R818&lt;=資金模擬!$B$10),1,0)</f>
        <v/>
      </c>
    </row>
    <row r="819">
      <c r="A819" s="2" t="n">
        <v>817</v>
      </c>
      <c r="B819" s="7" t="n">
        <v>46288.91666666666</v>
      </c>
      <c r="C819" s="2" t="inlineStr">
        <is>
          <t>出場</t>
        </is>
      </c>
      <c r="D819" s="2" t="n">
        <v>407</v>
      </c>
      <c r="E819" s="2" t="inlineStr">
        <is>
          <t>MARSCOIN_USDT_PERP</t>
        </is>
      </c>
      <c r="F819" s="2" t="inlineStr">
        <is>
          <t>做空</t>
        </is>
      </c>
      <c r="G819" s="20" t="n">
        <v>0.12836</v>
      </c>
      <c r="H819" s="20" t="n">
        <v>0.1245092</v>
      </c>
      <c r="I819" s="20" t="n">
        <v>0.134778</v>
      </c>
      <c r="J819" s="20" t="n">
        <v>0.1245092</v>
      </c>
      <c r="K819" s="2" t="inlineStr">
        <is>
          <t>止盈</t>
        </is>
      </c>
      <c r="L819" s="5">
        <f>交易明細!K408</f>
        <v/>
      </c>
      <c r="M819" s="19">
        <f>M810</f>
        <v/>
      </c>
      <c r="N819" s="2">
        <f>N810</f>
        <v/>
      </c>
      <c r="O819" s="19">
        <f>O810</f>
        <v/>
      </c>
      <c r="P819" s="4">
        <f>交易明細!L408</f>
        <v/>
      </c>
      <c r="Q819" s="13">
        <f>IF(N819="已下單",O819*P819,0)</f>
        <v/>
      </c>
      <c r="R819" s="13">
        <f>R818+Q819</f>
        <v/>
      </c>
      <c r="S819" s="19">
        <f>S818-IF(N819="已下單",M819,0)</f>
        <v/>
      </c>
      <c r="T819" s="19">
        <f>R819-S819</f>
        <v/>
      </c>
      <c r="U819" s="2">
        <f>U818-IF(N819="已下單",1,0)</f>
        <v/>
      </c>
      <c r="V819" s="19">
        <f>IF(資金模擬!$B$9=2,MAX(R819,0),MAX(V818,FLOOR(MAX(R819,0),資金模擬!$B$6)))</f>
        <v/>
      </c>
      <c r="W819" s="13">
        <f>MAX(W818,R819)</f>
        <v/>
      </c>
      <c r="X819" s="4">
        <f>IF(W819&gt;0,R819/W819-1,-1)</f>
        <v/>
      </c>
      <c r="Y819" s="19">
        <f>IF(R819&gt;0,S819*資金模擬!$B$7/R819,0)</f>
        <v/>
      </c>
      <c r="Z819" s="2">
        <f>IF(OR(Z818=1,R819&lt;=資金模擬!$B$10),1,0)</f>
        <v/>
      </c>
    </row>
    <row r="820">
      <c r="A820" s="2" t="n">
        <v>818</v>
      </c>
      <c r="B820" s="7" t="n">
        <v>46288.91666666666</v>
      </c>
      <c r="C820" s="2" t="inlineStr">
        <is>
          <t>進場</t>
        </is>
      </c>
      <c r="D820" s="2" t="n">
        <v>414</v>
      </c>
      <c r="E820" s="2" t="inlineStr">
        <is>
          <t>NIL_USDT_PERP</t>
        </is>
      </c>
      <c r="F820" s="2" t="inlineStr">
        <is>
          <t>做空</t>
        </is>
      </c>
      <c r="G820" s="20" t="n">
        <v>0.0902</v>
      </c>
      <c r="H820" s="20" t="n">
        <v>0.087494</v>
      </c>
      <c r="I820" s="20" t="n">
        <v>0.09471</v>
      </c>
      <c r="J820" s="20" t="n"/>
      <c r="K820" s="2" t="n"/>
      <c r="L820" s="5" t="n"/>
      <c r="M820" s="19">
        <f>資金模擬!$B$5*V819</f>
        <v/>
      </c>
      <c r="N820" s="2">
        <f>IF(Z819=1,"已停止",IF(T819&gt;=M820,"已下單","資金不足略過"))</f>
        <v/>
      </c>
      <c r="O820" s="19">
        <f>IF(N820="已下單",M820*資金模擬!$B$7,0)</f>
        <v/>
      </c>
      <c r="P820" s="4" t="n"/>
      <c r="Q820" s="13" t="n">
        <v>0</v>
      </c>
      <c r="R820" s="13">
        <f>R819+Q820</f>
        <v/>
      </c>
      <c r="S820" s="19">
        <f>S819+IF(N820="已下單",M820,0)</f>
        <v/>
      </c>
      <c r="T820" s="19">
        <f>R820-S820</f>
        <v/>
      </c>
      <c r="U820" s="2">
        <f>U819+IF(N820="已下單",1,0)</f>
        <v/>
      </c>
      <c r="V820" s="19">
        <f>IF(資金模擬!$B$9=2,MAX(R820,0),MAX(V819,FLOOR(MAX(R820,0),資金模擬!$B$6)))</f>
        <v/>
      </c>
      <c r="W820" s="13">
        <f>MAX(W819,R820)</f>
        <v/>
      </c>
      <c r="X820" s="4">
        <f>IF(W820&gt;0,R820/W820-1,-1)</f>
        <v/>
      </c>
      <c r="Y820" s="19">
        <f>IF(R820&gt;0,S820*資金模擬!$B$7/R820,0)</f>
        <v/>
      </c>
      <c r="Z820" s="2">
        <f>IF(OR(Z819=1,R820&lt;=資金模擬!$B$10),1,0)</f>
        <v/>
      </c>
    </row>
    <row r="821">
      <c r="A821" s="2" t="n">
        <v>819</v>
      </c>
      <c r="B821" s="7" t="n">
        <v>46288.91666666666</v>
      </c>
      <c r="C821" s="2" t="inlineStr">
        <is>
          <t>進場</t>
        </is>
      </c>
      <c r="D821" s="2" t="n">
        <v>415</v>
      </c>
      <c r="E821" s="2" t="inlineStr">
        <is>
          <t>ZAMA_USDT_PERP</t>
        </is>
      </c>
      <c r="F821" s="2" t="inlineStr">
        <is>
          <t>做空</t>
        </is>
      </c>
      <c r="G821" s="20" t="n">
        <v>0.09616</v>
      </c>
      <c r="H821" s="20" t="n">
        <v>0.09327519999999999</v>
      </c>
      <c r="I821" s="20" t="n">
        <v>0.100968</v>
      </c>
      <c r="J821" s="20" t="n"/>
      <c r="K821" s="2" t="n"/>
      <c r="L821" s="5" t="n"/>
      <c r="M821" s="19">
        <f>資金模擬!$B$5*V820</f>
        <v/>
      </c>
      <c r="N821" s="2">
        <f>IF(Z820=1,"已停止",IF(T820&gt;=M821,"已下單","資金不足略過"))</f>
        <v/>
      </c>
      <c r="O821" s="19">
        <f>IF(N821="已下單",M821*資金模擬!$B$7,0)</f>
        <v/>
      </c>
      <c r="P821" s="4" t="n"/>
      <c r="Q821" s="13" t="n">
        <v>0</v>
      </c>
      <c r="R821" s="13">
        <f>R820+Q821</f>
        <v/>
      </c>
      <c r="S821" s="19">
        <f>S820+IF(N821="已下單",M821,0)</f>
        <v/>
      </c>
      <c r="T821" s="19">
        <f>R821-S821</f>
        <v/>
      </c>
      <c r="U821" s="2">
        <f>U820+IF(N821="已下單",1,0)</f>
        <v/>
      </c>
      <c r="V821" s="19">
        <f>IF(資金模擬!$B$9=2,MAX(R821,0),MAX(V820,FLOOR(MAX(R821,0),資金模擬!$B$6)))</f>
        <v/>
      </c>
      <c r="W821" s="13">
        <f>MAX(W820,R821)</f>
        <v/>
      </c>
      <c r="X821" s="4">
        <f>IF(W821&gt;0,R821/W821-1,-1)</f>
        <v/>
      </c>
      <c r="Y821" s="19">
        <f>IF(R821&gt;0,S821*資金模擬!$B$7/R821,0)</f>
        <v/>
      </c>
      <c r="Z821" s="2">
        <f>IF(OR(Z820=1,R821&lt;=資金模擬!$B$10),1,0)</f>
        <v/>
      </c>
    </row>
    <row r="822">
      <c r="A822" s="2" t="n">
        <v>820</v>
      </c>
      <c r="B822" s="7" t="n">
        <v>46288.95833333334</v>
      </c>
      <c r="C822" s="2" t="inlineStr">
        <is>
          <t>出場</t>
        </is>
      </c>
      <c r="D822" s="2" t="n">
        <v>387</v>
      </c>
      <c r="E822" s="2" t="inlineStr">
        <is>
          <t>FET_USDT_PERP</t>
        </is>
      </c>
      <c r="F822" s="2" t="inlineStr">
        <is>
          <t>做多</t>
        </is>
      </c>
      <c r="G822" s="20" t="n">
        <v>0.2109</v>
      </c>
      <c r="H822" s="20" t="n">
        <v>0.217227</v>
      </c>
      <c r="I822" s="20" t="n">
        <v>0.200355</v>
      </c>
      <c r="J822" s="20" t="n">
        <v>0.200355</v>
      </c>
      <c r="K822" s="2" t="inlineStr">
        <is>
          <t>止損</t>
        </is>
      </c>
      <c r="L822" s="5">
        <f>交易明細!K388</f>
        <v/>
      </c>
      <c r="M822" s="19">
        <f>M770</f>
        <v/>
      </c>
      <c r="N822" s="2">
        <f>N770</f>
        <v/>
      </c>
      <c r="O822" s="19">
        <f>O770</f>
        <v/>
      </c>
      <c r="P822" s="4">
        <f>交易明細!L388</f>
        <v/>
      </c>
      <c r="Q822" s="13">
        <f>IF(N822="已下單",O822*P822,0)</f>
        <v/>
      </c>
      <c r="R822" s="13">
        <f>R821+Q822</f>
        <v/>
      </c>
      <c r="S822" s="19">
        <f>S821-IF(N822="已下單",M822,0)</f>
        <v/>
      </c>
      <c r="T822" s="19">
        <f>R822-S822</f>
        <v/>
      </c>
      <c r="U822" s="2">
        <f>U821-IF(N822="已下單",1,0)</f>
        <v/>
      </c>
      <c r="V822" s="19">
        <f>IF(資金模擬!$B$9=2,MAX(R822,0),MAX(V821,FLOOR(MAX(R822,0),資金模擬!$B$6)))</f>
        <v/>
      </c>
      <c r="W822" s="13">
        <f>MAX(W821,R822)</f>
        <v/>
      </c>
      <c r="X822" s="4">
        <f>IF(W822&gt;0,R822/W822-1,-1)</f>
        <v/>
      </c>
      <c r="Y822" s="19">
        <f>IF(R822&gt;0,S822*資金模擬!$B$7/R822,0)</f>
        <v/>
      </c>
      <c r="Z822" s="2">
        <f>IF(OR(Z821=1,R822&lt;=資金模擬!$B$10),1,0)</f>
        <v/>
      </c>
    </row>
    <row r="823">
      <c r="A823" s="2" t="n">
        <v>821</v>
      </c>
      <c r="B823" s="7" t="n">
        <v>46288.95833333334</v>
      </c>
      <c r="C823" s="2" t="inlineStr">
        <is>
          <t>出場</t>
        </is>
      </c>
      <c r="D823" s="2" t="n">
        <v>392</v>
      </c>
      <c r="E823" s="2" t="inlineStr">
        <is>
          <t>HBAR_USDT_PERP</t>
        </is>
      </c>
      <c r="F823" s="2" t="inlineStr">
        <is>
          <t>做多</t>
        </is>
      </c>
      <c r="G823" s="20" t="n">
        <v>0.09859</v>
      </c>
      <c r="H823" s="20" t="n">
        <v>0.1015477</v>
      </c>
      <c r="I823" s="20" t="n">
        <v>0.09366049999999999</v>
      </c>
      <c r="J823" s="20" t="n">
        <v>0.09366049999999999</v>
      </c>
      <c r="K823" s="2" t="inlineStr">
        <is>
          <t>止損</t>
        </is>
      </c>
      <c r="L823" s="5">
        <f>交易明細!K393</f>
        <v/>
      </c>
      <c r="M823" s="19">
        <f>M779</f>
        <v/>
      </c>
      <c r="N823" s="2">
        <f>N779</f>
        <v/>
      </c>
      <c r="O823" s="19">
        <f>O779</f>
        <v/>
      </c>
      <c r="P823" s="4">
        <f>交易明細!L393</f>
        <v/>
      </c>
      <c r="Q823" s="13">
        <f>IF(N823="已下單",O823*P823,0)</f>
        <v/>
      </c>
      <c r="R823" s="13">
        <f>R822+Q823</f>
        <v/>
      </c>
      <c r="S823" s="19">
        <f>S822-IF(N823="已下單",M823,0)</f>
        <v/>
      </c>
      <c r="T823" s="19">
        <f>R823-S823</f>
        <v/>
      </c>
      <c r="U823" s="2">
        <f>U822-IF(N823="已下單",1,0)</f>
        <v/>
      </c>
      <c r="V823" s="19">
        <f>IF(資金模擬!$B$9=2,MAX(R823,0),MAX(V822,FLOOR(MAX(R823,0),資金模擬!$B$6)))</f>
        <v/>
      </c>
      <c r="W823" s="13">
        <f>MAX(W822,R823)</f>
        <v/>
      </c>
      <c r="X823" s="4">
        <f>IF(W823&gt;0,R823/W823-1,-1)</f>
        <v/>
      </c>
      <c r="Y823" s="19">
        <f>IF(R823&gt;0,S823*資金模擬!$B$7/R823,0)</f>
        <v/>
      </c>
      <c r="Z823" s="2">
        <f>IF(OR(Z822=1,R823&lt;=資金模擬!$B$10),1,0)</f>
        <v/>
      </c>
    </row>
    <row r="824">
      <c r="A824" s="2" t="n">
        <v>822</v>
      </c>
      <c r="B824" s="7" t="n">
        <v>46288.95833333334</v>
      </c>
      <c r="C824" s="2" t="inlineStr">
        <is>
          <t>出場</t>
        </is>
      </c>
      <c r="D824" s="2" t="n">
        <v>400</v>
      </c>
      <c r="E824" s="2" t="inlineStr">
        <is>
          <t>ENA_USDT_PERP</t>
        </is>
      </c>
      <c r="F824" s="2" t="inlineStr">
        <is>
          <t>做多</t>
        </is>
      </c>
      <c r="G824" s="20" t="n">
        <v>0.2161</v>
      </c>
      <c r="H824" s="20" t="n">
        <v>0.222583</v>
      </c>
      <c r="I824" s="20" t="n">
        <v>0.205295</v>
      </c>
      <c r="J824" s="20" t="n">
        <v>0.205295</v>
      </c>
      <c r="K824" s="2" t="inlineStr">
        <is>
          <t>止損</t>
        </is>
      </c>
      <c r="L824" s="5">
        <f>交易明細!K401</f>
        <v/>
      </c>
      <c r="M824" s="19">
        <f>M791</f>
        <v/>
      </c>
      <c r="N824" s="2">
        <f>N791</f>
        <v/>
      </c>
      <c r="O824" s="19">
        <f>O791</f>
        <v/>
      </c>
      <c r="P824" s="4">
        <f>交易明細!L401</f>
        <v/>
      </c>
      <c r="Q824" s="13">
        <f>IF(N824="已下單",O824*P824,0)</f>
        <v/>
      </c>
      <c r="R824" s="13">
        <f>R823+Q824</f>
        <v/>
      </c>
      <c r="S824" s="19">
        <f>S823-IF(N824="已下單",M824,0)</f>
        <v/>
      </c>
      <c r="T824" s="19">
        <f>R824-S824</f>
        <v/>
      </c>
      <c r="U824" s="2">
        <f>U823-IF(N824="已下單",1,0)</f>
        <v/>
      </c>
      <c r="V824" s="19">
        <f>IF(資金模擬!$B$9=2,MAX(R824,0),MAX(V823,FLOOR(MAX(R824,0),資金模擬!$B$6)))</f>
        <v/>
      </c>
      <c r="W824" s="13">
        <f>MAX(W823,R824)</f>
        <v/>
      </c>
      <c r="X824" s="4">
        <f>IF(W824&gt;0,R824/W824-1,-1)</f>
        <v/>
      </c>
      <c r="Y824" s="19">
        <f>IF(R824&gt;0,S824*資金模擬!$B$7/R824,0)</f>
        <v/>
      </c>
      <c r="Z824" s="2">
        <f>IF(OR(Z823=1,R824&lt;=資金模擬!$B$10),1,0)</f>
        <v/>
      </c>
    </row>
    <row r="825">
      <c r="A825" s="2" t="n">
        <v>823</v>
      </c>
      <c r="B825" s="7" t="n">
        <v>46288.95833333334</v>
      </c>
      <c r="C825" s="2" t="inlineStr">
        <is>
          <t>出場</t>
        </is>
      </c>
      <c r="D825" s="2" t="n">
        <v>409</v>
      </c>
      <c r="E825" s="2" t="inlineStr">
        <is>
          <t>PONS_USDT_PERP</t>
        </is>
      </c>
      <c r="F825" s="2" t="inlineStr">
        <is>
          <t>做多</t>
        </is>
      </c>
      <c r="G825" s="20" t="n">
        <v>0.7004</v>
      </c>
      <c r="H825" s="20" t="n">
        <v>0.7214120000000001</v>
      </c>
      <c r="I825" s="20" t="n">
        <v>0.66538</v>
      </c>
      <c r="J825" s="20" t="n">
        <v>0.66538</v>
      </c>
      <c r="K825" s="2" t="inlineStr">
        <is>
          <t>止損</t>
        </is>
      </c>
      <c r="L825" s="5">
        <f>交易明細!K410</f>
        <v/>
      </c>
      <c r="M825" s="19">
        <f>M814</f>
        <v/>
      </c>
      <c r="N825" s="2">
        <f>N814</f>
        <v/>
      </c>
      <c r="O825" s="19">
        <f>O814</f>
        <v/>
      </c>
      <c r="P825" s="4">
        <f>交易明細!L410</f>
        <v/>
      </c>
      <c r="Q825" s="13">
        <f>IF(N825="已下單",O825*P825,0)</f>
        <v/>
      </c>
      <c r="R825" s="13">
        <f>R824+Q825</f>
        <v/>
      </c>
      <c r="S825" s="19">
        <f>S824-IF(N825="已下單",M825,0)</f>
        <v/>
      </c>
      <c r="T825" s="19">
        <f>R825-S825</f>
        <v/>
      </c>
      <c r="U825" s="2">
        <f>U824-IF(N825="已下單",1,0)</f>
        <v/>
      </c>
      <c r="V825" s="19">
        <f>IF(資金模擬!$B$9=2,MAX(R825,0),MAX(V824,FLOOR(MAX(R825,0),資金模擬!$B$6)))</f>
        <v/>
      </c>
      <c r="W825" s="13">
        <f>MAX(W824,R825)</f>
        <v/>
      </c>
      <c r="X825" s="4">
        <f>IF(W825&gt;0,R825/W825-1,-1)</f>
        <v/>
      </c>
      <c r="Y825" s="19">
        <f>IF(R825&gt;0,S825*資金模擬!$B$7/R825,0)</f>
        <v/>
      </c>
      <c r="Z825" s="2">
        <f>IF(OR(Z824=1,R825&lt;=資金模擬!$B$10),1,0)</f>
        <v/>
      </c>
    </row>
    <row r="826">
      <c r="A826" s="2" t="n">
        <v>824</v>
      </c>
      <c r="B826" s="7" t="n">
        <v>46288.95833333334</v>
      </c>
      <c r="C826" s="2" t="inlineStr">
        <is>
          <t>出場</t>
        </is>
      </c>
      <c r="D826" s="2" t="n">
        <v>410</v>
      </c>
      <c r="E826" s="2" t="inlineStr">
        <is>
          <t>LSK_USDT_PERP</t>
        </is>
      </c>
      <c r="F826" s="2" t="inlineStr">
        <is>
          <t>做空</t>
        </is>
      </c>
      <c r="G826" s="20" t="n">
        <v>0.3145</v>
      </c>
      <c r="H826" s="20" t="n">
        <v>0.305065</v>
      </c>
      <c r="I826" s="20" t="n">
        <v>0.330225</v>
      </c>
      <c r="J826" s="20" t="n">
        <v>0.305065</v>
      </c>
      <c r="K826" s="2" t="inlineStr">
        <is>
          <t>止盈</t>
        </is>
      </c>
      <c r="L826" s="5">
        <f>交易明細!K411</f>
        <v/>
      </c>
      <c r="M826" s="19">
        <f>M815</f>
        <v/>
      </c>
      <c r="N826" s="2">
        <f>N815</f>
        <v/>
      </c>
      <c r="O826" s="19">
        <f>O815</f>
        <v/>
      </c>
      <c r="P826" s="4">
        <f>交易明細!L411</f>
        <v/>
      </c>
      <c r="Q826" s="13">
        <f>IF(N826="已下單",O826*P826,0)</f>
        <v/>
      </c>
      <c r="R826" s="13">
        <f>R825+Q826</f>
        <v/>
      </c>
      <c r="S826" s="19">
        <f>S825-IF(N826="已下單",M826,0)</f>
        <v/>
      </c>
      <c r="T826" s="19">
        <f>R826-S826</f>
        <v/>
      </c>
      <c r="U826" s="2">
        <f>U825-IF(N826="已下單",1,0)</f>
        <v/>
      </c>
      <c r="V826" s="19">
        <f>IF(資金模擬!$B$9=2,MAX(R826,0),MAX(V825,FLOOR(MAX(R826,0),資金模擬!$B$6)))</f>
        <v/>
      </c>
      <c r="W826" s="13">
        <f>MAX(W825,R826)</f>
        <v/>
      </c>
      <c r="X826" s="4">
        <f>IF(W826&gt;0,R826/W826-1,-1)</f>
        <v/>
      </c>
      <c r="Y826" s="19">
        <f>IF(R826&gt;0,S826*資金模擬!$B$7/R826,0)</f>
        <v/>
      </c>
      <c r="Z826" s="2">
        <f>IF(OR(Z825=1,R826&lt;=資金模擬!$B$10),1,0)</f>
        <v/>
      </c>
    </row>
    <row r="827">
      <c r="A827" s="2" t="n">
        <v>825</v>
      </c>
      <c r="B827" s="7" t="n">
        <v>46288.95833333334</v>
      </c>
      <c r="C827" s="2" t="inlineStr">
        <is>
          <t>出場</t>
        </is>
      </c>
      <c r="D827" s="2" t="n">
        <v>411</v>
      </c>
      <c r="E827" s="2" t="inlineStr">
        <is>
          <t>PEPE_USDT_PERP</t>
        </is>
      </c>
      <c r="F827" s="2" t="inlineStr">
        <is>
          <t>做空</t>
        </is>
      </c>
      <c r="G827" s="20" t="n">
        <v>4.7347e-06</v>
      </c>
      <c r="H827" s="20" t="n">
        <v>4.592659e-06</v>
      </c>
      <c r="I827" s="20" t="n">
        <v>4.971435e-06</v>
      </c>
      <c r="J827" s="20" t="n">
        <v>4.592659e-06</v>
      </c>
      <c r="K827" s="2" t="inlineStr">
        <is>
          <t>止盈</t>
        </is>
      </c>
      <c r="L827" s="5">
        <f>交易明細!K412</f>
        <v/>
      </c>
      <c r="M827" s="19">
        <f>M816</f>
        <v/>
      </c>
      <c r="N827" s="2">
        <f>N816</f>
        <v/>
      </c>
      <c r="O827" s="19">
        <f>O816</f>
        <v/>
      </c>
      <c r="P827" s="4">
        <f>交易明細!L412</f>
        <v/>
      </c>
      <c r="Q827" s="13">
        <f>IF(N827="已下單",O827*P827,0)</f>
        <v/>
      </c>
      <c r="R827" s="13">
        <f>R826+Q827</f>
        <v/>
      </c>
      <c r="S827" s="19">
        <f>S826-IF(N827="已下單",M827,0)</f>
        <v/>
      </c>
      <c r="T827" s="19">
        <f>R827-S827</f>
        <v/>
      </c>
      <c r="U827" s="2">
        <f>U826-IF(N827="已下單",1,0)</f>
        <v/>
      </c>
      <c r="V827" s="19">
        <f>IF(資金模擬!$B$9=2,MAX(R827,0),MAX(V826,FLOOR(MAX(R827,0),資金模擬!$B$6)))</f>
        <v/>
      </c>
      <c r="W827" s="13">
        <f>MAX(W826,R827)</f>
        <v/>
      </c>
      <c r="X827" s="4">
        <f>IF(W827&gt;0,R827/W827-1,-1)</f>
        <v/>
      </c>
      <c r="Y827" s="19">
        <f>IF(R827&gt;0,S827*資金模擬!$B$7/R827,0)</f>
        <v/>
      </c>
      <c r="Z827" s="2">
        <f>IF(OR(Z826=1,R827&lt;=資金模擬!$B$10),1,0)</f>
        <v/>
      </c>
    </row>
    <row r="828">
      <c r="A828" s="2" t="n">
        <v>826</v>
      </c>
      <c r="B828" s="7" t="n">
        <v>46288.95833333334</v>
      </c>
      <c r="C828" s="2" t="inlineStr">
        <is>
          <t>出場</t>
        </is>
      </c>
      <c r="D828" s="2" t="n">
        <v>412</v>
      </c>
      <c r="E828" s="2" t="inlineStr">
        <is>
          <t>PUMP_USDT_PERP</t>
        </is>
      </c>
      <c r="F828" s="2" t="inlineStr">
        <is>
          <t>做空</t>
        </is>
      </c>
      <c r="G828" s="20" t="n">
        <v>0.004206</v>
      </c>
      <c r="H828" s="20" t="n">
        <v>0.00407982</v>
      </c>
      <c r="I828" s="20" t="n">
        <v>0.0044163</v>
      </c>
      <c r="J828" s="20" t="n">
        <v>0.00407982</v>
      </c>
      <c r="K828" s="2" t="inlineStr">
        <is>
          <t>止盈</t>
        </is>
      </c>
      <c r="L828" s="5">
        <f>交易明細!K413</f>
        <v/>
      </c>
      <c r="M828" s="19">
        <f>M817</f>
        <v/>
      </c>
      <c r="N828" s="2">
        <f>N817</f>
        <v/>
      </c>
      <c r="O828" s="19">
        <f>O817</f>
        <v/>
      </c>
      <c r="P828" s="4">
        <f>交易明細!L413</f>
        <v/>
      </c>
      <c r="Q828" s="13">
        <f>IF(N828="已下單",O828*P828,0)</f>
        <v/>
      </c>
      <c r="R828" s="13">
        <f>R827+Q828</f>
        <v/>
      </c>
      <c r="S828" s="19">
        <f>S827-IF(N828="已下單",M828,0)</f>
        <v/>
      </c>
      <c r="T828" s="19">
        <f>R828-S828</f>
        <v/>
      </c>
      <c r="U828" s="2">
        <f>U827-IF(N828="已下單",1,0)</f>
        <v/>
      </c>
      <c r="V828" s="19">
        <f>IF(資金模擬!$B$9=2,MAX(R828,0),MAX(V827,FLOOR(MAX(R828,0),資金模擬!$B$6)))</f>
        <v/>
      </c>
      <c r="W828" s="13">
        <f>MAX(W827,R828)</f>
        <v/>
      </c>
      <c r="X828" s="4">
        <f>IF(W828&gt;0,R828/W828-1,-1)</f>
        <v/>
      </c>
      <c r="Y828" s="19">
        <f>IF(R828&gt;0,S828*資金模擬!$B$7/R828,0)</f>
        <v/>
      </c>
      <c r="Z828" s="2">
        <f>IF(OR(Z827=1,R828&lt;=資金模擬!$B$10),1,0)</f>
        <v/>
      </c>
    </row>
    <row r="829">
      <c r="A829" s="2" t="n">
        <v>827</v>
      </c>
      <c r="B829" s="7" t="n">
        <v>46288.95833333334</v>
      </c>
      <c r="C829" s="2" t="inlineStr">
        <is>
          <t>出場</t>
        </is>
      </c>
      <c r="D829" s="2" t="n">
        <v>413</v>
      </c>
      <c r="E829" s="2" t="inlineStr">
        <is>
          <t>BCH_USDT_PERP</t>
        </is>
      </c>
      <c r="F829" s="2" t="inlineStr">
        <is>
          <t>做多</t>
        </is>
      </c>
      <c r="G829" s="20" t="n">
        <v>358.92</v>
      </c>
      <c r="H829" s="20" t="n">
        <v>369.6876</v>
      </c>
      <c r="I829" s="20" t="n">
        <v>340.974</v>
      </c>
      <c r="J829" s="20" t="n">
        <v>340.974</v>
      </c>
      <c r="K829" s="2" t="inlineStr">
        <is>
          <t>止損</t>
        </is>
      </c>
      <c r="L829" s="5">
        <f>交易明細!K414</f>
        <v/>
      </c>
      <c r="M829" s="19">
        <f>M818</f>
        <v/>
      </c>
      <c r="N829" s="2">
        <f>N818</f>
        <v/>
      </c>
      <c r="O829" s="19">
        <f>O818</f>
        <v/>
      </c>
      <c r="P829" s="4">
        <f>交易明細!L414</f>
        <v/>
      </c>
      <c r="Q829" s="13">
        <f>IF(N829="已下單",O829*P829,0)</f>
        <v/>
      </c>
      <c r="R829" s="13">
        <f>R828+Q829</f>
        <v/>
      </c>
      <c r="S829" s="19">
        <f>S828-IF(N829="已下單",M829,0)</f>
        <v/>
      </c>
      <c r="T829" s="19">
        <f>R829-S829</f>
        <v/>
      </c>
      <c r="U829" s="2">
        <f>U828-IF(N829="已下單",1,0)</f>
        <v/>
      </c>
      <c r="V829" s="19">
        <f>IF(資金模擬!$B$9=2,MAX(R829,0),MAX(V828,FLOOR(MAX(R829,0),資金模擬!$B$6)))</f>
        <v/>
      </c>
      <c r="W829" s="13">
        <f>MAX(W828,R829)</f>
        <v/>
      </c>
      <c r="X829" s="4">
        <f>IF(W829&gt;0,R829/W829-1,-1)</f>
        <v/>
      </c>
      <c r="Y829" s="19">
        <f>IF(R829&gt;0,S829*資金模擬!$B$7/R829,0)</f>
        <v/>
      </c>
      <c r="Z829" s="2">
        <f>IF(OR(Z828=1,R829&lt;=資金模擬!$B$10),1,0)</f>
        <v/>
      </c>
    </row>
    <row r="830">
      <c r="A830" s="2" t="n">
        <v>828</v>
      </c>
      <c r="B830" s="7" t="n">
        <v>46288.95833333334</v>
      </c>
      <c r="C830" s="2" t="inlineStr">
        <is>
          <t>出場</t>
        </is>
      </c>
      <c r="D830" s="2" t="n">
        <v>414</v>
      </c>
      <c r="E830" s="2" t="inlineStr">
        <is>
          <t>NIL_USDT_PERP</t>
        </is>
      </c>
      <c r="F830" s="2" t="inlineStr">
        <is>
          <t>做空</t>
        </is>
      </c>
      <c r="G830" s="20" t="n">
        <v>0.0902</v>
      </c>
      <c r="H830" s="20" t="n">
        <v>0.087494</v>
      </c>
      <c r="I830" s="20" t="n">
        <v>0.09471</v>
      </c>
      <c r="J830" s="20" t="n">
        <v>0.087494</v>
      </c>
      <c r="K830" s="2" t="inlineStr">
        <is>
          <t>止盈</t>
        </is>
      </c>
      <c r="L830" s="5">
        <f>交易明細!K415</f>
        <v/>
      </c>
      <c r="M830" s="19">
        <f>M820</f>
        <v/>
      </c>
      <c r="N830" s="2">
        <f>N820</f>
        <v/>
      </c>
      <c r="O830" s="19">
        <f>O820</f>
        <v/>
      </c>
      <c r="P830" s="4">
        <f>交易明細!L415</f>
        <v/>
      </c>
      <c r="Q830" s="13">
        <f>IF(N830="已下單",O830*P830,0)</f>
        <v/>
      </c>
      <c r="R830" s="13">
        <f>R829+Q830</f>
        <v/>
      </c>
      <c r="S830" s="19">
        <f>S829-IF(N830="已下單",M830,0)</f>
        <v/>
      </c>
      <c r="T830" s="19">
        <f>R830-S830</f>
        <v/>
      </c>
      <c r="U830" s="2">
        <f>U829-IF(N830="已下單",1,0)</f>
        <v/>
      </c>
      <c r="V830" s="19">
        <f>IF(資金模擬!$B$9=2,MAX(R830,0),MAX(V829,FLOOR(MAX(R830,0),資金模擬!$B$6)))</f>
        <v/>
      </c>
      <c r="W830" s="13">
        <f>MAX(W829,R830)</f>
        <v/>
      </c>
      <c r="X830" s="4">
        <f>IF(W830&gt;0,R830/W830-1,-1)</f>
        <v/>
      </c>
      <c r="Y830" s="19">
        <f>IF(R830&gt;0,S830*資金模擬!$B$7/R830,0)</f>
        <v/>
      </c>
      <c r="Z830" s="2">
        <f>IF(OR(Z829=1,R830&lt;=資金模擬!$B$10),1,0)</f>
        <v/>
      </c>
    </row>
    <row r="831">
      <c r="A831" s="2" t="n">
        <v>829</v>
      </c>
      <c r="B831" s="7" t="n">
        <v>46288.95833333334</v>
      </c>
      <c r="C831" s="2" t="inlineStr">
        <is>
          <t>出場</t>
        </is>
      </c>
      <c r="D831" s="2" t="n">
        <v>415</v>
      </c>
      <c r="E831" s="2" t="inlineStr">
        <is>
          <t>ZAMA_USDT_PERP</t>
        </is>
      </c>
      <c r="F831" s="2" t="inlineStr">
        <is>
          <t>做空</t>
        </is>
      </c>
      <c r="G831" s="20" t="n">
        <v>0.09616</v>
      </c>
      <c r="H831" s="20" t="n">
        <v>0.09327519999999999</v>
      </c>
      <c r="I831" s="20" t="n">
        <v>0.100968</v>
      </c>
      <c r="J831" s="20" t="n">
        <v>0.09327519999999999</v>
      </c>
      <c r="K831" s="2" t="inlineStr">
        <is>
          <t>止盈</t>
        </is>
      </c>
      <c r="L831" s="5">
        <f>交易明細!K416</f>
        <v/>
      </c>
      <c r="M831" s="19">
        <f>M821</f>
        <v/>
      </c>
      <c r="N831" s="2">
        <f>N821</f>
        <v/>
      </c>
      <c r="O831" s="19">
        <f>O821</f>
        <v/>
      </c>
      <c r="P831" s="4">
        <f>交易明細!L416</f>
        <v/>
      </c>
      <c r="Q831" s="13">
        <f>IF(N831="已下單",O831*P831,0)</f>
        <v/>
      </c>
      <c r="R831" s="13">
        <f>R830+Q831</f>
        <v/>
      </c>
      <c r="S831" s="19">
        <f>S830-IF(N831="已下單",M831,0)</f>
        <v/>
      </c>
      <c r="T831" s="19">
        <f>R831-S831</f>
        <v/>
      </c>
      <c r="U831" s="2">
        <f>U830-IF(N831="已下單",1,0)</f>
        <v/>
      </c>
      <c r="V831" s="19">
        <f>IF(資金模擬!$B$9=2,MAX(R831,0),MAX(V830,FLOOR(MAX(R831,0),資金模擬!$B$6)))</f>
        <v/>
      </c>
      <c r="W831" s="13">
        <f>MAX(W830,R831)</f>
        <v/>
      </c>
      <c r="X831" s="4">
        <f>IF(W831&gt;0,R831/W831-1,-1)</f>
        <v/>
      </c>
      <c r="Y831" s="19">
        <f>IF(R831&gt;0,S831*資金模擬!$B$7/R831,0)</f>
        <v/>
      </c>
      <c r="Z831" s="2">
        <f>IF(OR(Z830=1,R831&lt;=資金模擬!$B$10),1,0)</f>
        <v/>
      </c>
    </row>
    <row r="832">
      <c r="A832" s="2" t="n">
        <v>830</v>
      </c>
      <c r="B832" s="7" t="n">
        <v>46288.95833333334</v>
      </c>
      <c r="C832" s="2" t="inlineStr">
        <is>
          <t>進場</t>
        </is>
      </c>
      <c r="D832" s="2" t="n">
        <v>416</v>
      </c>
      <c r="E832" s="2" t="inlineStr">
        <is>
          <t>ADA_USDT_PERP</t>
        </is>
      </c>
      <c r="F832" s="2" t="inlineStr">
        <is>
          <t>做空</t>
        </is>
      </c>
      <c r="G832" s="20" t="n">
        <v>0.24</v>
      </c>
      <c r="H832" s="20" t="n">
        <v>0.2328</v>
      </c>
      <c r="I832" s="20" t="n">
        <v>0.252</v>
      </c>
      <c r="J832" s="20" t="n"/>
      <c r="K832" s="2" t="n"/>
      <c r="L832" s="5" t="n"/>
      <c r="M832" s="19">
        <f>資金模擬!$B$5*V831</f>
        <v/>
      </c>
      <c r="N832" s="2">
        <f>IF(Z831=1,"已停止",IF(T831&gt;=M832,"已下單","資金不足略過"))</f>
        <v/>
      </c>
      <c r="O832" s="19">
        <f>IF(N832="已下單",M832*資金模擬!$B$7,0)</f>
        <v/>
      </c>
      <c r="P832" s="4" t="n"/>
      <c r="Q832" s="13" t="n">
        <v>0</v>
      </c>
      <c r="R832" s="13">
        <f>R831+Q832</f>
        <v/>
      </c>
      <c r="S832" s="19">
        <f>S831+IF(N832="已下單",M832,0)</f>
        <v/>
      </c>
      <c r="T832" s="19">
        <f>R832-S832</f>
        <v/>
      </c>
      <c r="U832" s="2">
        <f>U831+IF(N832="已下單",1,0)</f>
        <v/>
      </c>
      <c r="V832" s="19">
        <f>IF(資金模擬!$B$9=2,MAX(R832,0),MAX(V831,FLOOR(MAX(R832,0),資金模擬!$B$6)))</f>
        <v/>
      </c>
      <c r="W832" s="13">
        <f>MAX(W831,R832)</f>
        <v/>
      </c>
      <c r="X832" s="4">
        <f>IF(W832&gt;0,R832/W832-1,-1)</f>
        <v/>
      </c>
      <c r="Y832" s="19">
        <f>IF(R832&gt;0,S832*資金模擬!$B$7/R832,0)</f>
        <v/>
      </c>
      <c r="Z832" s="2">
        <f>IF(OR(Z831=1,R832&lt;=資金模擬!$B$10),1,0)</f>
        <v/>
      </c>
    </row>
    <row r="833">
      <c r="A833" s="2" t="n">
        <v>831</v>
      </c>
      <c r="B833" s="7" t="n">
        <v>46288.95833333334</v>
      </c>
      <c r="C833" s="2" t="inlineStr">
        <is>
          <t>進場</t>
        </is>
      </c>
      <c r="D833" s="2" t="n">
        <v>417</v>
      </c>
      <c r="E833" s="2" t="inlineStr">
        <is>
          <t>AKE_USDT_PERP</t>
        </is>
      </c>
      <c r="F833" s="2" t="inlineStr">
        <is>
          <t>做空</t>
        </is>
      </c>
      <c r="G833" s="20" t="n">
        <v>0.0471572</v>
      </c>
      <c r="H833" s="20" t="n">
        <v>0.045742484</v>
      </c>
      <c r="I833" s="20" t="n">
        <v>0.04951506000000001</v>
      </c>
      <c r="J833" s="20" t="n"/>
      <c r="K833" s="2" t="n"/>
      <c r="L833" s="5" t="n"/>
      <c r="M833" s="19">
        <f>資金模擬!$B$5*V832</f>
        <v/>
      </c>
      <c r="N833" s="2">
        <f>IF(Z832=1,"已停止",IF(T832&gt;=M833,"已下單","資金不足略過"))</f>
        <v/>
      </c>
      <c r="O833" s="19">
        <f>IF(N833="已下單",M833*資金模擬!$B$7,0)</f>
        <v/>
      </c>
      <c r="P833" s="4" t="n"/>
      <c r="Q833" s="13" t="n">
        <v>0</v>
      </c>
      <c r="R833" s="13">
        <f>R832+Q833</f>
        <v/>
      </c>
      <c r="S833" s="19">
        <f>S832+IF(N833="已下單",M833,0)</f>
        <v/>
      </c>
      <c r="T833" s="19">
        <f>R833-S833</f>
        <v/>
      </c>
      <c r="U833" s="2">
        <f>U832+IF(N833="已下單",1,0)</f>
        <v/>
      </c>
      <c r="V833" s="19">
        <f>IF(資金模擬!$B$9=2,MAX(R833,0),MAX(V832,FLOOR(MAX(R833,0),資金模擬!$B$6)))</f>
        <v/>
      </c>
      <c r="W833" s="13">
        <f>MAX(W832,R833)</f>
        <v/>
      </c>
      <c r="X833" s="4">
        <f>IF(W833&gt;0,R833/W833-1,-1)</f>
        <v/>
      </c>
      <c r="Y833" s="19">
        <f>IF(R833&gt;0,S833*資金模擬!$B$7/R833,0)</f>
        <v/>
      </c>
      <c r="Z833" s="2">
        <f>IF(OR(Z832=1,R833&lt;=資金模擬!$B$10),1,0)</f>
        <v/>
      </c>
    </row>
    <row r="834">
      <c r="A834" s="2" t="n">
        <v>832</v>
      </c>
      <c r="B834" s="7" t="n">
        <v>46288.95833333334</v>
      </c>
      <c r="C834" s="2" t="inlineStr">
        <is>
          <t>進場</t>
        </is>
      </c>
      <c r="D834" s="2" t="n">
        <v>418</v>
      </c>
      <c r="E834" s="2" t="inlineStr">
        <is>
          <t>AVAX_USDT_PERP</t>
        </is>
      </c>
      <c r="F834" s="2" t="inlineStr">
        <is>
          <t>做空</t>
        </is>
      </c>
      <c r="G834" s="20" t="n">
        <v>10.444</v>
      </c>
      <c r="H834" s="20" t="n">
        <v>10.13068</v>
      </c>
      <c r="I834" s="20" t="n">
        <v>10.9662</v>
      </c>
      <c r="J834" s="20" t="n"/>
      <c r="K834" s="2" t="n"/>
      <c r="L834" s="5" t="n"/>
      <c r="M834" s="19">
        <f>資金模擬!$B$5*V833</f>
        <v/>
      </c>
      <c r="N834" s="2">
        <f>IF(Z833=1,"已停止",IF(T833&gt;=M834,"已下單","資金不足略過"))</f>
        <v/>
      </c>
      <c r="O834" s="19">
        <f>IF(N834="已下單",M834*資金模擬!$B$7,0)</f>
        <v/>
      </c>
      <c r="P834" s="4" t="n"/>
      <c r="Q834" s="13" t="n">
        <v>0</v>
      </c>
      <c r="R834" s="13">
        <f>R833+Q834</f>
        <v/>
      </c>
      <c r="S834" s="19">
        <f>S833+IF(N834="已下單",M834,0)</f>
        <v/>
      </c>
      <c r="T834" s="19">
        <f>R834-S834</f>
        <v/>
      </c>
      <c r="U834" s="2">
        <f>U833+IF(N834="已下單",1,0)</f>
        <v/>
      </c>
      <c r="V834" s="19">
        <f>IF(資金模擬!$B$9=2,MAX(R834,0),MAX(V833,FLOOR(MAX(R834,0),資金模擬!$B$6)))</f>
        <v/>
      </c>
      <c r="W834" s="13">
        <f>MAX(W833,R834)</f>
        <v/>
      </c>
      <c r="X834" s="4">
        <f>IF(W834&gt;0,R834/W834-1,-1)</f>
        <v/>
      </c>
      <c r="Y834" s="19">
        <f>IF(R834&gt;0,S834*資金模擬!$B$7/R834,0)</f>
        <v/>
      </c>
      <c r="Z834" s="2">
        <f>IF(OR(Z833=1,R834&lt;=資金模擬!$B$10),1,0)</f>
        <v/>
      </c>
    </row>
    <row r="835">
      <c r="A835" s="2" t="n">
        <v>833</v>
      </c>
      <c r="B835" s="7" t="n">
        <v>46288.95833333334</v>
      </c>
      <c r="C835" s="2" t="inlineStr">
        <is>
          <t>進場</t>
        </is>
      </c>
      <c r="D835" s="2" t="n">
        <v>419</v>
      </c>
      <c r="E835" s="2" t="inlineStr">
        <is>
          <t>BR_USDT_PERP</t>
        </is>
      </c>
      <c r="F835" s="2" t="inlineStr">
        <is>
          <t>做空</t>
        </is>
      </c>
      <c r="G835" s="20" t="n">
        <v>1.06596</v>
      </c>
      <c r="H835" s="20" t="n">
        <v>1.0339812</v>
      </c>
      <c r="I835" s="20" t="n">
        <v>1.119258</v>
      </c>
      <c r="J835" s="20" t="n"/>
      <c r="K835" s="2" t="n"/>
      <c r="L835" s="5" t="n"/>
      <c r="M835" s="19">
        <f>資金模擬!$B$5*V834</f>
        <v/>
      </c>
      <c r="N835" s="2">
        <f>IF(Z834=1,"已停止",IF(T834&gt;=M835,"已下單","資金不足略過"))</f>
        <v/>
      </c>
      <c r="O835" s="19">
        <f>IF(N835="已下單",M835*資金模擬!$B$7,0)</f>
        <v/>
      </c>
      <c r="P835" s="4" t="n"/>
      <c r="Q835" s="13" t="n">
        <v>0</v>
      </c>
      <c r="R835" s="13">
        <f>R834+Q835</f>
        <v/>
      </c>
      <c r="S835" s="19">
        <f>S834+IF(N835="已下單",M835,0)</f>
        <v/>
      </c>
      <c r="T835" s="19">
        <f>R835-S835</f>
        <v/>
      </c>
      <c r="U835" s="2">
        <f>U834+IF(N835="已下單",1,0)</f>
        <v/>
      </c>
      <c r="V835" s="19">
        <f>IF(資金模擬!$B$9=2,MAX(R835,0),MAX(V834,FLOOR(MAX(R835,0),資金模擬!$B$6)))</f>
        <v/>
      </c>
      <c r="W835" s="13">
        <f>MAX(W834,R835)</f>
        <v/>
      </c>
      <c r="X835" s="4">
        <f>IF(W835&gt;0,R835/W835-1,-1)</f>
        <v/>
      </c>
      <c r="Y835" s="19">
        <f>IF(R835&gt;0,S835*資金模擬!$B$7/R835,0)</f>
        <v/>
      </c>
      <c r="Z835" s="2">
        <f>IF(OR(Z834=1,R835&lt;=資金模擬!$B$10),1,0)</f>
        <v/>
      </c>
    </row>
    <row r="836">
      <c r="A836" s="2" t="n">
        <v>834</v>
      </c>
      <c r="B836" s="7" t="n">
        <v>46288.95833333334</v>
      </c>
      <c r="C836" s="2" t="inlineStr">
        <is>
          <t>進場</t>
        </is>
      </c>
      <c r="D836" s="2" t="n">
        <v>420</v>
      </c>
      <c r="E836" s="2" t="inlineStr">
        <is>
          <t>DOGE_USDT_PERP</t>
        </is>
      </c>
      <c r="F836" s="2" t="inlineStr">
        <is>
          <t>做空</t>
        </is>
      </c>
      <c r="G836" s="20" t="n">
        <v>0.09482</v>
      </c>
      <c r="H836" s="20" t="n">
        <v>0.0919754</v>
      </c>
      <c r="I836" s="20" t="n">
        <v>0.09956100000000001</v>
      </c>
      <c r="J836" s="20" t="n"/>
      <c r="K836" s="2" t="n"/>
      <c r="L836" s="5" t="n"/>
      <c r="M836" s="19">
        <f>資金模擬!$B$5*V835</f>
        <v/>
      </c>
      <c r="N836" s="2">
        <f>IF(Z835=1,"已停止",IF(T835&gt;=M836,"已下單","資金不足略過"))</f>
        <v/>
      </c>
      <c r="O836" s="19">
        <f>IF(N836="已下單",M836*資金模擬!$B$7,0)</f>
        <v/>
      </c>
      <c r="P836" s="4" t="n"/>
      <c r="Q836" s="13" t="n">
        <v>0</v>
      </c>
      <c r="R836" s="13">
        <f>R835+Q836</f>
        <v/>
      </c>
      <c r="S836" s="19">
        <f>S835+IF(N836="已下單",M836,0)</f>
        <v/>
      </c>
      <c r="T836" s="19">
        <f>R836-S836</f>
        <v/>
      </c>
      <c r="U836" s="2">
        <f>U835+IF(N836="已下單",1,0)</f>
        <v/>
      </c>
      <c r="V836" s="19">
        <f>IF(資金模擬!$B$9=2,MAX(R836,0),MAX(V835,FLOOR(MAX(R836,0),資金模擬!$B$6)))</f>
        <v/>
      </c>
      <c r="W836" s="13">
        <f>MAX(W835,R836)</f>
        <v/>
      </c>
      <c r="X836" s="4">
        <f>IF(W836&gt;0,R836/W836-1,-1)</f>
        <v/>
      </c>
      <c r="Y836" s="19">
        <f>IF(R836&gt;0,S836*資金模擬!$B$7/R836,0)</f>
        <v/>
      </c>
      <c r="Z836" s="2">
        <f>IF(OR(Z835=1,R836&lt;=資金模擬!$B$10),1,0)</f>
        <v/>
      </c>
    </row>
    <row r="837">
      <c r="A837" s="2" t="n">
        <v>835</v>
      </c>
      <c r="B837" s="7" t="n">
        <v>46288.95833333334</v>
      </c>
      <c r="C837" s="2" t="inlineStr">
        <is>
          <t>進場</t>
        </is>
      </c>
      <c r="D837" s="2" t="n">
        <v>421</v>
      </c>
      <c r="E837" s="2" t="inlineStr">
        <is>
          <t>LTC_USDT_PERP</t>
        </is>
      </c>
      <c r="F837" s="2" t="inlineStr">
        <is>
          <t>做空</t>
        </is>
      </c>
      <c r="G837" s="20" t="n">
        <v>60.67</v>
      </c>
      <c r="H837" s="20" t="n">
        <v>58.8499</v>
      </c>
      <c r="I837" s="20" t="n">
        <v>63.70350000000001</v>
      </c>
      <c r="J837" s="20" t="n"/>
      <c r="K837" s="2" t="n"/>
      <c r="L837" s="5" t="n"/>
      <c r="M837" s="19">
        <f>資金模擬!$B$5*V836</f>
        <v/>
      </c>
      <c r="N837" s="2">
        <f>IF(Z836=1,"已停止",IF(T836&gt;=M837,"已下單","資金不足略過"))</f>
        <v/>
      </c>
      <c r="O837" s="19">
        <f>IF(N837="已下單",M837*資金模擬!$B$7,0)</f>
        <v/>
      </c>
      <c r="P837" s="4" t="n"/>
      <c r="Q837" s="13" t="n">
        <v>0</v>
      </c>
      <c r="R837" s="13">
        <f>R836+Q837</f>
        <v/>
      </c>
      <c r="S837" s="19">
        <f>S836+IF(N837="已下單",M837,0)</f>
        <v/>
      </c>
      <c r="T837" s="19">
        <f>R837-S837</f>
        <v/>
      </c>
      <c r="U837" s="2">
        <f>U836+IF(N837="已下單",1,0)</f>
        <v/>
      </c>
      <c r="V837" s="19">
        <f>IF(資金模擬!$B$9=2,MAX(R837,0),MAX(V836,FLOOR(MAX(R837,0),資金模擬!$B$6)))</f>
        <v/>
      </c>
      <c r="W837" s="13">
        <f>MAX(W836,R837)</f>
        <v/>
      </c>
      <c r="X837" s="4">
        <f>IF(W837&gt;0,R837/W837-1,-1)</f>
        <v/>
      </c>
      <c r="Y837" s="19">
        <f>IF(R837&gt;0,S837*資金模擬!$B$7/R837,0)</f>
        <v/>
      </c>
      <c r="Z837" s="2">
        <f>IF(OR(Z836=1,R837&lt;=資金模擬!$B$10),1,0)</f>
        <v/>
      </c>
    </row>
    <row r="838">
      <c r="A838" s="2" t="n">
        <v>836</v>
      </c>
      <c r="B838" s="7" t="n">
        <v>46288.95833333334</v>
      </c>
      <c r="C838" s="2" t="inlineStr">
        <is>
          <t>進場</t>
        </is>
      </c>
      <c r="D838" s="2" t="n">
        <v>422</v>
      </c>
      <c r="E838" s="2" t="inlineStr">
        <is>
          <t>PENGU_USDT_PERP</t>
        </is>
      </c>
      <c r="F838" s="2" t="inlineStr">
        <is>
          <t>做空</t>
        </is>
      </c>
      <c r="G838" s="20" t="n">
        <v>0.009868999999999999</v>
      </c>
      <c r="H838" s="20" t="n">
        <v>0.009572929999999999</v>
      </c>
      <c r="I838" s="20" t="n">
        <v>0.01036245</v>
      </c>
      <c r="J838" s="20" t="n"/>
      <c r="K838" s="2" t="n"/>
      <c r="L838" s="5" t="n"/>
      <c r="M838" s="19">
        <f>資金模擬!$B$5*V837</f>
        <v/>
      </c>
      <c r="N838" s="2">
        <f>IF(Z837=1,"已停止",IF(T837&gt;=M838,"已下單","資金不足略過"))</f>
        <v/>
      </c>
      <c r="O838" s="19">
        <f>IF(N838="已下單",M838*資金模擬!$B$7,0)</f>
        <v/>
      </c>
      <c r="P838" s="4" t="n"/>
      <c r="Q838" s="13" t="n">
        <v>0</v>
      </c>
      <c r="R838" s="13">
        <f>R837+Q838</f>
        <v/>
      </c>
      <c r="S838" s="19">
        <f>S837+IF(N838="已下單",M838,0)</f>
        <v/>
      </c>
      <c r="T838" s="19">
        <f>R838-S838</f>
        <v/>
      </c>
      <c r="U838" s="2">
        <f>U837+IF(N838="已下單",1,0)</f>
        <v/>
      </c>
      <c r="V838" s="19">
        <f>IF(資金模擬!$B$9=2,MAX(R838,0),MAX(V837,FLOOR(MAX(R838,0),資金模擬!$B$6)))</f>
        <v/>
      </c>
      <c r="W838" s="13">
        <f>MAX(W837,R838)</f>
        <v/>
      </c>
      <c r="X838" s="4">
        <f>IF(W838&gt;0,R838/W838-1,-1)</f>
        <v/>
      </c>
      <c r="Y838" s="19">
        <f>IF(R838&gt;0,S838*資金模擬!$B$7/R838,0)</f>
        <v/>
      </c>
      <c r="Z838" s="2">
        <f>IF(OR(Z837=1,R838&lt;=資金模擬!$B$10),1,0)</f>
        <v/>
      </c>
    </row>
    <row r="839">
      <c r="A839" s="2" t="n">
        <v>837</v>
      </c>
      <c r="B839" s="7" t="n">
        <v>46288.95833333334</v>
      </c>
      <c r="C839" s="2" t="inlineStr">
        <is>
          <t>進場</t>
        </is>
      </c>
      <c r="D839" s="2" t="n">
        <v>423</v>
      </c>
      <c r="E839" s="2" t="inlineStr">
        <is>
          <t>PYTH_USDT_PERP</t>
        </is>
      </c>
      <c r="F839" s="2" t="inlineStr">
        <is>
          <t>做空</t>
        </is>
      </c>
      <c r="G839" s="20" t="n">
        <v>0.06324</v>
      </c>
      <c r="H839" s="20" t="n">
        <v>0.0613428</v>
      </c>
      <c r="I839" s="20" t="n">
        <v>0.066402</v>
      </c>
      <c r="J839" s="20" t="n"/>
      <c r="K839" s="2" t="n"/>
      <c r="L839" s="5" t="n"/>
      <c r="M839" s="19">
        <f>資金模擬!$B$5*V838</f>
        <v/>
      </c>
      <c r="N839" s="2">
        <f>IF(Z838=1,"已停止",IF(T838&gt;=M839,"已下單","資金不足略過"))</f>
        <v/>
      </c>
      <c r="O839" s="19">
        <f>IF(N839="已下單",M839*資金模擬!$B$7,0)</f>
        <v/>
      </c>
      <c r="P839" s="4" t="n"/>
      <c r="Q839" s="13" t="n">
        <v>0</v>
      </c>
      <c r="R839" s="13">
        <f>R838+Q839</f>
        <v/>
      </c>
      <c r="S839" s="19">
        <f>S838+IF(N839="已下單",M839,0)</f>
        <v/>
      </c>
      <c r="T839" s="19">
        <f>R839-S839</f>
        <v/>
      </c>
      <c r="U839" s="2">
        <f>U838+IF(N839="已下單",1,0)</f>
        <v/>
      </c>
      <c r="V839" s="19">
        <f>IF(資金模擬!$B$9=2,MAX(R839,0),MAX(V838,FLOOR(MAX(R839,0),資金模擬!$B$6)))</f>
        <v/>
      </c>
      <c r="W839" s="13">
        <f>MAX(W838,R839)</f>
        <v/>
      </c>
      <c r="X839" s="4">
        <f>IF(W839&gt;0,R839/W839-1,-1)</f>
        <v/>
      </c>
      <c r="Y839" s="19">
        <f>IF(R839&gt;0,S839*資金模擬!$B$7/R839,0)</f>
        <v/>
      </c>
      <c r="Z839" s="2">
        <f>IF(OR(Z838=1,R839&lt;=資金模擬!$B$10),1,0)</f>
        <v/>
      </c>
    </row>
    <row r="840">
      <c r="A840" s="2" t="n">
        <v>838</v>
      </c>
      <c r="B840" s="7" t="n">
        <v>46288.95833333334</v>
      </c>
      <c r="C840" s="2" t="inlineStr">
        <is>
          <t>進場</t>
        </is>
      </c>
      <c r="D840" s="2" t="n">
        <v>424</v>
      </c>
      <c r="E840" s="2" t="inlineStr">
        <is>
          <t>SUI_USDT_PERP</t>
        </is>
      </c>
      <c r="F840" s="2" t="inlineStr">
        <is>
          <t>做空</t>
        </is>
      </c>
      <c r="G840" s="20" t="n">
        <v>0.9802</v>
      </c>
      <c r="H840" s="20" t="n">
        <v>0.9507939999999999</v>
      </c>
      <c r="I840" s="20" t="n">
        <v>1.02921</v>
      </c>
      <c r="J840" s="20" t="n"/>
      <c r="K840" s="2" t="n"/>
      <c r="L840" s="5" t="n"/>
      <c r="M840" s="19">
        <f>資金模擬!$B$5*V839</f>
        <v/>
      </c>
      <c r="N840" s="2">
        <f>IF(Z839=1,"已停止",IF(T839&gt;=M840,"已下單","資金不足略過"))</f>
        <v/>
      </c>
      <c r="O840" s="19">
        <f>IF(N840="已下單",M840*資金模擬!$B$7,0)</f>
        <v/>
      </c>
      <c r="P840" s="4" t="n"/>
      <c r="Q840" s="13" t="n">
        <v>0</v>
      </c>
      <c r="R840" s="13">
        <f>R839+Q840</f>
        <v/>
      </c>
      <c r="S840" s="19">
        <f>S839+IF(N840="已下單",M840,0)</f>
        <v/>
      </c>
      <c r="T840" s="19">
        <f>R840-S840</f>
        <v/>
      </c>
      <c r="U840" s="2">
        <f>U839+IF(N840="已下單",1,0)</f>
        <v/>
      </c>
      <c r="V840" s="19">
        <f>IF(資金模擬!$B$9=2,MAX(R840,0),MAX(V839,FLOOR(MAX(R840,0),資金模擬!$B$6)))</f>
        <v/>
      </c>
      <c r="W840" s="13">
        <f>MAX(W839,R840)</f>
        <v/>
      </c>
      <c r="X840" s="4">
        <f>IF(W840&gt;0,R840/W840-1,-1)</f>
        <v/>
      </c>
      <c r="Y840" s="19">
        <f>IF(R840&gt;0,S840*資金模擬!$B$7/R840,0)</f>
        <v/>
      </c>
      <c r="Z840" s="2">
        <f>IF(OR(Z839=1,R840&lt;=資金模擬!$B$10),1,0)</f>
        <v/>
      </c>
    </row>
    <row r="841">
      <c r="A841" s="2" t="n">
        <v>839</v>
      </c>
      <c r="B841" s="7" t="n">
        <v>46288.95833333334</v>
      </c>
      <c r="C841" s="2" t="inlineStr">
        <is>
          <t>進場</t>
        </is>
      </c>
      <c r="D841" s="2" t="n">
        <v>425</v>
      </c>
      <c r="E841" s="2" t="inlineStr">
        <is>
          <t>TAO_USDT_PERP</t>
        </is>
      </c>
      <c r="F841" s="2" t="inlineStr">
        <is>
          <t>做空</t>
        </is>
      </c>
      <c r="G841" s="20" t="n">
        <v>302.65</v>
      </c>
      <c r="H841" s="20" t="n">
        <v>293.5705</v>
      </c>
      <c r="I841" s="20" t="n">
        <v>317.7825</v>
      </c>
      <c r="J841" s="20" t="n"/>
      <c r="K841" s="2" t="n"/>
      <c r="L841" s="5" t="n"/>
      <c r="M841" s="19">
        <f>資金模擬!$B$5*V840</f>
        <v/>
      </c>
      <c r="N841" s="2">
        <f>IF(Z840=1,"已停止",IF(T840&gt;=M841,"已下單","資金不足略過"))</f>
        <v/>
      </c>
      <c r="O841" s="19">
        <f>IF(N841="已下單",M841*資金模擬!$B$7,0)</f>
        <v/>
      </c>
      <c r="P841" s="4" t="n"/>
      <c r="Q841" s="13" t="n">
        <v>0</v>
      </c>
      <c r="R841" s="13">
        <f>R840+Q841</f>
        <v/>
      </c>
      <c r="S841" s="19">
        <f>S840+IF(N841="已下單",M841,0)</f>
        <v/>
      </c>
      <c r="T841" s="19">
        <f>R841-S841</f>
        <v/>
      </c>
      <c r="U841" s="2">
        <f>U840+IF(N841="已下單",1,0)</f>
        <v/>
      </c>
      <c r="V841" s="19">
        <f>IF(資金模擬!$B$9=2,MAX(R841,0),MAX(V840,FLOOR(MAX(R841,0),資金模擬!$B$6)))</f>
        <v/>
      </c>
      <c r="W841" s="13">
        <f>MAX(W840,R841)</f>
        <v/>
      </c>
      <c r="X841" s="4">
        <f>IF(W841&gt;0,R841/W841-1,-1)</f>
        <v/>
      </c>
      <c r="Y841" s="19">
        <f>IF(R841&gt;0,S841*資金模擬!$B$7/R841,0)</f>
        <v/>
      </c>
      <c r="Z841" s="2">
        <f>IF(OR(Z840=1,R841&lt;=資金模擬!$B$10),1,0)</f>
        <v/>
      </c>
    </row>
    <row r="842">
      <c r="A842" s="2" t="n">
        <v>840</v>
      </c>
      <c r="B842" s="7" t="n">
        <v>46288.95833333334</v>
      </c>
      <c r="C842" s="2" t="inlineStr">
        <is>
          <t>進場</t>
        </is>
      </c>
      <c r="D842" s="2" t="n">
        <v>426</v>
      </c>
      <c r="E842" s="2" t="inlineStr">
        <is>
          <t>TIA_USDT_PERP</t>
        </is>
      </c>
      <c r="F842" s="2" t="inlineStr">
        <is>
          <t>做空</t>
        </is>
      </c>
      <c r="G842" s="20" t="n">
        <v>0.4855</v>
      </c>
      <c r="H842" s="20" t="n">
        <v>0.470935</v>
      </c>
      <c r="I842" s="20" t="n">
        <v>0.509775</v>
      </c>
      <c r="J842" s="20" t="n"/>
      <c r="K842" s="2" t="n"/>
      <c r="L842" s="5" t="n"/>
      <c r="M842" s="19">
        <f>資金模擬!$B$5*V841</f>
        <v/>
      </c>
      <c r="N842" s="2">
        <f>IF(Z841=1,"已停止",IF(T841&gt;=M842,"已下單","資金不足略過"))</f>
        <v/>
      </c>
      <c r="O842" s="19">
        <f>IF(N842="已下單",M842*資金模擬!$B$7,0)</f>
        <v/>
      </c>
      <c r="P842" s="4" t="n"/>
      <c r="Q842" s="13" t="n">
        <v>0</v>
      </c>
      <c r="R842" s="13">
        <f>R841+Q842</f>
        <v/>
      </c>
      <c r="S842" s="19">
        <f>S841+IF(N842="已下單",M842,0)</f>
        <v/>
      </c>
      <c r="T842" s="19">
        <f>R842-S842</f>
        <v/>
      </c>
      <c r="U842" s="2">
        <f>U841+IF(N842="已下單",1,0)</f>
        <v/>
      </c>
      <c r="V842" s="19">
        <f>IF(資金模擬!$B$9=2,MAX(R842,0),MAX(V841,FLOOR(MAX(R842,0),資金模擬!$B$6)))</f>
        <v/>
      </c>
      <c r="W842" s="13">
        <f>MAX(W841,R842)</f>
        <v/>
      </c>
      <c r="X842" s="4">
        <f>IF(W842&gt;0,R842/W842-1,-1)</f>
        <v/>
      </c>
      <c r="Y842" s="19">
        <f>IF(R842&gt;0,S842*資金模擬!$B$7/R842,0)</f>
        <v/>
      </c>
      <c r="Z842" s="2">
        <f>IF(OR(Z841=1,R842&lt;=資金模擬!$B$10),1,0)</f>
        <v/>
      </c>
    </row>
    <row r="843">
      <c r="A843" s="2" t="n">
        <v>841</v>
      </c>
      <c r="B843" s="7" t="n">
        <v>46288.95833333334</v>
      </c>
      <c r="C843" s="2" t="inlineStr">
        <is>
          <t>進場</t>
        </is>
      </c>
      <c r="D843" s="2" t="n">
        <v>427</v>
      </c>
      <c r="E843" s="2" t="inlineStr">
        <is>
          <t>USELESS_USDT_PERP</t>
        </is>
      </c>
      <c r="F843" s="2" t="inlineStr">
        <is>
          <t>做空</t>
        </is>
      </c>
      <c r="G843" s="20" t="n">
        <v>0.31904</v>
      </c>
      <c r="H843" s="20" t="n">
        <v>0.3094688</v>
      </c>
      <c r="I843" s="20" t="n">
        <v>0.334992</v>
      </c>
      <c r="J843" s="20" t="n"/>
      <c r="K843" s="2" t="n"/>
      <c r="L843" s="5" t="n"/>
      <c r="M843" s="19">
        <f>資金模擬!$B$5*V842</f>
        <v/>
      </c>
      <c r="N843" s="2">
        <f>IF(Z842=1,"已停止",IF(T842&gt;=M843,"已下單","資金不足略過"))</f>
        <v/>
      </c>
      <c r="O843" s="19">
        <f>IF(N843="已下單",M843*資金模擬!$B$7,0)</f>
        <v/>
      </c>
      <c r="P843" s="4" t="n"/>
      <c r="Q843" s="13" t="n">
        <v>0</v>
      </c>
      <c r="R843" s="13">
        <f>R842+Q843</f>
        <v/>
      </c>
      <c r="S843" s="19">
        <f>S842+IF(N843="已下單",M843,0)</f>
        <v/>
      </c>
      <c r="T843" s="19">
        <f>R843-S843</f>
        <v/>
      </c>
      <c r="U843" s="2">
        <f>U842+IF(N843="已下單",1,0)</f>
        <v/>
      </c>
      <c r="V843" s="19">
        <f>IF(資金模擬!$B$9=2,MAX(R843,0),MAX(V842,FLOOR(MAX(R843,0),資金模擬!$B$6)))</f>
        <v/>
      </c>
      <c r="W843" s="13">
        <f>MAX(W842,R843)</f>
        <v/>
      </c>
      <c r="X843" s="4">
        <f>IF(W843&gt;0,R843/W843-1,-1)</f>
        <v/>
      </c>
      <c r="Y843" s="19">
        <f>IF(R843&gt;0,S843*資金模擬!$B$7/R843,0)</f>
        <v/>
      </c>
      <c r="Z843" s="2">
        <f>IF(OR(Z842=1,R843&lt;=資金模擬!$B$10),1,0)</f>
        <v/>
      </c>
    </row>
    <row r="844">
      <c r="A844" s="2" t="n">
        <v>842</v>
      </c>
      <c r="B844" s="7" t="n">
        <v>46289</v>
      </c>
      <c r="C844" s="2" t="inlineStr">
        <is>
          <t>出場</t>
        </is>
      </c>
      <c r="D844" s="2" t="n">
        <v>419</v>
      </c>
      <c r="E844" s="2" t="inlineStr">
        <is>
          <t>BR_USDT_PERP</t>
        </is>
      </c>
      <c r="F844" s="2" t="inlineStr">
        <is>
          <t>做空</t>
        </is>
      </c>
      <c r="G844" s="20" t="n">
        <v>1.06596</v>
      </c>
      <c r="H844" s="20" t="n">
        <v>1.0339812</v>
      </c>
      <c r="I844" s="20" t="n">
        <v>1.119258</v>
      </c>
      <c r="J844" s="20" t="n">
        <v>1.119258</v>
      </c>
      <c r="K844" s="2" t="inlineStr">
        <is>
          <t>止損</t>
        </is>
      </c>
      <c r="L844" s="5">
        <f>交易明細!K420</f>
        <v/>
      </c>
      <c r="M844" s="19">
        <f>M835</f>
        <v/>
      </c>
      <c r="N844" s="2">
        <f>N835</f>
        <v/>
      </c>
      <c r="O844" s="19">
        <f>O835</f>
        <v/>
      </c>
      <c r="P844" s="4">
        <f>交易明細!L420</f>
        <v/>
      </c>
      <c r="Q844" s="13">
        <f>IF(N844="已下單",O844*P844,0)</f>
        <v/>
      </c>
      <c r="R844" s="13">
        <f>R843+Q844</f>
        <v/>
      </c>
      <c r="S844" s="19">
        <f>S843-IF(N844="已下單",M844,0)</f>
        <v/>
      </c>
      <c r="T844" s="19">
        <f>R844-S844</f>
        <v/>
      </c>
      <c r="U844" s="2">
        <f>U843-IF(N844="已下單",1,0)</f>
        <v/>
      </c>
      <c r="V844" s="19">
        <f>IF(資金模擬!$B$9=2,MAX(R844,0),MAX(V843,FLOOR(MAX(R844,0),資金模擬!$B$6)))</f>
        <v/>
      </c>
      <c r="W844" s="13">
        <f>MAX(W843,R844)</f>
        <v/>
      </c>
      <c r="X844" s="4">
        <f>IF(W844&gt;0,R844/W844-1,-1)</f>
        <v/>
      </c>
      <c r="Y844" s="19">
        <f>IF(R844&gt;0,S844*資金模擬!$B$7/R844,0)</f>
        <v/>
      </c>
      <c r="Z844" s="2">
        <f>IF(OR(Z843=1,R844&lt;=資金模擬!$B$10),1,0)</f>
        <v/>
      </c>
    </row>
    <row r="845">
      <c r="A845" s="2" t="n">
        <v>843</v>
      </c>
      <c r="B845" s="7" t="n">
        <v>46289</v>
      </c>
      <c r="C845" s="2" t="inlineStr">
        <is>
          <t>出場</t>
        </is>
      </c>
      <c r="D845" s="2" t="n">
        <v>425</v>
      </c>
      <c r="E845" s="2" t="inlineStr">
        <is>
          <t>TAO_USDT_PERP</t>
        </is>
      </c>
      <c r="F845" s="2" t="inlineStr">
        <is>
          <t>做空</t>
        </is>
      </c>
      <c r="G845" s="20" t="n">
        <v>302.65</v>
      </c>
      <c r="H845" s="20" t="n">
        <v>293.5705</v>
      </c>
      <c r="I845" s="20" t="n">
        <v>317.7825</v>
      </c>
      <c r="J845" s="20" t="n">
        <v>293.5705</v>
      </c>
      <c r="K845" s="2" t="inlineStr">
        <is>
          <t>止盈</t>
        </is>
      </c>
      <c r="L845" s="5">
        <f>交易明細!K426</f>
        <v/>
      </c>
      <c r="M845" s="19">
        <f>M841</f>
        <v/>
      </c>
      <c r="N845" s="2">
        <f>N841</f>
        <v/>
      </c>
      <c r="O845" s="19">
        <f>O841</f>
        <v/>
      </c>
      <c r="P845" s="4">
        <f>交易明細!L426</f>
        <v/>
      </c>
      <c r="Q845" s="13">
        <f>IF(N845="已下單",O845*P845,0)</f>
        <v/>
      </c>
      <c r="R845" s="13">
        <f>R844+Q845</f>
        <v/>
      </c>
      <c r="S845" s="19">
        <f>S844-IF(N845="已下單",M845,0)</f>
        <v/>
      </c>
      <c r="T845" s="19">
        <f>R845-S845</f>
        <v/>
      </c>
      <c r="U845" s="2">
        <f>U844-IF(N845="已下單",1,0)</f>
        <v/>
      </c>
      <c r="V845" s="19">
        <f>IF(資金模擬!$B$9=2,MAX(R845,0),MAX(V844,FLOOR(MAX(R845,0),資金模擬!$B$6)))</f>
        <v/>
      </c>
      <c r="W845" s="13">
        <f>MAX(W844,R845)</f>
        <v/>
      </c>
      <c r="X845" s="4">
        <f>IF(W845&gt;0,R845/W845-1,-1)</f>
        <v/>
      </c>
      <c r="Y845" s="19">
        <f>IF(R845&gt;0,S845*資金模擬!$B$7/R845,0)</f>
        <v/>
      </c>
      <c r="Z845" s="2">
        <f>IF(OR(Z844=1,R845&lt;=資金模擬!$B$10),1,0)</f>
        <v/>
      </c>
    </row>
    <row r="846">
      <c r="A846" s="2" t="n">
        <v>844</v>
      </c>
      <c r="B846" s="7" t="n">
        <v>46289</v>
      </c>
      <c r="C846" s="2" t="inlineStr">
        <is>
          <t>出場</t>
        </is>
      </c>
      <c r="D846" s="2" t="n">
        <v>426</v>
      </c>
      <c r="E846" s="2" t="inlineStr">
        <is>
          <t>TIA_USDT_PERP</t>
        </is>
      </c>
      <c r="F846" s="2" t="inlineStr">
        <is>
          <t>做空</t>
        </is>
      </c>
      <c r="G846" s="20" t="n">
        <v>0.4855</v>
      </c>
      <c r="H846" s="20" t="n">
        <v>0.470935</v>
      </c>
      <c r="I846" s="20" t="n">
        <v>0.509775</v>
      </c>
      <c r="J846" s="20" t="n">
        <v>0.470935</v>
      </c>
      <c r="K846" s="2" t="inlineStr">
        <is>
          <t>止盈</t>
        </is>
      </c>
      <c r="L846" s="5">
        <f>交易明細!K427</f>
        <v/>
      </c>
      <c r="M846" s="19">
        <f>M842</f>
        <v/>
      </c>
      <c r="N846" s="2">
        <f>N842</f>
        <v/>
      </c>
      <c r="O846" s="19">
        <f>O842</f>
        <v/>
      </c>
      <c r="P846" s="4">
        <f>交易明細!L427</f>
        <v/>
      </c>
      <c r="Q846" s="13">
        <f>IF(N846="已下單",O846*P846,0)</f>
        <v/>
      </c>
      <c r="R846" s="13">
        <f>R845+Q846</f>
        <v/>
      </c>
      <c r="S846" s="19">
        <f>S845-IF(N846="已下單",M846,0)</f>
        <v/>
      </c>
      <c r="T846" s="19">
        <f>R846-S846</f>
        <v/>
      </c>
      <c r="U846" s="2">
        <f>U845-IF(N846="已下單",1,0)</f>
        <v/>
      </c>
      <c r="V846" s="19">
        <f>IF(資金模擬!$B$9=2,MAX(R846,0),MAX(V845,FLOOR(MAX(R846,0),資金模擬!$B$6)))</f>
        <v/>
      </c>
      <c r="W846" s="13">
        <f>MAX(W845,R846)</f>
        <v/>
      </c>
      <c r="X846" s="4">
        <f>IF(W846&gt;0,R846/W846-1,-1)</f>
        <v/>
      </c>
      <c r="Y846" s="19">
        <f>IF(R846&gt;0,S846*資金模擬!$B$7/R846,0)</f>
        <v/>
      </c>
      <c r="Z846" s="2">
        <f>IF(OR(Z845=1,R846&lt;=資金模擬!$B$10),1,0)</f>
        <v/>
      </c>
    </row>
    <row r="847">
      <c r="A847" s="2" t="n">
        <v>845</v>
      </c>
      <c r="B847" s="7" t="n">
        <v>46289</v>
      </c>
      <c r="C847" s="2" t="inlineStr">
        <is>
          <t>出場</t>
        </is>
      </c>
      <c r="D847" s="2" t="n">
        <v>427</v>
      </c>
      <c r="E847" s="2" t="inlineStr">
        <is>
          <t>USELESS_USDT_PERP</t>
        </is>
      </c>
      <c r="F847" s="2" t="inlineStr">
        <is>
          <t>做空</t>
        </is>
      </c>
      <c r="G847" s="20" t="n">
        <v>0.31904</v>
      </c>
      <c r="H847" s="20" t="n">
        <v>0.3094688</v>
      </c>
      <c r="I847" s="20" t="n">
        <v>0.334992</v>
      </c>
      <c r="J847" s="20" t="n">
        <v>0.3094688</v>
      </c>
      <c r="K847" s="2" t="inlineStr">
        <is>
          <t>止盈</t>
        </is>
      </c>
      <c r="L847" s="5">
        <f>交易明細!K428</f>
        <v/>
      </c>
      <c r="M847" s="19">
        <f>M843</f>
        <v/>
      </c>
      <c r="N847" s="2">
        <f>N843</f>
        <v/>
      </c>
      <c r="O847" s="19">
        <f>O843</f>
        <v/>
      </c>
      <c r="P847" s="4">
        <f>交易明細!L428</f>
        <v/>
      </c>
      <c r="Q847" s="13">
        <f>IF(N847="已下單",O847*P847,0)</f>
        <v/>
      </c>
      <c r="R847" s="13">
        <f>R846+Q847</f>
        <v/>
      </c>
      <c r="S847" s="19">
        <f>S846-IF(N847="已下單",M847,0)</f>
        <v/>
      </c>
      <c r="T847" s="19">
        <f>R847-S847</f>
        <v/>
      </c>
      <c r="U847" s="2">
        <f>U846-IF(N847="已下單",1,0)</f>
        <v/>
      </c>
      <c r="V847" s="19">
        <f>IF(資金模擬!$B$9=2,MAX(R847,0),MAX(V846,FLOOR(MAX(R847,0),資金模擬!$B$6)))</f>
        <v/>
      </c>
      <c r="W847" s="13">
        <f>MAX(W846,R847)</f>
        <v/>
      </c>
      <c r="X847" s="4">
        <f>IF(W847&gt;0,R847/W847-1,-1)</f>
        <v/>
      </c>
      <c r="Y847" s="19">
        <f>IF(R847&gt;0,S847*資金模擬!$B$7/R847,0)</f>
        <v/>
      </c>
      <c r="Z847" s="2">
        <f>IF(OR(Z846=1,R847&lt;=資金模擬!$B$10),1,0)</f>
        <v/>
      </c>
    </row>
    <row r="848">
      <c r="A848" s="2" t="n">
        <v>846</v>
      </c>
      <c r="B848" s="7" t="n">
        <v>46289</v>
      </c>
      <c r="C848" s="2" t="inlineStr">
        <is>
          <t>進場</t>
        </is>
      </c>
      <c r="D848" s="2" t="n">
        <v>428</v>
      </c>
      <c r="E848" s="2" t="inlineStr">
        <is>
          <t>ENA_USDT_PERP</t>
        </is>
      </c>
      <c r="F848" s="2" t="inlineStr">
        <is>
          <t>做空</t>
        </is>
      </c>
      <c r="G848" s="20" t="n">
        <v>0.2019</v>
      </c>
      <c r="H848" s="20" t="n">
        <v>0.195843</v>
      </c>
      <c r="I848" s="20" t="n">
        <v>0.211995</v>
      </c>
      <c r="J848" s="20" t="n"/>
      <c r="K848" s="2" t="n"/>
      <c r="L848" s="5" t="n"/>
      <c r="M848" s="19">
        <f>資金模擬!$B$5*V847</f>
        <v/>
      </c>
      <c r="N848" s="2">
        <f>IF(Z847=1,"已停止",IF(T847&gt;=M848,"已下單","資金不足略過"))</f>
        <v/>
      </c>
      <c r="O848" s="19">
        <f>IF(N848="已下單",M848*資金模擬!$B$7,0)</f>
        <v/>
      </c>
      <c r="P848" s="4" t="n"/>
      <c r="Q848" s="13" t="n">
        <v>0</v>
      </c>
      <c r="R848" s="13">
        <f>R847+Q848</f>
        <v/>
      </c>
      <c r="S848" s="19">
        <f>S847+IF(N848="已下單",M848,0)</f>
        <v/>
      </c>
      <c r="T848" s="19">
        <f>R848-S848</f>
        <v/>
      </c>
      <c r="U848" s="2">
        <f>U847+IF(N848="已下單",1,0)</f>
        <v/>
      </c>
      <c r="V848" s="19">
        <f>IF(資金模擬!$B$9=2,MAX(R848,0),MAX(V847,FLOOR(MAX(R848,0),資金模擬!$B$6)))</f>
        <v/>
      </c>
      <c r="W848" s="13">
        <f>MAX(W847,R848)</f>
        <v/>
      </c>
      <c r="X848" s="4">
        <f>IF(W848&gt;0,R848/W848-1,-1)</f>
        <v/>
      </c>
      <c r="Y848" s="19">
        <f>IF(R848&gt;0,S848*資金模擬!$B$7/R848,0)</f>
        <v/>
      </c>
      <c r="Z848" s="2">
        <f>IF(OR(Z847=1,R848&lt;=資金模擬!$B$10),1,0)</f>
        <v/>
      </c>
    </row>
    <row r="849">
      <c r="A849" s="2" t="n">
        <v>847</v>
      </c>
      <c r="B849" s="7" t="n">
        <v>46289</v>
      </c>
      <c r="C849" s="2" t="inlineStr">
        <is>
          <t>進場</t>
        </is>
      </c>
      <c r="D849" s="2" t="n">
        <v>429</v>
      </c>
      <c r="E849" s="2" t="inlineStr">
        <is>
          <t>ICP_USDT_PERP</t>
        </is>
      </c>
      <c r="F849" s="2" t="inlineStr">
        <is>
          <t>做空</t>
        </is>
      </c>
      <c r="G849" s="20" t="n">
        <v>2.858</v>
      </c>
      <c r="H849" s="20" t="n">
        <v>2.77226</v>
      </c>
      <c r="I849" s="20" t="n">
        <v>3.0009</v>
      </c>
      <c r="J849" s="20" t="n"/>
      <c r="K849" s="2" t="n"/>
      <c r="L849" s="5" t="n"/>
      <c r="M849" s="19">
        <f>資金模擬!$B$5*V848</f>
        <v/>
      </c>
      <c r="N849" s="2">
        <f>IF(Z848=1,"已停止",IF(T848&gt;=M849,"已下單","資金不足略過"))</f>
        <v/>
      </c>
      <c r="O849" s="19">
        <f>IF(N849="已下單",M849*資金模擬!$B$7,0)</f>
        <v/>
      </c>
      <c r="P849" s="4" t="n"/>
      <c r="Q849" s="13" t="n">
        <v>0</v>
      </c>
      <c r="R849" s="13">
        <f>R848+Q849</f>
        <v/>
      </c>
      <c r="S849" s="19">
        <f>S848+IF(N849="已下單",M849,0)</f>
        <v/>
      </c>
      <c r="T849" s="19">
        <f>R849-S849</f>
        <v/>
      </c>
      <c r="U849" s="2">
        <f>U848+IF(N849="已下單",1,0)</f>
        <v/>
      </c>
      <c r="V849" s="19">
        <f>IF(資金模擬!$B$9=2,MAX(R849,0),MAX(V848,FLOOR(MAX(R849,0),資金模擬!$B$6)))</f>
        <v/>
      </c>
      <c r="W849" s="13">
        <f>MAX(W848,R849)</f>
        <v/>
      </c>
      <c r="X849" s="4">
        <f>IF(W849&gt;0,R849/W849-1,-1)</f>
        <v/>
      </c>
      <c r="Y849" s="19">
        <f>IF(R849&gt;0,S849*資金模擬!$B$7/R849,0)</f>
        <v/>
      </c>
      <c r="Z849" s="2">
        <f>IF(OR(Z848=1,R849&lt;=資金模擬!$B$10),1,0)</f>
        <v/>
      </c>
    </row>
    <row r="850">
      <c r="A850" s="2" t="n">
        <v>848</v>
      </c>
      <c r="B850" s="7" t="n">
        <v>46289</v>
      </c>
      <c r="C850" s="2" t="inlineStr">
        <is>
          <t>進場</t>
        </is>
      </c>
      <c r="D850" s="2" t="n">
        <v>430</v>
      </c>
      <c r="E850" s="2" t="inlineStr">
        <is>
          <t>INJ_USDT_PERP</t>
        </is>
      </c>
      <c r="F850" s="2" t="inlineStr">
        <is>
          <t>做空</t>
        </is>
      </c>
      <c r="G850" s="20" t="n">
        <v>7.655</v>
      </c>
      <c r="H850" s="20" t="n">
        <v>7.42535</v>
      </c>
      <c r="I850" s="20" t="n">
        <v>8.037750000000001</v>
      </c>
      <c r="J850" s="20" t="n"/>
      <c r="K850" s="2" t="n"/>
      <c r="L850" s="5" t="n"/>
      <c r="M850" s="19">
        <f>資金模擬!$B$5*V849</f>
        <v/>
      </c>
      <c r="N850" s="2">
        <f>IF(Z849=1,"已停止",IF(T849&gt;=M850,"已下單","資金不足略過"))</f>
        <v/>
      </c>
      <c r="O850" s="19">
        <f>IF(N850="已下單",M850*資金模擬!$B$7,0)</f>
        <v/>
      </c>
      <c r="P850" s="4" t="n"/>
      <c r="Q850" s="13" t="n">
        <v>0</v>
      </c>
      <c r="R850" s="13">
        <f>R849+Q850</f>
        <v/>
      </c>
      <c r="S850" s="19">
        <f>S849+IF(N850="已下單",M850,0)</f>
        <v/>
      </c>
      <c r="T850" s="19">
        <f>R850-S850</f>
        <v/>
      </c>
      <c r="U850" s="2">
        <f>U849+IF(N850="已下單",1,0)</f>
        <v/>
      </c>
      <c r="V850" s="19">
        <f>IF(資金模擬!$B$9=2,MAX(R850,0),MAX(V849,FLOOR(MAX(R850,0),資金模擬!$B$6)))</f>
        <v/>
      </c>
      <c r="W850" s="13">
        <f>MAX(W849,R850)</f>
        <v/>
      </c>
      <c r="X850" s="4">
        <f>IF(W850&gt;0,R850/W850-1,-1)</f>
        <v/>
      </c>
      <c r="Y850" s="19">
        <f>IF(R850&gt;0,S850*資金模擬!$B$7/R850,0)</f>
        <v/>
      </c>
      <c r="Z850" s="2">
        <f>IF(OR(Z849=1,R850&lt;=資金模擬!$B$10),1,0)</f>
        <v/>
      </c>
    </row>
    <row r="851">
      <c r="A851" s="2" t="n">
        <v>849</v>
      </c>
      <c r="B851" s="7" t="n">
        <v>46289</v>
      </c>
      <c r="C851" s="2" t="inlineStr">
        <is>
          <t>進場</t>
        </is>
      </c>
      <c r="D851" s="2" t="n">
        <v>431</v>
      </c>
      <c r="E851" s="2" t="inlineStr">
        <is>
          <t>LSK_USDT_PERP</t>
        </is>
      </c>
      <c r="F851" s="2" t="inlineStr">
        <is>
          <t>做空</t>
        </is>
      </c>
      <c r="G851" s="20" t="n">
        <v>0.3011</v>
      </c>
      <c r="H851" s="20" t="n">
        <v>0.292067</v>
      </c>
      <c r="I851" s="20" t="n">
        <v>0.316155</v>
      </c>
      <c r="J851" s="20" t="n"/>
      <c r="K851" s="2" t="n"/>
      <c r="L851" s="5" t="n"/>
      <c r="M851" s="19">
        <f>資金模擬!$B$5*V850</f>
        <v/>
      </c>
      <c r="N851" s="2">
        <f>IF(Z850=1,"已停止",IF(T850&gt;=M851,"已下單","資金不足略過"))</f>
        <v/>
      </c>
      <c r="O851" s="19">
        <f>IF(N851="已下單",M851*資金模擬!$B$7,0)</f>
        <v/>
      </c>
      <c r="P851" s="4" t="n"/>
      <c r="Q851" s="13" t="n">
        <v>0</v>
      </c>
      <c r="R851" s="13">
        <f>R850+Q851</f>
        <v/>
      </c>
      <c r="S851" s="19">
        <f>S850+IF(N851="已下單",M851,0)</f>
        <v/>
      </c>
      <c r="T851" s="19">
        <f>R851-S851</f>
        <v/>
      </c>
      <c r="U851" s="2">
        <f>U850+IF(N851="已下單",1,0)</f>
        <v/>
      </c>
      <c r="V851" s="19">
        <f>IF(資金模擬!$B$9=2,MAX(R851,0),MAX(V850,FLOOR(MAX(R851,0),資金模擬!$B$6)))</f>
        <v/>
      </c>
      <c r="W851" s="13">
        <f>MAX(W850,R851)</f>
        <v/>
      </c>
      <c r="X851" s="4">
        <f>IF(W851&gt;0,R851/W851-1,-1)</f>
        <v/>
      </c>
      <c r="Y851" s="19">
        <f>IF(R851&gt;0,S851*資金模擬!$B$7/R851,0)</f>
        <v/>
      </c>
      <c r="Z851" s="2">
        <f>IF(OR(Z850=1,R851&lt;=資金模擬!$B$10),1,0)</f>
        <v/>
      </c>
    </row>
    <row r="852">
      <c r="A852" s="2" t="n">
        <v>850</v>
      </c>
      <c r="B852" s="7" t="n">
        <v>46289</v>
      </c>
      <c r="C852" s="2" t="inlineStr">
        <is>
          <t>進場</t>
        </is>
      </c>
      <c r="D852" s="2" t="n">
        <v>432</v>
      </c>
      <c r="E852" s="2" t="inlineStr">
        <is>
          <t>MARSCOIN_USDT_PERP</t>
        </is>
      </c>
      <c r="F852" s="2" t="inlineStr">
        <is>
          <t>做空</t>
        </is>
      </c>
      <c r="G852" s="20" t="n">
        <v>0.12647</v>
      </c>
      <c r="H852" s="20" t="n">
        <v>0.1226759</v>
      </c>
      <c r="I852" s="20" t="n">
        <v>0.1327935</v>
      </c>
      <c r="J852" s="20" t="n"/>
      <c r="K852" s="2" t="n"/>
      <c r="L852" s="5" t="n"/>
      <c r="M852" s="19">
        <f>資金模擬!$B$5*V851</f>
        <v/>
      </c>
      <c r="N852" s="2">
        <f>IF(Z851=1,"已停止",IF(T851&gt;=M852,"已下單","資金不足略過"))</f>
        <v/>
      </c>
      <c r="O852" s="19">
        <f>IF(N852="已下單",M852*資金模擬!$B$7,0)</f>
        <v/>
      </c>
      <c r="P852" s="4" t="n"/>
      <c r="Q852" s="13" t="n">
        <v>0</v>
      </c>
      <c r="R852" s="13">
        <f>R851+Q852</f>
        <v/>
      </c>
      <c r="S852" s="19">
        <f>S851+IF(N852="已下單",M852,0)</f>
        <v/>
      </c>
      <c r="T852" s="19">
        <f>R852-S852</f>
        <v/>
      </c>
      <c r="U852" s="2">
        <f>U851+IF(N852="已下單",1,0)</f>
        <v/>
      </c>
      <c r="V852" s="19">
        <f>IF(資金模擬!$B$9=2,MAX(R852,0),MAX(V851,FLOOR(MAX(R852,0),資金模擬!$B$6)))</f>
        <v/>
      </c>
      <c r="W852" s="13">
        <f>MAX(W851,R852)</f>
        <v/>
      </c>
      <c r="X852" s="4">
        <f>IF(W852&gt;0,R852/W852-1,-1)</f>
        <v/>
      </c>
      <c r="Y852" s="19">
        <f>IF(R852&gt;0,S852*資金模擬!$B$7/R852,0)</f>
        <v/>
      </c>
      <c r="Z852" s="2">
        <f>IF(OR(Z851=1,R852&lt;=資金模擬!$B$10),1,0)</f>
        <v/>
      </c>
    </row>
    <row r="853">
      <c r="A853" s="2" t="n">
        <v>851</v>
      </c>
      <c r="B853" s="7" t="n">
        <v>46289</v>
      </c>
      <c r="C853" s="2" t="inlineStr">
        <is>
          <t>進場</t>
        </is>
      </c>
      <c r="D853" s="2" t="n">
        <v>433</v>
      </c>
      <c r="E853" s="2" t="inlineStr">
        <is>
          <t>NIL_USDT_PERP</t>
        </is>
      </c>
      <c r="F853" s="2" t="inlineStr">
        <is>
          <t>做多</t>
        </is>
      </c>
      <c r="G853" s="20" t="n">
        <v>0.09558</v>
      </c>
      <c r="H853" s="20" t="n">
        <v>0.0984474</v>
      </c>
      <c r="I853" s="20" t="n">
        <v>0.09080099999999999</v>
      </c>
      <c r="J853" s="20" t="n"/>
      <c r="K853" s="2" t="n"/>
      <c r="L853" s="5" t="n"/>
      <c r="M853" s="19">
        <f>資金模擬!$B$5*V852</f>
        <v/>
      </c>
      <c r="N853" s="2">
        <f>IF(Z852=1,"已停止",IF(T852&gt;=M853,"已下單","資金不足略過"))</f>
        <v/>
      </c>
      <c r="O853" s="19">
        <f>IF(N853="已下單",M853*資金模擬!$B$7,0)</f>
        <v/>
      </c>
      <c r="P853" s="4" t="n"/>
      <c r="Q853" s="13" t="n">
        <v>0</v>
      </c>
      <c r="R853" s="13">
        <f>R852+Q853</f>
        <v/>
      </c>
      <c r="S853" s="19">
        <f>S852+IF(N853="已下單",M853,0)</f>
        <v/>
      </c>
      <c r="T853" s="19">
        <f>R853-S853</f>
        <v/>
      </c>
      <c r="U853" s="2">
        <f>U852+IF(N853="已下單",1,0)</f>
        <v/>
      </c>
      <c r="V853" s="19">
        <f>IF(資金模擬!$B$9=2,MAX(R853,0),MAX(V852,FLOOR(MAX(R853,0),資金模擬!$B$6)))</f>
        <v/>
      </c>
      <c r="W853" s="13">
        <f>MAX(W852,R853)</f>
        <v/>
      </c>
      <c r="X853" s="4">
        <f>IF(W853&gt;0,R853/W853-1,-1)</f>
        <v/>
      </c>
      <c r="Y853" s="19">
        <f>IF(R853&gt;0,S853*資金模擬!$B$7/R853,0)</f>
        <v/>
      </c>
      <c r="Z853" s="2">
        <f>IF(OR(Z852=1,R853&lt;=資金模擬!$B$10),1,0)</f>
        <v/>
      </c>
    </row>
    <row r="854">
      <c r="A854" s="2" t="n">
        <v>852</v>
      </c>
      <c r="B854" s="7" t="n">
        <v>46289</v>
      </c>
      <c r="C854" s="2" t="inlineStr">
        <is>
          <t>進場</t>
        </is>
      </c>
      <c r="D854" s="2" t="n">
        <v>434</v>
      </c>
      <c r="E854" s="2" t="inlineStr">
        <is>
          <t>ONDO_USDT_PERP</t>
        </is>
      </c>
      <c r="F854" s="2" t="inlineStr">
        <is>
          <t>做空</t>
        </is>
      </c>
      <c r="G854" s="20" t="n">
        <v>0.4109</v>
      </c>
      <c r="H854" s="20" t="n">
        <v>0.398573</v>
      </c>
      <c r="I854" s="20" t="n">
        <v>0.431445</v>
      </c>
      <c r="J854" s="20" t="n"/>
      <c r="K854" s="2" t="n"/>
      <c r="L854" s="5" t="n"/>
      <c r="M854" s="19">
        <f>資金模擬!$B$5*V853</f>
        <v/>
      </c>
      <c r="N854" s="2">
        <f>IF(Z853=1,"已停止",IF(T853&gt;=M854,"已下單","資金不足略過"))</f>
        <v/>
      </c>
      <c r="O854" s="19">
        <f>IF(N854="已下單",M854*資金模擬!$B$7,0)</f>
        <v/>
      </c>
      <c r="P854" s="4" t="n"/>
      <c r="Q854" s="13" t="n">
        <v>0</v>
      </c>
      <c r="R854" s="13">
        <f>R853+Q854</f>
        <v/>
      </c>
      <c r="S854" s="19">
        <f>S853+IF(N854="已下單",M854,0)</f>
        <v/>
      </c>
      <c r="T854" s="19">
        <f>R854-S854</f>
        <v/>
      </c>
      <c r="U854" s="2">
        <f>U853+IF(N854="已下單",1,0)</f>
        <v/>
      </c>
      <c r="V854" s="19">
        <f>IF(資金模擬!$B$9=2,MAX(R854,0),MAX(V853,FLOOR(MAX(R854,0),資金模擬!$B$6)))</f>
        <v/>
      </c>
      <c r="W854" s="13">
        <f>MAX(W853,R854)</f>
        <v/>
      </c>
      <c r="X854" s="4">
        <f>IF(W854&gt;0,R854/W854-1,-1)</f>
        <v/>
      </c>
      <c r="Y854" s="19">
        <f>IF(R854&gt;0,S854*資金模擬!$B$7/R854,0)</f>
        <v/>
      </c>
      <c r="Z854" s="2">
        <f>IF(OR(Z853=1,R854&lt;=資金模擬!$B$10),1,0)</f>
        <v/>
      </c>
    </row>
    <row r="855">
      <c r="A855" s="2" t="n">
        <v>853</v>
      </c>
      <c r="B855" s="7" t="n">
        <v>46289</v>
      </c>
      <c r="C855" s="2" t="inlineStr">
        <is>
          <t>進場</t>
        </is>
      </c>
      <c r="D855" s="2" t="n">
        <v>435</v>
      </c>
      <c r="E855" s="2" t="inlineStr">
        <is>
          <t>PONS_USDT_PERP</t>
        </is>
      </c>
      <c r="F855" s="2" t="inlineStr">
        <is>
          <t>做空</t>
        </is>
      </c>
      <c r="G855" s="20" t="n">
        <v>0.6631</v>
      </c>
      <c r="H855" s="20" t="n">
        <v>0.643207</v>
      </c>
      <c r="I855" s="20" t="n">
        <v>0.6962550000000001</v>
      </c>
      <c r="J855" s="20" t="n"/>
      <c r="K855" s="2" t="n"/>
      <c r="L855" s="5" t="n"/>
      <c r="M855" s="19">
        <f>資金模擬!$B$5*V854</f>
        <v/>
      </c>
      <c r="N855" s="2">
        <f>IF(Z854=1,"已停止",IF(T854&gt;=M855,"已下單","資金不足略過"))</f>
        <v/>
      </c>
      <c r="O855" s="19">
        <f>IF(N855="已下單",M855*資金模擬!$B$7,0)</f>
        <v/>
      </c>
      <c r="P855" s="4" t="n"/>
      <c r="Q855" s="13" t="n">
        <v>0</v>
      </c>
      <c r="R855" s="13">
        <f>R854+Q855</f>
        <v/>
      </c>
      <c r="S855" s="19">
        <f>S854+IF(N855="已下單",M855,0)</f>
        <v/>
      </c>
      <c r="T855" s="19">
        <f>R855-S855</f>
        <v/>
      </c>
      <c r="U855" s="2">
        <f>U854+IF(N855="已下單",1,0)</f>
        <v/>
      </c>
      <c r="V855" s="19">
        <f>IF(資金模擬!$B$9=2,MAX(R855,0),MAX(V854,FLOOR(MAX(R855,0),資金模擬!$B$6)))</f>
        <v/>
      </c>
      <c r="W855" s="13">
        <f>MAX(W854,R855)</f>
        <v/>
      </c>
      <c r="X855" s="4">
        <f>IF(W855&gt;0,R855/W855-1,-1)</f>
        <v/>
      </c>
      <c r="Y855" s="19">
        <f>IF(R855&gt;0,S855*資金模擬!$B$7/R855,0)</f>
        <v/>
      </c>
      <c r="Z855" s="2">
        <f>IF(OR(Z854=1,R855&lt;=資金模擬!$B$10),1,0)</f>
        <v/>
      </c>
    </row>
    <row r="856">
      <c r="A856" s="2" t="n">
        <v>854</v>
      </c>
      <c r="B856" s="7" t="n">
        <v>46289.00347222222</v>
      </c>
      <c r="C856" s="2" t="inlineStr">
        <is>
          <t>出場</t>
        </is>
      </c>
      <c r="D856" s="2" t="n">
        <v>433</v>
      </c>
      <c r="E856" s="2" t="inlineStr">
        <is>
          <t>NIL_USDT_PERP</t>
        </is>
      </c>
      <c r="F856" s="2" t="inlineStr">
        <is>
          <t>做多</t>
        </is>
      </c>
      <c r="G856" s="20" t="n">
        <v>0.09558</v>
      </c>
      <c r="H856" s="20" t="n">
        <v>0.0984474</v>
      </c>
      <c r="I856" s="20" t="n">
        <v>0.09080099999999999</v>
      </c>
      <c r="J856" s="20" t="n">
        <v>0.09080099999999999</v>
      </c>
      <c r="K856" s="2" t="inlineStr">
        <is>
          <t>止損</t>
        </is>
      </c>
      <c r="L856" s="5">
        <f>交易明細!K434</f>
        <v/>
      </c>
      <c r="M856" s="19">
        <f>M853</f>
        <v/>
      </c>
      <c r="N856" s="2">
        <f>N853</f>
        <v/>
      </c>
      <c r="O856" s="19">
        <f>O853</f>
        <v/>
      </c>
      <c r="P856" s="4">
        <f>交易明細!L434</f>
        <v/>
      </c>
      <c r="Q856" s="13">
        <f>IF(N856="已下單",O856*P856,0)</f>
        <v/>
      </c>
      <c r="R856" s="13">
        <f>R855+Q856</f>
        <v/>
      </c>
      <c r="S856" s="19">
        <f>S855-IF(N856="已下單",M856,0)</f>
        <v/>
      </c>
      <c r="T856" s="19">
        <f>R856-S856</f>
        <v/>
      </c>
      <c r="U856" s="2">
        <f>U855-IF(N856="已下單",1,0)</f>
        <v/>
      </c>
      <c r="V856" s="19">
        <f>IF(資金模擬!$B$9=2,MAX(R856,0),MAX(V855,FLOOR(MAX(R856,0),資金模擬!$B$6)))</f>
        <v/>
      </c>
      <c r="W856" s="13">
        <f>MAX(W855,R856)</f>
        <v/>
      </c>
      <c r="X856" s="4">
        <f>IF(W856&gt;0,R856/W856-1,-1)</f>
        <v/>
      </c>
      <c r="Y856" s="19">
        <f>IF(R856&gt;0,S856*資金模擬!$B$7/R856,0)</f>
        <v/>
      </c>
      <c r="Z856" s="2">
        <f>IF(OR(Z855=1,R856&lt;=資金模擬!$B$10),1,0)</f>
        <v/>
      </c>
    </row>
    <row r="857">
      <c r="A857" s="2" t="n">
        <v>855</v>
      </c>
      <c r="B857" s="7" t="n">
        <v>46289.04166666666</v>
      </c>
      <c r="C857" s="2" t="inlineStr">
        <is>
          <t>出場</t>
        </is>
      </c>
      <c r="D857" s="2" t="n">
        <v>417</v>
      </c>
      <c r="E857" s="2" t="inlineStr">
        <is>
          <t>AKE_USDT_PERP</t>
        </is>
      </c>
      <c r="F857" s="2" t="inlineStr">
        <is>
          <t>做空</t>
        </is>
      </c>
      <c r="G857" s="20" t="n">
        <v>0.0471572</v>
      </c>
      <c r="H857" s="20" t="n">
        <v>0.045742484</v>
      </c>
      <c r="I857" s="20" t="n">
        <v>0.04951506000000001</v>
      </c>
      <c r="J857" s="20" t="n">
        <v>0.045742484</v>
      </c>
      <c r="K857" s="2" t="inlineStr">
        <is>
          <t>止盈</t>
        </is>
      </c>
      <c r="L857" s="5">
        <f>交易明細!K418</f>
        <v/>
      </c>
      <c r="M857" s="19">
        <f>M833</f>
        <v/>
      </c>
      <c r="N857" s="2">
        <f>N833</f>
        <v/>
      </c>
      <c r="O857" s="19">
        <f>O833</f>
        <v/>
      </c>
      <c r="P857" s="4">
        <f>交易明細!L418</f>
        <v/>
      </c>
      <c r="Q857" s="13">
        <f>IF(N857="已下單",O857*P857,0)</f>
        <v/>
      </c>
      <c r="R857" s="13">
        <f>R856+Q857</f>
        <v/>
      </c>
      <c r="S857" s="19">
        <f>S856-IF(N857="已下單",M857,0)</f>
        <v/>
      </c>
      <c r="T857" s="19">
        <f>R857-S857</f>
        <v/>
      </c>
      <c r="U857" s="2">
        <f>U856-IF(N857="已下單",1,0)</f>
        <v/>
      </c>
      <c r="V857" s="19">
        <f>IF(資金模擬!$B$9=2,MAX(R857,0),MAX(V856,FLOOR(MAX(R857,0),資金模擬!$B$6)))</f>
        <v/>
      </c>
      <c r="W857" s="13">
        <f>MAX(W856,R857)</f>
        <v/>
      </c>
      <c r="X857" s="4">
        <f>IF(W857&gt;0,R857/W857-1,-1)</f>
        <v/>
      </c>
      <c r="Y857" s="19">
        <f>IF(R857&gt;0,S857*資金模擬!$B$7/R857,0)</f>
        <v/>
      </c>
      <c r="Z857" s="2">
        <f>IF(OR(Z856=1,R857&lt;=資金模擬!$B$10),1,0)</f>
        <v/>
      </c>
    </row>
    <row r="858">
      <c r="A858" s="2" t="n">
        <v>856</v>
      </c>
      <c r="B858" s="7" t="n">
        <v>46289.04166666666</v>
      </c>
      <c r="C858" s="2" t="inlineStr">
        <is>
          <t>出場</t>
        </is>
      </c>
      <c r="D858" s="2" t="n">
        <v>418</v>
      </c>
      <c r="E858" s="2" t="inlineStr">
        <is>
          <t>AVAX_USDT_PERP</t>
        </is>
      </c>
      <c r="F858" s="2" t="inlineStr">
        <is>
          <t>做空</t>
        </is>
      </c>
      <c r="G858" s="20" t="n">
        <v>10.444</v>
      </c>
      <c r="H858" s="20" t="n">
        <v>10.13068</v>
      </c>
      <c r="I858" s="20" t="n">
        <v>10.9662</v>
      </c>
      <c r="J858" s="20" t="n">
        <v>10.13068</v>
      </c>
      <c r="K858" s="2" t="inlineStr">
        <is>
          <t>止盈</t>
        </is>
      </c>
      <c r="L858" s="5">
        <f>交易明細!K419</f>
        <v/>
      </c>
      <c r="M858" s="19">
        <f>M834</f>
        <v/>
      </c>
      <c r="N858" s="2">
        <f>N834</f>
        <v/>
      </c>
      <c r="O858" s="19">
        <f>O834</f>
        <v/>
      </c>
      <c r="P858" s="4">
        <f>交易明細!L419</f>
        <v/>
      </c>
      <c r="Q858" s="13">
        <f>IF(N858="已下單",O858*P858,0)</f>
        <v/>
      </c>
      <c r="R858" s="13">
        <f>R857+Q858</f>
        <v/>
      </c>
      <c r="S858" s="19">
        <f>S857-IF(N858="已下單",M858,0)</f>
        <v/>
      </c>
      <c r="T858" s="19">
        <f>R858-S858</f>
        <v/>
      </c>
      <c r="U858" s="2">
        <f>U857-IF(N858="已下單",1,0)</f>
        <v/>
      </c>
      <c r="V858" s="19">
        <f>IF(資金模擬!$B$9=2,MAX(R858,0),MAX(V857,FLOOR(MAX(R858,0),資金模擬!$B$6)))</f>
        <v/>
      </c>
      <c r="W858" s="13">
        <f>MAX(W857,R858)</f>
        <v/>
      </c>
      <c r="X858" s="4">
        <f>IF(W858&gt;0,R858/W858-1,-1)</f>
        <v/>
      </c>
      <c r="Y858" s="19">
        <f>IF(R858&gt;0,S858*資金模擬!$B$7/R858,0)</f>
        <v/>
      </c>
      <c r="Z858" s="2">
        <f>IF(OR(Z857=1,R858&lt;=資金模擬!$B$10),1,0)</f>
        <v/>
      </c>
    </row>
    <row r="859">
      <c r="A859" s="2" t="n">
        <v>857</v>
      </c>
      <c r="B859" s="7" t="n">
        <v>46289.04166666666</v>
      </c>
      <c r="C859" s="2" t="inlineStr">
        <is>
          <t>出場</t>
        </is>
      </c>
      <c r="D859" s="2" t="n">
        <v>420</v>
      </c>
      <c r="E859" s="2" t="inlineStr">
        <is>
          <t>DOGE_USDT_PERP</t>
        </is>
      </c>
      <c r="F859" s="2" t="inlineStr">
        <is>
          <t>做空</t>
        </is>
      </c>
      <c r="G859" s="20" t="n">
        <v>0.09482</v>
      </c>
      <c r="H859" s="20" t="n">
        <v>0.0919754</v>
      </c>
      <c r="I859" s="20" t="n">
        <v>0.09956100000000001</v>
      </c>
      <c r="J859" s="20" t="n">
        <v>0.0919754</v>
      </c>
      <c r="K859" s="2" t="inlineStr">
        <is>
          <t>止盈</t>
        </is>
      </c>
      <c r="L859" s="5">
        <f>交易明細!K421</f>
        <v/>
      </c>
      <c r="M859" s="19">
        <f>M836</f>
        <v/>
      </c>
      <c r="N859" s="2">
        <f>N836</f>
        <v/>
      </c>
      <c r="O859" s="19">
        <f>O836</f>
        <v/>
      </c>
      <c r="P859" s="4">
        <f>交易明細!L421</f>
        <v/>
      </c>
      <c r="Q859" s="13">
        <f>IF(N859="已下單",O859*P859,0)</f>
        <v/>
      </c>
      <c r="R859" s="13">
        <f>R858+Q859</f>
        <v/>
      </c>
      <c r="S859" s="19">
        <f>S858-IF(N859="已下單",M859,0)</f>
        <v/>
      </c>
      <c r="T859" s="19">
        <f>R859-S859</f>
        <v/>
      </c>
      <c r="U859" s="2">
        <f>U858-IF(N859="已下單",1,0)</f>
        <v/>
      </c>
      <c r="V859" s="19">
        <f>IF(資金模擬!$B$9=2,MAX(R859,0),MAX(V858,FLOOR(MAX(R859,0),資金模擬!$B$6)))</f>
        <v/>
      </c>
      <c r="W859" s="13">
        <f>MAX(W858,R859)</f>
        <v/>
      </c>
      <c r="X859" s="4">
        <f>IF(W859&gt;0,R859/W859-1,-1)</f>
        <v/>
      </c>
      <c r="Y859" s="19">
        <f>IF(R859&gt;0,S859*資金模擬!$B$7/R859,0)</f>
        <v/>
      </c>
      <c r="Z859" s="2">
        <f>IF(OR(Z858=1,R859&lt;=資金模擬!$B$10),1,0)</f>
        <v/>
      </c>
    </row>
    <row r="860">
      <c r="A860" s="2" t="n">
        <v>858</v>
      </c>
      <c r="B860" s="7" t="n">
        <v>46289.04166666666</v>
      </c>
      <c r="C860" s="2" t="inlineStr">
        <is>
          <t>出場</t>
        </is>
      </c>
      <c r="D860" s="2" t="n">
        <v>422</v>
      </c>
      <c r="E860" s="2" t="inlineStr">
        <is>
          <t>PENGU_USDT_PERP</t>
        </is>
      </c>
      <c r="F860" s="2" t="inlineStr">
        <is>
          <t>做空</t>
        </is>
      </c>
      <c r="G860" s="20" t="n">
        <v>0.009868999999999999</v>
      </c>
      <c r="H860" s="20" t="n">
        <v>0.009572929999999999</v>
      </c>
      <c r="I860" s="20" t="n">
        <v>0.01036245</v>
      </c>
      <c r="J860" s="20" t="n">
        <v>0.009572929999999999</v>
      </c>
      <c r="K860" s="2" t="inlineStr">
        <is>
          <t>止盈</t>
        </is>
      </c>
      <c r="L860" s="5">
        <f>交易明細!K423</f>
        <v/>
      </c>
      <c r="M860" s="19">
        <f>M838</f>
        <v/>
      </c>
      <c r="N860" s="2">
        <f>N838</f>
        <v/>
      </c>
      <c r="O860" s="19">
        <f>O838</f>
        <v/>
      </c>
      <c r="P860" s="4">
        <f>交易明細!L423</f>
        <v/>
      </c>
      <c r="Q860" s="13">
        <f>IF(N860="已下單",O860*P860,0)</f>
        <v/>
      </c>
      <c r="R860" s="13">
        <f>R859+Q860</f>
        <v/>
      </c>
      <c r="S860" s="19">
        <f>S859-IF(N860="已下單",M860,0)</f>
        <v/>
      </c>
      <c r="T860" s="19">
        <f>R860-S860</f>
        <v/>
      </c>
      <c r="U860" s="2">
        <f>U859-IF(N860="已下單",1,0)</f>
        <v/>
      </c>
      <c r="V860" s="19">
        <f>IF(資金模擬!$B$9=2,MAX(R860,0),MAX(V859,FLOOR(MAX(R860,0),資金模擬!$B$6)))</f>
        <v/>
      </c>
      <c r="W860" s="13">
        <f>MAX(W859,R860)</f>
        <v/>
      </c>
      <c r="X860" s="4">
        <f>IF(W860&gt;0,R860/W860-1,-1)</f>
        <v/>
      </c>
      <c r="Y860" s="19">
        <f>IF(R860&gt;0,S860*資金模擬!$B$7/R860,0)</f>
        <v/>
      </c>
      <c r="Z860" s="2">
        <f>IF(OR(Z859=1,R860&lt;=資金模擬!$B$10),1,0)</f>
        <v/>
      </c>
    </row>
    <row r="861">
      <c r="A861" s="2" t="n">
        <v>859</v>
      </c>
      <c r="B861" s="7" t="n">
        <v>46289.04166666666</v>
      </c>
      <c r="C861" s="2" t="inlineStr">
        <is>
          <t>出場</t>
        </is>
      </c>
      <c r="D861" s="2" t="n">
        <v>423</v>
      </c>
      <c r="E861" s="2" t="inlineStr">
        <is>
          <t>PYTH_USDT_PERP</t>
        </is>
      </c>
      <c r="F861" s="2" t="inlineStr">
        <is>
          <t>做空</t>
        </is>
      </c>
      <c r="G861" s="20" t="n">
        <v>0.06324</v>
      </c>
      <c r="H861" s="20" t="n">
        <v>0.0613428</v>
      </c>
      <c r="I861" s="20" t="n">
        <v>0.066402</v>
      </c>
      <c r="J861" s="20" t="n">
        <v>0.0613428</v>
      </c>
      <c r="K861" s="2" t="inlineStr">
        <is>
          <t>止盈</t>
        </is>
      </c>
      <c r="L861" s="5">
        <f>交易明細!K424</f>
        <v/>
      </c>
      <c r="M861" s="19">
        <f>M839</f>
        <v/>
      </c>
      <c r="N861" s="2">
        <f>N839</f>
        <v/>
      </c>
      <c r="O861" s="19">
        <f>O839</f>
        <v/>
      </c>
      <c r="P861" s="4">
        <f>交易明細!L424</f>
        <v/>
      </c>
      <c r="Q861" s="13">
        <f>IF(N861="已下單",O861*P861,0)</f>
        <v/>
      </c>
      <c r="R861" s="13">
        <f>R860+Q861</f>
        <v/>
      </c>
      <c r="S861" s="19">
        <f>S860-IF(N861="已下單",M861,0)</f>
        <v/>
      </c>
      <c r="T861" s="19">
        <f>R861-S861</f>
        <v/>
      </c>
      <c r="U861" s="2">
        <f>U860-IF(N861="已下單",1,0)</f>
        <v/>
      </c>
      <c r="V861" s="19">
        <f>IF(資金模擬!$B$9=2,MAX(R861,0),MAX(V860,FLOOR(MAX(R861,0),資金模擬!$B$6)))</f>
        <v/>
      </c>
      <c r="W861" s="13">
        <f>MAX(W860,R861)</f>
        <v/>
      </c>
      <c r="X861" s="4">
        <f>IF(W861&gt;0,R861/W861-1,-1)</f>
        <v/>
      </c>
      <c r="Y861" s="19">
        <f>IF(R861&gt;0,S861*資金模擬!$B$7/R861,0)</f>
        <v/>
      </c>
      <c r="Z861" s="2">
        <f>IF(OR(Z860=1,R861&lt;=資金模擬!$B$10),1,0)</f>
        <v/>
      </c>
    </row>
    <row r="862">
      <c r="A862" s="2" t="n">
        <v>860</v>
      </c>
      <c r="B862" s="7" t="n">
        <v>46289.04166666666</v>
      </c>
      <c r="C862" s="2" t="inlineStr">
        <is>
          <t>出場</t>
        </is>
      </c>
      <c r="D862" s="2" t="n">
        <v>424</v>
      </c>
      <c r="E862" s="2" t="inlineStr">
        <is>
          <t>SUI_USDT_PERP</t>
        </is>
      </c>
      <c r="F862" s="2" t="inlineStr">
        <is>
          <t>做空</t>
        </is>
      </c>
      <c r="G862" s="20" t="n">
        <v>0.9802</v>
      </c>
      <c r="H862" s="20" t="n">
        <v>0.9507939999999999</v>
      </c>
      <c r="I862" s="20" t="n">
        <v>1.02921</v>
      </c>
      <c r="J862" s="20" t="n">
        <v>0.9507939999999999</v>
      </c>
      <c r="K862" s="2" t="inlineStr">
        <is>
          <t>止盈</t>
        </is>
      </c>
      <c r="L862" s="5">
        <f>交易明細!K425</f>
        <v/>
      </c>
      <c r="M862" s="19">
        <f>M840</f>
        <v/>
      </c>
      <c r="N862" s="2">
        <f>N840</f>
        <v/>
      </c>
      <c r="O862" s="19">
        <f>O840</f>
        <v/>
      </c>
      <c r="P862" s="4">
        <f>交易明細!L425</f>
        <v/>
      </c>
      <c r="Q862" s="13">
        <f>IF(N862="已下單",O862*P862,0)</f>
        <v/>
      </c>
      <c r="R862" s="13">
        <f>R861+Q862</f>
        <v/>
      </c>
      <c r="S862" s="19">
        <f>S861-IF(N862="已下單",M862,0)</f>
        <v/>
      </c>
      <c r="T862" s="19">
        <f>R862-S862</f>
        <v/>
      </c>
      <c r="U862" s="2">
        <f>U861-IF(N862="已下單",1,0)</f>
        <v/>
      </c>
      <c r="V862" s="19">
        <f>IF(資金模擬!$B$9=2,MAX(R862,0),MAX(V861,FLOOR(MAX(R862,0),資金模擬!$B$6)))</f>
        <v/>
      </c>
      <c r="W862" s="13">
        <f>MAX(W861,R862)</f>
        <v/>
      </c>
      <c r="X862" s="4">
        <f>IF(W862&gt;0,R862/W862-1,-1)</f>
        <v/>
      </c>
      <c r="Y862" s="19">
        <f>IF(R862&gt;0,S862*資金模擬!$B$7/R862,0)</f>
        <v/>
      </c>
      <c r="Z862" s="2">
        <f>IF(OR(Z861=1,R862&lt;=資金模擬!$B$10),1,0)</f>
        <v/>
      </c>
    </row>
    <row r="863">
      <c r="A863" s="2" t="n">
        <v>861</v>
      </c>
      <c r="B863" s="7" t="n">
        <v>46289.04166666666</v>
      </c>
      <c r="C863" s="2" t="inlineStr">
        <is>
          <t>出場</t>
        </is>
      </c>
      <c r="D863" s="2" t="n">
        <v>432</v>
      </c>
      <c r="E863" s="2" t="inlineStr">
        <is>
          <t>MARSCOIN_USDT_PERP</t>
        </is>
      </c>
      <c r="F863" s="2" t="inlineStr">
        <is>
          <t>做空</t>
        </is>
      </c>
      <c r="G863" s="20" t="n">
        <v>0.12647</v>
      </c>
      <c r="H863" s="20" t="n">
        <v>0.1226759</v>
      </c>
      <c r="I863" s="20" t="n">
        <v>0.1327935</v>
      </c>
      <c r="J863" s="20" t="n">
        <v>0.1327935</v>
      </c>
      <c r="K863" s="2" t="inlineStr">
        <is>
          <t>止損</t>
        </is>
      </c>
      <c r="L863" s="5">
        <f>交易明細!K433</f>
        <v/>
      </c>
      <c r="M863" s="19">
        <f>M852</f>
        <v/>
      </c>
      <c r="N863" s="2">
        <f>N852</f>
        <v/>
      </c>
      <c r="O863" s="19">
        <f>O852</f>
        <v/>
      </c>
      <c r="P863" s="4">
        <f>交易明細!L433</f>
        <v/>
      </c>
      <c r="Q863" s="13">
        <f>IF(N863="已下單",O863*P863,0)</f>
        <v/>
      </c>
      <c r="R863" s="13">
        <f>R862+Q863</f>
        <v/>
      </c>
      <c r="S863" s="19">
        <f>S862-IF(N863="已下單",M863,0)</f>
        <v/>
      </c>
      <c r="T863" s="19">
        <f>R863-S863</f>
        <v/>
      </c>
      <c r="U863" s="2">
        <f>U862-IF(N863="已下單",1,0)</f>
        <v/>
      </c>
      <c r="V863" s="19">
        <f>IF(資金模擬!$B$9=2,MAX(R863,0),MAX(V862,FLOOR(MAX(R863,0),資金模擬!$B$6)))</f>
        <v/>
      </c>
      <c r="W863" s="13">
        <f>MAX(W862,R863)</f>
        <v/>
      </c>
      <c r="X863" s="4">
        <f>IF(W863&gt;0,R863/W863-1,-1)</f>
        <v/>
      </c>
      <c r="Y863" s="19">
        <f>IF(R863&gt;0,S863*資金模擬!$B$7/R863,0)</f>
        <v/>
      </c>
      <c r="Z863" s="2">
        <f>IF(OR(Z862=1,R863&lt;=資金模擬!$B$10),1,0)</f>
        <v/>
      </c>
    </row>
    <row r="864">
      <c r="A864" s="2" t="n">
        <v>862</v>
      </c>
      <c r="B864" s="7" t="n">
        <v>46289.04166666666</v>
      </c>
      <c r="C864" s="2" t="inlineStr">
        <is>
          <t>進場</t>
        </is>
      </c>
      <c r="D864" s="2" t="n">
        <v>436</v>
      </c>
      <c r="E864" s="2" t="inlineStr">
        <is>
          <t>MET_USDT_PERP</t>
        </is>
      </c>
      <c r="F864" s="2" t="inlineStr">
        <is>
          <t>做空</t>
        </is>
      </c>
      <c r="G864" s="20" t="n">
        <v>0.3528</v>
      </c>
      <c r="H864" s="20" t="n">
        <v>0.342216</v>
      </c>
      <c r="I864" s="20" t="n">
        <v>0.37044</v>
      </c>
      <c r="J864" s="20" t="n"/>
      <c r="K864" s="2" t="n"/>
      <c r="L864" s="5" t="n"/>
      <c r="M864" s="19">
        <f>資金模擬!$B$5*V863</f>
        <v/>
      </c>
      <c r="N864" s="2">
        <f>IF(Z863=1,"已停止",IF(T863&gt;=M864,"已下單","資金不足略過"))</f>
        <v/>
      </c>
      <c r="O864" s="19">
        <f>IF(N864="已下單",M864*資金模擬!$B$7,0)</f>
        <v/>
      </c>
      <c r="P864" s="4" t="n"/>
      <c r="Q864" s="13" t="n">
        <v>0</v>
      </c>
      <c r="R864" s="13">
        <f>R863+Q864</f>
        <v/>
      </c>
      <c r="S864" s="19">
        <f>S863+IF(N864="已下單",M864,0)</f>
        <v/>
      </c>
      <c r="T864" s="19">
        <f>R864-S864</f>
        <v/>
      </c>
      <c r="U864" s="2">
        <f>U863+IF(N864="已下單",1,0)</f>
        <v/>
      </c>
      <c r="V864" s="19">
        <f>IF(資金模擬!$B$9=2,MAX(R864,0),MAX(V863,FLOOR(MAX(R864,0),資金模擬!$B$6)))</f>
        <v/>
      </c>
      <c r="W864" s="13">
        <f>MAX(W863,R864)</f>
        <v/>
      </c>
      <c r="X864" s="4">
        <f>IF(W864&gt;0,R864/W864-1,-1)</f>
        <v/>
      </c>
      <c r="Y864" s="19">
        <f>IF(R864&gt;0,S864*資金模擬!$B$7/R864,0)</f>
        <v/>
      </c>
      <c r="Z864" s="2">
        <f>IF(OR(Z863=1,R864&lt;=資金模擬!$B$10),1,0)</f>
        <v/>
      </c>
    </row>
    <row r="865">
      <c r="A865" s="2" t="n">
        <v>863</v>
      </c>
      <c r="B865" s="7" t="n">
        <v>46289.04166666666</v>
      </c>
      <c r="C865" s="2" t="inlineStr">
        <is>
          <t>進場</t>
        </is>
      </c>
      <c r="D865" s="2" t="n">
        <v>437</v>
      </c>
      <c r="E865" s="2" t="inlineStr">
        <is>
          <t>ZRO_USDT_PERP</t>
        </is>
      </c>
      <c r="F865" s="2" t="inlineStr">
        <is>
          <t>做多</t>
        </is>
      </c>
      <c r="G865" s="20" t="n">
        <v>1.4611</v>
      </c>
      <c r="H865" s="20" t="n">
        <v>1.504933</v>
      </c>
      <c r="I865" s="20" t="n">
        <v>1.388045</v>
      </c>
      <c r="J865" s="20" t="n"/>
      <c r="K865" s="2" t="n"/>
      <c r="L865" s="5" t="n"/>
      <c r="M865" s="19">
        <f>資金模擬!$B$5*V864</f>
        <v/>
      </c>
      <c r="N865" s="2">
        <f>IF(Z864=1,"已停止",IF(T864&gt;=M865,"已下單","資金不足略過"))</f>
        <v/>
      </c>
      <c r="O865" s="19">
        <f>IF(N865="已下單",M865*資金模擬!$B$7,0)</f>
        <v/>
      </c>
      <c r="P865" s="4" t="n"/>
      <c r="Q865" s="13" t="n">
        <v>0</v>
      </c>
      <c r="R865" s="13">
        <f>R864+Q865</f>
        <v/>
      </c>
      <c r="S865" s="19">
        <f>S864+IF(N865="已下單",M865,0)</f>
        <v/>
      </c>
      <c r="T865" s="19">
        <f>R865-S865</f>
        <v/>
      </c>
      <c r="U865" s="2">
        <f>U864+IF(N865="已下單",1,0)</f>
        <v/>
      </c>
      <c r="V865" s="19">
        <f>IF(資金模擬!$B$9=2,MAX(R865,0),MAX(V864,FLOOR(MAX(R865,0),資金模擬!$B$6)))</f>
        <v/>
      </c>
      <c r="W865" s="13">
        <f>MAX(W864,R865)</f>
        <v/>
      </c>
      <c r="X865" s="4">
        <f>IF(W865&gt;0,R865/W865-1,-1)</f>
        <v/>
      </c>
      <c r="Y865" s="19">
        <f>IF(R865&gt;0,S865*資金模擬!$B$7/R865,0)</f>
        <v/>
      </c>
      <c r="Z865" s="2">
        <f>IF(OR(Z864=1,R865&lt;=資金模擬!$B$10),1,0)</f>
        <v/>
      </c>
    </row>
    <row r="866">
      <c r="A866" s="2" t="n">
        <v>864</v>
      </c>
      <c r="B866" s="7" t="n">
        <v>46289.08333333334</v>
      </c>
      <c r="C866" s="2" t="inlineStr">
        <is>
          <t>出場</t>
        </is>
      </c>
      <c r="D866" s="2" t="n">
        <v>428</v>
      </c>
      <c r="E866" s="2" t="inlineStr">
        <is>
          <t>ENA_USDT_PERP</t>
        </is>
      </c>
      <c r="F866" s="2" t="inlineStr">
        <is>
          <t>做空</t>
        </is>
      </c>
      <c r="G866" s="20" t="n">
        <v>0.2019</v>
      </c>
      <c r="H866" s="20" t="n">
        <v>0.195843</v>
      </c>
      <c r="I866" s="20" t="n">
        <v>0.211995</v>
      </c>
      <c r="J866" s="20" t="n">
        <v>0.211995</v>
      </c>
      <c r="K866" s="2" t="inlineStr">
        <is>
          <t>止損</t>
        </is>
      </c>
      <c r="L866" s="5">
        <f>交易明細!K429</f>
        <v/>
      </c>
      <c r="M866" s="19">
        <f>M848</f>
        <v/>
      </c>
      <c r="N866" s="2">
        <f>N848</f>
        <v/>
      </c>
      <c r="O866" s="19">
        <f>O848</f>
        <v/>
      </c>
      <c r="P866" s="4">
        <f>交易明細!L429</f>
        <v/>
      </c>
      <c r="Q866" s="13">
        <f>IF(N866="已下單",O866*P866,0)</f>
        <v/>
      </c>
      <c r="R866" s="13">
        <f>R865+Q866</f>
        <v/>
      </c>
      <c r="S866" s="19">
        <f>S865-IF(N866="已下單",M866,0)</f>
        <v/>
      </c>
      <c r="T866" s="19">
        <f>R866-S866</f>
        <v/>
      </c>
      <c r="U866" s="2">
        <f>U865-IF(N866="已下單",1,0)</f>
        <v/>
      </c>
      <c r="V866" s="19">
        <f>IF(資金模擬!$B$9=2,MAX(R866,0),MAX(V865,FLOOR(MAX(R866,0),資金模擬!$B$6)))</f>
        <v/>
      </c>
      <c r="W866" s="13">
        <f>MAX(W865,R866)</f>
        <v/>
      </c>
      <c r="X866" s="4">
        <f>IF(W866&gt;0,R866/W866-1,-1)</f>
        <v/>
      </c>
      <c r="Y866" s="19">
        <f>IF(R866&gt;0,S866*資金模擬!$B$7/R866,0)</f>
        <v/>
      </c>
      <c r="Z866" s="2">
        <f>IF(OR(Z865=1,R866&lt;=資金模擬!$B$10),1,0)</f>
        <v/>
      </c>
    </row>
    <row r="867">
      <c r="A867" s="2" t="n">
        <v>865</v>
      </c>
      <c r="B867" s="7" t="n">
        <v>46289.08333333334</v>
      </c>
      <c r="C867" s="2" t="inlineStr">
        <is>
          <t>出場</t>
        </is>
      </c>
      <c r="D867" s="2" t="n">
        <v>437</v>
      </c>
      <c r="E867" s="2" t="inlineStr">
        <is>
          <t>ZRO_USDT_PERP</t>
        </is>
      </c>
      <c r="F867" s="2" t="inlineStr">
        <is>
          <t>做多</t>
        </is>
      </c>
      <c r="G867" s="20" t="n">
        <v>1.4611</v>
      </c>
      <c r="H867" s="20" t="n">
        <v>1.504933</v>
      </c>
      <c r="I867" s="20" t="n">
        <v>1.388045</v>
      </c>
      <c r="J867" s="20" t="n">
        <v>1.504933</v>
      </c>
      <c r="K867" s="2" t="inlineStr">
        <is>
          <t>止盈</t>
        </is>
      </c>
      <c r="L867" s="5">
        <f>交易明細!K438</f>
        <v/>
      </c>
      <c r="M867" s="19">
        <f>M865</f>
        <v/>
      </c>
      <c r="N867" s="2">
        <f>N865</f>
        <v/>
      </c>
      <c r="O867" s="19">
        <f>O865</f>
        <v/>
      </c>
      <c r="P867" s="4">
        <f>交易明細!L438</f>
        <v/>
      </c>
      <c r="Q867" s="13">
        <f>IF(N867="已下單",O867*P867,0)</f>
        <v/>
      </c>
      <c r="R867" s="13">
        <f>R866+Q867</f>
        <v/>
      </c>
      <c r="S867" s="19">
        <f>S866-IF(N867="已下單",M867,0)</f>
        <v/>
      </c>
      <c r="T867" s="19">
        <f>R867-S867</f>
        <v/>
      </c>
      <c r="U867" s="2">
        <f>U866-IF(N867="已下單",1,0)</f>
        <v/>
      </c>
      <c r="V867" s="19">
        <f>IF(資金模擬!$B$9=2,MAX(R867,0),MAX(V866,FLOOR(MAX(R867,0),資金模擬!$B$6)))</f>
        <v/>
      </c>
      <c r="W867" s="13">
        <f>MAX(W866,R867)</f>
        <v/>
      </c>
      <c r="X867" s="4">
        <f>IF(W867&gt;0,R867/W867-1,-1)</f>
        <v/>
      </c>
      <c r="Y867" s="19">
        <f>IF(R867&gt;0,S867*資金模擬!$B$7/R867,0)</f>
        <v/>
      </c>
      <c r="Z867" s="2">
        <f>IF(OR(Z866=1,R867&lt;=資金模擬!$B$10),1,0)</f>
        <v/>
      </c>
    </row>
    <row r="868">
      <c r="A868" s="2" t="n">
        <v>866</v>
      </c>
      <c r="B868" s="7" t="n">
        <v>46289.08333333334</v>
      </c>
      <c r="C868" s="2" t="inlineStr">
        <is>
          <t>進場</t>
        </is>
      </c>
      <c r="D868" s="2" t="n">
        <v>438</v>
      </c>
      <c r="E868" s="2" t="inlineStr">
        <is>
          <t>LIT_USDT_PERP</t>
        </is>
      </c>
      <c r="F868" s="2" t="inlineStr">
        <is>
          <t>做多</t>
        </is>
      </c>
      <c r="G868" s="20" t="n">
        <v>5.424</v>
      </c>
      <c r="H868" s="20" t="n">
        <v>5.586720000000001</v>
      </c>
      <c r="I868" s="20" t="n">
        <v>5.1528</v>
      </c>
      <c r="J868" s="20" t="n"/>
      <c r="K868" s="2" t="n"/>
      <c r="L868" s="5" t="n"/>
      <c r="M868" s="19">
        <f>資金模擬!$B$5*V867</f>
        <v/>
      </c>
      <c r="N868" s="2">
        <f>IF(Z867=1,"已停止",IF(T867&gt;=M868,"已下單","資金不足略過"))</f>
        <v/>
      </c>
      <c r="O868" s="19">
        <f>IF(N868="已下單",M868*資金模擬!$B$7,0)</f>
        <v/>
      </c>
      <c r="P868" s="4" t="n"/>
      <c r="Q868" s="13" t="n">
        <v>0</v>
      </c>
      <c r="R868" s="13">
        <f>R867+Q868</f>
        <v/>
      </c>
      <c r="S868" s="19">
        <f>S867+IF(N868="已下單",M868,0)</f>
        <v/>
      </c>
      <c r="T868" s="19">
        <f>R868-S868</f>
        <v/>
      </c>
      <c r="U868" s="2">
        <f>U867+IF(N868="已下單",1,0)</f>
        <v/>
      </c>
      <c r="V868" s="19">
        <f>IF(資金模擬!$B$9=2,MAX(R868,0),MAX(V867,FLOOR(MAX(R868,0),資金模擬!$B$6)))</f>
        <v/>
      </c>
      <c r="W868" s="13">
        <f>MAX(W867,R868)</f>
        <v/>
      </c>
      <c r="X868" s="4">
        <f>IF(W868&gt;0,R868/W868-1,-1)</f>
        <v/>
      </c>
      <c r="Y868" s="19">
        <f>IF(R868&gt;0,S868*資金模擬!$B$7/R868,0)</f>
        <v/>
      </c>
      <c r="Z868" s="2">
        <f>IF(OR(Z867=1,R868&lt;=資金模擬!$B$10),1,0)</f>
        <v/>
      </c>
    </row>
    <row r="869">
      <c r="A869" s="2" t="n">
        <v>867</v>
      </c>
      <c r="B869" s="7" t="n">
        <v>46289.125</v>
      </c>
      <c r="C869" s="2" t="inlineStr">
        <is>
          <t>進場</t>
        </is>
      </c>
      <c r="D869" s="2" t="n">
        <v>439</v>
      </c>
      <c r="E869" s="2" t="inlineStr">
        <is>
          <t>AR_USDT_PERP</t>
        </is>
      </c>
      <c r="F869" s="2" t="inlineStr">
        <is>
          <t>做空</t>
        </is>
      </c>
      <c r="G869" s="20" t="n">
        <v>4.405</v>
      </c>
      <c r="H869" s="20" t="n">
        <v>4.27285</v>
      </c>
      <c r="I869" s="20" t="n">
        <v>4.62525</v>
      </c>
      <c r="J869" s="20" t="n"/>
      <c r="K869" s="2" t="n"/>
      <c r="L869" s="5" t="n"/>
      <c r="M869" s="19">
        <f>資金模擬!$B$5*V868</f>
        <v/>
      </c>
      <c r="N869" s="2">
        <f>IF(Z868=1,"已停止",IF(T868&gt;=M869,"已下單","資金不足略過"))</f>
        <v/>
      </c>
      <c r="O869" s="19">
        <f>IF(N869="已下單",M869*資金模擬!$B$7,0)</f>
        <v/>
      </c>
      <c r="P869" s="4" t="n"/>
      <c r="Q869" s="13" t="n">
        <v>0</v>
      </c>
      <c r="R869" s="13">
        <f>R868+Q869</f>
        <v/>
      </c>
      <c r="S869" s="19">
        <f>S868+IF(N869="已下單",M869,0)</f>
        <v/>
      </c>
      <c r="T869" s="19">
        <f>R869-S869</f>
        <v/>
      </c>
      <c r="U869" s="2">
        <f>U868+IF(N869="已下單",1,0)</f>
        <v/>
      </c>
      <c r="V869" s="19">
        <f>IF(資金模擬!$B$9=2,MAX(R869,0),MAX(V868,FLOOR(MAX(R869,0),資金模擬!$B$6)))</f>
        <v/>
      </c>
      <c r="W869" s="13">
        <f>MAX(W868,R869)</f>
        <v/>
      </c>
      <c r="X869" s="4">
        <f>IF(W869&gt;0,R869/W869-1,-1)</f>
        <v/>
      </c>
      <c r="Y869" s="19">
        <f>IF(R869&gt;0,S869*資金模擬!$B$7/R869,0)</f>
        <v/>
      </c>
      <c r="Z869" s="2">
        <f>IF(OR(Z868=1,R869&lt;=資金模擬!$B$10),1,0)</f>
        <v/>
      </c>
    </row>
    <row r="870">
      <c r="A870" s="2" t="n">
        <v>868</v>
      </c>
      <c r="B870" s="7" t="n">
        <v>46289.16666666666</v>
      </c>
      <c r="C870" s="2" t="inlineStr">
        <is>
          <t>出場</t>
        </is>
      </c>
      <c r="D870" s="2" t="n">
        <v>406</v>
      </c>
      <c r="E870" s="2" t="inlineStr">
        <is>
          <t>KITE_USDT_PERP</t>
        </is>
      </c>
      <c r="F870" s="2" t="inlineStr">
        <is>
          <t>做空</t>
        </is>
      </c>
      <c r="G870" s="20" t="n">
        <v>0.13436</v>
      </c>
      <c r="H870" s="20" t="n">
        <v>0.1303292</v>
      </c>
      <c r="I870" s="20" t="n">
        <v>0.141078</v>
      </c>
      <c r="J870" s="20" t="n">
        <v>0.1303292</v>
      </c>
      <c r="K870" s="2" t="inlineStr">
        <is>
          <t>止盈</t>
        </is>
      </c>
      <c r="L870" s="5">
        <f>交易明細!K407</f>
        <v/>
      </c>
      <c r="M870" s="19">
        <f>M806</f>
        <v/>
      </c>
      <c r="N870" s="2">
        <f>N806</f>
        <v/>
      </c>
      <c r="O870" s="19">
        <f>O806</f>
        <v/>
      </c>
      <c r="P870" s="4">
        <f>交易明細!L407</f>
        <v/>
      </c>
      <c r="Q870" s="13">
        <f>IF(N870="已下單",O870*P870,0)</f>
        <v/>
      </c>
      <c r="R870" s="13">
        <f>R869+Q870</f>
        <v/>
      </c>
      <c r="S870" s="19">
        <f>S869-IF(N870="已下單",M870,0)</f>
        <v/>
      </c>
      <c r="T870" s="19">
        <f>R870-S870</f>
        <v/>
      </c>
      <c r="U870" s="2">
        <f>U869-IF(N870="已下單",1,0)</f>
        <v/>
      </c>
      <c r="V870" s="19">
        <f>IF(資金模擬!$B$9=2,MAX(R870,0),MAX(V869,FLOOR(MAX(R870,0),資金模擬!$B$6)))</f>
        <v/>
      </c>
      <c r="W870" s="13">
        <f>MAX(W869,R870)</f>
        <v/>
      </c>
      <c r="X870" s="4">
        <f>IF(W870&gt;0,R870/W870-1,-1)</f>
        <v/>
      </c>
      <c r="Y870" s="19">
        <f>IF(R870&gt;0,S870*資金模擬!$B$7/R870,0)</f>
        <v/>
      </c>
      <c r="Z870" s="2">
        <f>IF(OR(Z869=1,R870&lt;=資金模擬!$B$10),1,0)</f>
        <v/>
      </c>
    </row>
    <row r="871">
      <c r="A871" s="2" t="n">
        <v>869</v>
      </c>
      <c r="B871" s="7" t="n">
        <v>46289.16666666666</v>
      </c>
      <c r="C871" s="2" t="inlineStr">
        <is>
          <t>出場</t>
        </is>
      </c>
      <c r="D871" s="2" t="n">
        <v>431</v>
      </c>
      <c r="E871" s="2" t="inlineStr">
        <is>
          <t>LSK_USDT_PERP</t>
        </is>
      </c>
      <c r="F871" s="2" t="inlineStr">
        <is>
          <t>做空</t>
        </is>
      </c>
      <c r="G871" s="20" t="n">
        <v>0.3011</v>
      </c>
      <c r="H871" s="20" t="n">
        <v>0.292067</v>
      </c>
      <c r="I871" s="20" t="n">
        <v>0.316155</v>
      </c>
      <c r="J871" s="20" t="n">
        <v>0.316155</v>
      </c>
      <c r="K871" s="2" t="inlineStr">
        <is>
          <t>止損</t>
        </is>
      </c>
      <c r="L871" s="5">
        <f>交易明細!K432</f>
        <v/>
      </c>
      <c r="M871" s="19">
        <f>M851</f>
        <v/>
      </c>
      <c r="N871" s="2">
        <f>N851</f>
        <v/>
      </c>
      <c r="O871" s="19">
        <f>O851</f>
        <v/>
      </c>
      <c r="P871" s="4">
        <f>交易明細!L432</f>
        <v/>
      </c>
      <c r="Q871" s="13">
        <f>IF(N871="已下單",O871*P871,0)</f>
        <v/>
      </c>
      <c r="R871" s="13">
        <f>R870+Q871</f>
        <v/>
      </c>
      <c r="S871" s="19">
        <f>S870-IF(N871="已下單",M871,0)</f>
        <v/>
      </c>
      <c r="T871" s="19">
        <f>R871-S871</f>
        <v/>
      </c>
      <c r="U871" s="2">
        <f>U870-IF(N871="已下單",1,0)</f>
        <v/>
      </c>
      <c r="V871" s="19">
        <f>IF(資金模擬!$B$9=2,MAX(R871,0),MAX(V870,FLOOR(MAX(R871,0),資金模擬!$B$6)))</f>
        <v/>
      </c>
      <c r="W871" s="13">
        <f>MAX(W870,R871)</f>
        <v/>
      </c>
      <c r="X871" s="4">
        <f>IF(W871&gt;0,R871/W871-1,-1)</f>
        <v/>
      </c>
      <c r="Y871" s="19">
        <f>IF(R871&gt;0,S871*資金模擬!$B$7/R871,0)</f>
        <v/>
      </c>
      <c r="Z871" s="2">
        <f>IF(OR(Z870=1,R871&lt;=資金模擬!$B$10),1,0)</f>
        <v/>
      </c>
    </row>
    <row r="872">
      <c r="A872" s="2" t="n">
        <v>870</v>
      </c>
      <c r="B872" s="7" t="n">
        <v>46289.16666666666</v>
      </c>
      <c r="C872" s="2" t="inlineStr">
        <is>
          <t>進場</t>
        </is>
      </c>
      <c r="D872" s="2" t="n">
        <v>440</v>
      </c>
      <c r="E872" s="2" t="inlineStr">
        <is>
          <t>AKE_USDT_PERP</t>
        </is>
      </c>
      <c r="F872" s="2" t="inlineStr">
        <is>
          <t>做空</t>
        </is>
      </c>
      <c r="G872" s="20" t="n">
        <v>0.0457845</v>
      </c>
      <c r="H872" s="20" t="n">
        <v>0.044410965</v>
      </c>
      <c r="I872" s="20" t="n">
        <v>0.048073725</v>
      </c>
      <c r="J872" s="20" t="n"/>
      <c r="K872" s="2" t="n"/>
      <c r="L872" s="5" t="n"/>
      <c r="M872" s="19">
        <f>資金模擬!$B$5*V871</f>
        <v/>
      </c>
      <c r="N872" s="2">
        <f>IF(Z871=1,"已停止",IF(T871&gt;=M872,"已下單","資金不足略過"))</f>
        <v/>
      </c>
      <c r="O872" s="19">
        <f>IF(N872="已下單",M872*資金模擬!$B$7,0)</f>
        <v/>
      </c>
      <c r="P872" s="4" t="n"/>
      <c r="Q872" s="13" t="n">
        <v>0</v>
      </c>
      <c r="R872" s="13">
        <f>R871+Q872</f>
        <v/>
      </c>
      <c r="S872" s="19">
        <f>S871+IF(N872="已下單",M872,0)</f>
        <v/>
      </c>
      <c r="T872" s="19">
        <f>R872-S872</f>
        <v/>
      </c>
      <c r="U872" s="2">
        <f>U871+IF(N872="已下單",1,0)</f>
        <v/>
      </c>
      <c r="V872" s="19">
        <f>IF(資金模擬!$B$9=2,MAX(R872,0),MAX(V871,FLOOR(MAX(R872,0),資金模擬!$B$6)))</f>
        <v/>
      </c>
      <c r="W872" s="13">
        <f>MAX(W871,R872)</f>
        <v/>
      </c>
      <c r="X872" s="4">
        <f>IF(W872&gt;0,R872/W872-1,-1)</f>
        <v/>
      </c>
      <c r="Y872" s="19">
        <f>IF(R872&gt;0,S872*資金模擬!$B$7/R872,0)</f>
        <v/>
      </c>
      <c r="Z872" s="2">
        <f>IF(OR(Z871=1,R872&lt;=資金模擬!$B$10),1,0)</f>
        <v/>
      </c>
    </row>
    <row r="873">
      <c r="A873" s="2" t="n">
        <v>871</v>
      </c>
      <c r="B873" s="7" t="n">
        <v>46289.20833333334</v>
      </c>
      <c r="C873" s="2" t="inlineStr">
        <is>
          <t>出場</t>
        </is>
      </c>
      <c r="D873" s="2" t="n">
        <v>435</v>
      </c>
      <c r="E873" s="2" t="inlineStr">
        <is>
          <t>PONS_USDT_PERP</t>
        </is>
      </c>
      <c r="F873" s="2" t="inlineStr">
        <is>
          <t>做空</t>
        </is>
      </c>
      <c r="G873" s="20" t="n">
        <v>0.6631</v>
      </c>
      <c r="H873" s="20" t="n">
        <v>0.643207</v>
      </c>
      <c r="I873" s="20" t="n">
        <v>0.6962550000000001</v>
      </c>
      <c r="J873" s="20" t="n">
        <v>0.643207</v>
      </c>
      <c r="K873" s="2" t="inlineStr">
        <is>
          <t>止盈</t>
        </is>
      </c>
      <c r="L873" s="5">
        <f>交易明細!K436</f>
        <v/>
      </c>
      <c r="M873" s="19">
        <f>M855</f>
        <v/>
      </c>
      <c r="N873" s="2">
        <f>N855</f>
        <v/>
      </c>
      <c r="O873" s="19">
        <f>O855</f>
        <v/>
      </c>
      <c r="P873" s="4">
        <f>交易明細!L436</f>
        <v/>
      </c>
      <c r="Q873" s="13">
        <f>IF(N873="已下單",O873*P873,0)</f>
        <v/>
      </c>
      <c r="R873" s="13">
        <f>R872+Q873</f>
        <v/>
      </c>
      <c r="S873" s="19">
        <f>S872-IF(N873="已下單",M873,0)</f>
        <v/>
      </c>
      <c r="T873" s="19">
        <f>R873-S873</f>
        <v/>
      </c>
      <c r="U873" s="2">
        <f>U872-IF(N873="已下單",1,0)</f>
        <v/>
      </c>
      <c r="V873" s="19">
        <f>IF(資金模擬!$B$9=2,MAX(R873,0),MAX(V872,FLOOR(MAX(R873,0),資金模擬!$B$6)))</f>
        <v/>
      </c>
      <c r="W873" s="13">
        <f>MAX(W872,R873)</f>
        <v/>
      </c>
      <c r="X873" s="4">
        <f>IF(W873&gt;0,R873/W873-1,-1)</f>
        <v/>
      </c>
      <c r="Y873" s="19">
        <f>IF(R873&gt;0,S873*資金模擬!$B$7/R873,0)</f>
        <v/>
      </c>
      <c r="Z873" s="2">
        <f>IF(OR(Z872=1,R873&lt;=資金模擬!$B$10),1,0)</f>
        <v/>
      </c>
    </row>
    <row r="874">
      <c r="A874" s="2" t="n">
        <v>872</v>
      </c>
      <c r="B874" s="7" t="n">
        <v>46289.20833333334</v>
      </c>
      <c r="C874" s="2" t="inlineStr">
        <is>
          <t>出場</t>
        </is>
      </c>
      <c r="D874" s="2" t="n">
        <v>436</v>
      </c>
      <c r="E874" s="2" t="inlineStr">
        <is>
          <t>MET_USDT_PERP</t>
        </is>
      </c>
      <c r="F874" s="2" t="inlineStr">
        <is>
          <t>做空</t>
        </is>
      </c>
      <c r="G874" s="20" t="n">
        <v>0.3528</v>
      </c>
      <c r="H874" s="20" t="n">
        <v>0.342216</v>
      </c>
      <c r="I874" s="20" t="n">
        <v>0.37044</v>
      </c>
      <c r="J874" s="20" t="n">
        <v>0.342216</v>
      </c>
      <c r="K874" s="2" t="inlineStr">
        <is>
          <t>止盈</t>
        </is>
      </c>
      <c r="L874" s="5">
        <f>交易明細!K437</f>
        <v/>
      </c>
      <c r="M874" s="19">
        <f>M864</f>
        <v/>
      </c>
      <c r="N874" s="2">
        <f>N864</f>
        <v/>
      </c>
      <c r="O874" s="19">
        <f>O864</f>
        <v/>
      </c>
      <c r="P874" s="4">
        <f>交易明細!L437</f>
        <v/>
      </c>
      <c r="Q874" s="13">
        <f>IF(N874="已下單",O874*P874,0)</f>
        <v/>
      </c>
      <c r="R874" s="13">
        <f>R873+Q874</f>
        <v/>
      </c>
      <c r="S874" s="19">
        <f>S873-IF(N874="已下單",M874,0)</f>
        <v/>
      </c>
      <c r="T874" s="19">
        <f>R874-S874</f>
        <v/>
      </c>
      <c r="U874" s="2">
        <f>U873-IF(N874="已下單",1,0)</f>
        <v/>
      </c>
      <c r="V874" s="19">
        <f>IF(資金模擬!$B$9=2,MAX(R874,0),MAX(V873,FLOOR(MAX(R874,0),資金模擬!$B$6)))</f>
        <v/>
      </c>
      <c r="W874" s="13">
        <f>MAX(W873,R874)</f>
        <v/>
      </c>
      <c r="X874" s="4">
        <f>IF(W874&gt;0,R874/W874-1,-1)</f>
        <v/>
      </c>
      <c r="Y874" s="19">
        <f>IF(R874&gt;0,S874*資金模擬!$B$7/R874,0)</f>
        <v/>
      </c>
      <c r="Z874" s="2">
        <f>IF(OR(Z873=1,R874&lt;=資金模擬!$B$10),1,0)</f>
        <v/>
      </c>
    </row>
    <row r="875">
      <c r="A875" s="2" t="n">
        <v>873</v>
      </c>
      <c r="B875" s="7" t="n">
        <v>46289.20833333334</v>
      </c>
      <c r="C875" s="2" t="inlineStr">
        <is>
          <t>出場</t>
        </is>
      </c>
      <c r="D875" s="2" t="n">
        <v>440</v>
      </c>
      <c r="E875" s="2" t="inlineStr">
        <is>
          <t>AKE_USDT_PERP</t>
        </is>
      </c>
      <c r="F875" s="2" t="inlineStr">
        <is>
          <t>做空</t>
        </is>
      </c>
      <c r="G875" s="20" t="n">
        <v>0.0457845</v>
      </c>
      <c r="H875" s="20" t="n">
        <v>0.044410965</v>
      </c>
      <c r="I875" s="20" t="n">
        <v>0.048073725</v>
      </c>
      <c r="J875" s="20" t="n">
        <v>0.044410965</v>
      </c>
      <c r="K875" s="2" t="inlineStr">
        <is>
          <t>止盈</t>
        </is>
      </c>
      <c r="L875" s="5">
        <f>交易明細!K441</f>
        <v/>
      </c>
      <c r="M875" s="19">
        <f>M872</f>
        <v/>
      </c>
      <c r="N875" s="2">
        <f>N872</f>
        <v/>
      </c>
      <c r="O875" s="19">
        <f>O872</f>
        <v/>
      </c>
      <c r="P875" s="4">
        <f>交易明細!L441</f>
        <v/>
      </c>
      <c r="Q875" s="13">
        <f>IF(N875="已下單",O875*P875,0)</f>
        <v/>
      </c>
      <c r="R875" s="13">
        <f>R874+Q875</f>
        <v/>
      </c>
      <c r="S875" s="19">
        <f>S874-IF(N875="已下單",M875,0)</f>
        <v/>
      </c>
      <c r="T875" s="19">
        <f>R875-S875</f>
        <v/>
      </c>
      <c r="U875" s="2">
        <f>U874-IF(N875="已下單",1,0)</f>
        <v/>
      </c>
      <c r="V875" s="19">
        <f>IF(資金模擬!$B$9=2,MAX(R875,0),MAX(V874,FLOOR(MAX(R875,0),資金模擬!$B$6)))</f>
        <v/>
      </c>
      <c r="W875" s="13">
        <f>MAX(W874,R875)</f>
        <v/>
      </c>
      <c r="X875" s="4">
        <f>IF(W875&gt;0,R875/W875-1,-1)</f>
        <v/>
      </c>
      <c r="Y875" s="19">
        <f>IF(R875&gt;0,S875*資金模擬!$B$7/R875,0)</f>
        <v/>
      </c>
      <c r="Z875" s="2">
        <f>IF(OR(Z874=1,R875&lt;=資金模擬!$B$10),1,0)</f>
        <v/>
      </c>
    </row>
    <row r="876">
      <c r="A876" s="2" t="n">
        <v>874</v>
      </c>
      <c r="B876" s="7" t="n">
        <v>46289.20833333334</v>
      </c>
      <c r="C876" s="2" t="inlineStr">
        <is>
          <t>進場</t>
        </is>
      </c>
      <c r="D876" s="2" t="n">
        <v>441</v>
      </c>
      <c r="E876" s="2" t="inlineStr">
        <is>
          <t>BCH_USDT_PERP</t>
        </is>
      </c>
      <c r="F876" s="2" t="inlineStr">
        <is>
          <t>做空</t>
        </is>
      </c>
      <c r="G876" s="20" t="n">
        <v>338.14</v>
      </c>
      <c r="H876" s="20" t="n">
        <v>327.9958</v>
      </c>
      <c r="I876" s="20" t="n">
        <v>355.047</v>
      </c>
      <c r="J876" s="20" t="n"/>
      <c r="K876" s="2" t="n"/>
      <c r="L876" s="5" t="n"/>
      <c r="M876" s="19">
        <f>資金模擬!$B$5*V875</f>
        <v/>
      </c>
      <c r="N876" s="2">
        <f>IF(Z875=1,"已停止",IF(T875&gt;=M876,"已下單","資金不足略過"))</f>
        <v/>
      </c>
      <c r="O876" s="19">
        <f>IF(N876="已下單",M876*資金模擬!$B$7,0)</f>
        <v/>
      </c>
      <c r="P876" s="4" t="n"/>
      <c r="Q876" s="13" t="n">
        <v>0</v>
      </c>
      <c r="R876" s="13">
        <f>R875+Q876</f>
        <v/>
      </c>
      <c r="S876" s="19">
        <f>S875+IF(N876="已下單",M876,0)</f>
        <v/>
      </c>
      <c r="T876" s="19">
        <f>R876-S876</f>
        <v/>
      </c>
      <c r="U876" s="2">
        <f>U875+IF(N876="已下單",1,0)</f>
        <v/>
      </c>
      <c r="V876" s="19">
        <f>IF(資金模擬!$B$9=2,MAX(R876,0),MAX(V875,FLOOR(MAX(R876,0),資金模擬!$B$6)))</f>
        <v/>
      </c>
      <c r="W876" s="13">
        <f>MAX(W875,R876)</f>
        <v/>
      </c>
      <c r="X876" s="4">
        <f>IF(W876&gt;0,R876/W876-1,-1)</f>
        <v/>
      </c>
      <c r="Y876" s="19">
        <f>IF(R876&gt;0,S876*資金模擬!$B$7/R876,0)</f>
        <v/>
      </c>
      <c r="Z876" s="2">
        <f>IF(OR(Z875=1,R876&lt;=資金模擬!$B$10),1,0)</f>
        <v/>
      </c>
    </row>
    <row r="877">
      <c r="A877" s="2" t="n">
        <v>875</v>
      </c>
      <c r="B877" s="7" t="n">
        <v>46289.25</v>
      </c>
      <c r="C877" s="2" t="inlineStr">
        <is>
          <t>進場</t>
        </is>
      </c>
      <c r="D877" s="2" t="n">
        <v>442</v>
      </c>
      <c r="E877" s="2" t="inlineStr">
        <is>
          <t>NIL_USDT_PERP</t>
        </is>
      </c>
      <c r="F877" s="2" t="inlineStr">
        <is>
          <t>做多</t>
        </is>
      </c>
      <c r="G877" s="20" t="n">
        <v>0.09933</v>
      </c>
      <c r="H877" s="20" t="n">
        <v>0.1023099</v>
      </c>
      <c r="I877" s="20" t="n">
        <v>0.0943635</v>
      </c>
      <c r="J877" s="20" t="n"/>
      <c r="K877" s="2" t="n"/>
      <c r="L877" s="5" t="n"/>
      <c r="M877" s="19">
        <f>資金模擬!$B$5*V876</f>
        <v/>
      </c>
      <c r="N877" s="2">
        <f>IF(Z876=1,"已停止",IF(T876&gt;=M877,"已下單","資金不足略過"))</f>
        <v/>
      </c>
      <c r="O877" s="19">
        <f>IF(N877="已下單",M877*資金模擬!$B$7,0)</f>
        <v/>
      </c>
      <c r="P877" s="4" t="n"/>
      <c r="Q877" s="13" t="n">
        <v>0</v>
      </c>
      <c r="R877" s="13">
        <f>R876+Q877</f>
        <v/>
      </c>
      <c r="S877" s="19">
        <f>S876+IF(N877="已下單",M877,0)</f>
        <v/>
      </c>
      <c r="T877" s="19">
        <f>R877-S877</f>
        <v/>
      </c>
      <c r="U877" s="2">
        <f>U876+IF(N877="已下單",1,0)</f>
        <v/>
      </c>
      <c r="V877" s="19">
        <f>IF(資金模擬!$B$9=2,MAX(R877,0),MAX(V876,FLOOR(MAX(R877,0),資金模擬!$B$6)))</f>
        <v/>
      </c>
      <c r="W877" s="13">
        <f>MAX(W876,R877)</f>
        <v/>
      </c>
      <c r="X877" s="4">
        <f>IF(W877&gt;0,R877/W877-1,-1)</f>
        <v/>
      </c>
      <c r="Y877" s="19">
        <f>IF(R877&gt;0,S877*資金模擬!$B$7/R877,0)</f>
        <v/>
      </c>
      <c r="Z877" s="2">
        <f>IF(OR(Z876=1,R877&lt;=資金模擬!$B$10),1,0)</f>
        <v/>
      </c>
    </row>
    <row r="878">
      <c r="A878" s="2" t="n">
        <v>876</v>
      </c>
      <c r="B878" s="7" t="n">
        <v>46289.29166666666</v>
      </c>
      <c r="C878" s="2" t="inlineStr">
        <is>
          <t>出場</t>
        </is>
      </c>
      <c r="D878" s="2" t="n">
        <v>442</v>
      </c>
      <c r="E878" s="2" t="inlineStr">
        <is>
          <t>NIL_USDT_PERP</t>
        </is>
      </c>
      <c r="F878" s="2" t="inlineStr">
        <is>
          <t>做多</t>
        </is>
      </c>
      <c r="G878" s="20" t="n">
        <v>0.09933</v>
      </c>
      <c r="H878" s="20" t="n">
        <v>0.1023099</v>
      </c>
      <c r="I878" s="20" t="n">
        <v>0.0943635</v>
      </c>
      <c r="J878" s="20" t="n">
        <v>0.1023099</v>
      </c>
      <c r="K878" s="2" t="inlineStr">
        <is>
          <t>止盈</t>
        </is>
      </c>
      <c r="L878" s="5">
        <f>交易明細!K443</f>
        <v/>
      </c>
      <c r="M878" s="19">
        <f>M877</f>
        <v/>
      </c>
      <c r="N878" s="2">
        <f>N877</f>
        <v/>
      </c>
      <c r="O878" s="19">
        <f>O877</f>
        <v/>
      </c>
      <c r="P878" s="4">
        <f>交易明細!L443</f>
        <v/>
      </c>
      <c r="Q878" s="13">
        <f>IF(N878="已下單",O878*P878,0)</f>
        <v/>
      </c>
      <c r="R878" s="13">
        <f>R877+Q878</f>
        <v/>
      </c>
      <c r="S878" s="19">
        <f>S877-IF(N878="已下單",M878,0)</f>
        <v/>
      </c>
      <c r="T878" s="19">
        <f>R878-S878</f>
        <v/>
      </c>
      <c r="U878" s="2">
        <f>U877-IF(N878="已下單",1,0)</f>
        <v/>
      </c>
      <c r="V878" s="19">
        <f>IF(資金模擬!$B$9=2,MAX(R878,0),MAX(V877,FLOOR(MAX(R878,0),資金模擬!$B$6)))</f>
        <v/>
      </c>
      <c r="W878" s="13">
        <f>MAX(W877,R878)</f>
        <v/>
      </c>
      <c r="X878" s="4">
        <f>IF(W878&gt;0,R878/W878-1,-1)</f>
        <v/>
      </c>
      <c r="Y878" s="19">
        <f>IF(R878&gt;0,S878*資金模擬!$B$7/R878,0)</f>
        <v/>
      </c>
      <c r="Z878" s="2">
        <f>IF(OR(Z877=1,R878&lt;=資金模擬!$B$10),1,0)</f>
        <v/>
      </c>
    </row>
    <row r="879">
      <c r="A879" s="2" t="n">
        <v>877</v>
      </c>
      <c r="B879" s="7" t="n">
        <v>46289.33333333334</v>
      </c>
      <c r="C879" s="2" t="inlineStr">
        <is>
          <t>出場</t>
        </is>
      </c>
      <c r="D879" s="2" t="n">
        <v>439</v>
      </c>
      <c r="E879" s="2" t="inlineStr">
        <is>
          <t>AR_USDT_PERP</t>
        </is>
      </c>
      <c r="F879" s="2" t="inlineStr">
        <is>
          <t>做空</t>
        </is>
      </c>
      <c r="G879" s="20" t="n">
        <v>4.405</v>
      </c>
      <c r="H879" s="20" t="n">
        <v>4.27285</v>
      </c>
      <c r="I879" s="20" t="n">
        <v>4.62525</v>
      </c>
      <c r="J879" s="20" t="n">
        <v>4.27285</v>
      </c>
      <c r="K879" s="2" t="inlineStr">
        <is>
          <t>止盈</t>
        </is>
      </c>
      <c r="L879" s="5">
        <f>交易明細!K440</f>
        <v/>
      </c>
      <c r="M879" s="19">
        <f>M869</f>
        <v/>
      </c>
      <c r="N879" s="2">
        <f>N869</f>
        <v/>
      </c>
      <c r="O879" s="19">
        <f>O869</f>
        <v/>
      </c>
      <c r="P879" s="4">
        <f>交易明細!L440</f>
        <v/>
      </c>
      <c r="Q879" s="13">
        <f>IF(N879="已下單",O879*P879,0)</f>
        <v/>
      </c>
      <c r="R879" s="13">
        <f>R878+Q879</f>
        <v/>
      </c>
      <c r="S879" s="19">
        <f>S878-IF(N879="已下單",M879,0)</f>
        <v/>
      </c>
      <c r="T879" s="19">
        <f>R879-S879</f>
        <v/>
      </c>
      <c r="U879" s="2">
        <f>U878-IF(N879="已下單",1,0)</f>
        <v/>
      </c>
      <c r="V879" s="19">
        <f>IF(資金模擬!$B$9=2,MAX(R879,0),MAX(V878,FLOOR(MAX(R879,0),資金模擬!$B$6)))</f>
        <v/>
      </c>
      <c r="W879" s="13">
        <f>MAX(W878,R879)</f>
        <v/>
      </c>
      <c r="X879" s="4">
        <f>IF(W879&gt;0,R879/W879-1,-1)</f>
        <v/>
      </c>
      <c r="Y879" s="19">
        <f>IF(R879&gt;0,S879*資金模擬!$B$7/R879,0)</f>
        <v/>
      </c>
      <c r="Z879" s="2">
        <f>IF(OR(Z878=1,R879&lt;=資金模擬!$B$10),1,0)</f>
        <v/>
      </c>
    </row>
    <row r="880">
      <c r="A880" s="2" t="n">
        <v>878</v>
      </c>
      <c r="B880" s="7" t="n">
        <v>46289.33333333334</v>
      </c>
      <c r="C880" s="2" t="inlineStr">
        <is>
          <t>進場</t>
        </is>
      </c>
      <c r="D880" s="2" t="n">
        <v>443</v>
      </c>
      <c r="E880" s="2" t="inlineStr">
        <is>
          <t>BR_USDT_PERP</t>
        </is>
      </c>
      <c r="F880" s="2" t="inlineStr">
        <is>
          <t>做空</t>
        </is>
      </c>
      <c r="G880" s="20" t="n">
        <v>1.07648</v>
      </c>
      <c r="H880" s="20" t="n">
        <v>1.0441856</v>
      </c>
      <c r="I880" s="20" t="n">
        <v>1.130304</v>
      </c>
      <c r="J880" s="20" t="n"/>
      <c r="K880" s="2" t="n"/>
      <c r="L880" s="5" t="n"/>
      <c r="M880" s="19">
        <f>資金模擬!$B$5*V879</f>
        <v/>
      </c>
      <c r="N880" s="2">
        <f>IF(Z879=1,"已停止",IF(T879&gt;=M880,"已下單","資金不足略過"))</f>
        <v/>
      </c>
      <c r="O880" s="19">
        <f>IF(N880="已下單",M880*資金模擬!$B$7,0)</f>
        <v/>
      </c>
      <c r="P880" s="4" t="n"/>
      <c r="Q880" s="13" t="n">
        <v>0</v>
      </c>
      <c r="R880" s="13">
        <f>R879+Q880</f>
        <v/>
      </c>
      <c r="S880" s="19">
        <f>S879+IF(N880="已下單",M880,0)</f>
        <v/>
      </c>
      <c r="T880" s="19">
        <f>R880-S880</f>
        <v/>
      </c>
      <c r="U880" s="2">
        <f>U879+IF(N880="已下單",1,0)</f>
        <v/>
      </c>
      <c r="V880" s="19">
        <f>IF(資金模擬!$B$9=2,MAX(R880,0),MAX(V879,FLOOR(MAX(R880,0),資金模擬!$B$6)))</f>
        <v/>
      </c>
      <c r="W880" s="13">
        <f>MAX(W879,R880)</f>
        <v/>
      </c>
      <c r="X880" s="4">
        <f>IF(W880&gt;0,R880/W880-1,-1)</f>
        <v/>
      </c>
      <c r="Y880" s="19">
        <f>IF(R880&gt;0,S880*資金模擬!$B$7/R880,0)</f>
        <v/>
      </c>
      <c r="Z880" s="2">
        <f>IF(OR(Z879=1,R880&lt;=資金模擬!$B$10),1,0)</f>
        <v/>
      </c>
    </row>
    <row r="881">
      <c r="A881" s="2" t="n">
        <v>879</v>
      </c>
      <c r="B881" s="7" t="n">
        <v>46289.41666666666</v>
      </c>
      <c r="C881" s="2" t="inlineStr">
        <is>
          <t>進場</t>
        </is>
      </c>
      <c r="D881" s="2" t="n">
        <v>444</v>
      </c>
      <c r="E881" s="2" t="inlineStr">
        <is>
          <t>MARSCOIN_USDT_PERP</t>
        </is>
      </c>
      <c r="F881" s="2" t="inlineStr">
        <is>
          <t>做空</t>
        </is>
      </c>
      <c r="G881" s="20" t="n">
        <v>0.12601</v>
      </c>
      <c r="H881" s="20" t="n">
        <v>0.1222297</v>
      </c>
      <c r="I881" s="20" t="n">
        <v>0.1323105</v>
      </c>
      <c r="J881" s="20" t="n"/>
      <c r="K881" s="2" t="n"/>
      <c r="L881" s="5" t="n"/>
      <c r="M881" s="19">
        <f>資金模擬!$B$5*V880</f>
        <v/>
      </c>
      <c r="N881" s="2">
        <f>IF(Z880=1,"已停止",IF(T880&gt;=M881,"已下單","資金不足略過"))</f>
        <v/>
      </c>
      <c r="O881" s="19">
        <f>IF(N881="已下單",M881*資金模擬!$B$7,0)</f>
        <v/>
      </c>
      <c r="P881" s="4" t="n"/>
      <c r="Q881" s="13" t="n">
        <v>0</v>
      </c>
      <c r="R881" s="13">
        <f>R880+Q881</f>
        <v/>
      </c>
      <c r="S881" s="19">
        <f>S880+IF(N881="已下單",M881,0)</f>
        <v/>
      </c>
      <c r="T881" s="19">
        <f>R881-S881</f>
        <v/>
      </c>
      <c r="U881" s="2">
        <f>U880+IF(N881="已下單",1,0)</f>
        <v/>
      </c>
      <c r="V881" s="19">
        <f>IF(資金模擬!$B$9=2,MAX(R881,0),MAX(V880,FLOOR(MAX(R881,0),資金模擬!$B$6)))</f>
        <v/>
      </c>
      <c r="W881" s="13">
        <f>MAX(W880,R881)</f>
        <v/>
      </c>
      <c r="X881" s="4">
        <f>IF(W881&gt;0,R881/W881-1,-1)</f>
        <v/>
      </c>
      <c r="Y881" s="19">
        <f>IF(R881&gt;0,S881*資金模擬!$B$7/R881,0)</f>
        <v/>
      </c>
      <c r="Z881" s="2">
        <f>IF(OR(Z880=1,R881&lt;=資金模擬!$B$10),1,0)</f>
        <v/>
      </c>
    </row>
    <row r="882">
      <c r="A882" s="2" t="n">
        <v>880</v>
      </c>
      <c r="B882" s="7" t="n">
        <v>46289.45833333334</v>
      </c>
      <c r="C882" s="2" t="inlineStr">
        <is>
          <t>出場</t>
        </is>
      </c>
      <c r="D882" s="2" t="n">
        <v>421</v>
      </c>
      <c r="E882" s="2" t="inlineStr">
        <is>
          <t>LTC_USDT_PERP</t>
        </is>
      </c>
      <c r="F882" s="2" t="inlineStr">
        <is>
          <t>做空</t>
        </is>
      </c>
      <c r="G882" s="20" t="n">
        <v>60.67</v>
      </c>
      <c r="H882" s="20" t="n">
        <v>58.8499</v>
      </c>
      <c r="I882" s="20" t="n">
        <v>63.70350000000001</v>
      </c>
      <c r="J882" s="20" t="n">
        <v>63.70350000000001</v>
      </c>
      <c r="K882" s="2" t="inlineStr">
        <is>
          <t>止損</t>
        </is>
      </c>
      <c r="L882" s="5">
        <f>交易明細!K422</f>
        <v/>
      </c>
      <c r="M882" s="19">
        <f>M837</f>
        <v/>
      </c>
      <c r="N882" s="2">
        <f>N837</f>
        <v/>
      </c>
      <c r="O882" s="19">
        <f>O837</f>
        <v/>
      </c>
      <c r="P882" s="4">
        <f>交易明細!L422</f>
        <v/>
      </c>
      <c r="Q882" s="13">
        <f>IF(N882="已下單",O882*P882,0)</f>
        <v/>
      </c>
      <c r="R882" s="13">
        <f>R881+Q882</f>
        <v/>
      </c>
      <c r="S882" s="19">
        <f>S881-IF(N882="已下單",M882,0)</f>
        <v/>
      </c>
      <c r="T882" s="19">
        <f>R882-S882</f>
        <v/>
      </c>
      <c r="U882" s="2">
        <f>U881-IF(N882="已下單",1,0)</f>
        <v/>
      </c>
      <c r="V882" s="19">
        <f>IF(資金模擬!$B$9=2,MAX(R882,0),MAX(V881,FLOOR(MAX(R882,0),資金模擬!$B$6)))</f>
        <v/>
      </c>
      <c r="W882" s="13">
        <f>MAX(W881,R882)</f>
        <v/>
      </c>
      <c r="X882" s="4">
        <f>IF(W882&gt;0,R882/W882-1,-1)</f>
        <v/>
      </c>
      <c r="Y882" s="19">
        <f>IF(R882&gt;0,S882*資金模擬!$B$7/R882,0)</f>
        <v/>
      </c>
      <c r="Z882" s="2">
        <f>IF(OR(Z881=1,R882&lt;=資金模擬!$B$10),1,0)</f>
        <v/>
      </c>
    </row>
    <row r="883">
      <c r="A883" s="2" t="n">
        <v>881</v>
      </c>
      <c r="B883" s="7" t="n">
        <v>46289.45833333334</v>
      </c>
      <c r="C883" s="2" t="inlineStr">
        <is>
          <t>出場</t>
        </is>
      </c>
      <c r="D883" s="2" t="n">
        <v>430</v>
      </c>
      <c r="E883" s="2" t="inlineStr">
        <is>
          <t>INJ_USDT_PERP</t>
        </is>
      </c>
      <c r="F883" s="2" t="inlineStr">
        <is>
          <t>做空</t>
        </is>
      </c>
      <c r="G883" s="20" t="n">
        <v>7.655</v>
      </c>
      <c r="H883" s="20" t="n">
        <v>7.42535</v>
      </c>
      <c r="I883" s="20" t="n">
        <v>8.037750000000001</v>
      </c>
      <c r="J883" s="20" t="n">
        <v>8.037750000000001</v>
      </c>
      <c r="K883" s="2" t="inlineStr">
        <is>
          <t>止損</t>
        </is>
      </c>
      <c r="L883" s="5">
        <f>交易明細!K431</f>
        <v/>
      </c>
      <c r="M883" s="19">
        <f>M850</f>
        <v/>
      </c>
      <c r="N883" s="2">
        <f>N850</f>
        <v/>
      </c>
      <c r="O883" s="19">
        <f>O850</f>
        <v/>
      </c>
      <c r="P883" s="4">
        <f>交易明細!L431</f>
        <v/>
      </c>
      <c r="Q883" s="13">
        <f>IF(N883="已下單",O883*P883,0)</f>
        <v/>
      </c>
      <c r="R883" s="13">
        <f>R882+Q883</f>
        <v/>
      </c>
      <c r="S883" s="19">
        <f>S882-IF(N883="已下單",M883,0)</f>
        <v/>
      </c>
      <c r="T883" s="19">
        <f>R883-S883</f>
        <v/>
      </c>
      <c r="U883" s="2">
        <f>U882-IF(N883="已下單",1,0)</f>
        <v/>
      </c>
      <c r="V883" s="19">
        <f>IF(資金模擬!$B$9=2,MAX(R883,0),MAX(V882,FLOOR(MAX(R883,0),資金模擬!$B$6)))</f>
        <v/>
      </c>
      <c r="W883" s="13">
        <f>MAX(W882,R883)</f>
        <v/>
      </c>
      <c r="X883" s="4">
        <f>IF(W883&gt;0,R883/W883-1,-1)</f>
        <v/>
      </c>
      <c r="Y883" s="19">
        <f>IF(R883&gt;0,S883*資金模擬!$B$7/R883,0)</f>
        <v/>
      </c>
      <c r="Z883" s="2">
        <f>IF(OR(Z882=1,R883&lt;=資金模擬!$B$10),1,0)</f>
        <v/>
      </c>
    </row>
    <row r="884">
      <c r="A884" s="2" t="n">
        <v>882</v>
      </c>
      <c r="B884" s="7" t="n">
        <v>46289.54166666666</v>
      </c>
      <c r="C884" s="2" t="inlineStr">
        <is>
          <t>出場</t>
        </is>
      </c>
      <c r="D884" s="2" t="n">
        <v>438</v>
      </c>
      <c r="E884" s="2" t="inlineStr">
        <is>
          <t>LIT_USDT_PERP</t>
        </is>
      </c>
      <c r="F884" s="2" t="inlineStr">
        <is>
          <t>做多</t>
        </is>
      </c>
      <c r="G884" s="20" t="n">
        <v>5.424</v>
      </c>
      <c r="H884" s="20" t="n">
        <v>5.586720000000001</v>
      </c>
      <c r="I884" s="20" t="n">
        <v>5.1528</v>
      </c>
      <c r="J884" s="20" t="n">
        <v>5.1528</v>
      </c>
      <c r="K884" s="2" t="inlineStr">
        <is>
          <t>止損</t>
        </is>
      </c>
      <c r="L884" s="5">
        <f>交易明細!K439</f>
        <v/>
      </c>
      <c r="M884" s="19">
        <f>M868</f>
        <v/>
      </c>
      <c r="N884" s="2">
        <f>N868</f>
        <v/>
      </c>
      <c r="O884" s="19">
        <f>O868</f>
        <v/>
      </c>
      <c r="P884" s="4">
        <f>交易明細!L439</f>
        <v/>
      </c>
      <c r="Q884" s="13">
        <f>IF(N884="已下單",O884*P884,0)</f>
        <v/>
      </c>
      <c r="R884" s="13">
        <f>R883+Q884</f>
        <v/>
      </c>
      <c r="S884" s="19">
        <f>S883-IF(N884="已下單",M884,0)</f>
        <v/>
      </c>
      <c r="T884" s="19">
        <f>R884-S884</f>
        <v/>
      </c>
      <c r="U884" s="2">
        <f>U883-IF(N884="已下單",1,0)</f>
        <v/>
      </c>
      <c r="V884" s="19">
        <f>IF(資金模擬!$B$9=2,MAX(R884,0),MAX(V883,FLOOR(MAX(R884,0),資金模擬!$B$6)))</f>
        <v/>
      </c>
      <c r="W884" s="13">
        <f>MAX(W883,R884)</f>
        <v/>
      </c>
      <c r="X884" s="4">
        <f>IF(W884&gt;0,R884/W884-1,-1)</f>
        <v/>
      </c>
      <c r="Y884" s="19">
        <f>IF(R884&gt;0,S884*資金模擬!$B$7/R884,0)</f>
        <v/>
      </c>
      <c r="Z884" s="2">
        <f>IF(OR(Z883=1,R884&lt;=資金模擬!$B$10),1,0)</f>
        <v/>
      </c>
    </row>
    <row r="885">
      <c r="A885" s="2" t="n">
        <v>883</v>
      </c>
      <c r="B885" s="7" t="n">
        <v>46289.54166666666</v>
      </c>
      <c r="C885" s="2" t="inlineStr">
        <is>
          <t>進場</t>
        </is>
      </c>
      <c r="D885" s="2" t="n">
        <v>445</v>
      </c>
      <c r="E885" s="2" t="inlineStr">
        <is>
          <t>NEAR_USDT_PERP</t>
        </is>
      </c>
      <c r="F885" s="2" t="inlineStr">
        <is>
          <t>做多</t>
        </is>
      </c>
      <c r="G885" s="20" t="n">
        <v>4.494</v>
      </c>
      <c r="H885" s="20" t="n">
        <v>4.62882</v>
      </c>
      <c r="I885" s="20" t="n">
        <v>4.269299999999999</v>
      </c>
      <c r="J885" s="20" t="n"/>
      <c r="K885" s="2" t="n"/>
      <c r="L885" s="5" t="n"/>
      <c r="M885" s="19">
        <f>資金模擬!$B$5*V884</f>
        <v/>
      </c>
      <c r="N885" s="2">
        <f>IF(Z884=1,"已停止",IF(T884&gt;=M885,"已下單","資金不足略過"))</f>
        <v/>
      </c>
      <c r="O885" s="19">
        <f>IF(N885="已下單",M885*資金模擬!$B$7,0)</f>
        <v/>
      </c>
      <c r="P885" s="4" t="n"/>
      <c r="Q885" s="13" t="n">
        <v>0</v>
      </c>
      <c r="R885" s="13">
        <f>R884+Q885</f>
        <v/>
      </c>
      <c r="S885" s="19">
        <f>S884+IF(N885="已下單",M885,0)</f>
        <v/>
      </c>
      <c r="T885" s="19">
        <f>R885-S885</f>
        <v/>
      </c>
      <c r="U885" s="2">
        <f>U884+IF(N885="已下單",1,0)</f>
        <v/>
      </c>
      <c r="V885" s="19">
        <f>IF(資金模擬!$B$9=2,MAX(R885,0),MAX(V884,FLOOR(MAX(R885,0),資金模擬!$B$6)))</f>
        <v/>
      </c>
      <c r="W885" s="13">
        <f>MAX(W884,R885)</f>
        <v/>
      </c>
      <c r="X885" s="4">
        <f>IF(W885&gt;0,R885/W885-1,-1)</f>
        <v/>
      </c>
      <c r="Y885" s="19">
        <f>IF(R885&gt;0,S885*資金模擬!$B$7/R885,0)</f>
        <v/>
      </c>
      <c r="Z885" s="2">
        <f>IF(OR(Z884=1,R885&lt;=資金模擬!$B$10),1,0)</f>
        <v/>
      </c>
    </row>
    <row r="886">
      <c r="A886" s="2" t="n">
        <v>884</v>
      </c>
      <c r="B886" s="7" t="n">
        <v>46289.54166666666</v>
      </c>
      <c r="C886" s="2" t="inlineStr">
        <is>
          <t>進場</t>
        </is>
      </c>
      <c r="D886" s="2" t="n">
        <v>446</v>
      </c>
      <c r="E886" s="2" t="inlineStr">
        <is>
          <t>RAY_USDT_PERP</t>
        </is>
      </c>
      <c r="F886" s="2" t="inlineStr">
        <is>
          <t>做多</t>
        </is>
      </c>
      <c r="G886" s="20" t="n">
        <v>2.046</v>
      </c>
      <c r="H886" s="20" t="n">
        <v>2.10738</v>
      </c>
      <c r="I886" s="20" t="n">
        <v>1.9437</v>
      </c>
      <c r="J886" s="20" t="n"/>
      <c r="K886" s="2" t="n"/>
      <c r="L886" s="5" t="n"/>
      <c r="M886" s="19">
        <f>資金模擬!$B$5*V885</f>
        <v/>
      </c>
      <c r="N886" s="2">
        <f>IF(Z885=1,"已停止",IF(T885&gt;=M886,"已下單","資金不足略過"))</f>
        <v/>
      </c>
      <c r="O886" s="19">
        <f>IF(N886="已下單",M886*資金模擬!$B$7,0)</f>
        <v/>
      </c>
      <c r="P886" s="4" t="n"/>
      <c r="Q886" s="13" t="n">
        <v>0</v>
      </c>
      <c r="R886" s="13">
        <f>R885+Q886</f>
        <v/>
      </c>
      <c r="S886" s="19">
        <f>S885+IF(N886="已下單",M886,0)</f>
        <v/>
      </c>
      <c r="T886" s="19">
        <f>R886-S886</f>
        <v/>
      </c>
      <c r="U886" s="2">
        <f>U885+IF(N886="已下單",1,0)</f>
        <v/>
      </c>
      <c r="V886" s="19">
        <f>IF(資金模擬!$B$9=2,MAX(R886,0),MAX(V885,FLOOR(MAX(R886,0),資金模擬!$B$6)))</f>
        <v/>
      </c>
      <c r="W886" s="13">
        <f>MAX(W885,R886)</f>
        <v/>
      </c>
      <c r="X886" s="4">
        <f>IF(W886&gt;0,R886/W886-1,-1)</f>
        <v/>
      </c>
      <c r="Y886" s="19">
        <f>IF(R886&gt;0,S886*資金模擬!$B$7/R886,0)</f>
        <v/>
      </c>
      <c r="Z886" s="2">
        <f>IF(OR(Z885=1,R886&lt;=資金模擬!$B$10),1,0)</f>
        <v/>
      </c>
    </row>
    <row r="887">
      <c r="A887" s="2" t="n">
        <v>885</v>
      </c>
      <c r="B887" s="7" t="n">
        <v>46289.58333333334</v>
      </c>
      <c r="C887" s="2" t="inlineStr">
        <is>
          <t>出場</t>
        </is>
      </c>
      <c r="D887" s="2" t="n">
        <v>429</v>
      </c>
      <c r="E887" s="2" t="inlineStr">
        <is>
          <t>ICP_USDT_PERP</t>
        </is>
      </c>
      <c r="F887" s="2" t="inlineStr">
        <is>
          <t>做空</t>
        </is>
      </c>
      <c r="G887" s="20" t="n">
        <v>2.858</v>
      </c>
      <c r="H887" s="20" t="n">
        <v>2.77226</v>
      </c>
      <c r="I887" s="20" t="n">
        <v>3.0009</v>
      </c>
      <c r="J887" s="20" t="n">
        <v>3.0009</v>
      </c>
      <c r="K887" s="2" t="inlineStr">
        <is>
          <t>止損</t>
        </is>
      </c>
      <c r="L887" s="5">
        <f>交易明細!K430</f>
        <v/>
      </c>
      <c r="M887" s="19">
        <f>M849</f>
        <v/>
      </c>
      <c r="N887" s="2">
        <f>N849</f>
        <v/>
      </c>
      <c r="O887" s="19">
        <f>O849</f>
        <v/>
      </c>
      <c r="P887" s="4">
        <f>交易明細!L430</f>
        <v/>
      </c>
      <c r="Q887" s="13">
        <f>IF(N887="已下單",O887*P887,0)</f>
        <v/>
      </c>
      <c r="R887" s="13">
        <f>R886+Q887</f>
        <v/>
      </c>
      <c r="S887" s="19">
        <f>S886-IF(N887="已下單",M887,0)</f>
        <v/>
      </c>
      <c r="T887" s="19">
        <f>R887-S887</f>
        <v/>
      </c>
      <c r="U887" s="2">
        <f>U886-IF(N887="已下單",1,0)</f>
        <v/>
      </c>
      <c r="V887" s="19">
        <f>IF(資金模擬!$B$9=2,MAX(R887,0),MAX(V886,FLOOR(MAX(R887,0),資金模擬!$B$6)))</f>
        <v/>
      </c>
      <c r="W887" s="13">
        <f>MAX(W886,R887)</f>
        <v/>
      </c>
      <c r="X887" s="4">
        <f>IF(W887&gt;0,R887/W887-1,-1)</f>
        <v/>
      </c>
      <c r="Y887" s="19">
        <f>IF(R887&gt;0,S887*資金模擬!$B$7/R887,0)</f>
        <v/>
      </c>
      <c r="Z887" s="2">
        <f>IF(OR(Z886=1,R887&lt;=資金模擬!$B$10),1,0)</f>
        <v/>
      </c>
    </row>
    <row r="888">
      <c r="A888" s="2" t="n">
        <v>886</v>
      </c>
      <c r="B888" s="7" t="n">
        <v>46289.58333333334</v>
      </c>
      <c r="C888" s="2" t="inlineStr">
        <is>
          <t>出場</t>
        </is>
      </c>
      <c r="D888" s="2" t="n">
        <v>434</v>
      </c>
      <c r="E888" s="2" t="inlineStr">
        <is>
          <t>ONDO_USDT_PERP</t>
        </is>
      </c>
      <c r="F888" s="2" t="inlineStr">
        <is>
          <t>做空</t>
        </is>
      </c>
      <c r="G888" s="20" t="n">
        <v>0.4109</v>
      </c>
      <c r="H888" s="20" t="n">
        <v>0.398573</v>
      </c>
      <c r="I888" s="20" t="n">
        <v>0.431445</v>
      </c>
      <c r="J888" s="20" t="n">
        <v>0.431445</v>
      </c>
      <c r="K888" s="2" t="inlineStr">
        <is>
          <t>止損</t>
        </is>
      </c>
      <c r="L888" s="5">
        <f>交易明細!K435</f>
        <v/>
      </c>
      <c r="M888" s="19">
        <f>M854</f>
        <v/>
      </c>
      <c r="N888" s="2">
        <f>N854</f>
        <v/>
      </c>
      <c r="O888" s="19">
        <f>O854</f>
        <v/>
      </c>
      <c r="P888" s="4">
        <f>交易明細!L435</f>
        <v/>
      </c>
      <c r="Q888" s="13">
        <f>IF(N888="已下單",O888*P888,0)</f>
        <v/>
      </c>
      <c r="R888" s="13">
        <f>R887+Q888</f>
        <v/>
      </c>
      <c r="S888" s="19">
        <f>S887-IF(N888="已下單",M888,0)</f>
        <v/>
      </c>
      <c r="T888" s="19">
        <f>R888-S888</f>
        <v/>
      </c>
      <c r="U888" s="2">
        <f>U887-IF(N888="已下單",1,0)</f>
        <v/>
      </c>
      <c r="V888" s="19">
        <f>IF(資金模擬!$B$9=2,MAX(R888,0),MAX(V887,FLOOR(MAX(R888,0),資金模擬!$B$6)))</f>
        <v/>
      </c>
      <c r="W888" s="13">
        <f>MAX(W887,R888)</f>
        <v/>
      </c>
      <c r="X888" s="4">
        <f>IF(W888&gt;0,R888/W888-1,-1)</f>
        <v/>
      </c>
      <c r="Y888" s="19">
        <f>IF(R888&gt;0,S888*資金模擬!$B$7/R888,0)</f>
        <v/>
      </c>
      <c r="Z888" s="2">
        <f>IF(OR(Z887=1,R888&lt;=資金模擬!$B$10),1,0)</f>
        <v/>
      </c>
    </row>
    <row r="889">
      <c r="A889" s="2" t="n">
        <v>887</v>
      </c>
      <c r="B889" s="7" t="n">
        <v>46289.58333333334</v>
      </c>
      <c r="C889" s="2" t="inlineStr">
        <is>
          <t>出場</t>
        </is>
      </c>
      <c r="D889" s="2" t="n">
        <v>446</v>
      </c>
      <c r="E889" s="2" t="inlineStr">
        <is>
          <t>RAY_USDT_PERP</t>
        </is>
      </c>
      <c r="F889" s="2" t="inlineStr">
        <is>
          <t>做多</t>
        </is>
      </c>
      <c r="G889" s="20" t="n">
        <v>2.046</v>
      </c>
      <c r="H889" s="20" t="n">
        <v>2.10738</v>
      </c>
      <c r="I889" s="20" t="n">
        <v>1.9437</v>
      </c>
      <c r="J889" s="20" t="n">
        <v>2.10738</v>
      </c>
      <c r="K889" s="2" t="inlineStr">
        <is>
          <t>止盈</t>
        </is>
      </c>
      <c r="L889" s="5">
        <f>交易明細!K447</f>
        <v/>
      </c>
      <c r="M889" s="19">
        <f>M886</f>
        <v/>
      </c>
      <c r="N889" s="2">
        <f>N886</f>
        <v/>
      </c>
      <c r="O889" s="19">
        <f>O886</f>
        <v/>
      </c>
      <c r="P889" s="4">
        <f>交易明細!L447</f>
        <v/>
      </c>
      <c r="Q889" s="13">
        <f>IF(N889="已下單",O889*P889,0)</f>
        <v/>
      </c>
      <c r="R889" s="13">
        <f>R888+Q889</f>
        <v/>
      </c>
      <c r="S889" s="19">
        <f>S888-IF(N889="已下單",M889,0)</f>
        <v/>
      </c>
      <c r="T889" s="19">
        <f>R889-S889</f>
        <v/>
      </c>
      <c r="U889" s="2">
        <f>U888-IF(N889="已下單",1,0)</f>
        <v/>
      </c>
      <c r="V889" s="19">
        <f>IF(資金模擬!$B$9=2,MAX(R889,0),MAX(V888,FLOOR(MAX(R889,0),資金模擬!$B$6)))</f>
        <v/>
      </c>
      <c r="W889" s="13">
        <f>MAX(W888,R889)</f>
        <v/>
      </c>
      <c r="X889" s="4">
        <f>IF(W889&gt;0,R889/W889-1,-1)</f>
        <v/>
      </c>
      <c r="Y889" s="19">
        <f>IF(R889&gt;0,S889*資金模擬!$B$7/R889,0)</f>
        <v/>
      </c>
      <c r="Z889" s="2">
        <f>IF(OR(Z888=1,R889&lt;=資金模擬!$B$10),1,0)</f>
        <v/>
      </c>
    </row>
    <row r="890">
      <c r="A890" s="2" t="n">
        <v>888</v>
      </c>
      <c r="B890" s="7" t="n">
        <v>46289.625</v>
      </c>
      <c r="C890" s="2" t="inlineStr">
        <is>
          <t>出場</t>
        </is>
      </c>
      <c r="D890" s="2" t="n">
        <v>444</v>
      </c>
      <c r="E890" s="2" t="inlineStr">
        <is>
          <t>MARSCOIN_USDT_PERP</t>
        </is>
      </c>
      <c r="F890" s="2" t="inlineStr">
        <is>
          <t>做空</t>
        </is>
      </c>
      <c r="G890" s="20" t="n">
        <v>0.12601</v>
      </c>
      <c r="H890" s="20" t="n">
        <v>0.1222297</v>
      </c>
      <c r="I890" s="20" t="n">
        <v>0.1323105</v>
      </c>
      <c r="J890" s="20" t="n">
        <v>0.1222297</v>
      </c>
      <c r="K890" s="2" t="inlineStr">
        <is>
          <t>止盈</t>
        </is>
      </c>
      <c r="L890" s="5">
        <f>交易明細!K445</f>
        <v/>
      </c>
      <c r="M890" s="19">
        <f>M881</f>
        <v/>
      </c>
      <c r="N890" s="2">
        <f>N881</f>
        <v/>
      </c>
      <c r="O890" s="19">
        <f>O881</f>
        <v/>
      </c>
      <c r="P890" s="4">
        <f>交易明細!L445</f>
        <v/>
      </c>
      <c r="Q890" s="13">
        <f>IF(N890="已下單",O890*P890,0)</f>
        <v/>
      </c>
      <c r="R890" s="13">
        <f>R889+Q890</f>
        <v/>
      </c>
      <c r="S890" s="19">
        <f>S889-IF(N890="已下單",M890,0)</f>
        <v/>
      </c>
      <c r="T890" s="19">
        <f>R890-S890</f>
        <v/>
      </c>
      <c r="U890" s="2">
        <f>U889-IF(N890="已下單",1,0)</f>
        <v/>
      </c>
      <c r="V890" s="19">
        <f>IF(資金模擬!$B$9=2,MAX(R890,0),MAX(V889,FLOOR(MAX(R890,0),資金模擬!$B$6)))</f>
        <v/>
      </c>
      <c r="W890" s="13">
        <f>MAX(W889,R890)</f>
        <v/>
      </c>
      <c r="X890" s="4">
        <f>IF(W890&gt;0,R890/W890-1,-1)</f>
        <v/>
      </c>
      <c r="Y890" s="19">
        <f>IF(R890&gt;0,S890*資金模擬!$B$7/R890,0)</f>
        <v/>
      </c>
      <c r="Z890" s="2">
        <f>IF(OR(Z889=1,R890&lt;=資金模擬!$B$10),1,0)</f>
        <v/>
      </c>
    </row>
    <row r="891">
      <c r="A891" s="2" t="n">
        <v>889</v>
      </c>
      <c r="B891" s="7" t="n">
        <v>46289.625</v>
      </c>
      <c r="C891" s="2" t="inlineStr">
        <is>
          <t>出場</t>
        </is>
      </c>
      <c r="D891" s="2" t="n">
        <v>445</v>
      </c>
      <c r="E891" s="2" t="inlineStr">
        <is>
          <t>NEAR_USDT_PERP</t>
        </is>
      </c>
      <c r="F891" s="2" t="inlineStr">
        <is>
          <t>做多</t>
        </is>
      </c>
      <c r="G891" s="20" t="n">
        <v>4.494</v>
      </c>
      <c r="H891" s="20" t="n">
        <v>4.62882</v>
      </c>
      <c r="I891" s="20" t="n">
        <v>4.269299999999999</v>
      </c>
      <c r="J891" s="20" t="n">
        <v>4.269299999999999</v>
      </c>
      <c r="K891" s="2" t="inlineStr">
        <is>
          <t>止損</t>
        </is>
      </c>
      <c r="L891" s="5">
        <f>交易明細!K446</f>
        <v/>
      </c>
      <c r="M891" s="19">
        <f>M885</f>
        <v/>
      </c>
      <c r="N891" s="2">
        <f>N885</f>
        <v/>
      </c>
      <c r="O891" s="19">
        <f>O885</f>
        <v/>
      </c>
      <c r="P891" s="4">
        <f>交易明細!L446</f>
        <v/>
      </c>
      <c r="Q891" s="13">
        <f>IF(N891="已下單",O891*P891,0)</f>
        <v/>
      </c>
      <c r="R891" s="13">
        <f>R890+Q891</f>
        <v/>
      </c>
      <c r="S891" s="19">
        <f>S890-IF(N891="已下單",M891,0)</f>
        <v/>
      </c>
      <c r="T891" s="19">
        <f>R891-S891</f>
        <v/>
      </c>
      <c r="U891" s="2">
        <f>U890-IF(N891="已下單",1,0)</f>
        <v/>
      </c>
      <c r="V891" s="19">
        <f>IF(資金模擬!$B$9=2,MAX(R891,0),MAX(V890,FLOOR(MAX(R891,0),資金模擬!$B$6)))</f>
        <v/>
      </c>
      <c r="W891" s="13">
        <f>MAX(W890,R891)</f>
        <v/>
      </c>
      <c r="X891" s="4">
        <f>IF(W891&gt;0,R891/W891-1,-1)</f>
        <v/>
      </c>
      <c r="Y891" s="19">
        <f>IF(R891&gt;0,S891*資金模擬!$B$7/R891,0)</f>
        <v/>
      </c>
      <c r="Z891" s="2">
        <f>IF(OR(Z890=1,R891&lt;=資金模擬!$B$10),1,0)</f>
        <v/>
      </c>
    </row>
    <row r="892">
      <c r="A892" s="2" t="n">
        <v>890</v>
      </c>
      <c r="B892" s="7" t="n">
        <v>46289.66666666666</v>
      </c>
      <c r="C892" s="2" t="inlineStr">
        <is>
          <t>進場</t>
        </is>
      </c>
      <c r="D892" s="2" t="n">
        <v>447</v>
      </c>
      <c r="E892" s="2" t="inlineStr">
        <is>
          <t>LIT_USDT_PERP</t>
        </is>
      </c>
      <c r="F892" s="2" t="inlineStr">
        <is>
          <t>做多</t>
        </is>
      </c>
      <c r="G892" s="20" t="n">
        <v>5.48</v>
      </c>
      <c r="H892" s="20" t="n">
        <v>5.644400000000001</v>
      </c>
      <c r="I892" s="20" t="n">
        <v>5.206</v>
      </c>
      <c r="J892" s="20" t="n"/>
      <c r="K892" s="2" t="n"/>
      <c r="L892" s="5" t="n"/>
      <c r="M892" s="19">
        <f>資金模擬!$B$5*V891</f>
        <v/>
      </c>
      <c r="N892" s="2">
        <f>IF(Z891=1,"已停止",IF(T891&gt;=M892,"已下單","資金不足略過"))</f>
        <v/>
      </c>
      <c r="O892" s="19">
        <f>IF(N892="已下單",M892*資金模擬!$B$7,0)</f>
        <v/>
      </c>
      <c r="P892" s="4" t="n"/>
      <c r="Q892" s="13" t="n">
        <v>0</v>
      </c>
      <c r="R892" s="13">
        <f>R891+Q892</f>
        <v/>
      </c>
      <c r="S892" s="19">
        <f>S891+IF(N892="已下單",M892,0)</f>
        <v/>
      </c>
      <c r="T892" s="19">
        <f>R892-S892</f>
        <v/>
      </c>
      <c r="U892" s="2">
        <f>U891+IF(N892="已下單",1,0)</f>
        <v/>
      </c>
      <c r="V892" s="19">
        <f>IF(資金模擬!$B$9=2,MAX(R892,0),MAX(V891,FLOOR(MAX(R892,0),資金模擬!$B$6)))</f>
        <v/>
      </c>
      <c r="W892" s="13">
        <f>MAX(W891,R892)</f>
        <v/>
      </c>
      <c r="X892" s="4">
        <f>IF(W892&gt;0,R892/W892-1,-1)</f>
        <v/>
      </c>
      <c r="Y892" s="19">
        <f>IF(R892&gt;0,S892*資金模擬!$B$7/R892,0)</f>
        <v/>
      </c>
      <c r="Z892" s="2">
        <f>IF(OR(Z891=1,R892&lt;=資金模擬!$B$10),1,0)</f>
        <v/>
      </c>
    </row>
    <row r="893">
      <c r="A893" s="2" t="n">
        <v>891</v>
      </c>
      <c r="B893" s="7" t="n">
        <v>46289.70833333334</v>
      </c>
      <c r="C893" s="2" t="inlineStr">
        <is>
          <t>出場</t>
        </is>
      </c>
      <c r="D893" s="2" t="n">
        <v>443</v>
      </c>
      <c r="E893" s="2" t="inlineStr">
        <is>
          <t>BR_USDT_PERP</t>
        </is>
      </c>
      <c r="F893" s="2" t="inlineStr">
        <is>
          <t>做空</t>
        </is>
      </c>
      <c r="G893" s="20" t="n">
        <v>1.07648</v>
      </c>
      <c r="H893" s="20" t="n">
        <v>1.0441856</v>
      </c>
      <c r="I893" s="20" t="n">
        <v>1.130304</v>
      </c>
      <c r="J893" s="20" t="n">
        <v>1.0441856</v>
      </c>
      <c r="K893" s="2" t="inlineStr">
        <is>
          <t>止盈</t>
        </is>
      </c>
      <c r="L893" s="5">
        <f>交易明細!K444</f>
        <v/>
      </c>
      <c r="M893" s="19">
        <f>M880</f>
        <v/>
      </c>
      <c r="N893" s="2">
        <f>N880</f>
        <v/>
      </c>
      <c r="O893" s="19">
        <f>O880</f>
        <v/>
      </c>
      <c r="P893" s="4">
        <f>交易明細!L444</f>
        <v/>
      </c>
      <c r="Q893" s="13">
        <f>IF(N893="已下單",O893*P893,0)</f>
        <v/>
      </c>
      <c r="R893" s="13">
        <f>R892+Q893</f>
        <v/>
      </c>
      <c r="S893" s="19">
        <f>S892-IF(N893="已下單",M893,0)</f>
        <v/>
      </c>
      <c r="T893" s="19">
        <f>R893-S893</f>
        <v/>
      </c>
      <c r="U893" s="2">
        <f>U892-IF(N893="已下單",1,0)</f>
        <v/>
      </c>
      <c r="V893" s="19">
        <f>IF(資金模擬!$B$9=2,MAX(R893,0),MAX(V892,FLOOR(MAX(R893,0),資金模擬!$B$6)))</f>
        <v/>
      </c>
      <c r="W893" s="13">
        <f>MAX(W892,R893)</f>
        <v/>
      </c>
      <c r="X893" s="4">
        <f>IF(W893&gt;0,R893/W893-1,-1)</f>
        <v/>
      </c>
      <c r="Y893" s="19">
        <f>IF(R893&gt;0,S893*資金模擬!$B$7/R893,0)</f>
        <v/>
      </c>
      <c r="Z893" s="2">
        <f>IF(OR(Z892=1,R893&lt;=資金模擬!$B$10),1,0)</f>
        <v/>
      </c>
    </row>
    <row r="894">
      <c r="A894" s="2" t="n">
        <v>892</v>
      </c>
      <c r="B894" s="7" t="n">
        <v>46289.70833333334</v>
      </c>
      <c r="C894" s="2" t="inlineStr">
        <is>
          <t>進場</t>
        </is>
      </c>
      <c r="D894" s="2" t="n">
        <v>448</v>
      </c>
      <c r="E894" s="2" t="inlineStr">
        <is>
          <t>ENA_USDT_PERP</t>
        </is>
      </c>
      <c r="F894" s="2" t="inlineStr">
        <is>
          <t>做空</t>
        </is>
      </c>
      <c r="G894" s="20" t="n">
        <v>0.203</v>
      </c>
      <c r="H894" s="20" t="n">
        <v>0.19691</v>
      </c>
      <c r="I894" s="20" t="n">
        <v>0.21315</v>
      </c>
      <c r="J894" s="20" t="n"/>
      <c r="K894" s="2" t="n"/>
      <c r="L894" s="5" t="n"/>
      <c r="M894" s="19">
        <f>資金模擬!$B$5*V893</f>
        <v/>
      </c>
      <c r="N894" s="2">
        <f>IF(Z893=1,"已停止",IF(T893&gt;=M894,"已下單","資金不足略過"))</f>
        <v/>
      </c>
      <c r="O894" s="19">
        <f>IF(N894="已下單",M894*資金模擬!$B$7,0)</f>
        <v/>
      </c>
      <c r="P894" s="4" t="n"/>
      <c r="Q894" s="13" t="n">
        <v>0</v>
      </c>
      <c r="R894" s="13">
        <f>R893+Q894</f>
        <v/>
      </c>
      <c r="S894" s="19">
        <f>S893+IF(N894="已下單",M894,0)</f>
        <v/>
      </c>
      <c r="T894" s="19">
        <f>R894-S894</f>
        <v/>
      </c>
      <c r="U894" s="2">
        <f>U893+IF(N894="已下單",1,0)</f>
        <v/>
      </c>
      <c r="V894" s="19">
        <f>IF(資金模擬!$B$9=2,MAX(R894,0),MAX(V893,FLOOR(MAX(R894,0),資金模擬!$B$6)))</f>
        <v/>
      </c>
      <c r="W894" s="13">
        <f>MAX(W893,R894)</f>
        <v/>
      </c>
      <c r="X894" s="4">
        <f>IF(W894&gt;0,R894/W894-1,-1)</f>
        <v/>
      </c>
      <c r="Y894" s="19">
        <f>IF(R894&gt;0,S894*資金模擬!$B$7/R894,0)</f>
        <v/>
      </c>
      <c r="Z894" s="2">
        <f>IF(OR(Z893=1,R894&lt;=資金模擬!$B$10),1,0)</f>
        <v/>
      </c>
    </row>
    <row r="895">
      <c r="A895" s="2" t="n">
        <v>893</v>
      </c>
      <c r="B895" s="7" t="n">
        <v>46289.70833333334</v>
      </c>
      <c r="C895" s="2" t="inlineStr">
        <is>
          <t>進場</t>
        </is>
      </c>
      <c r="D895" s="2" t="n">
        <v>449</v>
      </c>
      <c r="E895" s="2" t="inlineStr">
        <is>
          <t>ICP_USDT_PERP</t>
        </is>
      </c>
      <c r="F895" s="2" t="inlineStr">
        <is>
          <t>做空</t>
        </is>
      </c>
      <c r="G895" s="20" t="n">
        <v>2.912</v>
      </c>
      <c r="H895" s="20" t="n">
        <v>2.82464</v>
      </c>
      <c r="I895" s="20" t="n">
        <v>3.0576</v>
      </c>
      <c r="J895" s="20" t="n"/>
      <c r="K895" s="2" t="n"/>
      <c r="L895" s="5" t="n"/>
      <c r="M895" s="19">
        <f>資金模擬!$B$5*V894</f>
        <v/>
      </c>
      <c r="N895" s="2">
        <f>IF(Z894=1,"已停止",IF(T894&gt;=M895,"已下單","資金不足略過"))</f>
        <v/>
      </c>
      <c r="O895" s="19">
        <f>IF(N895="已下單",M895*資金模擬!$B$7,0)</f>
        <v/>
      </c>
      <c r="P895" s="4" t="n"/>
      <c r="Q895" s="13" t="n">
        <v>0</v>
      </c>
      <c r="R895" s="13">
        <f>R894+Q895</f>
        <v/>
      </c>
      <c r="S895" s="19">
        <f>S894+IF(N895="已下單",M895,0)</f>
        <v/>
      </c>
      <c r="T895" s="19">
        <f>R895-S895</f>
        <v/>
      </c>
      <c r="U895" s="2">
        <f>U894+IF(N895="已下單",1,0)</f>
        <v/>
      </c>
      <c r="V895" s="19">
        <f>IF(資金模擬!$B$9=2,MAX(R895,0),MAX(V894,FLOOR(MAX(R895,0),資金模擬!$B$6)))</f>
        <v/>
      </c>
      <c r="W895" s="13">
        <f>MAX(W894,R895)</f>
        <v/>
      </c>
      <c r="X895" s="4">
        <f>IF(W895&gt;0,R895/W895-1,-1)</f>
        <v/>
      </c>
      <c r="Y895" s="19">
        <f>IF(R895&gt;0,S895*資金模擬!$B$7/R895,0)</f>
        <v/>
      </c>
      <c r="Z895" s="2">
        <f>IF(OR(Z894=1,R895&lt;=資金模擬!$B$10),1,0)</f>
        <v/>
      </c>
    </row>
    <row r="896">
      <c r="A896" s="2" t="n">
        <v>894</v>
      </c>
      <c r="B896" s="7" t="n">
        <v>46289.70833333334</v>
      </c>
      <c r="C896" s="2" t="inlineStr">
        <is>
          <t>進場</t>
        </is>
      </c>
      <c r="D896" s="2" t="n">
        <v>450</v>
      </c>
      <c r="E896" s="2" t="inlineStr">
        <is>
          <t>MET_USDT_PERP</t>
        </is>
      </c>
      <c r="F896" s="2" t="inlineStr">
        <is>
          <t>做空</t>
        </is>
      </c>
      <c r="G896" s="20" t="n">
        <v>0.3454</v>
      </c>
      <c r="H896" s="20" t="n">
        <v>0.335038</v>
      </c>
      <c r="I896" s="20" t="n">
        <v>0.36267</v>
      </c>
      <c r="J896" s="20" t="n"/>
      <c r="K896" s="2" t="n"/>
      <c r="L896" s="5" t="n"/>
      <c r="M896" s="19">
        <f>資金模擬!$B$5*V895</f>
        <v/>
      </c>
      <c r="N896" s="2">
        <f>IF(Z895=1,"已停止",IF(T895&gt;=M896,"已下單","資金不足略過"))</f>
        <v/>
      </c>
      <c r="O896" s="19">
        <f>IF(N896="已下單",M896*資金模擬!$B$7,0)</f>
        <v/>
      </c>
      <c r="P896" s="4" t="n"/>
      <c r="Q896" s="13" t="n">
        <v>0</v>
      </c>
      <c r="R896" s="13">
        <f>R895+Q896</f>
        <v/>
      </c>
      <c r="S896" s="19">
        <f>S895+IF(N896="已下單",M896,0)</f>
        <v/>
      </c>
      <c r="T896" s="19">
        <f>R896-S896</f>
        <v/>
      </c>
      <c r="U896" s="2">
        <f>U895+IF(N896="已下單",1,0)</f>
        <v/>
      </c>
      <c r="V896" s="19">
        <f>IF(資金模擬!$B$9=2,MAX(R896,0),MAX(V895,FLOOR(MAX(R896,0),資金模擬!$B$6)))</f>
        <v/>
      </c>
      <c r="W896" s="13">
        <f>MAX(W895,R896)</f>
        <v/>
      </c>
      <c r="X896" s="4">
        <f>IF(W896&gt;0,R896/W896-1,-1)</f>
        <v/>
      </c>
      <c r="Y896" s="19">
        <f>IF(R896&gt;0,S896*資金模擬!$B$7/R896,0)</f>
        <v/>
      </c>
      <c r="Z896" s="2">
        <f>IF(OR(Z895=1,R896&lt;=資金模擬!$B$10),1,0)</f>
        <v/>
      </c>
    </row>
    <row r="897">
      <c r="A897" s="2" t="n">
        <v>895</v>
      </c>
      <c r="B897" s="7" t="n">
        <v>46289.70833333334</v>
      </c>
      <c r="C897" s="2" t="inlineStr">
        <is>
          <t>進場</t>
        </is>
      </c>
      <c r="D897" s="2" t="n">
        <v>451</v>
      </c>
      <c r="E897" s="2" t="inlineStr">
        <is>
          <t>NEAR_USDT_PERP</t>
        </is>
      </c>
      <c r="F897" s="2" t="inlineStr">
        <is>
          <t>做空</t>
        </is>
      </c>
      <c r="G897" s="20" t="n">
        <v>4.25</v>
      </c>
      <c r="H897" s="20" t="n">
        <v>4.1225</v>
      </c>
      <c r="I897" s="20" t="n">
        <v>4.4625</v>
      </c>
      <c r="J897" s="20" t="n"/>
      <c r="K897" s="2" t="n"/>
      <c r="L897" s="5" t="n"/>
      <c r="M897" s="19">
        <f>資金模擬!$B$5*V896</f>
        <v/>
      </c>
      <c r="N897" s="2">
        <f>IF(Z896=1,"已停止",IF(T896&gt;=M897,"已下單","資金不足略過"))</f>
        <v/>
      </c>
      <c r="O897" s="19">
        <f>IF(N897="已下單",M897*資金模擬!$B$7,0)</f>
        <v/>
      </c>
      <c r="P897" s="4" t="n"/>
      <c r="Q897" s="13" t="n">
        <v>0</v>
      </c>
      <c r="R897" s="13">
        <f>R896+Q897</f>
        <v/>
      </c>
      <c r="S897" s="19">
        <f>S896+IF(N897="已下單",M897,0)</f>
        <v/>
      </c>
      <c r="T897" s="19">
        <f>R897-S897</f>
        <v/>
      </c>
      <c r="U897" s="2">
        <f>U896+IF(N897="已下單",1,0)</f>
        <v/>
      </c>
      <c r="V897" s="19">
        <f>IF(資金模擬!$B$9=2,MAX(R897,0),MAX(V896,FLOOR(MAX(R897,0),資金模擬!$B$6)))</f>
        <v/>
      </c>
      <c r="W897" s="13">
        <f>MAX(W896,R897)</f>
        <v/>
      </c>
      <c r="X897" s="4">
        <f>IF(W897&gt;0,R897/W897-1,-1)</f>
        <v/>
      </c>
      <c r="Y897" s="19">
        <f>IF(R897&gt;0,S897*資金模擬!$B$7/R897,0)</f>
        <v/>
      </c>
      <c r="Z897" s="2">
        <f>IF(OR(Z896=1,R897&lt;=資金模擬!$B$10),1,0)</f>
        <v/>
      </c>
    </row>
    <row r="898">
      <c r="A898" s="2" t="n">
        <v>896</v>
      </c>
      <c r="B898" s="7" t="n">
        <v>46289.70833333334</v>
      </c>
      <c r="C898" s="2" t="inlineStr">
        <is>
          <t>進場</t>
        </is>
      </c>
      <c r="D898" s="2" t="n">
        <v>452</v>
      </c>
      <c r="E898" s="2" t="inlineStr">
        <is>
          <t>PONS_USDT_PERP</t>
        </is>
      </c>
      <c r="F898" s="2" t="inlineStr">
        <is>
          <t>做空</t>
        </is>
      </c>
      <c r="G898" s="20" t="n">
        <v>0.623</v>
      </c>
      <c r="H898" s="20" t="n">
        <v>0.60431</v>
      </c>
      <c r="I898" s="20" t="n">
        <v>0.65415</v>
      </c>
      <c r="J898" s="20" t="n"/>
      <c r="K898" s="2" t="n"/>
      <c r="L898" s="5" t="n"/>
      <c r="M898" s="19">
        <f>資金模擬!$B$5*V897</f>
        <v/>
      </c>
      <c r="N898" s="2">
        <f>IF(Z897=1,"已停止",IF(T897&gt;=M898,"已下單","資金不足略過"))</f>
        <v/>
      </c>
      <c r="O898" s="19">
        <f>IF(N898="已下單",M898*資金模擬!$B$7,0)</f>
        <v/>
      </c>
      <c r="P898" s="4" t="n"/>
      <c r="Q898" s="13" t="n">
        <v>0</v>
      </c>
      <c r="R898" s="13">
        <f>R897+Q898</f>
        <v/>
      </c>
      <c r="S898" s="19">
        <f>S897+IF(N898="已下單",M898,0)</f>
        <v/>
      </c>
      <c r="T898" s="19">
        <f>R898-S898</f>
        <v/>
      </c>
      <c r="U898" s="2">
        <f>U897+IF(N898="已下單",1,0)</f>
        <v/>
      </c>
      <c r="V898" s="19">
        <f>IF(資金模擬!$B$9=2,MAX(R898,0),MAX(V897,FLOOR(MAX(R898,0),資金模擬!$B$6)))</f>
        <v/>
      </c>
      <c r="W898" s="13">
        <f>MAX(W897,R898)</f>
        <v/>
      </c>
      <c r="X898" s="4">
        <f>IF(W898&gt;0,R898/W898-1,-1)</f>
        <v/>
      </c>
      <c r="Y898" s="19">
        <f>IF(R898&gt;0,S898*資金模擬!$B$7/R898,0)</f>
        <v/>
      </c>
      <c r="Z898" s="2">
        <f>IF(OR(Z897=1,R898&lt;=資金模擬!$B$10),1,0)</f>
        <v/>
      </c>
    </row>
    <row r="899">
      <c r="A899" s="2" t="n">
        <v>897</v>
      </c>
      <c r="B899" s="7" t="n">
        <v>46289.70833333334</v>
      </c>
      <c r="C899" s="2" t="inlineStr">
        <is>
          <t>進場</t>
        </is>
      </c>
      <c r="D899" s="2" t="n">
        <v>453</v>
      </c>
      <c r="E899" s="2" t="inlineStr">
        <is>
          <t>PYTH_USDT_PERP</t>
        </is>
      </c>
      <c r="F899" s="2" t="inlineStr">
        <is>
          <t>做空</t>
        </is>
      </c>
      <c r="G899" s="20" t="n">
        <v>0.06320000000000001</v>
      </c>
      <c r="H899" s="20" t="n">
        <v>0.061304</v>
      </c>
      <c r="I899" s="20" t="n">
        <v>0.06636000000000002</v>
      </c>
      <c r="J899" s="20" t="n"/>
      <c r="K899" s="2" t="n"/>
      <c r="L899" s="5" t="n"/>
      <c r="M899" s="19">
        <f>資金模擬!$B$5*V898</f>
        <v/>
      </c>
      <c r="N899" s="2">
        <f>IF(Z898=1,"已停止",IF(T898&gt;=M899,"已下單","資金不足略過"))</f>
        <v/>
      </c>
      <c r="O899" s="19">
        <f>IF(N899="已下單",M899*資金模擬!$B$7,0)</f>
        <v/>
      </c>
      <c r="P899" s="4" t="n"/>
      <c r="Q899" s="13" t="n">
        <v>0</v>
      </c>
      <c r="R899" s="13">
        <f>R898+Q899</f>
        <v/>
      </c>
      <c r="S899" s="19">
        <f>S898+IF(N899="已下單",M899,0)</f>
        <v/>
      </c>
      <c r="T899" s="19">
        <f>R899-S899</f>
        <v/>
      </c>
      <c r="U899" s="2">
        <f>U898+IF(N899="已下單",1,0)</f>
        <v/>
      </c>
      <c r="V899" s="19">
        <f>IF(資金模擬!$B$9=2,MAX(R899,0),MAX(V898,FLOOR(MAX(R899,0),資金模擬!$B$6)))</f>
        <v/>
      </c>
      <c r="W899" s="13">
        <f>MAX(W898,R899)</f>
        <v/>
      </c>
      <c r="X899" s="4">
        <f>IF(W899&gt;0,R899/W899-1,-1)</f>
        <v/>
      </c>
      <c r="Y899" s="19">
        <f>IF(R899&gt;0,S899*資金模擬!$B$7/R899,0)</f>
        <v/>
      </c>
      <c r="Z899" s="2">
        <f>IF(OR(Z898=1,R899&lt;=資金模擬!$B$10),1,0)</f>
        <v/>
      </c>
    </row>
    <row r="900">
      <c r="A900" s="2" t="n">
        <v>898</v>
      </c>
      <c r="B900" s="7" t="n">
        <v>46289.75</v>
      </c>
      <c r="C900" s="2" t="inlineStr">
        <is>
          <t>出場</t>
        </is>
      </c>
      <c r="D900" s="2" t="n">
        <v>441</v>
      </c>
      <c r="E900" s="2" t="inlineStr">
        <is>
          <t>BCH_USDT_PERP</t>
        </is>
      </c>
      <c r="F900" s="2" t="inlineStr">
        <is>
          <t>做空</t>
        </is>
      </c>
      <c r="G900" s="20" t="n">
        <v>338.14</v>
      </c>
      <c r="H900" s="20" t="n">
        <v>327.9958</v>
      </c>
      <c r="I900" s="20" t="n">
        <v>355.047</v>
      </c>
      <c r="J900" s="20" t="n">
        <v>327.9958</v>
      </c>
      <c r="K900" s="2" t="inlineStr">
        <is>
          <t>止盈</t>
        </is>
      </c>
      <c r="L900" s="5">
        <f>交易明細!K442</f>
        <v/>
      </c>
      <c r="M900" s="19">
        <f>M876</f>
        <v/>
      </c>
      <c r="N900" s="2">
        <f>N876</f>
        <v/>
      </c>
      <c r="O900" s="19">
        <f>O876</f>
        <v/>
      </c>
      <c r="P900" s="4">
        <f>交易明細!L442</f>
        <v/>
      </c>
      <c r="Q900" s="13">
        <f>IF(N900="已下單",O900*P900,0)</f>
        <v/>
      </c>
      <c r="R900" s="13">
        <f>R899+Q900</f>
        <v/>
      </c>
      <c r="S900" s="19">
        <f>S899-IF(N900="已下單",M900,0)</f>
        <v/>
      </c>
      <c r="T900" s="19">
        <f>R900-S900</f>
        <v/>
      </c>
      <c r="U900" s="2">
        <f>U899-IF(N900="已下單",1,0)</f>
        <v/>
      </c>
      <c r="V900" s="19">
        <f>IF(資金模擬!$B$9=2,MAX(R900,0),MAX(V899,FLOOR(MAX(R900,0),資金模擬!$B$6)))</f>
        <v/>
      </c>
      <c r="W900" s="13">
        <f>MAX(W899,R900)</f>
        <v/>
      </c>
      <c r="X900" s="4">
        <f>IF(W900&gt;0,R900/W900-1,-1)</f>
        <v/>
      </c>
      <c r="Y900" s="19">
        <f>IF(R900&gt;0,S900*資金模擬!$B$7/R900,0)</f>
        <v/>
      </c>
      <c r="Z900" s="2">
        <f>IF(OR(Z899=1,R900&lt;=資金模擬!$B$10),1,0)</f>
        <v/>
      </c>
    </row>
    <row r="901">
      <c r="A901" s="2" t="n">
        <v>899</v>
      </c>
      <c r="B901" s="7" t="n">
        <v>46289.75</v>
      </c>
      <c r="C901" s="2" t="inlineStr">
        <is>
          <t>出場</t>
        </is>
      </c>
      <c r="D901" s="2" t="n">
        <v>447</v>
      </c>
      <c r="E901" s="2" t="inlineStr">
        <is>
          <t>LIT_USDT_PERP</t>
        </is>
      </c>
      <c r="F901" s="2" t="inlineStr">
        <is>
          <t>做多</t>
        </is>
      </c>
      <c r="G901" s="20" t="n">
        <v>5.48</v>
      </c>
      <c r="H901" s="20" t="n">
        <v>5.644400000000001</v>
      </c>
      <c r="I901" s="20" t="n">
        <v>5.206</v>
      </c>
      <c r="J901" s="20" t="n">
        <v>5.206</v>
      </c>
      <c r="K901" s="2" t="inlineStr">
        <is>
          <t>止損</t>
        </is>
      </c>
      <c r="L901" s="5">
        <f>交易明細!K448</f>
        <v/>
      </c>
      <c r="M901" s="19">
        <f>M892</f>
        <v/>
      </c>
      <c r="N901" s="2">
        <f>N892</f>
        <v/>
      </c>
      <c r="O901" s="19">
        <f>O892</f>
        <v/>
      </c>
      <c r="P901" s="4">
        <f>交易明細!L448</f>
        <v/>
      </c>
      <c r="Q901" s="13">
        <f>IF(N901="已下單",O901*P901,0)</f>
        <v/>
      </c>
      <c r="R901" s="13">
        <f>R900+Q901</f>
        <v/>
      </c>
      <c r="S901" s="19">
        <f>S900-IF(N901="已下單",M901,0)</f>
        <v/>
      </c>
      <c r="T901" s="19">
        <f>R901-S901</f>
        <v/>
      </c>
      <c r="U901" s="2">
        <f>U900-IF(N901="已下單",1,0)</f>
        <v/>
      </c>
      <c r="V901" s="19">
        <f>IF(資金模擬!$B$9=2,MAX(R901,0),MAX(V900,FLOOR(MAX(R901,0),資金模擬!$B$6)))</f>
        <v/>
      </c>
      <c r="W901" s="13">
        <f>MAX(W900,R901)</f>
        <v/>
      </c>
      <c r="X901" s="4">
        <f>IF(W901&gt;0,R901/W901-1,-1)</f>
        <v/>
      </c>
      <c r="Y901" s="19">
        <f>IF(R901&gt;0,S901*資金模擬!$B$7/R901,0)</f>
        <v/>
      </c>
      <c r="Z901" s="2">
        <f>IF(OR(Z900=1,R901&lt;=資金模擬!$B$10),1,0)</f>
        <v/>
      </c>
    </row>
    <row r="902">
      <c r="A902" s="2" t="n">
        <v>900</v>
      </c>
      <c r="B902" s="7" t="n">
        <v>46289.75</v>
      </c>
      <c r="C902" s="2" t="inlineStr">
        <is>
          <t>出場</t>
        </is>
      </c>
      <c r="D902" s="2" t="n">
        <v>450</v>
      </c>
      <c r="E902" s="2" t="inlineStr">
        <is>
          <t>MET_USDT_PERP</t>
        </is>
      </c>
      <c r="F902" s="2" t="inlineStr">
        <is>
          <t>做空</t>
        </is>
      </c>
      <c r="G902" s="20" t="n">
        <v>0.3454</v>
      </c>
      <c r="H902" s="20" t="n">
        <v>0.335038</v>
      </c>
      <c r="I902" s="20" t="n">
        <v>0.36267</v>
      </c>
      <c r="J902" s="20" t="n">
        <v>0.335038</v>
      </c>
      <c r="K902" s="2" t="inlineStr">
        <is>
          <t>止盈</t>
        </is>
      </c>
      <c r="L902" s="5">
        <f>交易明細!K451</f>
        <v/>
      </c>
      <c r="M902" s="19">
        <f>M896</f>
        <v/>
      </c>
      <c r="N902" s="2">
        <f>N896</f>
        <v/>
      </c>
      <c r="O902" s="19">
        <f>O896</f>
        <v/>
      </c>
      <c r="P902" s="4">
        <f>交易明細!L451</f>
        <v/>
      </c>
      <c r="Q902" s="13">
        <f>IF(N902="已下單",O902*P902,0)</f>
        <v/>
      </c>
      <c r="R902" s="13">
        <f>R901+Q902</f>
        <v/>
      </c>
      <c r="S902" s="19">
        <f>S901-IF(N902="已下單",M902,0)</f>
        <v/>
      </c>
      <c r="T902" s="19">
        <f>R902-S902</f>
        <v/>
      </c>
      <c r="U902" s="2">
        <f>U901-IF(N902="已下單",1,0)</f>
        <v/>
      </c>
      <c r="V902" s="19">
        <f>IF(資金模擬!$B$9=2,MAX(R902,0),MAX(V901,FLOOR(MAX(R902,0),資金模擬!$B$6)))</f>
        <v/>
      </c>
      <c r="W902" s="13">
        <f>MAX(W901,R902)</f>
        <v/>
      </c>
      <c r="X902" s="4">
        <f>IF(W902&gt;0,R902/W902-1,-1)</f>
        <v/>
      </c>
      <c r="Y902" s="19">
        <f>IF(R902&gt;0,S902*資金模擬!$B$7/R902,0)</f>
        <v/>
      </c>
      <c r="Z902" s="2">
        <f>IF(OR(Z901=1,R902&lt;=資金模擬!$B$10),1,0)</f>
        <v/>
      </c>
    </row>
    <row r="903">
      <c r="A903" s="2" t="n">
        <v>901</v>
      </c>
      <c r="B903" s="7" t="n">
        <v>46289.75</v>
      </c>
      <c r="C903" s="2" t="inlineStr">
        <is>
          <t>出場</t>
        </is>
      </c>
      <c r="D903" s="2" t="n">
        <v>451</v>
      </c>
      <c r="E903" s="2" t="inlineStr">
        <is>
          <t>NEAR_USDT_PERP</t>
        </is>
      </c>
      <c r="F903" s="2" t="inlineStr">
        <is>
          <t>做空</t>
        </is>
      </c>
      <c r="G903" s="20" t="n">
        <v>4.25</v>
      </c>
      <c r="H903" s="20" t="n">
        <v>4.1225</v>
      </c>
      <c r="I903" s="20" t="n">
        <v>4.4625</v>
      </c>
      <c r="J903" s="20" t="n">
        <v>4.1225</v>
      </c>
      <c r="K903" s="2" t="inlineStr">
        <is>
          <t>止盈</t>
        </is>
      </c>
      <c r="L903" s="5">
        <f>交易明細!K452</f>
        <v/>
      </c>
      <c r="M903" s="19">
        <f>M897</f>
        <v/>
      </c>
      <c r="N903" s="2">
        <f>N897</f>
        <v/>
      </c>
      <c r="O903" s="19">
        <f>O897</f>
        <v/>
      </c>
      <c r="P903" s="4">
        <f>交易明細!L452</f>
        <v/>
      </c>
      <c r="Q903" s="13">
        <f>IF(N903="已下單",O903*P903,0)</f>
        <v/>
      </c>
      <c r="R903" s="13">
        <f>R902+Q903</f>
        <v/>
      </c>
      <c r="S903" s="19">
        <f>S902-IF(N903="已下單",M903,0)</f>
        <v/>
      </c>
      <c r="T903" s="19">
        <f>R903-S903</f>
        <v/>
      </c>
      <c r="U903" s="2">
        <f>U902-IF(N903="已下單",1,0)</f>
        <v/>
      </c>
      <c r="V903" s="19">
        <f>IF(資金模擬!$B$9=2,MAX(R903,0),MAX(V902,FLOOR(MAX(R903,0),資金模擬!$B$6)))</f>
        <v/>
      </c>
      <c r="W903" s="13">
        <f>MAX(W902,R903)</f>
        <v/>
      </c>
      <c r="X903" s="4">
        <f>IF(W903&gt;0,R903/W903-1,-1)</f>
        <v/>
      </c>
      <c r="Y903" s="19">
        <f>IF(R903&gt;0,S903*資金模擬!$B$7/R903,0)</f>
        <v/>
      </c>
      <c r="Z903" s="2">
        <f>IF(OR(Z902=1,R903&lt;=資金模擬!$B$10),1,0)</f>
        <v/>
      </c>
    </row>
    <row r="904">
      <c r="A904" s="2" t="n">
        <v>902</v>
      </c>
      <c r="B904" s="7" t="n">
        <v>46289.75</v>
      </c>
      <c r="C904" s="2" t="inlineStr">
        <is>
          <t>進場</t>
        </is>
      </c>
      <c r="D904" s="2" t="n">
        <v>454</v>
      </c>
      <c r="E904" s="2" t="inlineStr">
        <is>
          <t>PEPE_USDT_PERP</t>
        </is>
      </c>
      <c r="F904" s="2" t="inlineStr">
        <is>
          <t>做空</t>
        </is>
      </c>
      <c r="G904" s="20" t="n">
        <v>4.2443e-06</v>
      </c>
      <c r="H904" s="20" t="n">
        <v>4.116971e-06</v>
      </c>
      <c r="I904" s="20" t="n">
        <v>4.456515000000001e-06</v>
      </c>
      <c r="J904" s="20" t="n"/>
      <c r="K904" s="2" t="n"/>
      <c r="L904" s="5" t="n"/>
      <c r="M904" s="19">
        <f>資金模擬!$B$5*V903</f>
        <v/>
      </c>
      <c r="N904" s="2">
        <f>IF(Z903=1,"已停止",IF(T903&gt;=M904,"已下單","資金不足略過"))</f>
        <v/>
      </c>
      <c r="O904" s="19">
        <f>IF(N904="已下單",M904*資金模擬!$B$7,0)</f>
        <v/>
      </c>
      <c r="P904" s="4" t="n"/>
      <c r="Q904" s="13" t="n">
        <v>0</v>
      </c>
      <c r="R904" s="13">
        <f>R903+Q904</f>
        <v/>
      </c>
      <c r="S904" s="19">
        <f>S903+IF(N904="已下單",M904,0)</f>
        <v/>
      </c>
      <c r="T904" s="19">
        <f>R904-S904</f>
        <v/>
      </c>
      <c r="U904" s="2">
        <f>U903+IF(N904="已下單",1,0)</f>
        <v/>
      </c>
      <c r="V904" s="19">
        <f>IF(資金模擬!$B$9=2,MAX(R904,0),MAX(V903,FLOOR(MAX(R904,0),資金模擬!$B$6)))</f>
        <v/>
      </c>
      <c r="W904" s="13">
        <f>MAX(W903,R904)</f>
        <v/>
      </c>
      <c r="X904" s="4">
        <f>IF(W904&gt;0,R904/W904-1,-1)</f>
        <v/>
      </c>
      <c r="Y904" s="19">
        <f>IF(R904&gt;0,S904*資金模擬!$B$7/R904,0)</f>
        <v/>
      </c>
      <c r="Z904" s="2">
        <f>IF(OR(Z903=1,R904&lt;=資金模擬!$B$10),1,0)</f>
        <v/>
      </c>
    </row>
    <row r="905">
      <c r="A905" s="2" t="n">
        <v>903</v>
      </c>
      <c r="B905" s="7" t="n">
        <v>46289.75</v>
      </c>
      <c r="C905" s="2" t="inlineStr">
        <is>
          <t>進場</t>
        </is>
      </c>
      <c r="D905" s="2" t="n">
        <v>455</v>
      </c>
      <c r="E905" s="2" t="inlineStr">
        <is>
          <t>PUMP_USDT_PERP</t>
        </is>
      </c>
      <c r="F905" s="2" t="inlineStr">
        <is>
          <t>做空</t>
        </is>
      </c>
      <c r="G905" s="20" t="n">
        <v>0.003843</v>
      </c>
      <c r="H905" s="20" t="n">
        <v>0.00372771</v>
      </c>
      <c r="I905" s="20" t="n">
        <v>0.00403515</v>
      </c>
      <c r="J905" s="20" t="n"/>
      <c r="K905" s="2" t="n"/>
      <c r="L905" s="5" t="n"/>
      <c r="M905" s="19">
        <f>資金模擬!$B$5*V904</f>
        <v/>
      </c>
      <c r="N905" s="2">
        <f>IF(Z904=1,"已停止",IF(T904&gt;=M905,"已下單","資金不足略過"))</f>
        <v/>
      </c>
      <c r="O905" s="19">
        <f>IF(N905="已下單",M905*資金模擬!$B$7,0)</f>
        <v/>
      </c>
      <c r="P905" s="4" t="n"/>
      <c r="Q905" s="13" t="n">
        <v>0</v>
      </c>
      <c r="R905" s="13">
        <f>R904+Q905</f>
        <v/>
      </c>
      <c r="S905" s="19">
        <f>S904+IF(N905="已下單",M905,0)</f>
        <v/>
      </c>
      <c r="T905" s="19">
        <f>R905-S905</f>
        <v/>
      </c>
      <c r="U905" s="2">
        <f>U904+IF(N905="已下單",1,0)</f>
        <v/>
      </c>
      <c r="V905" s="19">
        <f>IF(資金模擬!$B$9=2,MAX(R905,0),MAX(V904,FLOOR(MAX(R905,0),資金模擬!$B$6)))</f>
        <v/>
      </c>
      <c r="W905" s="13">
        <f>MAX(W904,R905)</f>
        <v/>
      </c>
      <c r="X905" s="4">
        <f>IF(W905&gt;0,R905/W905-1,-1)</f>
        <v/>
      </c>
      <c r="Y905" s="19">
        <f>IF(R905&gt;0,S905*資金模擬!$B$7/R905,0)</f>
        <v/>
      </c>
      <c r="Z905" s="2">
        <f>IF(OR(Z904=1,R905&lt;=資金模擬!$B$10),1,0)</f>
        <v/>
      </c>
    </row>
    <row r="906">
      <c r="A906" s="2" t="n">
        <v>904</v>
      </c>
      <c r="B906" s="7" t="n">
        <v>46289.75</v>
      </c>
      <c r="C906" s="2" t="inlineStr">
        <is>
          <t>進場</t>
        </is>
      </c>
      <c r="D906" s="2" t="n">
        <v>456</v>
      </c>
      <c r="E906" s="2" t="inlineStr">
        <is>
          <t>TAO_USDT_PERP</t>
        </is>
      </c>
      <c r="F906" s="2" t="inlineStr">
        <is>
          <t>做空</t>
        </is>
      </c>
      <c r="G906" s="20" t="n">
        <v>280.61</v>
      </c>
      <c r="H906" s="20" t="n">
        <v>272.1917</v>
      </c>
      <c r="I906" s="20" t="n">
        <v>294.6405</v>
      </c>
      <c r="J906" s="20" t="n"/>
      <c r="K906" s="2" t="n"/>
      <c r="L906" s="5" t="n"/>
      <c r="M906" s="19">
        <f>資金模擬!$B$5*V905</f>
        <v/>
      </c>
      <c r="N906" s="2">
        <f>IF(Z905=1,"已停止",IF(T905&gt;=M906,"已下單","資金不足略過"))</f>
        <v/>
      </c>
      <c r="O906" s="19">
        <f>IF(N906="已下單",M906*資金模擬!$B$7,0)</f>
        <v/>
      </c>
      <c r="P906" s="4" t="n"/>
      <c r="Q906" s="13" t="n">
        <v>0</v>
      </c>
      <c r="R906" s="13">
        <f>R905+Q906</f>
        <v/>
      </c>
      <c r="S906" s="19">
        <f>S905+IF(N906="已下單",M906,0)</f>
        <v/>
      </c>
      <c r="T906" s="19">
        <f>R906-S906</f>
        <v/>
      </c>
      <c r="U906" s="2">
        <f>U905+IF(N906="已下單",1,0)</f>
        <v/>
      </c>
      <c r="V906" s="19">
        <f>IF(資金模擬!$B$9=2,MAX(R906,0),MAX(V905,FLOOR(MAX(R906,0),資金模擬!$B$6)))</f>
        <v/>
      </c>
      <c r="W906" s="13">
        <f>MAX(W905,R906)</f>
        <v/>
      </c>
      <c r="X906" s="4">
        <f>IF(W906&gt;0,R906/W906-1,-1)</f>
        <v/>
      </c>
      <c r="Y906" s="19">
        <f>IF(R906&gt;0,S906*資金模擬!$B$7/R906,0)</f>
        <v/>
      </c>
      <c r="Z906" s="2">
        <f>IF(OR(Z905=1,R906&lt;=資金模擬!$B$10),1,0)</f>
        <v/>
      </c>
    </row>
    <row r="907">
      <c r="A907" s="2" t="n">
        <v>905</v>
      </c>
      <c r="B907" s="7" t="n">
        <v>46289.75</v>
      </c>
      <c r="C907" s="2" t="inlineStr">
        <is>
          <t>進場</t>
        </is>
      </c>
      <c r="D907" s="2" t="n">
        <v>457</v>
      </c>
      <c r="E907" s="2" t="inlineStr">
        <is>
          <t>UNI_USDT_PERP</t>
        </is>
      </c>
      <c r="F907" s="2" t="inlineStr">
        <is>
          <t>做空</t>
        </is>
      </c>
      <c r="G907" s="20" t="n">
        <v>8.867000000000001</v>
      </c>
      <c r="H907" s="20" t="n">
        <v>8.600990000000001</v>
      </c>
      <c r="I907" s="20" t="n">
        <v>9.310350000000001</v>
      </c>
      <c r="J907" s="20" t="n"/>
      <c r="K907" s="2" t="n"/>
      <c r="L907" s="5" t="n"/>
      <c r="M907" s="19">
        <f>資金模擬!$B$5*V906</f>
        <v/>
      </c>
      <c r="N907" s="2">
        <f>IF(Z906=1,"已停止",IF(T906&gt;=M907,"已下單","資金不足略過"))</f>
        <v/>
      </c>
      <c r="O907" s="19">
        <f>IF(N907="已下單",M907*資金模擬!$B$7,0)</f>
        <v/>
      </c>
      <c r="P907" s="4" t="n"/>
      <c r="Q907" s="13" t="n">
        <v>0</v>
      </c>
      <c r="R907" s="13">
        <f>R906+Q907</f>
        <v/>
      </c>
      <c r="S907" s="19">
        <f>S906+IF(N907="已下單",M907,0)</f>
        <v/>
      </c>
      <c r="T907" s="19">
        <f>R907-S907</f>
        <v/>
      </c>
      <c r="U907" s="2">
        <f>U906+IF(N907="已下單",1,0)</f>
        <v/>
      </c>
      <c r="V907" s="19">
        <f>IF(資金模擬!$B$9=2,MAX(R907,0),MAX(V906,FLOOR(MAX(R907,0),資金模擬!$B$6)))</f>
        <v/>
      </c>
      <c r="W907" s="13">
        <f>MAX(W906,R907)</f>
        <v/>
      </c>
      <c r="X907" s="4">
        <f>IF(W907&gt;0,R907/W907-1,-1)</f>
        <v/>
      </c>
      <c r="Y907" s="19">
        <f>IF(R907&gt;0,S907*資金模擬!$B$7/R907,0)</f>
        <v/>
      </c>
      <c r="Z907" s="2">
        <f>IF(OR(Z906=1,R907&lt;=資金模擬!$B$10),1,0)</f>
        <v/>
      </c>
    </row>
    <row r="908">
      <c r="A908" s="2" t="n">
        <v>906</v>
      </c>
      <c r="B908" s="7" t="n">
        <v>46289.75</v>
      </c>
      <c r="C908" s="2" t="inlineStr">
        <is>
          <t>進場</t>
        </is>
      </c>
      <c r="D908" s="2" t="n">
        <v>458</v>
      </c>
      <c r="E908" s="2" t="inlineStr">
        <is>
          <t>VVV_USDT_PERP</t>
        </is>
      </c>
      <c r="F908" s="2" t="inlineStr">
        <is>
          <t>做空</t>
        </is>
      </c>
      <c r="G908" s="20" t="n">
        <v>28.736</v>
      </c>
      <c r="H908" s="20" t="n">
        <v>27.87392</v>
      </c>
      <c r="I908" s="20" t="n">
        <v>30.1728</v>
      </c>
      <c r="J908" s="20" t="n"/>
      <c r="K908" s="2" t="n"/>
      <c r="L908" s="5" t="n"/>
      <c r="M908" s="19">
        <f>資金模擬!$B$5*V907</f>
        <v/>
      </c>
      <c r="N908" s="2">
        <f>IF(Z907=1,"已停止",IF(T907&gt;=M908,"已下單","資金不足略過"))</f>
        <v/>
      </c>
      <c r="O908" s="19">
        <f>IF(N908="已下單",M908*資金模擬!$B$7,0)</f>
        <v/>
      </c>
      <c r="P908" s="4" t="n"/>
      <c r="Q908" s="13" t="n">
        <v>0</v>
      </c>
      <c r="R908" s="13">
        <f>R907+Q908</f>
        <v/>
      </c>
      <c r="S908" s="19">
        <f>S907+IF(N908="已下單",M908,0)</f>
        <v/>
      </c>
      <c r="T908" s="19">
        <f>R908-S908</f>
        <v/>
      </c>
      <c r="U908" s="2">
        <f>U907+IF(N908="已下單",1,0)</f>
        <v/>
      </c>
      <c r="V908" s="19">
        <f>IF(資金模擬!$B$9=2,MAX(R908,0),MAX(V907,FLOOR(MAX(R908,0),資金模擬!$B$6)))</f>
        <v/>
      </c>
      <c r="W908" s="13">
        <f>MAX(W907,R908)</f>
        <v/>
      </c>
      <c r="X908" s="4">
        <f>IF(W908&gt;0,R908/W908-1,-1)</f>
        <v/>
      </c>
      <c r="Y908" s="19">
        <f>IF(R908&gt;0,S908*資金模擬!$B$7/R908,0)</f>
        <v/>
      </c>
      <c r="Z908" s="2">
        <f>IF(OR(Z907=1,R908&lt;=資金模擬!$B$10),1,0)</f>
        <v/>
      </c>
    </row>
    <row r="909">
      <c r="A909" s="2" t="n">
        <v>907</v>
      </c>
      <c r="B909" s="7" t="n">
        <v>46289.75</v>
      </c>
      <c r="C909" s="2" t="inlineStr">
        <is>
          <t>進場</t>
        </is>
      </c>
      <c r="D909" s="2" t="n">
        <v>459</v>
      </c>
      <c r="E909" s="2" t="inlineStr">
        <is>
          <t>ZEC_USDT_PERP</t>
        </is>
      </c>
      <c r="F909" s="2" t="inlineStr">
        <is>
          <t>做空</t>
        </is>
      </c>
      <c r="G909" s="20" t="n">
        <v>1478.57</v>
      </c>
      <c r="H909" s="20" t="n">
        <v>1434.2129</v>
      </c>
      <c r="I909" s="20" t="n">
        <v>1552.4985</v>
      </c>
      <c r="J909" s="20" t="n"/>
      <c r="K909" s="2" t="n"/>
      <c r="L909" s="5" t="n"/>
      <c r="M909" s="19">
        <f>資金模擬!$B$5*V908</f>
        <v/>
      </c>
      <c r="N909" s="2">
        <f>IF(Z908=1,"已停止",IF(T908&gt;=M909,"已下單","資金不足略過"))</f>
        <v/>
      </c>
      <c r="O909" s="19">
        <f>IF(N909="已下單",M909*資金模擬!$B$7,0)</f>
        <v/>
      </c>
      <c r="P909" s="4" t="n"/>
      <c r="Q909" s="13" t="n">
        <v>0</v>
      </c>
      <c r="R909" s="13">
        <f>R908+Q909</f>
        <v/>
      </c>
      <c r="S909" s="19">
        <f>S908+IF(N909="已下單",M909,0)</f>
        <v/>
      </c>
      <c r="T909" s="19">
        <f>R909-S909</f>
        <v/>
      </c>
      <c r="U909" s="2">
        <f>U908+IF(N909="已下單",1,0)</f>
        <v/>
      </c>
      <c r="V909" s="19">
        <f>IF(資金模擬!$B$9=2,MAX(R909,0),MAX(V908,FLOOR(MAX(R909,0),資金模擬!$B$6)))</f>
        <v/>
      </c>
      <c r="W909" s="13">
        <f>MAX(W908,R909)</f>
        <v/>
      </c>
      <c r="X909" s="4">
        <f>IF(W909&gt;0,R909/W909-1,-1)</f>
        <v/>
      </c>
      <c r="Y909" s="19">
        <f>IF(R909&gt;0,S909*資金模擬!$B$7/R909,0)</f>
        <v/>
      </c>
      <c r="Z909" s="2">
        <f>IF(OR(Z908=1,R909&lt;=資金模擬!$B$10),1,0)</f>
        <v/>
      </c>
    </row>
    <row r="910">
      <c r="A910" s="2" t="n">
        <v>908</v>
      </c>
      <c r="B910" s="7" t="n">
        <v>46289.79166666666</v>
      </c>
      <c r="C910" s="2" t="inlineStr">
        <is>
          <t>進場</t>
        </is>
      </c>
      <c r="D910" s="2" t="n">
        <v>460</v>
      </c>
      <c r="E910" s="2" t="inlineStr">
        <is>
          <t>AKE_USDT_PERP</t>
        </is>
      </c>
      <c r="F910" s="2" t="inlineStr">
        <is>
          <t>做空</t>
        </is>
      </c>
      <c r="G910" s="20" t="n">
        <v>0.0416545</v>
      </c>
      <c r="H910" s="20" t="n">
        <v>0.040404865</v>
      </c>
      <c r="I910" s="20" t="n">
        <v>0.043737225</v>
      </c>
      <c r="J910" s="20" t="n"/>
      <c r="K910" s="2" t="n"/>
      <c r="L910" s="5" t="n"/>
      <c r="M910" s="19">
        <f>資金模擬!$B$5*V909</f>
        <v/>
      </c>
      <c r="N910" s="2">
        <f>IF(Z909=1,"已停止",IF(T909&gt;=M910,"已下單","資金不足略過"))</f>
        <v/>
      </c>
      <c r="O910" s="19">
        <f>IF(N910="已下單",M910*資金模擬!$B$7,0)</f>
        <v/>
      </c>
      <c r="P910" s="4" t="n"/>
      <c r="Q910" s="13" t="n">
        <v>0</v>
      </c>
      <c r="R910" s="13">
        <f>R909+Q910</f>
        <v/>
      </c>
      <c r="S910" s="19">
        <f>S909+IF(N910="已下單",M910,0)</f>
        <v/>
      </c>
      <c r="T910" s="19">
        <f>R910-S910</f>
        <v/>
      </c>
      <c r="U910" s="2">
        <f>U909+IF(N910="已下單",1,0)</f>
        <v/>
      </c>
      <c r="V910" s="19">
        <f>IF(資金模擬!$B$9=2,MAX(R910,0),MAX(V909,FLOOR(MAX(R910,0),資金模擬!$B$6)))</f>
        <v/>
      </c>
      <c r="W910" s="13">
        <f>MAX(W909,R910)</f>
        <v/>
      </c>
      <c r="X910" s="4">
        <f>IF(W910&gt;0,R910/W910-1,-1)</f>
        <v/>
      </c>
      <c r="Y910" s="19">
        <f>IF(R910&gt;0,S910*資金模擬!$B$7/R910,0)</f>
        <v/>
      </c>
      <c r="Z910" s="2">
        <f>IF(OR(Z909=1,R910&lt;=資金模擬!$B$10),1,0)</f>
        <v/>
      </c>
    </row>
    <row r="911">
      <c r="A911" s="2" t="n">
        <v>909</v>
      </c>
      <c r="B911" s="7" t="n">
        <v>46289.83333333334</v>
      </c>
      <c r="C911" s="2" t="inlineStr">
        <is>
          <t>出場</t>
        </is>
      </c>
      <c r="D911" s="2" t="n">
        <v>452</v>
      </c>
      <c r="E911" s="2" t="inlineStr">
        <is>
          <t>PONS_USDT_PERP</t>
        </is>
      </c>
      <c r="F911" s="2" t="inlineStr">
        <is>
          <t>做空</t>
        </is>
      </c>
      <c r="G911" s="20" t="n">
        <v>0.623</v>
      </c>
      <c r="H911" s="20" t="n">
        <v>0.60431</v>
      </c>
      <c r="I911" s="20" t="n">
        <v>0.65415</v>
      </c>
      <c r="J911" s="20" t="n">
        <v>0.60431</v>
      </c>
      <c r="K911" s="2" t="inlineStr">
        <is>
          <t>止盈</t>
        </is>
      </c>
      <c r="L911" s="5">
        <f>交易明細!K453</f>
        <v/>
      </c>
      <c r="M911" s="19">
        <f>M898</f>
        <v/>
      </c>
      <c r="N911" s="2">
        <f>N898</f>
        <v/>
      </c>
      <c r="O911" s="19">
        <f>O898</f>
        <v/>
      </c>
      <c r="P911" s="4">
        <f>交易明細!L453</f>
        <v/>
      </c>
      <c r="Q911" s="13">
        <f>IF(N911="已下單",O911*P911,0)</f>
        <v/>
      </c>
      <c r="R911" s="13">
        <f>R910+Q911</f>
        <v/>
      </c>
      <c r="S911" s="19">
        <f>S910-IF(N911="已下單",M911,0)</f>
        <v/>
      </c>
      <c r="T911" s="19">
        <f>R911-S911</f>
        <v/>
      </c>
      <c r="U911" s="2">
        <f>U910-IF(N911="已下單",1,0)</f>
        <v/>
      </c>
      <c r="V911" s="19">
        <f>IF(資金模擬!$B$9=2,MAX(R911,0),MAX(V910,FLOOR(MAX(R911,0),資金模擬!$B$6)))</f>
        <v/>
      </c>
      <c r="W911" s="13">
        <f>MAX(W910,R911)</f>
        <v/>
      </c>
      <c r="X911" s="4">
        <f>IF(W911&gt;0,R911/W911-1,-1)</f>
        <v/>
      </c>
      <c r="Y911" s="19">
        <f>IF(R911&gt;0,S911*資金模擬!$B$7/R911,0)</f>
        <v/>
      </c>
      <c r="Z911" s="2">
        <f>IF(OR(Z910=1,R911&lt;=資金模擬!$B$10),1,0)</f>
        <v/>
      </c>
    </row>
    <row r="912">
      <c r="A912" s="2" t="n">
        <v>910</v>
      </c>
      <c r="B912" s="7" t="n">
        <v>46289.83333333334</v>
      </c>
      <c r="C912" s="2" t="inlineStr">
        <is>
          <t>出場</t>
        </is>
      </c>
      <c r="D912" s="2" t="n">
        <v>460</v>
      </c>
      <c r="E912" s="2" t="inlineStr">
        <is>
          <t>AKE_USDT_PERP</t>
        </is>
      </c>
      <c r="F912" s="2" t="inlineStr">
        <is>
          <t>做空</t>
        </is>
      </c>
      <c r="G912" s="20" t="n">
        <v>0.0416545</v>
      </c>
      <c r="H912" s="20" t="n">
        <v>0.040404865</v>
      </c>
      <c r="I912" s="20" t="n">
        <v>0.043737225</v>
      </c>
      <c r="J912" s="20" t="n">
        <v>0.040404865</v>
      </c>
      <c r="K912" s="2" t="inlineStr">
        <is>
          <t>止盈</t>
        </is>
      </c>
      <c r="L912" s="5">
        <f>交易明細!K461</f>
        <v/>
      </c>
      <c r="M912" s="19">
        <f>M910</f>
        <v/>
      </c>
      <c r="N912" s="2">
        <f>N910</f>
        <v/>
      </c>
      <c r="O912" s="19">
        <f>O910</f>
        <v/>
      </c>
      <c r="P912" s="4">
        <f>交易明細!L461</f>
        <v/>
      </c>
      <c r="Q912" s="13">
        <f>IF(N912="已下單",O912*P912,0)</f>
        <v/>
      </c>
      <c r="R912" s="13">
        <f>R911+Q912</f>
        <v/>
      </c>
      <c r="S912" s="19">
        <f>S911-IF(N912="已下單",M912,0)</f>
        <v/>
      </c>
      <c r="T912" s="19">
        <f>R912-S912</f>
        <v/>
      </c>
      <c r="U912" s="2">
        <f>U911-IF(N912="已下單",1,0)</f>
        <v/>
      </c>
      <c r="V912" s="19">
        <f>IF(資金模擬!$B$9=2,MAX(R912,0),MAX(V911,FLOOR(MAX(R912,0),資金模擬!$B$6)))</f>
        <v/>
      </c>
      <c r="W912" s="13">
        <f>MAX(W911,R912)</f>
        <v/>
      </c>
      <c r="X912" s="4">
        <f>IF(W912&gt;0,R912/W912-1,-1)</f>
        <v/>
      </c>
      <c r="Y912" s="19">
        <f>IF(R912&gt;0,S912*資金模擬!$B$7/R912,0)</f>
        <v/>
      </c>
      <c r="Z912" s="2">
        <f>IF(OR(Z911=1,R912&lt;=資金模擬!$B$10),1,0)</f>
        <v/>
      </c>
    </row>
    <row r="913">
      <c r="A913" s="2" t="n">
        <v>911</v>
      </c>
      <c r="B913" s="7" t="n">
        <v>46289.83333333334</v>
      </c>
      <c r="C913" s="2" t="inlineStr">
        <is>
          <t>進場</t>
        </is>
      </c>
      <c r="D913" s="2" t="n">
        <v>461</v>
      </c>
      <c r="E913" s="2" t="inlineStr">
        <is>
          <t>BR_USDT_PERP</t>
        </is>
      </c>
      <c r="F913" s="2" t="inlineStr">
        <is>
          <t>做多</t>
        </is>
      </c>
      <c r="G913" s="20" t="n">
        <v>1.08909</v>
      </c>
      <c r="H913" s="20" t="n">
        <v>1.1217627</v>
      </c>
      <c r="I913" s="20" t="n">
        <v>1.0346355</v>
      </c>
      <c r="J913" s="20" t="n"/>
      <c r="K913" s="2" t="n"/>
      <c r="L913" s="5" t="n"/>
      <c r="M913" s="19">
        <f>資金模擬!$B$5*V912</f>
        <v/>
      </c>
      <c r="N913" s="2">
        <f>IF(Z912=1,"已停止",IF(T912&gt;=M913,"已下單","資金不足略過"))</f>
        <v/>
      </c>
      <c r="O913" s="19">
        <f>IF(N913="已下單",M913*資金模擬!$B$7,0)</f>
        <v/>
      </c>
      <c r="P913" s="4" t="n"/>
      <c r="Q913" s="13" t="n">
        <v>0</v>
      </c>
      <c r="R913" s="13">
        <f>R912+Q913</f>
        <v/>
      </c>
      <c r="S913" s="19">
        <f>S912+IF(N913="已下單",M913,0)</f>
        <v/>
      </c>
      <c r="T913" s="19">
        <f>R913-S913</f>
        <v/>
      </c>
      <c r="U913" s="2">
        <f>U912+IF(N913="已下單",1,0)</f>
        <v/>
      </c>
      <c r="V913" s="19">
        <f>IF(資金模擬!$B$9=2,MAX(R913,0),MAX(V912,FLOOR(MAX(R913,0),資金模擬!$B$6)))</f>
        <v/>
      </c>
      <c r="W913" s="13">
        <f>MAX(W912,R913)</f>
        <v/>
      </c>
      <c r="X913" s="4">
        <f>IF(W913&gt;0,R913/W913-1,-1)</f>
        <v/>
      </c>
      <c r="Y913" s="19">
        <f>IF(R913&gt;0,S913*資金模擬!$B$7/R913,0)</f>
        <v/>
      </c>
      <c r="Z913" s="2">
        <f>IF(OR(Z912=1,R913&lt;=資金模擬!$B$10),1,0)</f>
        <v/>
      </c>
    </row>
    <row r="914">
      <c r="A914" s="2" t="n">
        <v>912</v>
      </c>
      <c r="B914" s="7" t="n">
        <v>46289.875</v>
      </c>
      <c r="C914" s="2" t="inlineStr">
        <is>
          <t>進場</t>
        </is>
      </c>
      <c r="D914" s="2" t="n">
        <v>462</v>
      </c>
      <c r="E914" s="2" t="inlineStr">
        <is>
          <t>NEAR_USDT_PERP</t>
        </is>
      </c>
      <c r="F914" s="2" t="inlineStr">
        <is>
          <t>做多</t>
        </is>
      </c>
      <c r="G914" s="20" t="n">
        <v>4.413</v>
      </c>
      <c r="H914" s="20" t="n">
        <v>4.54539</v>
      </c>
      <c r="I914" s="20" t="n">
        <v>4.19235</v>
      </c>
      <c r="J914" s="20" t="n"/>
      <c r="K914" s="2" t="n"/>
      <c r="L914" s="5" t="n"/>
      <c r="M914" s="19">
        <f>資金模擬!$B$5*V913</f>
        <v/>
      </c>
      <c r="N914" s="2">
        <f>IF(Z913=1,"已停止",IF(T913&gt;=M914,"已下單","資金不足略過"))</f>
        <v/>
      </c>
      <c r="O914" s="19">
        <f>IF(N914="已下單",M914*資金模擬!$B$7,0)</f>
        <v/>
      </c>
      <c r="P914" s="4" t="n"/>
      <c r="Q914" s="13" t="n">
        <v>0</v>
      </c>
      <c r="R914" s="13">
        <f>R913+Q914</f>
        <v/>
      </c>
      <c r="S914" s="19">
        <f>S913+IF(N914="已下單",M914,0)</f>
        <v/>
      </c>
      <c r="T914" s="19">
        <f>R914-S914</f>
        <v/>
      </c>
      <c r="U914" s="2">
        <f>U913+IF(N914="已下單",1,0)</f>
        <v/>
      </c>
      <c r="V914" s="19">
        <f>IF(資金模擬!$B$9=2,MAX(R914,0),MAX(V913,FLOOR(MAX(R914,0),資金模擬!$B$6)))</f>
        <v/>
      </c>
      <c r="W914" s="13">
        <f>MAX(W913,R914)</f>
        <v/>
      </c>
      <c r="X914" s="4">
        <f>IF(W914&gt;0,R914/W914-1,-1)</f>
        <v/>
      </c>
      <c r="Y914" s="19">
        <f>IF(R914&gt;0,S914*資金模擬!$B$7/R914,0)</f>
        <v/>
      </c>
      <c r="Z914" s="2">
        <f>IF(OR(Z913=1,R914&lt;=資金模擬!$B$10),1,0)</f>
        <v/>
      </c>
    </row>
    <row r="915">
      <c r="A915" s="2" t="n">
        <v>913</v>
      </c>
      <c r="B915" s="7" t="n">
        <v>46289.875</v>
      </c>
      <c r="C915" s="2" t="inlineStr">
        <is>
          <t>進場</t>
        </is>
      </c>
      <c r="D915" s="2" t="n">
        <v>463</v>
      </c>
      <c r="E915" s="2" t="inlineStr">
        <is>
          <t>ZRO_USDT_PERP</t>
        </is>
      </c>
      <c r="F915" s="2" t="inlineStr">
        <is>
          <t>做空</t>
        </is>
      </c>
      <c r="G915" s="20" t="n">
        <v>1.4433</v>
      </c>
      <c r="H915" s="20" t="n">
        <v>1.400001</v>
      </c>
      <c r="I915" s="20" t="n">
        <v>1.515465</v>
      </c>
      <c r="J915" s="20" t="n"/>
      <c r="K915" s="2" t="n"/>
      <c r="L915" s="5" t="n"/>
      <c r="M915" s="19">
        <f>資金模擬!$B$5*V914</f>
        <v/>
      </c>
      <c r="N915" s="2">
        <f>IF(Z914=1,"已停止",IF(T914&gt;=M915,"已下單","資金不足略過"))</f>
        <v/>
      </c>
      <c r="O915" s="19">
        <f>IF(N915="已下單",M915*資金模擬!$B$7,0)</f>
        <v/>
      </c>
      <c r="P915" s="4" t="n"/>
      <c r="Q915" s="13" t="n">
        <v>0</v>
      </c>
      <c r="R915" s="13">
        <f>R914+Q915</f>
        <v/>
      </c>
      <c r="S915" s="19">
        <f>S914+IF(N915="已下單",M915,0)</f>
        <v/>
      </c>
      <c r="T915" s="19">
        <f>R915-S915</f>
        <v/>
      </c>
      <c r="U915" s="2">
        <f>U914+IF(N915="已下單",1,0)</f>
        <v/>
      </c>
      <c r="V915" s="19">
        <f>IF(資金模擬!$B$9=2,MAX(R915,0),MAX(V914,FLOOR(MAX(R915,0),資金模擬!$B$6)))</f>
        <v/>
      </c>
      <c r="W915" s="13">
        <f>MAX(W914,R915)</f>
        <v/>
      </c>
      <c r="X915" s="4">
        <f>IF(W915&gt;0,R915/W915-1,-1)</f>
        <v/>
      </c>
      <c r="Y915" s="19">
        <f>IF(R915&gt;0,S915*資金模擬!$B$7/R915,0)</f>
        <v/>
      </c>
      <c r="Z915" s="2">
        <f>IF(OR(Z914=1,R915&lt;=資金模擬!$B$10),1,0)</f>
        <v/>
      </c>
    </row>
    <row r="916">
      <c r="A916" s="2" t="n">
        <v>914</v>
      </c>
      <c r="B916" s="7" t="n">
        <v>46289.91666666666</v>
      </c>
      <c r="C916" s="2" t="inlineStr">
        <is>
          <t>出場</t>
        </is>
      </c>
      <c r="D916" s="2" t="n">
        <v>448</v>
      </c>
      <c r="E916" s="2" t="inlineStr">
        <is>
          <t>ENA_USDT_PERP</t>
        </is>
      </c>
      <c r="F916" s="2" t="inlineStr">
        <is>
          <t>做空</t>
        </is>
      </c>
      <c r="G916" s="20" t="n">
        <v>0.203</v>
      </c>
      <c r="H916" s="20" t="n">
        <v>0.19691</v>
      </c>
      <c r="I916" s="20" t="n">
        <v>0.21315</v>
      </c>
      <c r="J916" s="20" t="n">
        <v>0.21315</v>
      </c>
      <c r="K916" s="2" t="inlineStr">
        <is>
          <t>止損</t>
        </is>
      </c>
      <c r="L916" s="5">
        <f>交易明細!K449</f>
        <v/>
      </c>
      <c r="M916" s="19">
        <f>M894</f>
        <v/>
      </c>
      <c r="N916" s="2">
        <f>N894</f>
        <v/>
      </c>
      <c r="O916" s="19">
        <f>O894</f>
        <v/>
      </c>
      <c r="P916" s="4">
        <f>交易明細!L449</f>
        <v/>
      </c>
      <c r="Q916" s="13">
        <f>IF(N916="已下單",O916*P916,0)</f>
        <v/>
      </c>
      <c r="R916" s="13">
        <f>R915+Q916</f>
        <v/>
      </c>
      <c r="S916" s="19">
        <f>S915-IF(N916="已下單",M916,0)</f>
        <v/>
      </c>
      <c r="T916" s="19">
        <f>R916-S916</f>
        <v/>
      </c>
      <c r="U916" s="2">
        <f>U915-IF(N916="已下單",1,0)</f>
        <v/>
      </c>
      <c r="V916" s="19">
        <f>IF(資金模擬!$B$9=2,MAX(R916,0),MAX(V915,FLOOR(MAX(R916,0),資金模擬!$B$6)))</f>
        <v/>
      </c>
      <c r="W916" s="13">
        <f>MAX(W915,R916)</f>
        <v/>
      </c>
      <c r="X916" s="4">
        <f>IF(W916&gt;0,R916/W916-1,-1)</f>
        <v/>
      </c>
      <c r="Y916" s="19">
        <f>IF(R916&gt;0,S916*資金模擬!$B$7/R916,0)</f>
        <v/>
      </c>
      <c r="Z916" s="2">
        <f>IF(OR(Z915=1,R916&lt;=資金模擬!$B$10),1,0)</f>
        <v/>
      </c>
    </row>
    <row r="917">
      <c r="A917" s="2" t="n">
        <v>915</v>
      </c>
      <c r="B917" s="7" t="n">
        <v>46289.91666666666</v>
      </c>
      <c r="C917" s="2" t="inlineStr">
        <is>
          <t>出場</t>
        </is>
      </c>
      <c r="D917" s="2" t="n">
        <v>449</v>
      </c>
      <c r="E917" s="2" t="inlineStr">
        <is>
          <t>ICP_USDT_PERP</t>
        </is>
      </c>
      <c r="F917" s="2" t="inlineStr">
        <is>
          <t>做空</t>
        </is>
      </c>
      <c r="G917" s="20" t="n">
        <v>2.912</v>
      </c>
      <c r="H917" s="20" t="n">
        <v>2.82464</v>
      </c>
      <c r="I917" s="20" t="n">
        <v>3.0576</v>
      </c>
      <c r="J917" s="20" t="n">
        <v>3.0576</v>
      </c>
      <c r="K917" s="2" t="inlineStr">
        <is>
          <t>止損</t>
        </is>
      </c>
      <c r="L917" s="5">
        <f>交易明細!K450</f>
        <v/>
      </c>
      <c r="M917" s="19">
        <f>M895</f>
        <v/>
      </c>
      <c r="N917" s="2">
        <f>N895</f>
        <v/>
      </c>
      <c r="O917" s="19">
        <f>O895</f>
        <v/>
      </c>
      <c r="P917" s="4">
        <f>交易明細!L450</f>
        <v/>
      </c>
      <c r="Q917" s="13">
        <f>IF(N917="已下單",O917*P917,0)</f>
        <v/>
      </c>
      <c r="R917" s="13">
        <f>R916+Q917</f>
        <v/>
      </c>
      <c r="S917" s="19">
        <f>S916-IF(N917="已下單",M917,0)</f>
        <v/>
      </c>
      <c r="T917" s="19">
        <f>R917-S917</f>
        <v/>
      </c>
      <c r="U917" s="2">
        <f>U916-IF(N917="已下單",1,0)</f>
        <v/>
      </c>
      <c r="V917" s="19">
        <f>IF(資金模擬!$B$9=2,MAX(R917,0),MAX(V916,FLOOR(MAX(R917,0),資金模擬!$B$6)))</f>
        <v/>
      </c>
      <c r="W917" s="13">
        <f>MAX(W916,R917)</f>
        <v/>
      </c>
      <c r="X917" s="4">
        <f>IF(W917&gt;0,R917/W917-1,-1)</f>
        <v/>
      </c>
      <c r="Y917" s="19">
        <f>IF(R917&gt;0,S917*資金模擬!$B$7/R917,0)</f>
        <v/>
      </c>
      <c r="Z917" s="2">
        <f>IF(OR(Z916=1,R917&lt;=資金模擬!$B$10),1,0)</f>
        <v/>
      </c>
    </row>
    <row r="918">
      <c r="A918" s="2" t="n">
        <v>916</v>
      </c>
      <c r="B918" s="7" t="n">
        <v>46289.91666666666</v>
      </c>
      <c r="C918" s="2" t="inlineStr">
        <is>
          <t>出場</t>
        </is>
      </c>
      <c r="D918" s="2" t="n">
        <v>453</v>
      </c>
      <c r="E918" s="2" t="inlineStr">
        <is>
          <t>PYTH_USDT_PERP</t>
        </is>
      </c>
      <c r="F918" s="2" t="inlineStr">
        <is>
          <t>做空</t>
        </is>
      </c>
      <c r="G918" s="20" t="n">
        <v>0.06320000000000001</v>
      </c>
      <c r="H918" s="20" t="n">
        <v>0.061304</v>
      </c>
      <c r="I918" s="20" t="n">
        <v>0.06636000000000002</v>
      </c>
      <c r="J918" s="20" t="n">
        <v>0.06636000000000002</v>
      </c>
      <c r="K918" s="2" t="inlineStr">
        <is>
          <t>止損</t>
        </is>
      </c>
      <c r="L918" s="5">
        <f>交易明細!K454</f>
        <v/>
      </c>
      <c r="M918" s="19">
        <f>M899</f>
        <v/>
      </c>
      <c r="N918" s="2">
        <f>N899</f>
        <v/>
      </c>
      <c r="O918" s="19">
        <f>O899</f>
        <v/>
      </c>
      <c r="P918" s="4">
        <f>交易明細!L454</f>
        <v/>
      </c>
      <c r="Q918" s="13">
        <f>IF(N918="已下單",O918*P918,0)</f>
        <v/>
      </c>
      <c r="R918" s="13">
        <f>R917+Q918</f>
        <v/>
      </c>
      <c r="S918" s="19">
        <f>S917-IF(N918="已下單",M918,0)</f>
        <v/>
      </c>
      <c r="T918" s="19">
        <f>R918-S918</f>
        <v/>
      </c>
      <c r="U918" s="2">
        <f>U917-IF(N918="已下單",1,0)</f>
        <v/>
      </c>
      <c r="V918" s="19">
        <f>IF(資金模擬!$B$9=2,MAX(R918,0),MAX(V917,FLOOR(MAX(R918,0),資金模擬!$B$6)))</f>
        <v/>
      </c>
      <c r="W918" s="13">
        <f>MAX(W917,R918)</f>
        <v/>
      </c>
      <c r="X918" s="4">
        <f>IF(W918&gt;0,R918/W918-1,-1)</f>
        <v/>
      </c>
      <c r="Y918" s="19">
        <f>IF(R918&gt;0,S918*資金模擬!$B$7/R918,0)</f>
        <v/>
      </c>
      <c r="Z918" s="2">
        <f>IF(OR(Z917=1,R918&lt;=資金模擬!$B$10),1,0)</f>
        <v/>
      </c>
    </row>
    <row r="919">
      <c r="A919" s="2" t="n">
        <v>917</v>
      </c>
      <c r="B919" s="7" t="n">
        <v>46289.91666666666</v>
      </c>
      <c r="C919" s="2" t="inlineStr">
        <is>
          <t>進場</t>
        </is>
      </c>
      <c r="D919" s="2" t="n">
        <v>464</v>
      </c>
      <c r="E919" s="2" t="inlineStr">
        <is>
          <t>AKE_USDT_PERP</t>
        </is>
      </c>
      <c r="F919" s="2" t="inlineStr">
        <is>
          <t>做多</t>
        </is>
      </c>
      <c r="G919" s="20" t="n">
        <v>0.0435322</v>
      </c>
      <c r="H919" s="20" t="n">
        <v>0.044838166</v>
      </c>
      <c r="I919" s="20" t="n">
        <v>0.04135559</v>
      </c>
      <c r="J919" s="20" t="n"/>
      <c r="K919" s="2" t="n"/>
      <c r="L919" s="5" t="n"/>
      <c r="M919" s="19">
        <f>資金模擬!$B$5*V918</f>
        <v/>
      </c>
      <c r="N919" s="2">
        <f>IF(Z918=1,"已停止",IF(T918&gt;=M919,"已下單","資金不足略過"))</f>
        <v/>
      </c>
      <c r="O919" s="19">
        <f>IF(N919="已下單",M919*資金模擬!$B$7,0)</f>
        <v/>
      </c>
      <c r="P919" s="4" t="n"/>
      <c r="Q919" s="13" t="n">
        <v>0</v>
      </c>
      <c r="R919" s="13">
        <f>R918+Q919</f>
        <v/>
      </c>
      <c r="S919" s="19">
        <f>S918+IF(N919="已下單",M919,0)</f>
        <v/>
      </c>
      <c r="T919" s="19">
        <f>R919-S919</f>
        <v/>
      </c>
      <c r="U919" s="2">
        <f>U918+IF(N919="已下單",1,0)</f>
        <v/>
      </c>
      <c r="V919" s="19">
        <f>IF(資金模擬!$B$9=2,MAX(R919,0),MAX(V918,FLOOR(MAX(R919,0),資金模擬!$B$6)))</f>
        <v/>
      </c>
      <c r="W919" s="13">
        <f>MAX(W918,R919)</f>
        <v/>
      </c>
      <c r="X919" s="4">
        <f>IF(W919&gt;0,R919/W919-1,-1)</f>
        <v/>
      </c>
      <c r="Y919" s="19">
        <f>IF(R919&gt;0,S919*資金模擬!$B$7/R919,0)</f>
        <v/>
      </c>
      <c r="Z919" s="2">
        <f>IF(OR(Z918=1,R919&lt;=資金模擬!$B$10),1,0)</f>
        <v/>
      </c>
    </row>
    <row r="920">
      <c r="A920" s="2" t="n">
        <v>918</v>
      </c>
      <c r="B920" s="7" t="n">
        <v>46289.91666666666</v>
      </c>
      <c r="C920" s="2" t="inlineStr">
        <is>
          <t>進場</t>
        </is>
      </c>
      <c r="D920" s="2" t="n">
        <v>465</v>
      </c>
      <c r="E920" s="2" t="inlineStr">
        <is>
          <t>BTW_USDT_PERP</t>
        </is>
      </c>
      <c r="F920" s="2" t="inlineStr">
        <is>
          <t>做多</t>
        </is>
      </c>
      <c r="G920" s="20" t="n">
        <v>1.04655</v>
      </c>
      <c r="H920" s="20" t="n">
        <v>1.0779465</v>
      </c>
      <c r="I920" s="20" t="n">
        <v>0.9942225</v>
      </c>
      <c r="J920" s="20" t="n"/>
      <c r="K920" s="2" t="n"/>
      <c r="L920" s="5" t="n"/>
      <c r="M920" s="19">
        <f>資金模擬!$B$5*V919</f>
        <v/>
      </c>
      <c r="N920" s="2">
        <f>IF(Z919=1,"已停止",IF(T919&gt;=M920,"已下單","資金不足略過"))</f>
        <v/>
      </c>
      <c r="O920" s="19">
        <f>IF(N920="已下單",M920*資金模擬!$B$7,0)</f>
        <v/>
      </c>
      <c r="P920" s="4" t="n"/>
      <c r="Q920" s="13" t="n">
        <v>0</v>
      </c>
      <c r="R920" s="13">
        <f>R919+Q920</f>
        <v/>
      </c>
      <c r="S920" s="19">
        <f>S919+IF(N920="已下單",M920,0)</f>
        <v/>
      </c>
      <c r="T920" s="19">
        <f>R920-S920</f>
        <v/>
      </c>
      <c r="U920" s="2">
        <f>U919+IF(N920="已下單",1,0)</f>
        <v/>
      </c>
      <c r="V920" s="19">
        <f>IF(資金模擬!$B$9=2,MAX(R920,0),MAX(V919,FLOOR(MAX(R920,0),資金模擬!$B$6)))</f>
        <v/>
      </c>
      <c r="W920" s="13">
        <f>MAX(W919,R920)</f>
        <v/>
      </c>
      <c r="X920" s="4">
        <f>IF(W920&gt;0,R920/W920-1,-1)</f>
        <v/>
      </c>
      <c r="Y920" s="19">
        <f>IF(R920&gt;0,S920*資金模擬!$B$7/R920,0)</f>
        <v/>
      </c>
      <c r="Z920" s="2">
        <f>IF(OR(Z919=1,R920&lt;=資金模擬!$B$10),1,0)</f>
        <v/>
      </c>
    </row>
    <row r="921">
      <c r="A921" s="2" t="n">
        <v>919</v>
      </c>
      <c r="B921" s="7" t="n">
        <v>46289.91666666666</v>
      </c>
      <c r="C921" s="2" t="inlineStr">
        <is>
          <t>進場</t>
        </is>
      </c>
      <c r="D921" s="2" t="n">
        <v>466</v>
      </c>
      <c r="E921" s="2" t="inlineStr">
        <is>
          <t>FET_USDT_PERP</t>
        </is>
      </c>
      <c r="F921" s="2" t="inlineStr">
        <is>
          <t>做多</t>
        </is>
      </c>
      <c r="G921" s="20" t="n">
        <v>0.2057</v>
      </c>
      <c r="H921" s="20" t="n">
        <v>0.211871</v>
      </c>
      <c r="I921" s="20" t="n">
        <v>0.195415</v>
      </c>
      <c r="J921" s="20" t="n"/>
      <c r="K921" s="2" t="n"/>
      <c r="L921" s="5" t="n"/>
      <c r="M921" s="19">
        <f>資金模擬!$B$5*V920</f>
        <v/>
      </c>
      <c r="N921" s="2">
        <f>IF(Z920=1,"已停止",IF(T920&gt;=M921,"已下單","資金不足略過"))</f>
        <v/>
      </c>
      <c r="O921" s="19">
        <f>IF(N921="已下單",M921*資金模擬!$B$7,0)</f>
        <v/>
      </c>
      <c r="P921" s="4" t="n"/>
      <c r="Q921" s="13" t="n">
        <v>0</v>
      </c>
      <c r="R921" s="13">
        <f>R920+Q921</f>
        <v/>
      </c>
      <c r="S921" s="19">
        <f>S920+IF(N921="已下單",M921,0)</f>
        <v/>
      </c>
      <c r="T921" s="19">
        <f>R921-S921</f>
        <v/>
      </c>
      <c r="U921" s="2">
        <f>U920+IF(N921="已下單",1,0)</f>
        <v/>
      </c>
      <c r="V921" s="19">
        <f>IF(資金模擬!$B$9=2,MAX(R921,0),MAX(V920,FLOOR(MAX(R921,0),資金模擬!$B$6)))</f>
        <v/>
      </c>
      <c r="W921" s="13">
        <f>MAX(W920,R921)</f>
        <v/>
      </c>
      <c r="X921" s="4">
        <f>IF(W921&gt;0,R921/W921-1,-1)</f>
        <v/>
      </c>
      <c r="Y921" s="19">
        <f>IF(R921&gt;0,S921*資金模擬!$B$7/R921,0)</f>
        <v/>
      </c>
      <c r="Z921" s="2">
        <f>IF(OR(Z920=1,R921&lt;=資金模擬!$B$10),1,0)</f>
        <v/>
      </c>
    </row>
    <row r="922">
      <c r="A922" s="2" t="n">
        <v>920</v>
      </c>
      <c r="B922" s="7" t="n">
        <v>46289.91666666666</v>
      </c>
      <c r="C922" s="2" t="inlineStr">
        <is>
          <t>進場</t>
        </is>
      </c>
      <c r="D922" s="2" t="n">
        <v>467</v>
      </c>
      <c r="E922" s="2" t="inlineStr">
        <is>
          <t>RAY_USDT_PERP</t>
        </is>
      </c>
      <c r="F922" s="2" t="inlineStr">
        <is>
          <t>做多</t>
        </is>
      </c>
      <c r="G922" s="20" t="n">
        <v>2.08</v>
      </c>
      <c r="H922" s="20" t="n">
        <v>2.1424</v>
      </c>
      <c r="I922" s="20" t="n">
        <v>1.976</v>
      </c>
      <c r="J922" s="20" t="n"/>
      <c r="K922" s="2" t="n"/>
      <c r="L922" s="5" t="n"/>
      <c r="M922" s="19">
        <f>資金模擬!$B$5*V921</f>
        <v/>
      </c>
      <c r="N922" s="2">
        <f>IF(Z921=1,"已停止",IF(T921&gt;=M922,"已下單","資金不足略過"))</f>
        <v/>
      </c>
      <c r="O922" s="19">
        <f>IF(N922="已下單",M922*資金模擬!$B$7,0)</f>
        <v/>
      </c>
      <c r="P922" s="4" t="n"/>
      <c r="Q922" s="13" t="n">
        <v>0</v>
      </c>
      <c r="R922" s="13">
        <f>R921+Q922</f>
        <v/>
      </c>
      <c r="S922" s="19">
        <f>S921+IF(N922="已下單",M922,0)</f>
        <v/>
      </c>
      <c r="T922" s="19">
        <f>R922-S922</f>
        <v/>
      </c>
      <c r="U922" s="2">
        <f>U921+IF(N922="已下單",1,0)</f>
        <v/>
      </c>
      <c r="V922" s="19">
        <f>IF(資金模擬!$B$9=2,MAX(R922,0),MAX(V921,FLOOR(MAX(R922,0),資金模擬!$B$6)))</f>
        <v/>
      </c>
      <c r="W922" s="13">
        <f>MAX(W921,R922)</f>
        <v/>
      </c>
      <c r="X922" s="4">
        <f>IF(W922&gt;0,R922/W922-1,-1)</f>
        <v/>
      </c>
      <c r="Y922" s="19">
        <f>IF(R922&gt;0,S922*資金模擬!$B$7/R922,0)</f>
        <v/>
      </c>
      <c r="Z922" s="2">
        <f>IF(OR(Z921=1,R922&lt;=資金模擬!$B$10),1,0)</f>
        <v/>
      </c>
    </row>
    <row r="923">
      <c r="A923" s="2" t="n">
        <v>921</v>
      </c>
      <c r="B923" s="7" t="n">
        <v>46289.95833333334</v>
      </c>
      <c r="C923" s="2" t="inlineStr">
        <is>
          <t>出場</t>
        </is>
      </c>
      <c r="D923" s="2" t="n">
        <v>454</v>
      </c>
      <c r="E923" s="2" t="inlineStr">
        <is>
          <t>PEPE_USDT_PERP</t>
        </is>
      </c>
      <c r="F923" s="2" t="inlineStr">
        <is>
          <t>做空</t>
        </is>
      </c>
      <c r="G923" s="20" t="n">
        <v>4.2443e-06</v>
      </c>
      <c r="H923" s="20" t="n">
        <v>4.116971e-06</v>
      </c>
      <c r="I923" s="20" t="n">
        <v>4.456515000000001e-06</v>
      </c>
      <c r="J923" s="20" t="n">
        <v>4.456515000000001e-06</v>
      </c>
      <c r="K923" s="2" t="inlineStr">
        <is>
          <t>止損</t>
        </is>
      </c>
      <c r="L923" s="5">
        <f>交易明細!K455</f>
        <v/>
      </c>
      <c r="M923" s="19">
        <f>M904</f>
        <v/>
      </c>
      <c r="N923" s="2">
        <f>N904</f>
        <v/>
      </c>
      <c r="O923" s="19">
        <f>O904</f>
        <v/>
      </c>
      <c r="P923" s="4">
        <f>交易明細!L455</f>
        <v/>
      </c>
      <c r="Q923" s="13">
        <f>IF(N923="已下單",O923*P923,0)</f>
        <v/>
      </c>
      <c r="R923" s="13">
        <f>R922+Q923</f>
        <v/>
      </c>
      <c r="S923" s="19">
        <f>S922-IF(N923="已下單",M923,0)</f>
        <v/>
      </c>
      <c r="T923" s="19">
        <f>R923-S923</f>
        <v/>
      </c>
      <c r="U923" s="2">
        <f>U922-IF(N923="已下單",1,0)</f>
        <v/>
      </c>
      <c r="V923" s="19">
        <f>IF(資金模擬!$B$9=2,MAX(R923,0),MAX(V922,FLOOR(MAX(R923,0),資金模擬!$B$6)))</f>
        <v/>
      </c>
      <c r="W923" s="13">
        <f>MAX(W922,R923)</f>
        <v/>
      </c>
      <c r="X923" s="4">
        <f>IF(W923&gt;0,R923/W923-1,-1)</f>
        <v/>
      </c>
      <c r="Y923" s="19">
        <f>IF(R923&gt;0,S923*資金模擬!$B$7/R923,0)</f>
        <v/>
      </c>
      <c r="Z923" s="2">
        <f>IF(OR(Z922=1,R923&lt;=資金模擬!$B$10),1,0)</f>
        <v/>
      </c>
    </row>
    <row r="924">
      <c r="A924" s="2" t="n">
        <v>922</v>
      </c>
      <c r="B924" s="7" t="n">
        <v>46289.95833333334</v>
      </c>
      <c r="C924" s="2" t="inlineStr">
        <is>
          <t>出場</t>
        </is>
      </c>
      <c r="D924" s="2" t="n">
        <v>456</v>
      </c>
      <c r="E924" s="2" t="inlineStr">
        <is>
          <t>TAO_USDT_PERP</t>
        </is>
      </c>
      <c r="F924" s="2" t="inlineStr">
        <is>
          <t>做空</t>
        </is>
      </c>
      <c r="G924" s="20" t="n">
        <v>280.61</v>
      </c>
      <c r="H924" s="20" t="n">
        <v>272.1917</v>
      </c>
      <c r="I924" s="20" t="n">
        <v>294.6405</v>
      </c>
      <c r="J924" s="20" t="n">
        <v>294.6405</v>
      </c>
      <c r="K924" s="2" t="inlineStr">
        <is>
          <t>止損</t>
        </is>
      </c>
      <c r="L924" s="5">
        <f>交易明細!K457</f>
        <v/>
      </c>
      <c r="M924" s="19">
        <f>M906</f>
        <v/>
      </c>
      <c r="N924" s="2">
        <f>N906</f>
        <v/>
      </c>
      <c r="O924" s="19">
        <f>O906</f>
        <v/>
      </c>
      <c r="P924" s="4">
        <f>交易明細!L457</f>
        <v/>
      </c>
      <c r="Q924" s="13">
        <f>IF(N924="已下單",O924*P924,0)</f>
        <v/>
      </c>
      <c r="R924" s="13">
        <f>R923+Q924</f>
        <v/>
      </c>
      <c r="S924" s="19">
        <f>S923-IF(N924="已下單",M924,0)</f>
        <v/>
      </c>
      <c r="T924" s="19">
        <f>R924-S924</f>
        <v/>
      </c>
      <c r="U924" s="2">
        <f>U923-IF(N924="已下單",1,0)</f>
        <v/>
      </c>
      <c r="V924" s="19">
        <f>IF(資金模擬!$B$9=2,MAX(R924,0),MAX(V923,FLOOR(MAX(R924,0),資金模擬!$B$6)))</f>
        <v/>
      </c>
      <c r="W924" s="13">
        <f>MAX(W923,R924)</f>
        <v/>
      </c>
      <c r="X924" s="4">
        <f>IF(W924&gt;0,R924/W924-1,-1)</f>
        <v/>
      </c>
      <c r="Y924" s="19">
        <f>IF(R924&gt;0,S924*資金模擬!$B$7/R924,0)</f>
        <v/>
      </c>
      <c r="Z924" s="2">
        <f>IF(OR(Z923=1,R924&lt;=資金模擬!$B$10),1,0)</f>
        <v/>
      </c>
    </row>
    <row r="925">
      <c r="A925" s="2" t="n">
        <v>923</v>
      </c>
      <c r="B925" s="7" t="n">
        <v>46289.95833333334</v>
      </c>
      <c r="C925" s="2" t="inlineStr">
        <is>
          <t>出場</t>
        </is>
      </c>
      <c r="D925" s="2" t="n">
        <v>457</v>
      </c>
      <c r="E925" s="2" t="inlineStr">
        <is>
          <t>UNI_USDT_PERP</t>
        </is>
      </c>
      <c r="F925" s="2" t="inlineStr">
        <is>
          <t>做空</t>
        </is>
      </c>
      <c r="G925" s="20" t="n">
        <v>8.867000000000001</v>
      </c>
      <c r="H925" s="20" t="n">
        <v>8.600990000000001</v>
      </c>
      <c r="I925" s="20" t="n">
        <v>9.310350000000001</v>
      </c>
      <c r="J925" s="20" t="n">
        <v>9.310350000000001</v>
      </c>
      <c r="K925" s="2" t="inlineStr">
        <is>
          <t>止損</t>
        </is>
      </c>
      <c r="L925" s="5">
        <f>交易明細!K458</f>
        <v/>
      </c>
      <c r="M925" s="19">
        <f>M907</f>
        <v/>
      </c>
      <c r="N925" s="2">
        <f>N907</f>
        <v/>
      </c>
      <c r="O925" s="19">
        <f>O907</f>
        <v/>
      </c>
      <c r="P925" s="4">
        <f>交易明細!L458</f>
        <v/>
      </c>
      <c r="Q925" s="13">
        <f>IF(N925="已下單",O925*P925,0)</f>
        <v/>
      </c>
      <c r="R925" s="13">
        <f>R924+Q925</f>
        <v/>
      </c>
      <c r="S925" s="19">
        <f>S924-IF(N925="已下單",M925,0)</f>
        <v/>
      </c>
      <c r="T925" s="19">
        <f>R925-S925</f>
        <v/>
      </c>
      <c r="U925" s="2">
        <f>U924-IF(N925="已下單",1,0)</f>
        <v/>
      </c>
      <c r="V925" s="19">
        <f>IF(資金模擬!$B$9=2,MAX(R925,0),MAX(V924,FLOOR(MAX(R925,0),資金模擬!$B$6)))</f>
        <v/>
      </c>
      <c r="W925" s="13">
        <f>MAX(W924,R925)</f>
        <v/>
      </c>
      <c r="X925" s="4">
        <f>IF(W925&gt;0,R925/W925-1,-1)</f>
        <v/>
      </c>
      <c r="Y925" s="19">
        <f>IF(R925&gt;0,S925*資金模擬!$B$7/R925,0)</f>
        <v/>
      </c>
      <c r="Z925" s="2">
        <f>IF(OR(Z924=1,R925&lt;=資金模擬!$B$10),1,0)</f>
        <v/>
      </c>
    </row>
    <row r="926">
      <c r="A926" s="2" t="n">
        <v>924</v>
      </c>
      <c r="B926" s="7" t="n">
        <v>46289.95833333334</v>
      </c>
      <c r="C926" s="2" t="inlineStr">
        <is>
          <t>出場</t>
        </is>
      </c>
      <c r="D926" s="2" t="n">
        <v>458</v>
      </c>
      <c r="E926" s="2" t="inlineStr">
        <is>
          <t>VVV_USDT_PERP</t>
        </is>
      </c>
      <c r="F926" s="2" t="inlineStr">
        <is>
          <t>做空</t>
        </is>
      </c>
      <c r="G926" s="20" t="n">
        <v>28.736</v>
      </c>
      <c r="H926" s="20" t="n">
        <v>27.87392</v>
      </c>
      <c r="I926" s="20" t="n">
        <v>30.1728</v>
      </c>
      <c r="J926" s="20" t="n">
        <v>30.1728</v>
      </c>
      <c r="K926" s="2" t="inlineStr">
        <is>
          <t>止損</t>
        </is>
      </c>
      <c r="L926" s="5">
        <f>交易明細!K459</f>
        <v/>
      </c>
      <c r="M926" s="19">
        <f>M908</f>
        <v/>
      </c>
      <c r="N926" s="2">
        <f>N908</f>
        <v/>
      </c>
      <c r="O926" s="19">
        <f>O908</f>
        <v/>
      </c>
      <c r="P926" s="4">
        <f>交易明細!L459</f>
        <v/>
      </c>
      <c r="Q926" s="13">
        <f>IF(N926="已下單",O926*P926,0)</f>
        <v/>
      </c>
      <c r="R926" s="13">
        <f>R925+Q926</f>
        <v/>
      </c>
      <c r="S926" s="19">
        <f>S925-IF(N926="已下單",M926,0)</f>
        <v/>
      </c>
      <c r="T926" s="19">
        <f>R926-S926</f>
        <v/>
      </c>
      <c r="U926" s="2">
        <f>U925-IF(N926="已下單",1,0)</f>
        <v/>
      </c>
      <c r="V926" s="19">
        <f>IF(資金模擬!$B$9=2,MAX(R926,0),MAX(V925,FLOOR(MAX(R926,0),資金模擬!$B$6)))</f>
        <v/>
      </c>
      <c r="W926" s="13">
        <f>MAX(W925,R926)</f>
        <v/>
      </c>
      <c r="X926" s="4">
        <f>IF(W926&gt;0,R926/W926-1,-1)</f>
        <v/>
      </c>
      <c r="Y926" s="19">
        <f>IF(R926&gt;0,S926*資金模擬!$B$7/R926,0)</f>
        <v/>
      </c>
      <c r="Z926" s="2">
        <f>IF(OR(Z925=1,R926&lt;=資金模擬!$B$10),1,0)</f>
        <v/>
      </c>
    </row>
    <row r="927">
      <c r="A927" s="2" t="n">
        <v>925</v>
      </c>
      <c r="B927" s="7" t="n">
        <v>46289.95833333334</v>
      </c>
      <c r="C927" s="2" t="inlineStr">
        <is>
          <t>出場</t>
        </is>
      </c>
      <c r="D927" s="2" t="n">
        <v>461</v>
      </c>
      <c r="E927" s="2" t="inlineStr">
        <is>
          <t>BR_USDT_PERP</t>
        </is>
      </c>
      <c r="F927" s="2" t="inlineStr">
        <is>
          <t>做多</t>
        </is>
      </c>
      <c r="G927" s="20" t="n">
        <v>1.08909</v>
      </c>
      <c r="H927" s="20" t="n">
        <v>1.1217627</v>
      </c>
      <c r="I927" s="20" t="n">
        <v>1.0346355</v>
      </c>
      <c r="J927" s="20" t="n">
        <v>1.0346355</v>
      </c>
      <c r="K927" s="2" t="inlineStr">
        <is>
          <t>止損</t>
        </is>
      </c>
      <c r="L927" s="5">
        <f>交易明細!K462</f>
        <v/>
      </c>
      <c r="M927" s="19">
        <f>M913</f>
        <v/>
      </c>
      <c r="N927" s="2">
        <f>N913</f>
        <v/>
      </c>
      <c r="O927" s="19">
        <f>O913</f>
        <v/>
      </c>
      <c r="P927" s="4">
        <f>交易明細!L462</f>
        <v/>
      </c>
      <c r="Q927" s="13">
        <f>IF(N927="已下單",O927*P927,0)</f>
        <v/>
      </c>
      <c r="R927" s="13">
        <f>R926+Q927</f>
        <v/>
      </c>
      <c r="S927" s="19">
        <f>S926-IF(N927="已下單",M927,0)</f>
        <v/>
      </c>
      <c r="T927" s="19">
        <f>R927-S927</f>
        <v/>
      </c>
      <c r="U927" s="2">
        <f>U926-IF(N927="已下單",1,0)</f>
        <v/>
      </c>
      <c r="V927" s="19">
        <f>IF(資金模擬!$B$9=2,MAX(R927,0),MAX(V926,FLOOR(MAX(R927,0),資金模擬!$B$6)))</f>
        <v/>
      </c>
      <c r="W927" s="13">
        <f>MAX(W926,R927)</f>
        <v/>
      </c>
      <c r="X927" s="4">
        <f>IF(W927&gt;0,R927/W927-1,-1)</f>
        <v/>
      </c>
      <c r="Y927" s="19">
        <f>IF(R927&gt;0,S927*資金模擬!$B$7/R927,0)</f>
        <v/>
      </c>
      <c r="Z927" s="2">
        <f>IF(OR(Z926=1,R927&lt;=資金模擬!$B$10),1,0)</f>
        <v/>
      </c>
    </row>
    <row r="928">
      <c r="A928" s="2" t="n">
        <v>926</v>
      </c>
      <c r="B928" s="7" t="n">
        <v>46289.95833333334</v>
      </c>
      <c r="C928" s="2" t="inlineStr">
        <is>
          <t>出場</t>
        </is>
      </c>
      <c r="D928" s="2" t="n">
        <v>462</v>
      </c>
      <c r="E928" s="2" t="inlineStr">
        <is>
          <t>NEAR_USDT_PERP</t>
        </is>
      </c>
      <c r="F928" s="2" t="inlineStr">
        <is>
          <t>做多</t>
        </is>
      </c>
      <c r="G928" s="20" t="n">
        <v>4.413</v>
      </c>
      <c r="H928" s="20" t="n">
        <v>4.54539</v>
      </c>
      <c r="I928" s="20" t="n">
        <v>4.19235</v>
      </c>
      <c r="J928" s="20" t="n">
        <v>4.54539</v>
      </c>
      <c r="K928" s="2" t="inlineStr">
        <is>
          <t>止盈</t>
        </is>
      </c>
      <c r="L928" s="5">
        <f>交易明細!K463</f>
        <v/>
      </c>
      <c r="M928" s="19">
        <f>M914</f>
        <v/>
      </c>
      <c r="N928" s="2">
        <f>N914</f>
        <v/>
      </c>
      <c r="O928" s="19">
        <f>O914</f>
        <v/>
      </c>
      <c r="P928" s="4">
        <f>交易明細!L463</f>
        <v/>
      </c>
      <c r="Q928" s="13">
        <f>IF(N928="已下單",O928*P928,0)</f>
        <v/>
      </c>
      <c r="R928" s="13">
        <f>R927+Q928</f>
        <v/>
      </c>
      <c r="S928" s="19">
        <f>S927-IF(N928="已下單",M928,0)</f>
        <v/>
      </c>
      <c r="T928" s="19">
        <f>R928-S928</f>
        <v/>
      </c>
      <c r="U928" s="2">
        <f>U927-IF(N928="已下單",1,0)</f>
        <v/>
      </c>
      <c r="V928" s="19">
        <f>IF(資金模擬!$B$9=2,MAX(R928,0),MAX(V927,FLOOR(MAX(R928,0),資金模擬!$B$6)))</f>
        <v/>
      </c>
      <c r="W928" s="13">
        <f>MAX(W927,R928)</f>
        <v/>
      </c>
      <c r="X928" s="4">
        <f>IF(W928&gt;0,R928/W928-1,-1)</f>
        <v/>
      </c>
      <c r="Y928" s="19">
        <f>IF(R928&gt;0,S928*資金模擬!$B$7/R928,0)</f>
        <v/>
      </c>
      <c r="Z928" s="2">
        <f>IF(OR(Z927=1,R928&lt;=資金模擬!$B$10),1,0)</f>
        <v/>
      </c>
    </row>
    <row r="929">
      <c r="A929" s="2" t="n">
        <v>927</v>
      </c>
      <c r="B929" s="7" t="n">
        <v>46289.95833333334</v>
      </c>
      <c r="C929" s="2" t="inlineStr">
        <is>
          <t>出場</t>
        </is>
      </c>
      <c r="D929" s="2" t="n">
        <v>464</v>
      </c>
      <c r="E929" s="2" t="inlineStr">
        <is>
          <t>AKE_USDT_PERP</t>
        </is>
      </c>
      <c r="F929" s="2" t="inlineStr">
        <is>
          <t>做多</t>
        </is>
      </c>
      <c r="G929" s="20" t="n">
        <v>0.0435322</v>
      </c>
      <c r="H929" s="20" t="n">
        <v>0.044838166</v>
      </c>
      <c r="I929" s="20" t="n">
        <v>0.04135559</v>
      </c>
      <c r="J929" s="20" t="n">
        <v>0.044838166</v>
      </c>
      <c r="K929" s="2" t="inlineStr">
        <is>
          <t>止盈</t>
        </is>
      </c>
      <c r="L929" s="5">
        <f>交易明細!K465</f>
        <v/>
      </c>
      <c r="M929" s="19">
        <f>M919</f>
        <v/>
      </c>
      <c r="N929" s="2">
        <f>N919</f>
        <v/>
      </c>
      <c r="O929" s="19">
        <f>O919</f>
        <v/>
      </c>
      <c r="P929" s="4">
        <f>交易明細!L465</f>
        <v/>
      </c>
      <c r="Q929" s="13">
        <f>IF(N929="已下單",O929*P929,0)</f>
        <v/>
      </c>
      <c r="R929" s="13">
        <f>R928+Q929</f>
        <v/>
      </c>
      <c r="S929" s="19">
        <f>S928-IF(N929="已下單",M929,0)</f>
        <v/>
      </c>
      <c r="T929" s="19">
        <f>R929-S929</f>
        <v/>
      </c>
      <c r="U929" s="2">
        <f>U928-IF(N929="已下單",1,0)</f>
        <v/>
      </c>
      <c r="V929" s="19">
        <f>IF(資金模擬!$B$9=2,MAX(R929,0),MAX(V928,FLOOR(MAX(R929,0),資金模擬!$B$6)))</f>
        <v/>
      </c>
      <c r="W929" s="13">
        <f>MAX(W928,R929)</f>
        <v/>
      </c>
      <c r="X929" s="4">
        <f>IF(W929&gt;0,R929/W929-1,-1)</f>
        <v/>
      </c>
      <c r="Y929" s="19">
        <f>IF(R929&gt;0,S929*資金模擬!$B$7/R929,0)</f>
        <v/>
      </c>
      <c r="Z929" s="2">
        <f>IF(OR(Z928=1,R929&lt;=資金模擬!$B$10),1,0)</f>
        <v/>
      </c>
    </row>
    <row r="930">
      <c r="A930" s="2" t="n">
        <v>928</v>
      </c>
      <c r="B930" s="7" t="n">
        <v>46289.95833333334</v>
      </c>
      <c r="C930" s="2" t="inlineStr">
        <is>
          <t>出場</t>
        </is>
      </c>
      <c r="D930" s="2" t="n">
        <v>466</v>
      </c>
      <c r="E930" s="2" t="inlineStr">
        <is>
          <t>FET_USDT_PERP</t>
        </is>
      </c>
      <c r="F930" s="2" t="inlineStr">
        <is>
          <t>做多</t>
        </is>
      </c>
      <c r="G930" s="20" t="n">
        <v>0.2057</v>
      </c>
      <c r="H930" s="20" t="n">
        <v>0.211871</v>
      </c>
      <c r="I930" s="20" t="n">
        <v>0.195415</v>
      </c>
      <c r="J930" s="20" t="n">
        <v>0.211871</v>
      </c>
      <c r="K930" s="2" t="inlineStr">
        <is>
          <t>止盈</t>
        </is>
      </c>
      <c r="L930" s="5">
        <f>交易明細!K467</f>
        <v/>
      </c>
      <c r="M930" s="19">
        <f>M921</f>
        <v/>
      </c>
      <c r="N930" s="2">
        <f>N921</f>
        <v/>
      </c>
      <c r="O930" s="19">
        <f>O921</f>
        <v/>
      </c>
      <c r="P930" s="4">
        <f>交易明細!L467</f>
        <v/>
      </c>
      <c r="Q930" s="13">
        <f>IF(N930="已下單",O930*P930,0)</f>
        <v/>
      </c>
      <c r="R930" s="13">
        <f>R929+Q930</f>
        <v/>
      </c>
      <c r="S930" s="19">
        <f>S929-IF(N930="已下單",M930,0)</f>
        <v/>
      </c>
      <c r="T930" s="19">
        <f>R930-S930</f>
        <v/>
      </c>
      <c r="U930" s="2">
        <f>U929-IF(N930="已下單",1,0)</f>
        <v/>
      </c>
      <c r="V930" s="19">
        <f>IF(資金模擬!$B$9=2,MAX(R930,0),MAX(V929,FLOOR(MAX(R930,0),資金模擬!$B$6)))</f>
        <v/>
      </c>
      <c r="W930" s="13">
        <f>MAX(W929,R930)</f>
        <v/>
      </c>
      <c r="X930" s="4">
        <f>IF(W930&gt;0,R930/W930-1,-1)</f>
        <v/>
      </c>
      <c r="Y930" s="19">
        <f>IF(R930&gt;0,S930*資金模擬!$B$7/R930,0)</f>
        <v/>
      </c>
      <c r="Z930" s="2">
        <f>IF(OR(Z929=1,R930&lt;=資金模擬!$B$10),1,0)</f>
        <v/>
      </c>
    </row>
    <row r="931">
      <c r="A931" s="2" t="n">
        <v>929</v>
      </c>
      <c r="B931" s="7" t="n">
        <v>46289.95833333334</v>
      </c>
      <c r="C931" s="2" t="inlineStr">
        <is>
          <t>進場</t>
        </is>
      </c>
      <c r="D931" s="2" t="n">
        <v>468</v>
      </c>
      <c r="E931" s="2" t="inlineStr">
        <is>
          <t>ARB_USDT_PERP</t>
        </is>
      </c>
      <c r="F931" s="2" t="inlineStr">
        <is>
          <t>做空</t>
        </is>
      </c>
      <c r="G931" s="20" t="n">
        <v>0.2135</v>
      </c>
      <c r="H931" s="20" t="n">
        <v>0.207095</v>
      </c>
      <c r="I931" s="20" t="n">
        <v>0.224175</v>
      </c>
      <c r="J931" s="20" t="n"/>
      <c r="K931" s="2" t="n"/>
      <c r="L931" s="5" t="n"/>
      <c r="M931" s="19">
        <f>資金模擬!$B$5*V930</f>
        <v/>
      </c>
      <c r="N931" s="2">
        <f>IF(Z930=1,"已停止",IF(T930&gt;=M931,"已下單","資金不足略過"))</f>
        <v/>
      </c>
      <c r="O931" s="19">
        <f>IF(N931="已下單",M931*資金模擬!$B$7,0)</f>
        <v/>
      </c>
      <c r="P931" s="4" t="n"/>
      <c r="Q931" s="13" t="n">
        <v>0</v>
      </c>
      <c r="R931" s="13">
        <f>R930+Q931</f>
        <v/>
      </c>
      <c r="S931" s="19">
        <f>S930+IF(N931="已下單",M931,0)</f>
        <v/>
      </c>
      <c r="T931" s="19">
        <f>R931-S931</f>
        <v/>
      </c>
      <c r="U931" s="2">
        <f>U930+IF(N931="已下單",1,0)</f>
        <v/>
      </c>
      <c r="V931" s="19">
        <f>IF(資金模擬!$B$9=2,MAX(R931,0),MAX(V930,FLOOR(MAX(R931,0),資金模擬!$B$6)))</f>
        <v/>
      </c>
      <c r="W931" s="13">
        <f>MAX(W930,R931)</f>
        <v/>
      </c>
      <c r="X931" s="4">
        <f>IF(W931&gt;0,R931/W931-1,-1)</f>
        <v/>
      </c>
      <c r="Y931" s="19">
        <f>IF(R931&gt;0,S931*資金模擬!$B$7/R931,0)</f>
        <v/>
      </c>
      <c r="Z931" s="2">
        <f>IF(OR(Z930=1,R931&lt;=資金模擬!$B$10),1,0)</f>
        <v/>
      </c>
    </row>
    <row r="932">
      <c r="A932" s="2" t="n">
        <v>930</v>
      </c>
      <c r="B932" s="7" t="n">
        <v>46289.95833333334</v>
      </c>
      <c r="C932" s="2" t="inlineStr">
        <is>
          <t>進場</t>
        </is>
      </c>
      <c r="D932" s="2" t="n">
        <v>469</v>
      </c>
      <c r="E932" s="2" t="inlineStr">
        <is>
          <t>NOM_USDT_PERP</t>
        </is>
      </c>
      <c r="F932" s="2" t="inlineStr">
        <is>
          <t>做空</t>
        </is>
      </c>
      <c r="G932" s="20" t="n">
        <v>0.00231</v>
      </c>
      <c r="H932" s="20" t="n">
        <v>0.0022407</v>
      </c>
      <c r="I932" s="20" t="n">
        <v>0.0024255</v>
      </c>
      <c r="J932" s="20" t="n"/>
      <c r="K932" s="2" t="n"/>
      <c r="L932" s="5" t="n"/>
      <c r="M932" s="19">
        <f>資金模擬!$B$5*V931</f>
        <v/>
      </c>
      <c r="N932" s="2">
        <f>IF(Z931=1,"已停止",IF(T931&gt;=M932,"已下單","資金不足略過"))</f>
        <v/>
      </c>
      <c r="O932" s="19">
        <f>IF(N932="已下單",M932*資金模擬!$B$7,0)</f>
        <v/>
      </c>
      <c r="P932" s="4" t="n"/>
      <c r="Q932" s="13" t="n">
        <v>0</v>
      </c>
      <c r="R932" s="13">
        <f>R931+Q932</f>
        <v/>
      </c>
      <c r="S932" s="19">
        <f>S931+IF(N932="已下單",M932,0)</f>
        <v/>
      </c>
      <c r="T932" s="19">
        <f>R932-S932</f>
        <v/>
      </c>
      <c r="U932" s="2">
        <f>U931+IF(N932="已下單",1,0)</f>
        <v/>
      </c>
      <c r="V932" s="19">
        <f>IF(資金模擬!$B$9=2,MAX(R932,0),MAX(V931,FLOOR(MAX(R932,0),資金模擬!$B$6)))</f>
        <v/>
      </c>
      <c r="W932" s="13">
        <f>MAX(W931,R932)</f>
        <v/>
      </c>
      <c r="X932" s="4">
        <f>IF(W932&gt;0,R932/W932-1,-1)</f>
        <v/>
      </c>
      <c r="Y932" s="19">
        <f>IF(R932&gt;0,S932*資金模擬!$B$7/R932,0)</f>
        <v/>
      </c>
      <c r="Z932" s="2">
        <f>IF(OR(Z931=1,R932&lt;=資金模擬!$B$10),1,0)</f>
        <v/>
      </c>
    </row>
    <row r="933">
      <c r="A933" s="2" t="n">
        <v>931</v>
      </c>
      <c r="B933" s="7" t="n">
        <v>46290</v>
      </c>
      <c r="C933" s="2" t="inlineStr">
        <is>
          <t>進場</t>
        </is>
      </c>
      <c r="D933" s="2" t="n">
        <v>470</v>
      </c>
      <c r="E933" s="2" t="inlineStr">
        <is>
          <t>PONS_USDT_PERP</t>
        </is>
      </c>
      <c r="F933" s="2" t="inlineStr">
        <is>
          <t>做多</t>
        </is>
      </c>
      <c r="G933" s="20" t="n">
        <v>0.6308</v>
      </c>
      <c r="H933" s="20" t="n">
        <v>0.6497240000000001</v>
      </c>
      <c r="I933" s="20" t="n">
        <v>0.59926</v>
      </c>
      <c r="J933" s="20" t="n"/>
      <c r="K933" s="2" t="n"/>
      <c r="L933" s="5" t="n"/>
      <c r="M933" s="19">
        <f>資金模擬!$B$5*V932</f>
        <v/>
      </c>
      <c r="N933" s="2">
        <f>IF(Z932=1,"已停止",IF(T932&gt;=M933,"已下單","資金不足略過"))</f>
        <v/>
      </c>
      <c r="O933" s="19">
        <f>IF(N933="已下單",M933*資金模擬!$B$7,0)</f>
        <v/>
      </c>
      <c r="P933" s="4" t="n"/>
      <c r="Q933" s="13" t="n">
        <v>0</v>
      </c>
      <c r="R933" s="13">
        <f>R932+Q933</f>
        <v/>
      </c>
      <c r="S933" s="19">
        <f>S932+IF(N933="已下單",M933,0)</f>
        <v/>
      </c>
      <c r="T933" s="19">
        <f>R933-S933</f>
        <v/>
      </c>
      <c r="U933" s="2">
        <f>U932+IF(N933="已下單",1,0)</f>
        <v/>
      </c>
      <c r="V933" s="19">
        <f>IF(資金模擬!$B$9=2,MAX(R933,0),MAX(V932,FLOOR(MAX(R933,0),資金模擬!$B$6)))</f>
        <v/>
      </c>
      <c r="W933" s="13">
        <f>MAX(W932,R933)</f>
        <v/>
      </c>
      <c r="X933" s="4">
        <f>IF(W933&gt;0,R933/W933-1,-1)</f>
        <v/>
      </c>
      <c r="Y933" s="19">
        <f>IF(R933&gt;0,S933*資金模擬!$B$7/R933,0)</f>
        <v/>
      </c>
      <c r="Z933" s="2">
        <f>IF(OR(Z932=1,R933&lt;=資金模擬!$B$10),1,0)</f>
        <v/>
      </c>
    </row>
    <row r="934">
      <c r="A934" s="2" t="n">
        <v>932</v>
      </c>
      <c r="B934" s="7" t="n">
        <v>46290</v>
      </c>
      <c r="C934" s="2" t="inlineStr">
        <is>
          <t>進場</t>
        </is>
      </c>
      <c r="D934" s="2" t="n">
        <v>471</v>
      </c>
      <c r="E934" s="2" t="inlineStr">
        <is>
          <t>USELESS_USDT_PERP</t>
        </is>
      </c>
      <c r="F934" s="2" t="inlineStr">
        <is>
          <t>做多</t>
        </is>
      </c>
      <c r="G934" s="20" t="n">
        <v>0.29391</v>
      </c>
      <c r="H934" s="20" t="n">
        <v>0.3027273</v>
      </c>
      <c r="I934" s="20" t="n">
        <v>0.2792145</v>
      </c>
      <c r="J934" s="20" t="n"/>
      <c r="K934" s="2" t="n"/>
      <c r="L934" s="5" t="n"/>
      <c r="M934" s="19">
        <f>資金模擬!$B$5*V933</f>
        <v/>
      </c>
      <c r="N934" s="2">
        <f>IF(Z933=1,"已停止",IF(T933&gt;=M934,"已下單","資金不足略過"))</f>
        <v/>
      </c>
      <c r="O934" s="19">
        <f>IF(N934="已下單",M934*資金模擬!$B$7,0)</f>
        <v/>
      </c>
      <c r="P934" s="4" t="n"/>
      <c r="Q934" s="13" t="n">
        <v>0</v>
      </c>
      <c r="R934" s="13">
        <f>R933+Q934</f>
        <v/>
      </c>
      <c r="S934" s="19">
        <f>S933+IF(N934="已下單",M934,0)</f>
        <v/>
      </c>
      <c r="T934" s="19">
        <f>R934-S934</f>
        <v/>
      </c>
      <c r="U934" s="2">
        <f>U933+IF(N934="已下單",1,0)</f>
        <v/>
      </c>
      <c r="V934" s="19">
        <f>IF(資金模擬!$B$9=2,MAX(R934,0),MAX(V933,FLOOR(MAX(R934,0),資金模擬!$B$6)))</f>
        <v/>
      </c>
      <c r="W934" s="13">
        <f>MAX(W933,R934)</f>
        <v/>
      </c>
      <c r="X934" s="4">
        <f>IF(W934&gt;0,R934/W934-1,-1)</f>
        <v/>
      </c>
      <c r="Y934" s="19">
        <f>IF(R934&gt;0,S934*資金模擬!$B$7/R934,0)</f>
        <v/>
      </c>
      <c r="Z934" s="2">
        <f>IF(OR(Z933=1,R934&lt;=資金模擬!$B$10),1,0)</f>
        <v/>
      </c>
    </row>
    <row r="935">
      <c r="A935" s="2" t="n">
        <v>933</v>
      </c>
      <c r="B935" s="7" t="n">
        <v>46290.04166666666</v>
      </c>
      <c r="C935" s="2" t="inlineStr">
        <is>
          <t>出場</t>
        </is>
      </c>
      <c r="D935" s="2" t="n">
        <v>465</v>
      </c>
      <c r="E935" s="2" t="inlineStr">
        <is>
          <t>BTW_USDT_PERP</t>
        </is>
      </c>
      <c r="F935" s="2" t="inlineStr">
        <is>
          <t>做多</t>
        </is>
      </c>
      <c r="G935" s="20" t="n">
        <v>1.04655</v>
      </c>
      <c r="H935" s="20" t="n">
        <v>1.0779465</v>
      </c>
      <c r="I935" s="20" t="n">
        <v>0.9942225</v>
      </c>
      <c r="J935" s="20" t="n">
        <v>1.0779465</v>
      </c>
      <c r="K935" s="2" t="inlineStr">
        <is>
          <t>止盈</t>
        </is>
      </c>
      <c r="L935" s="5">
        <f>交易明細!K466</f>
        <v/>
      </c>
      <c r="M935" s="19">
        <f>M920</f>
        <v/>
      </c>
      <c r="N935" s="2">
        <f>N920</f>
        <v/>
      </c>
      <c r="O935" s="19">
        <f>O920</f>
        <v/>
      </c>
      <c r="P935" s="4">
        <f>交易明細!L466</f>
        <v/>
      </c>
      <c r="Q935" s="13">
        <f>IF(N935="已下單",O935*P935,0)</f>
        <v/>
      </c>
      <c r="R935" s="13">
        <f>R934+Q935</f>
        <v/>
      </c>
      <c r="S935" s="19">
        <f>S934-IF(N935="已下單",M935,0)</f>
        <v/>
      </c>
      <c r="T935" s="19">
        <f>R935-S935</f>
        <v/>
      </c>
      <c r="U935" s="2">
        <f>U934-IF(N935="已下單",1,0)</f>
        <v/>
      </c>
      <c r="V935" s="19">
        <f>IF(資金模擬!$B$9=2,MAX(R935,0),MAX(V934,FLOOR(MAX(R935,0),資金模擬!$B$6)))</f>
        <v/>
      </c>
      <c r="W935" s="13">
        <f>MAX(W934,R935)</f>
        <v/>
      </c>
      <c r="X935" s="4">
        <f>IF(W935&gt;0,R935/W935-1,-1)</f>
        <v/>
      </c>
      <c r="Y935" s="19">
        <f>IF(R935&gt;0,S935*資金模擬!$B$7/R935,0)</f>
        <v/>
      </c>
      <c r="Z935" s="2">
        <f>IF(OR(Z934=1,R935&lt;=資金模擬!$B$10),1,0)</f>
        <v/>
      </c>
    </row>
    <row r="936">
      <c r="A936" s="2" t="n">
        <v>934</v>
      </c>
      <c r="B936" s="7" t="n">
        <v>46290.04166666666</v>
      </c>
      <c r="C936" s="2" t="inlineStr">
        <is>
          <t>出場</t>
        </is>
      </c>
      <c r="D936" s="2" t="n">
        <v>469</v>
      </c>
      <c r="E936" s="2" t="inlineStr">
        <is>
          <t>NOM_USDT_PERP</t>
        </is>
      </c>
      <c r="F936" s="2" t="inlineStr">
        <is>
          <t>做空</t>
        </is>
      </c>
      <c r="G936" s="20" t="n">
        <v>0.00231</v>
      </c>
      <c r="H936" s="20" t="n">
        <v>0.0022407</v>
      </c>
      <c r="I936" s="20" t="n">
        <v>0.0024255</v>
      </c>
      <c r="J936" s="20" t="n">
        <v>0.0024255</v>
      </c>
      <c r="K936" s="2" t="inlineStr">
        <is>
          <t>止損</t>
        </is>
      </c>
      <c r="L936" s="5">
        <f>交易明細!K470</f>
        <v/>
      </c>
      <c r="M936" s="19">
        <f>M932</f>
        <v/>
      </c>
      <c r="N936" s="2">
        <f>N932</f>
        <v/>
      </c>
      <c r="O936" s="19">
        <f>O932</f>
        <v/>
      </c>
      <c r="P936" s="4">
        <f>交易明細!L470</f>
        <v/>
      </c>
      <c r="Q936" s="13">
        <f>IF(N936="已下單",O936*P936,0)</f>
        <v/>
      </c>
      <c r="R936" s="13">
        <f>R935+Q936</f>
        <v/>
      </c>
      <c r="S936" s="19">
        <f>S935-IF(N936="已下單",M936,0)</f>
        <v/>
      </c>
      <c r="T936" s="19">
        <f>R936-S936</f>
        <v/>
      </c>
      <c r="U936" s="2">
        <f>U935-IF(N936="已下單",1,0)</f>
        <v/>
      </c>
      <c r="V936" s="19">
        <f>IF(資金模擬!$B$9=2,MAX(R936,0),MAX(V935,FLOOR(MAX(R936,0),資金模擬!$B$6)))</f>
        <v/>
      </c>
      <c r="W936" s="13">
        <f>MAX(W935,R936)</f>
        <v/>
      </c>
      <c r="X936" s="4">
        <f>IF(W936&gt;0,R936/W936-1,-1)</f>
        <v/>
      </c>
      <c r="Y936" s="19">
        <f>IF(R936&gt;0,S936*資金模擬!$B$7/R936,0)</f>
        <v/>
      </c>
      <c r="Z936" s="2">
        <f>IF(OR(Z935=1,R936&lt;=資金模擬!$B$10),1,0)</f>
        <v/>
      </c>
    </row>
    <row r="937">
      <c r="A937" s="2" t="n">
        <v>935</v>
      </c>
      <c r="B937" s="7" t="n">
        <v>46290.04166666666</v>
      </c>
      <c r="C937" s="2" t="inlineStr">
        <is>
          <t>出場</t>
        </is>
      </c>
      <c r="D937" s="2" t="n">
        <v>471</v>
      </c>
      <c r="E937" s="2" t="inlineStr">
        <is>
          <t>USELESS_USDT_PERP</t>
        </is>
      </c>
      <c r="F937" s="2" t="inlineStr">
        <is>
          <t>做多</t>
        </is>
      </c>
      <c r="G937" s="20" t="n">
        <v>0.29391</v>
      </c>
      <c r="H937" s="20" t="n">
        <v>0.3027273</v>
      </c>
      <c r="I937" s="20" t="n">
        <v>0.2792145</v>
      </c>
      <c r="J937" s="20" t="n">
        <v>0.3027273</v>
      </c>
      <c r="K937" s="2" t="inlineStr">
        <is>
          <t>止盈</t>
        </is>
      </c>
      <c r="L937" s="5">
        <f>交易明細!K472</f>
        <v/>
      </c>
      <c r="M937" s="19">
        <f>M934</f>
        <v/>
      </c>
      <c r="N937" s="2">
        <f>N934</f>
        <v/>
      </c>
      <c r="O937" s="19">
        <f>O934</f>
        <v/>
      </c>
      <c r="P937" s="4">
        <f>交易明細!L472</f>
        <v/>
      </c>
      <c r="Q937" s="13">
        <f>IF(N937="已下單",O937*P937,0)</f>
        <v/>
      </c>
      <c r="R937" s="13">
        <f>R936+Q937</f>
        <v/>
      </c>
      <c r="S937" s="19">
        <f>S936-IF(N937="已下單",M937,0)</f>
        <v/>
      </c>
      <c r="T937" s="19">
        <f>R937-S937</f>
        <v/>
      </c>
      <c r="U937" s="2">
        <f>U936-IF(N937="已下單",1,0)</f>
        <v/>
      </c>
      <c r="V937" s="19">
        <f>IF(資金模擬!$B$9=2,MAX(R937,0),MAX(V936,FLOOR(MAX(R937,0),資金模擬!$B$6)))</f>
        <v/>
      </c>
      <c r="W937" s="13">
        <f>MAX(W936,R937)</f>
        <v/>
      </c>
      <c r="X937" s="4">
        <f>IF(W937&gt;0,R937/W937-1,-1)</f>
        <v/>
      </c>
      <c r="Y937" s="19">
        <f>IF(R937&gt;0,S937*資金模擬!$B$7/R937,0)</f>
        <v/>
      </c>
      <c r="Z937" s="2">
        <f>IF(OR(Z936=1,R937&lt;=資金模擬!$B$10),1,0)</f>
        <v/>
      </c>
    </row>
    <row r="938">
      <c r="A938" s="2" t="n">
        <v>936</v>
      </c>
      <c r="B938" s="7" t="n">
        <v>46290.04166666666</v>
      </c>
      <c r="C938" s="2" t="inlineStr">
        <is>
          <t>進場</t>
        </is>
      </c>
      <c r="D938" s="2" t="n">
        <v>472</v>
      </c>
      <c r="E938" s="2" t="inlineStr">
        <is>
          <t>LSK_USDT_PERP</t>
        </is>
      </c>
      <c r="F938" s="2" t="inlineStr">
        <is>
          <t>做多</t>
        </is>
      </c>
      <c r="G938" s="20" t="n">
        <v>0.3986</v>
      </c>
      <c r="H938" s="20" t="n">
        <v>0.410558</v>
      </c>
      <c r="I938" s="20" t="n">
        <v>0.37867</v>
      </c>
      <c r="J938" s="20" t="n"/>
      <c r="K938" s="2" t="n"/>
      <c r="L938" s="5" t="n"/>
      <c r="M938" s="19">
        <f>資金模擬!$B$5*V937</f>
        <v/>
      </c>
      <c r="N938" s="2">
        <f>IF(Z937=1,"已停止",IF(T937&gt;=M938,"已下單","資金不足略過"))</f>
        <v/>
      </c>
      <c r="O938" s="19">
        <f>IF(N938="已下單",M938*資金模擬!$B$7,0)</f>
        <v/>
      </c>
      <c r="P938" s="4" t="n"/>
      <c r="Q938" s="13" t="n">
        <v>0</v>
      </c>
      <c r="R938" s="13">
        <f>R937+Q938</f>
        <v/>
      </c>
      <c r="S938" s="19">
        <f>S937+IF(N938="已下單",M938,0)</f>
        <v/>
      </c>
      <c r="T938" s="19">
        <f>R938-S938</f>
        <v/>
      </c>
      <c r="U938" s="2">
        <f>U937+IF(N938="已下單",1,0)</f>
        <v/>
      </c>
      <c r="V938" s="19">
        <f>IF(資金模擬!$B$9=2,MAX(R938,0),MAX(V937,FLOOR(MAX(R938,0),資金模擬!$B$6)))</f>
        <v/>
      </c>
      <c r="W938" s="13">
        <f>MAX(W937,R938)</f>
        <v/>
      </c>
      <c r="X938" s="4">
        <f>IF(W938&gt;0,R938/W938-1,-1)</f>
        <v/>
      </c>
      <c r="Y938" s="19">
        <f>IF(R938&gt;0,S938*資金模擬!$B$7/R938,0)</f>
        <v/>
      </c>
      <c r="Z938" s="2">
        <f>IF(OR(Z937=1,R938&lt;=資金模擬!$B$10),1,0)</f>
        <v/>
      </c>
    </row>
    <row r="939">
      <c r="A939" s="2" t="n">
        <v>937</v>
      </c>
      <c r="B939" s="7" t="n">
        <v>46290.08333333334</v>
      </c>
      <c r="C939" s="2" t="inlineStr">
        <is>
          <t>出場</t>
        </is>
      </c>
      <c r="D939" s="2" t="n">
        <v>459</v>
      </c>
      <c r="E939" s="2" t="inlineStr">
        <is>
          <t>ZEC_USDT_PERP</t>
        </is>
      </c>
      <c r="F939" s="2" t="inlineStr">
        <is>
          <t>做空</t>
        </is>
      </c>
      <c r="G939" s="20" t="n">
        <v>1478.57</v>
      </c>
      <c r="H939" s="20" t="n">
        <v>1434.2129</v>
      </c>
      <c r="I939" s="20" t="n">
        <v>1552.4985</v>
      </c>
      <c r="J939" s="20" t="n">
        <v>1552.4985</v>
      </c>
      <c r="K939" s="2" t="inlineStr">
        <is>
          <t>止損</t>
        </is>
      </c>
      <c r="L939" s="5">
        <f>交易明細!K460</f>
        <v/>
      </c>
      <c r="M939" s="19">
        <f>M909</f>
        <v/>
      </c>
      <c r="N939" s="2">
        <f>N909</f>
        <v/>
      </c>
      <c r="O939" s="19">
        <f>O909</f>
        <v/>
      </c>
      <c r="P939" s="4">
        <f>交易明細!L460</f>
        <v/>
      </c>
      <c r="Q939" s="13">
        <f>IF(N939="已下單",O939*P939,0)</f>
        <v/>
      </c>
      <c r="R939" s="13">
        <f>R938+Q939</f>
        <v/>
      </c>
      <c r="S939" s="19">
        <f>S938-IF(N939="已下單",M939,0)</f>
        <v/>
      </c>
      <c r="T939" s="19">
        <f>R939-S939</f>
        <v/>
      </c>
      <c r="U939" s="2">
        <f>U938-IF(N939="已下單",1,0)</f>
        <v/>
      </c>
      <c r="V939" s="19">
        <f>IF(資金模擬!$B$9=2,MAX(R939,0),MAX(V938,FLOOR(MAX(R939,0),資金模擬!$B$6)))</f>
        <v/>
      </c>
      <c r="W939" s="13">
        <f>MAX(W938,R939)</f>
        <v/>
      </c>
      <c r="X939" s="4">
        <f>IF(W939&gt;0,R939/W939-1,-1)</f>
        <v/>
      </c>
      <c r="Y939" s="19">
        <f>IF(R939&gt;0,S939*資金模擬!$B$7/R939,0)</f>
        <v/>
      </c>
      <c r="Z939" s="2">
        <f>IF(OR(Z938=1,R939&lt;=資金模擬!$B$10),1,0)</f>
        <v/>
      </c>
    </row>
    <row r="940">
      <c r="A940" s="2" t="n">
        <v>938</v>
      </c>
      <c r="B940" s="7" t="n">
        <v>46290.125</v>
      </c>
      <c r="C940" s="2" t="inlineStr">
        <is>
          <t>出場</t>
        </is>
      </c>
      <c r="D940" s="2" t="n">
        <v>467</v>
      </c>
      <c r="E940" s="2" t="inlineStr">
        <is>
          <t>RAY_USDT_PERP</t>
        </is>
      </c>
      <c r="F940" s="2" t="inlineStr">
        <is>
          <t>做多</t>
        </is>
      </c>
      <c r="G940" s="20" t="n">
        <v>2.08</v>
      </c>
      <c r="H940" s="20" t="n">
        <v>2.1424</v>
      </c>
      <c r="I940" s="20" t="n">
        <v>1.976</v>
      </c>
      <c r="J940" s="20" t="n">
        <v>2.1424</v>
      </c>
      <c r="K940" s="2" t="inlineStr">
        <is>
          <t>止盈</t>
        </is>
      </c>
      <c r="L940" s="5">
        <f>交易明細!K468</f>
        <v/>
      </c>
      <c r="M940" s="19">
        <f>M922</f>
        <v/>
      </c>
      <c r="N940" s="2">
        <f>N922</f>
        <v/>
      </c>
      <c r="O940" s="19">
        <f>O922</f>
        <v/>
      </c>
      <c r="P940" s="4">
        <f>交易明細!L468</f>
        <v/>
      </c>
      <c r="Q940" s="13">
        <f>IF(N940="已下單",O940*P940,0)</f>
        <v/>
      </c>
      <c r="R940" s="13">
        <f>R939+Q940</f>
        <v/>
      </c>
      <c r="S940" s="19">
        <f>S939-IF(N940="已下單",M940,0)</f>
        <v/>
      </c>
      <c r="T940" s="19">
        <f>R940-S940</f>
        <v/>
      </c>
      <c r="U940" s="2">
        <f>U939-IF(N940="已下單",1,0)</f>
        <v/>
      </c>
      <c r="V940" s="19">
        <f>IF(資金模擬!$B$9=2,MAX(R940,0),MAX(V939,FLOOR(MAX(R940,0),資金模擬!$B$6)))</f>
        <v/>
      </c>
      <c r="W940" s="13">
        <f>MAX(W939,R940)</f>
        <v/>
      </c>
      <c r="X940" s="4">
        <f>IF(W940&gt;0,R940/W940-1,-1)</f>
        <v/>
      </c>
      <c r="Y940" s="19">
        <f>IF(R940&gt;0,S940*資金模擬!$B$7/R940,0)</f>
        <v/>
      </c>
      <c r="Z940" s="2">
        <f>IF(OR(Z939=1,R940&lt;=資金模擬!$B$10),1,0)</f>
        <v/>
      </c>
    </row>
    <row r="941">
      <c r="A941" s="2" t="n">
        <v>939</v>
      </c>
      <c r="B941" s="7" t="n">
        <v>46290.125</v>
      </c>
      <c r="C941" s="2" t="inlineStr">
        <is>
          <t>出場</t>
        </is>
      </c>
      <c r="D941" s="2" t="n">
        <v>472</v>
      </c>
      <c r="E941" s="2" t="inlineStr">
        <is>
          <t>LSK_USDT_PERP</t>
        </is>
      </c>
      <c r="F941" s="2" t="inlineStr">
        <is>
          <t>做多</t>
        </is>
      </c>
      <c r="G941" s="20" t="n">
        <v>0.3986</v>
      </c>
      <c r="H941" s="20" t="n">
        <v>0.410558</v>
      </c>
      <c r="I941" s="20" t="n">
        <v>0.37867</v>
      </c>
      <c r="J941" s="20" t="n">
        <v>0.410558</v>
      </c>
      <c r="K941" s="2" t="inlineStr">
        <is>
          <t>止盈</t>
        </is>
      </c>
      <c r="L941" s="5">
        <f>交易明細!K473</f>
        <v/>
      </c>
      <c r="M941" s="19">
        <f>M938</f>
        <v/>
      </c>
      <c r="N941" s="2">
        <f>N938</f>
        <v/>
      </c>
      <c r="O941" s="19">
        <f>O938</f>
        <v/>
      </c>
      <c r="P941" s="4">
        <f>交易明細!L473</f>
        <v/>
      </c>
      <c r="Q941" s="13">
        <f>IF(N941="已下單",O941*P941,0)</f>
        <v/>
      </c>
      <c r="R941" s="13">
        <f>R940+Q941</f>
        <v/>
      </c>
      <c r="S941" s="19">
        <f>S940-IF(N941="已下單",M941,0)</f>
        <v/>
      </c>
      <c r="T941" s="19">
        <f>R941-S941</f>
        <v/>
      </c>
      <c r="U941" s="2">
        <f>U940-IF(N941="已下單",1,0)</f>
        <v/>
      </c>
      <c r="V941" s="19">
        <f>IF(資金模擬!$B$9=2,MAX(R941,0),MAX(V940,FLOOR(MAX(R941,0),資金模擬!$B$6)))</f>
        <v/>
      </c>
      <c r="W941" s="13">
        <f>MAX(W940,R941)</f>
        <v/>
      </c>
      <c r="X941" s="4">
        <f>IF(W941&gt;0,R941/W941-1,-1)</f>
        <v/>
      </c>
      <c r="Y941" s="19">
        <f>IF(R941&gt;0,S941*資金模擬!$B$7/R941,0)</f>
        <v/>
      </c>
      <c r="Z941" s="2">
        <f>IF(OR(Z940=1,R941&lt;=資金模擬!$B$10),1,0)</f>
        <v/>
      </c>
    </row>
    <row r="942">
      <c r="A942" s="2" t="n">
        <v>940</v>
      </c>
      <c r="B942" s="7" t="n">
        <v>46290.125</v>
      </c>
      <c r="C942" s="2" t="inlineStr">
        <is>
          <t>進場</t>
        </is>
      </c>
      <c r="D942" s="2" t="n">
        <v>473</v>
      </c>
      <c r="E942" s="2" t="inlineStr">
        <is>
          <t>LIT_USDT_PERP</t>
        </is>
      </c>
      <c r="F942" s="2" t="inlineStr">
        <is>
          <t>做多</t>
        </is>
      </c>
      <c r="G942" s="20" t="n">
        <v>5.401</v>
      </c>
      <c r="H942" s="20" t="n">
        <v>5.56303</v>
      </c>
      <c r="I942" s="20" t="n">
        <v>5.130949999999999</v>
      </c>
      <c r="J942" s="20" t="n"/>
      <c r="K942" s="2" t="n"/>
      <c r="L942" s="5" t="n"/>
      <c r="M942" s="19">
        <f>資金模擬!$B$5*V941</f>
        <v/>
      </c>
      <c r="N942" s="2">
        <f>IF(Z941=1,"已停止",IF(T941&gt;=M942,"已下單","資金不足略過"))</f>
        <v/>
      </c>
      <c r="O942" s="19">
        <f>IF(N942="已下單",M942*資金模擬!$B$7,0)</f>
        <v/>
      </c>
      <c r="P942" s="4" t="n"/>
      <c r="Q942" s="13" t="n">
        <v>0</v>
      </c>
      <c r="R942" s="13">
        <f>R941+Q942</f>
        <v/>
      </c>
      <c r="S942" s="19">
        <f>S941+IF(N942="已下單",M942,0)</f>
        <v/>
      </c>
      <c r="T942" s="19">
        <f>R942-S942</f>
        <v/>
      </c>
      <c r="U942" s="2">
        <f>U941+IF(N942="已下單",1,0)</f>
        <v/>
      </c>
      <c r="V942" s="19">
        <f>IF(資金模擬!$B$9=2,MAX(R942,0),MAX(V941,FLOOR(MAX(R942,0),資金模擬!$B$6)))</f>
        <v/>
      </c>
      <c r="W942" s="13">
        <f>MAX(W941,R942)</f>
        <v/>
      </c>
      <c r="X942" s="4">
        <f>IF(W942&gt;0,R942/W942-1,-1)</f>
        <v/>
      </c>
      <c r="Y942" s="19">
        <f>IF(R942&gt;0,S942*資金模擬!$B$7/R942,0)</f>
        <v/>
      </c>
      <c r="Z942" s="2">
        <f>IF(OR(Z941=1,R942&lt;=資金模擬!$B$10),1,0)</f>
        <v/>
      </c>
    </row>
    <row r="943">
      <c r="A943" s="2" t="n">
        <v>941</v>
      </c>
      <c r="B943" s="7" t="n">
        <v>46290.20833333334</v>
      </c>
      <c r="C943" s="2" t="inlineStr">
        <is>
          <t>進場</t>
        </is>
      </c>
      <c r="D943" s="2" t="n">
        <v>474</v>
      </c>
      <c r="E943" s="2" t="inlineStr">
        <is>
          <t>BR_USDT_PERP</t>
        </is>
      </c>
      <c r="F943" s="2" t="inlineStr">
        <is>
          <t>做空</t>
        </is>
      </c>
      <c r="G943" s="20" t="n">
        <v>0.9938900000000001</v>
      </c>
      <c r="H943" s="20" t="n">
        <v>0.9640733</v>
      </c>
      <c r="I943" s="20" t="n">
        <v>1.0435845</v>
      </c>
      <c r="J943" s="20" t="n"/>
      <c r="K943" s="2" t="n"/>
      <c r="L943" s="5" t="n"/>
      <c r="M943" s="19">
        <f>資金模擬!$B$5*V942</f>
        <v/>
      </c>
      <c r="N943" s="2">
        <f>IF(Z942=1,"已停止",IF(T942&gt;=M943,"已下單","資金不足略過"))</f>
        <v/>
      </c>
      <c r="O943" s="19">
        <f>IF(N943="已下單",M943*資金模擬!$B$7,0)</f>
        <v/>
      </c>
      <c r="P943" s="4" t="n"/>
      <c r="Q943" s="13" t="n">
        <v>0</v>
      </c>
      <c r="R943" s="13">
        <f>R942+Q943</f>
        <v/>
      </c>
      <c r="S943" s="19">
        <f>S942+IF(N943="已下單",M943,0)</f>
        <v/>
      </c>
      <c r="T943" s="19">
        <f>R943-S943</f>
        <v/>
      </c>
      <c r="U943" s="2">
        <f>U942+IF(N943="已下單",1,0)</f>
        <v/>
      </c>
      <c r="V943" s="19">
        <f>IF(資金模擬!$B$9=2,MAX(R943,0),MAX(V942,FLOOR(MAX(R943,0),資金模擬!$B$6)))</f>
        <v/>
      </c>
      <c r="W943" s="13">
        <f>MAX(W942,R943)</f>
        <v/>
      </c>
      <c r="X943" s="4">
        <f>IF(W943&gt;0,R943/W943-1,-1)</f>
        <v/>
      </c>
      <c r="Y943" s="19">
        <f>IF(R943&gt;0,S943*資金模擬!$B$7/R943,0)</f>
        <v/>
      </c>
      <c r="Z943" s="2">
        <f>IF(OR(Z942=1,R943&lt;=資金模擬!$B$10),1,0)</f>
        <v/>
      </c>
    </row>
    <row r="944">
      <c r="A944" s="2" t="n">
        <v>942</v>
      </c>
      <c r="B944" s="7" t="n">
        <v>46290.25</v>
      </c>
      <c r="C944" s="2" t="inlineStr">
        <is>
          <t>出場</t>
        </is>
      </c>
      <c r="D944" s="2" t="n">
        <v>473</v>
      </c>
      <c r="E944" s="2" t="inlineStr">
        <is>
          <t>LIT_USDT_PERP</t>
        </is>
      </c>
      <c r="F944" s="2" t="inlineStr">
        <is>
          <t>做多</t>
        </is>
      </c>
      <c r="G944" s="20" t="n">
        <v>5.401</v>
      </c>
      <c r="H944" s="20" t="n">
        <v>5.56303</v>
      </c>
      <c r="I944" s="20" t="n">
        <v>5.130949999999999</v>
      </c>
      <c r="J944" s="20" t="n">
        <v>5.130949999999999</v>
      </c>
      <c r="K944" s="2" t="inlineStr">
        <is>
          <t>止損</t>
        </is>
      </c>
      <c r="L944" s="5">
        <f>交易明細!K474</f>
        <v/>
      </c>
      <c r="M944" s="19">
        <f>M942</f>
        <v/>
      </c>
      <c r="N944" s="2">
        <f>N942</f>
        <v/>
      </c>
      <c r="O944" s="19">
        <f>O942</f>
        <v/>
      </c>
      <c r="P944" s="4">
        <f>交易明細!L474</f>
        <v/>
      </c>
      <c r="Q944" s="13">
        <f>IF(N944="已下單",O944*P944,0)</f>
        <v/>
      </c>
      <c r="R944" s="13">
        <f>R943+Q944</f>
        <v/>
      </c>
      <c r="S944" s="19">
        <f>S943-IF(N944="已下單",M944,0)</f>
        <v/>
      </c>
      <c r="T944" s="19">
        <f>R944-S944</f>
        <v/>
      </c>
      <c r="U944" s="2">
        <f>U943-IF(N944="已下單",1,0)</f>
        <v/>
      </c>
      <c r="V944" s="19">
        <f>IF(資金模擬!$B$9=2,MAX(R944,0),MAX(V943,FLOOR(MAX(R944,0),資金模擬!$B$6)))</f>
        <v/>
      </c>
      <c r="W944" s="13">
        <f>MAX(W943,R944)</f>
        <v/>
      </c>
      <c r="X944" s="4">
        <f>IF(W944&gt;0,R944/W944-1,-1)</f>
        <v/>
      </c>
      <c r="Y944" s="19">
        <f>IF(R944&gt;0,S944*資金模擬!$B$7/R944,0)</f>
        <v/>
      </c>
      <c r="Z944" s="2">
        <f>IF(OR(Z943=1,R944&lt;=資金模擬!$B$10),1,0)</f>
        <v/>
      </c>
    </row>
    <row r="945">
      <c r="A945" s="2" t="n">
        <v>943</v>
      </c>
      <c r="B945" s="7" t="n">
        <v>46290.29166666666</v>
      </c>
      <c r="C945" s="2" t="inlineStr">
        <is>
          <t>出場</t>
        </is>
      </c>
      <c r="D945" s="2" t="n">
        <v>474</v>
      </c>
      <c r="E945" s="2" t="inlineStr">
        <is>
          <t>BR_USDT_PERP</t>
        </is>
      </c>
      <c r="F945" s="2" t="inlineStr">
        <is>
          <t>做空</t>
        </is>
      </c>
      <c r="G945" s="20" t="n">
        <v>0.9938900000000001</v>
      </c>
      <c r="H945" s="20" t="n">
        <v>0.9640733</v>
      </c>
      <c r="I945" s="20" t="n">
        <v>1.0435845</v>
      </c>
      <c r="J945" s="20" t="n">
        <v>1.0435845</v>
      </c>
      <c r="K945" s="2" t="inlineStr">
        <is>
          <t>止損</t>
        </is>
      </c>
      <c r="L945" s="5">
        <f>交易明細!K475</f>
        <v/>
      </c>
      <c r="M945" s="19">
        <f>M943</f>
        <v/>
      </c>
      <c r="N945" s="2">
        <f>N943</f>
        <v/>
      </c>
      <c r="O945" s="19">
        <f>O943</f>
        <v/>
      </c>
      <c r="P945" s="4">
        <f>交易明細!L475</f>
        <v/>
      </c>
      <c r="Q945" s="13">
        <f>IF(N945="已下單",O945*P945,0)</f>
        <v/>
      </c>
      <c r="R945" s="13">
        <f>R944+Q945</f>
        <v/>
      </c>
      <c r="S945" s="19">
        <f>S944-IF(N945="已下單",M945,0)</f>
        <v/>
      </c>
      <c r="T945" s="19">
        <f>R945-S945</f>
        <v/>
      </c>
      <c r="U945" s="2">
        <f>U944-IF(N945="已下單",1,0)</f>
        <v/>
      </c>
      <c r="V945" s="19">
        <f>IF(資金模擬!$B$9=2,MAX(R945,0),MAX(V944,FLOOR(MAX(R945,0),資金模擬!$B$6)))</f>
        <v/>
      </c>
      <c r="W945" s="13">
        <f>MAX(W944,R945)</f>
        <v/>
      </c>
      <c r="X945" s="4">
        <f>IF(W945&gt;0,R945/W945-1,-1)</f>
        <v/>
      </c>
      <c r="Y945" s="19">
        <f>IF(R945&gt;0,S945*資金模擬!$B$7/R945,0)</f>
        <v/>
      </c>
      <c r="Z945" s="2">
        <f>IF(OR(Z944=1,R945&lt;=資金模擬!$B$10),1,0)</f>
        <v/>
      </c>
    </row>
    <row r="946">
      <c r="A946" s="2" t="n">
        <v>944</v>
      </c>
      <c r="B946" s="7" t="n">
        <v>46290.41666666666</v>
      </c>
      <c r="C946" s="2" t="inlineStr">
        <is>
          <t>出場</t>
        </is>
      </c>
      <c r="D946" s="2" t="n">
        <v>416</v>
      </c>
      <c r="E946" s="2" t="inlineStr">
        <is>
          <t>ADA_USDT_PERP</t>
        </is>
      </c>
      <c r="F946" s="2" t="inlineStr">
        <is>
          <t>做空</t>
        </is>
      </c>
      <c r="G946" s="20" t="n">
        <v>0.24</v>
      </c>
      <c r="H946" s="20" t="n">
        <v>0.2328</v>
      </c>
      <c r="I946" s="20" t="n">
        <v>0.252</v>
      </c>
      <c r="J946" s="20" t="n">
        <v>0.252</v>
      </c>
      <c r="K946" s="2" t="inlineStr">
        <is>
          <t>止損</t>
        </is>
      </c>
      <c r="L946" s="5">
        <f>交易明細!K417</f>
        <v/>
      </c>
      <c r="M946" s="19">
        <f>M832</f>
        <v/>
      </c>
      <c r="N946" s="2">
        <f>N832</f>
        <v/>
      </c>
      <c r="O946" s="19">
        <f>O832</f>
        <v/>
      </c>
      <c r="P946" s="4">
        <f>交易明細!L417</f>
        <v/>
      </c>
      <c r="Q946" s="13">
        <f>IF(N946="已下單",O946*P946,0)</f>
        <v/>
      </c>
      <c r="R946" s="13">
        <f>R945+Q946</f>
        <v/>
      </c>
      <c r="S946" s="19">
        <f>S945-IF(N946="已下單",M946,0)</f>
        <v/>
      </c>
      <c r="T946" s="19">
        <f>R946-S946</f>
        <v/>
      </c>
      <c r="U946" s="2">
        <f>U945-IF(N946="已下單",1,0)</f>
        <v/>
      </c>
      <c r="V946" s="19">
        <f>IF(資金模擬!$B$9=2,MAX(R946,0),MAX(V945,FLOOR(MAX(R946,0),資金模擬!$B$6)))</f>
        <v/>
      </c>
      <c r="W946" s="13">
        <f>MAX(W945,R946)</f>
        <v/>
      </c>
      <c r="X946" s="4">
        <f>IF(W946&gt;0,R946/W946-1,-1)</f>
        <v/>
      </c>
      <c r="Y946" s="19">
        <f>IF(R946&gt;0,S946*資金模擬!$B$7/R946,0)</f>
        <v/>
      </c>
      <c r="Z946" s="2">
        <f>IF(OR(Z945=1,R946&lt;=資金模擬!$B$10),1,0)</f>
        <v/>
      </c>
    </row>
    <row r="947">
      <c r="A947" s="2" t="n">
        <v>945</v>
      </c>
      <c r="B947" s="7" t="n">
        <v>46290.54166666666</v>
      </c>
      <c r="C947" s="2" t="inlineStr">
        <is>
          <t>進場</t>
        </is>
      </c>
      <c r="D947" s="2" t="n">
        <v>475</v>
      </c>
      <c r="E947" s="2" t="inlineStr">
        <is>
          <t>AKE_USDT_PERP</t>
        </is>
      </c>
      <c r="F947" s="2" t="inlineStr">
        <is>
          <t>做空</t>
        </is>
      </c>
      <c r="G947" s="20" t="n">
        <v>0.0379</v>
      </c>
      <c r="H947" s="20" t="n">
        <v>0.036763</v>
      </c>
      <c r="I947" s="20" t="n">
        <v>0.039795</v>
      </c>
      <c r="J947" s="20" t="n"/>
      <c r="K947" s="2" t="n"/>
      <c r="L947" s="5" t="n"/>
      <c r="M947" s="19">
        <f>資金模擬!$B$5*V946</f>
        <v/>
      </c>
      <c r="N947" s="2">
        <f>IF(Z946=1,"已停止",IF(T946&gt;=M947,"已下單","資金不足略過"))</f>
        <v/>
      </c>
      <c r="O947" s="19">
        <f>IF(N947="已下單",M947*資金模擬!$B$7,0)</f>
        <v/>
      </c>
      <c r="P947" s="4" t="n"/>
      <c r="Q947" s="13" t="n">
        <v>0</v>
      </c>
      <c r="R947" s="13">
        <f>R946+Q947</f>
        <v/>
      </c>
      <c r="S947" s="19">
        <f>S946+IF(N947="已下單",M947,0)</f>
        <v/>
      </c>
      <c r="T947" s="19">
        <f>R947-S947</f>
        <v/>
      </c>
      <c r="U947" s="2">
        <f>U946+IF(N947="已下單",1,0)</f>
        <v/>
      </c>
      <c r="V947" s="19">
        <f>IF(資金模擬!$B$9=2,MAX(R947,0),MAX(V946,FLOOR(MAX(R947,0),資金模擬!$B$6)))</f>
        <v/>
      </c>
      <c r="W947" s="13">
        <f>MAX(W946,R947)</f>
        <v/>
      </c>
      <c r="X947" s="4">
        <f>IF(W947&gt;0,R947/W947-1,-1)</f>
        <v/>
      </c>
      <c r="Y947" s="19">
        <f>IF(R947&gt;0,S947*資金模擬!$B$7/R947,0)</f>
        <v/>
      </c>
      <c r="Z947" s="2">
        <f>IF(OR(Z946=1,R947&lt;=資金模擬!$B$10),1,0)</f>
        <v/>
      </c>
    </row>
    <row r="948">
      <c r="A948" s="2" t="n">
        <v>946</v>
      </c>
      <c r="B948" s="7" t="n">
        <v>46290.55555555555</v>
      </c>
      <c r="C948" s="2" t="inlineStr">
        <is>
          <t>出場</t>
        </is>
      </c>
      <c r="D948" s="2" t="n">
        <v>475</v>
      </c>
      <c r="E948" s="2" t="inlineStr">
        <is>
          <t>AKE_USDT_PERP</t>
        </is>
      </c>
      <c r="F948" s="2" t="inlineStr">
        <is>
          <t>做空</t>
        </is>
      </c>
      <c r="G948" s="20" t="n">
        <v>0.0379</v>
      </c>
      <c r="H948" s="20" t="n">
        <v>0.036763</v>
      </c>
      <c r="I948" s="20" t="n">
        <v>0.039795</v>
      </c>
      <c r="J948" s="20" t="n">
        <v>0.036763</v>
      </c>
      <c r="K948" s="2" t="inlineStr">
        <is>
          <t>止盈</t>
        </is>
      </c>
      <c r="L948" s="5">
        <f>交易明細!K476</f>
        <v/>
      </c>
      <c r="M948" s="19">
        <f>M947</f>
        <v/>
      </c>
      <c r="N948" s="2">
        <f>N947</f>
        <v/>
      </c>
      <c r="O948" s="19">
        <f>O947</f>
        <v/>
      </c>
      <c r="P948" s="4">
        <f>交易明細!L476</f>
        <v/>
      </c>
      <c r="Q948" s="13">
        <f>IF(N948="已下單",O948*P948,0)</f>
        <v/>
      </c>
      <c r="R948" s="13">
        <f>R947+Q948</f>
        <v/>
      </c>
      <c r="S948" s="19">
        <f>S947-IF(N948="已下單",M948,0)</f>
        <v/>
      </c>
      <c r="T948" s="19">
        <f>R948-S948</f>
        <v/>
      </c>
      <c r="U948" s="2">
        <f>U947-IF(N948="已下單",1,0)</f>
        <v/>
      </c>
      <c r="V948" s="19">
        <f>IF(資金模擬!$B$9=2,MAX(R948,0),MAX(V947,FLOOR(MAX(R948,0),資金模擬!$B$6)))</f>
        <v/>
      </c>
      <c r="W948" s="13">
        <f>MAX(W947,R948)</f>
        <v/>
      </c>
      <c r="X948" s="4">
        <f>IF(W948&gt;0,R948/W948-1,-1)</f>
        <v/>
      </c>
      <c r="Y948" s="19">
        <f>IF(R948&gt;0,S948*資金模擬!$B$7/R948,0)</f>
        <v/>
      </c>
      <c r="Z948" s="2">
        <f>IF(OR(Z947=1,R948&lt;=資金模擬!$B$10),1,0)</f>
        <v/>
      </c>
    </row>
    <row r="949">
      <c r="A949" s="2" t="n">
        <v>947</v>
      </c>
      <c r="B949" s="7" t="n">
        <v>46290.58333333334</v>
      </c>
      <c r="C949" s="2" t="inlineStr">
        <is>
          <t>出場</t>
        </is>
      </c>
      <c r="D949" s="2" t="n">
        <v>463</v>
      </c>
      <c r="E949" s="2" t="inlineStr">
        <is>
          <t>ZRO_USDT_PERP</t>
        </is>
      </c>
      <c r="F949" s="2" t="inlineStr">
        <is>
          <t>做空</t>
        </is>
      </c>
      <c r="G949" s="20" t="n">
        <v>1.4433</v>
      </c>
      <c r="H949" s="20" t="n">
        <v>1.400001</v>
      </c>
      <c r="I949" s="20" t="n">
        <v>1.515465</v>
      </c>
      <c r="J949" s="20" t="n">
        <v>1.515465</v>
      </c>
      <c r="K949" s="2" t="inlineStr">
        <is>
          <t>止損</t>
        </is>
      </c>
      <c r="L949" s="5">
        <f>交易明細!K464</f>
        <v/>
      </c>
      <c r="M949" s="19">
        <f>M915</f>
        <v/>
      </c>
      <c r="N949" s="2">
        <f>N915</f>
        <v/>
      </c>
      <c r="O949" s="19">
        <f>O915</f>
        <v/>
      </c>
      <c r="P949" s="4">
        <f>交易明細!L464</f>
        <v/>
      </c>
      <c r="Q949" s="13">
        <f>IF(N949="已下單",O949*P949,0)</f>
        <v/>
      </c>
      <c r="R949" s="13">
        <f>R948+Q949</f>
        <v/>
      </c>
      <c r="S949" s="19">
        <f>S948-IF(N949="已下單",M949,0)</f>
        <v/>
      </c>
      <c r="T949" s="19">
        <f>R949-S949</f>
        <v/>
      </c>
      <c r="U949" s="2">
        <f>U948-IF(N949="已下單",1,0)</f>
        <v/>
      </c>
      <c r="V949" s="19">
        <f>IF(資金模擬!$B$9=2,MAX(R949,0),MAX(V948,FLOOR(MAX(R949,0),資金模擬!$B$6)))</f>
        <v/>
      </c>
      <c r="W949" s="13">
        <f>MAX(W948,R949)</f>
        <v/>
      </c>
      <c r="X949" s="4">
        <f>IF(W949&gt;0,R949/W949-1,-1)</f>
        <v/>
      </c>
      <c r="Y949" s="19">
        <f>IF(R949&gt;0,S949*資金模擬!$B$7/R949,0)</f>
        <v/>
      </c>
      <c r="Z949" s="2">
        <f>IF(OR(Z948=1,R949&lt;=資金模擬!$B$10),1,0)</f>
        <v/>
      </c>
    </row>
    <row r="950">
      <c r="A950" s="2" t="n">
        <v>948</v>
      </c>
      <c r="B950" s="7" t="n">
        <v>46290.625</v>
      </c>
      <c r="C950" s="2" t="inlineStr">
        <is>
          <t>進場</t>
        </is>
      </c>
      <c r="D950" s="2" t="n">
        <v>476</v>
      </c>
      <c r="E950" s="2" t="inlineStr">
        <is>
          <t>BR_USDT_PERP</t>
        </is>
      </c>
      <c r="F950" s="2" t="inlineStr">
        <is>
          <t>做多</t>
        </is>
      </c>
      <c r="G950" s="20" t="n">
        <v>1.02364</v>
      </c>
      <c r="H950" s="20" t="n">
        <v>1.0543492</v>
      </c>
      <c r="I950" s="20" t="n">
        <v>0.972458</v>
      </c>
      <c r="J950" s="20" t="n"/>
      <c r="K950" s="2" t="n"/>
      <c r="L950" s="5" t="n"/>
      <c r="M950" s="19">
        <f>資金模擬!$B$5*V949</f>
        <v/>
      </c>
      <c r="N950" s="2">
        <f>IF(Z949=1,"已停止",IF(T949&gt;=M950,"已下單","資金不足略過"))</f>
        <v/>
      </c>
      <c r="O950" s="19">
        <f>IF(N950="已下單",M950*資金模擬!$B$7,0)</f>
        <v/>
      </c>
      <c r="P950" s="4" t="n"/>
      <c r="Q950" s="13" t="n">
        <v>0</v>
      </c>
      <c r="R950" s="13">
        <f>R949+Q950</f>
        <v/>
      </c>
      <c r="S950" s="19">
        <f>S949+IF(N950="已下單",M950,0)</f>
        <v/>
      </c>
      <c r="T950" s="19">
        <f>R950-S950</f>
        <v/>
      </c>
      <c r="U950" s="2">
        <f>U949+IF(N950="已下單",1,0)</f>
        <v/>
      </c>
      <c r="V950" s="19">
        <f>IF(資金模擬!$B$9=2,MAX(R950,0),MAX(V949,FLOOR(MAX(R950,0),資金模擬!$B$6)))</f>
        <v/>
      </c>
      <c r="W950" s="13">
        <f>MAX(W949,R950)</f>
        <v/>
      </c>
      <c r="X950" s="4">
        <f>IF(W950&gt;0,R950/W950-1,-1)</f>
        <v/>
      </c>
      <c r="Y950" s="19">
        <f>IF(R950&gt;0,S950*資金模擬!$B$7/R950,0)</f>
        <v/>
      </c>
      <c r="Z950" s="2">
        <f>IF(OR(Z949=1,R950&lt;=資金模擬!$B$10),1,0)</f>
        <v/>
      </c>
    </row>
    <row r="951">
      <c r="A951" s="2" t="n">
        <v>949</v>
      </c>
      <c r="B951" s="7" t="n">
        <v>46290.66666666666</v>
      </c>
      <c r="C951" s="2" t="inlineStr">
        <is>
          <t>進場</t>
        </is>
      </c>
      <c r="D951" s="2" t="n">
        <v>477</v>
      </c>
      <c r="E951" s="2" t="inlineStr">
        <is>
          <t>BROCCOLI_USDT_PERP</t>
        </is>
      </c>
      <c r="F951" s="2" t="inlineStr">
        <is>
          <t>做多</t>
        </is>
      </c>
      <c r="G951" s="20" t="n">
        <v>0.03165</v>
      </c>
      <c r="H951" s="20" t="n">
        <v>0.0325995</v>
      </c>
      <c r="I951" s="20" t="n">
        <v>0.0300675</v>
      </c>
      <c r="J951" s="20" t="n"/>
      <c r="K951" s="2" t="n"/>
      <c r="L951" s="5" t="n"/>
      <c r="M951" s="19">
        <f>資金模擬!$B$5*V950</f>
        <v/>
      </c>
      <c r="N951" s="2">
        <f>IF(Z950=1,"已停止",IF(T950&gt;=M951,"已下單","資金不足略過"))</f>
        <v/>
      </c>
      <c r="O951" s="19">
        <f>IF(N951="已下單",M951*資金模擬!$B$7,0)</f>
        <v/>
      </c>
      <c r="P951" s="4" t="n"/>
      <c r="Q951" s="13" t="n">
        <v>0</v>
      </c>
      <c r="R951" s="13">
        <f>R950+Q951</f>
        <v/>
      </c>
      <c r="S951" s="19">
        <f>S950+IF(N951="已下單",M951,0)</f>
        <v/>
      </c>
      <c r="T951" s="19">
        <f>R951-S951</f>
        <v/>
      </c>
      <c r="U951" s="2">
        <f>U950+IF(N951="已下單",1,0)</f>
        <v/>
      </c>
      <c r="V951" s="19">
        <f>IF(資金模擬!$B$9=2,MAX(R951,0),MAX(V950,FLOOR(MAX(R951,0),資金模擬!$B$6)))</f>
        <v/>
      </c>
      <c r="W951" s="13">
        <f>MAX(W950,R951)</f>
        <v/>
      </c>
      <c r="X951" s="4">
        <f>IF(W951&gt;0,R951/W951-1,-1)</f>
        <v/>
      </c>
      <c r="Y951" s="19">
        <f>IF(R951&gt;0,S951*資金模擬!$B$7/R951,0)</f>
        <v/>
      </c>
      <c r="Z951" s="2">
        <f>IF(OR(Z950=1,R951&lt;=資金模擬!$B$10),1,0)</f>
        <v/>
      </c>
    </row>
    <row r="952">
      <c r="A952" s="2" t="n">
        <v>950</v>
      </c>
      <c r="B952" s="7" t="n">
        <v>46290.70833333334</v>
      </c>
      <c r="C952" s="2" t="inlineStr">
        <is>
          <t>出場</t>
        </is>
      </c>
      <c r="D952" s="2" t="n">
        <v>470</v>
      </c>
      <c r="E952" s="2" t="inlineStr">
        <is>
          <t>PONS_USDT_PERP</t>
        </is>
      </c>
      <c r="F952" s="2" t="inlineStr">
        <is>
          <t>做多</t>
        </is>
      </c>
      <c r="G952" s="20" t="n">
        <v>0.6308</v>
      </c>
      <c r="H952" s="20" t="n">
        <v>0.6497240000000001</v>
      </c>
      <c r="I952" s="20" t="n">
        <v>0.59926</v>
      </c>
      <c r="J952" s="20" t="n">
        <v>0.6497240000000001</v>
      </c>
      <c r="K952" s="2" t="inlineStr">
        <is>
          <t>止盈</t>
        </is>
      </c>
      <c r="L952" s="5">
        <f>交易明細!K471</f>
        <v/>
      </c>
      <c r="M952" s="19">
        <f>M933</f>
        <v/>
      </c>
      <c r="N952" s="2">
        <f>N933</f>
        <v/>
      </c>
      <c r="O952" s="19">
        <f>O933</f>
        <v/>
      </c>
      <c r="P952" s="4">
        <f>交易明細!L471</f>
        <v/>
      </c>
      <c r="Q952" s="13">
        <f>IF(N952="已下單",O952*P952,0)</f>
        <v/>
      </c>
      <c r="R952" s="13">
        <f>R951+Q952</f>
        <v/>
      </c>
      <c r="S952" s="19">
        <f>S951-IF(N952="已下單",M952,0)</f>
        <v/>
      </c>
      <c r="T952" s="19">
        <f>R952-S952</f>
        <v/>
      </c>
      <c r="U952" s="2">
        <f>U951-IF(N952="已下單",1,0)</f>
        <v/>
      </c>
      <c r="V952" s="19">
        <f>IF(資金模擬!$B$9=2,MAX(R952,0),MAX(V951,FLOOR(MAX(R952,0),資金模擬!$B$6)))</f>
        <v/>
      </c>
      <c r="W952" s="13">
        <f>MAX(W951,R952)</f>
        <v/>
      </c>
      <c r="X952" s="4">
        <f>IF(W952&gt;0,R952/W952-1,-1)</f>
        <v/>
      </c>
      <c r="Y952" s="19">
        <f>IF(R952&gt;0,S952*資金模擬!$B$7/R952,0)</f>
        <v/>
      </c>
      <c r="Z952" s="2">
        <f>IF(OR(Z951=1,R952&lt;=資金模擬!$B$10),1,0)</f>
        <v/>
      </c>
    </row>
    <row r="953">
      <c r="A953" s="2" t="n">
        <v>951</v>
      </c>
      <c r="B953" s="7" t="n">
        <v>46290.70833333334</v>
      </c>
      <c r="C953" s="2" t="inlineStr">
        <is>
          <t>出場</t>
        </is>
      </c>
      <c r="D953" s="2" t="n">
        <v>476</v>
      </c>
      <c r="E953" s="2" t="inlineStr">
        <is>
          <t>BR_USDT_PERP</t>
        </is>
      </c>
      <c r="F953" s="2" t="inlineStr">
        <is>
          <t>做多</t>
        </is>
      </c>
      <c r="G953" s="20" t="n">
        <v>1.02364</v>
      </c>
      <c r="H953" s="20" t="n">
        <v>1.0543492</v>
      </c>
      <c r="I953" s="20" t="n">
        <v>0.972458</v>
      </c>
      <c r="J953" s="20" t="n">
        <v>0.972458</v>
      </c>
      <c r="K953" s="2" t="inlineStr">
        <is>
          <t>止損</t>
        </is>
      </c>
      <c r="L953" s="5">
        <f>交易明細!K477</f>
        <v/>
      </c>
      <c r="M953" s="19">
        <f>M950</f>
        <v/>
      </c>
      <c r="N953" s="2">
        <f>N950</f>
        <v/>
      </c>
      <c r="O953" s="19">
        <f>O950</f>
        <v/>
      </c>
      <c r="P953" s="4">
        <f>交易明細!L477</f>
        <v/>
      </c>
      <c r="Q953" s="13">
        <f>IF(N953="已下單",O953*P953,0)</f>
        <v/>
      </c>
      <c r="R953" s="13">
        <f>R952+Q953</f>
        <v/>
      </c>
      <c r="S953" s="19">
        <f>S952-IF(N953="已下單",M953,0)</f>
        <v/>
      </c>
      <c r="T953" s="19">
        <f>R953-S953</f>
        <v/>
      </c>
      <c r="U953" s="2">
        <f>U952-IF(N953="已下單",1,0)</f>
        <v/>
      </c>
      <c r="V953" s="19">
        <f>IF(資金模擬!$B$9=2,MAX(R953,0),MAX(V952,FLOOR(MAX(R953,0),資金模擬!$B$6)))</f>
        <v/>
      </c>
      <c r="W953" s="13">
        <f>MAX(W952,R953)</f>
        <v/>
      </c>
      <c r="X953" s="4">
        <f>IF(W953&gt;0,R953/W953-1,-1)</f>
        <v/>
      </c>
      <c r="Y953" s="19">
        <f>IF(R953&gt;0,S953*資金模擬!$B$7/R953,0)</f>
        <v/>
      </c>
      <c r="Z953" s="2">
        <f>IF(OR(Z952=1,R953&lt;=資金模擬!$B$10),1,0)</f>
        <v/>
      </c>
    </row>
    <row r="954">
      <c r="A954" s="2" t="n">
        <v>952</v>
      </c>
      <c r="B954" s="7" t="n">
        <v>46290.70833333334</v>
      </c>
      <c r="C954" s="2" t="inlineStr">
        <is>
          <t>出場</t>
        </is>
      </c>
      <c r="D954" s="2" t="n">
        <v>477</v>
      </c>
      <c r="E954" s="2" t="inlineStr">
        <is>
          <t>BROCCOLI_USDT_PERP</t>
        </is>
      </c>
      <c r="F954" s="2" t="inlineStr">
        <is>
          <t>做多</t>
        </is>
      </c>
      <c r="G954" s="20" t="n">
        <v>0.03165</v>
      </c>
      <c r="H954" s="20" t="n">
        <v>0.0325995</v>
      </c>
      <c r="I954" s="20" t="n">
        <v>0.0300675</v>
      </c>
      <c r="J954" s="20" t="n">
        <v>0.0325995</v>
      </c>
      <c r="K954" s="2" t="inlineStr">
        <is>
          <t>止盈</t>
        </is>
      </c>
      <c r="L954" s="5">
        <f>交易明細!K478</f>
        <v/>
      </c>
      <c r="M954" s="19">
        <f>M951</f>
        <v/>
      </c>
      <c r="N954" s="2">
        <f>N951</f>
        <v/>
      </c>
      <c r="O954" s="19">
        <f>O951</f>
        <v/>
      </c>
      <c r="P954" s="4">
        <f>交易明細!L478</f>
        <v/>
      </c>
      <c r="Q954" s="13">
        <f>IF(N954="已下單",O954*P954,0)</f>
        <v/>
      </c>
      <c r="R954" s="13">
        <f>R953+Q954</f>
        <v/>
      </c>
      <c r="S954" s="19">
        <f>S953-IF(N954="已下單",M954,0)</f>
        <v/>
      </c>
      <c r="T954" s="19">
        <f>R954-S954</f>
        <v/>
      </c>
      <c r="U954" s="2">
        <f>U953-IF(N954="已下單",1,0)</f>
        <v/>
      </c>
      <c r="V954" s="19">
        <f>IF(資金模擬!$B$9=2,MAX(R954,0),MAX(V953,FLOOR(MAX(R954,0),資金模擬!$B$6)))</f>
        <v/>
      </c>
      <c r="W954" s="13">
        <f>MAX(W953,R954)</f>
        <v/>
      </c>
      <c r="X954" s="4">
        <f>IF(W954&gt;0,R954/W954-1,-1)</f>
        <v/>
      </c>
      <c r="Y954" s="19">
        <f>IF(R954&gt;0,S954*資金模擬!$B$7/R954,0)</f>
        <v/>
      </c>
      <c r="Z954" s="2">
        <f>IF(OR(Z953=1,R954&lt;=資金模擬!$B$10),1,0)</f>
        <v/>
      </c>
    </row>
    <row r="955">
      <c r="A955" s="2" t="n">
        <v>953</v>
      </c>
      <c r="B955" s="7" t="n">
        <v>46290.75</v>
      </c>
      <c r="C955" s="2" t="inlineStr">
        <is>
          <t>出場</t>
        </is>
      </c>
      <c r="D955" s="2" t="n">
        <v>455</v>
      </c>
      <c r="E955" s="2" t="inlineStr">
        <is>
          <t>PUMP_USDT_PERP</t>
        </is>
      </c>
      <c r="F955" s="2" t="inlineStr">
        <is>
          <t>做空</t>
        </is>
      </c>
      <c r="G955" s="20" t="n">
        <v>0.003843</v>
      </c>
      <c r="H955" s="20" t="n">
        <v>0.00372771</v>
      </c>
      <c r="I955" s="20" t="n">
        <v>0.00403515</v>
      </c>
      <c r="J955" s="20" t="n">
        <v>0.00403515</v>
      </c>
      <c r="K955" s="2" t="inlineStr">
        <is>
          <t>止損</t>
        </is>
      </c>
      <c r="L955" s="5">
        <f>交易明細!K456</f>
        <v/>
      </c>
      <c r="M955" s="19">
        <f>M905</f>
        <v/>
      </c>
      <c r="N955" s="2">
        <f>N905</f>
        <v/>
      </c>
      <c r="O955" s="19">
        <f>O905</f>
        <v/>
      </c>
      <c r="P955" s="4">
        <f>交易明細!L456</f>
        <v/>
      </c>
      <c r="Q955" s="13">
        <f>IF(N955="已下單",O955*P955,0)</f>
        <v/>
      </c>
      <c r="R955" s="13">
        <f>R954+Q955</f>
        <v/>
      </c>
      <c r="S955" s="19">
        <f>S954-IF(N955="已下單",M955,0)</f>
        <v/>
      </c>
      <c r="T955" s="19">
        <f>R955-S955</f>
        <v/>
      </c>
      <c r="U955" s="2">
        <f>U954-IF(N955="已下單",1,0)</f>
        <v/>
      </c>
      <c r="V955" s="19">
        <f>IF(資金模擬!$B$9=2,MAX(R955,0),MAX(V954,FLOOR(MAX(R955,0),資金模擬!$B$6)))</f>
        <v/>
      </c>
      <c r="W955" s="13">
        <f>MAX(W954,R955)</f>
        <v/>
      </c>
      <c r="X955" s="4">
        <f>IF(W955&gt;0,R955/W955-1,-1)</f>
        <v/>
      </c>
      <c r="Y955" s="19">
        <f>IF(R955&gt;0,S955*資金模擬!$B$7/R955,0)</f>
        <v/>
      </c>
      <c r="Z955" s="2">
        <f>IF(OR(Z954=1,R955&lt;=資金模擬!$B$10),1,0)</f>
        <v/>
      </c>
    </row>
    <row r="956">
      <c r="A956" s="2" t="n">
        <v>954</v>
      </c>
      <c r="B956" s="7" t="n">
        <v>46290.79166666666</v>
      </c>
      <c r="C956" s="2" t="inlineStr">
        <is>
          <t>進場</t>
        </is>
      </c>
      <c r="D956" s="2" t="n">
        <v>478</v>
      </c>
      <c r="E956" s="2" t="inlineStr">
        <is>
          <t>ENA_USDT_PERP</t>
        </is>
      </c>
      <c r="F956" s="2" t="inlineStr">
        <is>
          <t>做多</t>
        </is>
      </c>
      <c r="G956" s="20" t="n">
        <v>0.2287</v>
      </c>
      <c r="H956" s="20" t="n">
        <v>0.235561</v>
      </c>
      <c r="I956" s="20" t="n">
        <v>0.217265</v>
      </c>
      <c r="J956" s="20" t="n"/>
      <c r="K956" s="2" t="n"/>
      <c r="L956" s="5" t="n"/>
      <c r="M956" s="19">
        <f>資金模擬!$B$5*V955</f>
        <v/>
      </c>
      <c r="N956" s="2">
        <f>IF(Z955=1,"已停止",IF(T955&gt;=M956,"已下單","資金不足略過"))</f>
        <v/>
      </c>
      <c r="O956" s="19">
        <f>IF(N956="已下單",M956*資金模擬!$B$7,0)</f>
        <v/>
      </c>
      <c r="P956" s="4" t="n"/>
      <c r="Q956" s="13" t="n">
        <v>0</v>
      </c>
      <c r="R956" s="13">
        <f>R955+Q956</f>
        <v/>
      </c>
      <c r="S956" s="19">
        <f>S955+IF(N956="已下單",M956,0)</f>
        <v/>
      </c>
      <c r="T956" s="19">
        <f>R956-S956</f>
        <v/>
      </c>
      <c r="U956" s="2">
        <f>U955+IF(N956="已下單",1,0)</f>
        <v/>
      </c>
      <c r="V956" s="19">
        <f>IF(資金模擬!$B$9=2,MAX(R956,0),MAX(V955,FLOOR(MAX(R956,0),資金模擬!$B$6)))</f>
        <v/>
      </c>
      <c r="W956" s="13">
        <f>MAX(W955,R956)</f>
        <v/>
      </c>
      <c r="X956" s="4">
        <f>IF(W956&gt;0,R956/W956-1,-1)</f>
        <v/>
      </c>
      <c r="Y956" s="19">
        <f>IF(R956&gt;0,S956*資金模擬!$B$7/R956,0)</f>
        <v/>
      </c>
      <c r="Z956" s="2">
        <f>IF(OR(Z955=1,R956&lt;=資金模擬!$B$10),1,0)</f>
        <v/>
      </c>
    </row>
    <row r="957">
      <c r="A957" s="2" t="n">
        <v>955</v>
      </c>
      <c r="B957" s="7" t="n">
        <v>46290.83333333334</v>
      </c>
      <c r="C957" s="2" t="inlineStr">
        <is>
          <t>出場</t>
        </is>
      </c>
      <c r="D957" s="2" t="n">
        <v>468</v>
      </c>
      <c r="E957" s="2" t="inlineStr">
        <is>
          <t>ARB_USDT_PERP</t>
        </is>
      </c>
      <c r="F957" s="2" t="inlineStr">
        <is>
          <t>做空</t>
        </is>
      </c>
      <c r="G957" s="20" t="n">
        <v>0.2135</v>
      </c>
      <c r="H957" s="20" t="n">
        <v>0.207095</v>
      </c>
      <c r="I957" s="20" t="n">
        <v>0.224175</v>
      </c>
      <c r="J957" s="20" t="n">
        <v>0.224175</v>
      </c>
      <c r="K957" s="2" t="inlineStr">
        <is>
          <t>止損</t>
        </is>
      </c>
      <c r="L957" s="5">
        <f>交易明細!K469</f>
        <v/>
      </c>
      <c r="M957" s="19">
        <f>M931</f>
        <v/>
      </c>
      <c r="N957" s="2">
        <f>N931</f>
        <v/>
      </c>
      <c r="O957" s="19">
        <f>O931</f>
        <v/>
      </c>
      <c r="P957" s="4">
        <f>交易明細!L469</f>
        <v/>
      </c>
      <c r="Q957" s="13">
        <f>IF(N957="已下單",O957*P957,0)</f>
        <v/>
      </c>
      <c r="R957" s="13">
        <f>R956+Q957</f>
        <v/>
      </c>
      <c r="S957" s="19">
        <f>S956-IF(N957="已下單",M957,0)</f>
        <v/>
      </c>
      <c r="T957" s="19">
        <f>R957-S957</f>
        <v/>
      </c>
      <c r="U957" s="2">
        <f>U956-IF(N957="已下單",1,0)</f>
        <v/>
      </c>
      <c r="V957" s="19">
        <f>IF(資金模擬!$B$9=2,MAX(R957,0),MAX(V956,FLOOR(MAX(R957,0),資金模擬!$B$6)))</f>
        <v/>
      </c>
      <c r="W957" s="13">
        <f>MAX(W956,R957)</f>
        <v/>
      </c>
      <c r="X957" s="4">
        <f>IF(W957&gt;0,R957/W957-1,-1)</f>
        <v/>
      </c>
      <c r="Y957" s="19">
        <f>IF(R957&gt;0,S957*資金模擬!$B$7/R957,0)</f>
        <v/>
      </c>
      <c r="Z957" s="2">
        <f>IF(OR(Z956=1,R957&lt;=資金模擬!$B$10),1,0)</f>
        <v/>
      </c>
    </row>
    <row r="958">
      <c r="A958" s="2" t="n">
        <v>956</v>
      </c>
      <c r="B958" s="7" t="n">
        <v>46290.83333333334</v>
      </c>
      <c r="C958" s="2" t="inlineStr">
        <is>
          <t>出場</t>
        </is>
      </c>
      <c r="D958" s="2" t="n">
        <v>478</v>
      </c>
      <c r="E958" s="2" t="inlineStr">
        <is>
          <t>ENA_USDT_PERP</t>
        </is>
      </c>
      <c r="F958" s="2" t="inlineStr">
        <is>
          <t>做多</t>
        </is>
      </c>
      <c r="G958" s="20" t="n">
        <v>0.2287</v>
      </c>
      <c r="H958" s="20" t="n">
        <v>0.235561</v>
      </c>
      <c r="I958" s="20" t="n">
        <v>0.217265</v>
      </c>
      <c r="J958" s="20" t="n">
        <v>0.235561</v>
      </c>
      <c r="K958" s="2" t="inlineStr">
        <is>
          <t>止盈</t>
        </is>
      </c>
      <c r="L958" s="5">
        <f>交易明細!K479</f>
        <v/>
      </c>
      <c r="M958" s="19">
        <f>M956</f>
        <v/>
      </c>
      <c r="N958" s="2">
        <f>N956</f>
        <v/>
      </c>
      <c r="O958" s="19">
        <f>O956</f>
        <v/>
      </c>
      <c r="P958" s="4">
        <f>交易明細!L479</f>
        <v/>
      </c>
      <c r="Q958" s="13">
        <f>IF(N958="已下單",O958*P958,0)</f>
        <v/>
      </c>
      <c r="R958" s="13">
        <f>R957+Q958</f>
        <v/>
      </c>
      <c r="S958" s="19">
        <f>S957-IF(N958="已下單",M958,0)</f>
        <v/>
      </c>
      <c r="T958" s="19">
        <f>R958-S958</f>
        <v/>
      </c>
      <c r="U958" s="2">
        <f>U957-IF(N958="已下單",1,0)</f>
        <v/>
      </c>
      <c r="V958" s="19">
        <f>IF(資金模擬!$B$9=2,MAX(R958,0),MAX(V957,FLOOR(MAX(R958,0),資金模擬!$B$6)))</f>
        <v/>
      </c>
      <c r="W958" s="13">
        <f>MAX(W957,R958)</f>
        <v/>
      </c>
      <c r="X958" s="4">
        <f>IF(W958&gt;0,R958/W958-1,-1)</f>
        <v/>
      </c>
      <c r="Y958" s="19">
        <f>IF(R958&gt;0,S958*資金模擬!$B$7/R958,0)</f>
        <v/>
      </c>
      <c r="Z958" s="2">
        <f>IF(OR(Z957=1,R958&lt;=資金模擬!$B$10),1,0)</f>
        <v/>
      </c>
    </row>
    <row r="959">
      <c r="A959" s="2" t="n">
        <v>957</v>
      </c>
      <c r="B959" s="7" t="n">
        <v>46290.83333333334</v>
      </c>
      <c r="C959" s="2" t="inlineStr">
        <is>
          <t>進場</t>
        </is>
      </c>
      <c r="D959" s="2" t="n">
        <v>479</v>
      </c>
      <c r="E959" s="2" t="inlineStr">
        <is>
          <t>INJ_USDT_PERP</t>
        </is>
      </c>
      <c r="F959" s="2" t="inlineStr">
        <is>
          <t>做多</t>
        </is>
      </c>
      <c r="G959" s="20" t="n">
        <v>8.26</v>
      </c>
      <c r="H959" s="20" t="n">
        <v>8.5078</v>
      </c>
      <c r="I959" s="20" t="n">
        <v>7.847</v>
      </c>
      <c r="J959" s="20" t="n"/>
      <c r="K959" s="2" t="n"/>
      <c r="L959" s="5" t="n"/>
      <c r="M959" s="19">
        <f>資金模擬!$B$5*V958</f>
        <v/>
      </c>
      <c r="N959" s="2">
        <f>IF(Z958=1,"已停止",IF(T958&gt;=M959,"已下單","資金不足略過"))</f>
        <v/>
      </c>
      <c r="O959" s="19">
        <f>IF(N959="已下單",M959*資金模擬!$B$7,0)</f>
        <v/>
      </c>
      <c r="P959" s="4" t="n"/>
      <c r="Q959" s="13" t="n">
        <v>0</v>
      </c>
      <c r="R959" s="13">
        <f>R958+Q959</f>
        <v/>
      </c>
      <c r="S959" s="19">
        <f>S958+IF(N959="已下單",M959,0)</f>
        <v/>
      </c>
      <c r="T959" s="19">
        <f>R959-S959</f>
        <v/>
      </c>
      <c r="U959" s="2">
        <f>U958+IF(N959="已下單",1,0)</f>
        <v/>
      </c>
      <c r="V959" s="19">
        <f>IF(資金模擬!$B$9=2,MAX(R959,0),MAX(V958,FLOOR(MAX(R959,0),資金模擬!$B$6)))</f>
        <v/>
      </c>
      <c r="W959" s="13">
        <f>MAX(W958,R959)</f>
        <v/>
      </c>
      <c r="X959" s="4">
        <f>IF(W959&gt;0,R959/W959-1,-1)</f>
        <v/>
      </c>
      <c r="Y959" s="19">
        <f>IF(R959&gt;0,S959*資金模擬!$B$7/R959,0)</f>
        <v/>
      </c>
      <c r="Z959" s="2">
        <f>IF(OR(Z958=1,R959&lt;=資金模擬!$B$10),1,0)</f>
        <v/>
      </c>
    </row>
    <row r="960">
      <c r="A960" s="2" t="n">
        <v>958</v>
      </c>
      <c r="B960" s="7" t="n">
        <v>46290.875</v>
      </c>
      <c r="C960" s="2" t="inlineStr">
        <is>
          <t>進場</t>
        </is>
      </c>
      <c r="D960" s="2" t="n">
        <v>480</v>
      </c>
      <c r="E960" s="2" t="inlineStr">
        <is>
          <t>XPL_USDT_PERP</t>
        </is>
      </c>
      <c r="F960" s="2" t="inlineStr">
        <is>
          <t>做多</t>
        </is>
      </c>
      <c r="G960" s="20" t="n">
        <v>0.1142</v>
      </c>
      <c r="H960" s="20" t="n">
        <v>0.117626</v>
      </c>
      <c r="I960" s="20" t="n">
        <v>0.10849</v>
      </c>
      <c r="J960" s="20" t="n"/>
      <c r="K960" s="2" t="n"/>
      <c r="L960" s="5" t="n"/>
      <c r="M960" s="19">
        <f>資金模擬!$B$5*V959</f>
        <v/>
      </c>
      <c r="N960" s="2">
        <f>IF(Z959=1,"已停止",IF(T959&gt;=M960,"已下單","資金不足略過"))</f>
        <v/>
      </c>
      <c r="O960" s="19">
        <f>IF(N960="已下單",M960*資金模擬!$B$7,0)</f>
        <v/>
      </c>
      <c r="P960" s="4" t="n"/>
      <c r="Q960" s="13" t="n">
        <v>0</v>
      </c>
      <c r="R960" s="13">
        <f>R959+Q960</f>
        <v/>
      </c>
      <c r="S960" s="19">
        <f>S959+IF(N960="已下單",M960,0)</f>
        <v/>
      </c>
      <c r="T960" s="19">
        <f>R960-S960</f>
        <v/>
      </c>
      <c r="U960" s="2">
        <f>U959+IF(N960="已下單",1,0)</f>
        <v/>
      </c>
      <c r="V960" s="19">
        <f>IF(資金模擬!$B$9=2,MAX(R960,0),MAX(V959,FLOOR(MAX(R960,0),資金模擬!$B$6)))</f>
        <v/>
      </c>
      <c r="W960" s="13">
        <f>MAX(W959,R960)</f>
        <v/>
      </c>
      <c r="X960" s="4">
        <f>IF(W960&gt;0,R960/W960-1,-1)</f>
        <v/>
      </c>
      <c r="Y960" s="19">
        <f>IF(R960&gt;0,S960*資金模擬!$B$7/R960,0)</f>
        <v/>
      </c>
      <c r="Z960" s="2">
        <f>IF(OR(Z959=1,R960&lt;=資金模擬!$B$10),1,0)</f>
        <v/>
      </c>
    </row>
    <row r="961">
      <c r="A961" s="2" t="n">
        <v>959</v>
      </c>
      <c r="B961" s="7" t="n">
        <v>46290.91666666666</v>
      </c>
      <c r="C961" s="2" t="inlineStr">
        <is>
          <t>進場</t>
        </is>
      </c>
      <c r="D961" s="2" t="n">
        <v>481</v>
      </c>
      <c r="E961" s="2" t="inlineStr">
        <is>
          <t>RAY_USDT_PERP</t>
        </is>
      </c>
      <c r="F961" s="2" t="inlineStr">
        <is>
          <t>做空</t>
        </is>
      </c>
      <c r="G961" s="20" t="n">
        <v>2.056</v>
      </c>
      <c r="H961" s="20" t="n">
        <v>1.99432</v>
      </c>
      <c r="I961" s="20" t="n">
        <v>2.1588</v>
      </c>
      <c r="J961" s="20" t="n"/>
      <c r="K961" s="2" t="n"/>
      <c r="L961" s="5" t="n"/>
      <c r="M961" s="19">
        <f>資金模擬!$B$5*V960</f>
        <v/>
      </c>
      <c r="N961" s="2">
        <f>IF(Z960=1,"已停止",IF(T960&gt;=M961,"已下單","資金不足略過"))</f>
        <v/>
      </c>
      <c r="O961" s="19">
        <f>IF(N961="已下單",M961*資金模擬!$B$7,0)</f>
        <v/>
      </c>
      <c r="P961" s="4" t="n"/>
      <c r="Q961" s="13" t="n">
        <v>0</v>
      </c>
      <c r="R961" s="13">
        <f>R960+Q961</f>
        <v/>
      </c>
      <c r="S961" s="19">
        <f>S960+IF(N961="已下單",M961,0)</f>
        <v/>
      </c>
      <c r="T961" s="19">
        <f>R961-S961</f>
        <v/>
      </c>
      <c r="U961" s="2">
        <f>U960+IF(N961="已下單",1,0)</f>
        <v/>
      </c>
      <c r="V961" s="19">
        <f>IF(資金模擬!$B$9=2,MAX(R961,0),MAX(V960,FLOOR(MAX(R961,0),資金模擬!$B$6)))</f>
        <v/>
      </c>
      <c r="W961" s="13">
        <f>MAX(W960,R961)</f>
        <v/>
      </c>
      <c r="X961" s="4">
        <f>IF(W961&gt;0,R961/W961-1,-1)</f>
        <v/>
      </c>
      <c r="Y961" s="19">
        <f>IF(R961&gt;0,S961*資金模擬!$B$7/R961,0)</f>
        <v/>
      </c>
      <c r="Z961" s="2">
        <f>IF(OR(Z960=1,R961&lt;=資金模擬!$B$10),1,0)</f>
        <v/>
      </c>
    </row>
    <row r="962">
      <c r="A962" s="2" t="n">
        <v>960</v>
      </c>
      <c r="B962" s="7" t="n">
        <v>46290.95833333334</v>
      </c>
      <c r="C962" s="2" t="inlineStr">
        <is>
          <t>出場</t>
        </is>
      </c>
      <c r="D962" s="2" t="n">
        <v>480</v>
      </c>
      <c r="E962" s="2" t="inlineStr">
        <is>
          <t>XPL_USDT_PERP</t>
        </is>
      </c>
      <c r="F962" s="2" t="inlineStr">
        <is>
          <t>做多</t>
        </is>
      </c>
      <c r="G962" s="20" t="n">
        <v>0.1142</v>
      </c>
      <c r="H962" s="20" t="n">
        <v>0.117626</v>
      </c>
      <c r="I962" s="20" t="n">
        <v>0.10849</v>
      </c>
      <c r="J962" s="20" t="n">
        <v>0.10849</v>
      </c>
      <c r="K962" s="2" t="inlineStr">
        <is>
          <t>止損</t>
        </is>
      </c>
      <c r="L962" s="5">
        <f>交易明細!K481</f>
        <v/>
      </c>
      <c r="M962" s="19">
        <f>M960</f>
        <v/>
      </c>
      <c r="N962" s="2">
        <f>N960</f>
        <v/>
      </c>
      <c r="O962" s="19">
        <f>O960</f>
        <v/>
      </c>
      <c r="P962" s="4">
        <f>交易明細!L481</f>
        <v/>
      </c>
      <c r="Q962" s="13">
        <f>IF(N962="已下單",O962*P962,0)</f>
        <v/>
      </c>
      <c r="R962" s="13">
        <f>R961+Q962</f>
        <v/>
      </c>
      <c r="S962" s="19">
        <f>S961-IF(N962="已下單",M962,0)</f>
        <v/>
      </c>
      <c r="T962" s="19">
        <f>R962-S962</f>
        <v/>
      </c>
      <c r="U962" s="2">
        <f>U961-IF(N962="已下單",1,0)</f>
        <v/>
      </c>
      <c r="V962" s="19">
        <f>IF(資金模擬!$B$9=2,MAX(R962,0),MAX(V961,FLOOR(MAX(R962,0),資金模擬!$B$6)))</f>
        <v/>
      </c>
      <c r="W962" s="13">
        <f>MAX(W961,R962)</f>
        <v/>
      </c>
      <c r="X962" s="4">
        <f>IF(W962&gt;0,R962/W962-1,-1)</f>
        <v/>
      </c>
      <c r="Y962" s="19">
        <f>IF(R962&gt;0,S962*資金模擬!$B$7/R962,0)</f>
        <v/>
      </c>
      <c r="Z962" s="2">
        <f>IF(OR(Z961=1,R962&lt;=資金模擬!$B$10),1,0)</f>
        <v/>
      </c>
    </row>
    <row r="963">
      <c r="A963" s="2" t="n">
        <v>961</v>
      </c>
      <c r="B963" s="7" t="n">
        <v>46291</v>
      </c>
      <c r="C963" s="2" t="inlineStr">
        <is>
          <t>進場</t>
        </is>
      </c>
      <c r="D963" s="2" t="n">
        <v>482</v>
      </c>
      <c r="E963" s="2" t="inlineStr">
        <is>
          <t>ONDO_USDT_PERP</t>
        </is>
      </c>
      <c r="F963" s="2" t="inlineStr">
        <is>
          <t>做空</t>
        </is>
      </c>
      <c r="G963" s="20" t="n">
        <v>0.5331</v>
      </c>
      <c r="H963" s="20" t="n">
        <v>0.517107</v>
      </c>
      <c r="I963" s="20" t="n">
        <v>0.559755</v>
      </c>
      <c r="J963" s="20" t="n"/>
      <c r="K963" s="2" t="n"/>
      <c r="L963" s="5" t="n"/>
      <c r="M963" s="19">
        <f>資金模擬!$B$5*V962</f>
        <v/>
      </c>
      <c r="N963" s="2">
        <f>IF(Z962=1,"已停止",IF(T962&gt;=M963,"已下單","資金不足略過"))</f>
        <v/>
      </c>
      <c r="O963" s="19">
        <f>IF(N963="已下單",M963*資金模擬!$B$7,0)</f>
        <v/>
      </c>
      <c r="P963" s="4" t="n"/>
      <c r="Q963" s="13" t="n">
        <v>0</v>
      </c>
      <c r="R963" s="13">
        <f>R962+Q963</f>
        <v/>
      </c>
      <c r="S963" s="19">
        <f>S962+IF(N963="已下單",M963,0)</f>
        <v/>
      </c>
      <c r="T963" s="19">
        <f>R963-S963</f>
        <v/>
      </c>
      <c r="U963" s="2">
        <f>U962+IF(N963="已下單",1,0)</f>
        <v/>
      </c>
      <c r="V963" s="19">
        <f>IF(資金模擬!$B$9=2,MAX(R963,0),MAX(V962,FLOOR(MAX(R963,0),資金模擬!$B$6)))</f>
        <v/>
      </c>
      <c r="W963" s="13">
        <f>MAX(W962,R963)</f>
        <v/>
      </c>
      <c r="X963" s="4">
        <f>IF(W963&gt;0,R963/W963-1,-1)</f>
        <v/>
      </c>
      <c r="Y963" s="19">
        <f>IF(R963&gt;0,S963*資金模擬!$B$7/R963,0)</f>
        <v/>
      </c>
      <c r="Z963" s="2">
        <f>IF(OR(Z962=1,R963&lt;=資金模擬!$B$10),1,0)</f>
        <v/>
      </c>
    </row>
    <row r="964">
      <c r="A964" s="2" t="n">
        <v>962</v>
      </c>
      <c r="B964" s="7" t="n">
        <v>46291.04166666666</v>
      </c>
      <c r="C964" s="2" t="inlineStr">
        <is>
          <t>進場</t>
        </is>
      </c>
      <c r="D964" s="2" t="n">
        <v>483</v>
      </c>
      <c r="E964" s="2" t="inlineStr">
        <is>
          <t>AKE_USDT_PERP</t>
        </is>
      </c>
      <c r="F964" s="2" t="inlineStr">
        <is>
          <t>做空</t>
        </is>
      </c>
      <c r="G964" s="20" t="n">
        <v>0.0360825</v>
      </c>
      <c r="H964" s="20" t="n">
        <v>0.035000025</v>
      </c>
      <c r="I964" s="20" t="n">
        <v>0.03788662500000001</v>
      </c>
      <c r="J964" s="20" t="n"/>
      <c r="K964" s="2" t="n"/>
      <c r="L964" s="5" t="n"/>
      <c r="M964" s="19">
        <f>資金模擬!$B$5*V963</f>
        <v/>
      </c>
      <c r="N964" s="2">
        <f>IF(Z963=1,"已停止",IF(T963&gt;=M964,"已下單","資金不足略過"))</f>
        <v/>
      </c>
      <c r="O964" s="19">
        <f>IF(N964="已下單",M964*資金模擬!$B$7,0)</f>
        <v/>
      </c>
      <c r="P964" s="4" t="n"/>
      <c r="Q964" s="13" t="n">
        <v>0</v>
      </c>
      <c r="R964" s="13">
        <f>R963+Q964</f>
        <v/>
      </c>
      <c r="S964" s="19">
        <f>S963+IF(N964="已下單",M964,0)</f>
        <v/>
      </c>
      <c r="T964" s="19">
        <f>R964-S964</f>
        <v/>
      </c>
      <c r="U964" s="2">
        <f>U963+IF(N964="已下單",1,0)</f>
        <v/>
      </c>
      <c r="V964" s="19">
        <f>IF(資金模擬!$B$9=2,MAX(R964,0),MAX(V963,FLOOR(MAX(R964,0),資金模擬!$B$6)))</f>
        <v/>
      </c>
      <c r="W964" s="13">
        <f>MAX(W963,R964)</f>
        <v/>
      </c>
      <c r="X964" s="4">
        <f>IF(W964&gt;0,R964/W964-1,-1)</f>
        <v/>
      </c>
      <c r="Y964" s="19">
        <f>IF(R964&gt;0,S964*資金模擬!$B$7/R964,0)</f>
        <v/>
      </c>
      <c r="Z964" s="2">
        <f>IF(OR(Z963=1,R964&lt;=資金模擬!$B$10),1,0)</f>
        <v/>
      </c>
    </row>
    <row r="965">
      <c r="A965" s="2" t="n">
        <v>963</v>
      </c>
      <c r="B965" s="7" t="n">
        <v>46291.04166666666</v>
      </c>
      <c r="C965" s="2" t="inlineStr">
        <is>
          <t>進場</t>
        </is>
      </c>
      <c r="D965" s="2" t="n">
        <v>484</v>
      </c>
      <c r="E965" s="2" t="inlineStr">
        <is>
          <t>QNT_USDT_PERP</t>
        </is>
      </c>
      <c r="F965" s="2" t="inlineStr">
        <is>
          <t>做多</t>
        </is>
      </c>
      <c r="G965" s="20" t="n">
        <v>97.95999999999999</v>
      </c>
      <c r="H965" s="20" t="n">
        <v>100.8988</v>
      </c>
      <c r="I965" s="20" t="n">
        <v>93.06199999999998</v>
      </c>
      <c r="J965" s="20" t="n"/>
      <c r="K965" s="2" t="n"/>
      <c r="L965" s="5" t="n"/>
      <c r="M965" s="19">
        <f>資金模擬!$B$5*V964</f>
        <v/>
      </c>
      <c r="N965" s="2">
        <f>IF(Z964=1,"已停止",IF(T964&gt;=M965,"已下單","資金不足略過"))</f>
        <v/>
      </c>
      <c r="O965" s="19">
        <f>IF(N965="已下單",M965*資金模擬!$B$7,0)</f>
        <v/>
      </c>
      <c r="P965" s="4" t="n"/>
      <c r="Q965" s="13" t="n">
        <v>0</v>
      </c>
      <c r="R965" s="13">
        <f>R964+Q965</f>
        <v/>
      </c>
      <c r="S965" s="19">
        <f>S964+IF(N965="已下單",M965,0)</f>
        <v/>
      </c>
      <c r="T965" s="19">
        <f>R965-S965</f>
        <v/>
      </c>
      <c r="U965" s="2">
        <f>U964+IF(N965="已下單",1,0)</f>
        <v/>
      </c>
      <c r="V965" s="19">
        <f>IF(資金模擬!$B$9=2,MAX(R965,0),MAX(V964,FLOOR(MAX(R965,0),資金模擬!$B$6)))</f>
        <v/>
      </c>
      <c r="W965" s="13">
        <f>MAX(W964,R965)</f>
        <v/>
      </c>
      <c r="X965" s="4">
        <f>IF(W965&gt;0,R965/W965-1,-1)</f>
        <v/>
      </c>
      <c r="Y965" s="19">
        <f>IF(R965&gt;0,S965*資金模擬!$B$7/R965,0)</f>
        <v/>
      </c>
      <c r="Z965" s="2">
        <f>IF(OR(Z964=1,R965&lt;=資金模擬!$B$10),1,0)</f>
        <v/>
      </c>
    </row>
    <row r="966">
      <c r="A966" s="2" t="n">
        <v>964</v>
      </c>
      <c r="B966" s="7" t="n">
        <v>46291.08333333334</v>
      </c>
      <c r="C966" s="2" t="inlineStr">
        <is>
          <t>出場</t>
        </is>
      </c>
      <c r="D966" s="2" t="n">
        <v>483</v>
      </c>
      <c r="E966" s="2" t="inlineStr">
        <is>
          <t>AKE_USDT_PERP</t>
        </is>
      </c>
      <c r="F966" s="2" t="inlineStr">
        <is>
          <t>做空</t>
        </is>
      </c>
      <c r="G966" s="20" t="n">
        <v>0.0360825</v>
      </c>
      <c r="H966" s="20" t="n">
        <v>0.035000025</v>
      </c>
      <c r="I966" s="20" t="n">
        <v>0.03788662500000001</v>
      </c>
      <c r="J966" s="20" t="n">
        <v>0.035000025</v>
      </c>
      <c r="K966" s="2" t="inlineStr">
        <is>
          <t>止盈</t>
        </is>
      </c>
      <c r="L966" s="5">
        <f>交易明細!K484</f>
        <v/>
      </c>
      <c r="M966" s="19">
        <f>M964</f>
        <v/>
      </c>
      <c r="N966" s="2">
        <f>N964</f>
        <v/>
      </c>
      <c r="O966" s="19">
        <f>O964</f>
        <v/>
      </c>
      <c r="P966" s="4">
        <f>交易明細!L484</f>
        <v/>
      </c>
      <c r="Q966" s="13">
        <f>IF(N966="已下單",O966*P966,0)</f>
        <v/>
      </c>
      <c r="R966" s="13">
        <f>R965+Q966</f>
        <v/>
      </c>
      <c r="S966" s="19">
        <f>S965-IF(N966="已下單",M966,0)</f>
        <v/>
      </c>
      <c r="T966" s="19">
        <f>R966-S966</f>
        <v/>
      </c>
      <c r="U966" s="2">
        <f>U965-IF(N966="已下單",1,0)</f>
        <v/>
      </c>
      <c r="V966" s="19">
        <f>IF(資金模擬!$B$9=2,MAX(R966,0),MAX(V965,FLOOR(MAX(R966,0),資金模擬!$B$6)))</f>
        <v/>
      </c>
      <c r="W966" s="13">
        <f>MAX(W965,R966)</f>
        <v/>
      </c>
      <c r="X966" s="4">
        <f>IF(W966&gt;0,R966/W966-1,-1)</f>
        <v/>
      </c>
      <c r="Y966" s="19">
        <f>IF(R966&gt;0,S966*資金模擬!$B$7/R966,0)</f>
        <v/>
      </c>
      <c r="Z966" s="2">
        <f>IF(OR(Z965=1,R966&lt;=資金模擬!$B$10),1,0)</f>
        <v/>
      </c>
    </row>
    <row r="967">
      <c r="A967" s="2" t="n">
        <v>965</v>
      </c>
      <c r="B967" s="7" t="n">
        <v>46291.125</v>
      </c>
      <c r="C967" s="2" t="inlineStr">
        <is>
          <t>進場</t>
        </is>
      </c>
      <c r="D967" s="2" t="n">
        <v>485</v>
      </c>
      <c r="E967" s="2" t="inlineStr">
        <is>
          <t>PONS_USDT_PERP</t>
        </is>
      </c>
      <c r="F967" s="2" t="inlineStr">
        <is>
          <t>做多</t>
        </is>
      </c>
      <c r="G967" s="20" t="n">
        <v>0.6466</v>
      </c>
      <c r="H967" s="20" t="n">
        <v>0.665998</v>
      </c>
      <c r="I967" s="20" t="n">
        <v>0.6142699999999999</v>
      </c>
      <c r="J967" s="20" t="n"/>
      <c r="K967" s="2" t="n"/>
      <c r="L967" s="5" t="n"/>
      <c r="M967" s="19">
        <f>資金模擬!$B$5*V966</f>
        <v/>
      </c>
      <c r="N967" s="2">
        <f>IF(Z966=1,"已停止",IF(T966&gt;=M967,"已下單","資金不足略過"))</f>
        <v/>
      </c>
      <c r="O967" s="19">
        <f>IF(N967="已下單",M967*資金模擬!$B$7,0)</f>
        <v/>
      </c>
      <c r="P967" s="4" t="n"/>
      <c r="Q967" s="13" t="n">
        <v>0</v>
      </c>
      <c r="R967" s="13">
        <f>R966+Q967</f>
        <v/>
      </c>
      <c r="S967" s="19">
        <f>S966+IF(N967="已下單",M967,0)</f>
        <v/>
      </c>
      <c r="T967" s="19">
        <f>R967-S967</f>
        <v/>
      </c>
      <c r="U967" s="2">
        <f>U966+IF(N967="已下單",1,0)</f>
        <v/>
      </c>
      <c r="V967" s="19">
        <f>IF(資金模擬!$B$9=2,MAX(R967,0),MAX(V966,FLOOR(MAX(R967,0),資金模擬!$B$6)))</f>
        <v/>
      </c>
      <c r="W967" s="13">
        <f>MAX(W966,R967)</f>
        <v/>
      </c>
      <c r="X967" s="4">
        <f>IF(W967&gt;0,R967/W967-1,-1)</f>
        <v/>
      </c>
      <c r="Y967" s="19">
        <f>IF(R967&gt;0,S967*資金模擬!$B$7/R967,0)</f>
        <v/>
      </c>
      <c r="Z967" s="2">
        <f>IF(OR(Z966=1,R967&lt;=資金模擬!$B$10),1,0)</f>
        <v/>
      </c>
    </row>
    <row r="968">
      <c r="A968" s="2" t="n">
        <v>966</v>
      </c>
      <c r="B968" s="7" t="n">
        <v>46291.125</v>
      </c>
      <c r="C968" s="2" t="inlineStr">
        <is>
          <t>進場</t>
        </is>
      </c>
      <c r="D968" s="2" t="n">
        <v>486</v>
      </c>
      <c r="E968" s="2" t="inlineStr">
        <is>
          <t>XPL_USDT_PERP</t>
        </is>
      </c>
      <c r="F968" s="2" t="inlineStr">
        <is>
          <t>做多</t>
        </is>
      </c>
      <c r="G968" s="20" t="n">
        <v>0.1141</v>
      </c>
      <c r="H968" s="20" t="n">
        <v>0.117523</v>
      </c>
      <c r="I968" s="20" t="n">
        <v>0.108395</v>
      </c>
      <c r="J968" s="20" t="n"/>
      <c r="K968" s="2" t="n"/>
      <c r="L968" s="5" t="n"/>
      <c r="M968" s="19">
        <f>資金模擬!$B$5*V967</f>
        <v/>
      </c>
      <c r="N968" s="2">
        <f>IF(Z967=1,"已停止",IF(T967&gt;=M968,"已下單","資金不足略過"))</f>
        <v/>
      </c>
      <c r="O968" s="19">
        <f>IF(N968="已下單",M968*資金模擬!$B$7,0)</f>
        <v/>
      </c>
      <c r="P968" s="4" t="n"/>
      <c r="Q968" s="13" t="n">
        <v>0</v>
      </c>
      <c r="R968" s="13">
        <f>R967+Q968</f>
        <v/>
      </c>
      <c r="S968" s="19">
        <f>S967+IF(N968="已下單",M968,0)</f>
        <v/>
      </c>
      <c r="T968" s="19">
        <f>R968-S968</f>
        <v/>
      </c>
      <c r="U968" s="2">
        <f>U967+IF(N968="已下單",1,0)</f>
        <v/>
      </c>
      <c r="V968" s="19">
        <f>IF(資金模擬!$B$9=2,MAX(R968,0),MAX(V967,FLOOR(MAX(R968,0),資金模擬!$B$6)))</f>
        <v/>
      </c>
      <c r="W968" s="13">
        <f>MAX(W967,R968)</f>
        <v/>
      </c>
      <c r="X968" s="4">
        <f>IF(W968&gt;0,R968/W968-1,-1)</f>
        <v/>
      </c>
      <c r="Y968" s="19">
        <f>IF(R968&gt;0,S968*資金模擬!$B$7/R968,0)</f>
        <v/>
      </c>
      <c r="Z968" s="2">
        <f>IF(OR(Z967=1,R968&lt;=資金模擬!$B$10),1,0)</f>
        <v/>
      </c>
    </row>
    <row r="969">
      <c r="A969" s="2" t="n">
        <v>967</v>
      </c>
      <c r="B969" s="7" t="n">
        <v>46291.25</v>
      </c>
      <c r="C969" s="2" t="inlineStr">
        <is>
          <t>出場</t>
        </is>
      </c>
      <c r="D969" s="2" t="n">
        <v>479</v>
      </c>
      <c r="E969" s="2" t="inlineStr">
        <is>
          <t>INJ_USDT_PERP</t>
        </is>
      </c>
      <c r="F969" s="2" t="inlineStr">
        <is>
          <t>做多</t>
        </is>
      </c>
      <c r="G969" s="20" t="n">
        <v>8.26</v>
      </c>
      <c r="H969" s="20" t="n">
        <v>8.5078</v>
      </c>
      <c r="I969" s="20" t="n">
        <v>7.847</v>
      </c>
      <c r="J969" s="20" t="n">
        <v>7.847</v>
      </c>
      <c r="K969" s="2" t="inlineStr">
        <is>
          <t>止損</t>
        </is>
      </c>
      <c r="L969" s="5">
        <f>交易明細!K480</f>
        <v/>
      </c>
      <c r="M969" s="19">
        <f>M959</f>
        <v/>
      </c>
      <c r="N969" s="2">
        <f>N959</f>
        <v/>
      </c>
      <c r="O969" s="19">
        <f>O959</f>
        <v/>
      </c>
      <c r="P969" s="4">
        <f>交易明細!L480</f>
        <v/>
      </c>
      <c r="Q969" s="13">
        <f>IF(N969="已下單",O969*P969,0)</f>
        <v/>
      </c>
      <c r="R969" s="13">
        <f>R968+Q969</f>
        <v/>
      </c>
      <c r="S969" s="19">
        <f>S968-IF(N969="已下單",M969,0)</f>
        <v/>
      </c>
      <c r="T969" s="19">
        <f>R969-S969</f>
        <v/>
      </c>
      <c r="U969" s="2">
        <f>U968-IF(N969="已下單",1,0)</f>
        <v/>
      </c>
      <c r="V969" s="19">
        <f>IF(資金模擬!$B$9=2,MAX(R969,0),MAX(V968,FLOOR(MAX(R969,0),資金模擬!$B$6)))</f>
        <v/>
      </c>
      <c r="W969" s="13">
        <f>MAX(W968,R969)</f>
        <v/>
      </c>
      <c r="X969" s="4">
        <f>IF(W969&gt;0,R969/W969-1,-1)</f>
        <v/>
      </c>
      <c r="Y969" s="19">
        <f>IF(R969&gt;0,S969*資金模擬!$B$7/R969,0)</f>
        <v/>
      </c>
      <c r="Z969" s="2">
        <f>IF(OR(Z968=1,R969&lt;=資金模擬!$B$10),1,0)</f>
        <v/>
      </c>
    </row>
    <row r="970">
      <c r="A970" s="2" t="n">
        <v>968</v>
      </c>
      <c r="B970" s="7" t="n">
        <v>46291.25</v>
      </c>
      <c r="C970" s="2" t="inlineStr">
        <is>
          <t>進場</t>
        </is>
      </c>
      <c r="D970" s="2" t="n">
        <v>487</v>
      </c>
      <c r="E970" s="2" t="inlineStr">
        <is>
          <t>BR_USDT_PERP</t>
        </is>
      </c>
      <c r="F970" s="2" t="inlineStr">
        <is>
          <t>做多</t>
        </is>
      </c>
      <c r="G970" s="20" t="n">
        <v>0.93702</v>
      </c>
      <c r="H970" s="20" t="n">
        <v>0.9651305999999999</v>
      </c>
      <c r="I970" s="20" t="n">
        <v>0.8901689999999999</v>
      </c>
      <c r="J970" s="20" t="n"/>
      <c r="K970" s="2" t="n"/>
      <c r="L970" s="5" t="n"/>
      <c r="M970" s="19">
        <f>資金模擬!$B$5*V969</f>
        <v/>
      </c>
      <c r="N970" s="2">
        <f>IF(Z969=1,"已停止",IF(T969&gt;=M970,"已下單","資金不足略過"))</f>
        <v/>
      </c>
      <c r="O970" s="19">
        <f>IF(N970="已下單",M970*資金模擬!$B$7,0)</f>
        <v/>
      </c>
      <c r="P970" s="4" t="n"/>
      <c r="Q970" s="13" t="n">
        <v>0</v>
      </c>
      <c r="R970" s="13">
        <f>R969+Q970</f>
        <v/>
      </c>
      <c r="S970" s="19">
        <f>S969+IF(N970="已下單",M970,0)</f>
        <v/>
      </c>
      <c r="T970" s="19">
        <f>R970-S970</f>
        <v/>
      </c>
      <c r="U970" s="2">
        <f>U969+IF(N970="已下單",1,0)</f>
        <v/>
      </c>
      <c r="V970" s="19">
        <f>IF(資金模擬!$B$9=2,MAX(R970,0),MAX(V969,FLOOR(MAX(R970,0),資金模擬!$B$6)))</f>
        <v/>
      </c>
      <c r="W970" s="13">
        <f>MAX(W969,R970)</f>
        <v/>
      </c>
      <c r="X970" s="4">
        <f>IF(W970&gt;0,R970/W970-1,-1)</f>
        <v/>
      </c>
      <c r="Y970" s="19">
        <f>IF(R970&gt;0,S970*資金模擬!$B$7/R970,0)</f>
        <v/>
      </c>
      <c r="Z970" s="2">
        <f>IF(OR(Z969=1,R970&lt;=資金模擬!$B$10),1,0)</f>
        <v/>
      </c>
    </row>
    <row r="971">
      <c r="A971" s="2" t="n">
        <v>969</v>
      </c>
      <c r="B971" s="7" t="n">
        <v>46291.29166666666</v>
      </c>
      <c r="C971" s="2" t="inlineStr">
        <is>
          <t>進場</t>
        </is>
      </c>
      <c r="D971" s="2" t="n">
        <v>488</v>
      </c>
      <c r="E971" s="2" t="inlineStr">
        <is>
          <t>ARB_USDT_PERP</t>
        </is>
      </c>
      <c r="F971" s="2" t="inlineStr">
        <is>
          <t>做多</t>
        </is>
      </c>
      <c r="G971" s="20" t="n">
        <v>0.2287</v>
      </c>
      <c r="H971" s="20" t="n">
        <v>0.235561</v>
      </c>
      <c r="I971" s="20" t="n">
        <v>0.217265</v>
      </c>
      <c r="J971" s="20" t="n"/>
      <c r="K971" s="2" t="n"/>
      <c r="L971" s="5" t="n"/>
      <c r="M971" s="19">
        <f>資金模擬!$B$5*V970</f>
        <v/>
      </c>
      <c r="N971" s="2">
        <f>IF(Z970=1,"已停止",IF(T970&gt;=M971,"已下單","資金不足略過"))</f>
        <v/>
      </c>
      <c r="O971" s="19">
        <f>IF(N971="已下單",M971*資金模擬!$B$7,0)</f>
        <v/>
      </c>
      <c r="P971" s="4" t="n"/>
      <c r="Q971" s="13" t="n">
        <v>0</v>
      </c>
      <c r="R971" s="13">
        <f>R970+Q971</f>
        <v/>
      </c>
      <c r="S971" s="19">
        <f>S970+IF(N971="已下單",M971,0)</f>
        <v/>
      </c>
      <c r="T971" s="19">
        <f>R971-S971</f>
        <v/>
      </c>
      <c r="U971" s="2">
        <f>U970+IF(N971="已下單",1,0)</f>
        <v/>
      </c>
      <c r="V971" s="19">
        <f>IF(資金模擬!$B$9=2,MAX(R971,0),MAX(V970,FLOOR(MAX(R971,0),資金模擬!$B$6)))</f>
        <v/>
      </c>
      <c r="W971" s="13">
        <f>MAX(W970,R971)</f>
        <v/>
      </c>
      <c r="X971" s="4">
        <f>IF(W971&gt;0,R971/W971-1,-1)</f>
        <v/>
      </c>
      <c r="Y971" s="19">
        <f>IF(R971&gt;0,S971*資金模擬!$B$7/R971,0)</f>
        <v/>
      </c>
      <c r="Z971" s="2">
        <f>IF(OR(Z970=1,R971&lt;=資金模擬!$B$10),1,0)</f>
        <v/>
      </c>
    </row>
    <row r="972">
      <c r="A972" s="2" t="n">
        <v>970</v>
      </c>
      <c r="B972" s="7" t="n">
        <v>46291.29166666666</v>
      </c>
      <c r="C972" s="2" t="inlineStr">
        <is>
          <t>進場</t>
        </is>
      </c>
      <c r="D972" s="2" t="n">
        <v>489</v>
      </c>
      <c r="E972" s="2" t="inlineStr">
        <is>
          <t>PENGU_USDT_PERP</t>
        </is>
      </c>
      <c r="F972" s="2" t="inlineStr">
        <is>
          <t>做多</t>
        </is>
      </c>
      <c r="G972" s="20" t="n">
        <v>0.010271</v>
      </c>
      <c r="H972" s="20" t="n">
        <v>0.01057913</v>
      </c>
      <c r="I972" s="20" t="n">
        <v>0.009757450000000001</v>
      </c>
      <c r="J972" s="20" t="n"/>
      <c r="K972" s="2" t="n"/>
      <c r="L972" s="5" t="n"/>
      <c r="M972" s="19">
        <f>資金模擬!$B$5*V971</f>
        <v/>
      </c>
      <c r="N972" s="2">
        <f>IF(Z971=1,"已停止",IF(T971&gt;=M972,"已下單","資金不足略過"))</f>
        <v/>
      </c>
      <c r="O972" s="19">
        <f>IF(N972="已下單",M972*資金模擬!$B$7,0)</f>
        <v/>
      </c>
      <c r="P972" s="4" t="n"/>
      <c r="Q972" s="13" t="n">
        <v>0</v>
      </c>
      <c r="R972" s="13">
        <f>R971+Q972</f>
        <v/>
      </c>
      <c r="S972" s="19">
        <f>S971+IF(N972="已下單",M972,0)</f>
        <v/>
      </c>
      <c r="T972" s="19">
        <f>R972-S972</f>
        <v/>
      </c>
      <c r="U972" s="2">
        <f>U971+IF(N972="已下單",1,0)</f>
        <v/>
      </c>
      <c r="V972" s="19">
        <f>IF(資金模擬!$B$9=2,MAX(R972,0),MAX(V971,FLOOR(MAX(R972,0),資金模擬!$B$6)))</f>
        <v/>
      </c>
      <c r="W972" s="13">
        <f>MAX(W971,R972)</f>
        <v/>
      </c>
      <c r="X972" s="4">
        <f>IF(W972&gt;0,R972/W972-1,-1)</f>
        <v/>
      </c>
      <c r="Y972" s="19">
        <f>IF(R972&gt;0,S972*資金模擬!$B$7/R972,0)</f>
        <v/>
      </c>
      <c r="Z972" s="2">
        <f>IF(OR(Z971=1,R972&lt;=資金模擬!$B$10),1,0)</f>
        <v/>
      </c>
    </row>
    <row r="973">
      <c r="A973" s="2" t="n">
        <v>971</v>
      </c>
      <c r="B973" s="7" t="n">
        <v>46291.29166666666</v>
      </c>
      <c r="C973" s="2" t="inlineStr">
        <is>
          <t>進場</t>
        </is>
      </c>
      <c r="D973" s="2" t="n">
        <v>490</v>
      </c>
      <c r="E973" s="2" t="inlineStr">
        <is>
          <t>PUMP_USDT_PERP</t>
        </is>
      </c>
      <c r="F973" s="2" t="inlineStr">
        <is>
          <t>做多</t>
        </is>
      </c>
      <c r="G973" s="20" t="n">
        <v>0.004187</v>
      </c>
      <c r="H973" s="20" t="n">
        <v>0.00431261</v>
      </c>
      <c r="I973" s="20" t="n">
        <v>0.003977649999999999</v>
      </c>
      <c r="J973" s="20" t="n"/>
      <c r="K973" s="2" t="n"/>
      <c r="L973" s="5" t="n"/>
      <c r="M973" s="19">
        <f>資金模擬!$B$5*V972</f>
        <v/>
      </c>
      <c r="N973" s="2">
        <f>IF(Z972=1,"已停止",IF(T972&gt;=M973,"已下單","資金不足略過"))</f>
        <v/>
      </c>
      <c r="O973" s="19">
        <f>IF(N973="已下單",M973*資金模擬!$B$7,0)</f>
        <v/>
      </c>
      <c r="P973" s="4" t="n"/>
      <c r="Q973" s="13" t="n">
        <v>0</v>
      </c>
      <c r="R973" s="13">
        <f>R972+Q973</f>
        <v/>
      </c>
      <c r="S973" s="19">
        <f>S972+IF(N973="已下單",M973,0)</f>
        <v/>
      </c>
      <c r="T973" s="19">
        <f>R973-S973</f>
        <v/>
      </c>
      <c r="U973" s="2">
        <f>U972+IF(N973="已下單",1,0)</f>
        <v/>
      </c>
      <c r="V973" s="19">
        <f>IF(資金模擬!$B$9=2,MAX(R973,0),MAX(V972,FLOOR(MAX(R973,0),資金模擬!$B$6)))</f>
        <v/>
      </c>
      <c r="W973" s="13">
        <f>MAX(W972,R973)</f>
        <v/>
      </c>
      <c r="X973" s="4">
        <f>IF(W973&gt;0,R973/W973-1,-1)</f>
        <v/>
      </c>
      <c r="Y973" s="19">
        <f>IF(R973&gt;0,S973*資金模擬!$B$7/R973,0)</f>
        <v/>
      </c>
      <c r="Z973" s="2">
        <f>IF(OR(Z972=1,R973&lt;=資金模擬!$B$10),1,0)</f>
        <v/>
      </c>
    </row>
    <row r="974">
      <c r="A974" s="2" t="n">
        <v>972</v>
      </c>
      <c r="B974" s="7" t="n">
        <v>46291.375</v>
      </c>
      <c r="C974" s="2" t="inlineStr">
        <is>
          <t>出場</t>
        </is>
      </c>
      <c r="D974" s="2" t="n">
        <v>485</v>
      </c>
      <c r="E974" s="2" t="inlineStr">
        <is>
          <t>PONS_USDT_PERP</t>
        </is>
      </c>
      <c r="F974" s="2" t="inlineStr">
        <is>
          <t>做多</t>
        </is>
      </c>
      <c r="G974" s="20" t="n">
        <v>0.6466</v>
      </c>
      <c r="H974" s="20" t="n">
        <v>0.665998</v>
      </c>
      <c r="I974" s="20" t="n">
        <v>0.6142699999999999</v>
      </c>
      <c r="J974" s="20" t="n">
        <v>0.665998</v>
      </c>
      <c r="K974" s="2" t="inlineStr">
        <is>
          <t>止盈</t>
        </is>
      </c>
      <c r="L974" s="5">
        <f>交易明細!K486</f>
        <v/>
      </c>
      <c r="M974" s="19">
        <f>M967</f>
        <v/>
      </c>
      <c r="N974" s="2">
        <f>N967</f>
        <v/>
      </c>
      <c r="O974" s="19">
        <f>O967</f>
        <v/>
      </c>
      <c r="P974" s="4">
        <f>交易明細!L486</f>
        <v/>
      </c>
      <c r="Q974" s="13">
        <f>IF(N974="已下單",O974*P974,0)</f>
        <v/>
      </c>
      <c r="R974" s="13">
        <f>R973+Q974</f>
        <v/>
      </c>
      <c r="S974" s="19">
        <f>S973-IF(N974="已下單",M974,0)</f>
        <v/>
      </c>
      <c r="T974" s="19">
        <f>R974-S974</f>
        <v/>
      </c>
      <c r="U974" s="2">
        <f>U973-IF(N974="已下單",1,0)</f>
        <v/>
      </c>
      <c r="V974" s="19">
        <f>IF(資金模擬!$B$9=2,MAX(R974,0),MAX(V973,FLOOR(MAX(R974,0),資金模擬!$B$6)))</f>
        <v/>
      </c>
      <c r="W974" s="13">
        <f>MAX(W973,R974)</f>
        <v/>
      </c>
      <c r="X974" s="4">
        <f>IF(W974&gt;0,R974/W974-1,-1)</f>
        <v/>
      </c>
      <c r="Y974" s="19">
        <f>IF(R974&gt;0,S974*資金模擬!$B$7/R974,0)</f>
        <v/>
      </c>
      <c r="Z974" s="2">
        <f>IF(OR(Z973=1,R974&lt;=資金模擬!$B$10),1,0)</f>
        <v/>
      </c>
    </row>
    <row r="975">
      <c r="A975" s="2" t="n">
        <v>973</v>
      </c>
      <c r="B975" s="7" t="n">
        <v>46291.375</v>
      </c>
      <c r="C975" s="2" t="inlineStr">
        <is>
          <t>出場</t>
        </is>
      </c>
      <c r="D975" s="2" t="n">
        <v>487</v>
      </c>
      <c r="E975" s="2" t="inlineStr">
        <is>
          <t>BR_USDT_PERP</t>
        </is>
      </c>
      <c r="F975" s="2" t="inlineStr">
        <is>
          <t>做多</t>
        </is>
      </c>
      <c r="G975" s="20" t="n">
        <v>0.93702</v>
      </c>
      <c r="H975" s="20" t="n">
        <v>0.9651305999999999</v>
      </c>
      <c r="I975" s="20" t="n">
        <v>0.8901689999999999</v>
      </c>
      <c r="J975" s="20" t="n">
        <v>0.9651305999999999</v>
      </c>
      <c r="K975" s="2" t="inlineStr">
        <is>
          <t>止盈</t>
        </is>
      </c>
      <c r="L975" s="5">
        <f>交易明細!K488</f>
        <v/>
      </c>
      <c r="M975" s="19">
        <f>M970</f>
        <v/>
      </c>
      <c r="N975" s="2">
        <f>N970</f>
        <v/>
      </c>
      <c r="O975" s="19">
        <f>O970</f>
        <v/>
      </c>
      <c r="P975" s="4">
        <f>交易明細!L488</f>
        <v/>
      </c>
      <c r="Q975" s="13">
        <f>IF(N975="已下單",O975*P975,0)</f>
        <v/>
      </c>
      <c r="R975" s="13">
        <f>R974+Q975</f>
        <v/>
      </c>
      <c r="S975" s="19">
        <f>S974-IF(N975="已下單",M975,0)</f>
        <v/>
      </c>
      <c r="T975" s="19">
        <f>R975-S975</f>
        <v/>
      </c>
      <c r="U975" s="2">
        <f>U974-IF(N975="已下單",1,0)</f>
        <v/>
      </c>
      <c r="V975" s="19">
        <f>IF(資金模擬!$B$9=2,MAX(R975,0),MAX(V974,FLOOR(MAX(R975,0),資金模擬!$B$6)))</f>
        <v/>
      </c>
      <c r="W975" s="13">
        <f>MAX(W974,R975)</f>
        <v/>
      </c>
      <c r="X975" s="4">
        <f>IF(W975&gt;0,R975/W975-1,-1)</f>
        <v/>
      </c>
      <c r="Y975" s="19">
        <f>IF(R975&gt;0,S975*資金模擬!$B$7/R975,0)</f>
        <v/>
      </c>
      <c r="Z975" s="2">
        <f>IF(OR(Z974=1,R975&lt;=資金模擬!$B$10),1,0)</f>
        <v/>
      </c>
    </row>
    <row r="976">
      <c r="A976" s="2" t="n">
        <v>974</v>
      </c>
      <c r="B976" s="7" t="n">
        <v>46291.41666666666</v>
      </c>
      <c r="C976" s="2" t="inlineStr">
        <is>
          <t>進場</t>
        </is>
      </c>
      <c r="D976" s="2" t="n">
        <v>491</v>
      </c>
      <c r="E976" s="2" t="inlineStr">
        <is>
          <t>AERO_USDT_PERP</t>
        </is>
      </c>
      <c r="F976" s="2" t="inlineStr">
        <is>
          <t>做多</t>
        </is>
      </c>
      <c r="G976" s="20" t="n">
        <v>0.8534</v>
      </c>
      <c r="H976" s="20" t="n">
        <v>0.8790020000000001</v>
      </c>
      <c r="I976" s="20" t="n">
        <v>0.8107300000000001</v>
      </c>
      <c r="J976" s="20" t="n"/>
      <c r="K976" s="2" t="n"/>
      <c r="L976" s="5" t="n"/>
      <c r="M976" s="19">
        <f>資金模擬!$B$5*V975</f>
        <v/>
      </c>
      <c r="N976" s="2">
        <f>IF(Z975=1,"已停止",IF(T975&gt;=M976,"已下單","資金不足略過"))</f>
        <v/>
      </c>
      <c r="O976" s="19">
        <f>IF(N976="已下單",M976*資金模擬!$B$7,0)</f>
        <v/>
      </c>
      <c r="P976" s="4" t="n"/>
      <c r="Q976" s="13" t="n">
        <v>0</v>
      </c>
      <c r="R976" s="13">
        <f>R975+Q976</f>
        <v/>
      </c>
      <c r="S976" s="19">
        <f>S975+IF(N976="已下單",M976,0)</f>
        <v/>
      </c>
      <c r="T976" s="19">
        <f>R976-S976</f>
        <v/>
      </c>
      <c r="U976" s="2">
        <f>U975+IF(N976="已下單",1,0)</f>
        <v/>
      </c>
      <c r="V976" s="19">
        <f>IF(資金模擬!$B$9=2,MAX(R976,0),MAX(V975,FLOOR(MAX(R976,0),資金模擬!$B$6)))</f>
        <v/>
      </c>
      <c r="W976" s="13">
        <f>MAX(W975,R976)</f>
        <v/>
      </c>
      <c r="X976" s="4">
        <f>IF(W976&gt;0,R976/W976-1,-1)</f>
        <v/>
      </c>
      <c r="Y976" s="19">
        <f>IF(R976&gt;0,S976*資金模擬!$B$7/R976,0)</f>
        <v/>
      </c>
      <c r="Z976" s="2">
        <f>IF(OR(Z975=1,R976&lt;=資金模擬!$B$10),1,0)</f>
        <v/>
      </c>
    </row>
    <row r="977">
      <c r="A977" s="2" t="n">
        <v>975</v>
      </c>
      <c r="B977" s="7" t="n">
        <v>46291.41666666666</v>
      </c>
      <c r="C977" s="2" t="inlineStr">
        <is>
          <t>進場</t>
        </is>
      </c>
      <c r="D977" s="2" t="n">
        <v>492</v>
      </c>
      <c r="E977" s="2" t="inlineStr">
        <is>
          <t>LYN_USDT_PERP</t>
        </is>
      </c>
      <c r="F977" s="2" t="inlineStr">
        <is>
          <t>做空</t>
        </is>
      </c>
      <c r="G977" s="20" t="n">
        <v>0.04466</v>
      </c>
      <c r="H977" s="20" t="n">
        <v>0.0433202</v>
      </c>
      <c r="I977" s="20" t="n">
        <v>0.046893</v>
      </c>
      <c r="J977" s="20" t="n"/>
      <c r="K977" s="2" t="n"/>
      <c r="L977" s="5" t="n"/>
      <c r="M977" s="19">
        <f>資金模擬!$B$5*V976</f>
        <v/>
      </c>
      <c r="N977" s="2">
        <f>IF(Z976=1,"已停止",IF(T976&gt;=M977,"已下單","資金不足略過"))</f>
        <v/>
      </c>
      <c r="O977" s="19">
        <f>IF(N977="已下單",M977*資金模擬!$B$7,0)</f>
        <v/>
      </c>
      <c r="P977" s="4" t="n"/>
      <c r="Q977" s="13" t="n">
        <v>0</v>
      </c>
      <c r="R977" s="13">
        <f>R976+Q977</f>
        <v/>
      </c>
      <c r="S977" s="19">
        <f>S976+IF(N977="已下單",M977,0)</f>
        <v/>
      </c>
      <c r="T977" s="19">
        <f>R977-S977</f>
        <v/>
      </c>
      <c r="U977" s="2">
        <f>U976+IF(N977="已下單",1,0)</f>
        <v/>
      </c>
      <c r="V977" s="19">
        <f>IF(資金模擬!$B$9=2,MAX(R977,0),MAX(V976,FLOOR(MAX(R977,0),資金模擬!$B$6)))</f>
        <v/>
      </c>
      <c r="W977" s="13">
        <f>MAX(W976,R977)</f>
        <v/>
      </c>
      <c r="X977" s="4">
        <f>IF(W977&gt;0,R977/W977-1,-1)</f>
        <v/>
      </c>
      <c r="Y977" s="19">
        <f>IF(R977&gt;0,S977*資金模擬!$B$7/R977,0)</f>
        <v/>
      </c>
      <c r="Z977" s="2">
        <f>IF(OR(Z976=1,R977&lt;=資金模擬!$B$10),1,0)</f>
        <v/>
      </c>
    </row>
    <row r="978">
      <c r="A978" s="2" t="n">
        <v>976</v>
      </c>
      <c r="B978" s="7" t="n">
        <v>46291.45833333334</v>
      </c>
      <c r="C978" s="2" t="inlineStr">
        <is>
          <t>出場</t>
        </is>
      </c>
      <c r="D978" s="2" t="n">
        <v>481</v>
      </c>
      <c r="E978" s="2" t="inlineStr">
        <is>
          <t>RAY_USDT_PERP</t>
        </is>
      </c>
      <c r="F978" s="2" t="inlineStr">
        <is>
          <t>做空</t>
        </is>
      </c>
      <c r="G978" s="20" t="n">
        <v>2.056</v>
      </c>
      <c r="H978" s="20" t="n">
        <v>1.99432</v>
      </c>
      <c r="I978" s="20" t="n">
        <v>2.1588</v>
      </c>
      <c r="J978" s="20" t="n">
        <v>1.99432</v>
      </c>
      <c r="K978" s="2" t="inlineStr">
        <is>
          <t>止盈</t>
        </is>
      </c>
      <c r="L978" s="5">
        <f>交易明細!K482</f>
        <v/>
      </c>
      <c r="M978" s="19">
        <f>M961</f>
        <v/>
      </c>
      <c r="N978" s="2">
        <f>N961</f>
        <v/>
      </c>
      <c r="O978" s="19">
        <f>O961</f>
        <v/>
      </c>
      <c r="P978" s="4">
        <f>交易明細!L482</f>
        <v/>
      </c>
      <c r="Q978" s="13">
        <f>IF(N978="已下單",O978*P978,0)</f>
        <v/>
      </c>
      <c r="R978" s="13">
        <f>R977+Q978</f>
        <v/>
      </c>
      <c r="S978" s="19">
        <f>S977-IF(N978="已下單",M978,0)</f>
        <v/>
      </c>
      <c r="T978" s="19">
        <f>R978-S978</f>
        <v/>
      </c>
      <c r="U978" s="2">
        <f>U977-IF(N978="已下單",1,0)</f>
        <v/>
      </c>
      <c r="V978" s="19">
        <f>IF(資金模擬!$B$9=2,MAX(R978,0),MAX(V977,FLOOR(MAX(R978,0),資金模擬!$B$6)))</f>
        <v/>
      </c>
      <c r="W978" s="13">
        <f>MAX(W977,R978)</f>
        <v/>
      </c>
      <c r="X978" s="4">
        <f>IF(W978&gt;0,R978/W978-1,-1)</f>
        <v/>
      </c>
      <c r="Y978" s="19">
        <f>IF(R978&gt;0,S978*資金模擬!$B$7/R978,0)</f>
        <v/>
      </c>
      <c r="Z978" s="2">
        <f>IF(OR(Z977=1,R978&lt;=資金模擬!$B$10),1,0)</f>
        <v/>
      </c>
    </row>
    <row r="979">
      <c r="A979" s="2" t="n">
        <v>977</v>
      </c>
      <c r="B979" s="7" t="n">
        <v>46291.45833333334</v>
      </c>
      <c r="C979" s="2" t="inlineStr">
        <is>
          <t>出場</t>
        </is>
      </c>
      <c r="D979" s="2" t="n">
        <v>490</v>
      </c>
      <c r="E979" s="2" t="inlineStr">
        <is>
          <t>PUMP_USDT_PERP</t>
        </is>
      </c>
      <c r="F979" s="2" t="inlineStr">
        <is>
          <t>做多</t>
        </is>
      </c>
      <c r="G979" s="20" t="n">
        <v>0.004187</v>
      </c>
      <c r="H979" s="20" t="n">
        <v>0.00431261</v>
      </c>
      <c r="I979" s="20" t="n">
        <v>0.003977649999999999</v>
      </c>
      <c r="J979" s="20" t="n">
        <v>0.00431261</v>
      </c>
      <c r="K979" s="2" t="inlineStr">
        <is>
          <t>止盈</t>
        </is>
      </c>
      <c r="L979" s="5">
        <f>交易明細!K491</f>
        <v/>
      </c>
      <c r="M979" s="19">
        <f>M973</f>
        <v/>
      </c>
      <c r="N979" s="2">
        <f>N973</f>
        <v/>
      </c>
      <c r="O979" s="19">
        <f>O973</f>
        <v/>
      </c>
      <c r="P979" s="4">
        <f>交易明細!L491</f>
        <v/>
      </c>
      <c r="Q979" s="13">
        <f>IF(N979="已下單",O979*P979,0)</f>
        <v/>
      </c>
      <c r="R979" s="13">
        <f>R978+Q979</f>
        <v/>
      </c>
      <c r="S979" s="19">
        <f>S978-IF(N979="已下單",M979,0)</f>
        <v/>
      </c>
      <c r="T979" s="19">
        <f>R979-S979</f>
        <v/>
      </c>
      <c r="U979" s="2">
        <f>U978-IF(N979="已下單",1,0)</f>
        <v/>
      </c>
      <c r="V979" s="19">
        <f>IF(資金模擬!$B$9=2,MAX(R979,0),MAX(V978,FLOOR(MAX(R979,0),資金模擬!$B$6)))</f>
        <v/>
      </c>
      <c r="W979" s="13">
        <f>MAX(W978,R979)</f>
        <v/>
      </c>
      <c r="X979" s="4">
        <f>IF(W979&gt;0,R979/W979-1,-1)</f>
        <v/>
      </c>
      <c r="Y979" s="19">
        <f>IF(R979&gt;0,S979*資金模擬!$B$7/R979,0)</f>
        <v/>
      </c>
      <c r="Z979" s="2">
        <f>IF(OR(Z978=1,R979&lt;=資金模擬!$B$10),1,0)</f>
        <v/>
      </c>
    </row>
    <row r="980">
      <c r="A980" s="2" t="n">
        <v>978</v>
      </c>
      <c r="B980" s="7" t="n">
        <v>46291.45833333334</v>
      </c>
      <c r="C980" s="2" t="inlineStr">
        <is>
          <t>出場</t>
        </is>
      </c>
      <c r="D980" s="2" t="n">
        <v>491</v>
      </c>
      <c r="E980" s="2" t="inlineStr">
        <is>
          <t>AERO_USDT_PERP</t>
        </is>
      </c>
      <c r="F980" s="2" t="inlineStr">
        <is>
          <t>做多</t>
        </is>
      </c>
      <c r="G980" s="20" t="n">
        <v>0.8534</v>
      </c>
      <c r="H980" s="20" t="n">
        <v>0.8790020000000001</v>
      </c>
      <c r="I980" s="20" t="n">
        <v>0.8107300000000001</v>
      </c>
      <c r="J980" s="20" t="n">
        <v>0.8790020000000001</v>
      </c>
      <c r="K980" s="2" t="inlineStr">
        <is>
          <t>止盈</t>
        </is>
      </c>
      <c r="L980" s="5">
        <f>交易明細!K492</f>
        <v/>
      </c>
      <c r="M980" s="19">
        <f>M976</f>
        <v/>
      </c>
      <c r="N980" s="2">
        <f>N976</f>
        <v/>
      </c>
      <c r="O980" s="19">
        <f>O976</f>
        <v/>
      </c>
      <c r="P980" s="4">
        <f>交易明細!L492</f>
        <v/>
      </c>
      <c r="Q980" s="13">
        <f>IF(N980="已下單",O980*P980,0)</f>
        <v/>
      </c>
      <c r="R980" s="13">
        <f>R979+Q980</f>
        <v/>
      </c>
      <c r="S980" s="19">
        <f>S979-IF(N980="已下單",M980,0)</f>
        <v/>
      </c>
      <c r="T980" s="19">
        <f>R980-S980</f>
        <v/>
      </c>
      <c r="U980" s="2">
        <f>U979-IF(N980="已下單",1,0)</f>
        <v/>
      </c>
      <c r="V980" s="19">
        <f>IF(資金模擬!$B$9=2,MAX(R980,0),MAX(V979,FLOOR(MAX(R980,0),資金模擬!$B$6)))</f>
        <v/>
      </c>
      <c r="W980" s="13">
        <f>MAX(W979,R980)</f>
        <v/>
      </c>
      <c r="X980" s="4">
        <f>IF(W980&gt;0,R980/W980-1,-1)</f>
        <v/>
      </c>
      <c r="Y980" s="19">
        <f>IF(R980&gt;0,S980*資金模擬!$B$7/R980,0)</f>
        <v/>
      </c>
      <c r="Z980" s="2">
        <f>IF(OR(Z979=1,R980&lt;=資金模擬!$B$10),1,0)</f>
        <v/>
      </c>
    </row>
    <row r="981">
      <c r="A981" s="2" t="n">
        <v>979</v>
      </c>
      <c r="B981" s="7" t="n">
        <v>46291.45833333334</v>
      </c>
      <c r="C981" s="2" t="inlineStr">
        <is>
          <t>出場</t>
        </is>
      </c>
      <c r="D981" s="2" t="n">
        <v>492</v>
      </c>
      <c r="E981" s="2" t="inlineStr">
        <is>
          <t>LYN_USDT_PERP</t>
        </is>
      </c>
      <c r="F981" s="2" t="inlineStr">
        <is>
          <t>做空</t>
        </is>
      </c>
      <c r="G981" s="20" t="n">
        <v>0.04466</v>
      </c>
      <c r="H981" s="20" t="n">
        <v>0.0433202</v>
      </c>
      <c r="I981" s="20" t="n">
        <v>0.046893</v>
      </c>
      <c r="J981" s="20" t="n">
        <v>0.0433202</v>
      </c>
      <c r="K981" s="2" t="inlineStr">
        <is>
          <t>止盈</t>
        </is>
      </c>
      <c r="L981" s="5">
        <f>交易明細!K493</f>
        <v/>
      </c>
      <c r="M981" s="19">
        <f>M977</f>
        <v/>
      </c>
      <c r="N981" s="2">
        <f>N977</f>
        <v/>
      </c>
      <c r="O981" s="19">
        <f>O977</f>
        <v/>
      </c>
      <c r="P981" s="4">
        <f>交易明細!L493</f>
        <v/>
      </c>
      <c r="Q981" s="13">
        <f>IF(N981="已下單",O981*P981,0)</f>
        <v/>
      </c>
      <c r="R981" s="13">
        <f>R980+Q981</f>
        <v/>
      </c>
      <c r="S981" s="19">
        <f>S980-IF(N981="已下單",M981,0)</f>
        <v/>
      </c>
      <c r="T981" s="19">
        <f>R981-S981</f>
        <v/>
      </c>
      <c r="U981" s="2">
        <f>U980-IF(N981="已下單",1,0)</f>
        <v/>
      </c>
      <c r="V981" s="19">
        <f>IF(資金模擬!$B$9=2,MAX(R981,0),MAX(V980,FLOOR(MAX(R981,0),資金模擬!$B$6)))</f>
        <v/>
      </c>
      <c r="W981" s="13">
        <f>MAX(W980,R981)</f>
        <v/>
      </c>
      <c r="X981" s="4">
        <f>IF(W981&gt;0,R981/W981-1,-1)</f>
        <v/>
      </c>
      <c r="Y981" s="19">
        <f>IF(R981&gt;0,S981*資金模擬!$B$7/R981,0)</f>
        <v/>
      </c>
      <c r="Z981" s="2">
        <f>IF(OR(Z980=1,R981&lt;=資金模擬!$B$10),1,0)</f>
        <v/>
      </c>
    </row>
    <row r="982">
      <c r="A982" s="2" t="n">
        <v>980</v>
      </c>
      <c r="B982" s="7" t="n">
        <v>46291.5</v>
      </c>
      <c r="C982" s="2" t="inlineStr">
        <is>
          <t>出場</t>
        </is>
      </c>
      <c r="D982" s="2" t="n">
        <v>484</v>
      </c>
      <c r="E982" s="2" t="inlineStr">
        <is>
          <t>QNT_USDT_PERP</t>
        </is>
      </c>
      <c r="F982" s="2" t="inlineStr">
        <is>
          <t>做多</t>
        </is>
      </c>
      <c r="G982" s="20" t="n">
        <v>97.95999999999999</v>
      </c>
      <c r="H982" s="20" t="n">
        <v>100.8988</v>
      </c>
      <c r="I982" s="20" t="n">
        <v>93.06199999999998</v>
      </c>
      <c r="J982" s="20" t="n">
        <v>100.8988</v>
      </c>
      <c r="K982" s="2" t="inlineStr">
        <is>
          <t>止盈</t>
        </is>
      </c>
      <c r="L982" s="5">
        <f>交易明細!K485</f>
        <v/>
      </c>
      <c r="M982" s="19">
        <f>M965</f>
        <v/>
      </c>
      <c r="N982" s="2">
        <f>N965</f>
        <v/>
      </c>
      <c r="O982" s="19">
        <f>O965</f>
        <v/>
      </c>
      <c r="P982" s="4">
        <f>交易明細!L485</f>
        <v/>
      </c>
      <c r="Q982" s="13">
        <f>IF(N982="已下單",O982*P982,0)</f>
        <v/>
      </c>
      <c r="R982" s="13">
        <f>R981+Q982</f>
        <v/>
      </c>
      <c r="S982" s="19">
        <f>S981-IF(N982="已下單",M982,0)</f>
        <v/>
      </c>
      <c r="T982" s="19">
        <f>R982-S982</f>
        <v/>
      </c>
      <c r="U982" s="2">
        <f>U981-IF(N982="已下單",1,0)</f>
        <v/>
      </c>
      <c r="V982" s="19">
        <f>IF(資金模擬!$B$9=2,MAX(R982,0),MAX(V981,FLOOR(MAX(R982,0),資金模擬!$B$6)))</f>
        <v/>
      </c>
      <c r="W982" s="13">
        <f>MAX(W981,R982)</f>
        <v/>
      </c>
      <c r="X982" s="4">
        <f>IF(W982&gt;0,R982/W982-1,-1)</f>
        <v/>
      </c>
      <c r="Y982" s="19">
        <f>IF(R982&gt;0,S982*資金模擬!$B$7/R982,0)</f>
        <v/>
      </c>
      <c r="Z982" s="2">
        <f>IF(OR(Z981=1,R982&lt;=資金模擬!$B$10),1,0)</f>
        <v/>
      </c>
    </row>
    <row r="983">
      <c r="A983" s="2" t="n">
        <v>981</v>
      </c>
      <c r="B983" s="7" t="n">
        <v>46291.54166666666</v>
      </c>
      <c r="C983" s="2" t="inlineStr">
        <is>
          <t>進場</t>
        </is>
      </c>
      <c r="D983" s="2" t="n">
        <v>493</v>
      </c>
      <c r="E983" s="2" t="inlineStr">
        <is>
          <t>FET_USDT_PERP</t>
        </is>
      </c>
      <c r="F983" s="2" t="inlineStr">
        <is>
          <t>做多</t>
        </is>
      </c>
      <c r="G983" s="20" t="n">
        <v>0.2468</v>
      </c>
      <c r="H983" s="20" t="n">
        <v>0.254204</v>
      </c>
      <c r="I983" s="20" t="n">
        <v>0.23446</v>
      </c>
      <c r="J983" s="20" t="n"/>
      <c r="K983" s="2" t="n"/>
      <c r="L983" s="5" t="n"/>
      <c r="M983" s="19">
        <f>資金模擬!$B$5*V982</f>
        <v/>
      </c>
      <c r="N983" s="2">
        <f>IF(Z982=1,"已停止",IF(T982&gt;=M983,"已下單","資金不足略過"))</f>
        <v/>
      </c>
      <c r="O983" s="19">
        <f>IF(N983="已下單",M983*資金模擬!$B$7,0)</f>
        <v/>
      </c>
      <c r="P983" s="4" t="n"/>
      <c r="Q983" s="13" t="n">
        <v>0</v>
      </c>
      <c r="R983" s="13">
        <f>R982+Q983</f>
        <v/>
      </c>
      <c r="S983" s="19">
        <f>S982+IF(N983="已下單",M983,0)</f>
        <v/>
      </c>
      <c r="T983" s="19">
        <f>R983-S983</f>
        <v/>
      </c>
      <c r="U983" s="2">
        <f>U982+IF(N983="已下單",1,0)</f>
        <v/>
      </c>
      <c r="V983" s="19">
        <f>IF(資金模擬!$B$9=2,MAX(R983,0),MAX(V982,FLOOR(MAX(R983,0),資金模擬!$B$6)))</f>
        <v/>
      </c>
      <c r="W983" s="13">
        <f>MAX(W982,R983)</f>
        <v/>
      </c>
      <c r="X983" s="4">
        <f>IF(W983&gt;0,R983/W983-1,-1)</f>
        <v/>
      </c>
      <c r="Y983" s="19">
        <f>IF(R983&gt;0,S983*資金模擬!$B$7/R983,0)</f>
        <v/>
      </c>
      <c r="Z983" s="2">
        <f>IF(OR(Z982=1,R983&lt;=資金模擬!$B$10),1,0)</f>
        <v/>
      </c>
    </row>
    <row r="984">
      <c r="A984" s="2" t="n">
        <v>982</v>
      </c>
      <c r="B984" s="7" t="n">
        <v>46291.58333333334</v>
      </c>
      <c r="C984" s="2" t="inlineStr">
        <is>
          <t>進場</t>
        </is>
      </c>
      <c r="D984" s="2" t="n">
        <v>494</v>
      </c>
      <c r="E984" s="2" t="inlineStr">
        <is>
          <t>QNT_USDT_PERP</t>
        </is>
      </c>
      <c r="F984" s="2" t="inlineStr">
        <is>
          <t>做多</t>
        </is>
      </c>
      <c r="G984" s="20" t="n">
        <v>100.72</v>
      </c>
      <c r="H984" s="20" t="n">
        <v>103.7416</v>
      </c>
      <c r="I984" s="20" t="n">
        <v>95.684</v>
      </c>
      <c r="J984" s="20" t="n"/>
      <c r="K984" s="2" t="n"/>
      <c r="L984" s="5" t="n"/>
      <c r="M984" s="19">
        <f>資金模擬!$B$5*V983</f>
        <v/>
      </c>
      <c r="N984" s="2">
        <f>IF(Z983=1,"已停止",IF(T983&gt;=M984,"已下單","資金不足略過"))</f>
        <v/>
      </c>
      <c r="O984" s="19">
        <f>IF(N984="已下單",M984*資金模擬!$B$7,0)</f>
        <v/>
      </c>
      <c r="P984" s="4" t="n"/>
      <c r="Q984" s="13" t="n">
        <v>0</v>
      </c>
      <c r="R984" s="13">
        <f>R983+Q984</f>
        <v/>
      </c>
      <c r="S984" s="19">
        <f>S983+IF(N984="已下單",M984,0)</f>
        <v/>
      </c>
      <c r="T984" s="19">
        <f>R984-S984</f>
        <v/>
      </c>
      <c r="U984" s="2">
        <f>U983+IF(N984="已下單",1,0)</f>
        <v/>
      </c>
      <c r="V984" s="19">
        <f>IF(資金模擬!$B$9=2,MAX(R984,0),MAX(V983,FLOOR(MAX(R984,0),資金模擬!$B$6)))</f>
        <v/>
      </c>
      <c r="W984" s="13">
        <f>MAX(W983,R984)</f>
        <v/>
      </c>
      <c r="X984" s="4">
        <f>IF(W984&gt;0,R984/W984-1,-1)</f>
        <v/>
      </c>
      <c r="Y984" s="19">
        <f>IF(R984&gt;0,S984*資金模擬!$B$7/R984,0)</f>
        <v/>
      </c>
      <c r="Z984" s="2">
        <f>IF(OR(Z983=1,R984&lt;=資金模擬!$B$10),1,0)</f>
        <v/>
      </c>
    </row>
    <row r="985">
      <c r="A985" s="2" t="n">
        <v>983</v>
      </c>
      <c r="B985" s="7" t="n">
        <v>46291.625</v>
      </c>
      <c r="C985" s="2" t="inlineStr">
        <is>
          <t>出場</t>
        </is>
      </c>
      <c r="D985" s="2" t="n">
        <v>494</v>
      </c>
      <c r="E985" s="2" t="inlineStr">
        <is>
          <t>QNT_USDT_PERP</t>
        </is>
      </c>
      <c r="F985" s="2" t="inlineStr">
        <is>
          <t>做多</t>
        </is>
      </c>
      <c r="G985" s="20" t="n">
        <v>100.72</v>
      </c>
      <c r="H985" s="20" t="n">
        <v>103.7416</v>
      </c>
      <c r="I985" s="20" t="n">
        <v>95.684</v>
      </c>
      <c r="J985" s="20" t="n">
        <v>103.7416</v>
      </c>
      <c r="K985" s="2" t="inlineStr">
        <is>
          <t>止盈</t>
        </is>
      </c>
      <c r="L985" s="5">
        <f>交易明細!K495</f>
        <v/>
      </c>
      <c r="M985" s="19">
        <f>M984</f>
        <v/>
      </c>
      <c r="N985" s="2">
        <f>N984</f>
        <v/>
      </c>
      <c r="O985" s="19">
        <f>O984</f>
        <v/>
      </c>
      <c r="P985" s="4">
        <f>交易明細!L495</f>
        <v/>
      </c>
      <c r="Q985" s="13">
        <f>IF(N985="已下單",O985*P985,0)</f>
        <v/>
      </c>
      <c r="R985" s="13">
        <f>R984+Q985</f>
        <v/>
      </c>
      <c r="S985" s="19">
        <f>S984-IF(N985="已下單",M985,0)</f>
        <v/>
      </c>
      <c r="T985" s="19">
        <f>R985-S985</f>
        <v/>
      </c>
      <c r="U985" s="2">
        <f>U984-IF(N985="已下單",1,0)</f>
        <v/>
      </c>
      <c r="V985" s="19">
        <f>IF(資金模擬!$B$9=2,MAX(R985,0),MAX(V984,FLOOR(MAX(R985,0),資金模擬!$B$6)))</f>
        <v/>
      </c>
      <c r="W985" s="13">
        <f>MAX(W984,R985)</f>
        <v/>
      </c>
      <c r="X985" s="4">
        <f>IF(W985&gt;0,R985/W985-1,-1)</f>
        <v/>
      </c>
      <c r="Y985" s="19">
        <f>IF(R985&gt;0,S985*資金模擬!$B$7/R985,0)</f>
        <v/>
      </c>
      <c r="Z985" s="2">
        <f>IF(OR(Z984=1,R985&lt;=資金模擬!$B$10),1,0)</f>
        <v/>
      </c>
    </row>
    <row r="986">
      <c r="A986" s="2" t="n">
        <v>984</v>
      </c>
      <c r="B986" s="7" t="n">
        <v>46291.625</v>
      </c>
      <c r="C986" s="2" t="inlineStr">
        <is>
          <t>進場</t>
        </is>
      </c>
      <c r="D986" s="2" t="n">
        <v>495</v>
      </c>
      <c r="E986" s="2" t="inlineStr">
        <is>
          <t>MUBARAK_USDT_PERP</t>
        </is>
      </c>
      <c r="F986" s="2" t="inlineStr">
        <is>
          <t>做空</t>
        </is>
      </c>
      <c r="G986" s="20" t="n">
        <v>0.05304</v>
      </c>
      <c r="H986" s="20" t="n">
        <v>0.0514488</v>
      </c>
      <c r="I986" s="20" t="n">
        <v>0.055692</v>
      </c>
      <c r="J986" s="20" t="n"/>
      <c r="K986" s="2" t="n"/>
      <c r="L986" s="5" t="n"/>
      <c r="M986" s="19">
        <f>資金模擬!$B$5*V985</f>
        <v/>
      </c>
      <c r="N986" s="2">
        <f>IF(Z985=1,"已停止",IF(T985&gt;=M986,"已下單","資金不足略過"))</f>
        <v/>
      </c>
      <c r="O986" s="19">
        <f>IF(N986="已下單",M986*資金模擬!$B$7,0)</f>
        <v/>
      </c>
      <c r="P986" s="4" t="n"/>
      <c r="Q986" s="13" t="n">
        <v>0</v>
      </c>
      <c r="R986" s="13">
        <f>R985+Q986</f>
        <v/>
      </c>
      <c r="S986" s="19">
        <f>S985+IF(N986="已下單",M986,0)</f>
        <v/>
      </c>
      <c r="T986" s="19">
        <f>R986-S986</f>
        <v/>
      </c>
      <c r="U986" s="2">
        <f>U985+IF(N986="已下單",1,0)</f>
        <v/>
      </c>
      <c r="V986" s="19">
        <f>IF(資金模擬!$B$9=2,MAX(R986,0),MAX(V985,FLOOR(MAX(R986,0),資金模擬!$B$6)))</f>
        <v/>
      </c>
      <c r="W986" s="13">
        <f>MAX(W985,R986)</f>
        <v/>
      </c>
      <c r="X986" s="4">
        <f>IF(W986&gt;0,R986/W986-1,-1)</f>
        <v/>
      </c>
      <c r="Y986" s="19">
        <f>IF(R986&gt;0,S986*資金模擬!$B$7/R986,0)</f>
        <v/>
      </c>
      <c r="Z986" s="2">
        <f>IF(OR(Z985=1,R986&lt;=資金模擬!$B$10),1,0)</f>
        <v/>
      </c>
    </row>
    <row r="987">
      <c r="A987" s="2" t="n">
        <v>985</v>
      </c>
      <c r="B987" s="7" t="n">
        <v>46291.66666666666</v>
      </c>
      <c r="C987" s="2" t="inlineStr">
        <is>
          <t>進場</t>
        </is>
      </c>
      <c r="D987" s="2" t="n">
        <v>496</v>
      </c>
      <c r="E987" s="2" t="inlineStr">
        <is>
          <t>AKE_USDT_PERP</t>
        </is>
      </c>
      <c r="F987" s="2" t="inlineStr">
        <is>
          <t>做多</t>
        </is>
      </c>
      <c r="G987" s="20" t="n">
        <v>0.0360925</v>
      </c>
      <c r="H987" s="20" t="n">
        <v>0.037175275</v>
      </c>
      <c r="I987" s="20" t="n">
        <v>0.034287875</v>
      </c>
      <c r="J987" s="20" t="n"/>
      <c r="K987" s="2" t="n"/>
      <c r="L987" s="5" t="n"/>
      <c r="M987" s="19">
        <f>資金模擬!$B$5*V986</f>
        <v/>
      </c>
      <c r="N987" s="2">
        <f>IF(Z986=1,"已停止",IF(T986&gt;=M987,"已下單","資金不足略過"))</f>
        <v/>
      </c>
      <c r="O987" s="19">
        <f>IF(N987="已下單",M987*資金模擬!$B$7,0)</f>
        <v/>
      </c>
      <c r="P987" s="4" t="n"/>
      <c r="Q987" s="13" t="n">
        <v>0</v>
      </c>
      <c r="R987" s="13">
        <f>R986+Q987</f>
        <v/>
      </c>
      <c r="S987" s="19">
        <f>S986+IF(N987="已下單",M987,0)</f>
        <v/>
      </c>
      <c r="T987" s="19">
        <f>R987-S987</f>
        <v/>
      </c>
      <c r="U987" s="2">
        <f>U986+IF(N987="已下單",1,0)</f>
        <v/>
      </c>
      <c r="V987" s="19">
        <f>IF(資金模擬!$B$9=2,MAX(R987,0),MAX(V986,FLOOR(MAX(R987,0),資金模擬!$B$6)))</f>
        <v/>
      </c>
      <c r="W987" s="13">
        <f>MAX(W986,R987)</f>
        <v/>
      </c>
      <c r="X987" s="4">
        <f>IF(W987&gt;0,R987/W987-1,-1)</f>
        <v/>
      </c>
      <c r="Y987" s="19">
        <f>IF(R987&gt;0,S987*資金模擬!$B$7/R987,0)</f>
        <v/>
      </c>
      <c r="Z987" s="2">
        <f>IF(OR(Z986=1,R987&lt;=資金模擬!$B$10),1,0)</f>
        <v/>
      </c>
    </row>
    <row r="988">
      <c r="A988" s="2" t="n">
        <v>986</v>
      </c>
      <c r="B988" s="7" t="n">
        <v>46291.66666666666</v>
      </c>
      <c r="C988" s="2" t="inlineStr">
        <is>
          <t>進場</t>
        </is>
      </c>
      <c r="D988" s="2" t="n">
        <v>497</v>
      </c>
      <c r="E988" s="2" t="inlineStr">
        <is>
          <t>ENA_USDT_PERP</t>
        </is>
      </c>
      <c r="F988" s="2" t="inlineStr">
        <is>
          <t>做多</t>
        </is>
      </c>
      <c r="G988" s="20" t="n">
        <v>0.2716</v>
      </c>
      <c r="H988" s="20" t="n">
        <v>0.279748</v>
      </c>
      <c r="I988" s="20" t="n">
        <v>0.25802</v>
      </c>
      <c r="J988" s="20" t="n"/>
      <c r="K988" s="2" t="n"/>
      <c r="L988" s="5" t="n"/>
      <c r="M988" s="19">
        <f>資金模擬!$B$5*V987</f>
        <v/>
      </c>
      <c r="N988" s="2">
        <f>IF(Z987=1,"已停止",IF(T987&gt;=M988,"已下單","資金不足略過"))</f>
        <v/>
      </c>
      <c r="O988" s="19">
        <f>IF(N988="已下單",M988*資金模擬!$B$7,0)</f>
        <v/>
      </c>
      <c r="P988" s="4" t="n"/>
      <c r="Q988" s="13" t="n">
        <v>0</v>
      </c>
      <c r="R988" s="13">
        <f>R987+Q988</f>
        <v/>
      </c>
      <c r="S988" s="19">
        <f>S987+IF(N988="已下單",M988,0)</f>
        <v/>
      </c>
      <c r="T988" s="19">
        <f>R988-S988</f>
        <v/>
      </c>
      <c r="U988" s="2">
        <f>U987+IF(N988="已下單",1,0)</f>
        <v/>
      </c>
      <c r="V988" s="19">
        <f>IF(資金模擬!$B$9=2,MAX(R988,0),MAX(V987,FLOOR(MAX(R988,0),資金模擬!$B$6)))</f>
        <v/>
      </c>
      <c r="W988" s="13">
        <f>MAX(W987,R988)</f>
        <v/>
      </c>
      <c r="X988" s="4">
        <f>IF(W988&gt;0,R988/W988-1,-1)</f>
        <v/>
      </c>
      <c r="Y988" s="19">
        <f>IF(R988&gt;0,S988*資金模擬!$B$7/R988,0)</f>
        <v/>
      </c>
      <c r="Z988" s="2">
        <f>IF(OR(Z987=1,R988&lt;=資金模擬!$B$10),1,0)</f>
        <v/>
      </c>
    </row>
    <row r="989">
      <c r="A989" s="2" t="n">
        <v>987</v>
      </c>
      <c r="B989" s="7" t="n">
        <v>46291.66666666666</v>
      </c>
      <c r="C989" s="2" t="inlineStr">
        <is>
          <t>進場</t>
        </is>
      </c>
      <c r="D989" s="2" t="n">
        <v>498</v>
      </c>
      <c r="E989" s="2" t="inlineStr">
        <is>
          <t>SAGA_USDT_PERP</t>
        </is>
      </c>
      <c r="F989" s="2" t="inlineStr">
        <is>
          <t>做空</t>
        </is>
      </c>
      <c r="G989" s="20" t="n">
        <v>0.03453</v>
      </c>
      <c r="H989" s="20" t="n">
        <v>0.0334941</v>
      </c>
      <c r="I989" s="20" t="n">
        <v>0.0362565</v>
      </c>
      <c r="J989" s="20" t="n"/>
      <c r="K989" s="2" t="n"/>
      <c r="L989" s="5" t="n"/>
      <c r="M989" s="19">
        <f>資金模擬!$B$5*V988</f>
        <v/>
      </c>
      <c r="N989" s="2">
        <f>IF(Z988=1,"已停止",IF(T988&gt;=M989,"已下單","資金不足略過"))</f>
        <v/>
      </c>
      <c r="O989" s="19">
        <f>IF(N989="已下單",M989*資金模擬!$B$7,0)</f>
        <v/>
      </c>
      <c r="P989" s="4" t="n"/>
      <c r="Q989" s="13" t="n">
        <v>0</v>
      </c>
      <c r="R989" s="13">
        <f>R988+Q989</f>
        <v/>
      </c>
      <c r="S989" s="19">
        <f>S988+IF(N989="已下單",M989,0)</f>
        <v/>
      </c>
      <c r="T989" s="19">
        <f>R989-S989</f>
        <v/>
      </c>
      <c r="U989" s="2">
        <f>U988+IF(N989="已下單",1,0)</f>
        <v/>
      </c>
      <c r="V989" s="19">
        <f>IF(資金模擬!$B$9=2,MAX(R989,0),MAX(V988,FLOOR(MAX(R989,0),資金模擬!$B$6)))</f>
        <v/>
      </c>
      <c r="W989" s="13">
        <f>MAX(W988,R989)</f>
        <v/>
      </c>
      <c r="X989" s="4">
        <f>IF(W989&gt;0,R989/W989-1,-1)</f>
        <v/>
      </c>
      <c r="Y989" s="19">
        <f>IF(R989&gt;0,S989*資金模擬!$B$7/R989,0)</f>
        <v/>
      </c>
      <c r="Z989" s="2">
        <f>IF(OR(Z988=1,R989&lt;=資金模擬!$B$10),1,0)</f>
        <v/>
      </c>
    </row>
    <row r="990">
      <c r="A990" s="2" t="n">
        <v>988</v>
      </c>
      <c r="B990" s="7" t="n">
        <v>46291.70833333334</v>
      </c>
      <c r="C990" s="2" t="inlineStr">
        <is>
          <t>出場</t>
        </is>
      </c>
      <c r="D990" s="2" t="n">
        <v>486</v>
      </c>
      <c r="E990" s="2" t="inlineStr">
        <is>
          <t>XPL_USDT_PERP</t>
        </is>
      </c>
      <c r="F990" s="2" t="inlineStr">
        <is>
          <t>做多</t>
        </is>
      </c>
      <c r="G990" s="20" t="n">
        <v>0.1141</v>
      </c>
      <c r="H990" s="20" t="n">
        <v>0.117523</v>
      </c>
      <c r="I990" s="20" t="n">
        <v>0.108395</v>
      </c>
      <c r="J990" s="20" t="n">
        <v>0.117523</v>
      </c>
      <c r="K990" s="2" t="inlineStr">
        <is>
          <t>止盈</t>
        </is>
      </c>
      <c r="L990" s="5">
        <f>交易明細!K487</f>
        <v/>
      </c>
      <c r="M990" s="19">
        <f>M968</f>
        <v/>
      </c>
      <c r="N990" s="2">
        <f>N968</f>
        <v/>
      </c>
      <c r="O990" s="19">
        <f>O968</f>
        <v/>
      </c>
      <c r="P990" s="4">
        <f>交易明細!L487</f>
        <v/>
      </c>
      <c r="Q990" s="13">
        <f>IF(N990="已下單",O990*P990,0)</f>
        <v/>
      </c>
      <c r="R990" s="13">
        <f>R989+Q990</f>
        <v/>
      </c>
      <c r="S990" s="19">
        <f>S989-IF(N990="已下單",M990,0)</f>
        <v/>
      </c>
      <c r="T990" s="19">
        <f>R990-S990</f>
        <v/>
      </c>
      <c r="U990" s="2">
        <f>U989-IF(N990="已下單",1,0)</f>
        <v/>
      </c>
      <c r="V990" s="19">
        <f>IF(資金模擬!$B$9=2,MAX(R990,0),MAX(V989,FLOOR(MAX(R990,0),資金模擬!$B$6)))</f>
        <v/>
      </c>
      <c r="W990" s="13">
        <f>MAX(W989,R990)</f>
        <v/>
      </c>
      <c r="X990" s="4">
        <f>IF(W990&gt;0,R990/W990-1,-1)</f>
        <v/>
      </c>
      <c r="Y990" s="19">
        <f>IF(R990&gt;0,S990*資金模擬!$B$7/R990,0)</f>
        <v/>
      </c>
      <c r="Z990" s="2">
        <f>IF(OR(Z989=1,R990&lt;=資金模擬!$B$10),1,0)</f>
        <v/>
      </c>
    </row>
    <row r="991">
      <c r="A991" s="2" t="n">
        <v>989</v>
      </c>
      <c r="B991" s="7" t="n">
        <v>46291.70833333334</v>
      </c>
      <c r="C991" s="2" t="inlineStr">
        <is>
          <t>出場</t>
        </is>
      </c>
      <c r="D991" s="2" t="n">
        <v>496</v>
      </c>
      <c r="E991" s="2" t="inlineStr">
        <is>
          <t>AKE_USDT_PERP</t>
        </is>
      </c>
      <c r="F991" s="2" t="inlineStr">
        <is>
          <t>做多</t>
        </is>
      </c>
      <c r="G991" s="20" t="n">
        <v>0.0360925</v>
      </c>
      <c r="H991" s="20" t="n">
        <v>0.037175275</v>
      </c>
      <c r="I991" s="20" t="n">
        <v>0.034287875</v>
      </c>
      <c r="J991" s="20" t="n">
        <v>0.034287875</v>
      </c>
      <c r="K991" s="2" t="inlineStr">
        <is>
          <t>止損</t>
        </is>
      </c>
      <c r="L991" s="5">
        <f>交易明細!K497</f>
        <v/>
      </c>
      <c r="M991" s="19">
        <f>M987</f>
        <v/>
      </c>
      <c r="N991" s="2">
        <f>N987</f>
        <v/>
      </c>
      <c r="O991" s="19">
        <f>O987</f>
        <v/>
      </c>
      <c r="P991" s="4">
        <f>交易明細!L497</f>
        <v/>
      </c>
      <c r="Q991" s="13">
        <f>IF(N991="已下單",O991*P991,0)</f>
        <v/>
      </c>
      <c r="R991" s="13">
        <f>R990+Q991</f>
        <v/>
      </c>
      <c r="S991" s="19">
        <f>S990-IF(N991="已下單",M991,0)</f>
        <v/>
      </c>
      <c r="T991" s="19">
        <f>R991-S991</f>
        <v/>
      </c>
      <c r="U991" s="2">
        <f>U990-IF(N991="已下單",1,0)</f>
        <v/>
      </c>
      <c r="V991" s="19">
        <f>IF(資金模擬!$B$9=2,MAX(R991,0),MAX(V990,FLOOR(MAX(R991,0),資金模擬!$B$6)))</f>
        <v/>
      </c>
      <c r="W991" s="13">
        <f>MAX(W990,R991)</f>
        <v/>
      </c>
      <c r="X991" s="4">
        <f>IF(W991&gt;0,R991/W991-1,-1)</f>
        <v/>
      </c>
      <c r="Y991" s="19">
        <f>IF(R991&gt;0,S991*資金模擬!$B$7/R991,0)</f>
        <v/>
      </c>
      <c r="Z991" s="2">
        <f>IF(OR(Z990=1,R991&lt;=資金模擬!$B$10),1,0)</f>
        <v/>
      </c>
    </row>
    <row r="992">
      <c r="A992" s="2" t="n">
        <v>990</v>
      </c>
      <c r="B992" s="7" t="n">
        <v>46291.70833333334</v>
      </c>
      <c r="C992" s="2" t="inlineStr">
        <is>
          <t>出場</t>
        </is>
      </c>
      <c r="D992" s="2" t="n">
        <v>498</v>
      </c>
      <c r="E992" s="2" t="inlineStr">
        <is>
          <t>SAGA_USDT_PERP</t>
        </is>
      </c>
      <c r="F992" s="2" t="inlineStr">
        <is>
          <t>做空</t>
        </is>
      </c>
      <c r="G992" s="20" t="n">
        <v>0.03453</v>
      </c>
      <c r="H992" s="20" t="n">
        <v>0.0334941</v>
      </c>
      <c r="I992" s="20" t="n">
        <v>0.0362565</v>
      </c>
      <c r="J992" s="20" t="n">
        <v>0.0334941</v>
      </c>
      <c r="K992" s="2" t="inlineStr">
        <is>
          <t>止盈</t>
        </is>
      </c>
      <c r="L992" s="5">
        <f>交易明細!K499</f>
        <v/>
      </c>
      <c r="M992" s="19">
        <f>M989</f>
        <v/>
      </c>
      <c r="N992" s="2">
        <f>N989</f>
        <v/>
      </c>
      <c r="O992" s="19">
        <f>O989</f>
        <v/>
      </c>
      <c r="P992" s="4">
        <f>交易明細!L499</f>
        <v/>
      </c>
      <c r="Q992" s="13">
        <f>IF(N992="已下單",O992*P992,0)</f>
        <v/>
      </c>
      <c r="R992" s="13">
        <f>R991+Q992</f>
        <v/>
      </c>
      <c r="S992" s="19">
        <f>S991-IF(N992="已下單",M992,0)</f>
        <v/>
      </c>
      <c r="T992" s="19">
        <f>R992-S992</f>
        <v/>
      </c>
      <c r="U992" s="2">
        <f>U991-IF(N992="已下單",1,0)</f>
        <v/>
      </c>
      <c r="V992" s="19">
        <f>IF(資金模擬!$B$9=2,MAX(R992,0),MAX(V991,FLOOR(MAX(R992,0),資金模擬!$B$6)))</f>
        <v/>
      </c>
      <c r="W992" s="13">
        <f>MAX(W991,R992)</f>
        <v/>
      </c>
      <c r="X992" s="4">
        <f>IF(W992&gt;0,R992/W992-1,-1)</f>
        <v/>
      </c>
      <c r="Y992" s="19">
        <f>IF(R992&gt;0,S992*資金模擬!$B$7/R992,0)</f>
        <v/>
      </c>
      <c r="Z992" s="2">
        <f>IF(OR(Z991=1,R992&lt;=資金模擬!$B$10),1,0)</f>
        <v/>
      </c>
    </row>
    <row r="993">
      <c r="A993" s="2" t="n">
        <v>991</v>
      </c>
      <c r="B993" s="7" t="n">
        <v>46291.70833333334</v>
      </c>
      <c r="C993" s="2" t="inlineStr">
        <is>
          <t>進場</t>
        </is>
      </c>
      <c r="D993" s="2" t="n">
        <v>499</v>
      </c>
      <c r="E993" s="2" t="inlineStr">
        <is>
          <t>AERO_USDT_PERP</t>
        </is>
      </c>
      <c r="F993" s="2" t="inlineStr">
        <is>
          <t>做多</t>
        </is>
      </c>
      <c r="G993" s="20" t="n">
        <v>0.9006999999999999</v>
      </c>
      <c r="H993" s="20" t="n">
        <v>0.927721</v>
      </c>
      <c r="I993" s="20" t="n">
        <v>0.8556649999999999</v>
      </c>
      <c r="J993" s="20" t="n"/>
      <c r="K993" s="2" t="n"/>
      <c r="L993" s="5" t="n"/>
      <c r="M993" s="19">
        <f>資金模擬!$B$5*V992</f>
        <v/>
      </c>
      <c r="N993" s="2">
        <f>IF(Z992=1,"已停止",IF(T992&gt;=M993,"已下單","資金不足略過"))</f>
        <v/>
      </c>
      <c r="O993" s="19">
        <f>IF(N993="已下單",M993*資金模擬!$B$7,0)</f>
        <v/>
      </c>
      <c r="P993" s="4" t="n"/>
      <c r="Q993" s="13" t="n">
        <v>0</v>
      </c>
      <c r="R993" s="13">
        <f>R992+Q993</f>
        <v/>
      </c>
      <c r="S993" s="19">
        <f>S992+IF(N993="已下單",M993,0)</f>
        <v/>
      </c>
      <c r="T993" s="19">
        <f>R993-S993</f>
        <v/>
      </c>
      <c r="U993" s="2">
        <f>U992+IF(N993="已下單",1,0)</f>
        <v/>
      </c>
      <c r="V993" s="19">
        <f>IF(資金模擬!$B$9=2,MAX(R993,0),MAX(V992,FLOOR(MAX(R993,0),資金模擬!$B$6)))</f>
        <v/>
      </c>
      <c r="W993" s="13">
        <f>MAX(W992,R993)</f>
        <v/>
      </c>
      <c r="X993" s="4">
        <f>IF(W993&gt;0,R993/W993-1,-1)</f>
        <v/>
      </c>
      <c r="Y993" s="19">
        <f>IF(R993&gt;0,S993*資金模擬!$B$7/R993,0)</f>
        <v/>
      </c>
      <c r="Z993" s="2">
        <f>IF(OR(Z992=1,R993&lt;=資金模擬!$B$10),1,0)</f>
        <v/>
      </c>
    </row>
    <row r="994">
      <c r="A994" s="2" t="n">
        <v>992</v>
      </c>
      <c r="B994" s="7" t="n">
        <v>46291.70833333334</v>
      </c>
      <c r="C994" s="2" t="inlineStr">
        <is>
          <t>進場</t>
        </is>
      </c>
      <c r="D994" s="2" t="n">
        <v>500</v>
      </c>
      <c r="E994" s="2" t="inlineStr">
        <is>
          <t>USELESS_USDT_PERP</t>
        </is>
      </c>
      <c r="F994" s="2" t="inlineStr">
        <is>
          <t>做空</t>
        </is>
      </c>
      <c r="G994" s="20" t="n">
        <v>0.28291</v>
      </c>
      <c r="H994" s="20" t="n">
        <v>0.2744227</v>
      </c>
      <c r="I994" s="20" t="n">
        <v>0.2970555</v>
      </c>
      <c r="J994" s="20" t="n"/>
      <c r="K994" s="2" t="n"/>
      <c r="L994" s="5" t="n"/>
      <c r="M994" s="19">
        <f>資金模擬!$B$5*V993</f>
        <v/>
      </c>
      <c r="N994" s="2">
        <f>IF(Z993=1,"已停止",IF(T993&gt;=M994,"已下單","資金不足略過"))</f>
        <v/>
      </c>
      <c r="O994" s="19">
        <f>IF(N994="已下單",M994*資金模擬!$B$7,0)</f>
        <v/>
      </c>
      <c r="P994" s="4" t="n"/>
      <c r="Q994" s="13" t="n">
        <v>0</v>
      </c>
      <c r="R994" s="13">
        <f>R993+Q994</f>
        <v/>
      </c>
      <c r="S994" s="19">
        <f>S993+IF(N994="已下單",M994,0)</f>
        <v/>
      </c>
      <c r="T994" s="19">
        <f>R994-S994</f>
        <v/>
      </c>
      <c r="U994" s="2">
        <f>U993+IF(N994="已下單",1,0)</f>
        <v/>
      </c>
      <c r="V994" s="19">
        <f>IF(資金模擬!$B$9=2,MAX(R994,0),MAX(V993,FLOOR(MAX(R994,0),資金模擬!$B$6)))</f>
        <v/>
      </c>
      <c r="W994" s="13">
        <f>MAX(W993,R994)</f>
        <v/>
      </c>
      <c r="X994" s="4">
        <f>IF(W994&gt;0,R994/W994-1,-1)</f>
        <v/>
      </c>
      <c r="Y994" s="19">
        <f>IF(R994&gt;0,S994*資金模擬!$B$7/R994,0)</f>
        <v/>
      </c>
      <c r="Z994" s="2">
        <f>IF(OR(Z993=1,R994&lt;=資金模擬!$B$10),1,0)</f>
        <v/>
      </c>
    </row>
    <row r="995">
      <c r="A995" s="2" t="n">
        <v>993</v>
      </c>
      <c r="B995" s="7" t="n">
        <v>46291.75</v>
      </c>
      <c r="C995" s="2" t="inlineStr">
        <is>
          <t>出場</t>
        </is>
      </c>
      <c r="D995" s="2" t="n">
        <v>488</v>
      </c>
      <c r="E995" s="2" t="inlineStr">
        <is>
          <t>ARB_USDT_PERP</t>
        </is>
      </c>
      <c r="F995" s="2" t="inlineStr">
        <is>
          <t>做多</t>
        </is>
      </c>
      <c r="G995" s="20" t="n">
        <v>0.2287</v>
      </c>
      <c r="H995" s="20" t="n">
        <v>0.235561</v>
      </c>
      <c r="I995" s="20" t="n">
        <v>0.217265</v>
      </c>
      <c r="J995" s="20" t="n">
        <v>0.217265</v>
      </c>
      <c r="K995" s="2" t="inlineStr">
        <is>
          <t>止損</t>
        </is>
      </c>
      <c r="L995" s="5">
        <f>交易明細!K489</f>
        <v/>
      </c>
      <c r="M995" s="19">
        <f>M971</f>
        <v/>
      </c>
      <c r="N995" s="2">
        <f>N971</f>
        <v/>
      </c>
      <c r="O995" s="19">
        <f>O971</f>
        <v/>
      </c>
      <c r="P995" s="4">
        <f>交易明細!L489</f>
        <v/>
      </c>
      <c r="Q995" s="13">
        <f>IF(N995="已下單",O995*P995,0)</f>
        <v/>
      </c>
      <c r="R995" s="13">
        <f>R994+Q995</f>
        <v/>
      </c>
      <c r="S995" s="19">
        <f>S994-IF(N995="已下單",M995,0)</f>
        <v/>
      </c>
      <c r="T995" s="19">
        <f>R995-S995</f>
        <v/>
      </c>
      <c r="U995" s="2">
        <f>U994-IF(N995="已下單",1,0)</f>
        <v/>
      </c>
      <c r="V995" s="19">
        <f>IF(資金模擬!$B$9=2,MAX(R995,0),MAX(V994,FLOOR(MAX(R995,0),資金模擬!$B$6)))</f>
        <v/>
      </c>
      <c r="W995" s="13">
        <f>MAX(W994,R995)</f>
        <v/>
      </c>
      <c r="X995" s="4">
        <f>IF(W995&gt;0,R995/W995-1,-1)</f>
        <v/>
      </c>
      <c r="Y995" s="19">
        <f>IF(R995&gt;0,S995*資金模擬!$B$7/R995,0)</f>
        <v/>
      </c>
      <c r="Z995" s="2">
        <f>IF(OR(Z994=1,R995&lt;=資金模擬!$B$10),1,0)</f>
        <v/>
      </c>
    </row>
    <row r="996">
      <c r="A996" s="2" t="n">
        <v>994</v>
      </c>
      <c r="B996" s="7" t="n">
        <v>46291.75</v>
      </c>
      <c r="C996" s="2" t="inlineStr">
        <is>
          <t>出場</t>
        </is>
      </c>
      <c r="D996" s="2" t="n">
        <v>495</v>
      </c>
      <c r="E996" s="2" t="inlineStr">
        <is>
          <t>MUBARAK_USDT_PERP</t>
        </is>
      </c>
      <c r="F996" s="2" t="inlineStr">
        <is>
          <t>做空</t>
        </is>
      </c>
      <c r="G996" s="20" t="n">
        <v>0.05304</v>
      </c>
      <c r="H996" s="20" t="n">
        <v>0.0514488</v>
      </c>
      <c r="I996" s="20" t="n">
        <v>0.055692</v>
      </c>
      <c r="J996" s="20" t="n">
        <v>0.055692</v>
      </c>
      <c r="K996" s="2" t="inlineStr">
        <is>
          <t>止損</t>
        </is>
      </c>
      <c r="L996" s="5">
        <f>交易明細!K496</f>
        <v/>
      </c>
      <c r="M996" s="19">
        <f>M986</f>
        <v/>
      </c>
      <c r="N996" s="2">
        <f>N986</f>
        <v/>
      </c>
      <c r="O996" s="19">
        <f>O986</f>
        <v/>
      </c>
      <c r="P996" s="4">
        <f>交易明細!L496</f>
        <v/>
      </c>
      <c r="Q996" s="13">
        <f>IF(N996="已下單",O996*P996,0)</f>
        <v/>
      </c>
      <c r="R996" s="13">
        <f>R995+Q996</f>
        <v/>
      </c>
      <c r="S996" s="19">
        <f>S995-IF(N996="已下單",M996,0)</f>
        <v/>
      </c>
      <c r="T996" s="19">
        <f>R996-S996</f>
        <v/>
      </c>
      <c r="U996" s="2">
        <f>U995-IF(N996="已下單",1,0)</f>
        <v/>
      </c>
      <c r="V996" s="19">
        <f>IF(資金模擬!$B$9=2,MAX(R996,0),MAX(V995,FLOOR(MAX(R996,0),資金模擬!$B$6)))</f>
        <v/>
      </c>
      <c r="W996" s="13">
        <f>MAX(W995,R996)</f>
        <v/>
      </c>
      <c r="X996" s="4">
        <f>IF(W996&gt;0,R996/W996-1,-1)</f>
        <v/>
      </c>
      <c r="Y996" s="19">
        <f>IF(R996&gt;0,S996*資金模擬!$B$7/R996,0)</f>
        <v/>
      </c>
      <c r="Z996" s="2">
        <f>IF(OR(Z995=1,R996&lt;=資金模擬!$B$10),1,0)</f>
        <v/>
      </c>
    </row>
    <row r="997">
      <c r="A997" s="2" t="n">
        <v>995</v>
      </c>
      <c r="B997" s="7" t="n">
        <v>46291.75</v>
      </c>
      <c r="C997" s="2" t="inlineStr">
        <is>
          <t>出場</t>
        </is>
      </c>
      <c r="D997" s="2" t="n">
        <v>497</v>
      </c>
      <c r="E997" s="2" t="inlineStr">
        <is>
          <t>ENA_USDT_PERP</t>
        </is>
      </c>
      <c r="F997" s="2" t="inlineStr">
        <is>
          <t>做多</t>
        </is>
      </c>
      <c r="G997" s="20" t="n">
        <v>0.2716</v>
      </c>
      <c r="H997" s="20" t="n">
        <v>0.279748</v>
      </c>
      <c r="I997" s="20" t="n">
        <v>0.25802</v>
      </c>
      <c r="J997" s="20" t="n">
        <v>0.279748</v>
      </c>
      <c r="K997" s="2" t="inlineStr">
        <is>
          <t>止盈</t>
        </is>
      </c>
      <c r="L997" s="5">
        <f>交易明細!K498</f>
        <v/>
      </c>
      <c r="M997" s="19">
        <f>M988</f>
        <v/>
      </c>
      <c r="N997" s="2">
        <f>N988</f>
        <v/>
      </c>
      <c r="O997" s="19">
        <f>O988</f>
        <v/>
      </c>
      <c r="P997" s="4">
        <f>交易明細!L498</f>
        <v/>
      </c>
      <c r="Q997" s="13">
        <f>IF(N997="已下單",O997*P997,0)</f>
        <v/>
      </c>
      <c r="R997" s="13">
        <f>R996+Q997</f>
        <v/>
      </c>
      <c r="S997" s="19">
        <f>S996-IF(N997="已下單",M997,0)</f>
        <v/>
      </c>
      <c r="T997" s="19">
        <f>R997-S997</f>
        <v/>
      </c>
      <c r="U997" s="2">
        <f>U996-IF(N997="已下單",1,0)</f>
        <v/>
      </c>
      <c r="V997" s="19">
        <f>IF(資金模擬!$B$9=2,MAX(R997,0),MAX(V996,FLOOR(MAX(R997,0),資金模擬!$B$6)))</f>
        <v/>
      </c>
      <c r="W997" s="13">
        <f>MAX(W996,R997)</f>
        <v/>
      </c>
      <c r="X997" s="4">
        <f>IF(W997&gt;0,R997/W997-1,-1)</f>
        <v/>
      </c>
      <c r="Y997" s="19">
        <f>IF(R997&gt;0,S997*資金模擬!$B$7/R997,0)</f>
        <v/>
      </c>
      <c r="Z997" s="2">
        <f>IF(OR(Z996=1,R997&lt;=資金模擬!$B$10),1,0)</f>
        <v/>
      </c>
    </row>
    <row r="998">
      <c r="A998" s="2" t="n">
        <v>996</v>
      </c>
      <c r="B998" s="7" t="n">
        <v>46291.75</v>
      </c>
      <c r="C998" s="2" t="inlineStr">
        <is>
          <t>出場</t>
        </is>
      </c>
      <c r="D998" s="2" t="n">
        <v>500</v>
      </c>
      <c r="E998" s="2" t="inlineStr">
        <is>
          <t>USELESS_USDT_PERP</t>
        </is>
      </c>
      <c r="F998" s="2" t="inlineStr">
        <is>
          <t>做空</t>
        </is>
      </c>
      <c r="G998" s="20" t="n">
        <v>0.28291</v>
      </c>
      <c r="H998" s="20" t="n">
        <v>0.2744227</v>
      </c>
      <c r="I998" s="20" t="n">
        <v>0.2970555</v>
      </c>
      <c r="J998" s="20" t="n">
        <v>0.2744227</v>
      </c>
      <c r="K998" s="2" t="inlineStr">
        <is>
          <t>止盈</t>
        </is>
      </c>
      <c r="L998" s="5">
        <f>交易明細!K501</f>
        <v/>
      </c>
      <c r="M998" s="19">
        <f>M994</f>
        <v/>
      </c>
      <c r="N998" s="2">
        <f>N994</f>
        <v/>
      </c>
      <c r="O998" s="19">
        <f>O994</f>
        <v/>
      </c>
      <c r="P998" s="4">
        <f>交易明細!L501</f>
        <v/>
      </c>
      <c r="Q998" s="13">
        <f>IF(N998="已下單",O998*P998,0)</f>
        <v/>
      </c>
      <c r="R998" s="13">
        <f>R997+Q998</f>
        <v/>
      </c>
      <c r="S998" s="19">
        <f>S997-IF(N998="已下單",M998,0)</f>
        <v/>
      </c>
      <c r="T998" s="19">
        <f>R998-S998</f>
        <v/>
      </c>
      <c r="U998" s="2">
        <f>U997-IF(N998="已下單",1,0)</f>
        <v/>
      </c>
      <c r="V998" s="19">
        <f>IF(資金模擬!$B$9=2,MAX(R998,0),MAX(V997,FLOOR(MAX(R998,0),資金模擬!$B$6)))</f>
        <v/>
      </c>
      <c r="W998" s="13">
        <f>MAX(W997,R998)</f>
        <v/>
      </c>
      <c r="X998" s="4">
        <f>IF(W998&gt;0,R998/W998-1,-1)</f>
        <v/>
      </c>
      <c r="Y998" s="19">
        <f>IF(R998&gt;0,S998*資金模擬!$B$7/R998,0)</f>
        <v/>
      </c>
      <c r="Z998" s="2">
        <f>IF(OR(Z997=1,R998&lt;=資金模擬!$B$10),1,0)</f>
        <v/>
      </c>
    </row>
    <row r="999">
      <c r="A999" s="2" t="n">
        <v>997</v>
      </c>
      <c r="B999" s="7" t="n">
        <v>46291.79166666666</v>
      </c>
      <c r="C999" s="2" t="inlineStr">
        <is>
          <t>出場</t>
        </is>
      </c>
      <c r="D999" s="2" t="n">
        <v>482</v>
      </c>
      <c r="E999" s="2" t="inlineStr">
        <is>
          <t>ONDO_USDT_PERP</t>
        </is>
      </c>
      <c r="F999" s="2" t="inlineStr">
        <is>
          <t>做空</t>
        </is>
      </c>
      <c r="G999" s="20" t="n">
        <v>0.5331</v>
      </c>
      <c r="H999" s="20" t="n">
        <v>0.517107</v>
      </c>
      <c r="I999" s="20" t="n">
        <v>0.559755</v>
      </c>
      <c r="J999" s="20" t="n">
        <v>0.559755</v>
      </c>
      <c r="K999" s="2" t="inlineStr">
        <is>
          <t>止損</t>
        </is>
      </c>
      <c r="L999" s="5">
        <f>交易明細!K483</f>
        <v/>
      </c>
      <c r="M999" s="19">
        <f>M963</f>
        <v/>
      </c>
      <c r="N999" s="2">
        <f>N963</f>
        <v/>
      </c>
      <c r="O999" s="19">
        <f>O963</f>
        <v/>
      </c>
      <c r="P999" s="4">
        <f>交易明細!L483</f>
        <v/>
      </c>
      <c r="Q999" s="13">
        <f>IF(N999="已下單",O999*P999,0)</f>
        <v/>
      </c>
      <c r="R999" s="13">
        <f>R998+Q999</f>
        <v/>
      </c>
      <c r="S999" s="19">
        <f>S998-IF(N999="已下單",M999,0)</f>
        <v/>
      </c>
      <c r="T999" s="19">
        <f>R999-S999</f>
        <v/>
      </c>
      <c r="U999" s="2">
        <f>U998-IF(N999="已下單",1,0)</f>
        <v/>
      </c>
      <c r="V999" s="19">
        <f>IF(資金模擬!$B$9=2,MAX(R999,0),MAX(V998,FLOOR(MAX(R999,0),資金模擬!$B$6)))</f>
        <v/>
      </c>
      <c r="W999" s="13">
        <f>MAX(W998,R999)</f>
        <v/>
      </c>
      <c r="X999" s="4">
        <f>IF(W999&gt;0,R999/W999-1,-1)</f>
        <v/>
      </c>
      <c r="Y999" s="19">
        <f>IF(R999&gt;0,S999*資金模擬!$B$7/R999,0)</f>
        <v/>
      </c>
      <c r="Z999" s="2">
        <f>IF(OR(Z998=1,R999&lt;=資金模擬!$B$10),1,0)</f>
        <v/>
      </c>
    </row>
    <row r="1000">
      <c r="A1000" s="2" t="n">
        <v>998</v>
      </c>
      <c r="B1000" s="7" t="n">
        <v>46291.83333333334</v>
      </c>
      <c r="C1000" s="2" t="inlineStr">
        <is>
          <t>出場</t>
        </is>
      </c>
      <c r="D1000" s="2" t="n">
        <v>499</v>
      </c>
      <c r="E1000" s="2" t="inlineStr">
        <is>
          <t>AERO_USDT_PERP</t>
        </is>
      </c>
      <c r="F1000" s="2" t="inlineStr">
        <is>
          <t>做多</t>
        </is>
      </c>
      <c r="G1000" s="20" t="n">
        <v>0.9006999999999999</v>
      </c>
      <c r="H1000" s="20" t="n">
        <v>0.927721</v>
      </c>
      <c r="I1000" s="20" t="n">
        <v>0.8556649999999999</v>
      </c>
      <c r="J1000" s="20" t="n">
        <v>0.927721</v>
      </c>
      <c r="K1000" s="2" t="inlineStr">
        <is>
          <t>止盈</t>
        </is>
      </c>
      <c r="L1000" s="5">
        <f>交易明細!K500</f>
        <v/>
      </c>
      <c r="M1000" s="19">
        <f>M993</f>
        <v/>
      </c>
      <c r="N1000" s="2">
        <f>N993</f>
        <v/>
      </c>
      <c r="O1000" s="19">
        <f>O993</f>
        <v/>
      </c>
      <c r="P1000" s="4">
        <f>交易明細!L500</f>
        <v/>
      </c>
      <c r="Q1000" s="13">
        <f>IF(N1000="已下單",O1000*P1000,0)</f>
        <v/>
      </c>
      <c r="R1000" s="13">
        <f>R999+Q1000</f>
        <v/>
      </c>
      <c r="S1000" s="19">
        <f>S999-IF(N1000="已下單",M1000,0)</f>
        <v/>
      </c>
      <c r="T1000" s="19">
        <f>R1000-S1000</f>
        <v/>
      </c>
      <c r="U1000" s="2">
        <f>U999-IF(N1000="已下單",1,0)</f>
        <v/>
      </c>
      <c r="V1000" s="19">
        <f>IF(資金模擬!$B$9=2,MAX(R1000,0),MAX(V999,FLOOR(MAX(R1000,0),資金模擬!$B$6)))</f>
        <v/>
      </c>
      <c r="W1000" s="13">
        <f>MAX(W999,R1000)</f>
        <v/>
      </c>
      <c r="X1000" s="4">
        <f>IF(W1000&gt;0,R1000/W1000-1,-1)</f>
        <v/>
      </c>
      <c r="Y1000" s="19">
        <f>IF(R1000&gt;0,S1000*資金模擬!$B$7/R1000,0)</f>
        <v/>
      </c>
      <c r="Z1000" s="2">
        <f>IF(OR(Z999=1,R1000&lt;=資金模擬!$B$10),1,0)</f>
        <v/>
      </c>
    </row>
    <row r="1001">
      <c r="A1001" s="2" t="n">
        <v>999</v>
      </c>
      <c r="B1001" s="7" t="n">
        <v>46291.95833333334</v>
      </c>
      <c r="C1001" s="2" t="inlineStr">
        <is>
          <t>進場</t>
        </is>
      </c>
      <c r="D1001" s="2" t="n">
        <v>501</v>
      </c>
      <c r="E1001" s="2" t="inlineStr">
        <is>
          <t>USELESS_USDT_PERP</t>
        </is>
      </c>
      <c r="F1001" s="2" t="inlineStr">
        <is>
          <t>做多</t>
        </is>
      </c>
      <c r="G1001" s="20" t="n">
        <v>0.29344</v>
      </c>
      <c r="H1001" s="20" t="n">
        <v>0.3022432</v>
      </c>
      <c r="I1001" s="20" t="n">
        <v>0.278768</v>
      </c>
      <c r="J1001" s="20" t="n"/>
      <c r="K1001" s="2" t="n"/>
      <c r="L1001" s="5" t="n"/>
      <c r="M1001" s="19">
        <f>資金模擬!$B$5*V1000</f>
        <v/>
      </c>
      <c r="N1001" s="2">
        <f>IF(Z1000=1,"已停止",IF(T1000&gt;=M1001,"已下單","資金不足略過"))</f>
        <v/>
      </c>
      <c r="O1001" s="19">
        <f>IF(N1001="已下單",M1001*資金模擬!$B$7,0)</f>
        <v/>
      </c>
      <c r="P1001" s="4" t="n"/>
      <c r="Q1001" s="13" t="n">
        <v>0</v>
      </c>
      <c r="R1001" s="13">
        <f>R1000+Q1001</f>
        <v/>
      </c>
      <c r="S1001" s="19">
        <f>S1000+IF(N1001="已下單",M1001,0)</f>
        <v/>
      </c>
      <c r="T1001" s="19">
        <f>R1001-S1001</f>
        <v/>
      </c>
      <c r="U1001" s="2">
        <f>U1000+IF(N1001="已下單",1,0)</f>
        <v/>
      </c>
      <c r="V1001" s="19">
        <f>IF(資金模擬!$B$9=2,MAX(R1001,0),MAX(V1000,FLOOR(MAX(R1001,0),資金模擬!$B$6)))</f>
        <v/>
      </c>
      <c r="W1001" s="13">
        <f>MAX(W1000,R1001)</f>
        <v/>
      </c>
      <c r="X1001" s="4">
        <f>IF(W1001&gt;0,R1001/W1001-1,-1)</f>
        <v/>
      </c>
      <c r="Y1001" s="19">
        <f>IF(R1001&gt;0,S1001*資金模擬!$B$7/R1001,0)</f>
        <v/>
      </c>
      <c r="Z1001" s="2">
        <f>IF(OR(Z1000=1,R1001&lt;=資金模擬!$B$10),1,0)</f>
        <v/>
      </c>
    </row>
    <row r="1002">
      <c r="A1002" s="2" t="n">
        <v>1000</v>
      </c>
      <c r="B1002" s="7" t="n">
        <v>46291.95833333334</v>
      </c>
      <c r="C1002" s="2" t="inlineStr">
        <is>
          <t>進場</t>
        </is>
      </c>
      <c r="D1002" s="2" t="n">
        <v>502</v>
      </c>
      <c r="E1002" s="2" t="inlineStr">
        <is>
          <t>WLD_USDT_PERP</t>
        </is>
      </c>
      <c r="F1002" s="2" t="inlineStr">
        <is>
          <t>做多</t>
        </is>
      </c>
      <c r="G1002" s="20" t="n">
        <v>0.5108</v>
      </c>
      <c r="H1002" s="20" t="n">
        <v>0.526124</v>
      </c>
      <c r="I1002" s="20" t="n">
        <v>0.48526</v>
      </c>
      <c r="J1002" s="20" t="n"/>
      <c r="K1002" s="2" t="n"/>
      <c r="L1002" s="5" t="n"/>
      <c r="M1002" s="19">
        <f>資金模擬!$B$5*V1001</f>
        <v/>
      </c>
      <c r="N1002" s="2">
        <f>IF(Z1001=1,"已停止",IF(T1001&gt;=M1002,"已下單","資金不足略過"))</f>
        <v/>
      </c>
      <c r="O1002" s="19">
        <f>IF(N1002="已下單",M1002*資金模擬!$B$7,0)</f>
        <v/>
      </c>
      <c r="P1002" s="4" t="n"/>
      <c r="Q1002" s="13" t="n">
        <v>0</v>
      </c>
      <c r="R1002" s="13">
        <f>R1001+Q1002</f>
        <v/>
      </c>
      <c r="S1002" s="19">
        <f>S1001+IF(N1002="已下單",M1002,0)</f>
        <v/>
      </c>
      <c r="T1002" s="19">
        <f>R1002-S1002</f>
        <v/>
      </c>
      <c r="U1002" s="2">
        <f>U1001+IF(N1002="已下單",1,0)</f>
        <v/>
      </c>
      <c r="V1002" s="19">
        <f>IF(資金模擬!$B$9=2,MAX(R1002,0),MAX(V1001,FLOOR(MAX(R1002,0),資金模擬!$B$6)))</f>
        <v/>
      </c>
      <c r="W1002" s="13">
        <f>MAX(W1001,R1002)</f>
        <v/>
      </c>
      <c r="X1002" s="4">
        <f>IF(W1002&gt;0,R1002/W1002-1,-1)</f>
        <v/>
      </c>
      <c r="Y1002" s="19">
        <f>IF(R1002&gt;0,S1002*資金模擬!$B$7/R1002,0)</f>
        <v/>
      </c>
      <c r="Z1002" s="2">
        <f>IF(OR(Z1001=1,R1002&lt;=資金模擬!$B$10),1,0)</f>
        <v/>
      </c>
    </row>
    <row r="1003">
      <c r="A1003" s="2" t="n">
        <v>1001</v>
      </c>
      <c r="B1003" s="7" t="n">
        <v>46292</v>
      </c>
      <c r="C1003" s="2" t="inlineStr">
        <is>
          <t>出場</t>
        </is>
      </c>
      <c r="D1003" s="2" t="n">
        <v>493</v>
      </c>
      <c r="E1003" s="2" t="inlineStr">
        <is>
          <t>FET_USDT_PERP</t>
        </is>
      </c>
      <c r="F1003" s="2" t="inlineStr">
        <is>
          <t>做多</t>
        </is>
      </c>
      <c r="G1003" s="20" t="n">
        <v>0.2468</v>
      </c>
      <c r="H1003" s="20" t="n">
        <v>0.254204</v>
      </c>
      <c r="I1003" s="20" t="n">
        <v>0.23446</v>
      </c>
      <c r="J1003" s="20" t="n">
        <v>0.254204</v>
      </c>
      <c r="K1003" s="2" t="inlineStr">
        <is>
          <t>止盈</t>
        </is>
      </c>
      <c r="L1003" s="5">
        <f>交易明細!K494</f>
        <v/>
      </c>
      <c r="M1003" s="19">
        <f>M983</f>
        <v/>
      </c>
      <c r="N1003" s="2">
        <f>N983</f>
        <v/>
      </c>
      <c r="O1003" s="19">
        <f>O983</f>
        <v/>
      </c>
      <c r="P1003" s="4">
        <f>交易明細!L494</f>
        <v/>
      </c>
      <c r="Q1003" s="13">
        <f>IF(N1003="已下單",O1003*P1003,0)</f>
        <v/>
      </c>
      <c r="R1003" s="13">
        <f>R1002+Q1003</f>
        <v/>
      </c>
      <c r="S1003" s="19">
        <f>S1002-IF(N1003="已下單",M1003,0)</f>
        <v/>
      </c>
      <c r="T1003" s="19">
        <f>R1003-S1003</f>
        <v/>
      </c>
      <c r="U1003" s="2">
        <f>U1002-IF(N1003="已下單",1,0)</f>
        <v/>
      </c>
      <c r="V1003" s="19">
        <f>IF(資金模擬!$B$9=2,MAX(R1003,0),MAX(V1002,FLOOR(MAX(R1003,0),資金模擬!$B$6)))</f>
        <v/>
      </c>
      <c r="W1003" s="13">
        <f>MAX(W1002,R1003)</f>
        <v/>
      </c>
      <c r="X1003" s="4">
        <f>IF(W1003&gt;0,R1003/W1003-1,-1)</f>
        <v/>
      </c>
      <c r="Y1003" s="19">
        <f>IF(R1003&gt;0,S1003*資金模擬!$B$7/R1003,0)</f>
        <v/>
      </c>
      <c r="Z1003" s="2">
        <f>IF(OR(Z1002=1,R1003&lt;=資金模擬!$B$10),1,0)</f>
        <v/>
      </c>
    </row>
    <row r="1004">
      <c r="A1004" s="2" t="n">
        <v>1002</v>
      </c>
      <c r="B1004" s="7" t="n">
        <v>46292</v>
      </c>
      <c r="C1004" s="2" t="inlineStr">
        <is>
          <t>出場</t>
        </is>
      </c>
      <c r="D1004" s="2" t="n">
        <v>502</v>
      </c>
      <c r="E1004" s="2" t="inlineStr">
        <is>
          <t>WLD_USDT_PERP</t>
        </is>
      </c>
      <c r="F1004" s="2" t="inlineStr">
        <is>
          <t>做多</t>
        </is>
      </c>
      <c r="G1004" s="20" t="n">
        <v>0.5108</v>
      </c>
      <c r="H1004" s="20" t="n">
        <v>0.526124</v>
      </c>
      <c r="I1004" s="20" t="n">
        <v>0.48526</v>
      </c>
      <c r="J1004" s="20" t="n">
        <v>0.526124</v>
      </c>
      <c r="K1004" s="2" t="inlineStr">
        <is>
          <t>止盈</t>
        </is>
      </c>
      <c r="L1004" s="5">
        <f>交易明細!K503</f>
        <v/>
      </c>
      <c r="M1004" s="19">
        <f>M1002</f>
        <v/>
      </c>
      <c r="N1004" s="2">
        <f>N1002</f>
        <v/>
      </c>
      <c r="O1004" s="19">
        <f>O1002</f>
        <v/>
      </c>
      <c r="P1004" s="4">
        <f>交易明細!L503</f>
        <v/>
      </c>
      <c r="Q1004" s="13">
        <f>IF(N1004="已下單",O1004*P1004,0)</f>
        <v/>
      </c>
      <c r="R1004" s="13">
        <f>R1003+Q1004</f>
        <v/>
      </c>
      <c r="S1004" s="19">
        <f>S1003-IF(N1004="已下單",M1004,0)</f>
        <v/>
      </c>
      <c r="T1004" s="19">
        <f>R1004-S1004</f>
        <v/>
      </c>
      <c r="U1004" s="2">
        <f>U1003-IF(N1004="已下單",1,0)</f>
        <v/>
      </c>
      <c r="V1004" s="19">
        <f>IF(資金模擬!$B$9=2,MAX(R1004,0),MAX(V1003,FLOOR(MAX(R1004,0),資金模擬!$B$6)))</f>
        <v/>
      </c>
      <c r="W1004" s="13">
        <f>MAX(W1003,R1004)</f>
        <v/>
      </c>
      <c r="X1004" s="4">
        <f>IF(W1004&gt;0,R1004/W1004-1,-1)</f>
        <v/>
      </c>
      <c r="Y1004" s="19">
        <f>IF(R1004&gt;0,S1004*資金模擬!$B$7/R1004,0)</f>
        <v/>
      </c>
      <c r="Z1004" s="2">
        <f>IF(OR(Z1003=1,R1004&lt;=資金模擬!$B$10),1,0)</f>
        <v/>
      </c>
    </row>
    <row r="1005">
      <c r="A1005" s="2" t="n">
        <v>1003</v>
      </c>
      <c r="B1005" s="7" t="n">
        <v>46292</v>
      </c>
      <c r="C1005" s="2" t="inlineStr">
        <is>
          <t>進場</t>
        </is>
      </c>
      <c r="D1005" s="2" t="n">
        <v>503</v>
      </c>
      <c r="E1005" s="2" t="inlineStr">
        <is>
          <t>AKE_USDT_PERP</t>
        </is>
      </c>
      <c r="F1005" s="2" t="inlineStr">
        <is>
          <t>做多</t>
        </is>
      </c>
      <c r="G1005" s="20" t="n">
        <v>0.0345245</v>
      </c>
      <c r="H1005" s="20" t="n">
        <v>0.035560235</v>
      </c>
      <c r="I1005" s="20" t="n">
        <v>0.03279827499999999</v>
      </c>
      <c r="J1005" s="20" t="n"/>
      <c r="K1005" s="2" t="inlineStr">
        <is>
          <t>未平倉</t>
        </is>
      </c>
      <c r="L1005" s="5" t="n"/>
      <c r="M1005" s="19">
        <f>資金模擬!$B$5*V1004</f>
        <v/>
      </c>
      <c r="N1005" s="2">
        <f>IF(Z1004=1,"已停止",IF(T1004&gt;=M1005,"已下單","資金不足略過"))</f>
        <v/>
      </c>
      <c r="O1005" s="19">
        <f>IF(N1005="已下單",M1005*資金模擬!$B$7,0)</f>
        <v/>
      </c>
      <c r="P1005" s="4" t="n"/>
      <c r="Q1005" s="13" t="n">
        <v>0</v>
      </c>
      <c r="R1005" s="13">
        <f>R1004+Q1005</f>
        <v/>
      </c>
      <c r="S1005" s="19">
        <f>S1004+IF(N1005="已下單",M1005,0)</f>
        <v/>
      </c>
      <c r="T1005" s="19">
        <f>R1005-S1005</f>
        <v/>
      </c>
      <c r="U1005" s="2">
        <f>U1004+IF(N1005="已下單",1,0)</f>
        <v/>
      </c>
      <c r="V1005" s="19">
        <f>IF(資金模擬!$B$9=2,MAX(R1005,0),MAX(V1004,FLOOR(MAX(R1005,0),資金模擬!$B$6)))</f>
        <v/>
      </c>
      <c r="W1005" s="13">
        <f>MAX(W1004,R1005)</f>
        <v/>
      </c>
      <c r="X1005" s="4">
        <f>IF(W1005&gt;0,R1005/W1005-1,-1)</f>
        <v/>
      </c>
      <c r="Y1005" s="19">
        <f>IF(R1005&gt;0,S1005*資金模擬!$B$7/R1005,0)</f>
        <v/>
      </c>
      <c r="Z1005" s="2">
        <f>IF(OR(Z1004=1,R1005&lt;=資金模擬!$B$10),1,0)</f>
        <v/>
      </c>
    </row>
    <row r="1006">
      <c r="A1006" s="2" t="n">
        <v>1004</v>
      </c>
      <c r="B1006" s="7" t="n">
        <v>46292</v>
      </c>
      <c r="C1006" s="2" t="inlineStr">
        <is>
          <t>進場</t>
        </is>
      </c>
      <c r="D1006" s="2" t="n">
        <v>504</v>
      </c>
      <c r="E1006" s="2" t="inlineStr">
        <is>
          <t>BTW_USDT_PERP</t>
        </is>
      </c>
      <c r="F1006" s="2" t="inlineStr">
        <is>
          <t>做多</t>
        </is>
      </c>
      <c r="G1006" s="20" t="n">
        <v>1.057552</v>
      </c>
      <c r="H1006" s="20" t="n">
        <v>1.08927856</v>
      </c>
      <c r="I1006" s="20" t="n">
        <v>1.0046744</v>
      </c>
      <c r="J1006" s="20" t="n"/>
      <c r="K1006" s="2" t="inlineStr">
        <is>
          <t>未平倉</t>
        </is>
      </c>
      <c r="L1006" s="5" t="n"/>
      <c r="M1006" s="19">
        <f>資金模擬!$B$5*V1005</f>
        <v/>
      </c>
      <c r="N1006" s="2">
        <f>IF(Z1005=1,"已停止",IF(T1005&gt;=M1006,"已下單","資金不足略過"))</f>
        <v/>
      </c>
      <c r="O1006" s="19">
        <f>IF(N1006="已下單",M1006*資金模擬!$B$7,0)</f>
        <v/>
      </c>
      <c r="P1006" s="4" t="n"/>
      <c r="Q1006" s="13" t="n">
        <v>0</v>
      </c>
      <c r="R1006" s="13">
        <f>R1005+Q1006</f>
        <v/>
      </c>
      <c r="S1006" s="19">
        <f>S1005+IF(N1006="已下單",M1006,0)</f>
        <v/>
      </c>
      <c r="T1006" s="19">
        <f>R1006-S1006</f>
        <v/>
      </c>
      <c r="U1006" s="2">
        <f>U1005+IF(N1006="已下單",1,0)</f>
        <v/>
      </c>
      <c r="V1006" s="19">
        <f>IF(資金模擬!$B$9=2,MAX(R1006,0),MAX(V1005,FLOOR(MAX(R1006,0),資金模擬!$B$6)))</f>
        <v/>
      </c>
      <c r="W1006" s="13">
        <f>MAX(W1005,R1006)</f>
        <v/>
      </c>
      <c r="X1006" s="4">
        <f>IF(W1006&gt;0,R1006/W1006-1,-1)</f>
        <v/>
      </c>
      <c r="Y1006" s="19">
        <f>IF(R1006&gt;0,S1006*資金模擬!$B$7/R1006,0)</f>
        <v/>
      </c>
      <c r="Z1006" s="2">
        <f>IF(OR(Z1005=1,R1006&lt;=資金模擬!$B$10),1,0)</f>
        <v/>
      </c>
    </row>
    <row r="1007">
      <c r="A1007" s="2" t="n">
        <v>1005</v>
      </c>
      <c r="B1007" s="7" t="n">
        <v>46292</v>
      </c>
      <c r="C1007" s="2" t="inlineStr">
        <is>
          <t>進場</t>
        </is>
      </c>
      <c r="D1007" s="2" t="n">
        <v>505</v>
      </c>
      <c r="E1007" s="2" t="inlineStr">
        <is>
          <t>LYN_USDT_PERP</t>
        </is>
      </c>
      <c r="F1007" s="2" t="inlineStr">
        <is>
          <t>做空</t>
        </is>
      </c>
      <c r="G1007" s="20" t="n">
        <v>0.04265</v>
      </c>
      <c r="H1007" s="20" t="n">
        <v>0.0413705</v>
      </c>
      <c r="I1007" s="20" t="n">
        <v>0.0447825</v>
      </c>
      <c r="J1007" s="20" t="n"/>
      <c r="K1007" s="2" t="n"/>
      <c r="L1007" s="5" t="n"/>
      <c r="M1007" s="19">
        <f>資金模擬!$B$5*V1006</f>
        <v/>
      </c>
      <c r="N1007" s="2">
        <f>IF(Z1006=1,"已停止",IF(T1006&gt;=M1007,"已下單","資金不足略過"))</f>
        <v/>
      </c>
      <c r="O1007" s="19">
        <f>IF(N1007="已下單",M1007*資金模擬!$B$7,0)</f>
        <v/>
      </c>
      <c r="P1007" s="4" t="n"/>
      <c r="Q1007" s="13" t="n">
        <v>0</v>
      </c>
      <c r="R1007" s="13">
        <f>R1006+Q1007</f>
        <v/>
      </c>
      <c r="S1007" s="19">
        <f>S1006+IF(N1007="已下單",M1007,0)</f>
        <v/>
      </c>
      <c r="T1007" s="19">
        <f>R1007-S1007</f>
        <v/>
      </c>
      <c r="U1007" s="2">
        <f>U1006+IF(N1007="已下單",1,0)</f>
        <v/>
      </c>
      <c r="V1007" s="19">
        <f>IF(資金模擬!$B$9=2,MAX(R1007,0),MAX(V1006,FLOOR(MAX(R1007,0),資金模擬!$B$6)))</f>
        <v/>
      </c>
      <c r="W1007" s="13">
        <f>MAX(W1006,R1007)</f>
        <v/>
      </c>
      <c r="X1007" s="4">
        <f>IF(W1007&gt;0,R1007/W1007-1,-1)</f>
        <v/>
      </c>
      <c r="Y1007" s="19">
        <f>IF(R1007&gt;0,S1007*資金模擬!$B$7/R1007,0)</f>
        <v/>
      </c>
      <c r="Z1007" s="2">
        <f>IF(OR(Z1006=1,R1007&lt;=資金模擬!$B$10),1,0)</f>
        <v/>
      </c>
    </row>
    <row r="1008">
      <c r="A1008" s="2" t="n">
        <v>1006</v>
      </c>
      <c r="B1008" s="7" t="n">
        <v>46292.04166666666</v>
      </c>
      <c r="C1008" s="2" t="inlineStr">
        <is>
          <t>進場</t>
        </is>
      </c>
      <c r="D1008" s="2" t="n">
        <v>506</v>
      </c>
      <c r="E1008" s="2" t="inlineStr">
        <is>
          <t>PHA_USDT_PERP</t>
        </is>
      </c>
      <c r="F1008" s="2" t="inlineStr">
        <is>
          <t>做空</t>
        </is>
      </c>
      <c r="G1008" s="20" t="n">
        <v>0.07908999999999999</v>
      </c>
      <c r="H1008" s="20" t="n">
        <v>0.07671729999999999</v>
      </c>
      <c r="I1008" s="20" t="n">
        <v>0.08304449999999999</v>
      </c>
      <c r="J1008" s="20" t="n"/>
      <c r="K1008" s="2" t="n"/>
      <c r="L1008" s="5" t="n"/>
      <c r="M1008" s="19">
        <f>資金模擬!$B$5*V1007</f>
        <v/>
      </c>
      <c r="N1008" s="2">
        <f>IF(Z1007=1,"已停止",IF(T1007&gt;=M1008,"已下單","資金不足略過"))</f>
        <v/>
      </c>
      <c r="O1008" s="19">
        <f>IF(N1008="已下單",M1008*資金模擬!$B$7,0)</f>
        <v/>
      </c>
      <c r="P1008" s="4" t="n"/>
      <c r="Q1008" s="13" t="n">
        <v>0</v>
      </c>
      <c r="R1008" s="13">
        <f>R1007+Q1008</f>
        <v/>
      </c>
      <c r="S1008" s="19">
        <f>S1007+IF(N1008="已下單",M1008,0)</f>
        <v/>
      </c>
      <c r="T1008" s="19">
        <f>R1008-S1008</f>
        <v/>
      </c>
      <c r="U1008" s="2">
        <f>U1007+IF(N1008="已下單",1,0)</f>
        <v/>
      </c>
      <c r="V1008" s="19">
        <f>IF(資金模擬!$B$9=2,MAX(R1008,0),MAX(V1007,FLOOR(MAX(R1008,0),資金模擬!$B$6)))</f>
        <v/>
      </c>
      <c r="W1008" s="13">
        <f>MAX(W1007,R1008)</f>
        <v/>
      </c>
      <c r="X1008" s="4">
        <f>IF(W1008&gt;0,R1008/W1008-1,-1)</f>
        <v/>
      </c>
      <c r="Y1008" s="19">
        <f>IF(R1008&gt;0,S1008*資金模擬!$B$7/R1008,0)</f>
        <v/>
      </c>
      <c r="Z1008" s="2">
        <f>IF(OR(Z1007=1,R1008&lt;=資金模擬!$B$10),1,0)</f>
        <v/>
      </c>
    </row>
    <row r="1009">
      <c r="A1009" s="2" t="n">
        <v>1007</v>
      </c>
      <c r="B1009" s="7" t="n">
        <v>46292.08333333334</v>
      </c>
      <c r="C1009" s="2" t="inlineStr">
        <is>
          <t>出場</t>
        </is>
      </c>
      <c r="D1009" s="2" t="n">
        <v>505</v>
      </c>
      <c r="E1009" s="2" t="inlineStr">
        <is>
          <t>LYN_USDT_PERP</t>
        </is>
      </c>
      <c r="F1009" s="2" t="inlineStr">
        <is>
          <t>做空</t>
        </is>
      </c>
      <c r="G1009" s="20" t="n">
        <v>0.04265</v>
      </c>
      <c r="H1009" s="20" t="n">
        <v>0.0413705</v>
      </c>
      <c r="I1009" s="20" t="n">
        <v>0.0447825</v>
      </c>
      <c r="J1009" s="20" t="n">
        <v>0.0413705</v>
      </c>
      <c r="K1009" s="2" t="inlineStr">
        <is>
          <t>止盈</t>
        </is>
      </c>
      <c r="L1009" s="5">
        <f>交易明細!K506</f>
        <v/>
      </c>
      <c r="M1009" s="19">
        <f>M1007</f>
        <v/>
      </c>
      <c r="N1009" s="2">
        <f>N1007</f>
        <v/>
      </c>
      <c r="O1009" s="19">
        <f>O1007</f>
        <v/>
      </c>
      <c r="P1009" s="4">
        <f>交易明細!L506</f>
        <v/>
      </c>
      <c r="Q1009" s="13">
        <f>IF(N1009="已下單",O1009*P1009,0)</f>
        <v/>
      </c>
      <c r="R1009" s="13">
        <f>R1008+Q1009</f>
        <v/>
      </c>
      <c r="S1009" s="19">
        <f>S1008-IF(N1009="已下單",M1009,0)</f>
        <v/>
      </c>
      <c r="T1009" s="19">
        <f>R1009-S1009</f>
        <v/>
      </c>
      <c r="U1009" s="2">
        <f>U1008-IF(N1009="已下單",1,0)</f>
        <v/>
      </c>
      <c r="V1009" s="19">
        <f>IF(資金模擬!$B$9=2,MAX(R1009,0),MAX(V1008,FLOOR(MAX(R1009,0),資金模擬!$B$6)))</f>
        <v/>
      </c>
      <c r="W1009" s="13">
        <f>MAX(W1008,R1009)</f>
        <v/>
      </c>
      <c r="X1009" s="4">
        <f>IF(W1009&gt;0,R1009/W1009-1,-1)</f>
        <v/>
      </c>
      <c r="Y1009" s="19">
        <f>IF(R1009&gt;0,S1009*資金模擬!$B$7/R1009,0)</f>
        <v/>
      </c>
      <c r="Z1009" s="2">
        <f>IF(OR(Z1008=1,R1009&lt;=資金模擬!$B$10),1,0)</f>
        <v/>
      </c>
    </row>
    <row r="1010">
      <c r="A1010" s="2" t="n">
        <v>1008</v>
      </c>
      <c r="B1010" s="7" t="n">
        <v>46292.125</v>
      </c>
      <c r="C1010" s="2" t="inlineStr">
        <is>
          <t>出場</t>
        </is>
      </c>
      <c r="D1010" s="2" t="n">
        <v>506</v>
      </c>
      <c r="E1010" s="2" t="inlineStr">
        <is>
          <t>PHA_USDT_PERP</t>
        </is>
      </c>
      <c r="F1010" s="2" t="inlineStr">
        <is>
          <t>做空</t>
        </is>
      </c>
      <c r="G1010" s="20" t="n">
        <v>0.07908999999999999</v>
      </c>
      <c r="H1010" s="20" t="n">
        <v>0.07671729999999999</v>
      </c>
      <c r="I1010" s="20" t="n">
        <v>0.08304449999999999</v>
      </c>
      <c r="J1010" s="20" t="n">
        <v>0.08304449999999999</v>
      </c>
      <c r="K1010" s="2" t="inlineStr">
        <is>
          <t>止損</t>
        </is>
      </c>
      <c r="L1010" s="5">
        <f>交易明細!K507</f>
        <v/>
      </c>
      <c r="M1010" s="19">
        <f>M1008</f>
        <v/>
      </c>
      <c r="N1010" s="2">
        <f>N1008</f>
        <v/>
      </c>
      <c r="O1010" s="19">
        <f>O1008</f>
        <v/>
      </c>
      <c r="P1010" s="4">
        <f>交易明細!L507</f>
        <v/>
      </c>
      <c r="Q1010" s="13">
        <f>IF(N1010="已下單",O1010*P1010,0)</f>
        <v/>
      </c>
      <c r="R1010" s="13">
        <f>R1009+Q1010</f>
        <v/>
      </c>
      <c r="S1010" s="19">
        <f>S1009-IF(N1010="已下單",M1010,0)</f>
        <v/>
      </c>
      <c r="T1010" s="19">
        <f>R1010-S1010</f>
        <v/>
      </c>
      <c r="U1010" s="2">
        <f>U1009-IF(N1010="已下單",1,0)</f>
        <v/>
      </c>
      <c r="V1010" s="19">
        <f>IF(資金模擬!$B$9=2,MAX(R1010,0),MAX(V1009,FLOOR(MAX(R1010,0),資金模擬!$B$6)))</f>
        <v/>
      </c>
      <c r="W1010" s="13">
        <f>MAX(W1009,R1010)</f>
        <v/>
      </c>
      <c r="X1010" s="4">
        <f>IF(W1010&gt;0,R1010/W1010-1,-1)</f>
        <v/>
      </c>
      <c r="Y1010" s="19">
        <f>IF(R1010&gt;0,S1010*資金模擬!$B$7/R1010,0)</f>
        <v/>
      </c>
      <c r="Z1010" s="2">
        <f>IF(OR(Z1009=1,R1010&lt;=資金模擬!$B$10),1,0)</f>
        <v/>
      </c>
    </row>
    <row r="1011">
      <c r="A1011" s="2" t="n">
        <v>1009</v>
      </c>
      <c r="B1011" s="7" t="n">
        <v>46292.20833333334</v>
      </c>
      <c r="C1011" s="2" t="inlineStr">
        <is>
          <t>出場</t>
        </is>
      </c>
      <c r="D1011" s="2" t="n">
        <v>489</v>
      </c>
      <c r="E1011" s="2" t="inlineStr">
        <is>
          <t>PENGU_USDT_PERP</t>
        </is>
      </c>
      <c r="F1011" s="2" t="inlineStr">
        <is>
          <t>做多</t>
        </is>
      </c>
      <c r="G1011" s="20" t="n">
        <v>0.010271</v>
      </c>
      <c r="H1011" s="20" t="n">
        <v>0.01057913</v>
      </c>
      <c r="I1011" s="20" t="n">
        <v>0.009757450000000001</v>
      </c>
      <c r="J1011" s="20" t="n">
        <v>0.009757450000000001</v>
      </c>
      <c r="K1011" s="2" t="inlineStr">
        <is>
          <t>止損</t>
        </is>
      </c>
      <c r="L1011" s="5">
        <f>交易明細!K490</f>
        <v/>
      </c>
      <c r="M1011" s="19">
        <f>M972</f>
        <v/>
      </c>
      <c r="N1011" s="2">
        <f>N972</f>
        <v/>
      </c>
      <c r="O1011" s="19">
        <f>O972</f>
        <v/>
      </c>
      <c r="P1011" s="4">
        <f>交易明細!L490</f>
        <v/>
      </c>
      <c r="Q1011" s="13">
        <f>IF(N1011="已下單",O1011*P1011,0)</f>
        <v/>
      </c>
      <c r="R1011" s="13">
        <f>R1010+Q1011</f>
        <v/>
      </c>
      <c r="S1011" s="19">
        <f>S1010-IF(N1011="已下單",M1011,0)</f>
        <v/>
      </c>
      <c r="T1011" s="19">
        <f>R1011-S1011</f>
        <v/>
      </c>
      <c r="U1011" s="2">
        <f>U1010-IF(N1011="已下單",1,0)</f>
        <v/>
      </c>
      <c r="V1011" s="19">
        <f>IF(資金模擬!$B$9=2,MAX(R1011,0),MAX(V1010,FLOOR(MAX(R1011,0),資金模擬!$B$6)))</f>
        <v/>
      </c>
      <c r="W1011" s="13">
        <f>MAX(W1010,R1011)</f>
        <v/>
      </c>
      <c r="X1011" s="4">
        <f>IF(W1011&gt;0,R1011/W1011-1,-1)</f>
        <v/>
      </c>
      <c r="Y1011" s="19">
        <f>IF(R1011&gt;0,S1011*資金模擬!$B$7/R1011,0)</f>
        <v/>
      </c>
      <c r="Z1011" s="2">
        <f>IF(OR(Z1010=1,R1011&lt;=資金模擬!$B$10),1,0)</f>
        <v/>
      </c>
    </row>
    <row r="1012">
      <c r="A1012" s="2" t="n">
        <v>1010</v>
      </c>
      <c r="B1012" s="7" t="n">
        <v>46292.20833333334</v>
      </c>
      <c r="C1012" s="2" t="inlineStr">
        <is>
          <t>出場</t>
        </is>
      </c>
      <c r="D1012" s="2" t="n">
        <v>501</v>
      </c>
      <c r="E1012" s="2" t="inlineStr">
        <is>
          <t>USELESS_USDT_PERP</t>
        </is>
      </c>
      <c r="F1012" s="2" t="inlineStr">
        <is>
          <t>做多</t>
        </is>
      </c>
      <c r="G1012" s="20" t="n">
        <v>0.29344</v>
      </c>
      <c r="H1012" s="20" t="n">
        <v>0.3022432</v>
      </c>
      <c r="I1012" s="20" t="n">
        <v>0.278768</v>
      </c>
      <c r="J1012" s="20" t="n">
        <v>0.278768</v>
      </c>
      <c r="K1012" s="2" t="inlineStr">
        <is>
          <t>止損</t>
        </is>
      </c>
      <c r="L1012" s="5">
        <f>交易明細!K502</f>
        <v/>
      </c>
      <c r="M1012" s="19">
        <f>M1001</f>
        <v/>
      </c>
      <c r="N1012" s="2">
        <f>N1001</f>
        <v/>
      </c>
      <c r="O1012" s="19">
        <f>O1001</f>
        <v/>
      </c>
      <c r="P1012" s="4">
        <f>交易明細!L502</f>
        <v/>
      </c>
      <c r="Q1012" s="13">
        <f>IF(N1012="已下單",O1012*P1012,0)</f>
        <v/>
      </c>
      <c r="R1012" s="13">
        <f>R1011+Q1012</f>
        <v/>
      </c>
      <c r="S1012" s="19">
        <f>S1011-IF(N1012="已下單",M1012,0)</f>
        <v/>
      </c>
      <c r="T1012" s="19">
        <f>R1012-S1012</f>
        <v/>
      </c>
      <c r="U1012" s="2">
        <f>U1011-IF(N1012="已下單",1,0)</f>
        <v/>
      </c>
      <c r="V1012" s="19">
        <f>IF(資金模擬!$B$9=2,MAX(R1012,0),MAX(V1011,FLOOR(MAX(R1012,0),資金模擬!$B$6)))</f>
        <v/>
      </c>
      <c r="W1012" s="13">
        <f>MAX(W1011,R1012)</f>
        <v/>
      </c>
      <c r="X1012" s="4">
        <f>IF(W1012&gt;0,R1012/W1012-1,-1)</f>
        <v/>
      </c>
      <c r="Y1012" s="19">
        <f>IF(R1012&gt;0,S1012*資金模擬!$B$7/R1012,0)</f>
        <v/>
      </c>
      <c r="Z1012" s="2">
        <f>IF(OR(Z1011=1,R1012&lt;=資金模擬!$B$10),1,0)</f>
        <v/>
      </c>
    </row>
    <row r="1013">
      <c r="A1013" s="2" t="n">
        <v>1011</v>
      </c>
      <c r="B1013" s="7" t="n">
        <v>46292.25</v>
      </c>
      <c r="C1013" s="2" t="inlineStr">
        <is>
          <t>進場</t>
        </is>
      </c>
      <c r="D1013" s="2" t="n">
        <v>507</v>
      </c>
      <c r="E1013" s="2" t="inlineStr">
        <is>
          <t>NEAR_USDT_PERP</t>
        </is>
      </c>
      <c r="F1013" s="2" t="inlineStr">
        <is>
          <t>做多</t>
        </is>
      </c>
      <c r="G1013" s="20" t="n">
        <v>5.038</v>
      </c>
      <c r="H1013" s="20" t="n">
        <v>5.18914</v>
      </c>
      <c r="I1013" s="20" t="n">
        <v>4.7861</v>
      </c>
      <c r="J1013" s="20" t="n"/>
      <c r="K1013" s="2" t="inlineStr">
        <is>
          <t>未平倉</t>
        </is>
      </c>
      <c r="L1013" s="5" t="n"/>
      <c r="M1013" s="19">
        <f>資金模擬!$B$5*V1012</f>
        <v/>
      </c>
      <c r="N1013" s="2">
        <f>IF(Z1012=1,"已停止",IF(T1012&gt;=M1013,"已下單","資金不足略過"))</f>
        <v/>
      </c>
      <c r="O1013" s="19">
        <f>IF(N1013="已下單",M1013*資金模擬!$B$7,0)</f>
        <v/>
      </c>
      <c r="P1013" s="4" t="n"/>
      <c r="Q1013" s="13" t="n">
        <v>0</v>
      </c>
      <c r="R1013" s="13">
        <f>R1012+Q1013</f>
        <v/>
      </c>
      <c r="S1013" s="19">
        <f>S1012+IF(N1013="已下單",M1013,0)</f>
        <v/>
      </c>
      <c r="T1013" s="19">
        <f>R1013-S1013</f>
        <v/>
      </c>
      <c r="U1013" s="2">
        <f>U1012+IF(N1013="已下單",1,0)</f>
        <v/>
      </c>
      <c r="V1013" s="19">
        <f>IF(資金模擬!$B$9=2,MAX(R1013,0),MAX(V1012,FLOOR(MAX(R1013,0),資金模擬!$B$6)))</f>
        <v/>
      </c>
      <c r="W1013" s="13">
        <f>MAX(W1012,R1013)</f>
        <v/>
      </c>
      <c r="X1013" s="4">
        <f>IF(W1013&gt;0,R1013/W1013-1,-1)</f>
        <v/>
      </c>
      <c r="Y1013" s="19">
        <f>IF(R1013&gt;0,S1013*資金模擬!$B$7/R1013,0)</f>
        <v/>
      </c>
      <c r="Z1013" s="2">
        <f>IF(OR(Z1012=1,R1013&lt;=資金模擬!$B$10),1,0)</f>
        <v/>
      </c>
    </row>
    <row r="1014">
      <c r="A1014" s="2" t="n">
        <v>1012</v>
      </c>
      <c r="B1014" s="7" t="n">
        <v>46292.25</v>
      </c>
      <c r="C1014" s="2" t="inlineStr">
        <is>
          <t>進場</t>
        </is>
      </c>
      <c r="D1014" s="2" t="n">
        <v>508</v>
      </c>
      <c r="E1014" s="2" t="inlineStr">
        <is>
          <t>USELESS_USDT_PERP</t>
        </is>
      </c>
      <c r="F1014" s="2" t="inlineStr">
        <is>
          <t>做多</t>
        </is>
      </c>
      <c r="G1014" s="20" t="n">
        <v>0.2916</v>
      </c>
      <c r="H1014" s="20" t="n">
        <v>0.3003480000000001</v>
      </c>
      <c r="I1014" s="20" t="n">
        <v>0.27702</v>
      </c>
      <c r="J1014" s="20" t="n"/>
      <c r="K1014" s="2" t="inlineStr">
        <is>
          <t>未平倉</t>
        </is>
      </c>
      <c r="L1014" s="5" t="n"/>
      <c r="M1014" s="19">
        <f>資金模擬!$B$5*V1013</f>
        <v/>
      </c>
      <c r="N1014" s="2">
        <f>IF(Z1013=1,"已停止",IF(T1013&gt;=M1014,"已下單","資金不足略過"))</f>
        <v/>
      </c>
      <c r="O1014" s="19">
        <f>IF(N1014="已下單",M1014*資金模擬!$B$7,0)</f>
        <v/>
      </c>
      <c r="P1014" s="4" t="n"/>
      <c r="Q1014" s="13" t="n">
        <v>0</v>
      </c>
      <c r="R1014" s="13">
        <f>R1013+Q1014</f>
        <v/>
      </c>
      <c r="S1014" s="19">
        <f>S1013+IF(N1014="已下單",M1014,0)</f>
        <v/>
      </c>
      <c r="T1014" s="19">
        <f>R1014-S1014</f>
        <v/>
      </c>
      <c r="U1014" s="2">
        <f>U1013+IF(N1014="已下單",1,0)</f>
        <v/>
      </c>
      <c r="V1014" s="19">
        <f>IF(資金模擬!$B$9=2,MAX(R1014,0),MAX(V1013,FLOOR(MAX(R1014,0),資金模擬!$B$6)))</f>
        <v/>
      </c>
      <c r="W1014" s="13">
        <f>MAX(W1013,R1014)</f>
        <v/>
      </c>
      <c r="X1014" s="4">
        <f>IF(W1014&gt;0,R1014/W1014-1,-1)</f>
        <v/>
      </c>
      <c r="Y1014" s="19">
        <f>IF(R1014&gt;0,S1014*資金模擬!$B$7/R1014,0)</f>
        <v/>
      </c>
      <c r="Z1014" s="2">
        <f>IF(OR(Z1013=1,R1014&lt;=資金模擬!$B$10),1,0)</f>
        <v/>
      </c>
    </row>
  </sheetData>
  <autoFilter ref="A1:Z1014"/>
  <conditionalFormatting sqref="K2:K1014">
    <cfRule type="cellIs" priority="1" operator="equal" dxfId="0">
      <formula>"止盈"</formula>
    </cfRule>
    <cfRule type="cellIs" priority="2" operator="equal" dxfId="1">
      <formula>"止損"</formula>
    </cfRule>
  </conditionalFormatting>
  <conditionalFormatting sqref="N2:N1014">
    <cfRule type="cellIs" priority="3" operator="equal" dxfId="2">
      <formula>"資金不足略過"</formula>
    </cfRule>
    <cfRule type="cellIs" priority="4" operator="equal" dxfId="3">
      <formula>"已停止"</formula>
    </cfRule>
  </conditionalFormatting>
  <conditionalFormatting sqref="Q2:Q1014">
    <cfRule type="cellIs" priority="5" operator="lessThan" dxfId="4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0" customWidth="1" min="3" max="3"/>
  </cols>
  <sheetData>
    <row r="1">
      <c r="A1" s="3" t="inlineStr">
        <is>
          <t>項目</t>
        </is>
      </c>
      <c r="B1" s="3" t="inlineStr">
        <is>
          <t>數值</t>
        </is>
      </c>
      <c r="C1" s="3" t="inlineStr">
        <is>
          <t>說明</t>
        </is>
      </c>
    </row>
    <row r="2">
      <c r="A2" s="2" t="inlineStr">
        <is>
          <t>市場</t>
        </is>
      </c>
      <c r="B2" s="2" t="inlineStr">
        <is>
          <t>PERP</t>
        </is>
      </c>
      <c r="C2" s="2" t="inlineStr">
        <is>
          <t>PERP=永續合約 / SPOT=現貨</t>
        </is>
      </c>
    </row>
    <row r="3">
      <c r="A3" s="2" t="inlineStr">
        <is>
          <t>回測區間</t>
        </is>
      </c>
      <c r="B3" s="2" t="inlineStr">
        <is>
          <t>2026-09-01 00:00 ~ 2026-09-27 06:56（Dry Run）</t>
        </is>
      </c>
      <c r="C3" s="2" t="inlineStr">
        <is>
          <t>台北時間</t>
        </is>
      </c>
    </row>
    <row r="4">
      <c r="A4" s="2" t="inlineStr">
        <is>
          <t>K棒週期</t>
        </is>
      </c>
      <c r="B4" s="2" t="inlineStr">
        <is>
          <t>60 分鐘</t>
        </is>
      </c>
      <c r="C4" s="2" t="inlineStr">
        <is>
          <t>訊號於K棒收盤判斷、以收盤價進場</t>
        </is>
      </c>
    </row>
    <row r="5">
      <c r="A5" s="2" t="inlineStr">
        <is>
          <t>止盈</t>
        </is>
      </c>
      <c r="B5" s="14" t="n">
        <v>0.03</v>
      </c>
      <c r="C5" s="2" t="inlineStr">
        <is>
          <t>同方向</t>
        </is>
      </c>
    </row>
    <row r="6">
      <c r="A6" s="2" t="inlineStr">
        <is>
          <t>止損</t>
        </is>
      </c>
      <c r="B6" s="14" t="n">
        <v>0.05</v>
      </c>
      <c r="C6" s="2" t="inlineStr">
        <is>
          <t>反方向</t>
        </is>
      </c>
    </row>
    <row r="7">
      <c r="A7" s="2" t="inlineStr">
        <is>
          <t>單邊手續費</t>
        </is>
      </c>
      <c r="B7" s="21" t="n">
        <v>0.0005</v>
      </c>
      <c r="C7" s="2" t="inlineStr">
        <is>
          <t>進場、出場各扣一次（可直接改此格，報酬率會重算）</t>
        </is>
      </c>
    </row>
    <row r="8">
      <c r="A8" s="2" t="inlineStr">
        <is>
          <t>流動性門檻 (USDT)</t>
        </is>
      </c>
      <c r="B8" s="22" t="n">
        <v>50000</v>
      </c>
      <c r="C8" s="2" t="inlineStr">
        <is>
          <t>近24h平均每小時成交額</t>
        </is>
      </c>
    </row>
    <row r="9">
      <c r="A9" s="2" t="inlineStr">
        <is>
          <t>動能門檻</t>
        </is>
      </c>
      <c r="B9" s="4" t="n">
        <v>0.02</v>
      </c>
      <c r="C9" s="2" t="inlineStr">
        <is>
          <t>收盤 vs 前一根收盤</t>
        </is>
      </c>
    </row>
    <row r="10">
      <c r="A10" s="2" t="inlineStr">
        <is>
          <t>ATR 門檻</t>
        </is>
      </c>
      <c r="B10" s="4" t="n">
        <v>0.02</v>
      </c>
      <c r="C10" s="2" t="inlineStr">
        <is>
          <t>ATR(14) ÷ 收盤</t>
        </is>
      </c>
    </row>
    <row r="11">
      <c r="A11" s="2" t="inlineStr">
        <is>
          <t>均線</t>
        </is>
      </c>
      <c r="B11" s="2" t="inlineStr">
        <is>
          <t>MA20</t>
        </is>
      </c>
      <c r="C11" s="2" t="inlineStr">
        <is>
          <t>做多站上 / 做空跌破</t>
        </is>
      </c>
    </row>
    <row r="12">
      <c r="A12" s="2" t="inlineStr">
        <is>
          <t>OBV 比較</t>
        </is>
      </c>
      <c r="B12" s="2" t="inlineStr">
        <is>
          <t>20 根前</t>
        </is>
      </c>
      <c r="C12" s="2" t="inlineStr">
        <is>
          <t>做多 OBV 上升 / 做空 OBV 下降</t>
        </is>
      </c>
    </row>
    <row r="13">
      <c r="A13" s="2" t="inlineStr">
        <is>
          <t>價格上限</t>
        </is>
      </c>
      <c r="B13" s="2" t="inlineStr">
        <is>
          <t>不限</t>
        </is>
      </c>
      <c r="C13" s="2" t="inlineStr">
        <is>
          <t>訊號當下收盤價須低於此值</t>
        </is>
      </c>
    </row>
    <row r="14">
      <c r="A14" s="2" t="inlineStr">
        <is>
          <t>時間停損</t>
        </is>
      </c>
      <c r="B14" s="2" t="inlineStr">
        <is>
          <t>無</t>
        </is>
      </c>
      <c r="C14" s="2" t="inlineStr">
        <is>
          <t>小時</t>
        </is>
      </c>
    </row>
    <row r="15">
      <c r="A15" s="2" t="inlineStr">
        <is>
          <t>同K棒雙觸發</t>
        </is>
      </c>
      <c r="B15" s="2" t="inlineStr">
        <is>
          <t>5M/15M/30M 依序判斷</t>
        </is>
      </c>
      <c r="C15" s="2" t="inlineStr"/>
    </row>
    <row r="16">
      <c r="A16" s="2" t="inlineStr">
        <is>
          <t>盈虧平衡勝率</t>
        </is>
      </c>
      <c r="B16" s="4">
        <f>IFERROR(AVERAGE(交易明細!$AC$2:$AC$509),(B6+2*B7)/(B5+B6))</f>
        <v/>
      </c>
      <c r="C16" s="2" t="inlineStr">
        <is>
          <t>含手續費，各筆平均；勝率低於此值 = 長期虧損</t>
        </is>
      </c>
    </row>
    <row r="17">
      <c r="A17" s="2" t="inlineStr">
        <is>
          <t>MA20乖離上限</t>
        </is>
      </c>
      <c r="B17" s="4" t="n">
        <v>0.06</v>
      </c>
      <c r="C17" s="2" t="inlineStr">
        <is>
          <t>超過不進場</t>
        </is>
      </c>
    </row>
    <row r="18">
      <c r="A18" s="2" t="inlineStr">
        <is>
          <t>1h漲跌幅上限</t>
        </is>
      </c>
      <c r="B18" s="4" t="n">
        <v>0.1</v>
      </c>
      <c r="C18" s="2" t="inlineStr">
        <is>
          <t>超過不進場</t>
        </is>
      </c>
    </row>
    <row r="19">
      <c r="A19" s="2" t="inlineStr">
        <is>
          <t>出場後冷卻</t>
        </is>
      </c>
      <c r="B19" s="2" t="n">
        <v>1</v>
      </c>
      <c r="C19" s="2" t="inlineStr">
        <is>
          <t>K棒數</t>
        </is>
      </c>
    </row>
    <row r="20">
      <c r="A20" s="2" t="inlineStr">
        <is>
          <t>量比下限</t>
        </is>
      </c>
      <c r="B20" s="2" t="n">
        <v>0.35</v>
      </c>
      <c r="C20" s="2" t="inlineStr">
        <is>
          <t>訊號K量 ÷ 前20根均量</t>
        </is>
      </c>
    </row>
    <row r="21">
      <c r="A21" s="2" t="inlineStr">
        <is>
          <t>收盤強度下限</t>
        </is>
      </c>
      <c r="B21" s="2" t="inlineStr">
        <is>
          <t>不限</t>
        </is>
      </c>
      <c r="C21" s="2" t="inlineStr">
        <is>
          <t>1=收在順勢端極值</t>
        </is>
      </c>
    </row>
    <row r="22">
      <c r="A22" s="2" t="inlineStr">
        <is>
          <t>長週期趨勢過濾</t>
        </is>
      </c>
      <c r="B22" s="2" t="inlineStr">
        <is>
          <t>關閉</t>
        </is>
      </c>
      <c r="C22" s="2" t="inlineStr">
        <is>
          <t>1h K棒</t>
        </is>
      </c>
    </row>
    <row r="23">
      <c r="A23" s="2" t="inlineStr">
        <is>
          <t>BTC 趨勢過濾</t>
        </is>
      </c>
      <c r="B23" s="2" t="inlineStr">
        <is>
          <t>關閉</t>
        </is>
      </c>
      <c r="C23" s="2" t="inlineStr">
        <is>
          <t>BTC 收盤 vs 自身 MA20</t>
        </is>
      </c>
    </row>
    <row r="24">
      <c r="A24" s="2" t="inlineStr">
        <is>
          <t>24h盤整排除</t>
        </is>
      </c>
      <c r="B24" s="2" t="inlineStr">
        <is>
          <t>關閉</t>
        </is>
      </c>
      <c r="C24" s="2" t="inlineStr">
        <is>
          <t>|24h漲跌| 低於此值不進場</t>
        </is>
      </c>
    </row>
    <row r="25">
      <c r="A25" s="2" t="inlineStr">
        <is>
          <t>BTC同向乖離上限</t>
        </is>
      </c>
      <c r="B25" s="2" t="inlineStr">
        <is>
          <t>關閉</t>
        </is>
      </c>
      <c r="C25" s="2" t="inlineStr">
        <is>
          <t>BTC 已同向偏離MA20超過此值不進場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17" customWidth="1" min="4" max="4"/>
    <col width="13" customWidth="1" min="5" max="5"/>
    <col width="13" customWidth="1" min="6" max="6"/>
    <col width="13" customWidth="1" min="7" max="7"/>
    <col width="17" customWidth="1" min="8" max="8"/>
    <col width="13" customWidth="1" min="9" max="9"/>
    <col width="9" customWidth="1" min="10" max="10"/>
    <col width="9" customWidth="1" min="11" max="11"/>
    <col width="11" customWidth="1" min="12" max="12"/>
    <col width="30" customWidth="1" min="13" max="13"/>
    <col width="10" customWidth="1" min="14" max="14"/>
    <col width="9" customWidth="1" min="15" max="15"/>
    <col width="11" customWidth="1" min="16" max="16"/>
    <col width="16" customWidth="1" min="17" max="17"/>
    <col width="16" customWidth="1" min="18" max="18"/>
    <col width="12" customWidth="1" min="19" max="19"/>
    <col width="12" customWidth="1" min="20" max="20"/>
    <col width="8" customWidth="1" min="21" max="21"/>
    <col width="9" customWidth="1" min="22" max="22"/>
    <col width="14" customWidth="1" min="23" max="23"/>
    <col width="12" customWidth="1" min="24" max="24"/>
    <col width="14" customWidth="1" min="25" max="25"/>
    <col width="15" customWidth="1" min="26" max="26"/>
    <col width="8" customWidth="1" min="27" max="27"/>
    <col width="8" customWidth="1" min="28" max="28"/>
    <col width="12" customWidth="1" min="29" max="29"/>
  </cols>
  <sheetData>
    <row r="1">
      <c r="A1" s="3" t="inlineStr">
        <is>
          <t>編號</t>
        </is>
      </c>
      <c r="B1" s="3" t="inlineStr">
        <is>
          <t>交易對</t>
        </is>
      </c>
      <c r="C1" s="3" t="inlineStr">
        <is>
          <t>方向</t>
        </is>
      </c>
      <c r="D1" s="3" t="inlineStr">
        <is>
          <t>進場時間</t>
        </is>
      </c>
      <c r="E1" s="3" t="inlineStr">
        <is>
          <t>進場價</t>
        </is>
      </c>
      <c r="F1" s="3" t="inlineStr">
        <is>
          <t>止盈價</t>
        </is>
      </c>
      <c r="G1" s="3" t="inlineStr">
        <is>
          <t>止損價</t>
        </is>
      </c>
      <c r="H1" s="3" t="inlineStr">
        <is>
          <t>出場時間</t>
        </is>
      </c>
      <c r="I1" s="3" t="inlineStr">
        <is>
          <t>出場價</t>
        </is>
      </c>
      <c r="J1" s="3" t="inlineStr">
        <is>
          <t>結果</t>
        </is>
      </c>
      <c r="K1" s="3" t="inlineStr">
        <is>
          <t>持倉小時</t>
        </is>
      </c>
      <c r="L1" s="3" t="inlineStr">
        <is>
          <t>報酬率(含費)</t>
        </is>
      </c>
      <c r="M1" s="3" t="inlineStr">
        <is>
          <t>判定說明</t>
        </is>
      </c>
      <c r="N1" s="3" t="inlineStr">
        <is>
          <t>前一根漲跌幅</t>
        </is>
      </c>
      <c r="O1" s="3" t="inlineStr">
        <is>
          <t>ATR%</t>
        </is>
      </c>
      <c r="P1" s="3" t="inlineStr">
        <is>
          <t>價格vsMA20</t>
        </is>
      </c>
      <c r="Q1" s="3" t="inlineStr">
        <is>
          <t>OBV 20h變化</t>
        </is>
      </c>
      <c r="R1" s="3" t="inlineStr">
        <is>
          <t>24h成交額(USDT)</t>
        </is>
      </c>
      <c r="S1" s="3" t="inlineStr">
        <is>
          <t>最大有利(MFE)</t>
        </is>
      </c>
      <c r="T1" s="3" t="inlineStr">
        <is>
          <t>最大不利(MAE)</t>
        </is>
      </c>
      <c r="U1" s="3" t="inlineStr">
        <is>
          <t>量比</t>
        </is>
      </c>
      <c r="V1" s="3" t="inlineStr">
        <is>
          <t>收盤強度</t>
        </is>
      </c>
      <c r="W1" s="3" t="inlineStr">
        <is>
          <t>長週期趨勢(順勢)</t>
        </is>
      </c>
      <c r="X1" s="3" t="inlineStr">
        <is>
          <t>24h漲跌(順勢)</t>
        </is>
      </c>
      <c r="Y1" s="3" t="inlineStr">
        <is>
          <t>BTC 1h漲跌(順勢)</t>
        </is>
      </c>
      <c r="Z1" s="3" t="inlineStr">
        <is>
          <t>BTC vs MA20(順勢)</t>
        </is>
      </c>
      <c r="AA1" s="3" t="inlineStr">
        <is>
          <t>止盈%</t>
        </is>
      </c>
      <c r="AB1" s="3" t="inlineStr">
        <is>
          <t>止損%</t>
        </is>
      </c>
      <c r="AC1" s="3" t="inlineStr">
        <is>
          <t>盈虧平衡勝率</t>
        </is>
      </c>
    </row>
    <row r="2">
      <c r="A2" s="2" t="n">
        <v>1</v>
      </c>
      <c r="B2" s="2" t="inlineStr">
        <is>
          <t>HEMI_USDT_PERP</t>
        </is>
      </c>
      <c r="C2" s="2" t="inlineStr">
        <is>
          <t>做多</t>
        </is>
      </c>
      <c r="D2" s="7" t="n">
        <v>46266.04166666666</v>
      </c>
      <c r="E2" s="20" t="n">
        <v>0.01515</v>
      </c>
      <c r="F2" s="20" t="n">
        <v>0.0156045</v>
      </c>
      <c r="G2" s="20" t="n">
        <v>0.0143925</v>
      </c>
      <c r="H2" s="7" t="n">
        <v>46266.08333333334</v>
      </c>
      <c r="I2" s="20" t="n">
        <v>0.0156045</v>
      </c>
      <c r="J2" s="2" t="inlineStr">
        <is>
          <t>止盈</t>
        </is>
      </c>
      <c r="K2" s="5">
        <f>(H2-D2)*24</f>
        <v/>
      </c>
      <c r="L2" s="4">
        <f>IF(C2="做多",I2/E2-1,1-I2/E2)-2*參數!$B$7</f>
        <v/>
      </c>
      <c r="M2" s="2" t="inlineStr"/>
      <c r="N2" s="4" t="n">
        <v>0.02642276422764223</v>
      </c>
      <c r="O2" s="4" t="n">
        <v>0.05470105940620101</v>
      </c>
      <c r="P2" s="4" t="n">
        <v>0.00687867610407733</v>
      </c>
      <c r="Q2" s="22" t="n">
        <v>30338196</v>
      </c>
      <c r="R2" s="22" t="n">
        <v>2527661.32773</v>
      </c>
      <c r="S2" s="4" t="n">
        <v>0.03</v>
      </c>
      <c r="T2" s="4" t="n">
        <v>0</v>
      </c>
      <c r="U2" s="19" t="n">
        <v>1.495606184646306</v>
      </c>
      <c r="V2" s="19" t="n">
        <v>0.7758620689655177</v>
      </c>
      <c r="W2" s="4" t="n">
        <v>0.2605566418438239</v>
      </c>
      <c r="X2" s="4" t="n">
        <v>0.3004291845493561</v>
      </c>
      <c r="Y2" s="4" t="n">
        <v>0.0007855559559017955</v>
      </c>
      <c r="Z2" s="4" t="n">
        <v>0.006187354341353091</v>
      </c>
      <c r="AA2" s="4" t="n">
        <v>0.03</v>
      </c>
      <c r="AB2" s="4" t="n">
        <v>0.05</v>
      </c>
      <c r="AC2" s="4">
        <f>(AB2+2*參數!$B$7)/(AA2+AB2)</f>
        <v/>
      </c>
    </row>
    <row r="3">
      <c r="A3" s="2" t="n">
        <v>2</v>
      </c>
      <c r="B3" s="2" t="inlineStr">
        <is>
          <t>SKYAI_USDT_PERP</t>
        </is>
      </c>
      <c r="C3" s="2" t="inlineStr">
        <is>
          <t>做空</t>
        </is>
      </c>
      <c r="D3" s="7" t="n">
        <v>46266.04166666666</v>
      </c>
      <c r="E3" s="20" t="n">
        <v>0.0548</v>
      </c>
      <c r="F3" s="20" t="n">
        <v>0.053156</v>
      </c>
      <c r="G3" s="20" t="n">
        <v>0.05754</v>
      </c>
      <c r="H3" s="7" t="n">
        <v>46266.33333333334</v>
      </c>
      <c r="I3" s="20" t="n">
        <v>0.053156</v>
      </c>
      <c r="J3" s="2" t="inlineStr">
        <is>
          <t>止盈</t>
        </is>
      </c>
      <c r="K3" s="5">
        <f>(H3-D3)*24</f>
        <v/>
      </c>
      <c r="L3" s="4">
        <f>IF(C3="做多",I3/E3-1,1-I3/E3)-2*參數!$B$7</f>
        <v/>
      </c>
      <c r="M3" s="2" t="inlineStr"/>
      <c r="N3" s="4" t="n">
        <v>-0.02107895677027516</v>
      </c>
      <c r="O3" s="4" t="n">
        <v>0.03036846288788104</v>
      </c>
      <c r="P3" s="4" t="n">
        <v>-0.00398949463372078</v>
      </c>
      <c r="Q3" s="22" t="n">
        <v>-39041574</v>
      </c>
      <c r="R3" s="22" t="n">
        <v>3589003.914609999</v>
      </c>
      <c r="S3" s="4" t="n">
        <v>0.03</v>
      </c>
      <c r="T3" s="4" t="n">
        <v>0.02317518248175188</v>
      </c>
      <c r="U3" s="19" t="n">
        <v>1.368973465594542</v>
      </c>
      <c r="V3" s="19" t="n">
        <v>0.6205128205128183</v>
      </c>
      <c r="W3" s="4" t="n">
        <v>-0.003001683871440175</v>
      </c>
      <c r="X3" s="4" t="n">
        <v>-0.0146269209405665</v>
      </c>
      <c r="Y3" s="4" t="n">
        <v>-0.0007855559559017955</v>
      </c>
      <c r="Z3" s="4" t="n">
        <v>-0.006187354341353091</v>
      </c>
      <c r="AA3" s="4" t="n">
        <v>0.03</v>
      </c>
      <c r="AB3" s="4" t="n">
        <v>0.05</v>
      </c>
      <c r="AC3" s="4">
        <f>(AB3+2*參數!$B$7)/(AA3+AB3)</f>
        <v/>
      </c>
    </row>
    <row r="4">
      <c r="A4" s="2" t="n">
        <v>3</v>
      </c>
      <c r="B4" s="2" t="inlineStr">
        <is>
          <t>XMR_USDT_PERP</t>
        </is>
      </c>
      <c r="C4" s="2" t="inlineStr">
        <is>
          <t>做多</t>
        </is>
      </c>
      <c r="D4" s="7" t="n">
        <v>46266.125</v>
      </c>
      <c r="E4" s="20" t="n">
        <v>531.58</v>
      </c>
      <c r="F4" s="20" t="n">
        <v>547.5274000000001</v>
      </c>
      <c r="G4" s="20" t="n">
        <v>505.001</v>
      </c>
      <c r="H4" s="7" t="n">
        <v>46267</v>
      </c>
      <c r="I4" s="20" t="n">
        <v>505.001</v>
      </c>
      <c r="J4" s="2" t="inlineStr">
        <is>
          <t>止損</t>
        </is>
      </c>
      <c r="K4" s="5">
        <f>(H4-D4)*24</f>
        <v/>
      </c>
      <c r="L4" s="4">
        <f>IF(C4="做多",I4/E4-1,1-I4/E4)-2*參數!$B$7</f>
        <v/>
      </c>
      <c r="M4" s="2" t="inlineStr"/>
      <c r="N4" s="4" t="n">
        <v>0.03173340061720009</v>
      </c>
      <c r="O4" s="4" t="n">
        <v>0.02639685576545119</v>
      </c>
      <c r="P4" s="4" t="n">
        <v>0.03092303664413798</v>
      </c>
      <c r="Q4" s="22" t="n">
        <v>1601.156000000001</v>
      </c>
      <c r="R4" s="22" t="n">
        <v>2853090.69898</v>
      </c>
      <c r="S4" s="4" t="n">
        <v>0.002539598931487141</v>
      </c>
      <c r="T4" s="4" t="n">
        <v>0.05</v>
      </c>
      <c r="U4" s="19" t="n">
        <v>1.128300625507329</v>
      </c>
      <c r="V4" s="19" t="n">
        <v>0.7272727272727273</v>
      </c>
      <c r="W4" s="4" t="n">
        <v>0.1042064453517724</v>
      </c>
      <c r="X4" s="4" t="n">
        <v>0.07910923448569873</v>
      </c>
      <c r="Y4" s="4" t="n">
        <v>0.001463260001267841</v>
      </c>
      <c r="Z4" s="4" t="n">
        <v>0.01045731021797081</v>
      </c>
      <c r="AA4" s="4" t="n">
        <v>0.03</v>
      </c>
      <c r="AB4" s="4" t="n">
        <v>0.05</v>
      </c>
      <c r="AC4" s="4">
        <f>(AB4+2*參數!$B$7)/(AA4+AB4)</f>
        <v/>
      </c>
    </row>
    <row r="5">
      <c r="A5" s="2" t="n">
        <v>4</v>
      </c>
      <c r="B5" s="2" t="inlineStr">
        <is>
          <t>SKR_USDT_PERP</t>
        </is>
      </c>
      <c r="C5" s="2" t="inlineStr">
        <is>
          <t>做多</t>
        </is>
      </c>
      <c r="D5" s="7" t="n">
        <v>46266.25</v>
      </c>
      <c r="E5" s="20" t="n">
        <v>0.028369</v>
      </c>
      <c r="F5" s="20" t="n">
        <v>0.02922007</v>
      </c>
      <c r="G5" s="20" t="n">
        <v>0.02695055</v>
      </c>
      <c r="H5" s="7" t="n">
        <v>46266.29166666666</v>
      </c>
      <c r="I5" s="20" t="n">
        <v>0.02922007</v>
      </c>
      <c r="J5" s="2" t="inlineStr">
        <is>
          <t>止盈</t>
        </is>
      </c>
      <c r="K5" s="5">
        <f>(H5-D5)*24</f>
        <v/>
      </c>
      <c r="L5" s="4">
        <f>IF(C5="做多",I5/E5-1,1-I5/E5)-2*參數!$B$7</f>
        <v/>
      </c>
      <c r="M5" s="2" t="inlineStr"/>
      <c r="N5" s="4" t="n">
        <v>0.04045331181691481</v>
      </c>
      <c r="O5" s="4" t="n">
        <v>0.09778674408808148</v>
      </c>
      <c r="P5" s="4" t="n">
        <v>0.03511751752774406</v>
      </c>
      <c r="Q5" s="22" t="n">
        <v>9164683</v>
      </c>
      <c r="R5" s="22" t="n">
        <v>8694027.935574001</v>
      </c>
      <c r="S5" s="4" t="n">
        <v>0.03</v>
      </c>
      <c r="T5" s="4" t="n">
        <v>0</v>
      </c>
      <c r="U5" s="19" t="n">
        <v>0.4509423838395649</v>
      </c>
      <c r="V5" s="19" t="n">
        <v>0.5549836218998594</v>
      </c>
      <c r="W5" s="4" t="n">
        <v>0.8471313111187941</v>
      </c>
      <c r="X5" s="4" t="n">
        <v>0.243654377274122</v>
      </c>
      <c r="Y5" s="4" t="n">
        <v>0.001199980719125859</v>
      </c>
      <c r="Z5" s="4" t="n">
        <v>0.007557331014468316</v>
      </c>
      <c r="AA5" s="4" t="n">
        <v>0.03</v>
      </c>
      <c r="AB5" s="4" t="n">
        <v>0.05</v>
      </c>
      <c r="AC5" s="4">
        <f>(AB5+2*參數!$B$7)/(AA5+AB5)</f>
        <v/>
      </c>
    </row>
    <row r="6">
      <c r="A6" s="2" t="n">
        <v>5</v>
      </c>
      <c r="B6" s="2" t="inlineStr">
        <is>
          <t>PUMP_USDT_PERP</t>
        </is>
      </c>
      <c r="C6" s="2" t="inlineStr">
        <is>
          <t>做多</t>
        </is>
      </c>
      <c r="D6" s="7" t="n">
        <v>46266.375</v>
      </c>
      <c r="E6" s="20" t="n">
        <v>0.004605</v>
      </c>
      <c r="F6" s="20" t="n">
        <v>0.00474315</v>
      </c>
      <c r="G6" s="20" t="n">
        <v>0.004374749999999999</v>
      </c>
      <c r="H6" s="7" t="n">
        <v>46266.75</v>
      </c>
      <c r="I6" s="20" t="n">
        <v>0.004374749999999999</v>
      </c>
      <c r="J6" s="2" t="inlineStr">
        <is>
          <t>止損</t>
        </is>
      </c>
      <c r="K6" s="5">
        <f>(H6-D6)*24</f>
        <v/>
      </c>
      <c r="L6" s="4">
        <f>IF(C6="做多",I6/E6-1,1-I6/E6)-2*參數!$B$7</f>
        <v/>
      </c>
      <c r="M6" s="2" t="inlineStr"/>
      <c r="N6" s="4" t="n">
        <v>0.03483146067415732</v>
      </c>
      <c r="O6" s="4" t="n">
        <v>0.02096548042486326</v>
      </c>
      <c r="P6" s="4" t="n">
        <v>0.05365518819357051</v>
      </c>
      <c r="Q6" s="22" t="n">
        <v>1426177257</v>
      </c>
      <c r="R6" s="22" t="n">
        <v>14089272.884552</v>
      </c>
      <c r="S6" s="4" t="n">
        <v>0.007383279044516966</v>
      </c>
      <c r="T6" s="4" t="n">
        <v>0.05</v>
      </c>
      <c r="U6" s="19" t="n">
        <v>1.917056464477756</v>
      </c>
      <c r="V6" s="19" t="n">
        <v>0.6437246963562734</v>
      </c>
      <c r="W6" s="4" t="n">
        <v>-0.01163501967071667</v>
      </c>
      <c r="X6" s="4" t="n">
        <v>0.02629819478493434</v>
      </c>
      <c r="Y6" s="4" t="n">
        <v>0.0008695142941528289</v>
      </c>
      <c r="Z6" s="4" t="n">
        <v>0.001681064995573855</v>
      </c>
      <c r="AA6" s="4" t="n">
        <v>0.03</v>
      </c>
      <c r="AB6" s="4" t="n">
        <v>0.05</v>
      </c>
      <c r="AC6" s="4">
        <f>(AB6+2*參數!$B$7)/(AA6+AB6)</f>
        <v/>
      </c>
    </row>
    <row r="7">
      <c r="A7" s="2" t="n">
        <v>6</v>
      </c>
      <c r="B7" s="2" t="inlineStr">
        <is>
          <t>ARB_USDT_PERP</t>
        </is>
      </c>
      <c r="C7" s="2" t="inlineStr">
        <is>
          <t>做多</t>
        </is>
      </c>
      <c r="D7" s="7" t="n">
        <v>46266.75</v>
      </c>
      <c r="E7" s="20" t="n">
        <v>0.1099</v>
      </c>
      <c r="F7" s="20" t="n">
        <v>0.113197</v>
      </c>
      <c r="G7" s="20" t="n">
        <v>0.104405</v>
      </c>
      <c r="H7" s="7" t="n">
        <v>46266.79166666666</v>
      </c>
      <c r="I7" s="20" t="n">
        <v>0.113197</v>
      </c>
      <c r="J7" s="2" t="inlineStr">
        <is>
          <t>止盈</t>
        </is>
      </c>
      <c r="K7" s="5">
        <f>(H7-D7)*24</f>
        <v/>
      </c>
      <c r="L7" s="4">
        <f>IF(C7="做多",I7/E7-1,1-I7/E7)-2*參數!$B$7</f>
        <v/>
      </c>
      <c r="M7" s="2" t="inlineStr"/>
      <c r="N7" s="4" t="n">
        <v>0.02902621722846432</v>
      </c>
      <c r="O7" s="4" t="n">
        <v>0.03363246125514272</v>
      </c>
      <c r="P7" s="4" t="n">
        <v>0.05227882037533504</v>
      </c>
      <c r="Q7" s="22" t="n">
        <v>2948217.4</v>
      </c>
      <c r="R7" s="22" t="n">
        <v>1581318.66542</v>
      </c>
      <c r="S7" s="4" t="n">
        <v>0.03</v>
      </c>
      <c r="T7" s="4" t="n">
        <v>0</v>
      </c>
      <c r="U7" s="19" t="n">
        <v>4.184123517013983</v>
      </c>
      <c r="V7" s="19" t="n">
        <v>0.8571428571428562</v>
      </c>
      <c r="W7" s="4" t="n">
        <v>0.2081038595565523</v>
      </c>
      <c r="X7" s="4" t="n">
        <v>0.2705202312138728</v>
      </c>
      <c r="Y7" s="4" t="n">
        <v>0.0003249835260326073</v>
      </c>
      <c r="Z7" s="4" t="n">
        <v>-0.009362698788719204</v>
      </c>
      <c r="AA7" s="4" t="n">
        <v>0.03</v>
      </c>
      <c r="AB7" s="4" t="n">
        <v>0.05</v>
      </c>
      <c r="AC7" s="4">
        <f>(AB7+2*參數!$B$7)/(AA7+AB7)</f>
        <v/>
      </c>
    </row>
    <row r="8">
      <c r="A8" s="2" t="n">
        <v>7</v>
      </c>
      <c r="B8" s="2" t="inlineStr">
        <is>
          <t>USELESS_USDT_PERP</t>
        </is>
      </c>
      <c r="C8" s="2" t="inlineStr">
        <is>
          <t>做多</t>
        </is>
      </c>
      <c r="D8" s="7" t="n">
        <v>46266.75</v>
      </c>
      <c r="E8" s="20" t="n">
        <v>0.09113</v>
      </c>
      <c r="F8" s="20" t="n">
        <v>0.0938639</v>
      </c>
      <c r="G8" s="20" t="n">
        <v>0.0865735</v>
      </c>
      <c r="H8" s="7" t="n">
        <v>46266.79166666666</v>
      </c>
      <c r="I8" s="20" t="n">
        <v>0.0938639</v>
      </c>
      <c r="J8" s="2" t="inlineStr">
        <is>
          <t>止盈</t>
        </is>
      </c>
      <c r="K8" s="5">
        <f>(H8-D8)*24</f>
        <v/>
      </c>
      <c r="L8" s="4">
        <f>IF(C8="做多",I8/E8-1,1-I8/E8)-2*參數!$B$7</f>
        <v/>
      </c>
      <c r="M8" s="2" t="inlineStr"/>
      <c r="N8" s="4" t="n">
        <v>0.03134902670891826</v>
      </c>
      <c r="O8" s="4" t="n">
        <v>0.04174065720300272</v>
      </c>
      <c r="P8" s="4" t="n">
        <v>0.01693969557648534</v>
      </c>
      <c r="Q8" s="22" t="n">
        <v>4835282</v>
      </c>
      <c r="R8" s="22" t="n">
        <v>3907392.8932</v>
      </c>
      <c r="S8" s="4" t="n">
        <v>0.03</v>
      </c>
      <c r="T8" s="4" t="n">
        <v>0</v>
      </c>
      <c r="U8" s="19" t="n">
        <v>0.8352760034916105</v>
      </c>
      <c r="V8" s="19" t="n">
        <v>0.6997635933806161</v>
      </c>
      <c r="W8" s="4" t="n">
        <v>0.3208337500344234</v>
      </c>
      <c r="X8" s="4" t="n">
        <v>0.3165270153134931</v>
      </c>
      <c r="Y8" s="4" t="n">
        <v>0.0003249835260326073</v>
      </c>
      <c r="Z8" s="4" t="n">
        <v>-0.009362698788719204</v>
      </c>
      <c r="AA8" s="4" t="n">
        <v>0.03</v>
      </c>
      <c r="AB8" s="4" t="n">
        <v>0.05</v>
      </c>
      <c r="AC8" s="4">
        <f>(AB8+2*參數!$B$7)/(AA8+AB8)</f>
        <v/>
      </c>
    </row>
    <row r="9">
      <c r="A9" s="2" t="n">
        <v>8</v>
      </c>
      <c r="B9" s="2" t="inlineStr">
        <is>
          <t>HEMI_USDT_PERP</t>
        </is>
      </c>
      <c r="C9" s="2" t="inlineStr">
        <is>
          <t>做多</t>
        </is>
      </c>
      <c r="D9" s="7" t="n">
        <v>46266.83333333334</v>
      </c>
      <c r="E9" s="20" t="n">
        <v>0.0161</v>
      </c>
      <c r="F9" s="20" t="n">
        <v>0.016583</v>
      </c>
      <c r="G9" s="20" t="n">
        <v>0.015295</v>
      </c>
      <c r="H9" s="7" t="n">
        <v>46267</v>
      </c>
      <c r="I9" s="20" t="n">
        <v>0.016583</v>
      </c>
      <c r="J9" s="2" t="inlineStr">
        <is>
          <t>止盈</t>
        </is>
      </c>
      <c r="K9" s="5">
        <f>(H9-D9)*24</f>
        <v/>
      </c>
      <c r="L9" s="4">
        <f>IF(C9="做多",I9/E9-1,1-I9/E9)-2*參數!$B$7</f>
        <v/>
      </c>
      <c r="M9" s="2" t="inlineStr"/>
      <c r="N9" s="4" t="n">
        <v>0.0400516795865633</v>
      </c>
      <c r="O9" s="4" t="n">
        <v>0.05309048080992258</v>
      </c>
      <c r="P9" s="4" t="n">
        <v>0.03185284881112604</v>
      </c>
      <c r="Q9" s="22" t="n">
        <v>21786432</v>
      </c>
      <c r="R9" s="22" t="n">
        <v>2485334.30933</v>
      </c>
      <c r="S9" s="4" t="n">
        <v>0.03</v>
      </c>
      <c r="T9" s="4" t="n">
        <v>0.03229813664596271</v>
      </c>
      <c r="U9" s="19" t="n">
        <v>0.4854555047945848</v>
      </c>
      <c r="V9" s="19" t="n">
        <v>0.5937500000000002</v>
      </c>
      <c r="W9" s="4" t="n">
        <v>0.230642227080244</v>
      </c>
      <c r="X9" s="4" t="n">
        <v>0.07981220657276999</v>
      </c>
      <c r="Y9" s="4" t="n">
        <v>0.0008757757603734539</v>
      </c>
      <c r="Z9" s="4" t="n">
        <v>-0.006401794722503573</v>
      </c>
      <c r="AA9" s="4" t="n">
        <v>0.03</v>
      </c>
      <c r="AB9" s="4" t="n">
        <v>0.05</v>
      </c>
      <c r="AC9" s="4">
        <f>(AB9+2*參數!$B$7)/(AA9+AB9)</f>
        <v/>
      </c>
    </row>
    <row r="10">
      <c r="A10" s="2" t="n">
        <v>9</v>
      </c>
      <c r="B10" s="2" t="inlineStr">
        <is>
          <t>PUMP_USDT_PERP</t>
        </is>
      </c>
      <c r="C10" s="2" t="inlineStr">
        <is>
          <t>做多</t>
        </is>
      </c>
      <c r="D10" s="7" t="n">
        <v>46266.91666666666</v>
      </c>
      <c r="E10" s="20" t="n">
        <v>0.004467</v>
      </c>
      <c r="F10" s="20" t="n">
        <v>0.00460101</v>
      </c>
      <c r="G10" s="20" t="n">
        <v>0.00424365</v>
      </c>
      <c r="H10" s="7" t="n">
        <v>46267.125</v>
      </c>
      <c r="I10" s="20" t="n">
        <v>0.00424365</v>
      </c>
      <c r="J10" s="2" t="inlineStr">
        <is>
          <t>止損</t>
        </is>
      </c>
      <c r="K10" s="5">
        <f>(H10-D10)*24</f>
        <v/>
      </c>
      <c r="L10" s="4">
        <f>IF(C10="做多",I10/E10-1,1-I10/E10)-2*參數!$B$7</f>
        <v/>
      </c>
      <c r="M10" s="2" t="inlineStr"/>
      <c r="N10" s="4" t="n">
        <v>0.0214955408186599</v>
      </c>
      <c r="O10" s="4" t="n">
        <v>0.02016712889467814</v>
      </c>
      <c r="P10" s="4" t="n">
        <v>0.00164811139887644</v>
      </c>
      <c r="Q10" s="22" t="n">
        <v>275449570</v>
      </c>
      <c r="R10" s="22" t="n">
        <v>7439037.937779999</v>
      </c>
      <c r="S10" s="4" t="n">
        <v>0.008506827848668186</v>
      </c>
      <c r="T10" s="4" t="n">
        <v>0.05</v>
      </c>
      <c r="U10" s="19" t="n">
        <v>1.643469630173643</v>
      </c>
      <c r="V10" s="19" t="n">
        <v>0.8590604026845623</v>
      </c>
      <c r="W10" s="4" t="n">
        <v>-0.0334516184871041</v>
      </c>
      <c r="X10" s="4" t="n">
        <v>0.04859154929577447</v>
      </c>
      <c r="Y10" s="4" t="n">
        <v>0.0009992175574966566</v>
      </c>
      <c r="Z10" s="4" t="n">
        <v>-0.005693073485656286</v>
      </c>
      <c r="AA10" s="4" t="n">
        <v>0.03</v>
      </c>
      <c r="AB10" s="4" t="n">
        <v>0.05</v>
      </c>
      <c r="AC10" s="4">
        <f>(AB10+2*參數!$B$7)/(AA10+AB10)</f>
        <v/>
      </c>
    </row>
    <row r="11">
      <c r="A11" s="2" t="n">
        <v>10</v>
      </c>
      <c r="B11" s="2" t="inlineStr">
        <is>
          <t>HEMI_USDT_PERP</t>
        </is>
      </c>
      <c r="C11" s="2" t="inlineStr">
        <is>
          <t>做空</t>
        </is>
      </c>
      <c r="D11" s="7" t="n">
        <v>46267.08333333334</v>
      </c>
      <c r="E11" s="20" t="n">
        <v>0.01546</v>
      </c>
      <c r="F11" s="20" t="n">
        <v>0.0149962</v>
      </c>
      <c r="G11" s="20" t="n">
        <v>0.016233</v>
      </c>
      <c r="H11" s="7" t="n">
        <v>46267.16666666666</v>
      </c>
      <c r="I11" s="20" t="n">
        <v>0.0149962</v>
      </c>
      <c r="J11" s="2" t="inlineStr">
        <is>
          <t>止盈</t>
        </is>
      </c>
      <c r="K11" s="5">
        <f>(H11-D11)*24</f>
        <v/>
      </c>
      <c r="L11" s="4">
        <f>IF(C11="做多",I11/E11-1,1-I11/E11)-2*參數!$B$7</f>
        <v/>
      </c>
      <c r="M11" s="2" t="inlineStr"/>
      <c r="N11" s="4" t="n">
        <v>-0.04626773596545342</v>
      </c>
      <c r="O11" s="4" t="n">
        <v>0.05211095476024893</v>
      </c>
      <c r="P11" s="4" t="n">
        <v>-0.008115997818625043</v>
      </c>
      <c r="Q11" s="22" t="n">
        <v>-8331572</v>
      </c>
      <c r="R11" s="22" t="n">
        <v>1791699.90477</v>
      </c>
      <c r="S11" s="4" t="n">
        <v>0.03</v>
      </c>
      <c r="T11" s="4" t="n">
        <v>0.0226390685640363</v>
      </c>
      <c r="U11" s="19" t="n">
        <v>1.171279734701298</v>
      </c>
      <c r="V11" s="19" t="n">
        <v>0.9871794871794877</v>
      </c>
      <c r="W11" s="4" t="n">
        <v>-0.1588336706393825</v>
      </c>
      <c r="X11" s="4" t="n">
        <v>-0</v>
      </c>
      <c r="Y11" s="4" t="n">
        <v>0.004120712640891866</v>
      </c>
      <c r="Z11" s="4" t="n">
        <v>0.01285578468135806</v>
      </c>
      <c r="AA11" s="4" t="n">
        <v>0.03</v>
      </c>
      <c r="AB11" s="4" t="n">
        <v>0.05</v>
      </c>
      <c r="AC11" s="4">
        <f>(AB11+2*參數!$B$7)/(AA11+AB11)</f>
        <v/>
      </c>
    </row>
    <row r="12">
      <c r="A12" s="2" t="n">
        <v>11</v>
      </c>
      <c r="B12" s="2" t="inlineStr">
        <is>
          <t>PUMP_USDT_PERP</t>
        </is>
      </c>
      <c r="C12" s="2" t="inlineStr">
        <is>
          <t>做空</t>
        </is>
      </c>
      <c r="D12" s="7" t="n">
        <v>46267.41666666666</v>
      </c>
      <c r="E12" s="20" t="n">
        <v>0.004146</v>
      </c>
      <c r="F12" s="20" t="n">
        <v>0.00402162</v>
      </c>
      <c r="G12" s="20" t="n">
        <v>0.004353300000000001</v>
      </c>
      <c r="H12" s="7" t="n">
        <v>46268.29166666666</v>
      </c>
      <c r="I12" s="20" t="n">
        <v>0.00402162</v>
      </c>
      <c r="J12" s="2" t="inlineStr">
        <is>
          <t>止盈</t>
        </is>
      </c>
      <c r="K12" s="5">
        <f>(H12-D12)*24</f>
        <v/>
      </c>
      <c r="L12" s="4">
        <f>IF(C12="做多",I12/E12-1,1-I12/E12)-2*參數!$B$7</f>
        <v/>
      </c>
      <c r="M12" s="2" t="inlineStr"/>
      <c r="N12" s="4" t="n">
        <v>-0.04249422632794442</v>
      </c>
      <c r="O12" s="4" t="n">
        <v>0.021872145976473</v>
      </c>
      <c r="P12" s="4" t="n">
        <v>-0.0530138644617526</v>
      </c>
      <c r="Q12" s="22" t="n">
        <v>-426829056</v>
      </c>
      <c r="R12" s="22" t="n">
        <v>6398366.633454001</v>
      </c>
      <c r="S12" s="4" t="n">
        <v>0.03</v>
      </c>
      <c r="T12" s="4" t="n">
        <v>0.04896285576459225</v>
      </c>
      <c r="U12" s="19" t="n">
        <v>11.39017319214903</v>
      </c>
      <c r="V12" s="19" t="n">
        <v>0.9802955665024604</v>
      </c>
      <c r="W12" s="4" t="n">
        <v>0.09461947157747153</v>
      </c>
      <c r="X12" s="4" t="n">
        <v>0.08597883597883593</v>
      </c>
      <c r="Y12" s="4" t="n">
        <v>0.002546012866110781</v>
      </c>
      <c r="Z12" s="4" t="n">
        <v>0.009031135908824983</v>
      </c>
      <c r="AA12" s="4" t="n">
        <v>0.03</v>
      </c>
      <c r="AB12" s="4" t="n">
        <v>0.05</v>
      </c>
      <c r="AC12" s="4">
        <f>(AB12+2*參數!$B$7)/(AA12+AB12)</f>
        <v/>
      </c>
    </row>
    <row r="13">
      <c r="A13" s="2" t="n">
        <v>12</v>
      </c>
      <c r="B13" s="2" t="inlineStr">
        <is>
          <t>牛来_USDT_PERP</t>
        </is>
      </c>
      <c r="C13" s="2" t="inlineStr">
        <is>
          <t>做空</t>
        </is>
      </c>
      <c r="D13" s="7" t="n">
        <v>46267.41666666666</v>
      </c>
      <c r="E13" s="20" t="n">
        <v>0.08327</v>
      </c>
      <c r="F13" s="20" t="n">
        <v>0.08077189999999999</v>
      </c>
      <c r="G13" s="20" t="n">
        <v>0.0874335</v>
      </c>
      <c r="H13" s="7" t="n">
        <v>46267.45833333334</v>
      </c>
      <c r="I13" s="20" t="n">
        <v>0.08077189999999999</v>
      </c>
      <c r="J13" s="2" t="inlineStr">
        <is>
          <t>止盈</t>
        </is>
      </c>
      <c r="K13" s="5">
        <f>(H13-D13)*24</f>
        <v/>
      </c>
      <c r="L13" s="4">
        <f>IF(C13="做多",I13/E13-1,1-I13/E13)-2*參數!$B$7</f>
        <v/>
      </c>
      <c r="M13" s="2" t="inlineStr"/>
      <c r="N13" s="4" t="n">
        <v>-0.03387864021348186</v>
      </c>
      <c r="O13" s="4" t="n">
        <v>0.07726779942212671</v>
      </c>
      <c r="P13" s="4" t="n">
        <v>-0.03661711112396615</v>
      </c>
      <c r="Q13" s="22" t="n">
        <v>-1142275</v>
      </c>
      <c r="R13" s="22" t="n">
        <v>1439472.26043</v>
      </c>
      <c r="S13" s="4" t="n">
        <v>0.03</v>
      </c>
      <c r="T13" s="4" t="n">
        <v>0</v>
      </c>
      <c r="U13" s="19" t="n">
        <v>1.127056935082819</v>
      </c>
      <c r="V13" s="19" t="n">
        <v>0.8582589285714293</v>
      </c>
      <c r="W13" s="4" t="n"/>
      <c r="X13" s="4" t="n">
        <v>0.2299796560014796</v>
      </c>
      <c r="Y13" s="4" t="n">
        <v>0.002546012866110781</v>
      </c>
      <c r="Z13" s="4" t="n">
        <v>0.009031135908824983</v>
      </c>
      <c r="AA13" s="4" t="n">
        <v>0.03</v>
      </c>
      <c r="AB13" s="4" t="n">
        <v>0.05</v>
      </c>
      <c r="AC13" s="4">
        <f>(AB13+2*參數!$B$7)/(AA13+AB13)</f>
        <v/>
      </c>
    </row>
    <row r="14">
      <c r="A14" s="2" t="n">
        <v>13</v>
      </c>
      <c r="B14" s="2" t="inlineStr">
        <is>
          <t>UNI_USDT_PERP</t>
        </is>
      </c>
      <c r="C14" s="2" t="inlineStr">
        <is>
          <t>做多</t>
        </is>
      </c>
      <c r="D14" s="7" t="n">
        <v>46267.45833333334</v>
      </c>
      <c r="E14" s="20" t="n">
        <v>6.019</v>
      </c>
      <c r="F14" s="20" t="n">
        <v>6.19957</v>
      </c>
      <c r="G14" s="20" t="n">
        <v>5.71805</v>
      </c>
      <c r="H14" s="7" t="n">
        <v>46267.54166666666</v>
      </c>
      <c r="I14" s="20" t="n">
        <v>6.19957</v>
      </c>
      <c r="J14" s="2" t="inlineStr">
        <is>
          <t>止盈</t>
        </is>
      </c>
      <c r="K14" s="5">
        <f>(H14-D14)*24</f>
        <v/>
      </c>
      <c r="L14" s="4">
        <f>IF(C14="做多",I14/E14-1,1-I14/E14)-2*參數!$B$7</f>
        <v/>
      </c>
      <c r="M14" s="2" t="inlineStr"/>
      <c r="N14" s="4" t="n">
        <v>0.02959288402326377</v>
      </c>
      <c r="O14" s="4" t="n">
        <v>0.02171537265407652</v>
      </c>
      <c r="P14" s="4" t="n">
        <v>0.04390506169948938</v>
      </c>
      <c r="Q14" s="22" t="n">
        <v>57862</v>
      </c>
      <c r="R14" s="22" t="n">
        <v>5340979.182999999</v>
      </c>
      <c r="S14" s="4" t="n">
        <v>0.03</v>
      </c>
      <c r="T14" s="4" t="n">
        <v>0.00930387107492936</v>
      </c>
      <c r="U14" s="19" t="n">
        <v>1.166212519579696</v>
      </c>
      <c r="V14" s="19" t="n">
        <v>0.911999999999999</v>
      </c>
      <c r="W14" s="4" t="n">
        <v>0.1788438751628034</v>
      </c>
      <c r="X14" s="4" t="n">
        <v>0.153065134099617</v>
      </c>
      <c r="Y14" s="4" t="n">
        <v>0.004116493251756781</v>
      </c>
      <c r="Z14" s="4" t="n">
        <v>-0.004050543276314711</v>
      </c>
      <c r="AA14" s="4" t="n">
        <v>0.03</v>
      </c>
      <c r="AB14" s="4" t="n">
        <v>0.05</v>
      </c>
      <c r="AC14" s="4">
        <f>(AB14+2*參數!$B$7)/(AA14+AB14)</f>
        <v/>
      </c>
    </row>
    <row r="15">
      <c r="A15" s="2" t="n">
        <v>14</v>
      </c>
      <c r="B15" s="2" t="inlineStr">
        <is>
          <t>CRV_USDT_PERP</t>
        </is>
      </c>
      <c r="C15" s="2" t="inlineStr">
        <is>
          <t>做多</t>
        </is>
      </c>
      <c r="D15" s="7" t="n">
        <v>46267.5</v>
      </c>
      <c r="E15" s="20" t="n">
        <v>0.3838</v>
      </c>
      <c r="F15" s="20" t="n">
        <v>0.395314</v>
      </c>
      <c r="G15" s="20" t="n">
        <v>0.3646099999999999</v>
      </c>
      <c r="H15" s="7" t="n">
        <v>46267.79166666666</v>
      </c>
      <c r="I15" s="20" t="n">
        <v>0.3646099999999999</v>
      </c>
      <c r="J15" s="2" t="inlineStr">
        <is>
          <t>止損</t>
        </is>
      </c>
      <c r="K15" s="5">
        <f>(H15-D15)*24</f>
        <v/>
      </c>
      <c r="L15" s="4">
        <f>IF(C15="做多",I15/E15-1,1-I15/E15)-2*參數!$B$7</f>
        <v/>
      </c>
      <c r="M15" s="2" t="inlineStr"/>
      <c r="N15" s="4" t="n">
        <v>0.02183173588924392</v>
      </c>
      <c r="O15" s="4" t="n">
        <v>0.02279439039706492</v>
      </c>
      <c r="P15" s="4" t="n">
        <v>0.04797531605821481</v>
      </c>
      <c r="Q15" s="22" t="n">
        <v>830427.7000000002</v>
      </c>
      <c r="R15" s="22" t="n">
        <v>1422562.09482</v>
      </c>
      <c r="S15" s="4" t="n">
        <v>0.003908285565398684</v>
      </c>
      <c r="T15" s="4" t="n">
        <v>0.05</v>
      </c>
      <c r="U15" s="19" t="n">
        <v>1.260294498787033</v>
      </c>
      <c r="V15" s="19" t="n">
        <v>0.4734042553191474</v>
      </c>
      <c r="W15" s="4" t="n">
        <v>0.192432805261866</v>
      </c>
      <c r="X15" s="4" t="n">
        <v>0.07236658284436981</v>
      </c>
      <c r="Y15" s="4" t="n">
        <v>0.003032345449347496</v>
      </c>
      <c r="Z15" s="4" t="n">
        <v>-0.0003440518451383046</v>
      </c>
      <c r="AA15" s="4" t="n">
        <v>0.03</v>
      </c>
      <c r="AB15" s="4" t="n">
        <v>0.05</v>
      </c>
      <c r="AC15" s="4">
        <f>(AB15+2*參數!$B$7)/(AA15+AB15)</f>
        <v/>
      </c>
    </row>
    <row r="16">
      <c r="A16" s="2" t="n">
        <v>15</v>
      </c>
      <c r="B16" s="2" t="inlineStr">
        <is>
          <t>SKR_USDT_PERP</t>
        </is>
      </c>
      <c r="C16" s="2" t="inlineStr">
        <is>
          <t>做空</t>
        </is>
      </c>
      <c r="D16" s="7" t="n">
        <v>46267.5</v>
      </c>
      <c r="E16" s="20" t="n">
        <v>0.022381</v>
      </c>
      <c r="F16" s="20" t="n">
        <v>0.02170957</v>
      </c>
      <c r="G16" s="20" t="n">
        <v>0.02350005</v>
      </c>
      <c r="H16" s="7" t="n">
        <v>46267.58333333334</v>
      </c>
      <c r="I16" s="20" t="n">
        <v>0.02350005</v>
      </c>
      <c r="J16" s="2" t="inlineStr">
        <is>
          <t>止損</t>
        </is>
      </c>
      <c r="K16" s="5">
        <f>(H16-D16)*24</f>
        <v/>
      </c>
      <c r="L16" s="4">
        <f>IF(C16="做多",I16/E16-1,1-I16/E16)-2*參數!$B$7</f>
        <v/>
      </c>
      <c r="M16" s="2" t="inlineStr"/>
      <c r="N16" s="4" t="n">
        <v>-0.04798162405887096</v>
      </c>
      <c r="O16" s="4" t="n">
        <v>0.09234113259872093</v>
      </c>
      <c r="P16" s="4" t="n">
        <v>-0.04659058475720668</v>
      </c>
      <c r="Q16" s="22" t="n">
        <v>-49097315</v>
      </c>
      <c r="R16" s="22" t="n">
        <v>3136147.261192</v>
      </c>
      <c r="S16" s="4" t="n">
        <v>0.02336803538715881</v>
      </c>
      <c r="T16" s="4" t="n">
        <v>0.05</v>
      </c>
      <c r="U16" s="19" t="n">
        <v>2.064305068077037</v>
      </c>
      <c r="V16" s="19" t="n">
        <v>0.9182750301568153</v>
      </c>
      <c r="W16" s="4" t="n">
        <v>-0.1210454609204386</v>
      </c>
      <c r="X16" s="4" t="n">
        <v>0.2371847307430129</v>
      </c>
      <c r="Y16" s="4" t="n">
        <v>-0.003032345449347496</v>
      </c>
      <c r="Z16" s="4" t="n">
        <v>0.0003440518451383046</v>
      </c>
      <c r="AA16" s="4" t="n">
        <v>0.03</v>
      </c>
      <c r="AB16" s="4" t="n">
        <v>0.05</v>
      </c>
      <c r="AC16" s="4">
        <f>(AB16+2*參數!$B$7)/(AA16+AB16)</f>
        <v/>
      </c>
    </row>
    <row r="17">
      <c r="A17" s="2" t="n">
        <v>16</v>
      </c>
      <c r="B17" s="2" t="inlineStr">
        <is>
          <t>牛来_USDT_PERP</t>
        </is>
      </c>
      <c r="C17" s="2" t="inlineStr">
        <is>
          <t>做多</t>
        </is>
      </c>
      <c r="D17" s="7" t="n">
        <v>46267.54166666666</v>
      </c>
      <c r="E17" s="20" t="n">
        <v>0.08776</v>
      </c>
      <c r="F17" s="20" t="n">
        <v>0.09039280000000001</v>
      </c>
      <c r="G17" s="20" t="n">
        <v>0.083372</v>
      </c>
      <c r="H17" s="7" t="n">
        <v>46267.58333333334</v>
      </c>
      <c r="I17" s="20" t="n">
        <v>0.09039280000000001</v>
      </c>
      <c r="J17" s="2" t="inlineStr">
        <is>
          <t>止盈</t>
        </is>
      </c>
      <c r="K17" s="5">
        <f>(H17-D17)*24</f>
        <v/>
      </c>
      <c r="L17" s="4">
        <f>IF(C17="做多",I17/E17-1,1-I17/E17)-2*參數!$B$7</f>
        <v/>
      </c>
      <c r="M17" s="2" t="inlineStr"/>
      <c r="N17" s="4" t="n">
        <v>0.03796570076877592</v>
      </c>
      <c r="O17" s="4" t="n">
        <v>0.07196519005900766</v>
      </c>
      <c r="P17" s="4" t="n">
        <v>0.0311725239992009</v>
      </c>
      <c r="Q17" s="22" t="n">
        <v>683387</v>
      </c>
      <c r="R17" s="22" t="n">
        <v>1408907.35188</v>
      </c>
      <c r="S17" s="4" t="n">
        <v>0.03</v>
      </c>
      <c r="T17" s="4" t="n">
        <v>0</v>
      </c>
      <c r="U17" s="19" t="n">
        <v>0.7479348006410231</v>
      </c>
      <c r="V17" s="19" t="n">
        <v>0.7101648351648354</v>
      </c>
      <c r="W17" s="4" t="n"/>
      <c r="X17" s="4" t="n">
        <v>-0.1343460248569737</v>
      </c>
      <c r="Y17" s="4" t="n">
        <v>-0.000107049396202763</v>
      </c>
      <c r="Z17" s="4" t="n">
        <v>-0.0002421826459498844</v>
      </c>
      <c r="AA17" s="4" t="n">
        <v>0.03</v>
      </c>
      <c r="AB17" s="4" t="n">
        <v>0.05</v>
      </c>
      <c r="AC17" s="4">
        <f>(AB17+2*參數!$B$7)/(AA17+AB17)</f>
        <v/>
      </c>
    </row>
    <row r="18">
      <c r="A18" s="2" t="n">
        <v>17</v>
      </c>
      <c r="B18" s="2" t="inlineStr">
        <is>
          <t>PONS_USDT_PERP</t>
        </is>
      </c>
      <c r="C18" s="2" t="inlineStr">
        <is>
          <t>做多</t>
        </is>
      </c>
      <c r="D18" s="7" t="n">
        <v>46267.58333333334</v>
      </c>
      <c r="E18" s="20" t="n">
        <v>0.4351</v>
      </c>
      <c r="F18" s="20" t="n">
        <v>0.448153</v>
      </c>
      <c r="G18" s="20" t="n">
        <v>0.413345</v>
      </c>
      <c r="H18" s="7" t="n">
        <v>46267.66666666666</v>
      </c>
      <c r="I18" s="20" t="n">
        <v>0.413345</v>
      </c>
      <c r="J18" s="2" t="inlineStr">
        <is>
          <t>止損</t>
        </is>
      </c>
      <c r="K18" s="5">
        <f>(H18-D18)*24</f>
        <v/>
      </c>
      <c r="L18" s="4">
        <f>IF(C18="做多",I18/E18-1,1-I18/E18)-2*參數!$B$7</f>
        <v/>
      </c>
      <c r="M18" s="2" t="inlineStr"/>
      <c r="N18" s="4" t="n">
        <v>0.02184124001878818</v>
      </c>
      <c r="O18" s="4" t="n">
        <v>0.0535473148339484</v>
      </c>
      <c r="P18" s="4" t="n">
        <v>0.02832563251125597</v>
      </c>
      <c r="Q18" s="22" t="n">
        <v>816855</v>
      </c>
      <c r="R18" s="22" t="n">
        <v>1808502.8962</v>
      </c>
      <c r="S18" s="4" t="n">
        <v>0</v>
      </c>
      <c r="T18" s="4" t="n">
        <v>0.05</v>
      </c>
      <c r="U18" s="19" t="n">
        <v>1.090697890115798</v>
      </c>
      <c r="V18" s="19" t="n">
        <v>0.6124999999999979</v>
      </c>
      <c r="W18" s="4" t="n"/>
      <c r="X18" s="4" t="n"/>
      <c r="Y18" s="4" t="n">
        <v>0.00119314810515192</v>
      </c>
      <c r="Z18" s="4" t="n">
        <v>0.001116507668743161</v>
      </c>
      <c r="AA18" s="4" t="n">
        <v>0.03</v>
      </c>
      <c r="AB18" s="4" t="n">
        <v>0.05</v>
      </c>
      <c r="AC18" s="4">
        <f>(AB18+2*參數!$B$7)/(AA18+AB18)</f>
        <v/>
      </c>
    </row>
    <row r="19">
      <c r="A19" s="2" t="n">
        <v>18</v>
      </c>
      <c r="B19" s="2" t="inlineStr">
        <is>
          <t>HEMI_USDT_PERP</t>
        </is>
      </c>
      <c r="C19" s="2" t="inlineStr">
        <is>
          <t>做空</t>
        </is>
      </c>
      <c r="D19" s="7" t="n">
        <v>46267.625</v>
      </c>
      <c r="E19" s="20" t="n">
        <v>0.01439</v>
      </c>
      <c r="F19" s="20" t="n">
        <v>0.0139583</v>
      </c>
      <c r="G19" s="20" t="n">
        <v>0.0151095</v>
      </c>
      <c r="H19" s="7" t="n">
        <v>46267.66666666666</v>
      </c>
      <c r="I19" s="20" t="n">
        <v>0.0151095</v>
      </c>
      <c r="J19" s="2" t="inlineStr">
        <is>
          <t>止損</t>
        </is>
      </c>
      <c r="K19" s="5">
        <f>(H19-D19)*24</f>
        <v/>
      </c>
      <c r="L19" s="4">
        <f>IF(C19="做多",I19/E19-1,1-I19/E19)-2*參數!$B$7</f>
        <v/>
      </c>
      <c r="M19" s="2" t="inlineStr"/>
      <c r="N19" s="4" t="n">
        <v>-0.03874415497661998</v>
      </c>
      <c r="O19" s="4" t="n">
        <v>0.122071649154136</v>
      </c>
      <c r="P19" s="4" t="n">
        <v>-0.05987652304576474</v>
      </c>
      <c r="Q19" s="22" t="n">
        <v>-1169435</v>
      </c>
      <c r="R19" s="22" t="n">
        <v>1908493.63956</v>
      </c>
      <c r="S19" s="4" t="n">
        <v>0</v>
      </c>
      <c r="T19" s="4" t="n">
        <v>0.05</v>
      </c>
      <c r="U19" s="19" t="n">
        <v>1.186128783121517</v>
      </c>
      <c r="V19" s="19" t="n">
        <v>0.7499999999999996</v>
      </c>
      <c r="W19" s="4" t="n">
        <v>-0.04695662296465519</v>
      </c>
      <c r="X19" s="4" t="n">
        <v>0.06860841423948216</v>
      </c>
      <c r="Y19" s="4" t="n">
        <v>0.0005204944697462244</v>
      </c>
      <c r="Z19" s="4" t="n">
        <v>-0.000860002084853484</v>
      </c>
      <c r="AA19" s="4" t="n">
        <v>0.03</v>
      </c>
      <c r="AB19" s="4" t="n">
        <v>0.05</v>
      </c>
      <c r="AC19" s="4">
        <f>(AB19+2*參數!$B$7)/(AA19+AB19)</f>
        <v/>
      </c>
    </row>
    <row r="20">
      <c r="A20" s="2" t="n">
        <v>19</v>
      </c>
      <c r="B20" s="2" t="inlineStr">
        <is>
          <t>SKR_USDT_PERP</t>
        </is>
      </c>
      <c r="C20" s="2" t="inlineStr">
        <is>
          <t>做空</t>
        </is>
      </c>
      <c r="D20" s="7" t="n">
        <v>46267.625</v>
      </c>
      <c r="E20" s="20" t="n">
        <v>0.02203</v>
      </c>
      <c r="F20" s="20" t="n">
        <v>0.0213691</v>
      </c>
      <c r="G20" s="20" t="n">
        <v>0.0231315</v>
      </c>
      <c r="H20" s="7" t="n">
        <v>46267.66666666666</v>
      </c>
      <c r="I20" s="20" t="n">
        <v>0.0213691</v>
      </c>
      <c r="J20" s="2" t="inlineStr">
        <is>
          <t>止盈</t>
        </is>
      </c>
      <c r="K20" s="5">
        <f>(H20-D20)*24</f>
        <v/>
      </c>
      <c r="L20" s="4">
        <f>IF(C20="做多",I20/E20-1,1-I20/E20)-2*參數!$B$7</f>
        <v/>
      </c>
      <c r="M20" s="2" t="inlineStr"/>
      <c r="N20" s="4" t="n">
        <v>-0.060233768449791</v>
      </c>
      <c r="O20" s="4" t="n">
        <v>0.09269540830315316</v>
      </c>
      <c r="P20" s="4" t="n">
        <v>-0.04032967703151258</v>
      </c>
      <c r="Q20" s="22" t="n">
        <v>-15164838</v>
      </c>
      <c r="R20" s="22" t="n">
        <v>3097417.315483</v>
      </c>
      <c r="S20" s="4" t="n">
        <v>0.03</v>
      </c>
      <c r="T20" s="4" t="n">
        <v>0</v>
      </c>
      <c r="U20" s="19" t="n">
        <v>1.209725302882777</v>
      </c>
      <c r="V20" s="19" t="n">
        <v>0.7848739495798315</v>
      </c>
      <c r="W20" s="4" t="n">
        <v>-0.08172179863377993</v>
      </c>
      <c r="X20" s="4" t="n">
        <v>0.2264475578496435</v>
      </c>
      <c r="Y20" s="4" t="n">
        <v>0.0005204944697462244</v>
      </c>
      <c r="Z20" s="4" t="n">
        <v>-0.000860002084853484</v>
      </c>
      <c r="AA20" s="4" t="n">
        <v>0.03</v>
      </c>
      <c r="AB20" s="4" t="n">
        <v>0.05</v>
      </c>
      <c r="AC20" s="4">
        <f>(AB20+2*參數!$B$7)/(AA20+AB20)</f>
        <v/>
      </c>
    </row>
    <row r="21">
      <c r="A21" s="2" t="n">
        <v>20</v>
      </c>
      <c r="B21" s="2" t="inlineStr">
        <is>
          <t>USELESS_USDT_PERP</t>
        </is>
      </c>
      <c r="C21" s="2" t="inlineStr">
        <is>
          <t>做空</t>
        </is>
      </c>
      <c r="D21" s="7" t="n">
        <v>46267.75</v>
      </c>
      <c r="E21" s="20" t="n">
        <v>0.10669</v>
      </c>
      <c r="F21" s="20" t="n">
        <v>0.1034893</v>
      </c>
      <c r="G21" s="20" t="n">
        <v>0.1120245</v>
      </c>
      <c r="H21" s="7" t="n">
        <v>46267.79166666666</v>
      </c>
      <c r="I21" s="20" t="n">
        <v>0.1034893</v>
      </c>
      <c r="J21" s="2" t="inlineStr">
        <is>
          <t>止盈</t>
        </is>
      </c>
      <c r="K21" s="5">
        <f>(H21-D21)*24</f>
        <v/>
      </c>
      <c r="L21" s="4">
        <f>IF(C21="做多",I21/E21-1,1-I21/E21)-2*參數!$B$7</f>
        <v/>
      </c>
      <c r="M21" s="2" t="inlineStr"/>
      <c r="N21" s="4" t="n">
        <v>-0.04817557320010712</v>
      </c>
      <c r="O21" s="4" t="n">
        <v>0.05244991106886208</v>
      </c>
      <c r="P21" s="4" t="n">
        <v>-0.03261929049076295</v>
      </c>
      <c r="Q21" s="22" t="n">
        <v>-5434054</v>
      </c>
      <c r="R21" s="22" t="n">
        <v>7681110.42926</v>
      </c>
      <c r="S21" s="4" t="n">
        <v>0.03</v>
      </c>
      <c r="T21" s="4" t="n">
        <v>0</v>
      </c>
      <c r="U21" s="19" t="n">
        <v>0.9670140137041019</v>
      </c>
      <c r="V21" s="19" t="n">
        <v>0.9262411347517741</v>
      </c>
      <c r="W21" s="4" t="n">
        <v>-0.3290381570604448</v>
      </c>
      <c r="X21" s="4" t="n">
        <v>-0.1707450894326785</v>
      </c>
      <c r="Y21" s="4" t="n">
        <v>0.001339501897953288</v>
      </c>
      <c r="Z21" s="4" t="n">
        <v>0.008286054043237345</v>
      </c>
      <c r="AA21" s="4" t="n">
        <v>0.03</v>
      </c>
      <c r="AB21" s="4" t="n">
        <v>0.05</v>
      </c>
      <c r="AC21" s="4">
        <f>(AB21+2*參數!$B$7)/(AA21+AB21)</f>
        <v/>
      </c>
    </row>
    <row r="22">
      <c r="A22" s="2" t="n">
        <v>21</v>
      </c>
      <c r="B22" s="2" t="inlineStr">
        <is>
          <t>UAI_USDT_PERP</t>
        </is>
      </c>
      <c r="C22" s="2" t="inlineStr">
        <is>
          <t>做空</t>
        </is>
      </c>
      <c r="D22" s="7" t="n">
        <v>46267.79166666666</v>
      </c>
      <c r="E22" s="20" t="n">
        <v>0.5241</v>
      </c>
      <c r="F22" s="20" t="n">
        <v>0.508377</v>
      </c>
      <c r="G22" s="20" t="n">
        <v>0.550305</v>
      </c>
      <c r="H22" s="7" t="n">
        <v>46267.875</v>
      </c>
      <c r="I22" s="20" t="n">
        <v>0.550305</v>
      </c>
      <c r="J22" s="2" t="inlineStr">
        <is>
          <t>止損</t>
        </is>
      </c>
      <c r="K22" s="5">
        <f>(H22-D22)*24</f>
        <v/>
      </c>
      <c r="L22" s="4">
        <f>IF(C22="做多",I22/E22-1,1-I22/E22)-2*參數!$B$7</f>
        <v/>
      </c>
      <c r="M22" s="2" t="inlineStr"/>
      <c r="N22" s="4" t="n">
        <v>-0.04378762999452657</v>
      </c>
      <c r="O22" s="4" t="n">
        <v>0.05842308225249642</v>
      </c>
      <c r="P22" s="4" t="n">
        <v>-0.02129765361667935</v>
      </c>
      <c r="Q22" s="22" t="n">
        <v>-795267</v>
      </c>
      <c r="R22" s="22" t="n">
        <v>4210824.7711</v>
      </c>
      <c r="S22" s="4" t="n">
        <v>0.02976531196336585</v>
      </c>
      <c r="T22" s="4" t="n">
        <v>0.05</v>
      </c>
      <c r="U22" s="19" t="n">
        <v>2.619757497596312</v>
      </c>
      <c r="V22" s="19" t="n">
        <v>0.8097982708933706</v>
      </c>
      <c r="W22" s="4" t="n">
        <v>-0.3352526050291713</v>
      </c>
      <c r="X22" s="4" t="n">
        <v>-0.2387142519498937</v>
      </c>
      <c r="Y22" s="4" t="n">
        <v>0.00101021029319559</v>
      </c>
      <c r="Z22" s="4" t="n">
        <v>0.008328176409182597</v>
      </c>
      <c r="AA22" s="4" t="n">
        <v>0.03</v>
      </c>
      <c r="AB22" s="4" t="n">
        <v>0.05</v>
      </c>
      <c r="AC22" s="4">
        <f>(AB22+2*參數!$B$7)/(AA22+AB22)</f>
        <v/>
      </c>
    </row>
    <row r="23">
      <c r="A23" s="2" t="n">
        <v>22</v>
      </c>
      <c r="B23" s="2" t="inlineStr">
        <is>
          <t>ACE_USDT_PERP</t>
        </is>
      </c>
      <c r="C23" s="2" t="inlineStr">
        <is>
          <t>做空</t>
        </is>
      </c>
      <c r="D23" s="7" t="n">
        <v>46267.83333333334</v>
      </c>
      <c r="E23" s="20" t="n">
        <v>0.19257</v>
      </c>
      <c r="F23" s="20" t="n">
        <v>0.1867929</v>
      </c>
      <c r="G23" s="20" t="n">
        <v>0.2021985</v>
      </c>
      <c r="H23" s="7" t="n">
        <v>46267.875</v>
      </c>
      <c r="I23" s="20" t="n">
        <v>0.1867929</v>
      </c>
      <c r="J23" s="2" t="inlineStr">
        <is>
          <t>止盈</t>
        </is>
      </c>
      <c r="K23" s="5">
        <f>(H23-D23)*24</f>
        <v/>
      </c>
      <c r="L23" s="4">
        <f>IF(C23="做多",I23/E23-1,1-I23/E23)-2*參數!$B$7</f>
        <v/>
      </c>
      <c r="M23" s="2" t="inlineStr"/>
      <c r="N23" s="4" t="n">
        <v>-0.05025646084040247</v>
      </c>
      <c r="O23" s="4" t="n">
        <v>0.04931606622199357</v>
      </c>
      <c r="P23" s="4" t="n">
        <v>-0.0519070665097755</v>
      </c>
      <c r="Q23" s="22" t="n">
        <v>-1654553.749999993</v>
      </c>
      <c r="R23" s="22" t="n">
        <v>2513068.0053246</v>
      </c>
      <c r="S23" s="4" t="n">
        <v>0.03</v>
      </c>
      <c r="T23" s="4" t="n">
        <v>0</v>
      </c>
      <c r="U23" s="19" t="n">
        <v>1.581615562742938</v>
      </c>
      <c r="V23" s="19" t="n">
        <v>0.6308203991130821</v>
      </c>
      <c r="W23" s="4" t="n">
        <v>-0.04647143981254054</v>
      </c>
      <c r="X23" s="4" t="n">
        <v>-0.08441265908323015</v>
      </c>
      <c r="Y23" s="4" t="n">
        <v>-0.001948089228488881</v>
      </c>
      <c r="Z23" s="4" t="n">
        <v>0.005695833578277743</v>
      </c>
      <c r="AA23" s="4" t="n">
        <v>0.03</v>
      </c>
      <c r="AB23" s="4" t="n">
        <v>0.05</v>
      </c>
      <c r="AC23" s="4">
        <f>(AB23+2*參數!$B$7)/(AA23+AB23)</f>
        <v/>
      </c>
    </row>
    <row r="24">
      <c r="A24" s="2" t="n">
        <v>23</v>
      </c>
      <c r="B24" s="2" t="inlineStr">
        <is>
          <t>ARB_USDT_PERP</t>
        </is>
      </c>
      <c r="C24" s="2" t="inlineStr">
        <is>
          <t>做空</t>
        </is>
      </c>
      <c r="D24" s="7" t="n">
        <v>46267.83333333334</v>
      </c>
      <c r="E24" s="20" t="n">
        <v>0.1076</v>
      </c>
      <c r="F24" s="20" t="n">
        <v>0.104372</v>
      </c>
      <c r="G24" s="20" t="n">
        <v>0.11298</v>
      </c>
      <c r="H24" s="7" t="n">
        <v>46267.95833333334</v>
      </c>
      <c r="I24" s="20" t="n">
        <v>0.11298</v>
      </c>
      <c r="J24" s="2" t="inlineStr">
        <is>
          <t>止損</t>
        </is>
      </c>
      <c r="K24" s="5">
        <f>(H24-D24)*24</f>
        <v/>
      </c>
      <c r="L24" s="4">
        <f>IF(C24="做多",I24/E24-1,1-I24/E24)-2*參數!$B$7</f>
        <v/>
      </c>
      <c r="M24" s="2" t="inlineStr"/>
      <c r="N24" s="4" t="n">
        <v>-0.02888086642599275</v>
      </c>
      <c r="O24" s="4" t="n">
        <v>0.03170099178863164</v>
      </c>
      <c r="P24" s="4" t="n">
        <v>-0.02690481573592562</v>
      </c>
      <c r="Q24" s="22" t="n">
        <v>-782584.100000001</v>
      </c>
      <c r="R24" s="22" t="n">
        <v>1241321.93288</v>
      </c>
      <c r="S24" s="4" t="n">
        <v>0.00371747211895912</v>
      </c>
      <c r="T24" s="4" t="n">
        <v>0.05</v>
      </c>
      <c r="U24" s="19" t="n">
        <v>2.387393816524527</v>
      </c>
      <c r="V24" s="19" t="n">
        <v>0.6730769230769224</v>
      </c>
      <c r="W24" s="4" t="n">
        <v>-0.1126507145368436</v>
      </c>
      <c r="X24" s="4" t="n">
        <v>0.05030891438658425</v>
      </c>
      <c r="Y24" s="4" t="n">
        <v>-0.001948089228488881</v>
      </c>
      <c r="Z24" s="4" t="n">
        <v>0.005695833578277743</v>
      </c>
      <c r="AA24" s="4" t="n">
        <v>0.03</v>
      </c>
      <c r="AB24" s="4" t="n">
        <v>0.05</v>
      </c>
      <c r="AC24" s="4">
        <f>(AB24+2*參數!$B$7)/(AA24+AB24)</f>
        <v/>
      </c>
    </row>
    <row r="25">
      <c r="A25" s="2" t="n">
        <v>24</v>
      </c>
      <c r="B25" s="2" t="inlineStr">
        <is>
          <t>UNI_USDT_PERP</t>
        </is>
      </c>
      <c r="C25" s="2" t="inlineStr">
        <is>
          <t>做空</t>
        </is>
      </c>
      <c r="D25" s="7" t="n">
        <v>46267.83333333334</v>
      </c>
      <c r="E25" s="20" t="n">
        <v>5.744</v>
      </c>
      <c r="F25" s="20" t="n">
        <v>5.57168</v>
      </c>
      <c r="G25" s="20" t="n">
        <v>6.0312</v>
      </c>
      <c r="H25" s="7" t="n">
        <v>46268.75</v>
      </c>
      <c r="I25" s="20" t="n">
        <v>6.0312</v>
      </c>
      <c r="J25" s="2" t="inlineStr">
        <is>
          <t>止損</t>
        </is>
      </c>
      <c r="K25" s="5">
        <f>(H25-D25)*24</f>
        <v/>
      </c>
      <c r="L25" s="4">
        <f>IF(C25="做多",I25/E25-1,1-I25/E25)-2*參數!$B$7</f>
        <v/>
      </c>
      <c r="M25" s="2" t="inlineStr"/>
      <c r="N25" s="4" t="n">
        <v>-0.04947873572728778</v>
      </c>
      <c r="O25" s="4" t="n">
        <v>0.02880255792748297</v>
      </c>
      <c r="P25" s="4" t="n">
        <v>-0.03308616205570192</v>
      </c>
      <c r="Q25" s="22" t="n">
        <v>-61964</v>
      </c>
      <c r="R25" s="22" t="n">
        <v>5926643.259000001</v>
      </c>
      <c r="S25" s="4" t="n">
        <v>0.01880222841225621</v>
      </c>
      <c r="T25" s="4" t="n">
        <v>0.05</v>
      </c>
      <c r="U25" s="19" t="n">
        <v>1.300484464954263</v>
      </c>
      <c r="V25" s="19" t="n">
        <v>0.8774928774928771</v>
      </c>
      <c r="W25" s="4" t="n">
        <v>-0.09188858326315796</v>
      </c>
      <c r="X25" s="4" t="n">
        <v>0.02578018995929443</v>
      </c>
      <c r="Y25" s="4" t="n">
        <v>-0.001948089228488881</v>
      </c>
      <c r="Z25" s="4" t="n">
        <v>0.005695833578277743</v>
      </c>
      <c r="AA25" s="4" t="n">
        <v>0.03</v>
      </c>
      <c r="AB25" s="4" t="n">
        <v>0.05</v>
      </c>
      <c r="AC25" s="4">
        <f>(AB25+2*參數!$B$7)/(AA25+AB25)</f>
        <v/>
      </c>
    </row>
    <row r="26">
      <c r="A26" s="2" t="n">
        <v>25</v>
      </c>
      <c r="B26" s="2" t="inlineStr">
        <is>
          <t>PONS_USDT_PERP</t>
        </is>
      </c>
      <c r="C26" s="2" t="inlineStr">
        <is>
          <t>做多</t>
        </is>
      </c>
      <c r="D26" s="7" t="n">
        <v>46267.91666666666</v>
      </c>
      <c r="E26" s="20" t="n">
        <v>0.415</v>
      </c>
      <c r="F26" s="20" t="n">
        <v>0.42745</v>
      </c>
      <c r="G26" s="20" t="n">
        <v>0.39425</v>
      </c>
      <c r="H26" s="7" t="n">
        <v>46267.95833333334</v>
      </c>
      <c r="I26" s="20" t="n">
        <v>0.39425</v>
      </c>
      <c r="J26" s="2" t="inlineStr">
        <is>
          <t>止損</t>
        </is>
      </c>
      <c r="K26" s="5">
        <f>(H26-D26)*24</f>
        <v/>
      </c>
      <c r="L26" s="4">
        <f>IF(C26="做多",I26/E26-1,1-I26/E26)-2*參數!$B$7</f>
        <v/>
      </c>
      <c r="M26" s="2" t="inlineStr"/>
      <c r="N26" s="4" t="n">
        <v>0.07235142118863047</v>
      </c>
      <c r="O26" s="4" t="n">
        <v>0.06686067811433344</v>
      </c>
      <c r="P26" s="4" t="n">
        <v>0.008309441663832073</v>
      </c>
      <c r="Q26" s="22" t="n">
        <v>701572</v>
      </c>
      <c r="R26" s="22" t="n">
        <v>3206596.5472</v>
      </c>
      <c r="S26" s="4" t="n">
        <v>0</v>
      </c>
      <c r="T26" s="4" t="n">
        <v>0.05</v>
      </c>
      <c r="U26" s="19" t="n">
        <v>2.425318178458414</v>
      </c>
      <c r="V26" s="19" t="n">
        <v>0.5957792207792202</v>
      </c>
      <c r="W26" s="4" t="n"/>
      <c r="X26" s="4" t="n">
        <v>-0.03868427148482745</v>
      </c>
      <c r="Y26" s="4" t="n">
        <v>0.007041618945507144</v>
      </c>
      <c r="Z26" s="4" t="n">
        <v>-0.0007801980777919493</v>
      </c>
      <c r="AA26" s="4" t="n">
        <v>0.03</v>
      </c>
      <c r="AB26" s="4" t="n">
        <v>0.05</v>
      </c>
      <c r="AC26" s="4">
        <f>(AB26+2*參數!$B$7)/(AA26+AB26)</f>
        <v/>
      </c>
    </row>
    <row r="27">
      <c r="A27" s="2" t="n">
        <v>26</v>
      </c>
      <c r="B27" s="2" t="inlineStr">
        <is>
          <t>LIT_USDT_PERP</t>
        </is>
      </c>
      <c r="C27" s="2" t="inlineStr">
        <is>
          <t>做多</t>
        </is>
      </c>
      <c r="D27" s="7" t="n">
        <v>46268</v>
      </c>
      <c r="E27" s="20" t="n">
        <v>3.672</v>
      </c>
      <c r="F27" s="20" t="n">
        <v>3.78216</v>
      </c>
      <c r="G27" s="20" t="n">
        <v>3.4884</v>
      </c>
      <c r="H27" s="7" t="n">
        <v>46268.08333333334</v>
      </c>
      <c r="I27" s="20" t="n">
        <v>3.78216</v>
      </c>
      <c r="J27" s="2" t="inlineStr">
        <is>
          <t>止盈</t>
        </is>
      </c>
      <c r="K27" s="5">
        <f>(H27-D27)*24</f>
        <v/>
      </c>
      <c r="L27" s="4">
        <f>IF(C27="做多",I27/E27-1,1-I27/E27)-2*參數!$B$7</f>
        <v/>
      </c>
      <c r="M27" s="2" t="inlineStr"/>
      <c r="N27" s="4" t="n">
        <v>0.02569832402234629</v>
      </c>
      <c r="O27" s="4" t="n">
        <v>0.02518625784377095</v>
      </c>
      <c r="P27" s="4" t="n">
        <v>0.03407490847648531</v>
      </c>
      <c r="Q27" s="22" t="n">
        <v>134118.8999999999</v>
      </c>
      <c r="R27" s="22" t="n">
        <v>2562400.075900001</v>
      </c>
      <c r="S27" s="4" t="n">
        <v>0.03</v>
      </c>
      <c r="T27" s="4" t="n">
        <v>0.001089324618736343</v>
      </c>
      <c r="U27" s="19" t="n">
        <v>1.25538625351542</v>
      </c>
      <c r="V27" s="19" t="n">
        <v>0.9500000000000018</v>
      </c>
      <c r="W27" s="4" t="n">
        <v>0.0219928861279497</v>
      </c>
      <c r="X27" s="4" t="n">
        <v>-0.04870466321243516</v>
      </c>
      <c r="Y27" s="4" t="n">
        <v>0.002934150394682256</v>
      </c>
      <c r="Z27" s="4" t="n">
        <v>0.001086162287276426</v>
      </c>
      <c r="AA27" s="4" t="n">
        <v>0.03</v>
      </c>
      <c r="AB27" s="4" t="n">
        <v>0.05</v>
      </c>
      <c r="AC27" s="4">
        <f>(AB27+2*參數!$B$7)/(AA27+AB27)</f>
        <v/>
      </c>
    </row>
    <row r="28">
      <c r="A28" s="2" t="n">
        <v>27</v>
      </c>
      <c r="B28" s="2" t="inlineStr">
        <is>
          <t>HEMI_USDT_PERP</t>
        </is>
      </c>
      <c r="C28" s="2" t="inlineStr">
        <is>
          <t>做多</t>
        </is>
      </c>
      <c r="D28" s="7" t="n">
        <v>46268.04166666666</v>
      </c>
      <c r="E28" s="20" t="n">
        <v>0.01528</v>
      </c>
      <c r="F28" s="20" t="n">
        <v>0.0157384</v>
      </c>
      <c r="G28" s="20" t="n">
        <v>0.014516</v>
      </c>
      <c r="H28" s="7" t="n">
        <v>46268.08333333334</v>
      </c>
      <c r="I28" s="20" t="n">
        <v>0.0157384</v>
      </c>
      <c r="J28" s="2" t="inlineStr">
        <is>
          <t>止盈</t>
        </is>
      </c>
      <c r="K28" s="5">
        <f>(H28-D28)*24</f>
        <v/>
      </c>
      <c r="L28" s="4">
        <f>IF(C28="做多",I28/E28-1,1-I28/E28)-2*參數!$B$7</f>
        <v/>
      </c>
      <c r="M28" s="2" t="inlineStr"/>
      <c r="N28" s="4" t="n">
        <v>0.09534050179211473</v>
      </c>
      <c r="O28" s="4" t="n">
        <v>0.07970201070293215</v>
      </c>
      <c r="P28" s="4" t="n">
        <v>0.04239860831599418</v>
      </c>
      <c r="Q28" s="22" t="n">
        <v>2348995</v>
      </c>
      <c r="R28" s="22" t="n">
        <v>1834088.15453</v>
      </c>
      <c r="S28" s="4" t="n">
        <v>0.03</v>
      </c>
      <c r="T28" s="4" t="n">
        <v>0</v>
      </c>
      <c r="U28" s="19" t="n">
        <v>1.03282950550985</v>
      </c>
      <c r="V28" s="19" t="n">
        <v>0.9507042253521123</v>
      </c>
      <c r="W28" s="4" t="n">
        <v>0.09114019866178236</v>
      </c>
      <c r="X28" s="4" t="n">
        <v>-0.05737199259716219</v>
      </c>
      <c r="Y28" s="4" t="n">
        <v>-0.001532686084142365</v>
      </c>
      <c r="Z28" s="4" t="n">
        <v>-0.0002645426865740541</v>
      </c>
      <c r="AA28" s="4" t="n">
        <v>0.03</v>
      </c>
      <c r="AB28" s="4" t="n">
        <v>0.05</v>
      </c>
      <c r="AC28" s="4">
        <f>(AB28+2*參數!$B$7)/(AA28+AB28)</f>
        <v/>
      </c>
    </row>
    <row r="29">
      <c r="A29" s="2" t="n">
        <v>28</v>
      </c>
      <c r="B29" s="2" t="inlineStr">
        <is>
          <t>HEMI_USDT_PERP</t>
        </is>
      </c>
      <c r="C29" s="2" t="inlineStr">
        <is>
          <t>做空</t>
        </is>
      </c>
      <c r="D29" s="7" t="n">
        <v>46268.125</v>
      </c>
      <c r="E29" s="20" t="n">
        <v>0.01431</v>
      </c>
      <c r="F29" s="20" t="n">
        <v>0.0138807</v>
      </c>
      <c r="G29" s="20" t="n">
        <v>0.0150255</v>
      </c>
      <c r="H29" s="7" t="n">
        <v>46268.16666666666</v>
      </c>
      <c r="I29" s="20" t="n">
        <v>0.0138807</v>
      </c>
      <c r="J29" s="2" t="inlineStr">
        <is>
          <t>止盈</t>
        </is>
      </c>
      <c r="K29" s="5">
        <f>(H29-D29)*24</f>
        <v/>
      </c>
      <c r="L29" s="4">
        <f>IF(C29="做多",I29/E29-1,1-I29/E29)-2*參數!$B$7</f>
        <v/>
      </c>
      <c r="M29" s="2" t="inlineStr"/>
      <c r="N29" s="4" t="n">
        <v>-0.05106100795755963</v>
      </c>
      <c r="O29" s="4" t="n">
        <v>0.08277217882399768</v>
      </c>
      <c r="P29" s="4" t="n">
        <v>-0.02437361513550362</v>
      </c>
      <c r="Q29" s="22" t="n">
        <v>-2655675</v>
      </c>
      <c r="R29" s="22" t="n">
        <v>1858306.46737</v>
      </c>
      <c r="S29" s="4" t="n">
        <v>0.03</v>
      </c>
      <c r="T29" s="4" t="n">
        <v>0</v>
      </c>
      <c r="U29" s="19" t="n">
        <v>0.4579468997457073</v>
      </c>
      <c r="V29" s="19" t="n">
        <v>0.857142857142857</v>
      </c>
      <c r="W29" s="4" t="n">
        <v>-0.01720216093261295</v>
      </c>
      <c r="X29" s="4" t="n">
        <v>0.07077922077922083</v>
      </c>
      <c r="Y29" s="4" t="n">
        <v>0.0001176470588235556</v>
      </c>
      <c r="Z29" s="4" t="n">
        <v>-0.00227258192404145</v>
      </c>
      <c r="AA29" s="4" t="n">
        <v>0.03</v>
      </c>
      <c r="AB29" s="4" t="n">
        <v>0.05</v>
      </c>
      <c r="AC29" s="4">
        <f>(AB29+2*參數!$B$7)/(AA29+AB29)</f>
        <v/>
      </c>
    </row>
    <row r="30">
      <c r="A30" s="2" t="n">
        <v>29</v>
      </c>
      <c r="B30" s="2" t="inlineStr">
        <is>
          <t>MARSCOIN_USDT_PERP</t>
        </is>
      </c>
      <c r="C30" s="2" t="inlineStr">
        <is>
          <t>做空</t>
        </is>
      </c>
      <c r="D30" s="7" t="n">
        <v>46268.25</v>
      </c>
      <c r="E30" s="20" t="n">
        <v>0.06269</v>
      </c>
      <c r="F30" s="20" t="n">
        <v>0.0608093</v>
      </c>
      <c r="G30" s="20" t="n">
        <v>0.06582449999999999</v>
      </c>
      <c r="H30" s="7" t="n">
        <v>46268.375</v>
      </c>
      <c r="I30" s="20" t="n">
        <v>0.0608093</v>
      </c>
      <c r="J30" s="2" t="inlineStr">
        <is>
          <t>止盈</t>
        </is>
      </c>
      <c r="K30" s="5">
        <f>(H30-D30)*24</f>
        <v/>
      </c>
      <c r="L30" s="4">
        <f>IF(C30="做多",I30/E30-1,1-I30/E30)-2*參數!$B$7</f>
        <v/>
      </c>
      <c r="M30" s="2" t="inlineStr"/>
      <c r="N30" s="4" t="n">
        <v>-0.05173196188171236</v>
      </c>
      <c r="O30" s="4" t="n">
        <v>0.08771257361820139</v>
      </c>
      <c r="P30" s="4" t="n">
        <v>-0.03376207026764588</v>
      </c>
      <c r="Q30" s="22" t="n">
        <v>-3762358</v>
      </c>
      <c r="R30" s="22" t="n">
        <v>1201508.19612</v>
      </c>
      <c r="S30" s="4" t="n">
        <v>0.03</v>
      </c>
      <c r="T30" s="4" t="n">
        <v>0.01595150741745099</v>
      </c>
      <c r="U30" s="19" t="n">
        <v>2.080518871091662</v>
      </c>
      <c r="V30" s="19" t="n">
        <v>0.8902439024390246</v>
      </c>
      <c r="W30" s="4" t="n"/>
      <c r="X30" s="4" t="n">
        <v>0.08321146534074297</v>
      </c>
      <c r="Y30" s="4" t="n">
        <v>0.001451572040886862</v>
      </c>
      <c r="Z30" s="4" t="n">
        <v>-0.0008891800277961437</v>
      </c>
      <c r="AA30" s="4" t="n">
        <v>0.03</v>
      </c>
      <c r="AB30" s="4" t="n">
        <v>0.05</v>
      </c>
      <c r="AC30" s="4">
        <f>(AB30+2*參數!$B$7)/(AA30+AB30)</f>
        <v/>
      </c>
    </row>
    <row r="31">
      <c r="A31" s="2" t="n">
        <v>30</v>
      </c>
      <c r="B31" s="2" t="inlineStr">
        <is>
          <t>MAGMA_USDT_PERP</t>
        </is>
      </c>
      <c r="C31" s="2" t="inlineStr">
        <is>
          <t>做空</t>
        </is>
      </c>
      <c r="D31" s="7" t="n">
        <v>46268.29166666666</v>
      </c>
      <c r="E31" s="20" t="n">
        <v>0.51536</v>
      </c>
      <c r="F31" s="20" t="n">
        <v>0.4998992</v>
      </c>
      <c r="G31" s="20" t="n">
        <v>0.5411280000000001</v>
      </c>
      <c r="H31" s="7" t="n">
        <v>46268.33333333334</v>
      </c>
      <c r="I31" s="20" t="n">
        <v>0.4998992</v>
      </c>
      <c r="J31" s="2" t="inlineStr">
        <is>
          <t>止盈</t>
        </is>
      </c>
      <c r="K31" s="5">
        <f>(H31-D31)*24</f>
        <v/>
      </c>
      <c r="L31" s="4">
        <f>IF(C31="做多",I31/E31-1,1-I31/E31)-2*參數!$B$7</f>
        <v/>
      </c>
      <c r="M31" s="2" t="inlineStr"/>
      <c r="N31" s="4" t="n">
        <v>-0.0571878087153781</v>
      </c>
      <c r="O31" s="4" t="n">
        <v>0.07037387493713215</v>
      </c>
      <c r="P31" s="4" t="n">
        <v>-0.02466812201868107</v>
      </c>
      <c r="Q31" s="22" t="n">
        <v>-428420</v>
      </c>
      <c r="R31" s="22" t="n">
        <v>3198859.6078</v>
      </c>
      <c r="S31" s="4" t="n">
        <v>0.03</v>
      </c>
      <c r="T31" s="4" t="n">
        <v>0</v>
      </c>
      <c r="U31" s="19" t="n">
        <v>0.9850008513716346</v>
      </c>
      <c r="V31" s="19" t="n">
        <v>0.70990056204064</v>
      </c>
      <c r="W31" s="4" t="n">
        <v>-0.1852007212945403</v>
      </c>
      <c r="X31" s="4" t="n">
        <v>-0.1180145782714337</v>
      </c>
      <c r="Y31" s="4" t="n">
        <v>0.003309942383443398</v>
      </c>
      <c r="Z31" s="4" t="n">
        <v>0.002227533989185626</v>
      </c>
      <c r="AA31" s="4" t="n">
        <v>0.03</v>
      </c>
      <c r="AB31" s="4" t="n">
        <v>0.05</v>
      </c>
      <c r="AC31" s="4">
        <f>(AB31+2*參數!$B$7)/(AA31+AB31)</f>
        <v/>
      </c>
    </row>
    <row r="32">
      <c r="A32" s="2" t="n">
        <v>31</v>
      </c>
      <c r="B32" s="2" t="inlineStr">
        <is>
          <t>LIT_USDT_PERP</t>
        </is>
      </c>
      <c r="C32" s="2" t="inlineStr">
        <is>
          <t>做多</t>
        </is>
      </c>
      <c r="D32" s="7" t="n">
        <v>46268.33333333334</v>
      </c>
      <c r="E32" s="20" t="n">
        <v>3.783</v>
      </c>
      <c r="F32" s="20" t="n">
        <v>3.89649</v>
      </c>
      <c r="G32" s="20" t="n">
        <v>3.59385</v>
      </c>
      <c r="H32" s="7" t="n">
        <v>46268.375</v>
      </c>
      <c r="I32" s="20" t="n">
        <v>3.89649</v>
      </c>
      <c r="J32" s="2" t="inlineStr">
        <is>
          <t>止盈</t>
        </is>
      </c>
      <c r="K32" s="5">
        <f>(H32-D32)*24</f>
        <v/>
      </c>
      <c r="L32" s="4">
        <f>IF(C32="做多",I32/E32-1,1-I32/E32)-2*參數!$B$7</f>
        <v/>
      </c>
      <c r="M32" s="2" t="inlineStr"/>
      <c r="N32" s="4" t="n">
        <v>0.0249254944459496</v>
      </c>
      <c r="O32" s="4" t="n">
        <v>0.0234093215412947</v>
      </c>
      <c r="P32" s="4" t="n">
        <v>0.04187609303350359</v>
      </c>
      <c r="Q32" s="22" t="n">
        <v>194510.6000000001</v>
      </c>
      <c r="R32" s="22" t="n">
        <v>2112813.9268</v>
      </c>
      <c r="S32" s="4" t="n">
        <v>0.03</v>
      </c>
      <c r="T32" s="4" t="n">
        <v>0</v>
      </c>
      <c r="U32" s="19" t="n">
        <v>0.9553524247338154</v>
      </c>
      <c r="V32" s="19" t="n">
        <v>0.7539682539682526</v>
      </c>
      <c r="W32" s="4" t="n">
        <v>0.0473102978591462</v>
      </c>
      <c r="X32" s="4" t="n">
        <v>0.07624466571834976</v>
      </c>
      <c r="Y32" s="4" t="n">
        <v>0.003943041492849186</v>
      </c>
      <c r="Z32" s="4" t="n">
        <v>0.001858817485171027</v>
      </c>
      <c r="AA32" s="4" t="n">
        <v>0.03</v>
      </c>
      <c r="AB32" s="4" t="n">
        <v>0.05</v>
      </c>
      <c r="AC32" s="4">
        <f>(AB32+2*參數!$B$7)/(AA32+AB32)</f>
        <v/>
      </c>
    </row>
    <row r="33">
      <c r="A33" s="2" t="n">
        <v>32</v>
      </c>
      <c r="B33" s="2" t="inlineStr">
        <is>
          <t>SKR_USDT_PERP</t>
        </is>
      </c>
      <c r="C33" s="2" t="inlineStr">
        <is>
          <t>做空</t>
        </is>
      </c>
      <c r="D33" s="7" t="n">
        <v>46268.41666666666</v>
      </c>
      <c r="E33" s="20" t="n">
        <v>0.022336</v>
      </c>
      <c r="F33" s="20" t="n">
        <v>0.02166592</v>
      </c>
      <c r="G33" s="20" t="n">
        <v>0.0234528</v>
      </c>
      <c r="H33" s="7" t="n">
        <v>46268.45833333334</v>
      </c>
      <c r="I33" s="20" t="n">
        <v>0.02166592</v>
      </c>
      <c r="J33" s="2" t="inlineStr">
        <is>
          <t>止盈</t>
        </is>
      </c>
      <c r="K33" s="5">
        <f>(H33-D33)*24</f>
        <v/>
      </c>
      <c r="L33" s="4">
        <f>IF(C33="做多",I33/E33-1,1-I33/E33)-2*參數!$B$7</f>
        <v/>
      </c>
      <c r="M33" s="2" t="inlineStr"/>
      <c r="N33" s="4" t="n">
        <v>-0.02671140354699542</v>
      </c>
      <c r="O33" s="4" t="n">
        <v>0.06755064789247694</v>
      </c>
      <c r="P33" s="4" t="n">
        <v>-0.0122605109836047</v>
      </c>
      <c r="Q33" s="22" t="n">
        <v>-25430815</v>
      </c>
      <c r="R33" s="22" t="n">
        <v>1993873.877972</v>
      </c>
      <c r="S33" s="4" t="n">
        <v>0.03</v>
      </c>
      <c r="T33" s="4" t="n">
        <v>0</v>
      </c>
      <c r="U33" s="19" t="n">
        <v>1.25061882633497</v>
      </c>
      <c r="V33" s="19" t="n">
        <v>0.7097324985771198</v>
      </c>
      <c r="W33" s="4" t="n">
        <v>0.01771378336314278</v>
      </c>
      <c r="X33" s="4" t="n">
        <v>-0.07825247405261893</v>
      </c>
      <c r="Y33" s="4" t="n">
        <v>-0.00384290315754221</v>
      </c>
      <c r="Z33" s="4" t="n">
        <v>-0.002650983415841468</v>
      </c>
      <c r="AA33" s="4" t="n">
        <v>0.03</v>
      </c>
      <c r="AB33" s="4" t="n">
        <v>0.05</v>
      </c>
      <c r="AC33" s="4">
        <f>(AB33+2*參數!$B$7)/(AA33+AB33)</f>
        <v/>
      </c>
    </row>
    <row r="34">
      <c r="A34" s="2" t="n">
        <v>33</v>
      </c>
      <c r="B34" s="2" t="inlineStr">
        <is>
          <t>HEMI_USDT_PERP</t>
        </is>
      </c>
      <c r="C34" s="2" t="inlineStr">
        <is>
          <t>做多</t>
        </is>
      </c>
      <c r="D34" s="7" t="n">
        <v>46268.75</v>
      </c>
      <c r="E34" s="20" t="n">
        <v>0.01608</v>
      </c>
      <c r="F34" s="20" t="n">
        <v>0.0165624</v>
      </c>
      <c r="G34" s="20" t="n">
        <v>0.015276</v>
      </c>
      <c r="H34" s="7" t="n">
        <v>46268.79166666666</v>
      </c>
      <c r="I34" s="20" t="n">
        <v>0.0165624</v>
      </c>
      <c r="J34" s="2" t="inlineStr">
        <is>
          <t>止盈</t>
        </is>
      </c>
      <c r="K34" s="5">
        <f>(H34-D34)*24</f>
        <v/>
      </c>
      <c r="L34" s="4">
        <f>IF(C34="做多",I34/E34-1,1-I34/E34)-2*參數!$B$7</f>
        <v/>
      </c>
      <c r="M34" s="2" t="inlineStr"/>
      <c r="N34" s="4" t="n">
        <v>0.02095238095238106</v>
      </c>
      <c r="O34" s="4" t="n">
        <v>0.1058555137760409</v>
      </c>
      <c r="P34" s="4" t="n">
        <v>0.005125640705088141</v>
      </c>
      <c r="Q34" s="22" t="n">
        <v>3899446</v>
      </c>
      <c r="R34" s="22" t="n">
        <v>1802329.99498</v>
      </c>
      <c r="S34" s="4" t="n">
        <v>0.03</v>
      </c>
      <c r="T34" s="4" t="n">
        <v>0</v>
      </c>
      <c r="U34" s="19" t="n">
        <v>0.6606785029846948</v>
      </c>
      <c r="V34" s="19" t="n">
        <v>0.7127659574468092</v>
      </c>
      <c r="W34" s="4" t="n">
        <v>0.08479332933057182</v>
      </c>
      <c r="X34" s="4" t="n">
        <v>0.1082012405237767</v>
      </c>
      <c r="Y34" s="4" t="n">
        <v>-0.002948298109696323</v>
      </c>
      <c r="Z34" s="4" t="n">
        <v>0.002021526525706197</v>
      </c>
      <c r="AA34" s="4" t="n">
        <v>0.03</v>
      </c>
      <c r="AB34" s="4" t="n">
        <v>0.05</v>
      </c>
      <c r="AC34" s="4">
        <f>(AB34+2*參數!$B$7)/(AA34+AB34)</f>
        <v/>
      </c>
    </row>
    <row r="35">
      <c r="A35" s="2" t="n">
        <v>34</v>
      </c>
      <c r="B35" s="2" t="inlineStr">
        <is>
          <t>LIT_USDT_PERP</t>
        </is>
      </c>
      <c r="C35" s="2" t="inlineStr">
        <is>
          <t>做多</t>
        </is>
      </c>
      <c r="D35" s="7" t="n">
        <v>46268.83333333334</v>
      </c>
      <c r="E35" s="20" t="n">
        <v>3.935</v>
      </c>
      <c r="F35" s="20" t="n">
        <v>4.05305</v>
      </c>
      <c r="G35" s="20" t="n">
        <v>3.73825</v>
      </c>
      <c r="H35" s="7" t="n">
        <v>46269</v>
      </c>
      <c r="I35" s="20" t="n">
        <v>4.05305</v>
      </c>
      <c r="J35" s="2" t="inlineStr">
        <is>
          <t>止盈</t>
        </is>
      </c>
      <c r="K35" s="5">
        <f>(H35-D35)*24</f>
        <v/>
      </c>
      <c r="L35" s="4">
        <f>IF(C35="做多",I35/E35-1,1-I35/E35)-2*參數!$B$7</f>
        <v/>
      </c>
      <c r="M35" s="2" t="inlineStr"/>
      <c r="N35" s="4" t="n">
        <v>0.02687891440501056</v>
      </c>
      <c r="O35" s="4" t="n">
        <v>0.02306251219903957</v>
      </c>
      <c r="P35" s="4" t="n">
        <v>0.02953873525025497</v>
      </c>
      <c r="Q35" s="22" t="n">
        <v>72287.39999999991</v>
      </c>
      <c r="R35" s="22" t="n">
        <v>2586180.5533</v>
      </c>
      <c r="S35" s="4" t="n">
        <v>0.03</v>
      </c>
      <c r="T35" s="4" t="n">
        <v>0.008894536213468918</v>
      </c>
      <c r="U35" s="19" t="n">
        <v>1.082972593637594</v>
      </c>
      <c r="V35" s="19" t="n">
        <v>0.8425196850393702</v>
      </c>
      <c r="W35" s="4" t="n">
        <v>0.0758567893808697</v>
      </c>
      <c r="X35" s="4" t="n">
        <v>0.09032973122748689</v>
      </c>
      <c r="Y35" s="4" t="n">
        <v>0.002607229721904192</v>
      </c>
      <c r="Z35" s="4" t="n">
        <v>0.005430202705370979</v>
      </c>
      <c r="AA35" s="4" t="n">
        <v>0.03</v>
      </c>
      <c r="AB35" s="4" t="n">
        <v>0.05</v>
      </c>
      <c r="AC35" s="4">
        <f>(AB35+2*參數!$B$7)/(AA35+AB35)</f>
        <v/>
      </c>
    </row>
    <row r="36">
      <c r="A36" s="2" t="n">
        <v>35</v>
      </c>
      <c r="B36" s="2" t="inlineStr">
        <is>
          <t>BTR_USDT_PERP</t>
        </is>
      </c>
      <c r="C36" s="2" t="inlineStr">
        <is>
          <t>做多</t>
        </is>
      </c>
      <c r="D36" s="7" t="n">
        <v>46268.91666666666</v>
      </c>
      <c r="E36" s="20" t="n">
        <v>0.04945</v>
      </c>
      <c r="F36" s="20" t="n">
        <v>0.0509335</v>
      </c>
      <c r="G36" s="20" t="n">
        <v>0.0469775</v>
      </c>
      <c r="H36" s="7" t="n">
        <v>46269</v>
      </c>
      <c r="I36" s="20" t="n">
        <v>0.0469775</v>
      </c>
      <c r="J36" s="2" t="inlineStr">
        <is>
          <t>止損</t>
        </is>
      </c>
      <c r="K36" s="5">
        <f>(H36-D36)*24</f>
        <v/>
      </c>
      <c r="L36" s="4">
        <f>IF(C36="做多",I36/E36-1,1-I36/E36)-2*參數!$B$7</f>
        <v/>
      </c>
      <c r="M36" s="2" t="inlineStr"/>
      <c r="N36" s="4" t="n">
        <v>0.03300605807395018</v>
      </c>
      <c r="O36" s="4" t="n">
        <v>0.1032273896946923</v>
      </c>
      <c r="P36" s="4" t="n">
        <v>0.04905860514452409</v>
      </c>
      <c r="Q36" s="22" t="n">
        <v>1986953</v>
      </c>
      <c r="R36" s="22" t="n">
        <v>4007565.20066</v>
      </c>
      <c r="S36" s="4" t="n">
        <v>0</v>
      </c>
      <c r="T36" s="4" t="n">
        <v>0.05</v>
      </c>
      <c r="U36" s="19" t="n">
        <v>0.5232849663588574</v>
      </c>
      <c r="V36" s="19" t="n">
        <v>0.8995633187772921</v>
      </c>
      <c r="W36" s="4" t="n">
        <v>-0.5047080281369911</v>
      </c>
      <c r="X36" s="4" t="n">
        <v>-0.03020200039223375</v>
      </c>
      <c r="Y36" s="4" t="n">
        <v>0.002432173895345224</v>
      </c>
      <c r="Z36" s="4" t="n">
        <v>0.01505005823360883</v>
      </c>
      <c r="AA36" s="4" t="n">
        <v>0.03</v>
      </c>
      <c r="AB36" s="4" t="n">
        <v>0.05</v>
      </c>
      <c r="AC36" s="4">
        <f>(AB36+2*參數!$B$7)/(AA36+AB36)</f>
        <v/>
      </c>
    </row>
    <row r="37">
      <c r="A37" s="2" t="n">
        <v>36</v>
      </c>
      <c r="B37" s="2" t="inlineStr">
        <is>
          <t>HEMI_USDT_PERP</t>
        </is>
      </c>
      <c r="C37" s="2" t="inlineStr">
        <is>
          <t>做多</t>
        </is>
      </c>
      <c r="D37" s="7" t="n">
        <v>46269</v>
      </c>
      <c r="E37" s="20" t="n">
        <v>0.01679</v>
      </c>
      <c r="F37" s="20" t="n">
        <v>0.0172937</v>
      </c>
      <c r="G37" s="20" t="n">
        <v>0.0159505</v>
      </c>
      <c r="H37" s="7" t="n">
        <v>46269.04166666666</v>
      </c>
      <c r="I37" s="20" t="n">
        <v>0.0159505</v>
      </c>
      <c r="J37" s="2" t="inlineStr">
        <is>
          <t>止損</t>
        </is>
      </c>
      <c r="K37" s="5">
        <f>(H37-D37)*24</f>
        <v/>
      </c>
      <c r="L37" s="4">
        <f>IF(C37="做多",I37/E37-1,1-I37/E37)-2*參數!$B$7</f>
        <v/>
      </c>
      <c r="M37" s="2" t="inlineStr"/>
      <c r="N37" s="4" t="n">
        <v>0.04806491885143571</v>
      </c>
      <c r="O37" s="4" t="n">
        <v>0.08126427280690032</v>
      </c>
      <c r="P37" s="4" t="n">
        <v>0.01776080499484745</v>
      </c>
      <c r="Q37" s="22" t="n">
        <v>10234301</v>
      </c>
      <c r="R37" s="22" t="n">
        <v>1785837.04738</v>
      </c>
      <c r="S37" s="4" t="n">
        <v>0</v>
      </c>
      <c r="T37" s="4" t="n">
        <v>0.05</v>
      </c>
      <c r="U37" s="19" t="n">
        <v>0.6681337820991659</v>
      </c>
      <c r="V37" s="19" t="n">
        <v>0.7475728155339807</v>
      </c>
      <c r="W37" s="4" t="n">
        <v>0.1115230314986693</v>
      </c>
      <c r="X37" s="4" t="n">
        <v>0.2035842293906809</v>
      </c>
      <c r="Y37" s="4" t="n">
        <v>0.010039946142266</v>
      </c>
      <c r="Z37" s="4" t="n">
        <v>0.04259470966847734</v>
      </c>
      <c r="AA37" s="4" t="n">
        <v>0.03</v>
      </c>
      <c r="AB37" s="4" t="n">
        <v>0.05</v>
      </c>
      <c r="AC37" s="4">
        <f>(AB37+2*參數!$B$7)/(AA37+AB37)</f>
        <v/>
      </c>
    </row>
    <row r="38">
      <c r="A38" s="2" t="n">
        <v>37</v>
      </c>
      <c r="B38" s="2" t="inlineStr">
        <is>
          <t>UNI_USDT_PERP</t>
        </is>
      </c>
      <c r="C38" s="2" t="inlineStr">
        <is>
          <t>做多</t>
        </is>
      </c>
      <c r="D38" s="7" t="n">
        <v>46269.125</v>
      </c>
      <c r="E38" s="20" t="n">
        <v>6.266</v>
      </c>
      <c r="F38" s="20" t="n">
        <v>6.45398</v>
      </c>
      <c r="G38" s="20" t="n">
        <v>5.9527</v>
      </c>
      <c r="H38" s="7" t="n">
        <v>46269.25</v>
      </c>
      <c r="I38" s="20" t="n">
        <v>6.45398</v>
      </c>
      <c r="J38" s="2" t="inlineStr">
        <is>
          <t>止盈</t>
        </is>
      </c>
      <c r="K38" s="5">
        <f>(H38-D38)*24</f>
        <v/>
      </c>
      <c r="L38" s="4">
        <f>IF(C38="做多",I38/E38-1,1-I38/E38)-2*參數!$B$7</f>
        <v/>
      </c>
      <c r="M38" s="2" t="inlineStr"/>
      <c r="N38" s="4" t="n">
        <v>0.02235274922499597</v>
      </c>
      <c r="O38" s="4" t="n">
        <v>0.0229042598215115</v>
      </c>
      <c r="P38" s="4" t="n">
        <v>0.05165107204296548</v>
      </c>
      <c r="Q38" s="22" t="n">
        <v>131264</v>
      </c>
      <c r="R38" s="22" t="n">
        <v>4774839.972</v>
      </c>
      <c r="S38" s="4" t="n">
        <v>0.03</v>
      </c>
      <c r="T38" s="4" t="n">
        <v>0.01244813278008305</v>
      </c>
      <c r="U38" s="19" t="n">
        <v>0.7356997057201177</v>
      </c>
      <c r="V38" s="19" t="n">
        <v>0.8663101604278057</v>
      </c>
      <c r="W38" s="4" t="n">
        <v>0.1132885720021959</v>
      </c>
      <c r="X38" s="4" t="n">
        <v>0.08127696289905084</v>
      </c>
      <c r="Y38" s="4" t="n">
        <v>0.002713349109767282</v>
      </c>
      <c r="Z38" s="4" t="n">
        <v>0.03378099026955317</v>
      </c>
      <c r="AA38" s="4" t="n">
        <v>0.03</v>
      </c>
      <c r="AB38" s="4" t="n">
        <v>0.05</v>
      </c>
      <c r="AC38" s="4">
        <f>(AB38+2*參數!$B$7)/(AA38+AB38)</f>
        <v/>
      </c>
    </row>
    <row r="39">
      <c r="A39" s="2" t="n">
        <v>38</v>
      </c>
      <c r="B39" s="2" t="inlineStr">
        <is>
          <t>PUMP_USDT_PERP</t>
        </is>
      </c>
      <c r="C39" s="2" t="inlineStr">
        <is>
          <t>做空</t>
        </is>
      </c>
      <c r="D39" s="7" t="n">
        <v>46269.29166666666</v>
      </c>
      <c r="E39" s="20" t="n">
        <v>0.004273</v>
      </c>
      <c r="F39" s="20" t="n">
        <v>0.00414481</v>
      </c>
      <c r="G39" s="20" t="n">
        <v>0.00448665</v>
      </c>
      <c r="H39" s="7" t="n">
        <v>46269.375</v>
      </c>
      <c r="I39" s="20" t="n">
        <v>0.00414481</v>
      </c>
      <c r="J39" s="2" t="inlineStr">
        <is>
          <t>止盈</t>
        </is>
      </c>
      <c r="K39" s="5">
        <f>(H39-D39)*24</f>
        <v/>
      </c>
      <c r="L39" s="4">
        <f>IF(C39="做多",I39/E39-1,1-I39/E39)-2*參數!$B$7</f>
        <v/>
      </c>
      <c r="M39" s="2" t="inlineStr"/>
      <c r="N39" s="4" t="n">
        <v>-0.02554161915621445</v>
      </c>
      <c r="O39" s="4" t="n">
        <v>0.0202827757475155</v>
      </c>
      <c r="P39" s="4" t="n">
        <v>-0.02323614460585421</v>
      </c>
      <c r="Q39" s="22" t="n">
        <v>-20645662</v>
      </c>
      <c r="R39" s="22" t="n">
        <v>8456282.635321001</v>
      </c>
      <c r="S39" s="4" t="n">
        <v>0.03</v>
      </c>
      <c r="T39" s="4" t="n">
        <v>0.01404165691551618</v>
      </c>
      <c r="U39" s="19" t="n">
        <v>0.5760907647352584</v>
      </c>
      <c r="V39" s="19" t="n">
        <v>0.836879432624116</v>
      </c>
      <c r="W39" s="4" t="n">
        <v>0.01576662175079757</v>
      </c>
      <c r="X39" s="4" t="n">
        <v>-0.06425902864259014</v>
      </c>
      <c r="Y39" s="4" t="n">
        <v>0.005367463386100502</v>
      </c>
      <c r="Z39" s="4" t="n">
        <v>-0.02165035885334721</v>
      </c>
      <c r="AA39" s="4" t="n">
        <v>0.03</v>
      </c>
      <c r="AB39" s="4" t="n">
        <v>0.05</v>
      </c>
      <c r="AC39" s="4">
        <f>(AB39+2*參數!$B$7)/(AA39+AB39)</f>
        <v/>
      </c>
    </row>
    <row r="40">
      <c r="A40" s="2" t="n">
        <v>39</v>
      </c>
      <c r="B40" s="2" t="inlineStr">
        <is>
          <t>TRUMP_USDT_PERP</t>
        </is>
      </c>
      <c r="C40" s="2" t="inlineStr">
        <is>
          <t>做空</t>
        </is>
      </c>
      <c r="D40" s="7" t="n">
        <v>46269.375</v>
      </c>
      <c r="E40" s="20" t="n">
        <v>2.334</v>
      </c>
      <c r="F40" s="20" t="n">
        <v>2.26398</v>
      </c>
      <c r="G40" s="20" t="n">
        <v>2.4507</v>
      </c>
      <c r="H40" s="7" t="n">
        <v>46269.875</v>
      </c>
      <c r="I40" s="20" t="n">
        <v>2.26398</v>
      </c>
      <c r="J40" s="2" t="inlineStr">
        <is>
          <t>止盈</t>
        </is>
      </c>
      <c r="K40" s="5">
        <f>(H40-D40)*24</f>
        <v/>
      </c>
      <c r="L40" s="4">
        <f>IF(C40="做多",I40/E40-1,1-I40/E40)-2*參數!$B$7</f>
        <v/>
      </c>
      <c r="M40" s="2" t="inlineStr"/>
      <c r="N40" s="4" t="n">
        <v>-0.02179379715004193</v>
      </c>
      <c r="O40" s="4" t="n">
        <v>0.02290036144336417</v>
      </c>
      <c r="P40" s="4" t="n">
        <v>-0.004775712092785267</v>
      </c>
      <c r="Q40" s="22" t="n">
        <v>-77474.39999999991</v>
      </c>
      <c r="R40" s="22" t="n">
        <v>1531665.9201</v>
      </c>
      <c r="S40" s="4" t="n">
        <v>0.03</v>
      </c>
      <c r="T40" s="4" t="n">
        <v>0.04841473864610113</v>
      </c>
      <c r="U40" s="19" t="n">
        <v>1.121029757953661</v>
      </c>
      <c r="V40" s="19" t="n">
        <v>0.9636363636363596</v>
      </c>
      <c r="W40" s="4" t="n">
        <v>-0.005016470385600824</v>
      </c>
      <c r="X40" s="4" t="n">
        <v>-0.06819221967963385</v>
      </c>
      <c r="Y40" s="4" t="n">
        <v>0.003616859143156459</v>
      </c>
      <c r="Z40" s="4" t="n">
        <v>-0.01516165757890353</v>
      </c>
      <c r="AA40" s="4" t="n">
        <v>0.03</v>
      </c>
      <c r="AB40" s="4" t="n">
        <v>0.05</v>
      </c>
      <c r="AC40" s="4">
        <f>(AB40+2*參數!$B$7)/(AA40+AB40)</f>
        <v/>
      </c>
    </row>
    <row r="41">
      <c r="A41" s="2" t="n">
        <v>40</v>
      </c>
      <c r="B41" s="2" t="inlineStr">
        <is>
          <t>UAI_USDT_PERP</t>
        </is>
      </c>
      <c r="C41" s="2" t="inlineStr">
        <is>
          <t>做多</t>
        </is>
      </c>
      <c r="D41" s="7" t="n">
        <v>46269.58333333334</v>
      </c>
      <c r="E41" s="20" t="n">
        <v>0.3675</v>
      </c>
      <c r="F41" s="20" t="n">
        <v>0.378525</v>
      </c>
      <c r="G41" s="20" t="n">
        <v>0.349125</v>
      </c>
      <c r="H41" s="7" t="n">
        <v>46269.625</v>
      </c>
      <c r="I41" s="20" t="n">
        <v>0.378525</v>
      </c>
      <c r="J41" s="2" t="inlineStr">
        <is>
          <t>止盈</t>
        </is>
      </c>
      <c r="K41" s="5">
        <f>(H41-D41)*24</f>
        <v/>
      </c>
      <c r="L41" s="4">
        <f>IF(C41="做多",I41/E41-1,1-I41/E41)-2*參數!$B$7</f>
        <v/>
      </c>
      <c r="M41" s="2" t="inlineStr"/>
      <c r="N41" s="4" t="n">
        <v>0.03637901861252102</v>
      </c>
      <c r="O41" s="4" t="n">
        <v>0.05208441623441524</v>
      </c>
      <c r="P41" s="4" t="n">
        <v>0.02062070401999572</v>
      </c>
      <c r="Q41" s="22" t="n">
        <v>4726</v>
      </c>
      <c r="R41" s="22" t="n">
        <v>1540599.185</v>
      </c>
      <c r="S41" s="4" t="n">
        <v>0.03</v>
      </c>
      <c r="T41" s="4" t="n">
        <v>0</v>
      </c>
      <c r="U41" s="19" t="n">
        <v>0.3654697253375122</v>
      </c>
      <c r="V41" s="19" t="n">
        <v>0.7526881720430112</v>
      </c>
      <c r="W41" s="4" t="n">
        <v>-0.1460617763309239</v>
      </c>
      <c r="X41" s="4" t="n">
        <v>-0.02078337330135904</v>
      </c>
      <c r="Y41" s="4" t="n">
        <v>-0.001082176297254156</v>
      </c>
      <c r="Z41" s="4" t="n">
        <v>0.005300033243958335</v>
      </c>
      <c r="AA41" s="4" t="n">
        <v>0.03</v>
      </c>
      <c r="AB41" s="4" t="n">
        <v>0.05</v>
      </c>
      <c r="AC41" s="4">
        <f>(AB41+2*參數!$B$7)/(AA41+AB41)</f>
        <v/>
      </c>
    </row>
    <row r="42">
      <c r="A42" s="2" t="n">
        <v>41</v>
      </c>
      <c r="B42" s="2" t="inlineStr">
        <is>
          <t>CHIP_USDT_PERP</t>
        </is>
      </c>
      <c r="C42" s="2" t="inlineStr">
        <is>
          <t>做空</t>
        </is>
      </c>
      <c r="D42" s="7" t="n">
        <v>46269.625</v>
      </c>
      <c r="E42" s="20" t="n">
        <v>0.0548</v>
      </c>
      <c r="F42" s="20" t="n">
        <v>0.053156</v>
      </c>
      <c r="G42" s="20" t="n">
        <v>0.05754</v>
      </c>
      <c r="H42" s="7" t="n">
        <v>46269.75</v>
      </c>
      <c r="I42" s="20" t="n">
        <v>0.05754</v>
      </c>
      <c r="J42" s="2" t="inlineStr">
        <is>
          <t>止損</t>
        </is>
      </c>
      <c r="K42" s="5">
        <f>(H42-D42)*24</f>
        <v/>
      </c>
      <c r="L42" s="4">
        <f>IF(C42="做多",I42/E42-1,1-I42/E42)-2*參數!$B$7</f>
        <v/>
      </c>
      <c r="M42" s="2" t="inlineStr"/>
      <c r="N42" s="4" t="n">
        <v>-0.07338518769022651</v>
      </c>
      <c r="O42" s="4" t="n">
        <v>0.05464701465444979</v>
      </c>
      <c r="P42" s="4" t="n">
        <v>-0.02796377923425553</v>
      </c>
      <c r="Q42" s="22" t="n">
        <v>-1211245</v>
      </c>
      <c r="R42" s="22" t="n">
        <v>1458633.77091</v>
      </c>
      <c r="S42" s="4" t="n">
        <v>0.018065693430657</v>
      </c>
      <c r="T42" s="4" t="n">
        <v>0.05</v>
      </c>
      <c r="U42" s="19" t="n">
        <v>1.556560758762703</v>
      </c>
      <c r="V42" s="19" t="n">
        <v>0.9412955465587047</v>
      </c>
      <c r="W42" s="4" t="n">
        <v>-0.2208896899430328</v>
      </c>
      <c r="X42" s="4" t="n">
        <v>-0.1583174804481082</v>
      </c>
      <c r="Y42" s="4" t="n">
        <v>0.002333461391652136</v>
      </c>
      <c r="Z42" s="4" t="n">
        <v>-0.001054180933641069</v>
      </c>
      <c r="AA42" s="4" t="n">
        <v>0.03</v>
      </c>
      <c r="AB42" s="4" t="n">
        <v>0.05</v>
      </c>
      <c r="AC42" s="4">
        <f>(AB42+2*參數!$B$7)/(AA42+AB42)</f>
        <v/>
      </c>
    </row>
    <row r="43">
      <c r="A43" s="2" t="n">
        <v>42</v>
      </c>
      <c r="B43" s="2" t="inlineStr">
        <is>
          <t>PONS_USDT_PERP</t>
        </is>
      </c>
      <c r="C43" s="2" t="inlineStr">
        <is>
          <t>做多</t>
        </is>
      </c>
      <c r="D43" s="7" t="n">
        <v>46269.66666666666</v>
      </c>
      <c r="E43" s="20" t="n">
        <v>0.6479</v>
      </c>
      <c r="F43" s="20" t="n">
        <v>0.6673370000000001</v>
      </c>
      <c r="G43" s="20" t="n">
        <v>0.615505</v>
      </c>
      <c r="H43" s="7" t="n">
        <v>46269.70833333334</v>
      </c>
      <c r="I43" s="20" t="n">
        <v>0.6673370000000001</v>
      </c>
      <c r="J43" s="2" t="inlineStr">
        <is>
          <t>止盈</t>
        </is>
      </c>
      <c r="K43" s="5">
        <f>(H43-D43)*24</f>
        <v/>
      </c>
      <c r="L43" s="4">
        <f>IF(C43="做多",I43/E43-1,1-I43/E43)-2*參數!$B$7</f>
        <v/>
      </c>
      <c r="M43" s="2" t="inlineStr"/>
      <c r="N43" s="4" t="n">
        <v>0.03300382653061229</v>
      </c>
      <c r="O43" s="4" t="n">
        <v>0.06228210262287198</v>
      </c>
      <c r="P43" s="4" t="n">
        <v>0.02939307276771519</v>
      </c>
      <c r="Q43" s="22" t="n">
        <v>1552204</v>
      </c>
      <c r="R43" s="22" t="n">
        <v>8431855.6786</v>
      </c>
      <c r="S43" s="4" t="n">
        <v>0.03</v>
      </c>
      <c r="T43" s="4" t="n">
        <v>0</v>
      </c>
      <c r="U43" s="19" t="n">
        <v>0.8339566738177931</v>
      </c>
      <c r="V43" s="19" t="n">
        <v>0.7368421052631576</v>
      </c>
      <c r="W43" s="4" t="n"/>
      <c r="X43" s="4" t="n">
        <v>0.3219751071209958</v>
      </c>
      <c r="Y43" s="4" t="n">
        <v>-0.001681446390585872</v>
      </c>
      <c r="Z43" s="4" t="n">
        <v>-0.002309852901707043</v>
      </c>
      <c r="AA43" s="4" t="n">
        <v>0.03</v>
      </c>
      <c r="AB43" s="4" t="n">
        <v>0.05</v>
      </c>
      <c r="AC43" s="4">
        <f>(AB43+2*參數!$B$7)/(AA43+AB43)</f>
        <v/>
      </c>
    </row>
    <row r="44">
      <c r="A44" s="2" t="n">
        <v>43</v>
      </c>
      <c r="B44" s="2" t="inlineStr">
        <is>
          <t>UAI_USDT_PERP</t>
        </is>
      </c>
      <c r="C44" s="2" t="inlineStr">
        <is>
          <t>做空</t>
        </is>
      </c>
      <c r="D44" s="7" t="n">
        <v>46269.66666666666</v>
      </c>
      <c r="E44" s="20" t="n">
        <v>0.3446</v>
      </c>
      <c r="F44" s="20" t="n">
        <v>0.334262</v>
      </c>
      <c r="G44" s="20" t="n">
        <v>0.36183</v>
      </c>
      <c r="H44" s="7" t="n">
        <v>46269.70833333334</v>
      </c>
      <c r="I44" s="20" t="n">
        <v>0.36183</v>
      </c>
      <c r="J44" s="2" t="inlineStr">
        <is>
          <t>止損</t>
        </is>
      </c>
      <c r="K44" s="5">
        <f>(H44-D44)*24</f>
        <v/>
      </c>
      <c r="L44" s="4">
        <f>IF(C44="做多",I44/E44-1,1-I44/E44)-2*參數!$B$7</f>
        <v/>
      </c>
      <c r="M44" s="2" t="inlineStr"/>
      <c r="N44" s="4" t="n">
        <v>-0.08691043985161628</v>
      </c>
      <c r="O44" s="4" t="n">
        <v>0.06433121041371456</v>
      </c>
      <c r="P44" s="4" t="n">
        <v>-0.0358411907892896</v>
      </c>
      <c r="Q44" s="22" t="n">
        <v>-292527</v>
      </c>
      <c r="R44" s="22" t="n">
        <v>1296885.2537</v>
      </c>
      <c r="S44" s="4" t="n">
        <v>0</v>
      </c>
      <c r="T44" s="4" t="n">
        <v>0.05</v>
      </c>
      <c r="U44" s="19" t="n">
        <v>3.488179702462242</v>
      </c>
      <c r="V44" s="19" t="n">
        <v>0.6468531468531468</v>
      </c>
      <c r="W44" s="4" t="n">
        <v>0.1984107784208274</v>
      </c>
      <c r="X44" s="4" t="n">
        <v>0.07983978638184241</v>
      </c>
      <c r="Y44" s="4" t="n">
        <v>0.001681446390585872</v>
      </c>
      <c r="Z44" s="4" t="n">
        <v>0.002309852901707043</v>
      </c>
      <c r="AA44" s="4" t="n">
        <v>0.03</v>
      </c>
      <c r="AB44" s="4" t="n">
        <v>0.05</v>
      </c>
      <c r="AC44" s="4">
        <f>(AB44+2*參數!$B$7)/(AA44+AB44)</f>
        <v/>
      </c>
    </row>
    <row r="45">
      <c r="A45" s="2" t="n">
        <v>44</v>
      </c>
      <c r="B45" s="2" t="inlineStr">
        <is>
          <t>BULLA_USDT_PERP</t>
        </is>
      </c>
      <c r="C45" s="2" t="inlineStr">
        <is>
          <t>做多</t>
        </is>
      </c>
      <c r="D45" s="7" t="n">
        <v>46269.70833333334</v>
      </c>
      <c r="E45" s="20" t="n">
        <v>0.03347</v>
      </c>
      <c r="F45" s="20" t="n">
        <v>0.0344741</v>
      </c>
      <c r="G45" s="20" t="n">
        <v>0.0317965</v>
      </c>
      <c r="H45" s="7" t="n">
        <v>46269.75</v>
      </c>
      <c r="I45" s="20" t="n">
        <v>0.0344741</v>
      </c>
      <c r="J45" s="2" t="inlineStr">
        <is>
          <t>止盈</t>
        </is>
      </c>
      <c r="K45" s="5">
        <f>(H45-D45)*24</f>
        <v/>
      </c>
      <c r="L45" s="4">
        <f>IF(C45="做多",I45/E45-1,1-I45/E45)-2*參數!$B$7</f>
        <v/>
      </c>
      <c r="M45" s="2" t="inlineStr"/>
      <c r="N45" s="4" t="n">
        <v>0.07378889958293233</v>
      </c>
      <c r="O45" s="4" t="n">
        <v>0.1042549099124499</v>
      </c>
      <c r="P45" s="4" t="n">
        <v>0.01840864141183629</v>
      </c>
      <c r="Q45" s="22" t="n">
        <v>13823348</v>
      </c>
      <c r="R45" s="22" t="n">
        <v>3040756.21394</v>
      </c>
      <c r="S45" s="4" t="n">
        <v>0.03</v>
      </c>
      <c r="T45" s="4" t="n">
        <v>0</v>
      </c>
      <c r="U45" s="19" t="n">
        <v>1.228717919642171</v>
      </c>
      <c r="V45" s="19" t="n">
        <v>0.4494382022471911</v>
      </c>
      <c r="W45" s="4" t="n">
        <v>0.5172532593519372</v>
      </c>
      <c r="X45" s="4" t="n">
        <v>0.2118030412744389</v>
      </c>
      <c r="Y45" s="4" t="n">
        <v>0.006022721635164041</v>
      </c>
      <c r="Z45" s="4" t="n">
        <v>0.00214838921463878</v>
      </c>
      <c r="AA45" s="4" t="n">
        <v>0.03</v>
      </c>
      <c r="AB45" s="4" t="n">
        <v>0.05</v>
      </c>
      <c r="AC45" s="4">
        <f>(AB45+2*參數!$B$7)/(AA45+AB45)</f>
        <v/>
      </c>
    </row>
    <row r="46">
      <c r="A46" s="2" t="n">
        <v>45</v>
      </c>
      <c r="B46" s="2" t="inlineStr">
        <is>
          <t>UNI_USDT_PERP</t>
        </is>
      </c>
      <c r="C46" s="2" t="inlineStr">
        <is>
          <t>做多</t>
        </is>
      </c>
      <c r="D46" s="7" t="n">
        <v>46269.70833333334</v>
      </c>
      <c r="E46" s="20" t="n">
        <v>6.366</v>
      </c>
      <c r="F46" s="20" t="n">
        <v>6.55698</v>
      </c>
      <c r="G46" s="20" t="n">
        <v>6.047699999999999</v>
      </c>
      <c r="H46" s="7" t="n">
        <v>46269.91666666666</v>
      </c>
      <c r="I46" s="20" t="n">
        <v>6.047699999999999</v>
      </c>
      <c r="J46" s="2" t="inlineStr">
        <is>
          <t>止損</t>
        </is>
      </c>
      <c r="K46" s="5">
        <f>(H46-D46)*24</f>
        <v/>
      </c>
      <c r="L46" s="4">
        <f>IF(C46="做多",I46/E46-1,1-I46/E46)-2*參數!$B$7</f>
        <v/>
      </c>
      <c r="M46" s="2" t="inlineStr"/>
      <c r="N46" s="4" t="n">
        <v>0.02199389950232766</v>
      </c>
      <c r="O46" s="4" t="n">
        <v>0.02481389236385636</v>
      </c>
      <c r="P46" s="4" t="n">
        <v>0.01375076636436745</v>
      </c>
      <c r="Q46" s="22" t="n">
        <v>107746</v>
      </c>
      <c r="R46" s="22" t="n">
        <v>5820666.546999999</v>
      </c>
      <c r="S46" s="4" t="n">
        <v>0.01586553565818405</v>
      </c>
      <c r="T46" s="4" t="n">
        <v>0.05</v>
      </c>
      <c r="U46" s="19" t="n">
        <v>0.7391591360381419</v>
      </c>
      <c r="V46" s="19" t="n">
        <v>0.8373493975903601</v>
      </c>
      <c r="W46" s="4" t="n">
        <v>0.1007137521786041</v>
      </c>
      <c r="X46" s="4" t="n">
        <v>0.09494324045407621</v>
      </c>
      <c r="Y46" s="4" t="n">
        <v>0.006022721635164041</v>
      </c>
      <c r="Z46" s="4" t="n">
        <v>0.00214838921463878</v>
      </c>
      <c r="AA46" s="4" t="n">
        <v>0.03</v>
      </c>
      <c r="AB46" s="4" t="n">
        <v>0.05</v>
      </c>
      <c r="AC46" s="4">
        <f>(AB46+2*參數!$B$7)/(AA46+AB46)</f>
        <v/>
      </c>
    </row>
    <row r="47">
      <c r="A47" s="2" t="n">
        <v>46</v>
      </c>
      <c r="B47" s="2" t="inlineStr">
        <is>
          <t>XPL_USDT_PERP</t>
        </is>
      </c>
      <c r="C47" s="2" t="inlineStr">
        <is>
          <t>做多</t>
        </is>
      </c>
      <c r="D47" s="7" t="n">
        <v>46269.70833333334</v>
      </c>
      <c r="E47" s="20" t="n">
        <v>0.096</v>
      </c>
      <c r="F47" s="20" t="n">
        <v>0.09888000000000001</v>
      </c>
      <c r="G47" s="20" t="n">
        <v>0.0912</v>
      </c>
      <c r="H47" s="7" t="n">
        <v>46269.83333333334</v>
      </c>
      <c r="I47" s="20" t="n">
        <v>0.09888000000000001</v>
      </c>
      <c r="J47" s="2" t="inlineStr">
        <is>
          <t>止盈</t>
        </is>
      </c>
      <c r="K47" s="5">
        <f>(H47-D47)*24</f>
        <v/>
      </c>
      <c r="L47" s="4">
        <f>IF(C47="做多",I47/E47-1,1-I47/E47)-2*參數!$B$7</f>
        <v/>
      </c>
      <c r="M47" s="2" t="inlineStr"/>
      <c r="N47" s="4" t="n">
        <v>0.03004291845493556</v>
      </c>
      <c r="O47" s="4" t="n">
        <v>0.02190097557766144</v>
      </c>
      <c r="P47" s="4" t="n">
        <v>0.01281848393733198</v>
      </c>
      <c r="Q47" s="22" t="n">
        <v>2248906</v>
      </c>
      <c r="R47" s="22" t="n">
        <v>1369194.4473</v>
      </c>
      <c r="S47" s="4" t="n">
        <v>0.03</v>
      </c>
      <c r="T47" s="4" t="n">
        <v>0.007291666666666696</v>
      </c>
      <c r="U47" s="19" t="n">
        <v>1.172574097486803</v>
      </c>
      <c r="V47" s="19" t="n">
        <v>1</v>
      </c>
      <c r="W47" s="4" t="n">
        <v>0.1092367064913458</v>
      </c>
      <c r="X47" s="4" t="n">
        <v>0.08720271800679491</v>
      </c>
      <c r="Y47" s="4" t="n">
        <v>0.006022721635164041</v>
      </c>
      <c r="Z47" s="4" t="n">
        <v>0.00214838921463878</v>
      </c>
      <c r="AA47" s="4" t="n">
        <v>0.03</v>
      </c>
      <c r="AB47" s="4" t="n">
        <v>0.05</v>
      </c>
      <c r="AC47" s="4">
        <f>(AB47+2*參數!$B$7)/(AA47+AB47)</f>
        <v/>
      </c>
    </row>
    <row r="48">
      <c r="A48" s="2" t="n">
        <v>47</v>
      </c>
      <c r="B48" s="2" t="inlineStr">
        <is>
          <t>ARB_USDT_PERP</t>
        </is>
      </c>
      <c r="C48" s="2" t="inlineStr">
        <is>
          <t>做多</t>
        </is>
      </c>
      <c r="D48" s="7" t="n">
        <v>46269.75</v>
      </c>
      <c r="E48" s="20" t="n">
        <v>0.1404</v>
      </c>
      <c r="F48" s="20" t="n">
        <v>0.144612</v>
      </c>
      <c r="G48" s="20" t="n">
        <v>0.13338</v>
      </c>
      <c r="H48" s="7" t="n">
        <v>46269.875</v>
      </c>
      <c r="I48" s="20" t="n">
        <v>0.13338</v>
      </c>
      <c r="J48" s="2" t="inlineStr">
        <is>
          <t>止損</t>
        </is>
      </c>
      <c r="K48" s="5">
        <f>(H48-D48)*24</f>
        <v/>
      </c>
      <c r="L48" s="4">
        <f>IF(C48="做多",I48/E48-1,1-I48/E48)-2*參數!$B$7</f>
        <v/>
      </c>
      <c r="M48" s="2" t="inlineStr"/>
      <c r="N48" s="4" t="n">
        <v>0.02556610664718773</v>
      </c>
      <c r="O48" s="4" t="n">
        <v>0.02920104550668523</v>
      </c>
      <c r="P48" s="4" t="n">
        <v>0.02090528994728236</v>
      </c>
      <c r="Q48" s="22" t="n">
        <v>1976499.500000006</v>
      </c>
      <c r="R48" s="22" t="n">
        <v>2424307.18175</v>
      </c>
      <c r="S48" s="4" t="n">
        <v>0.002136752136752129</v>
      </c>
      <c r="T48" s="4" t="n">
        <v>0.05</v>
      </c>
      <c r="U48" s="19" t="n">
        <v>1.361732847326615</v>
      </c>
      <c r="V48" s="19" t="n">
        <v>0.7</v>
      </c>
      <c r="W48" s="4" t="n">
        <v>0.2007491853891745</v>
      </c>
      <c r="X48" s="4" t="n">
        <v>0.0166545981173063</v>
      </c>
      <c r="Y48" s="4" t="n">
        <v>-0.001179826810793871</v>
      </c>
      <c r="Z48" s="4" t="n">
        <v>-0.000401046731351995</v>
      </c>
      <c r="AA48" s="4" t="n">
        <v>0.03</v>
      </c>
      <c r="AB48" s="4" t="n">
        <v>0.05</v>
      </c>
      <c r="AC48" s="4">
        <f>(AB48+2*參數!$B$7)/(AA48+AB48)</f>
        <v/>
      </c>
    </row>
    <row r="49">
      <c r="A49" s="2" t="n">
        <v>48</v>
      </c>
      <c r="B49" s="2" t="inlineStr">
        <is>
          <t>BTR_USDT_PERP</t>
        </is>
      </c>
      <c r="C49" s="2" t="inlineStr">
        <is>
          <t>做多</t>
        </is>
      </c>
      <c r="D49" s="7" t="n">
        <v>46269.75</v>
      </c>
      <c r="E49" s="20" t="n">
        <v>0.05138</v>
      </c>
      <c r="F49" s="20" t="n">
        <v>0.0529214</v>
      </c>
      <c r="G49" s="20" t="n">
        <v>0.048811</v>
      </c>
      <c r="H49" s="7" t="n">
        <v>46269.875</v>
      </c>
      <c r="I49" s="20" t="n">
        <v>0.048811</v>
      </c>
      <c r="J49" s="2" t="inlineStr">
        <is>
          <t>止損</t>
        </is>
      </c>
      <c r="K49" s="5">
        <f>(H49-D49)*24</f>
        <v/>
      </c>
      <c r="L49" s="4">
        <f>IF(C49="做多",I49/E49-1,1-I49/E49)-2*參數!$B$7</f>
        <v/>
      </c>
      <c r="M49" s="2" t="inlineStr"/>
      <c r="N49" s="4" t="n">
        <v>0.0352609308885754</v>
      </c>
      <c r="O49" s="4" t="n">
        <v>0.06866246075411328</v>
      </c>
      <c r="P49" s="4" t="n">
        <v>0.02417924133394478</v>
      </c>
      <c r="Q49" s="22" t="n">
        <v>11673981</v>
      </c>
      <c r="R49" s="22" t="n">
        <v>2670920.15831</v>
      </c>
      <c r="S49" s="4" t="n">
        <v>0.0001946282600233662</v>
      </c>
      <c r="T49" s="4" t="n">
        <v>0.05</v>
      </c>
      <c r="U49" s="19" t="n">
        <v>0.6156411633660568</v>
      </c>
      <c r="V49" s="19" t="n">
        <v>0.9291666666666681</v>
      </c>
      <c r="W49" s="4" t="n">
        <v>-0.3352060046243163</v>
      </c>
      <c r="X49" s="4" t="n">
        <v>-0.007149758454106148</v>
      </c>
      <c r="Y49" s="4" t="n">
        <v>-0.001179826810793871</v>
      </c>
      <c r="Z49" s="4" t="n">
        <v>-0.000401046731351995</v>
      </c>
      <c r="AA49" s="4" t="n">
        <v>0.03</v>
      </c>
      <c r="AB49" s="4" t="n">
        <v>0.05</v>
      </c>
      <c r="AC49" s="4">
        <f>(AB49+2*參數!$B$7)/(AA49+AB49)</f>
        <v/>
      </c>
    </row>
    <row r="50">
      <c r="A50" s="2" t="n">
        <v>49</v>
      </c>
      <c r="B50" s="2" t="inlineStr">
        <is>
          <t>EDGE_USDT_PERP</t>
        </is>
      </c>
      <c r="C50" s="2" t="inlineStr">
        <is>
          <t>做空</t>
        </is>
      </c>
      <c r="D50" s="7" t="n">
        <v>46269.75</v>
      </c>
      <c r="E50" s="20" t="n">
        <v>0.6109</v>
      </c>
      <c r="F50" s="20" t="n">
        <v>0.592573</v>
      </c>
      <c r="G50" s="20" t="n">
        <v>0.641445</v>
      </c>
      <c r="H50" s="7" t="n">
        <v>46269.875</v>
      </c>
      <c r="I50" s="20" t="n">
        <v>0.641445</v>
      </c>
      <c r="J50" s="2" t="inlineStr">
        <is>
          <t>止損</t>
        </is>
      </c>
      <c r="K50" s="5">
        <f>(H50-D50)*24</f>
        <v/>
      </c>
      <c r="L50" s="4">
        <f>IF(C50="做多",I50/E50-1,1-I50/E50)-2*參數!$B$7</f>
        <v/>
      </c>
      <c r="M50" s="2" t="inlineStr"/>
      <c r="N50" s="4" t="n">
        <v>-0.08149150503683655</v>
      </c>
      <c r="O50" s="4" t="n">
        <v>0.06697776414122295</v>
      </c>
      <c r="P50" s="4" t="n">
        <v>-0.02012992220707344</v>
      </c>
      <c r="Q50" s="22" t="n">
        <v>-174673</v>
      </c>
      <c r="R50" s="22" t="n">
        <v>1770534.5799</v>
      </c>
      <c r="S50" s="4" t="n">
        <v>0.0157145195613031</v>
      </c>
      <c r="T50" s="4" t="n">
        <v>0.05</v>
      </c>
      <c r="U50" s="19" t="n">
        <v>1.757869923771654</v>
      </c>
      <c r="V50" s="19" t="n">
        <v>0.9518442622950816</v>
      </c>
      <c r="W50" s="4" t="n">
        <v>-0.3705452791456809</v>
      </c>
      <c r="X50" s="4" t="n">
        <v>-0.1999607149872324</v>
      </c>
      <c r="Y50" s="4" t="n">
        <v>0.001179826810793871</v>
      </c>
      <c r="Z50" s="4" t="n">
        <v>0.000401046731351995</v>
      </c>
      <c r="AA50" s="4" t="n">
        <v>0.03</v>
      </c>
      <c r="AB50" s="4" t="n">
        <v>0.05</v>
      </c>
      <c r="AC50" s="4">
        <f>(AB50+2*參數!$B$7)/(AA50+AB50)</f>
        <v/>
      </c>
    </row>
    <row r="51">
      <c r="A51" s="2" t="n">
        <v>50</v>
      </c>
      <c r="B51" s="2" t="inlineStr">
        <is>
          <t>BULLA_USDT_PERP</t>
        </is>
      </c>
      <c r="C51" s="2" t="inlineStr">
        <is>
          <t>做多</t>
        </is>
      </c>
      <c r="D51" s="7" t="n">
        <v>46269.79166666666</v>
      </c>
      <c r="E51" s="20" t="n">
        <v>0.03417</v>
      </c>
      <c r="F51" s="20" t="n">
        <v>0.0351951</v>
      </c>
      <c r="G51" s="20" t="n">
        <v>0.0324615</v>
      </c>
      <c r="H51" s="7" t="n">
        <v>46269.83333333334</v>
      </c>
      <c r="I51" s="20" t="n">
        <v>0.0351951</v>
      </c>
      <c r="J51" s="2" t="inlineStr">
        <is>
          <t>止盈</t>
        </is>
      </c>
      <c r="K51" s="5">
        <f>(H51-D51)*24</f>
        <v/>
      </c>
      <c r="L51" s="4">
        <f>IF(C51="做多",I51/E51-1,1-I51/E51)-2*參數!$B$7</f>
        <v/>
      </c>
      <c r="M51" s="2" t="inlineStr"/>
      <c r="N51" s="4" t="n">
        <v>0.03545454545454541</v>
      </c>
      <c r="O51" s="4" t="n">
        <v>0.09920693651730531</v>
      </c>
      <c r="P51" s="4" t="n">
        <v>0.03345027824824576</v>
      </c>
      <c r="Q51" s="22" t="n">
        <v>5386058</v>
      </c>
      <c r="R51" s="22" t="n">
        <v>2917025.35578</v>
      </c>
      <c r="S51" s="4" t="n">
        <v>0.03</v>
      </c>
      <c r="T51" s="4" t="n">
        <v>0</v>
      </c>
      <c r="U51" s="19" t="n">
        <v>0.537512668098401</v>
      </c>
      <c r="V51" s="19" t="n">
        <v>0.7238605898123319</v>
      </c>
      <c r="W51" s="4" t="n">
        <v>0.5247929458803371</v>
      </c>
      <c r="X51" s="4" t="n">
        <v>0.1540020263424517</v>
      </c>
      <c r="Y51" s="4" t="n">
        <v>0.001629269581166604</v>
      </c>
      <c r="Z51" s="4" t="n">
        <v>0.0008314989872040268</v>
      </c>
      <c r="AA51" s="4" t="n">
        <v>0.03</v>
      </c>
      <c r="AB51" s="4" t="n">
        <v>0.05</v>
      </c>
      <c r="AC51" s="4">
        <f>(AB51+2*參數!$B$7)/(AA51+AB51)</f>
        <v/>
      </c>
    </row>
    <row r="52">
      <c r="A52" s="2" t="n">
        <v>51</v>
      </c>
      <c r="B52" s="2" t="inlineStr">
        <is>
          <t>ENA_USDT_PERP</t>
        </is>
      </c>
      <c r="C52" s="2" t="inlineStr">
        <is>
          <t>做空</t>
        </is>
      </c>
      <c r="D52" s="7" t="n">
        <v>46269.875</v>
      </c>
      <c r="E52" s="20" t="n">
        <v>0.1636</v>
      </c>
      <c r="F52" s="20" t="n">
        <v>0.158692</v>
      </c>
      <c r="G52" s="20" t="n">
        <v>0.17178</v>
      </c>
      <c r="H52" s="7" t="n">
        <v>46271.25</v>
      </c>
      <c r="I52" s="20" t="n">
        <v>0.17178</v>
      </c>
      <c r="J52" s="2" t="inlineStr">
        <is>
          <t>止損</t>
        </is>
      </c>
      <c r="K52" s="5">
        <f>(H52-D52)*24</f>
        <v/>
      </c>
      <c r="L52" s="4">
        <f>IF(C52="做多",I52/E52-1,1-I52/E52)-2*參數!$B$7</f>
        <v/>
      </c>
      <c r="M52" s="2" t="inlineStr"/>
      <c r="N52" s="4" t="n">
        <v>-0.03537735849056611</v>
      </c>
      <c r="O52" s="4" t="n">
        <v>0.02743057159623197</v>
      </c>
      <c r="P52" s="4" t="n">
        <v>-0.02884957853496384</v>
      </c>
      <c r="Q52" s="22" t="n">
        <v>-20487327</v>
      </c>
      <c r="R52" s="22" t="n">
        <v>9707039.205199998</v>
      </c>
      <c r="S52" s="4" t="n">
        <v>0.0171149144254279</v>
      </c>
      <c r="T52" s="4" t="n">
        <v>0.05</v>
      </c>
      <c r="U52" s="19" t="n">
        <v>3.183787135398965</v>
      </c>
      <c r="V52" s="19" t="n">
        <v>0.5071428571428573</v>
      </c>
      <c r="W52" s="4" t="n">
        <v>-0.04445976659260964</v>
      </c>
      <c r="X52" s="4" t="n">
        <v>-0.04670505438259753</v>
      </c>
      <c r="Y52" s="4" t="n">
        <v>0.02173101723035764</v>
      </c>
      <c r="Z52" s="4" t="n">
        <v>0.0194637987787093</v>
      </c>
      <c r="AA52" s="4" t="n">
        <v>0.03</v>
      </c>
      <c r="AB52" s="4" t="n">
        <v>0.05</v>
      </c>
      <c r="AC52" s="4">
        <f>(AB52+2*參數!$B$7)/(AA52+AB52)</f>
        <v/>
      </c>
    </row>
    <row r="53">
      <c r="A53" s="2" t="n">
        <v>52</v>
      </c>
      <c r="B53" s="2" t="inlineStr">
        <is>
          <t>PENGU_USDT_PERP</t>
        </is>
      </c>
      <c r="C53" s="2" t="inlineStr">
        <is>
          <t>做空</t>
        </is>
      </c>
      <c r="D53" s="7" t="n">
        <v>46269.875</v>
      </c>
      <c r="E53" s="20" t="n">
        <v>0.008347</v>
      </c>
      <c r="F53" s="20" t="n">
        <v>0.008096590000000001</v>
      </c>
      <c r="G53" s="20" t="n">
        <v>0.008764350000000001</v>
      </c>
      <c r="H53" s="7" t="n">
        <v>46271.375</v>
      </c>
      <c r="I53" s="20" t="n">
        <v>0.008764350000000001</v>
      </c>
      <c r="J53" s="2" t="inlineStr">
        <is>
          <t>止損</t>
        </is>
      </c>
      <c r="K53" s="5">
        <f>(H53-D53)*24</f>
        <v/>
      </c>
      <c r="L53" s="4">
        <f>IF(C53="做多",I53/E53-1,1-I53/E53)-2*參數!$B$7</f>
        <v/>
      </c>
      <c r="M53" s="2" t="inlineStr"/>
      <c r="N53" s="4" t="n">
        <v>-0.0588566918480099</v>
      </c>
      <c r="O53" s="4" t="n">
        <v>0.02108924653704965</v>
      </c>
      <c r="P53" s="4" t="n">
        <v>-0.04043684437419182</v>
      </c>
      <c r="Q53" s="22" t="n">
        <v>-96582575</v>
      </c>
      <c r="R53" s="22" t="n">
        <v>2366655.084075</v>
      </c>
      <c r="S53" s="4" t="n">
        <v>0.02551815023361681</v>
      </c>
      <c r="T53" s="4" t="n">
        <v>0.05</v>
      </c>
      <c r="U53" s="19" t="n">
        <v>3.271059749280652</v>
      </c>
      <c r="V53" s="19" t="n">
        <v>0.8729927007299265</v>
      </c>
      <c r="W53" s="4" t="n">
        <v>0.02406800072490445</v>
      </c>
      <c r="X53" s="4" t="n">
        <v>0.01312366989832114</v>
      </c>
      <c r="Y53" s="4" t="n">
        <v>0.02173101723035764</v>
      </c>
      <c r="Z53" s="4" t="n">
        <v>0.0194637987787093</v>
      </c>
      <c r="AA53" s="4" t="n">
        <v>0.03</v>
      </c>
      <c r="AB53" s="4" t="n">
        <v>0.05</v>
      </c>
      <c r="AC53" s="4">
        <f>(AB53+2*參數!$B$7)/(AA53+AB53)</f>
        <v/>
      </c>
    </row>
    <row r="54">
      <c r="A54" s="2" t="n">
        <v>53</v>
      </c>
      <c r="B54" s="2" t="inlineStr">
        <is>
          <t>PUMP_USDT_PERP</t>
        </is>
      </c>
      <c r="C54" s="2" t="inlineStr">
        <is>
          <t>做空</t>
        </is>
      </c>
      <c r="D54" s="7" t="n">
        <v>46269.875</v>
      </c>
      <c r="E54" s="20" t="n">
        <v>0.004101</v>
      </c>
      <c r="F54" s="20" t="n">
        <v>0.00397797</v>
      </c>
      <c r="G54" s="20" t="n">
        <v>0.00430605</v>
      </c>
      <c r="H54" s="7" t="n">
        <v>46269.91666666666</v>
      </c>
      <c r="I54" s="20" t="n">
        <v>0.00430605</v>
      </c>
      <c r="J54" s="2" t="inlineStr">
        <is>
          <t>止損</t>
        </is>
      </c>
      <c r="K54" s="5">
        <f>(H54-D54)*24</f>
        <v/>
      </c>
      <c r="L54" s="4">
        <f>IF(C54="做多",I54/E54-1,1-I54/E54)-2*參數!$B$7</f>
        <v/>
      </c>
      <c r="M54" s="2" t="inlineStr"/>
      <c r="N54" s="4" t="n">
        <v>-0.02911931818181834</v>
      </c>
      <c r="O54" s="4" t="n">
        <v>0.02213679422515468</v>
      </c>
      <c r="P54" s="4" t="n">
        <v>-0.04727610640027913</v>
      </c>
      <c r="Q54" s="22" t="n">
        <v>-645002882</v>
      </c>
      <c r="R54" s="22" t="n">
        <v>9570907.211240999</v>
      </c>
      <c r="S54" s="4" t="n">
        <v>0</v>
      </c>
      <c r="T54" s="4" t="n">
        <v>0.05</v>
      </c>
      <c r="U54" s="19" t="n">
        <v>2.045795785573698</v>
      </c>
      <c r="V54" s="19" t="n">
        <v>0.9130434782608706</v>
      </c>
      <c r="W54" s="4" t="n">
        <v>0.05004354835720792</v>
      </c>
      <c r="X54" s="4" t="n">
        <v>0.07217194570135765</v>
      </c>
      <c r="Y54" s="4" t="n">
        <v>0.02173101723035764</v>
      </c>
      <c r="Z54" s="4" t="n">
        <v>0.0194637987787093</v>
      </c>
      <c r="AA54" s="4" t="n">
        <v>0.03</v>
      </c>
      <c r="AB54" s="4" t="n">
        <v>0.05</v>
      </c>
      <c r="AC54" s="4">
        <f>(AB54+2*參數!$B$7)/(AA54+AB54)</f>
        <v/>
      </c>
    </row>
    <row r="55">
      <c r="A55" s="2" t="n">
        <v>54</v>
      </c>
      <c r="B55" s="2" t="inlineStr">
        <is>
          <t>XPL_USDT_PERP</t>
        </is>
      </c>
      <c r="C55" s="2" t="inlineStr">
        <is>
          <t>做空</t>
        </is>
      </c>
      <c r="D55" s="7" t="n">
        <v>46269.875</v>
      </c>
      <c r="E55" s="20" t="n">
        <v>0.092</v>
      </c>
      <c r="F55" s="20" t="n">
        <v>0.08924</v>
      </c>
      <c r="G55" s="20" t="n">
        <v>0.09660000000000001</v>
      </c>
      <c r="H55" s="7" t="n">
        <v>46272.25</v>
      </c>
      <c r="I55" s="20" t="n">
        <v>0.08924</v>
      </c>
      <c r="J55" s="2" t="inlineStr">
        <is>
          <t>止盈</t>
        </is>
      </c>
      <c r="K55" s="5">
        <f>(H55-D55)*24</f>
        <v/>
      </c>
      <c r="L55" s="4">
        <f>IF(C55="做多",I55/E55-1,1-I55/E55)-2*參數!$B$7</f>
        <v/>
      </c>
      <c r="M55" s="2" t="inlineStr"/>
      <c r="N55" s="4" t="n">
        <v>-0.09270216962524658</v>
      </c>
      <c r="O55" s="4" t="n">
        <v>0.0305749872373899</v>
      </c>
      <c r="P55" s="4" t="n">
        <v>-0.0346274921301154</v>
      </c>
      <c r="Q55" s="22" t="n">
        <v>-6880508</v>
      </c>
      <c r="R55" s="22" t="n">
        <v>1918239.2299</v>
      </c>
      <c r="S55" s="4" t="n">
        <v>0.03</v>
      </c>
      <c r="T55" s="4" t="n">
        <v>0.04673913043478262</v>
      </c>
      <c r="U55" s="19" t="n">
        <v>16.25940944638446</v>
      </c>
      <c r="V55" s="19" t="n">
        <v>0.959183673469388</v>
      </c>
      <c r="W55" s="4" t="n">
        <v>-0.05896842662614943</v>
      </c>
      <c r="X55" s="4" t="n">
        <v>-0.01882613510520481</v>
      </c>
      <c r="Y55" s="4" t="n">
        <v>0.02173101723035764</v>
      </c>
      <c r="Z55" s="4" t="n">
        <v>0.0194637987787093</v>
      </c>
      <c r="AA55" s="4" t="n">
        <v>0.03</v>
      </c>
      <c r="AB55" s="4" t="n">
        <v>0.05</v>
      </c>
      <c r="AC55" s="4">
        <f>(AB55+2*參數!$B$7)/(AA55+AB55)</f>
        <v/>
      </c>
    </row>
    <row r="56">
      <c r="A56" s="2" t="n">
        <v>55</v>
      </c>
      <c r="B56" s="2" t="inlineStr">
        <is>
          <t>ARB_USDT_PERP</t>
        </is>
      </c>
      <c r="C56" s="2" t="inlineStr">
        <is>
          <t>做空</t>
        </is>
      </c>
      <c r="D56" s="7" t="n">
        <v>46269.95833333334</v>
      </c>
      <c r="E56" s="20" t="n">
        <v>0.1319</v>
      </c>
      <c r="F56" s="20" t="n">
        <v>0.127943</v>
      </c>
      <c r="G56" s="20" t="n">
        <v>0.138495</v>
      </c>
      <c r="H56" s="7" t="n">
        <v>46271.08333333334</v>
      </c>
      <c r="I56" s="20" t="n">
        <v>0.138495</v>
      </c>
      <c r="J56" s="2" t="inlineStr">
        <is>
          <t>止損</t>
        </is>
      </c>
      <c r="K56" s="5">
        <f>(H56-D56)*24</f>
        <v/>
      </c>
      <c r="L56" s="4">
        <f>IF(C56="做多",I56/E56-1,1-I56/E56)-2*參數!$B$7</f>
        <v/>
      </c>
      <c r="M56" s="2" t="inlineStr"/>
      <c r="N56" s="4" t="n">
        <v>-0.02440828402366857</v>
      </c>
      <c r="O56" s="4" t="n">
        <v>0.03462257554497144</v>
      </c>
      <c r="P56" s="4" t="n">
        <v>-0.0381389921971852</v>
      </c>
      <c r="Q56" s="22" t="n">
        <v>-2211790.699999999</v>
      </c>
      <c r="R56" s="22" t="n">
        <v>2930632.13217</v>
      </c>
      <c r="S56" s="4" t="n">
        <v>0.02198635329795284</v>
      </c>
      <c r="T56" s="4" t="n">
        <v>0.05</v>
      </c>
      <c r="U56" s="19" t="n">
        <v>0.7719742250526247</v>
      </c>
      <c r="V56" s="19" t="n">
        <v>0.7959183673469392</v>
      </c>
      <c r="W56" s="4" t="n">
        <v>-0.1058200171029025</v>
      </c>
      <c r="X56" s="4" t="n">
        <v>0.01420029895366226</v>
      </c>
      <c r="Y56" s="4" t="n">
        <v>0.005908531198128508</v>
      </c>
      <c r="Z56" s="4" t="n">
        <v>0.02382989904212962</v>
      </c>
      <c r="AA56" s="4" t="n">
        <v>0.03</v>
      </c>
      <c r="AB56" s="4" t="n">
        <v>0.05</v>
      </c>
      <c r="AC56" s="4">
        <f>(AB56+2*參數!$B$7)/(AA56+AB56)</f>
        <v/>
      </c>
    </row>
    <row r="57">
      <c r="A57" s="2" t="n">
        <v>56</v>
      </c>
      <c r="B57" s="2" t="inlineStr">
        <is>
          <t>BTR_USDT_PERP</t>
        </is>
      </c>
      <c r="C57" s="2" t="inlineStr">
        <is>
          <t>做多</t>
        </is>
      </c>
      <c r="D57" s="7" t="n">
        <v>46269.95833333334</v>
      </c>
      <c r="E57" s="20" t="n">
        <v>0.05085</v>
      </c>
      <c r="F57" s="20" t="n">
        <v>0.0523755</v>
      </c>
      <c r="G57" s="20" t="n">
        <v>0.0483075</v>
      </c>
      <c r="H57" s="7" t="n">
        <v>46270.16666666666</v>
      </c>
      <c r="I57" s="20" t="n">
        <v>0.0523755</v>
      </c>
      <c r="J57" s="2" t="inlineStr">
        <is>
          <t>止盈</t>
        </is>
      </c>
      <c r="K57" s="5">
        <f>(H57-D57)*24</f>
        <v/>
      </c>
      <c r="L57" s="4">
        <f>IF(C57="做多",I57/E57-1,1-I57/E57)-2*參數!$B$7</f>
        <v/>
      </c>
      <c r="M57" s="2" t="inlineStr"/>
      <c r="N57" s="4" t="n">
        <v>0.02623612512613538</v>
      </c>
      <c r="O57" s="4" t="n">
        <v>0.0597455637278628</v>
      </c>
      <c r="P57" s="4" t="n">
        <v>0.00803853740249183</v>
      </c>
      <c r="Q57" s="22" t="n">
        <v>7519842</v>
      </c>
      <c r="R57" s="22" t="n">
        <v>1853033.87427</v>
      </c>
      <c r="S57" s="4" t="n">
        <v>0.03</v>
      </c>
      <c r="T57" s="4" t="n">
        <v>0.04365781710914451</v>
      </c>
      <c r="U57" s="19" t="n">
        <v>0.8379137305704665</v>
      </c>
      <c r="V57" s="19" t="n">
        <v>0.628571428571428</v>
      </c>
      <c r="W57" s="4" t="n">
        <v>-0.3219502763535993</v>
      </c>
      <c r="X57" s="4" t="n">
        <v>0.05585548172757471</v>
      </c>
      <c r="Y57" s="4" t="n">
        <v>-0.005908531198128508</v>
      </c>
      <c r="Z57" s="4" t="n">
        <v>-0.02382989904212962</v>
      </c>
      <c r="AA57" s="4" t="n">
        <v>0.03</v>
      </c>
      <c r="AB57" s="4" t="n">
        <v>0.05</v>
      </c>
      <c r="AC57" s="4">
        <f>(AB57+2*參數!$B$7)/(AA57+AB57)</f>
        <v/>
      </c>
    </row>
    <row r="58">
      <c r="A58" s="2" t="n">
        <v>57</v>
      </c>
      <c r="B58" s="2" t="inlineStr">
        <is>
          <t>EDGE_USDT_PERP</t>
        </is>
      </c>
      <c r="C58" s="2" t="inlineStr">
        <is>
          <t>做空</t>
        </is>
      </c>
      <c r="D58" s="7" t="n">
        <v>46269.95833333334</v>
      </c>
      <c r="E58" s="20" t="n">
        <v>0.6034</v>
      </c>
      <c r="F58" s="20" t="n">
        <v>0.585298</v>
      </c>
      <c r="G58" s="20" t="n">
        <v>0.6335700000000001</v>
      </c>
      <c r="H58" s="7" t="n">
        <v>46270.04166666666</v>
      </c>
      <c r="I58" s="20" t="n">
        <v>0.585298</v>
      </c>
      <c r="J58" s="2" t="inlineStr">
        <is>
          <t>止盈</t>
        </is>
      </c>
      <c r="K58" s="5">
        <f>(H58-D58)*24</f>
        <v/>
      </c>
      <c r="L58" s="4">
        <f>IF(C58="做多",I58/E58-1,1-I58/E58)-2*參數!$B$7</f>
        <v/>
      </c>
      <c r="M58" s="2" t="inlineStr"/>
      <c r="N58" s="4" t="n">
        <v>-0.05036197670758569</v>
      </c>
      <c r="O58" s="4" t="n">
        <v>0.06970256704315002</v>
      </c>
      <c r="P58" s="4" t="n">
        <v>-0.03355489709297654</v>
      </c>
      <c r="Q58" s="22" t="n">
        <v>-285323</v>
      </c>
      <c r="R58" s="22" t="n">
        <v>1725425.0278</v>
      </c>
      <c r="S58" s="4" t="n">
        <v>0.03</v>
      </c>
      <c r="T58" s="4" t="n">
        <v>0.002983095790520141</v>
      </c>
      <c r="U58" s="19" t="n">
        <v>0.524672190684464</v>
      </c>
      <c r="V58" s="19" t="n">
        <v>0.8881578947368421</v>
      </c>
      <c r="W58" s="4" t="n">
        <v>-0.3164353705283416</v>
      </c>
      <c r="X58" s="4" t="n">
        <v>-0.03268868731815844</v>
      </c>
      <c r="Y58" s="4" t="n">
        <v>0.005908531198128508</v>
      </c>
      <c r="Z58" s="4" t="n">
        <v>0.02382989904212962</v>
      </c>
      <c r="AA58" s="4" t="n">
        <v>0.03</v>
      </c>
      <c r="AB58" s="4" t="n">
        <v>0.05</v>
      </c>
      <c r="AC58" s="4">
        <f>(AB58+2*參數!$B$7)/(AA58+AB58)</f>
        <v/>
      </c>
    </row>
    <row r="59">
      <c r="A59" s="2" t="n">
        <v>58</v>
      </c>
      <c r="B59" s="2" t="inlineStr">
        <is>
          <t>FARTCOIN_USDT_PERP</t>
        </is>
      </c>
      <c r="C59" s="2" t="inlineStr">
        <is>
          <t>做空</t>
        </is>
      </c>
      <c r="D59" s="7" t="n">
        <v>46269.95833333334</v>
      </c>
      <c r="E59" s="20" t="n">
        <v>0.1626</v>
      </c>
      <c r="F59" s="20" t="n">
        <v>0.157722</v>
      </c>
      <c r="G59" s="20" t="n">
        <v>0.17073</v>
      </c>
      <c r="H59" s="7" t="n">
        <v>46271.04166666666</v>
      </c>
      <c r="I59" s="20" t="n">
        <v>0.17073</v>
      </c>
      <c r="J59" s="2" t="inlineStr">
        <is>
          <t>止損</t>
        </is>
      </c>
      <c r="K59" s="5">
        <f>(H59-D59)*24</f>
        <v/>
      </c>
      <c r="L59" s="4">
        <f>IF(C59="做多",I59/E59-1,1-I59/E59)-2*參數!$B$7</f>
        <v/>
      </c>
      <c r="M59" s="2" t="inlineStr"/>
      <c r="N59" s="4" t="n">
        <v>-0.02809324566646743</v>
      </c>
      <c r="O59" s="4" t="n">
        <v>0.02571411691950987</v>
      </c>
      <c r="P59" s="4" t="n">
        <v>-0.04383875804886661</v>
      </c>
      <c r="Q59" s="22" t="n">
        <v>-1459066.5</v>
      </c>
      <c r="R59" s="22" t="n">
        <v>1214533.65472</v>
      </c>
      <c r="S59" s="4" t="n">
        <v>0.01045510455104559</v>
      </c>
      <c r="T59" s="4" t="n">
        <v>0.05</v>
      </c>
      <c r="U59" s="19" t="n">
        <v>1.307897414253236</v>
      </c>
      <c r="V59" s="19" t="n">
        <v>0.8688524590163941</v>
      </c>
      <c r="W59" s="4" t="n">
        <v>0.03429270552460595</v>
      </c>
      <c r="X59" s="4" t="n">
        <v>0.04127358490566047</v>
      </c>
      <c r="Y59" s="4" t="n">
        <v>0.005908531198128508</v>
      </c>
      <c r="Z59" s="4" t="n">
        <v>0.02382989904212962</v>
      </c>
      <c r="AA59" s="4" t="n">
        <v>0.03</v>
      </c>
      <c r="AB59" s="4" t="n">
        <v>0.05</v>
      </c>
      <c r="AC59" s="4">
        <f>(AB59+2*參數!$B$7)/(AA59+AB59)</f>
        <v/>
      </c>
    </row>
    <row r="60">
      <c r="A60" s="2" t="n">
        <v>59</v>
      </c>
      <c r="B60" s="2" t="inlineStr">
        <is>
          <t>PUMP_USDT_PERP</t>
        </is>
      </c>
      <c r="C60" s="2" t="inlineStr">
        <is>
          <t>做空</t>
        </is>
      </c>
      <c r="D60" s="7" t="n">
        <v>46269.95833333334</v>
      </c>
      <c r="E60" s="20" t="n">
        <v>0.004196</v>
      </c>
      <c r="F60" s="20" t="n">
        <v>0.00407012</v>
      </c>
      <c r="G60" s="20" t="n">
        <v>0.004405800000000001</v>
      </c>
      <c r="H60" s="7" t="n">
        <v>46270.04166666666</v>
      </c>
      <c r="I60" s="20" t="n">
        <v>0.004405800000000001</v>
      </c>
      <c r="J60" s="2" t="inlineStr">
        <is>
          <t>止損</t>
        </is>
      </c>
      <c r="K60" s="5">
        <f>(H60-D60)*24</f>
        <v/>
      </c>
      <c r="L60" s="4">
        <f>IF(C60="做多",I60/E60-1,1-I60/E60)-2*參數!$B$7</f>
        <v/>
      </c>
      <c r="M60" s="2" t="inlineStr"/>
      <c r="N60" s="4" t="n">
        <v>-0.02122696524376022</v>
      </c>
      <c r="O60" s="4" t="n">
        <v>0.02483332746059626</v>
      </c>
      <c r="P60" s="4" t="n">
        <v>-0.02048438867814417</v>
      </c>
      <c r="Q60" s="22" t="n">
        <v>-558146088</v>
      </c>
      <c r="R60" s="22" t="n">
        <v>12115990.878203</v>
      </c>
      <c r="S60" s="4" t="n">
        <v>0.004051477597712072</v>
      </c>
      <c r="T60" s="4" t="n">
        <v>0.05</v>
      </c>
      <c r="U60" s="19" t="n">
        <v>7.760563773215896</v>
      </c>
      <c r="V60" s="19" t="n">
        <v>0.75886524822695</v>
      </c>
      <c r="W60" s="4" t="n">
        <v>0.02758046910667633</v>
      </c>
      <c r="X60" s="4" t="n">
        <v>0.06024636058230681</v>
      </c>
      <c r="Y60" s="4" t="n">
        <v>0.005908531198128508</v>
      </c>
      <c r="Z60" s="4" t="n">
        <v>0.02382989904212962</v>
      </c>
      <c r="AA60" s="4" t="n">
        <v>0.03</v>
      </c>
      <c r="AB60" s="4" t="n">
        <v>0.05</v>
      </c>
      <c r="AC60" s="4">
        <f>(AB60+2*參數!$B$7)/(AA60+AB60)</f>
        <v/>
      </c>
    </row>
    <row r="61">
      <c r="A61" s="2" t="n">
        <v>60</v>
      </c>
      <c r="B61" s="2" t="inlineStr">
        <is>
          <t>USELESS_USDT_PERP</t>
        </is>
      </c>
      <c r="C61" s="2" t="inlineStr">
        <is>
          <t>做多</t>
        </is>
      </c>
      <c r="D61" s="7" t="n">
        <v>46270.04166666666</v>
      </c>
      <c r="E61" s="20" t="n">
        <v>0.23932</v>
      </c>
      <c r="F61" s="20" t="n">
        <v>0.2464996</v>
      </c>
      <c r="G61" s="20" t="n">
        <v>0.227354</v>
      </c>
      <c r="H61" s="7" t="n">
        <v>46270.125</v>
      </c>
      <c r="I61" s="20" t="n">
        <v>0.2464996</v>
      </c>
      <c r="J61" s="2" t="inlineStr">
        <is>
          <t>止盈</t>
        </is>
      </c>
      <c r="K61" s="5">
        <f>(H61-D61)*24</f>
        <v/>
      </c>
      <c r="L61" s="4">
        <f>IF(C61="做多",I61/E61-1,1-I61/E61)-2*參數!$B$7</f>
        <v/>
      </c>
      <c r="M61" s="2" t="inlineStr"/>
      <c r="N61" s="4" t="n">
        <v>0.0603925738845319</v>
      </c>
      <c r="O61" s="4" t="n">
        <v>0.09214234023915323</v>
      </c>
      <c r="P61" s="4" t="n">
        <v>0.04087699497437147</v>
      </c>
      <c r="Q61" s="22" t="n">
        <v>6137488</v>
      </c>
      <c r="R61" s="22" t="n">
        <v>16292911.13047</v>
      </c>
      <c r="S61" s="4" t="n">
        <v>0.03</v>
      </c>
      <c r="T61" s="4" t="n">
        <v>0.02874811967240509</v>
      </c>
      <c r="U61" s="19" t="n">
        <v>0.5204797063782687</v>
      </c>
      <c r="V61" s="19" t="n">
        <v>0.8985981308411213</v>
      </c>
      <c r="W61" s="4" t="n">
        <v>0.7066260476546016</v>
      </c>
      <c r="X61" s="4" t="n">
        <v>0.2290468364831553</v>
      </c>
      <c r="Y61" s="4" t="n">
        <v>0.004003280220797656</v>
      </c>
      <c r="Z61" s="4" t="n">
        <v>-0.01110208133006607</v>
      </c>
      <c r="AA61" s="4" t="n">
        <v>0.03</v>
      </c>
      <c r="AB61" s="4" t="n">
        <v>0.05</v>
      </c>
      <c r="AC61" s="4">
        <f>(AB61+2*參數!$B$7)/(AA61+AB61)</f>
        <v/>
      </c>
    </row>
    <row r="62">
      <c r="A62" s="2" t="n">
        <v>61</v>
      </c>
      <c r="B62" s="2" t="inlineStr">
        <is>
          <t>TRIA_USDT_PERP</t>
        </is>
      </c>
      <c r="C62" s="2" t="inlineStr">
        <is>
          <t>做多</t>
        </is>
      </c>
      <c r="D62" s="7" t="n">
        <v>46270.125</v>
      </c>
      <c r="E62" s="20" t="n">
        <v>0.0049</v>
      </c>
      <c r="F62" s="20" t="n">
        <v>0.005047</v>
      </c>
      <c r="G62" s="20" t="n">
        <v>0.004654999999999999</v>
      </c>
      <c r="H62" s="7" t="n">
        <v>46270.33333333334</v>
      </c>
      <c r="I62" s="20" t="n">
        <v>0.005047</v>
      </c>
      <c r="J62" s="2" t="inlineStr">
        <is>
          <t>止盈</t>
        </is>
      </c>
      <c r="K62" s="5">
        <f>(H62-D62)*24</f>
        <v/>
      </c>
      <c r="L62" s="4">
        <f>IF(C62="做多",I62/E62-1,1-I62/E62)-2*參數!$B$7</f>
        <v/>
      </c>
      <c r="M62" s="2" t="inlineStr"/>
      <c r="N62" s="4" t="n">
        <v>0.02296450939457206</v>
      </c>
      <c r="O62" s="4" t="n">
        <v>0.06911342803766396</v>
      </c>
      <c r="P62" s="4" t="n">
        <v>0.02757680612351887</v>
      </c>
      <c r="Q62" s="22" t="n">
        <v>84680385</v>
      </c>
      <c r="R62" s="22" t="n">
        <v>1402062.6577</v>
      </c>
      <c r="S62" s="4" t="n">
        <v>0.03</v>
      </c>
      <c r="T62" s="4" t="n">
        <v>0.02857142857142847</v>
      </c>
      <c r="U62" s="19" t="n">
        <v>0.5373183085388367</v>
      </c>
      <c r="V62" s="19" t="n">
        <v>0.4583333333333332</v>
      </c>
      <c r="W62" s="4" t="n">
        <v>0.1739620019645893</v>
      </c>
      <c r="X62" s="4" t="n">
        <v>0.2760416666666665</v>
      </c>
      <c r="Y62" s="4" t="n">
        <v>0.001840612060163505</v>
      </c>
      <c r="Z62" s="4" t="n">
        <v>-0.01042983079714643</v>
      </c>
      <c r="AA62" s="4" t="n">
        <v>0.03</v>
      </c>
      <c r="AB62" s="4" t="n">
        <v>0.05</v>
      </c>
      <c r="AC62" s="4">
        <f>(AB62+2*參數!$B$7)/(AA62+AB62)</f>
        <v/>
      </c>
    </row>
    <row r="63">
      <c r="A63" s="2" t="n">
        <v>62</v>
      </c>
      <c r="B63" s="2" t="inlineStr">
        <is>
          <t>PONS_USDT_PERP</t>
        </is>
      </c>
      <c r="C63" s="2" t="inlineStr">
        <is>
          <t>做空</t>
        </is>
      </c>
      <c r="D63" s="7" t="n">
        <v>46270.20833333334</v>
      </c>
      <c r="E63" s="20" t="n">
        <v>0.6736</v>
      </c>
      <c r="F63" s="20" t="n">
        <v>0.653392</v>
      </c>
      <c r="G63" s="20" t="n">
        <v>0.70728</v>
      </c>
      <c r="H63" s="7" t="n">
        <v>46270.33333333334</v>
      </c>
      <c r="I63" s="20" t="n">
        <v>0.70728</v>
      </c>
      <c r="J63" s="2" t="inlineStr">
        <is>
          <t>止損</t>
        </is>
      </c>
      <c r="K63" s="5">
        <f>(H63-D63)*24</f>
        <v/>
      </c>
      <c r="L63" s="4">
        <f>IF(C63="做多",I63/E63-1,1-I63/E63)-2*參數!$B$7</f>
        <v/>
      </c>
      <c r="M63" s="2" t="inlineStr"/>
      <c r="N63" s="4" t="n">
        <v>-0.03037282280120912</v>
      </c>
      <c r="O63" s="4" t="n">
        <v>0.06852196621774058</v>
      </c>
      <c r="P63" s="4" t="n">
        <v>-0.02733455590371536</v>
      </c>
      <c r="Q63" s="22" t="n">
        <v>-2414881</v>
      </c>
      <c r="R63" s="22" t="n">
        <v>14023919.0095</v>
      </c>
      <c r="S63" s="4" t="n">
        <v>0.01944774346793354</v>
      </c>
      <c r="T63" s="4" t="n">
        <v>0.05</v>
      </c>
      <c r="U63" s="19" t="n">
        <v>0.397331166499677</v>
      </c>
      <c r="V63" s="19" t="n">
        <v>0.5842391304347838</v>
      </c>
      <c r="W63" s="4" t="n"/>
      <c r="X63" s="4" t="n">
        <v>-0.1141250413496526</v>
      </c>
      <c r="Y63" s="4" t="n">
        <v>0.001236289226479226</v>
      </c>
      <c r="Z63" s="4" t="n">
        <v>0.0077355104068485</v>
      </c>
      <c r="AA63" s="4" t="n">
        <v>0.03</v>
      </c>
      <c r="AB63" s="4" t="n">
        <v>0.05</v>
      </c>
      <c r="AC63" s="4">
        <f>(AB63+2*參數!$B$7)/(AA63+AB63)</f>
        <v/>
      </c>
    </row>
    <row r="64">
      <c r="A64" s="2" t="n">
        <v>63</v>
      </c>
      <c r="B64" s="2" t="inlineStr">
        <is>
          <t>LIT_USDT_PERP</t>
        </is>
      </c>
      <c r="C64" s="2" t="inlineStr">
        <is>
          <t>做多</t>
        </is>
      </c>
      <c r="D64" s="7" t="n">
        <v>46270.33333333334</v>
      </c>
      <c r="E64" s="20" t="n">
        <v>4.817</v>
      </c>
      <c r="F64" s="20" t="n">
        <v>4.961510000000001</v>
      </c>
      <c r="G64" s="20" t="n">
        <v>4.57615</v>
      </c>
      <c r="H64" s="7" t="n">
        <v>46271.75</v>
      </c>
      <c r="I64" s="20" t="n">
        <v>4.57615</v>
      </c>
      <c r="J64" s="2" t="inlineStr">
        <is>
          <t>止損</t>
        </is>
      </c>
      <c r="K64" s="5">
        <f>(H64-D64)*24</f>
        <v/>
      </c>
      <c r="L64" s="4">
        <f>IF(C64="做多",I64/E64-1,1-I64/E64)-2*參數!$B$7</f>
        <v/>
      </c>
      <c r="M64" s="2" t="inlineStr"/>
      <c r="N64" s="4" t="n">
        <v>0.02642233113147263</v>
      </c>
      <c r="O64" s="4" t="n">
        <v>0.0307242643043604</v>
      </c>
      <c r="P64" s="4" t="n">
        <v>0.04440397207406455</v>
      </c>
      <c r="Q64" s="22" t="n">
        <v>325116.0000000005</v>
      </c>
      <c r="R64" s="22" t="n">
        <v>6427242.6301</v>
      </c>
      <c r="S64" s="4" t="n">
        <v>0.01100269877517124</v>
      </c>
      <c r="T64" s="4" t="n">
        <v>0.05</v>
      </c>
      <c r="U64" s="19" t="n">
        <v>0.5755823858458273</v>
      </c>
      <c r="V64" s="19" t="n">
        <v>0.9352517985611547</v>
      </c>
      <c r="W64" s="4" t="n">
        <v>0.217259460483922</v>
      </c>
      <c r="X64" s="4" t="n">
        <v>0.08490990990990976</v>
      </c>
      <c r="Y64" s="4" t="n">
        <v>0.0001972351897729929</v>
      </c>
      <c r="Z64" s="4" t="n">
        <v>-0.005917962114404318</v>
      </c>
      <c r="AA64" s="4" t="n">
        <v>0.03</v>
      </c>
      <c r="AB64" s="4" t="n">
        <v>0.05</v>
      </c>
      <c r="AC64" s="4">
        <f>(AB64+2*參數!$B$7)/(AA64+AB64)</f>
        <v/>
      </c>
    </row>
    <row r="65">
      <c r="A65" s="2" t="n">
        <v>64</v>
      </c>
      <c r="B65" s="2" t="inlineStr">
        <is>
          <t>UAI_USDT_PERP</t>
        </is>
      </c>
      <c r="C65" s="2" t="inlineStr">
        <is>
          <t>做空</t>
        </is>
      </c>
      <c r="D65" s="7" t="n">
        <v>46270.54166666666</v>
      </c>
      <c r="E65" s="20" t="n">
        <v>0.443</v>
      </c>
      <c r="F65" s="20" t="n">
        <v>0.42971</v>
      </c>
      <c r="G65" s="20" t="n">
        <v>0.46515</v>
      </c>
      <c r="H65" s="7" t="n">
        <v>46270.70833333334</v>
      </c>
      <c r="I65" s="20" t="n">
        <v>0.46515</v>
      </c>
      <c r="J65" s="2" t="inlineStr">
        <is>
          <t>止損</t>
        </is>
      </c>
      <c r="K65" s="5">
        <f>(H65-D65)*24</f>
        <v/>
      </c>
      <c r="L65" s="4">
        <f>IF(C65="做多",I65/E65-1,1-I65/E65)-2*參數!$B$7</f>
        <v/>
      </c>
      <c r="M65" s="2" t="inlineStr"/>
      <c r="N65" s="4" t="n">
        <v>-0.03127050076536186</v>
      </c>
      <c r="O65" s="4" t="n">
        <v>0.06660534548577615</v>
      </c>
      <c r="P65" s="4" t="n">
        <v>-0.00911480176704127</v>
      </c>
      <c r="Q65" s="22" t="n">
        <v>-1349009</v>
      </c>
      <c r="R65" s="22" t="n">
        <v>3437781.0374</v>
      </c>
      <c r="S65" s="4" t="n">
        <v>0.0169300225733634</v>
      </c>
      <c r="T65" s="4" t="n">
        <v>0.05</v>
      </c>
      <c r="U65" s="19" t="n">
        <v>1.098587559887944</v>
      </c>
      <c r="V65" s="19" t="n">
        <v>0.5357664233576643</v>
      </c>
      <c r="W65" s="4" t="n">
        <v>-0.005476784380837429</v>
      </c>
      <c r="X65" s="4" t="n">
        <v>-0.2492949802594473</v>
      </c>
      <c r="Y65" s="4" t="n">
        <v>0.001052250458238091</v>
      </c>
      <c r="Z65" s="4" t="n">
        <v>0.003554894325035085</v>
      </c>
      <c r="AA65" s="4" t="n">
        <v>0.03</v>
      </c>
      <c r="AB65" s="4" t="n">
        <v>0.05</v>
      </c>
      <c r="AC65" s="4">
        <f>(AB65+2*參數!$B$7)/(AA65+AB65)</f>
        <v/>
      </c>
    </row>
    <row r="66">
      <c r="A66" s="2" t="n">
        <v>65</v>
      </c>
      <c r="B66" s="2" t="inlineStr">
        <is>
          <t>MARSCOIN_USDT_PERP</t>
        </is>
      </c>
      <c r="C66" s="2" t="inlineStr">
        <is>
          <t>做多</t>
        </is>
      </c>
      <c r="D66" s="7" t="n">
        <v>46270.70833333334</v>
      </c>
      <c r="E66" s="20" t="n">
        <v>0.19456</v>
      </c>
      <c r="F66" s="20" t="n">
        <v>0.2003968</v>
      </c>
      <c r="G66" s="20" t="n">
        <v>0.184832</v>
      </c>
      <c r="H66" s="7" t="n">
        <v>46270.75</v>
      </c>
      <c r="I66" s="20" t="n">
        <v>0.2003968</v>
      </c>
      <c r="J66" s="2" t="inlineStr">
        <is>
          <t>止盈</t>
        </is>
      </c>
      <c r="K66" s="5">
        <f>(H66-D66)*24</f>
        <v/>
      </c>
      <c r="L66" s="4">
        <f>IF(C66="做多",I66/E66-1,1-I66/E66)-2*參數!$B$7</f>
        <v/>
      </c>
      <c r="M66" s="2" t="inlineStr"/>
      <c r="N66" s="4" t="n">
        <v>0.06965748529330917</v>
      </c>
      <c r="O66" s="4" t="n">
        <v>0.08029745078799884</v>
      </c>
      <c r="P66" s="4" t="n">
        <v>0.05101949863733712</v>
      </c>
      <c r="Q66" s="22" t="n">
        <v>3426518</v>
      </c>
      <c r="R66" s="22" t="n">
        <v>11313272.11309</v>
      </c>
      <c r="S66" s="4" t="n">
        <v>0.03</v>
      </c>
      <c r="T66" s="4" t="n">
        <v>0</v>
      </c>
      <c r="U66" s="19" t="n">
        <v>0.6096169503983833</v>
      </c>
      <c r="V66" s="19" t="n">
        <v>0.5492686682063127</v>
      </c>
      <c r="W66" s="4" t="n"/>
      <c r="X66" s="4" t="n">
        <v>0.708915239350022</v>
      </c>
      <c r="Y66" s="4" t="n">
        <v>-0.0006978515960845977</v>
      </c>
      <c r="Z66" s="4" t="n">
        <v>0.001147042210449145</v>
      </c>
      <c r="AA66" s="4" t="n">
        <v>0.03</v>
      </c>
      <c r="AB66" s="4" t="n">
        <v>0.05</v>
      </c>
      <c r="AC66" s="4">
        <f>(AB66+2*參數!$B$7)/(AA66+AB66)</f>
        <v/>
      </c>
    </row>
    <row r="67">
      <c r="A67" s="2" t="n">
        <v>66</v>
      </c>
      <c r="B67" s="2" t="inlineStr">
        <is>
          <t>USELESS_USDT_PERP</t>
        </is>
      </c>
      <c r="C67" s="2" t="inlineStr">
        <is>
          <t>做空</t>
        </is>
      </c>
      <c r="D67" s="7" t="n">
        <v>46270.79166666666</v>
      </c>
      <c r="E67" s="20" t="n">
        <v>0.23397</v>
      </c>
      <c r="F67" s="20" t="n">
        <v>0.2269509</v>
      </c>
      <c r="G67" s="20" t="n">
        <v>0.2456685</v>
      </c>
      <c r="H67" s="7" t="n">
        <v>46270.91666666666</v>
      </c>
      <c r="I67" s="20" t="n">
        <v>0.2456685</v>
      </c>
      <c r="J67" s="2" t="inlineStr">
        <is>
          <t>止損</t>
        </is>
      </c>
      <c r="K67" s="5">
        <f>(H67-D67)*24</f>
        <v/>
      </c>
      <c r="L67" s="4">
        <f>IF(C67="做多",I67/E67-1,1-I67/E67)-2*參數!$B$7</f>
        <v/>
      </c>
      <c r="M67" s="2" t="inlineStr"/>
      <c r="N67" s="4" t="n">
        <v>-0.04377145659637072</v>
      </c>
      <c r="O67" s="4" t="n">
        <v>0.07135388468731871</v>
      </c>
      <c r="P67" s="4" t="n">
        <v>-0.03235011911064056</v>
      </c>
      <c r="Q67" s="22" t="n">
        <v>-824851</v>
      </c>
      <c r="R67" s="22" t="n">
        <v>11148789.01949</v>
      </c>
      <c r="S67" s="4" t="n">
        <v>0.02295166046929098</v>
      </c>
      <c r="T67" s="4" t="n">
        <v>0.05</v>
      </c>
      <c r="U67" s="19" t="n">
        <v>0.8740356287791156</v>
      </c>
      <c r="V67" s="19" t="n">
        <v>0.8503289473684206</v>
      </c>
      <c r="W67" s="4" t="n">
        <v>-0.3923553460803744</v>
      </c>
      <c r="X67" s="4" t="n">
        <v>0.01419903935282707</v>
      </c>
      <c r="Y67" s="4" t="n">
        <v>0.0001683531294838225</v>
      </c>
      <c r="Z67" s="4" t="n">
        <v>-8.771685101027771e-05</v>
      </c>
      <c r="AA67" s="4" t="n">
        <v>0.03</v>
      </c>
      <c r="AB67" s="4" t="n">
        <v>0.05</v>
      </c>
      <c r="AC67" s="4">
        <f>(AB67+2*參數!$B$7)/(AA67+AB67)</f>
        <v/>
      </c>
    </row>
    <row r="68">
      <c r="A68" s="2" t="n">
        <v>67</v>
      </c>
      <c r="B68" s="2" t="inlineStr">
        <is>
          <t>4_USDT_PERP</t>
        </is>
      </c>
      <c r="C68" s="2" t="inlineStr">
        <is>
          <t>做多</t>
        </is>
      </c>
      <c r="D68" s="7" t="n">
        <v>46270.875</v>
      </c>
      <c r="E68" s="20" t="n">
        <v>0.02597</v>
      </c>
      <c r="F68" s="20" t="n">
        <v>0.0267491</v>
      </c>
      <c r="G68" s="20" t="n">
        <v>0.0246715</v>
      </c>
      <c r="H68" s="7" t="n">
        <v>46270.91666666666</v>
      </c>
      <c r="I68" s="20" t="n">
        <v>0.0267491</v>
      </c>
      <c r="J68" s="2" t="inlineStr">
        <is>
          <t>止盈</t>
        </is>
      </c>
      <c r="K68" s="5">
        <f>(H68-D68)*24</f>
        <v/>
      </c>
      <c r="L68" s="4">
        <f>IF(C68="做多",I68/E68-1,1-I68/E68)-2*參數!$B$7</f>
        <v/>
      </c>
      <c r="M68" s="2" t="inlineStr"/>
      <c r="N68" s="4" t="n">
        <v>0.04717741935483866</v>
      </c>
      <c r="O68" s="4" t="n">
        <v>0.07080517768080784</v>
      </c>
      <c r="P68" s="4" t="n">
        <v>0.03435228517375299</v>
      </c>
      <c r="Q68" s="22" t="n">
        <v>24650626</v>
      </c>
      <c r="R68" s="22" t="n">
        <v>2314478.3529</v>
      </c>
      <c r="S68" s="4" t="n">
        <v>0.03</v>
      </c>
      <c r="T68" s="4" t="n">
        <v>0</v>
      </c>
      <c r="U68" s="19" t="n">
        <v>0.7829040135091946</v>
      </c>
      <c r="V68" s="19" t="n">
        <v>0.8522167487684721</v>
      </c>
      <c r="W68" s="4" t="n">
        <v>0.5115182697568301</v>
      </c>
      <c r="X68" s="4" t="n">
        <v>0.6711711711711712</v>
      </c>
      <c r="Y68" s="4" t="n">
        <v>0.001114638075634611</v>
      </c>
      <c r="Z68" s="4" t="n">
        <v>0.001056582947793094</v>
      </c>
      <c r="AA68" s="4" t="n">
        <v>0.03</v>
      </c>
      <c r="AB68" s="4" t="n">
        <v>0.05</v>
      </c>
      <c r="AC68" s="4">
        <f>(AB68+2*參數!$B$7)/(AA68+AB68)</f>
        <v/>
      </c>
    </row>
    <row r="69">
      <c r="A69" s="2" t="n">
        <v>68</v>
      </c>
      <c r="B69" s="2" t="inlineStr">
        <is>
          <t>4_USDT_PERP</t>
        </is>
      </c>
      <c r="C69" s="2" t="inlineStr">
        <is>
          <t>做多</t>
        </is>
      </c>
      <c r="D69" s="7" t="n">
        <v>46271</v>
      </c>
      <c r="E69" s="20" t="n">
        <v>0.02716</v>
      </c>
      <c r="F69" s="20" t="n">
        <v>0.0279748</v>
      </c>
      <c r="G69" s="20" t="n">
        <v>0.025802</v>
      </c>
      <c r="H69" s="7" t="n">
        <v>46271.04166666666</v>
      </c>
      <c r="I69" s="20" t="n">
        <v>0.0279748</v>
      </c>
      <c r="J69" s="2" t="inlineStr">
        <is>
          <t>止盈</t>
        </is>
      </c>
      <c r="K69" s="5">
        <f>(H69-D69)*24</f>
        <v/>
      </c>
      <c r="L69" s="4">
        <f>IF(C69="做多",I69/E69-1,1-I69/E69)-2*參數!$B$7</f>
        <v/>
      </c>
      <c r="M69" s="2" t="inlineStr"/>
      <c r="N69" s="4" t="n">
        <v>0.02143663031214738</v>
      </c>
      <c r="O69" s="4" t="n">
        <v>0.06541634539922911</v>
      </c>
      <c r="P69" s="4" t="n">
        <v>0.05116495084758887</v>
      </c>
      <c r="Q69" s="22" t="n">
        <v>15075684</v>
      </c>
      <c r="R69" s="22" t="n">
        <v>2492898.93811</v>
      </c>
      <c r="S69" s="4" t="n">
        <v>0.03</v>
      </c>
      <c r="T69" s="4" t="n">
        <v>0</v>
      </c>
      <c r="U69" s="19" t="n">
        <v>0.5446360923393501</v>
      </c>
      <c r="V69" s="19" t="n">
        <v>0.4462365591397853</v>
      </c>
      <c r="W69" s="4" t="n">
        <v>0.5455704270235819</v>
      </c>
      <c r="X69" s="4" t="n">
        <v>0.6943231441048037</v>
      </c>
      <c r="Y69" s="4" t="n">
        <v>0.001103270651494626</v>
      </c>
      <c r="Z69" s="4" t="n">
        <v>0.002083504383136425</v>
      </c>
      <c r="AA69" s="4" t="n">
        <v>0.03</v>
      </c>
      <c r="AB69" s="4" t="n">
        <v>0.05</v>
      </c>
      <c r="AC69" s="4">
        <f>(AB69+2*參數!$B$7)/(AA69+AB69)</f>
        <v/>
      </c>
    </row>
    <row r="70">
      <c r="A70" s="2" t="n">
        <v>69</v>
      </c>
      <c r="B70" s="2" t="inlineStr">
        <is>
          <t>NEAR_USDT_PERP</t>
        </is>
      </c>
      <c r="C70" s="2" t="inlineStr">
        <is>
          <t>做多</t>
        </is>
      </c>
      <c r="D70" s="7" t="n">
        <v>46271.08333333334</v>
      </c>
      <c r="E70" s="20" t="n">
        <v>2.251</v>
      </c>
      <c r="F70" s="20" t="n">
        <v>2.31853</v>
      </c>
      <c r="G70" s="20" t="n">
        <v>2.13845</v>
      </c>
      <c r="H70" s="7" t="n">
        <v>46271.70833333334</v>
      </c>
      <c r="I70" s="20" t="n">
        <v>2.31853</v>
      </c>
      <c r="J70" s="2" t="inlineStr">
        <is>
          <t>止盈</t>
        </is>
      </c>
      <c r="K70" s="5">
        <f>(H70-D70)*24</f>
        <v/>
      </c>
      <c r="L70" s="4">
        <f>IF(C70="做多",I70/E70-1,1-I70/E70)-2*參數!$B$7</f>
        <v/>
      </c>
      <c r="M70" s="2" t="inlineStr"/>
      <c r="N70" s="4" t="n">
        <v>0.02039891205802347</v>
      </c>
      <c r="O70" s="4" t="n">
        <v>0.02068098998591394</v>
      </c>
      <c r="P70" s="4" t="n">
        <v>0.0145352112676056</v>
      </c>
      <c r="Q70" s="22" t="n">
        <v>120209</v>
      </c>
      <c r="R70" s="22" t="n">
        <v>3776189.788</v>
      </c>
      <c r="S70" s="4" t="n">
        <v>0.03</v>
      </c>
      <c r="T70" s="4" t="n">
        <v>0.03998223011994662</v>
      </c>
      <c r="U70" s="19" t="n">
        <v>0.7975812818373547</v>
      </c>
      <c r="V70" s="19" t="n">
        <v>0.9074074074074091</v>
      </c>
      <c r="W70" s="4" t="n">
        <v>0.1353434275165686</v>
      </c>
      <c r="X70" s="4" t="n">
        <v>0.1391700404858298</v>
      </c>
      <c r="Y70" s="4" t="n">
        <v>0.000357493743859516</v>
      </c>
      <c r="Z70" s="4" t="n">
        <v>0.004975400517795103</v>
      </c>
      <c r="AA70" s="4" t="n">
        <v>0.03</v>
      </c>
      <c r="AB70" s="4" t="n">
        <v>0.05</v>
      </c>
      <c r="AC70" s="4">
        <f>(AB70+2*參數!$B$7)/(AA70+AB70)</f>
        <v/>
      </c>
    </row>
    <row r="71">
      <c r="A71" s="2" t="n">
        <v>70</v>
      </c>
      <c r="B71" s="2" t="inlineStr">
        <is>
          <t>ZEN_USDT_PERP</t>
        </is>
      </c>
      <c r="C71" s="2" t="inlineStr">
        <is>
          <t>做空</t>
        </is>
      </c>
      <c r="D71" s="7" t="n">
        <v>46271.125</v>
      </c>
      <c r="E71" s="20" t="n">
        <v>6.91</v>
      </c>
      <c r="F71" s="20" t="n">
        <v>6.7027</v>
      </c>
      <c r="G71" s="20" t="n">
        <v>7.255500000000001</v>
      </c>
      <c r="H71" s="7" t="n">
        <v>46271.54166666666</v>
      </c>
      <c r="I71" s="20" t="n">
        <v>7.255500000000001</v>
      </c>
      <c r="J71" s="2" t="inlineStr">
        <is>
          <t>止損</t>
        </is>
      </c>
      <c r="K71" s="5">
        <f>(H71-D71)*24</f>
        <v/>
      </c>
      <c r="L71" s="4">
        <f>IF(C71="做多",I71/E71-1,1-I71/E71)-2*參數!$B$7</f>
        <v/>
      </c>
      <c r="M71" s="2" t="inlineStr"/>
      <c r="N71" s="4" t="n">
        <v>-0.0216621832082684</v>
      </c>
      <c r="O71" s="4" t="n">
        <v>0.03331897234570923</v>
      </c>
      <c r="P71" s="4" t="n">
        <v>-0.05876904426237317</v>
      </c>
      <c r="Q71" s="22" t="n">
        <v>-20744.19999999999</v>
      </c>
      <c r="R71" s="22" t="n">
        <v>1722877.8389</v>
      </c>
      <c r="S71" s="4" t="n">
        <v>0.009696092619392194</v>
      </c>
      <c r="T71" s="4" t="n">
        <v>0.05</v>
      </c>
      <c r="U71" s="19" t="n">
        <v>0.6143393998569466</v>
      </c>
      <c r="V71" s="19" t="n">
        <v>0.9411764705882365</v>
      </c>
      <c r="W71" s="4" t="n">
        <v>-0.140399519414848</v>
      </c>
      <c r="X71" s="4" t="n">
        <v>-0.04380664652567967</v>
      </c>
      <c r="Y71" s="4" t="n">
        <v>0.000885917780832135</v>
      </c>
      <c r="Z71" s="4" t="n">
        <v>-0.003858987360286337</v>
      </c>
      <c r="AA71" s="4" t="n">
        <v>0.03</v>
      </c>
      <c r="AB71" s="4" t="n">
        <v>0.05</v>
      </c>
      <c r="AC71" s="4">
        <f>(AB71+2*參數!$B$7)/(AA71+AB71)</f>
        <v/>
      </c>
    </row>
    <row r="72">
      <c r="A72" s="2" t="n">
        <v>71</v>
      </c>
      <c r="B72" s="2" t="inlineStr">
        <is>
          <t>AKE_USDT_PERP</t>
        </is>
      </c>
      <c r="C72" s="2" t="inlineStr">
        <is>
          <t>做多</t>
        </is>
      </c>
      <c r="D72" s="7" t="n">
        <v>46271.16666666666</v>
      </c>
      <c r="E72" s="20" t="n">
        <v>0.019459</v>
      </c>
      <c r="F72" s="20" t="n">
        <v>0.02004277</v>
      </c>
      <c r="G72" s="20" t="n">
        <v>0.01848605</v>
      </c>
      <c r="H72" s="7" t="n">
        <v>46271.29166666666</v>
      </c>
      <c r="I72" s="20" t="n">
        <v>0.01848605</v>
      </c>
      <c r="J72" s="2" t="inlineStr">
        <is>
          <t>止損</t>
        </is>
      </c>
      <c r="K72" s="5">
        <f>(H72-D72)*24</f>
        <v/>
      </c>
      <c r="L72" s="4">
        <f>IF(C72="做多",I72/E72-1,1-I72/E72)-2*參數!$B$7</f>
        <v/>
      </c>
      <c r="M72" s="2" t="inlineStr"/>
      <c r="N72" s="4" t="n">
        <v>0.03077656531412232</v>
      </c>
      <c r="O72" s="4" t="n">
        <v>0.09223932779998835</v>
      </c>
      <c r="P72" s="4" t="n">
        <v>0.05296052142081242</v>
      </c>
      <c r="Q72" s="22" t="n">
        <v>83082653</v>
      </c>
      <c r="R72" s="22" t="n">
        <v>7443358.975299699</v>
      </c>
      <c r="S72" s="4" t="n">
        <v>0.006999331928670527</v>
      </c>
      <c r="T72" s="4" t="n">
        <v>0.05</v>
      </c>
      <c r="U72" s="19" t="n">
        <v>0.4265014454975002</v>
      </c>
      <c r="V72" s="19" t="n">
        <v>0.8826180257510727</v>
      </c>
      <c r="W72" s="4" t="n">
        <v>0.4082503103231065</v>
      </c>
      <c r="X72" s="4" t="n">
        <v>0.4671089833000341</v>
      </c>
      <c r="Y72" s="4" t="n">
        <v>-0.002991529419415828</v>
      </c>
      <c r="Z72" s="4" t="n">
        <v>0.0007907034812983937</v>
      </c>
      <c r="AA72" s="4" t="n">
        <v>0.03</v>
      </c>
      <c r="AB72" s="4" t="n">
        <v>0.05</v>
      </c>
      <c r="AC72" s="4">
        <f>(AB72+2*參數!$B$7)/(AA72+AB72)</f>
        <v/>
      </c>
    </row>
    <row r="73">
      <c r="A73" s="2" t="n">
        <v>72</v>
      </c>
      <c r="B73" s="2" t="inlineStr">
        <is>
          <t>牛来_USDT_PERP</t>
        </is>
      </c>
      <c r="C73" s="2" t="inlineStr">
        <is>
          <t>做多</t>
        </is>
      </c>
      <c r="D73" s="7" t="n">
        <v>46271.25</v>
      </c>
      <c r="E73" s="20" t="n">
        <v>0.11871</v>
      </c>
      <c r="F73" s="20" t="n">
        <v>0.1222713</v>
      </c>
      <c r="G73" s="20" t="n">
        <v>0.1127745</v>
      </c>
      <c r="H73" s="7" t="n">
        <v>46271.29166666666</v>
      </c>
      <c r="I73" s="20" t="n">
        <v>0.1222713</v>
      </c>
      <c r="J73" s="2" t="inlineStr">
        <is>
          <t>止盈</t>
        </is>
      </c>
      <c r="K73" s="5">
        <f>(H73-D73)*24</f>
        <v/>
      </c>
      <c r="L73" s="4">
        <f>IF(C73="做多",I73/E73-1,1-I73/E73)-2*參數!$B$7</f>
        <v/>
      </c>
      <c r="M73" s="2" t="inlineStr"/>
      <c r="N73" s="4" t="n">
        <v>0.023803363518758</v>
      </c>
      <c r="O73" s="4" t="n">
        <v>0.07655668287248031</v>
      </c>
      <c r="P73" s="4" t="n">
        <v>0.05775742239013448</v>
      </c>
      <c r="Q73" s="22" t="n">
        <v>2096077</v>
      </c>
      <c r="R73" s="22" t="n">
        <v>1853887.39315</v>
      </c>
      <c r="S73" s="4" t="n">
        <v>0.03</v>
      </c>
      <c r="T73" s="4" t="n">
        <v>0</v>
      </c>
      <c r="U73" s="19" t="n">
        <v>0.4713961912980948</v>
      </c>
      <c r="V73" s="19" t="n">
        <v>0.8827319587628856</v>
      </c>
      <c r="W73" s="4" t="n">
        <v>0.332261927341166</v>
      </c>
      <c r="X73" s="4" t="n">
        <v>0.4361238809581418</v>
      </c>
      <c r="Y73" s="4" t="n">
        <v>0.002136706561056689</v>
      </c>
      <c r="Z73" s="4" t="n">
        <v>0.002365597065404623</v>
      </c>
      <c r="AA73" s="4" t="n">
        <v>0.03</v>
      </c>
      <c r="AB73" s="4" t="n">
        <v>0.05</v>
      </c>
      <c r="AC73" s="4">
        <f>(AB73+2*參數!$B$7)/(AA73+AB73)</f>
        <v/>
      </c>
    </row>
    <row r="74">
      <c r="A74" s="2" t="n">
        <v>73</v>
      </c>
      <c r="B74" s="2" t="inlineStr">
        <is>
          <t>DASH_USDT_PERP</t>
        </is>
      </c>
      <c r="C74" s="2" t="inlineStr">
        <is>
          <t>做多</t>
        </is>
      </c>
      <c r="D74" s="7" t="n">
        <v>46271.45833333334</v>
      </c>
      <c r="E74" s="20" t="n">
        <v>69.19</v>
      </c>
      <c r="F74" s="20" t="n">
        <v>71.2657</v>
      </c>
      <c r="G74" s="20" t="n">
        <v>65.73049999999999</v>
      </c>
      <c r="H74" s="7" t="n">
        <v>46271.54166666666</v>
      </c>
      <c r="I74" s="20" t="n">
        <v>71.2657</v>
      </c>
      <c r="J74" s="2" t="inlineStr">
        <is>
          <t>止盈</t>
        </is>
      </c>
      <c r="K74" s="5">
        <f>(H74-D74)*24</f>
        <v/>
      </c>
      <c r="L74" s="4">
        <f>IF(C74="做多",I74/E74-1,1-I74/E74)-2*參數!$B$7</f>
        <v/>
      </c>
      <c r="M74" s="2" t="inlineStr"/>
      <c r="N74" s="4" t="n">
        <v>0.02321798284531185</v>
      </c>
      <c r="O74" s="4" t="n">
        <v>0.0319438630155098</v>
      </c>
      <c r="P74" s="4" t="n">
        <v>0.02244683837980799</v>
      </c>
      <c r="Q74" s="22" t="n">
        <v>7844.672999999995</v>
      </c>
      <c r="R74" s="22" t="n">
        <v>3182116.17652</v>
      </c>
      <c r="S74" s="4" t="n">
        <v>0.03</v>
      </c>
      <c r="T74" s="4" t="n">
        <v>0.03280820927879746</v>
      </c>
      <c r="U74" s="19" t="n">
        <v>0.4997138526263688</v>
      </c>
      <c r="V74" s="19" t="n">
        <v>0.9090909090909058</v>
      </c>
      <c r="W74" s="4" t="n">
        <v>0.3260200043312693</v>
      </c>
      <c r="X74" s="4" t="n">
        <v>0.01839858698851926</v>
      </c>
      <c r="Y74" s="4" t="n">
        <v>-0.0005368203716448194</v>
      </c>
      <c r="Z74" s="4" t="n">
        <v>0.001419026235560894</v>
      </c>
      <c r="AA74" s="4" t="n">
        <v>0.03</v>
      </c>
      <c r="AB74" s="4" t="n">
        <v>0.05</v>
      </c>
      <c r="AC74" s="4">
        <f>(AB74+2*參數!$B$7)/(AA74+AB74)</f>
        <v/>
      </c>
    </row>
    <row r="75">
      <c r="A75" s="2" t="n">
        <v>74</v>
      </c>
      <c r="B75" s="2" t="inlineStr">
        <is>
          <t>HEMI_USDT_PERP</t>
        </is>
      </c>
      <c r="C75" s="2" t="inlineStr">
        <is>
          <t>做空</t>
        </is>
      </c>
      <c r="D75" s="7" t="n">
        <v>46271.5</v>
      </c>
      <c r="E75" s="20" t="n">
        <v>0.01166</v>
      </c>
      <c r="F75" s="20" t="n">
        <v>0.0113102</v>
      </c>
      <c r="G75" s="20" t="n">
        <v>0.012243</v>
      </c>
      <c r="H75" s="7" t="n">
        <v>46271.54166666666</v>
      </c>
      <c r="I75" s="20" t="n">
        <v>0.0113102</v>
      </c>
      <c r="J75" s="2" t="inlineStr">
        <is>
          <t>止盈</t>
        </is>
      </c>
      <c r="K75" s="5">
        <f>(H75-D75)*24</f>
        <v/>
      </c>
      <c r="L75" s="4">
        <f>IF(C75="做多",I75/E75-1,1-I75/E75)-2*參數!$B$7</f>
        <v/>
      </c>
      <c r="M75" s="2" t="inlineStr"/>
      <c r="N75" s="4" t="n">
        <v>-0.02508361204013376</v>
      </c>
      <c r="O75" s="4" t="n">
        <v>0.04674940283171153</v>
      </c>
      <c r="P75" s="4" t="n">
        <v>-0.04143373890167701</v>
      </c>
      <c r="Q75" s="22" t="n">
        <v>-60572711</v>
      </c>
      <c r="R75" s="22" t="n">
        <v>1222480.36925</v>
      </c>
      <c r="S75" s="4" t="n">
        <v>0.03</v>
      </c>
      <c r="T75" s="4" t="n">
        <v>0</v>
      </c>
      <c r="U75" s="19" t="n">
        <v>0.7248367471056822</v>
      </c>
      <c r="V75" s="19" t="n">
        <v>0.5125000000000006</v>
      </c>
      <c r="W75" s="4" t="n">
        <v>0.2118692757443645</v>
      </c>
      <c r="X75" s="4" t="n">
        <v>0.1677373304782298</v>
      </c>
      <c r="Y75" s="4" t="n">
        <v>-0.001488629947127951</v>
      </c>
      <c r="Z75" s="4" t="n">
        <v>-0.002709940474321382</v>
      </c>
      <c r="AA75" s="4" t="n">
        <v>0.03</v>
      </c>
      <c r="AB75" s="4" t="n">
        <v>0.05</v>
      </c>
      <c r="AC75" s="4">
        <f>(AB75+2*參數!$B$7)/(AA75+AB75)</f>
        <v/>
      </c>
    </row>
    <row r="76">
      <c r="A76" s="2" t="n">
        <v>75</v>
      </c>
      <c r="B76" s="2" t="inlineStr">
        <is>
          <t>HEMI_USDT_PERP</t>
        </is>
      </c>
      <c r="C76" s="2" t="inlineStr">
        <is>
          <t>做空</t>
        </is>
      </c>
      <c r="D76" s="7" t="n">
        <v>46271.58333333334</v>
      </c>
      <c r="E76" s="20" t="n">
        <v>0.01128</v>
      </c>
      <c r="F76" s="20" t="n">
        <v>0.0109416</v>
      </c>
      <c r="G76" s="20" t="n">
        <v>0.011844</v>
      </c>
      <c r="H76" s="7" t="n">
        <v>46271.75</v>
      </c>
      <c r="I76" s="20" t="n">
        <v>0.011844</v>
      </c>
      <c r="J76" s="2" t="inlineStr">
        <is>
          <t>止損</t>
        </is>
      </c>
      <c r="K76" s="5">
        <f>(H76-D76)*24</f>
        <v/>
      </c>
      <c r="L76" s="4">
        <f>IF(C76="做多",I76/E76-1,1-I76/E76)-2*參數!$B$7</f>
        <v/>
      </c>
      <c r="M76" s="2" t="inlineStr"/>
      <c r="N76" s="4" t="n">
        <v>-0.02337662337662327</v>
      </c>
      <c r="O76" s="4" t="n">
        <v>0.04711317134172856</v>
      </c>
      <c r="P76" s="4" t="n">
        <v>-0.05158279732627058</v>
      </c>
      <c r="Q76" s="22" t="n">
        <v>-65936388</v>
      </c>
      <c r="R76" s="22" t="n">
        <v>1231916.4476</v>
      </c>
      <c r="S76" s="4" t="n">
        <v>0.00265957446808518</v>
      </c>
      <c r="T76" s="4" t="n">
        <v>0.05</v>
      </c>
      <c r="U76" s="19" t="n">
        <v>0.3502152078149993</v>
      </c>
      <c r="V76" s="19" t="n">
        <v>0.9148936170212764</v>
      </c>
      <c r="W76" s="4" t="n">
        <v>0.2338413888662483</v>
      </c>
      <c r="X76" s="4" t="n">
        <v>0.195435092724679</v>
      </c>
      <c r="Y76" s="4" t="n">
        <v>-0.001627330126277693</v>
      </c>
      <c r="Z76" s="4" t="n">
        <v>-0.001889588130687292</v>
      </c>
      <c r="AA76" s="4" t="n">
        <v>0.03</v>
      </c>
      <c r="AB76" s="4" t="n">
        <v>0.05</v>
      </c>
      <c r="AC76" s="4">
        <f>(AB76+2*參數!$B$7)/(AA76+AB76)</f>
        <v/>
      </c>
    </row>
    <row r="77">
      <c r="A77" s="2" t="n">
        <v>76</v>
      </c>
      <c r="B77" s="2" t="inlineStr">
        <is>
          <t>PONS_USDT_PERP</t>
        </is>
      </c>
      <c r="C77" s="2" t="inlineStr">
        <is>
          <t>做多</t>
        </is>
      </c>
      <c r="D77" s="7" t="n">
        <v>46271.66666666666</v>
      </c>
      <c r="E77" s="20" t="n">
        <v>0.9263</v>
      </c>
      <c r="F77" s="20" t="n">
        <v>0.9540890000000001</v>
      </c>
      <c r="G77" s="20" t="n">
        <v>0.879985</v>
      </c>
      <c r="H77" s="7" t="n">
        <v>46271.83333333334</v>
      </c>
      <c r="I77" s="20" t="n">
        <v>0.9540890000000001</v>
      </c>
      <c r="J77" s="2" t="inlineStr">
        <is>
          <t>止盈</t>
        </is>
      </c>
      <c r="K77" s="5">
        <f>(H77-D77)*24</f>
        <v/>
      </c>
      <c r="L77" s="4">
        <f>IF(C77="做多",I77/E77-1,1-I77/E77)-2*參數!$B$7</f>
        <v/>
      </c>
      <c r="M77" s="2" t="inlineStr"/>
      <c r="N77" s="4" t="n">
        <v>0.04501353790613716</v>
      </c>
      <c r="O77" s="4" t="n">
        <v>0.05811417865227439</v>
      </c>
      <c r="P77" s="4" t="n">
        <v>0.01739779891483417</v>
      </c>
      <c r="Q77" s="22" t="n">
        <v>3591741</v>
      </c>
      <c r="R77" s="22" t="n">
        <v>10728374.9275</v>
      </c>
      <c r="S77" s="4" t="n">
        <v>0.03</v>
      </c>
      <c r="T77" s="4" t="n">
        <v>0.03584152002590957</v>
      </c>
      <c r="U77" s="19" t="n">
        <v>1.206720839265955</v>
      </c>
      <c r="V77" s="19" t="n">
        <v>0.8577075098814232</v>
      </c>
      <c r="W77" s="4" t="n">
        <v>0.4184994502414956</v>
      </c>
      <c r="X77" s="4" t="n">
        <v>0.2111663179916317</v>
      </c>
      <c r="Y77" s="4" t="n">
        <v>0.0003561668917793082</v>
      </c>
      <c r="Z77" s="4" t="n">
        <v>-0.0006775838026839009</v>
      </c>
      <c r="AA77" s="4" t="n">
        <v>0.03</v>
      </c>
      <c r="AB77" s="4" t="n">
        <v>0.05</v>
      </c>
      <c r="AC77" s="4">
        <f>(AB77+2*參數!$B$7)/(AA77+AB77)</f>
        <v/>
      </c>
    </row>
    <row r="78">
      <c r="A78" s="2" t="n">
        <v>77</v>
      </c>
      <c r="B78" s="2" t="inlineStr">
        <is>
          <t>UAI_USDT_PERP</t>
        </is>
      </c>
      <c r="C78" s="2" t="inlineStr">
        <is>
          <t>做空</t>
        </is>
      </c>
      <c r="D78" s="7" t="n">
        <v>46271.75</v>
      </c>
      <c r="E78" s="20" t="n">
        <v>0.5347</v>
      </c>
      <c r="F78" s="20" t="n">
        <v>0.518659</v>
      </c>
      <c r="G78" s="20" t="n">
        <v>0.561435</v>
      </c>
      <c r="H78" s="7" t="n">
        <v>46271.95833333334</v>
      </c>
      <c r="I78" s="20" t="n">
        <v>0.561435</v>
      </c>
      <c r="J78" s="2" t="inlineStr">
        <is>
          <t>止損</t>
        </is>
      </c>
      <c r="K78" s="5">
        <f>(H78-D78)*24</f>
        <v/>
      </c>
      <c r="L78" s="4">
        <f>IF(C78="做多",I78/E78-1,1-I78/E78)-2*參數!$B$7</f>
        <v/>
      </c>
      <c r="M78" s="2" t="inlineStr"/>
      <c r="N78" s="4" t="n">
        <v>-0.08909710391822834</v>
      </c>
      <c r="O78" s="4" t="n">
        <v>0.09131105954557425</v>
      </c>
      <c r="P78" s="4" t="n">
        <v>-0.02522172696363956</v>
      </c>
      <c r="Q78" s="22" t="n">
        <v>-1062918</v>
      </c>
      <c r="R78" s="22" t="n">
        <v>5160090.6448</v>
      </c>
      <c r="S78" s="4" t="n">
        <v>0.0237516364316438</v>
      </c>
      <c r="T78" s="4" t="n">
        <v>0.05</v>
      </c>
      <c r="U78" s="19" t="n">
        <v>0.9326138521704536</v>
      </c>
      <c r="V78" s="19" t="n">
        <v>0.668757841907152</v>
      </c>
      <c r="W78" s="4" t="n">
        <v>-0.1748240071012366</v>
      </c>
      <c r="X78" s="4" t="n">
        <v>-0.1413020277481323</v>
      </c>
      <c r="Y78" s="4" t="n">
        <v>-0.0005287577825752177</v>
      </c>
      <c r="Z78" s="4" t="n">
        <v>-0.0001306964996194981</v>
      </c>
      <c r="AA78" s="4" t="n">
        <v>0.03</v>
      </c>
      <c r="AB78" s="4" t="n">
        <v>0.05</v>
      </c>
      <c r="AC78" s="4">
        <f>(AB78+2*參數!$B$7)/(AA78+AB78)</f>
        <v/>
      </c>
    </row>
    <row r="79">
      <c r="A79" s="2" t="n">
        <v>78</v>
      </c>
      <c r="B79" s="2" t="inlineStr">
        <is>
          <t>LIT_USDT_PERP</t>
        </is>
      </c>
      <c r="C79" s="2" t="inlineStr">
        <is>
          <t>做空</t>
        </is>
      </c>
      <c r="D79" s="7" t="n">
        <v>46271.875</v>
      </c>
      <c r="E79" s="20" t="n">
        <v>4.533</v>
      </c>
      <c r="F79" s="20" t="n">
        <v>4.39701</v>
      </c>
      <c r="G79" s="20" t="n">
        <v>4.759650000000001</v>
      </c>
      <c r="H79" s="7" t="n">
        <v>46272.54166666666</v>
      </c>
      <c r="I79" s="20" t="n">
        <v>4.39701</v>
      </c>
      <c r="J79" s="2" t="inlineStr">
        <is>
          <t>止盈</t>
        </is>
      </c>
      <c r="K79" s="5">
        <f>(H79-D79)*24</f>
        <v/>
      </c>
      <c r="L79" s="4">
        <f>IF(C79="做多",I79/E79-1,1-I79/E79)-2*參數!$B$7</f>
        <v/>
      </c>
      <c r="M79" s="2" t="inlineStr"/>
      <c r="N79" s="4" t="n">
        <v>-0.02369157872065464</v>
      </c>
      <c r="O79" s="4" t="n">
        <v>0.02184362723830726</v>
      </c>
      <c r="P79" s="4" t="n">
        <v>-0.03407274819408035</v>
      </c>
      <c r="Q79" s="22" t="n">
        <v>-49244.10000000149</v>
      </c>
      <c r="R79" s="22" t="n">
        <v>3687645.7244</v>
      </c>
      <c r="S79" s="4" t="n">
        <v>0.03</v>
      </c>
      <c r="T79" s="4" t="n">
        <v>0.04787116699757332</v>
      </c>
      <c r="U79" s="19" t="n">
        <v>0.7670897701603352</v>
      </c>
      <c r="V79" s="19" t="n">
        <v>0.9487179487179468</v>
      </c>
      <c r="W79" s="4" t="n">
        <v>-0.04164273010124608</v>
      </c>
      <c r="X79" s="4" t="n">
        <v>0.01776814734561205</v>
      </c>
      <c r="Y79" s="4" t="n">
        <v>-4.506850412644425e-05</v>
      </c>
      <c r="Z79" s="4" t="n">
        <v>-0.0003254607887372973</v>
      </c>
      <c r="AA79" s="4" t="n">
        <v>0.03</v>
      </c>
      <c r="AB79" s="4" t="n">
        <v>0.05</v>
      </c>
      <c r="AC79" s="4">
        <f>(AB79+2*參數!$B$7)/(AA79+AB79)</f>
        <v/>
      </c>
    </row>
    <row r="80">
      <c r="A80" s="2" t="n">
        <v>79</v>
      </c>
      <c r="B80" s="2" t="inlineStr">
        <is>
          <t>ARB_USDT_PERP</t>
        </is>
      </c>
      <c r="C80" s="2" t="inlineStr">
        <is>
          <t>做空</t>
        </is>
      </c>
      <c r="D80" s="7" t="n">
        <v>46271.95833333334</v>
      </c>
      <c r="E80" s="20" t="n">
        <v>0.1862</v>
      </c>
      <c r="F80" s="20" t="n">
        <v>0.180614</v>
      </c>
      <c r="G80" s="20" t="n">
        <v>0.19551</v>
      </c>
      <c r="H80" s="7" t="n">
        <v>46272.5</v>
      </c>
      <c r="I80" s="20" t="n">
        <v>0.180614</v>
      </c>
      <c r="J80" s="2" t="inlineStr">
        <is>
          <t>止盈</t>
        </is>
      </c>
      <c r="K80" s="5">
        <f>(H80-D80)*24</f>
        <v/>
      </c>
      <c r="L80" s="4">
        <f>IF(C80="做多",I80/E80-1,1-I80/E80)-2*參數!$B$7</f>
        <v/>
      </c>
      <c r="M80" s="2" t="inlineStr"/>
      <c r="N80" s="4" t="n">
        <v>-0.03673047077082248</v>
      </c>
      <c r="O80" s="4" t="n">
        <v>0.04247159968427301</v>
      </c>
      <c r="P80" s="4" t="n">
        <v>-0.005049560501215633</v>
      </c>
      <c r="Q80" s="22" t="n">
        <v>-2146168.2</v>
      </c>
      <c r="R80" s="22" t="n">
        <v>6861448.897129999</v>
      </c>
      <c r="S80" s="4" t="n">
        <v>0.03</v>
      </c>
      <c r="T80" s="4" t="n">
        <v>0.03061224489795911</v>
      </c>
      <c r="U80" s="19" t="n">
        <v>2.51942219716008</v>
      </c>
      <c r="V80" s="19" t="n">
        <v>0.7319587628865984</v>
      </c>
      <c r="W80" s="4" t="n">
        <v>-0.3035016731305042</v>
      </c>
      <c r="X80" s="4" t="n">
        <v>-0.3854166666666667</v>
      </c>
      <c r="Y80" s="4" t="n">
        <v>0.003597996851909313</v>
      </c>
      <c r="Z80" s="4" t="n">
        <v>0.003938029837522672</v>
      </c>
      <c r="AA80" s="4" t="n">
        <v>0.03</v>
      </c>
      <c r="AB80" s="4" t="n">
        <v>0.05</v>
      </c>
      <c r="AC80" s="4">
        <f>(AB80+2*參數!$B$7)/(AA80+AB80)</f>
        <v/>
      </c>
    </row>
    <row r="81">
      <c r="A81" s="2" t="n">
        <v>80</v>
      </c>
      <c r="B81" s="2" t="inlineStr">
        <is>
          <t>DASH_USDT_PERP</t>
        </is>
      </c>
      <c r="C81" s="2" t="inlineStr">
        <is>
          <t>做空</t>
        </is>
      </c>
      <c r="D81" s="7" t="n">
        <v>46271.95833333334</v>
      </c>
      <c r="E81" s="20" t="n">
        <v>67.53</v>
      </c>
      <c r="F81" s="20" t="n">
        <v>65.50409999999999</v>
      </c>
      <c r="G81" s="20" t="n">
        <v>70.90650000000001</v>
      </c>
      <c r="H81" s="7" t="n">
        <v>46272.125</v>
      </c>
      <c r="I81" s="20" t="n">
        <v>70.90650000000001</v>
      </c>
      <c r="J81" s="2" t="inlineStr">
        <is>
          <t>止損</t>
        </is>
      </c>
      <c r="K81" s="5">
        <f>(H81-D81)*24</f>
        <v/>
      </c>
      <c r="L81" s="4">
        <f>IF(C81="做多",I81/E81-1,1-I81/E81)-2*參數!$B$7</f>
        <v/>
      </c>
      <c r="M81" s="2" t="inlineStr"/>
      <c r="N81" s="4" t="n">
        <v>-0.02102058567700782</v>
      </c>
      <c r="O81" s="4" t="n">
        <v>0.04320472960877879</v>
      </c>
      <c r="P81" s="4" t="n">
        <v>-0.02260046460128973</v>
      </c>
      <c r="Q81" s="22" t="n">
        <v>-405.6010000000024</v>
      </c>
      <c r="R81" s="22" t="n">
        <v>3888972.18861</v>
      </c>
      <c r="S81" s="4" t="n">
        <v>0.01554864504664588</v>
      </c>
      <c r="T81" s="4" t="n">
        <v>0.05</v>
      </c>
      <c r="U81" s="19" t="n">
        <v>0.6172389244500216</v>
      </c>
      <c r="V81" s="19" t="n">
        <v>0.5826771653543308</v>
      </c>
      <c r="W81" s="4" t="n">
        <v>-0.216305299294316</v>
      </c>
      <c r="X81" s="4" t="n">
        <v>0.01127379209370416</v>
      </c>
      <c r="Y81" s="4" t="n">
        <v>0.003597996851909313</v>
      </c>
      <c r="Z81" s="4" t="n">
        <v>0.003938029837522672</v>
      </c>
      <c r="AA81" s="4" t="n">
        <v>0.03</v>
      </c>
      <c r="AB81" s="4" t="n">
        <v>0.05</v>
      </c>
      <c r="AC81" s="4">
        <f>(AB81+2*參數!$B$7)/(AA81+AB81)</f>
        <v/>
      </c>
    </row>
    <row r="82">
      <c r="A82" s="2" t="n">
        <v>81</v>
      </c>
      <c r="B82" s="2" t="inlineStr">
        <is>
          <t>BULLA_USDT_PERP</t>
        </is>
      </c>
      <c r="C82" s="2" t="inlineStr">
        <is>
          <t>做空</t>
        </is>
      </c>
      <c r="D82" s="7" t="n">
        <v>46272</v>
      </c>
      <c r="E82" s="20" t="n">
        <v>0.0756</v>
      </c>
      <c r="F82" s="20" t="n">
        <v>0.07333199999999999</v>
      </c>
      <c r="G82" s="20" t="n">
        <v>0.07938000000000001</v>
      </c>
      <c r="H82" s="7" t="n">
        <v>46272.08333333334</v>
      </c>
      <c r="I82" s="20" t="n">
        <v>0.07333199999999999</v>
      </c>
      <c r="J82" s="2" t="inlineStr">
        <is>
          <t>止盈</t>
        </is>
      </c>
      <c r="K82" s="5">
        <f>(H82-D82)*24</f>
        <v/>
      </c>
      <c r="L82" s="4">
        <f>IF(C82="做多",I82/E82-1,1-I82/E82)-2*參數!$B$7</f>
        <v/>
      </c>
      <c r="M82" s="2" t="inlineStr"/>
      <c r="N82" s="4" t="n">
        <v>-0.07894736842105265</v>
      </c>
      <c r="O82" s="4" t="n">
        <v>0.1052622499575015</v>
      </c>
      <c r="P82" s="4" t="n">
        <v>-0.04433235996814433</v>
      </c>
      <c r="Q82" s="22" t="n">
        <v>-23173212</v>
      </c>
      <c r="R82" s="22" t="n">
        <v>9565261.78688</v>
      </c>
      <c r="S82" s="4" t="n">
        <v>0.03</v>
      </c>
      <c r="T82" s="4" t="n">
        <v>0.03981481481481475</v>
      </c>
      <c r="U82" s="19" t="n">
        <v>1.373187858726033</v>
      </c>
      <c r="V82" s="19" t="n">
        <v>0.6516220028208743</v>
      </c>
      <c r="W82" s="4" t="n">
        <v>-0.6281313531580583</v>
      </c>
      <c r="X82" s="4" t="n">
        <v>0.0643564356435643</v>
      </c>
      <c r="Y82" s="4" t="n">
        <v>-0.002144457175630388</v>
      </c>
      <c r="Z82" s="4" t="n">
        <v>0.001775693130760536</v>
      </c>
      <c r="AA82" s="4" t="n">
        <v>0.03</v>
      </c>
      <c r="AB82" s="4" t="n">
        <v>0.05</v>
      </c>
      <c r="AC82" s="4">
        <f>(AB82+2*參數!$B$7)/(AA82+AB82)</f>
        <v/>
      </c>
    </row>
    <row r="83">
      <c r="A83" s="2" t="n">
        <v>82</v>
      </c>
      <c r="B83" s="2" t="inlineStr">
        <is>
          <t>NEAR_USDT_PERP</t>
        </is>
      </c>
      <c r="C83" s="2" t="inlineStr">
        <is>
          <t>做多</t>
        </is>
      </c>
      <c r="D83" s="7" t="n">
        <v>46272.125</v>
      </c>
      <c r="E83" s="20" t="n">
        <v>2.427</v>
      </c>
      <c r="F83" s="20" t="n">
        <v>2.49981</v>
      </c>
      <c r="G83" s="20" t="n">
        <v>2.30565</v>
      </c>
      <c r="H83" s="7" t="n">
        <v>46272.66666666666</v>
      </c>
      <c r="I83" s="20" t="n">
        <v>2.30565</v>
      </c>
      <c r="J83" s="2" t="inlineStr">
        <is>
          <t>止損</t>
        </is>
      </c>
      <c r="K83" s="5">
        <f>(H83-D83)*24</f>
        <v/>
      </c>
      <c r="L83" s="4">
        <f>IF(C83="做多",I83/E83-1,1-I83/E83)-2*參數!$B$7</f>
        <v/>
      </c>
      <c r="M83" s="2" t="inlineStr"/>
      <c r="N83" s="4" t="n">
        <v>0.02189473684210519</v>
      </c>
      <c r="O83" s="4" t="n">
        <v>0.02496182730090847</v>
      </c>
      <c r="P83" s="4" t="n">
        <v>0.047814355099838</v>
      </c>
      <c r="Q83" s="22" t="n">
        <v>276139</v>
      </c>
      <c r="R83" s="22" t="n">
        <v>3224744.108</v>
      </c>
      <c r="S83" s="4" t="n">
        <v>0.02884219200659244</v>
      </c>
      <c r="T83" s="4" t="n">
        <v>0.05</v>
      </c>
      <c r="U83" s="19" t="n">
        <v>0.6276957226326096</v>
      </c>
      <c r="V83" s="19" t="n">
        <v>0.982758620689657</v>
      </c>
      <c r="W83" s="4" t="n">
        <v>0.1648444474308151</v>
      </c>
      <c r="X83" s="4" t="n">
        <v>0.09078651685393258</v>
      </c>
      <c r="Y83" s="4" t="n">
        <v>0.002558083808295475</v>
      </c>
      <c r="Z83" s="4" t="n">
        <v>0.00119737252092067</v>
      </c>
      <c r="AA83" s="4" t="n">
        <v>0.03</v>
      </c>
      <c r="AB83" s="4" t="n">
        <v>0.05</v>
      </c>
      <c r="AC83" s="4">
        <f>(AB83+2*參數!$B$7)/(AA83+AB83)</f>
        <v/>
      </c>
    </row>
    <row r="84">
      <c r="A84" s="2" t="n">
        <v>83</v>
      </c>
      <c r="B84" s="2" t="inlineStr">
        <is>
          <t>AKE_USDT_PERP</t>
        </is>
      </c>
      <c r="C84" s="2" t="inlineStr">
        <is>
          <t>做空</t>
        </is>
      </c>
      <c r="D84" s="7" t="n">
        <v>46272.16666666666</v>
      </c>
      <c r="E84" s="20" t="n">
        <v>0.0145755</v>
      </c>
      <c r="F84" s="20" t="n">
        <v>0.014138235</v>
      </c>
      <c r="G84" s="20" t="n">
        <v>0.015304275</v>
      </c>
      <c r="H84" s="7" t="n">
        <v>46272.29166666666</v>
      </c>
      <c r="I84" s="20" t="n">
        <v>0.014138235</v>
      </c>
      <c r="J84" s="2" t="inlineStr">
        <is>
          <t>止盈</t>
        </is>
      </c>
      <c r="K84" s="5">
        <f>(H84-D84)*24</f>
        <v/>
      </c>
      <c r="L84" s="4">
        <f>IF(C84="做多",I84/E84-1,1-I84/E84)-2*參數!$B$7</f>
        <v/>
      </c>
      <c r="M84" s="2" t="inlineStr"/>
      <c r="N84" s="4" t="n">
        <v>-0.02952926293361735</v>
      </c>
      <c r="O84" s="4" t="n">
        <v>0.07008563567187494</v>
      </c>
      <c r="P84" s="4" t="n">
        <v>-0.04822975174177779</v>
      </c>
      <c r="Q84" s="22" t="n">
        <v>-142288129</v>
      </c>
      <c r="R84" s="22" t="n">
        <v>4025553.8793134</v>
      </c>
      <c r="S84" s="4" t="n">
        <v>0.03</v>
      </c>
      <c r="T84" s="4" t="n">
        <v>0.03615656409728651</v>
      </c>
      <c r="U84" s="19" t="n">
        <v>0.8978939917775784</v>
      </c>
      <c r="V84" s="19" t="n">
        <v>0.6206959207776872</v>
      </c>
      <c r="W84" s="4" t="n">
        <v>0.060927389208696</v>
      </c>
      <c r="X84" s="4" t="n">
        <v>0.2509635644174932</v>
      </c>
      <c r="Y84" s="4" t="n">
        <v>0.001342726999699728</v>
      </c>
      <c r="Z84" s="4" t="n">
        <v>0.0001499686719580451</v>
      </c>
      <c r="AA84" s="4" t="n">
        <v>0.03</v>
      </c>
      <c r="AB84" s="4" t="n">
        <v>0.05</v>
      </c>
      <c r="AC84" s="4">
        <f>(AB84+2*參數!$B$7)/(AA84+AB84)</f>
        <v/>
      </c>
    </row>
    <row r="85">
      <c r="A85" s="2" t="n">
        <v>84</v>
      </c>
      <c r="B85" s="2" t="inlineStr">
        <is>
          <t>RAY_USDT_PERP</t>
        </is>
      </c>
      <c r="C85" s="2" t="inlineStr">
        <is>
          <t>做多</t>
        </is>
      </c>
      <c r="D85" s="7" t="n">
        <v>46272.25</v>
      </c>
      <c r="E85" s="20" t="n">
        <v>1.253</v>
      </c>
      <c r="F85" s="20" t="n">
        <v>1.29059</v>
      </c>
      <c r="G85" s="20" t="n">
        <v>1.19035</v>
      </c>
      <c r="H85" s="7" t="n">
        <v>46272.33333333334</v>
      </c>
      <c r="I85" s="20" t="n">
        <v>1.29059</v>
      </c>
      <c r="J85" s="2" t="inlineStr">
        <is>
          <t>止盈</t>
        </is>
      </c>
      <c r="K85" s="5">
        <f>(H85-D85)*24</f>
        <v/>
      </c>
      <c r="L85" s="4">
        <f>IF(C85="做多",I85/E85-1,1-I85/E85)-2*參數!$B$7</f>
        <v/>
      </c>
      <c r="M85" s="2" t="inlineStr"/>
      <c r="N85" s="4" t="n">
        <v>0.03212520593080725</v>
      </c>
      <c r="O85" s="4" t="n">
        <v>0.05628540361934683</v>
      </c>
      <c r="P85" s="4" t="n">
        <v>0.02759667035715752</v>
      </c>
      <c r="Q85" s="22" t="n">
        <v>733663.5000000001</v>
      </c>
      <c r="R85" s="22" t="n">
        <v>4216683.6979</v>
      </c>
      <c r="S85" s="4" t="n">
        <v>0.03</v>
      </c>
      <c r="T85" s="4" t="n">
        <v>0.01197126895450906</v>
      </c>
      <c r="U85" s="19" t="n">
        <v>0.8849819378003992</v>
      </c>
      <c r="V85" s="19" t="n">
        <v>0.8301886792452806</v>
      </c>
      <c r="W85" s="4" t="n">
        <v>0.3787260263421397</v>
      </c>
      <c r="X85" s="4" t="n">
        <v>0.4336384439359267</v>
      </c>
      <c r="Y85" s="4" t="n">
        <v>0.0003818600213840728</v>
      </c>
      <c r="Z85" s="4" t="n">
        <v>0.001060787894664905</v>
      </c>
      <c r="AA85" s="4" t="n">
        <v>0.03</v>
      </c>
      <c r="AB85" s="4" t="n">
        <v>0.05</v>
      </c>
      <c r="AC85" s="4">
        <f>(AB85+2*參數!$B$7)/(AA85+AB85)</f>
        <v/>
      </c>
    </row>
    <row r="86">
      <c r="A86" s="2" t="n">
        <v>85</v>
      </c>
      <c r="B86" s="2" t="inlineStr">
        <is>
          <t>BULLA_USDT_PERP</t>
        </is>
      </c>
      <c r="C86" s="2" t="inlineStr">
        <is>
          <t>做空</t>
        </is>
      </c>
      <c r="D86" s="7" t="n">
        <v>46272.375</v>
      </c>
      <c r="E86" s="20" t="n">
        <v>0.07263</v>
      </c>
      <c r="F86" s="20" t="n">
        <v>0.0704511</v>
      </c>
      <c r="G86" s="20" t="n">
        <v>0.07626150000000001</v>
      </c>
      <c r="H86" s="7" t="n">
        <v>46272.5</v>
      </c>
      <c r="I86" s="20" t="n">
        <v>0.07626150000000001</v>
      </c>
      <c r="J86" s="2" t="inlineStr">
        <is>
          <t>止損</t>
        </is>
      </c>
      <c r="K86" s="5">
        <f>(H86-D86)*24</f>
        <v/>
      </c>
      <c r="L86" s="4">
        <f>IF(C86="做多",I86/E86-1,1-I86/E86)-2*參數!$B$7</f>
        <v/>
      </c>
      <c r="M86" s="2" t="inlineStr"/>
      <c r="N86" s="4" t="n">
        <v>-0.04080824088748014</v>
      </c>
      <c r="O86" s="4" t="n">
        <v>0.07833729236103196</v>
      </c>
      <c r="P86" s="4" t="n">
        <v>-0.03200010662259578</v>
      </c>
      <c r="Q86" s="22" t="n">
        <v>-13997287</v>
      </c>
      <c r="R86" s="22" t="n">
        <v>5974493.69372</v>
      </c>
      <c r="S86" s="4" t="n">
        <v>0.003442103813851016</v>
      </c>
      <c r="T86" s="4" t="n">
        <v>0.05</v>
      </c>
      <c r="U86" s="19" t="n">
        <v>0.5448392640153334</v>
      </c>
      <c r="V86" s="19" t="n">
        <v>0.709359605911331</v>
      </c>
      <c r="W86" s="4" t="n">
        <v>-0.4216784927819919</v>
      </c>
      <c r="X86" s="4" t="n">
        <v>0.0756013745704468</v>
      </c>
      <c r="Y86" s="4" t="n">
        <v>0.002231600812442336</v>
      </c>
      <c r="Z86" s="4" t="n">
        <v>-0.003341114302099157</v>
      </c>
      <c r="AA86" s="4" t="n">
        <v>0.03</v>
      </c>
      <c r="AB86" s="4" t="n">
        <v>0.05</v>
      </c>
      <c r="AC86" s="4">
        <f>(AB86+2*參數!$B$7)/(AA86+AB86)</f>
        <v/>
      </c>
    </row>
    <row r="87">
      <c r="A87" s="2" t="n">
        <v>86</v>
      </c>
      <c r="B87" s="2" t="inlineStr">
        <is>
          <t>DASH_USDT_PERP</t>
        </is>
      </c>
      <c r="C87" s="2" t="inlineStr">
        <is>
          <t>做空</t>
        </is>
      </c>
      <c r="D87" s="7" t="n">
        <v>46272.58333333334</v>
      </c>
      <c r="E87" s="20" t="n">
        <v>67.29000000000001</v>
      </c>
      <c r="F87" s="20" t="n">
        <v>65.27130000000001</v>
      </c>
      <c r="G87" s="20" t="n">
        <v>70.65450000000001</v>
      </c>
      <c r="H87" s="7" t="n">
        <v>46273</v>
      </c>
      <c r="I87" s="20" t="n">
        <v>65.27130000000001</v>
      </c>
      <c r="J87" s="2" t="inlineStr">
        <is>
          <t>止盈</t>
        </is>
      </c>
      <c r="K87" s="5">
        <f>(H87-D87)*24</f>
        <v/>
      </c>
      <c r="L87" s="4">
        <f>IF(C87="做多",I87/E87-1,1-I87/E87)-2*參數!$B$7</f>
        <v/>
      </c>
      <c r="M87" s="2" t="inlineStr"/>
      <c r="N87" s="4" t="n">
        <v>-0.03816466552315589</v>
      </c>
      <c r="O87" s="4" t="n">
        <v>0.0357730991626535</v>
      </c>
      <c r="P87" s="4" t="n">
        <v>-0.02950848044305954</v>
      </c>
      <c r="Q87" s="22" t="n">
        <v>-5619.18</v>
      </c>
      <c r="R87" s="22" t="n">
        <v>2920882.1209</v>
      </c>
      <c r="S87" s="4" t="n">
        <v>0.03</v>
      </c>
      <c r="T87" s="4" t="n">
        <v>0.02660127805023027</v>
      </c>
      <c r="U87" s="19" t="n">
        <v>1.277949497183152</v>
      </c>
      <c r="V87" s="19" t="n">
        <v>0.9576470588235279</v>
      </c>
      <c r="W87" s="4" t="n">
        <v>-0.1280993813810796</v>
      </c>
      <c r="X87" s="4" t="n">
        <v>0.1319659442724457</v>
      </c>
      <c r="Y87" s="4" t="n">
        <v>-0.0004078513262697481</v>
      </c>
      <c r="Z87" s="4" t="n">
        <v>0.001445753190815746</v>
      </c>
      <c r="AA87" s="4" t="n">
        <v>0.03</v>
      </c>
      <c r="AB87" s="4" t="n">
        <v>0.05</v>
      </c>
      <c r="AC87" s="4">
        <f>(AB87+2*參數!$B$7)/(AA87+AB87)</f>
        <v/>
      </c>
    </row>
    <row r="88">
      <c r="A88" s="2" t="n">
        <v>87</v>
      </c>
      <c r="B88" s="2" t="inlineStr">
        <is>
          <t>UAI_USDT_PERP</t>
        </is>
      </c>
      <c r="C88" s="2" t="inlineStr">
        <is>
          <t>做多</t>
        </is>
      </c>
      <c r="D88" s="7" t="n">
        <v>46272.625</v>
      </c>
      <c r="E88" s="20" t="n">
        <v>0.6192</v>
      </c>
      <c r="F88" s="20" t="n">
        <v>0.637776</v>
      </c>
      <c r="G88" s="20" t="n">
        <v>0.58824</v>
      </c>
      <c r="H88" s="7" t="n">
        <v>46272.62569444445</v>
      </c>
      <c r="I88" s="20" t="n">
        <v>0.637776</v>
      </c>
      <c r="J88" s="2" t="inlineStr">
        <is>
          <t>止盈</t>
        </is>
      </c>
      <c r="K88" s="5">
        <f>(H88-D88)*24</f>
        <v/>
      </c>
      <c r="L88" s="4">
        <f>IF(C88="做多",I88/E88-1,1-I88/E88)-2*參數!$B$7</f>
        <v/>
      </c>
      <c r="M88" s="2" t="inlineStr">
        <is>
          <t>同1h觸發；1分K判定先止盈</t>
        </is>
      </c>
      <c r="N88" s="4" t="n">
        <v>0.07836990595611271</v>
      </c>
      <c r="O88" s="4" t="n">
        <v>0.07111582014243138</v>
      </c>
      <c r="P88" s="4" t="n">
        <v>0.04138110814924434</v>
      </c>
      <c r="Q88" s="22" t="n">
        <v>1377218</v>
      </c>
      <c r="R88" s="22" t="n">
        <v>3044404.6498</v>
      </c>
      <c r="S88" s="4" t="n">
        <v>0.03</v>
      </c>
      <c r="T88" s="4" t="n">
        <v>0</v>
      </c>
      <c r="U88" s="19" t="n">
        <v>2.280732115794299</v>
      </c>
      <c r="V88" s="19" t="n">
        <v>0.9980638915779286</v>
      </c>
      <c r="W88" s="4" t="n">
        <v>0.3060398013098364</v>
      </c>
      <c r="X88" s="4" t="n">
        <v>0.1160778658976207</v>
      </c>
      <c r="Y88" s="4" t="n">
        <v>-0.001269468529222828</v>
      </c>
      <c r="Z88" s="4" t="n">
        <v>-0.002496602518252233</v>
      </c>
      <c r="AA88" s="4" t="n">
        <v>0.03</v>
      </c>
      <c r="AB88" s="4" t="n">
        <v>0.05</v>
      </c>
      <c r="AC88" s="4">
        <f>(AB88+2*參數!$B$7)/(AA88+AB88)</f>
        <v/>
      </c>
    </row>
    <row r="89">
      <c r="A89" s="2" t="n">
        <v>88</v>
      </c>
      <c r="B89" s="2" t="inlineStr">
        <is>
          <t>UAI_USDT_PERP</t>
        </is>
      </c>
      <c r="C89" s="2" t="inlineStr">
        <is>
          <t>做多</t>
        </is>
      </c>
      <c r="D89" s="7" t="n">
        <v>46272.75</v>
      </c>
      <c r="E89" s="20" t="n">
        <v>0.6352</v>
      </c>
      <c r="F89" s="20" t="n">
        <v>0.6542559999999999</v>
      </c>
      <c r="G89" s="20" t="n">
        <v>0.60344</v>
      </c>
      <c r="H89" s="7" t="n">
        <v>46272.875</v>
      </c>
      <c r="I89" s="20" t="n">
        <v>0.6542559999999999</v>
      </c>
      <c r="J89" s="2" t="inlineStr">
        <is>
          <t>止盈</t>
        </is>
      </c>
      <c r="K89" s="5">
        <f>(H89-D89)*24</f>
        <v/>
      </c>
      <c r="L89" s="4">
        <f>IF(C89="做多",I89/E89-1,1-I89/E89)-2*參數!$B$7</f>
        <v/>
      </c>
      <c r="M89" s="2" t="inlineStr"/>
      <c r="N89" s="4" t="n">
        <v>0.05409890474610024</v>
      </c>
      <c r="O89" s="4" t="n">
        <v>0.07222554160034142</v>
      </c>
      <c r="P89" s="4" t="n">
        <v>0.0518384818552895</v>
      </c>
      <c r="Q89" s="22" t="n">
        <v>1167915</v>
      </c>
      <c r="R89" s="22" t="n">
        <v>2785005.0864</v>
      </c>
      <c r="S89" s="4" t="n">
        <v>0.03</v>
      </c>
      <c r="T89" s="4" t="n">
        <v>0.0110201511335013</v>
      </c>
      <c r="U89" s="19" t="n">
        <v>0.7191251894160159</v>
      </c>
      <c r="V89" s="19" t="n">
        <v>0.8596237337192469</v>
      </c>
      <c r="W89" s="4" t="n">
        <v>0.3211589259343997</v>
      </c>
      <c r="X89" s="4" t="n">
        <v>0.1879558631008043</v>
      </c>
      <c r="Y89" s="4" t="n">
        <v>-0.001467346810252512</v>
      </c>
      <c r="Z89" s="4" t="n">
        <v>-0.005789616813559495</v>
      </c>
      <c r="AA89" s="4" t="n">
        <v>0.03</v>
      </c>
      <c r="AB89" s="4" t="n">
        <v>0.05</v>
      </c>
      <c r="AC89" s="4">
        <f>(AB89+2*參數!$B$7)/(AA89+AB89)</f>
        <v/>
      </c>
    </row>
    <row r="90">
      <c r="A90" s="2" t="n">
        <v>89</v>
      </c>
      <c r="B90" s="2" t="inlineStr">
        <is>
          <t>USELESS_USDT_PERP</t>
        </is>
      </c>
      <c r="C90" s="2" t="inlineStr">
        <is>
          <t>做多</t>
        </is>
      </c>
      <c r="D90" s="7" t="n">
        <v>46272.75</v>
      </c>
      <c r="E90" s="20" t="n">
        <v>0.22899</v>
      </c>
      <c r="F90" s="20" t="n">
        <v>0.2358597</v>
      </c>
      <c r="G90" s="20" t="n">
        <v>0.2175405</v>
      </c>
      <c r="H90" s="7" t="n">
        <v>46272.79166666666</v>
      </c>
      <c r="I90" s="20" t="n">
        <v>0.2358597</v>
      </c>
      <c r="J90" s="2" t="inlineStr">
        <is>
          <t>止盈</t>
        </is>
      </c>
      <c r="K90" s="5">
        <f>(H90-D90)*24</f>
        <v/>
      </c>
      <c r="L90" s="4">
        <f>IF(C90="做多",I90/E90-1,1-I90/E90)-2*參數!$B$7</f>
        <v/>
      </c>
      <c r="M90" s="2" t="inlineStr"/>
      <c r="N90" s="4" t="n">
        <v>0.03634141926140488</v>
      </c>
      <c r="O90" s="4" t="n">
        <v>0.06400435885055057</v>
      </c>
      <c r="P90" s="4" t="n">
        <v>0.0425055826563201</v>
      </c>
      <c r="Q90" s="22" t="n">
        <v>2526131</v>
      </c>
      <c r="R90" s="22" t="n">
        <v>4051103.39009</v>
      </c>
      <c r="S90" s="4" t="n">
        <v>0.03</v>
      </c>
      <c r="T90" s="4" t="n">
        <v>0</v>
      </c>
      <c r="U90" s="19" t="n">
        <v>1.780923829286979</v>
      </c>
      <c r="V90" s="19" t="n">
        <v>0.5015495867768596</v>
      </c>
      <c r="W90" s="4" t="n">
        <v>0.007568534152564865</v>
      </c>
      <c r="X90" s="4" t="n">
        <v>0.06944703904352689</v>
      </c>
      <c r="Y90" s="4" t="n">
        <v>-0.001467346810252512</v>
      </c>
      <c r="Z90" s="4" t="n">
        <v>-0.005789616813559495</v>
      </c>
      <c r="AA90" s="4" t="n">
        <v>0.03</v>
      </c>
      <c r="AB90" s="4" t="n">
        <v>0.05</v>
      </c>
      <c r="AC90" s="4">
        <f>(AB90+2*參數!$B$7)/(AA90+AB90)</f>
        <v/>
      </c>
    </row>
    <row r="91">
      <c r="A91" s="2" t="n">
        <v>90</v>
      </c>
      <c r="B91" s="2" t="inlineStr">
        <is>
          <t>USELESS_USDT_PERP</t>
        </is>
      </c>
      <c r="C91" s="2" t="inlineStr">
        <is>
          <t>做多</t>
        </is>
      </c>
      <c r="D91" s="7" t="n">
        <v>46272.875</v>
      </c>
      <c r="E91" s="20" t="n">
        <v>0.2333</v>
      </c>
      <c r="F91" s="20" t="n">
        <v>0.240299</v>
      </c>
      <c r="G91" s="20" t="n">
        <v>0.221635</v>
      </c>
      <c r="H91" s="7" t="n">
        <v>46273</v>
      </c>
      <c r="I91" s="20" t="n">
        <v>0.221635</v>
      </c>
      <c r="J91" s="2" t="inlineStr">
        <is>
          <t>止損</t>
        </is>
      </c>
      <c r="K91" s="5">
        <f>(H91-D91)*24</f>
        <v/>
      </c>
      <c r="L91" s="4">
        <f>IF(C91="做多",I91/E91-1,1-I91/E91)-2*參數!$B$7</f>
        <v/>
      </c>
      <c r="M91" s="2" t="inlineStr"/>
      <c r="N91" s="4" t="n">
        <v>0.02956751985878214</v>
      </c>
      <c r="O91" s="4" t="n">
        <v>0.06560636653624369</v>
      </c>
      <c r="P91" s="4" t="n">
        <v>0.05437511439721421</v>
      </c>
      <c r="Q91" s="22" t="n">
        <v>1514607</v>
      </c>
      <c r="R91" s="22" t="n">
        <v>4220849.740920001</v>
      </c>
      <c r="S91" s="4" t="n">
        <v>0.006043720531504482</v>
      </c>
      <c r="T91" s="4" t="n">
        <v>0.05</v>
      </c>
      <c r="U91" s="19" t="n">
        <v>0.7086490846600303</v>
      </c>
      <c r="V91" s="19" t="n">
        <v>0.840823970037455</v>
      </c>
      <c r="W91" s="4" t="n">
        <v>0.01524565637611697</v>
      </c>
      <c r="X91" s="4" t="n">
        <v>0.04063517552076368</v>
      </c>
      <c r="Y91" s="4" t="n">
        <v>0.002401205389988004</v>
      </c>
      <c r="Z91" s="4" t="n">
        <v>-0.001812840879916289</v>
      </c>
      <c r="AA91" s="4" t="n">
        <v>0.03</v>
      </c>
      <c r="AB91" s="4" t="n">
        <v>0.05</v>
      </c>
      <c r="AC91" s="4">
        <f>(AB91+2*參數!$B$7)/(AA91+AB91)</f>
        <v/>
      </c>
    </row>
    <row r="92">
      <c r="A92" s="2" t="n">
        <v>91</v>
      </c>
      <c r="B92" s="2" t="inlineStr">
        <is>
          <t>RAY_USDT_PERP</t>
        </is>
      </c>
      <c r="C92" s="2" t="inlineStr">
        <is>
          <t>做空</t>
        </is>
      </c>
      <c r="D92" s="7" t="n">
        <v>46272.91666666666</v>
      </c>
      <c r="E92" s="20" t="n">
        <v>1.177</v>
      </c>
      <c r="F92" s="20" t="n">
        <v>1.14169</v>
      </c>
      <c r="G92" s="20" t="n">
        <v>1.23585</v>
      </c>
      <c r="H92" s="7" t="n">
        <v>46273.5</v>
      </c>
      <c r="I92" s="20" t="n">
        <v>1.23585</v>
      </c>
      <c r="J92" s="2" t="inlineStr">
        <is>
          <t>止損</t>
        </is>
      </c>
      <c r="K92" s="5">
        <f>(H92-D92)*24</f>
        <v/>
      </c>
      <c r="L92" s="4">
        <f>IF(C92="做多",I92/E92-1,1-I92/E92)-2*參數!$B$7</f>
        <v/>
      </c>
      <c r="M92" s="2" t="inlineStr"/>
      <c r="N92" s="4" t="n">
        <v>-0.02242524916943511</v>
      </c>
      <c r="O92" s="4" t="n">
        <v>0.04291291884126462</v>
      </c>
      <c r="P92" s="4" t="n">
        <v>-0.04067161137827047</v>
      </c>
      <c r="Q92" s="22" t="n">
        <v>-480078.0999999999</v>
      </c>
      <c r="R92" s="22" t="n">
        <v>3560306.627</v>
      </c>
      <c r="S92" s="4" t="n">
        <v>0.0263381478334751</v>
      </c>
      <c r="T92" s="4" t="n">
        <v>0.05</v>
      </c>
      <c r="U92" s="19" t="n">
        <v>0.4533770567023754</v>
      </c>
      <c r="V92" s="19" t="n">
        <v>0.8205128205128182</v>
      </c>
      <c r="W92" s="4" t="n">
        <v>-0.2073033131603241</v>
      </c>
      <c r="X92" s="4" t="n">
        <v>0.1408759124087592</v>
      </c>
      <c r="Y92" s="4" t="n">
        <v>0.003178437400241707</v>
      </c>
      <c r="Z92" s="4" t="n">
        <v>0.004739797389268552</v>
      </c>
      <c r="AA92" s="4" t="n">
        <v>0.03</v>
      </c>
      <c r="AB92" s="4" t="n">
        <v>0.05</v>
      </c>
      <c r="AC92" s="4">
        <f>(AB92+2*參數!$B$7)/(AA92+AB92)</f>
        <v/>
      </c>
    </row>
    <row r="93">
      <c r="A93" s="2" t="n">
        <v>92</v>
      </c>
      <c r="B93" s="2" t="inlineStr">
        <is>
          <t>BULLA_USDT_PERP</t>
        </is>
      </c>
      <c r="C93" s="2" t="inlineStr">
        <is>
          <t>做多</t>
        </is>
      </c>
      <c r="D93" s="7" t="n">
        <v>46272.95833333334</v>
      </c>
      <c r="E93" s="20" t="n">
        <v>0.08132</v>
      </c>
      <c r="F93" s="20" t="n">
        <v>0.0837596</v>
      </c>
      <c r="G93" s="20" t="n">
        <v>0.077254</v>
      </c>
      <c r="H93" s="7" t="n">
        <v>46273.08333333334</v>
      </c>
      <c r="I93" s="20" t="n">
        <v>0.077254</v>
      </c>
      <c r="J93" s="2" t="inlineStr">
        <is>
          <t>止損</t>
        </is>
      </c>
      <c r="K93" s="5">
        <f>(H93-D93)*24</f>
        <v/>
      </c>
      <c r="L93" s="4">
        <f>IF(C93="做多",I93/E93-1,1-I93/E93)-2*參數!$B$7</f>
        <v/>
      </c>
      <c r="M93" s="2" t="inlineStr"/>
      <c r="N93" s="4" t="n">
        <v>0.02327922486472889</v>
      </c>
      <c r="O93" s="4" t="n">
        <v>0.06663493659296481</v>
      </c>
      <c r="P93" s="4" t="n">
        <v>0.05580909226644515</v>
      </c>
      <c r="Q93" s="22" t="n">
        <v>10386393</v>
      </c>
      <c r="R93" s="22" t="n">
        <v>5000476.82497</v>
      </c>
      <c r="S93" s="4" t="n">
        <v>0.008853910477127469</v>
      </c>
      <c r="T93" s="4" t="n">
        <v>0.05</v>
      </c>
      <c r="U93" s="19" t="n">
        <v>1.276691685867297</v>
      </c>
      <c r="V93" s="19" t="n">
        <v>0.8679950186799512</v>
      </c>
      <c r="W93" s="4" t="n">
        <v>0.3878743608473341</v>
      </c>
      <c r="X93" s="4" t="n">
        <v>-0.009259259259259189</v>
      </c>
      <c r="Y93" s="4" t="n">
        <v>-0.002038719275794465</v>
      </c>
      <c r="Z93" s="4" t="n">
        <v>-0.006295519769092039</v>
      </c>
      <c r="AA93" s="4" t="n">
        <v>0.03</v>
      </c>
      <c r="AB93" s="4" t="n">
        <v>0.05</v>
      </c>
      <c r="AC93" s="4">
        <f>(AB93+2*參數!$B$7)/(AA93+AB93)</f>
        <v/>
      </c>
    </row>
    <row r="94">
      <c r="A94" s="2" t="n">
        <v>93</v>
      </c>
      <c r="B94" s="2" t="inlineStr">
        <is>
          <t>MARSCOIN_USDT_PERP</t>
        </is>
      </c>
      <c r="C94" s="2" t="inlineStr">
        <is>
          <t>做空</t>
        </is>
      </c>
      <c r="D94" s="7" t="n">
        <v>46272.95833333334</v>
      </c>
      <c r="E94" s="20" t="n">
        <v>0.16448</v>
      </c>
      <c r="F94" s="20" t="n">
        <v>0.1595456</v>
      </c>
      <c r="G94" s="20" t="n">
        <v>0.172704</v>
      </c>
      <c r="H94" s="7" t="n">
        <v>46273</v>
      </c>
      <c r="I94" s="20" t="n">
        <v>0.1595456</v>
      </c>
      <c r="J94" s="2" t="inlineStr">
        <is>
          <t>止盈</t>
        </is>
      </c>
      <c r="K94" s="5">
        <f>(H94-D94)*24</f>
        <v/>
      </c>
      <c r="L94" s="4">
        <f>IF(C94="做多",I94/E94-1,1-I94/E94)-2*參數!$B$7</f>
        <v/>
      </c>
      <c r="M94" s="2" t="inlineStr"/>
      <c r="N94" s="4" t="n">
        <v>-0.03394807940796429</v>
      </c>
      <c r="O94" s="4" t="n">
        <v>0.06207550304479185</v>
      </c>
      <c r="P94" s="4" t="n">
        <v>-0.04061967756235274</v>
      </c>
      <c r="Q94" s="22" t="n">
        <v>-2662116</v>
      </c>
      <c r="R94" s="22" t="n">
        <v>3986280.0175</v>
      </c>
      <c r="S94" s="4" t="n">
        <v>0.03</v>
      </c>
      <c r="T94" s="4" t="n">
        <v>0</v>
      </c>
      <c r="U94" s="19" t="n">
        <v>0.8094372541640309</v>
      </c>
      <c r="V94" s="19" t="n">
        <v>0.7983761840324777</v>
      </c>
      <c r="W94" s="4" t="n">
        <v>0.08069053286749306</v>
      </c>
      <c r="X94" s="4" t="n">
        <v>0.1157940006450919</v>
      </c>
      <c r="Y94" s="4" t="n">
        <v>0.002038719275794465</v>
      </c>
      <c r="Z94" s="4" t="n">
        <v>0.006295519769092039</v>
      </c>
      <c r="AA94" s="4" t="n">
        <v>0.03</v>
      </c>
      <c r="AB94" s="4" t="n">
        <v>0.05</v>
      </c>
      <c r="AC94" s="4">
        <f>(AB94+2*參數!$B$7)/(AA94+AB94)</f>
        <v/>
      </c>
    </row>
    <row r="95">
      <c r="A95" s="2" t="n">
        <v>94</v>
      </c>
      <c r="B95" s="2" t="inlineStr">
        <is>
          <t>PONS_USDT_PERP</t>
        </is>
      </c>
      <c r="C95" s="2" t="inlineStr">
        <is>
          <t>做空</t>
        </is>
      </c>
      <c r="D95" s="7" t="n">
        <v>46272.95833333334</v>
      </c>
      <c r="E95" s="20" t="n">
        <v>0.7688</v>
      </c>
      <c r="F95" s="20" t="n">
        <v>0.7457360000000001</v>
      </c>
      <c r="G95" s="20" t="n">
        <v>0.8072400000000001</v>
      </c>
      <c r="H95" s="7" t="n">
        <v>46273</v>
      </c>
      <c r="I95" s="20" t="n">
        <v>0.7457360000000001</v>
      </c>
      <c r="J95" s="2" t="inlineStr">
        <is>
          <t>止盈</t>
        </is>
      </c>
      <c r="K95" s="5">
        <f>(H95-D95)*24</f>
        <v/>
      </c>
      <c r="L95" s="4">
        <f>IF(C95="做多",I95/E95-1,1-I95/E95)-2*參數!$B$7</f>
        <v/>
      </c>
      <c r="M95" s="2" t="inlineStr"/>
      <c r="N95" s="4" t="n">
        <v>-0.02769697736183119</v>
      </c>
      <c r="O95" s="4" t="n">
        <v>0.05355520580642072</v>
      </c>
      <c r="P95" s="4" t="n">
        <v>-0.03812228658651018</v>
      </c>
      <c r="Q95" s="22" t="n">
        <v>-664130</v>
      </c>
      <c r="R95" s="22" t="n">
        <v>9320456.253099998</v>
      </c>
      <c r="S95" s="4" t="n">
        <v>0.03</v>
      </c>
      <c r="T95" s="4" t="n">
        <v>0</v>
      </c>
      <c r="U95" s="19" t="n">
        <v>1.120041307199291</v>
      </c>
      <c r="V95" s="19" t="n">
        <v>0.969465648854961</v>
      </c>
      <c r="W95" s="4" t="n">
        <v>0.00412314778952394</v>
      </c>
      <c r="X95" s="4" t="n">
        <v>0.08027275989950944</v>
      </c>
      <c r="Y95" s="4" t="n">
        <v>0.002038719275794465</v>
      </c>
      <c r="Z95" s="4" t="n">
        <v>0.006295519769092039</v>
      </c>
      <c r="AA95" s="4" t="n">
        <v>0.03</v>
      </c>
      <c r="AB95" s="4" t="n">
        <v>0.05</v>
      </c>
      <c r="AC95" s="4">
        <f>(AB95+2*參數!$B$7)/(AA95+AB95)</f>
        <v/>
      </c>
    </row>
    <row r="96">
      <c r="A96" s="2" t="n">
        <v>95</v>
      </c>
      <c r="B96" s="2" t="inlineStr">
        <is>
          <t>NEAR_USDT_PERP</t>
        </is>
      </c>
      <c r="C96" s="2" t="inlineStr">
        <is>
          <t>做空</t>
        </is>
      </c>
      <c r="D96" s="7" t="n">
        <v>46273</v>
      </c>
      <c r="E96" s="20" t="n">
        <v>2.293</v>
      </c>
      <c r="F96" s="20" t="n">
        <v>2.22421</v>
      </c>
      <c r="G96" s="20" t="n">
        <v>2.40765</v>
      </c>
      <c r="H96" s="7" t="n">
        <v>46274</v>
      </c>
      <c r="I96" s="20" t="n">
        <v>2.40765</v>
      </c>
      <c r="J96" s="2" t="inlineStr">
        <is>
          <t>止損</t>
        </is>
      </c>
      <c r="K96" s="5">
        <f>(H96-D96)*24</f>
        <v/>
      </c>
      <c r="L96" s="4">
        <f>IF(C96="做多",I96/E96-1,1-I96/E96)-2*參數!$B$7</f>
        <v/>
      </c>
      <c r="M96" s="2" t="inlineStr"/>
      <c r="N96" s="4" t="n">
        <v>-0.02715316079762409</v>
      </c>
      <c r="O96" s="4" t="n">
        <v>0.02364262383525322</v>
      </c>
      <c r="P96" s="4" t="n">
        <v>-0.03835265994254444</v>
      </c>
      <c r="Q96" s="22" t="n">
        <v>-145860</v>
      </c>
      <c r="R96" s="22" t="n">
        <v>3276794.468</v>
      </c>
      <c r="S96" s="4" t="n">
        <v>0.02224160488443094</v>
      </c>
      <c r="T96" s="4" t="n">
        <v>0.05</v>
      </c>
      <c r="U96" s="19" t="n">
        <v>0.8607491759473834</v>
      </c>
      <c r="V96" s="19" t="n">
        <v>0.9012345679012345</v>
      </c>
      <c r="W96" s="4" t="n">
        <v>-0.0468025272999526</v>
      </c>
      <c r="X96" s="4" t="n">
        <v>0.03857442348008366</v>
      </c>
      <c r="Y96" s="4" t="n">
        <v>0.004843795797495609</v>
      </c>
      <c r="Z96" s="4" t="n">
        <v>0.01046575170377817</v>
      </c>
      <c r="AA96" s="4" t="n">
        <v>0.03</v>
      </c>
      <c r="AB96" s="4" t="n">
        <v>0.05</v>
      </c>
      <c r="AC96" s="4">
        <f>(AB96+2*參數!$B$7)/(AA96+AB96)</f>
        <v/>
      </c>
    </row>
    <row r="97">
      <c r="A97" s="2" t="n">
        <v>96</v>
      </c>
      <c r="B97" s="2" t="inlineStr">
        <is>
          <t>TAO_USDT_PERP</t>
        </is>
      </c>
      <c r="C97" s="2" t="inlineStr">
        <is>
          <t>做空</t>
        </is>
      </c>
      <c r="D97" s="7" t="n">
        <v>46273</v>
      </c>
      <c r="E97" s="20" t="n">
        <v>256.91</v>
      </c>
      <c r="F97" s="20" t="n">
        <v>249.2027</v>
      </c>
      <c r="G97" s="20" t="n">
        <v>269.7555</v>
      </c>
      <c r="H97" s="7" t="n">
        <v>46275.875</v>
      </c>
      <c r="I97" s="20" t="n">
        <v>249.2027</v>
      </c>
      <c r="J97" s="2" t="inlineStr">
        <is>
          <t>止盈</t>
        </is>
      </c>
      <c r="K97" s="5">
        <f>(H97-D97)*24</f>
        <v/>
      </c>
      <c r="L97" s="4">
        <f>IF(C97="做多",I97/E97-1,1-I97/E97)-2*參數!$B$7</f>
        <v/>
      </c>
      <c r="M97" s="2" t="inlineStr"/>
      <c r="N97" s="4" t="n">
        <v>-0.0266348412517996</v>
      </c>
      <c r="O97" s="4" t="n">
        <v>0.02037035175529302</v>
      </c>
      <c r="P97" s="4" t="n">
        <v>-0.03438166561739464</v>
      </c>
      <c r="Q97" s="22" t="n">
        <v>-8043.290000000001</v>
      </c>
      <c r="R97" s="22" t="n">
        <v>6242053.50556</v>
      </c>
      <c r="S97" s="4" t="n">
        <v>0.03</v>
      </c>
      <c r="T97" s="4" t="n">
        <v>0.04978397104044197</v>
      </c>
      <c r="U97" s="19" t="n">
        <v>2.605393596492347</v>
      </c>
      <c r="V97" s="19" t="n">
        <v>0.7377220480668742</v>
      </c>
      <c r="W97" s="4" t="n">
        <v>-0.07309412076746868</v>
      </c>
      <c r="X97" s="4" t="n">
        <v>-0.03305319876151036</v>
      </c>
      <c r="Y97" s="4" t="n">
        <v>0.004843795797495609</v>
      </c>
      <c r="Z97" s="4" t="n">
        <v>0.01046575170377817</v>
      </c>
      <c r="AA97" s="4" t="n">
        <v>0.03</v>
      </c>
      <c r="AB97" s="4" t="n">
        <v>0.05</v>
      </c>
      <c r="AC97" s="4">
        <f>(AB97+2*參數!$B$7)/(AA97+AB97)</f>
        <v/>
      </c>
    </row>
    <row r="98">
      <c r="A98" s="2" t="n">
        <v>97</v>
      </c>
      <c r="B98" s="2" t="inlineStr">
        <is>
          <t>UNI_USDT_PERP</t>
        </is>
      </c>
      <c r="C98" s="2" t="inlineStr">
        <is>
          <t>做空</t>
        </is>
      </c>
      <c r="D98" s="7" t="n">
        <v>46273</v>
      </c>
      <c r="E98" s="20" t="n">
        <v>6.779</v>
      </c>
      <c r="F98" s="20" t="n">
        <v>6.575629999999999</v>
      </c>
      <c r="G98" s="20" t="n">
        <v>7.11795</v>
      </c>
      <c r="H98" s="7" t="n">
        <v>46273.41666666666</v>
      </c>
      <c r="I98" s="20" t="n">
        <v>7.11795</v>
      </c>
      <c r="J98" s="2" t="inlineStr">
        <is>
          <t>止損</t>
        </is>
      </c>
      <c r="K98" s="5">
        <f>(H98-D98)*24</f>
        <v/>
      </c>
      <c r="L98" s="4">
        <f>IF(C98="做多",I98/E98-1,1-I98/E98)-2*參數!$B$7</f>
        <v/>
      </c>
      <c r="M98" s="2" t="inlineStr"/>
      <c r="N98" s="4" t="n">
        <v>-0.0310177244139509</v>
      </c>
      <c r="O98" s="4" t="n">
        <v>0.02024959421573181</v>
      </c>
      <c r="P98" s="4" t="n">
        <v>-0.04070528468227519</v>
      </c>
      <c r="Q98" s="22" t="n">
        <v>-235299</v>
      </c>
      <c r="R98" s="22" t="n">
        <v>5465559.277</v>
      </c>
      <c r="S98" s="4" t="n">
        <v>0.009440920489747762</v>
      </c>
      <c r="T98" s="4" t="n">
        <v>0.05</v>
      </c>
      <c r="U98" s="19" t="n">
        <v>2.956580761631296</v>
      </c>
      <c r="V98" s="19" t="n">
        <v>0.9667774086378744</v>
      </c>
      <c r="W98" s="4" t="n">
        <v>-0.02035133560813929</v>
      </c>
      <c r="X98" s="4" t="n">
        <v>0.02754267680390188</v>
      </c>
      <c r="Y98" s="4" t="n">
        <v>0.004843795797495609</v>
      </c>
      <c r="Z98" s="4" t="n">
        <v>0.01046575170377817</v>
      </c>
      <c r="AA98" s="4" t="n">
        <v>0.03</v>
      </c>
      <c r="AB98" s="4" t="n">
        <v>0.05</v>
      </c>
      <c r="AC98" s="4">
        <f>(AB98+2*參數!$B$7)/(AA98+AB98)</f>
        <v/>
      </c>
    </row>
    <row r="99">
      <c r="A99" s="2" t="n">
        <v>98</v>
      </c>
      <c r="B99" s="2" t="inlineStr">
        <is>
          <t>ZEC_USDT_PERP</t>
        </is>
      </c>
      <c r="C99" s="2" t="inlineStr">
        <is>
          <t>做空</t>
        </is>
      </c>
      <c r="D99" s="7" t="n">
        <v>46273</v>
      </c>
      <c r="E99" s="20" t="n">
        <v>1146.22</v>
      </c>
      <c r="F99" s="20" t="n">
        <v>1111.8334</v>
      </c>
      <c r="G99" s="20" t="n">
        <v>1203.531</v>
      </c>
      <c r="H99" s="7" t="n">
        <v>46273.29166666666</v>
      </c>
      <c r="I99" s="20" t="n">
        <v>1111.8334</v>
      </c>
      <c r="J99" s="2" t="inlineStr">
        <is>
          <t>止盈</t>
        </is>
      </c>
      <c r="K99" s="5">
        <f>(H99-D99)*24</f>
        <v/>
      </c>
      <c r="L99" s="4">
        <f>IF(C99="做多",I99/E99-1,1-I99/E99)-2*參數!$B$7</f>
        <v/>
      </c>
      <c r="M99" s="2" t="inlineStr"/>
      <c r="N99" s="4" t="n">
        <v>-0.02344641913882117</v>
      </c>
      <c r="O99" s="4" t="n">
        <v>0.02102705412911168</v>
      </c>
      <c r="P99" s="4" t="n">
        <v>-0.04240792359781675</v>
      </c>
      <c r="Q99" s="22" t="n">
        <v>-451.9539999999979</v>
      </c>
      <c r="R99" s="22" t="n">
        <v>30735386.01163</v>
      </c>
      <c r="S99" s="4" t="n">
        <v>0.03</v>
      </c>
      <c r="T99" s="4" t="n">
        <v>0.02275304915286758</v>
      </c>
      <c r="U99" s="19" t="n">
        <v>1.298387849389584</v>
      </c>
      <c r="V99" s="19" t="n">
        <v>0.8662259993704752</v>
      </c>
      <c r="W99" s="4" t="n">
        <v>-0.07778800612697978</v>
      </c>
      <c r="X99" s="4" t="n">
        <v>0.01826061633862641</v>
      </c>
      <c r="Y99" s="4" t="n">
        <v>0.004843795797495609</v>
      </c>
      <c r="Z99" s="4" t="n">
        <v>0.01046575170377817</v>
      </c>
      <c r="AA99" s="4" t="n">
        <v>0.03</v>
      </c>
      <c r="AB99" s="4" t="n">
        <v>0.05</v>
      </c>
      <c r="AC99" s="4">
        <f>(AB99+2*參數!$B$7)/(AA99+AB99)</f>
        <v/>
      </c>
    </row>
    <row r="100">
      <c r="A100" s="2" t="n">
        <v>99</v>
      </c>
      <c r="B100" s="2" t="inlineStr">
        <is>
          <t>PUMP_USDT_PERP</t>
        </is>
      </c>
      <c r="C100" s="2" t="inlineStr">
        <is>
          <t>做多</t>
        </is>
      </c>
      <c r="D100" s="7" t="n">
        <v>46273.08333333334</v>
      </c>
      <c r="E100" s="20" t="n">
        <v>0.004388</v>
      </c>
      <c r="F100" s="20" t="n">
        <v>0.00451964</v>
      </c>
      <c r="G100" s="20" t="n">
        <v>0.004168600000000001</v>
      </c>
      <c r="H100" s="7" t="n">
        <v>46273.41666666666</v>
      </c>
      <c r="I100" s="20" t="n">
        <v>0.00451964</v>
      </c>
      <c r="J100" s="2" t="inlineStr">
        <is>
          <t>止盈</t>
        </is>
      </c>
      <c r="K100" s="5">
        <f>(H100-D100)*24</f>
        <v/>
      </c>
      <c r="L100" s="4">
        <f>IF(C100="做多",I100/E100-1,1-I100/E100)-2*參數!$B$7</f>
        <v/>
      </c>
      <c r="M100" s="2" t="inlineStr"/>
      <c r="N100" s="4" t="n">
        <v>0.0319849482596426</v>
      </c>
      <c r="O100" s="4" t="n">
        <v>0.0304797887415378</v>
      </c>
      <c r="P100" s="4" t="n">
        <v>0.05340231181956767</v>
      </c>
      <c r="Q100" s="22" t="n">
        <v>97252765</v>
      </c>
      <c r="R100" s="22" t="n">
        <v>7545747.542938001</v>
      </c>
      <c r="S100" s="4" t="n">
        <v>0.03</v>
      </c>
      <c r="T100" s="4" t="n">
        <v>0.02552415679124886</v>
      </c>
      <c r="U100" s="19" t="n">
        <v>1.4451701676271</v>
      </c>
      <c r="V100" s="19" t="n">
        <v>0.8554216867469899</v>
      </c>
      <c r="W100" s="4" t="n">
        <v>0.05636176297822781</v>
      </c>
      <c r="X100" s="4" t="n">
        <v>0.1471895424836602</v>
      </c>
      <c r="Y100" s="4" t="n">
        <v>0.002076227949572962</v>
      </c>
      <c r="Z100" s="4" t="n">
        <v>-0.004621363982384663</v>
      </c>
      <c r="AA100" s="4" t="n">
        <v>0.03</v>
      </c>
      <c r="AB100" s="4" t="n">
        <v>0.05</v>
      </c>
      <c r="AC100" s="4">
        <f>(AB100+2*參數!$B$7)/(AA100+AB100)</f>
        <v/>
      </c>
    </row>
    <row r="101">
      <c r="A101" s="2" t="n">
        <v>100</v>
      </c>
      <c r="B101" s="2" t="inlineStr">
        <is>
          <t>DASH_USDT_PERP</t>
        </is>
      </c>
      <c r="C101" s="2" t="inlineStr">
        <is>
          <t>做空</t>
        </is>
      </c>
      <c r="D101" s="7" t="n">
        <v>46273.125</v>
      </c>
      <c r="E101" s="20" t="n">
        <v>63.95</v>
      </c>
      <c r="F101" s="20" t="n">
        <v>62.0315</v>
      </c>
      <c r="G101" s="20" t="n">
        <v>67.14750000000001</v>
      </c>
      <c r="H101" s="7" t="n">
        <v>46273.70833333334</v>
      </c>
      <c r="I101" s="20" t="n">
        <v>62.0315</v>
      </c>
      <c r="J101" s="2" t="inlineStr">
        <is>
          <t>止盈</t>
        </is>
      </c>
      <c r="K101" s="5">
        <f>(H101-D101)*24</f>
        <v/>
      </c>
      <c r="L101" s="4">
        <f>IF(C101="做多",I101/E101-1,1-I101/E101)-2*參數!$B$7</f>
        <v/>
      </c>
      <c r="M101" s="2" t="inlineStr"/>
      <c r="N101" s="4" t="n">
        <v>-0.0232167404918282</v>
      </c>
      <c r="O101" s="4" t="n">
        <v>0.02674718726022451</v>
      </c>
      <c r="P101" s="4" t="n">
        <v>-0.05813217078810551</v>
      </c>
      <c r="Q101" s="22" t="n">
        <v>-7722.464000000007</v>
      </c>
      <c r="R101" s="22" t="n">
        <v>1804728.26135</v>
      </c>
      <c r="S101" s="4" t="n">
        <v>0.03</v>
      </c>
      <c r="T101" s="4" t="n">
        <v>0.0164190774042221</v>
      </c>
      <c r="U101" s="19" t="n">
        <v>1.249455549729876</v>
      </c>
      <c r="V101" s="19" t="n">
        <v>0.8914285714285691</v>
      </c>
      <c r="W101" s="4" t="n">
        <v>-0.01864948900272712</v>
      </c>
      <c r="X101" s="4" t="n">
        <v>0.09853397237101769</v>
      </c>
      <c r="Y101" s="4" t="n">
        <v>-6.56952196622651e-05</v>
      </c>
      <c r="Z101" s="4" t="n">
        <v>0.004025677115040649</v>
      </c>
      <c r="AA101" s="4" t="n">
        <v>0.03</v>
      </c>
      <c r="AB101" s="4" t="n">
        <v>0.05</v>
      </c>
      <c r="AC101" s="4">
        <f>(AB101+2*參數!$B$7)/(AA101+AB101)</f>
        <v/>
      </c>
    </row>
    <row r="102">
      <c r="A102" s="2" t="n">
        <v>101</v>
      </c>
      <c r="B102" s="2" t="inlineStr">
        <is>
          <t>USELESS_USDT_PERP</t>
        </is>
      </c>
      <c r="C102" s="2" t="inlineStr">
        <is>
          <t>做多</t>
        </is>
      </c>
      <c r="D102" s="7" t="n">
        <v>46273.25</v>
      </c>
      <c r="E102" s="20" t="n">
        <v>0.23052</v>
      </c>
      <c r="F102" s="20" t="n">
        <v>0.2374356</v>
      </c>
      <c r="G102" s="20" t="n">
        <v>0.218994</v>
      </c>
      <c r="H102" s="7" t="n">
        <v>46273.45833333334</v>
      </c>
      <c r="I102" s="20" t="n">
        <v>0.2374356</v>
      </c>
      <c r="J102" s="2" t="inlineStr">
        <is>
          <t>止盈</t>
        </is>
      </c>
      <c r="K102" s="5">
        <f>(H102-D102)*24</f>
        <v/>
      </c>
      <c r="L102" s="4">
        <f>IF(C102="做多",I102/E102-1,1-I102/E102)-2*參數!$B$7</f>
        <v/>
      </c>
      <c r="M102" s="2" t="inlineStr"/>
      <c r="N102" s="4" t="n">
        <v>0.02526240882405251</v>
      </c>
      <c r="O102" s="4" t="n">
        <v>0.05476218273081444</v>
      </c>
      <c r="P102" s="4" t="n">
        <v>0.02698669042713164</v>
      </c>
      <c r="Q102" s="22" t="n">
        <v>417106</v>
      </c>
      <c r="R102" s="22" t="n">
        <v>4258716.81757</v>
      </c>
      <c r="S102" s="4" t="n">
        <v>0.03</v>
      </c>
      <c r="T102" s="4" t="n">
        <v>0.02147319104633005</v>
      </c>
      <c r="U102" s="19" t="n">
        <v>0.983558103105627</v>
      </c>
      <c r="V102" s="19" t="n">
        <v>0.9801136363636361</v>
      </c>
      <c r="W102" s="4" t="n">
        <v>-0.01931171440070045</v>
      </c>
      <c r="X102" s="4" t="n">
        <v>0.01380948192453157</v>
      </c>
      <c r="Y102" s="4" t="n">
        <v>-0.0009797126260463473</v>
      </c>
      <c r="Z102" s="4" t="n">
        <v>-0.002738680501831237</v>
      </c>
      <c r="AA102" s="4" t="n">
        <v>0.03</v>
      </c>
      <c r="AB102" s="4" t="n">
        <v>0.05</v>
      </c>
      <c r="AC102" s="4">
        <f>(AB102+2*參數!$B$7)/(AA102+AB102)</f>
        <v/>
      </c>
    </row>
    <row r="103">
      <c r="A103" s="2" t="n">
        <v>102</v>
      </c>
      <c r="B103" s="2" t="inlineStr">
        <is>
          <t>MARSCOIN_USDT_PERP</t>
        </is>
      </c>
      <c r="C103" s="2" t="inlineStr">
        <is>
          <t>做空</t>
        </is>
      </c>
      <c r="D103" s="7" t="n">
        <v>46273.375</v>
      </c>
      <c r="E103" s="20" t="n">
        <v>0.15102</v>
      </c>
      <c r="F103" s="20" t="n">
        <v>0.1464894</v>
      </c>
      <c r="G103" s="20" t="n">
        <v>0.158571</v>
      </c>
      <c r="H103" s="7" t="n">
        <v>46273.5</v>
      </c>
      <c r="I103" s="20" t="n">
        <v>0.1464894</v>
      </c>
      <c r="J103" s="2" t="inlineStr">
        <is>
          <t>止盈</t>
        </is>
      </c>
      <c r="K103" s="5">
        <f>(H103-D103)*24</f>
        <v/>
      </c>
      <c r="L103" s="4">
        <f>IF(C103="做多",I103/E103-1,1-I103/E103)-2*參數!$B$7</f>
        <v/>
      </c>
      <c r="M103" s="2" t="inlineStr"/>
      <c r="N103" s="4" t="n">
        <v>-0.03501597444089466</v>
      </c>
      <c r="O103" s="4" t="n">
        <v>0.05670106848794589</v>
      </c>
      <c r="P103" s="4" t="n">
        <v>-0.05587126540257692</v>
      </c>
      <c r="Q103" s="22" t="n">
        <v>-470663</v>
      </c>
      <c r="R103" s="22" t="n">
        <v>2644066.64596</v>
      </c>
      <c r="S103" s="4" t="n">
        <v>0.03</v>
      </c>
      <c r="T103" s="4" t="n">
        <v>0.04045821745464173</v>
      </c>
      <c r="U103" s="19" t="n">
        <v>0.5722550930861432</v>
      </c>
      <c r="V103" s="19" t="n">
        <v>0.8694550063371385</v>
      </c>
      <c r="W103" s="4" t="n">
        <v>0.1763752439188003</v>
      </c>
      <c r="X103" s="4" t="n">
        <v>0.1018733273862623</v>
      </c>
      <c r="Y103" s="4" t="n">
        <v>-0.002667054479235098</v>
      </c>
      <c r="Z103" s="4" t="n">
        <v>-0.000388234954192157</v>
      </c>
      <c r="AA103" s="4" t="n">
        <v>0.03</v>
      </c>
      <c r="AB103" s="4" t="n">
        <v>0.05</v>
      </c>
      <c r="AC103" s="4">
        <f>(AB103+2*參數!$B$7)/(AA103+AB103)</f>
        <v/>
      </c>
    </row>
    <row r="104">
      <c r="A104" s="2" t="n">
        <v>103</v>
      </c>
      <c r="B104" s="2" t="inlineStr">
        <is>
          <t>BULLA_USDT_PERP</t>
        </is>
      </c>
      <c r="C104" s="2" t="inlineStr">
        <is>
          <t>做多</t>
        </is>
      </c>
      <c r="D104" s="7" t="n">
        <v>46273.41666666666</v>
      </c>
      <c r="E104" s="20" t="n">
        <v>0.08141</v>
      </c>
      <c r="F104" s="20" t="n">
        <v>0.0838523</v>
      </c>
      <c r="G104" s="20" t="n">
        <v>0.07733949999999999</v>
      </c>
      <c r="H104" s="7" t="n">
        <v>46273.58333333334</v>
      </c>
      <c r="I104" s="20" t="n">
        <v>0.07733949999999999</v>
      </c>
      <c r="J104" s="2" t="inlineStr">
        <is>
          <t>止損</t>
        </is>
      </c>
      <c r="K104" s="5">
        <f>(H104-D104)*24</f>
        <v/>
      </c>
      <c r="L104" s="4">
        <f>IF(C104="做多",I104/E104-1,1-I104/E104)-2*參數!$B$7</f>
        <v/>
      </c>
      <c r="M104" s="2" t="inlineStr"/>
      <c r="N104" s="4" t="n">
        <v>0.05235263702171666</v>
      </c>
      <c r="O104" s="4" t="n">
        <v>0.05084976910345262</v>
      </c>
      <c r="P104" s="4" t="n">
        <v>0.04043657183753813</v>
      </c>
      <c r="Q104" s="22" t="n">
        <v>2515952</v>
      </c>
      <c r="R104" s="22" t="n">
        <v>4265232.30074</v>
      </c>
      <c r="S104" s="4" t="n">
        <v>0.01928510011055162</v>
      </c>
      <c r="T104" s="4" t="n">
        <v>0.05</v>
      </c>
      <c r="U104" s="19" t="n">
        <v>0.9544996519540856</v>
      </c>
      <c r="V104" s="19" t="n">
        <v>0.8886462882096047</v>
      </c>
      <c r="W104" s="4" t="n">
        <v>0.28178281330938</v>
      </c>
      <c r="X104" s="4" t="n">
        <v>0.1233613909203808</v>
      </c>
      <c r="Y104" s="4" t="n">
        <v>0.001539976969713752</v>
      </c>
      <c r="Z104" s="4" t="n">
        <v>0.002124414410480613</v>
      </c>
      <c r="AA104" s="4" t="n">
        <v>0.03</v>
      </c>
      <c r="AB104" s="4" t="n">
        <v>0.05</v>
      </c>
      <c r="AC104" s="4">
        <f>(AB104+2*參數!$B$7)/(AA104+AB104)</f>
        <v/>
      </c>
    </row>
    <row r="105">
      <c r="A105" s="2" t="n">
        <v>104</v>
      </c>
      <c r="B105" s="2" t="inlineStr">
        <is>
          <t>IOST_USDT_PERP</t>
        </is>
      </c>
      <c r="C105" s="2" t="inlineStr">
        <is>
          <t>做多</t>
        </is>
      </c>
      <c r="D105" s="7" t="n">
        <v>46273.41666666666</v>
      </c>
      <c r="E105" s="20" t="n">
        <v>0.000941</v>
      </c>
      <c r="F105" s="20" t="n">
        <v>0.0009692300000000001</v>
      </c>
      <c r="G105" s="20" t="n">
        <v>0.0008939499999999999</v>
      </c>
      <c r="H105" s="7" t="n">
        <v>46273.5</v>
      </c>
      <c r="I105" s="20" t="n">
        <v>0.0009692300000000001</v>
      </c>
      <c r="J105" s="2" t="inlineStr">
        <is>
          <t>止盈</t>
        </is>
      </c>
      <c r="K105" s="5">
        <f>(H105-D105)*24</f>
        <v/>
      </c>
      <c r="L105" s="4">
        <f>IF(C105="做多",I105/E105-1,1-I105/E105)-2*參數!$B$7</f>
        <v/>
      </c>
      <c r="M105" s="2" t="inlineStr"/>
      <c r="N105" s="4" t="n">
        <v>0.02617230098146139</v>
      </c>
      <c r="O105" s="4" t="n">
        <v>0.04966185075469765</v>
      </c>
      <c r="P105" s="4" t="n">
        <v>0.02835910605977832</v>
      </c>
      <c r="Q105" s="22" t="n">
        <v>225683598</v>
      </c>
      <c r="R105" s="22" t="n">
        <v>2501561.764947</v>
      </c>
      <c r="S105" s="4" t="n">
        <v>0.03</v>
      </c>
      <c r="T105" s="4" t="n">
        <v>0.01275239107332626</v>
      </c>
      <c r="U105" s="19" t="n">
        <v>0.6087334046657858</v>
      </c>
      <c r="V105" s="19" t="n">
        <v>0.8139534883720934</v>
      </c>
      <c r="W105" s="4" t="n">
        <v>0.31430087852843</v>
      </c>
      <c r="X105" s="4" t="n">
        <v>0.3385490753911806</v>
      </c>
      <c r="Y105" s="4" t="n">
        <v>0.001539976969713752</v>
      </c>
      <c r="Z105" s="4" t="n">
        <v>0.002124414410480613</v>
      </c>
      <c r="AA105" s="4" t="n">
        <v>0.03</v>
      </c>
      <c r="AB105" s="4" t="n">
        <v>0.05</v>
      </c>
      <c r="AC105" s="4">
        <f>(AB105+2*參數!$B$7)/(AA105+AB105)</f>
        <v/>
      </c>
    </row>
    <row r="106">
      <c r="A106" s="2" t="n">
        <v>105</v>
      </c>
      <c r="B106" s="2" t="inlineStr">
        <is>
          <t>AKE_USDT_PERP</t>
        </is>
      </c>
      <c r="C106" s="2" t="inlineStr">
        <is>
          <t>做多</t>
        </is>
      </c>
      <c r="D106" s="7" t="n">
        <v>46273.45833333334</v>
      </c>
      <c r="E106" s="20" t="n">
        <v>0.0169276</v>
      </c>
      <c r="F106" s="20" t="n">
        <v>0.017435428</v>
      </c>
      <c r="G106" s="20" t="n">
        <v>0.01608122</v>
      </c>
      <c r="H106" s="7" t="n">
        <v>46273.5</v>
      </c>
      <c r="I106" s="20" t="n">
        <v>0.017435428</v>
      </c>
      <c r="J106" s="2" t="inlineStr">
        <is>
          <t>止盈</t>
        </is>
      </c>
      <c r="K106" s="5">
        <f>(H106-D106)*24</f>
        <v/>
      </c>
      <c r="L106" s="4">
        <f>IF(C106="做多",I106/E106-1,1-I106/E106)-2*參數!$B$7</f>
        <v/>
      </c>
      <c r="M106" s="2" t="inlineStr"/>
      <c r="N106" s="4" t="n">
        <v>0.03656348550258715</v>
      </c>
      <c r="O106" s="4" t="n">
        <v>0.06234939957646168</v>
      </c>
      <c r="P106" s="4" t="n">
        <v>0.03213108276938148</v>
      </c>
      <c r="Q106" s="22" t="n">
        <v>19540172</v>
      </c>
      <c r="R106" s="22" t="n">
        <v>5375178.414786</v>
      </c>
      <c r="S106" s="4" t="n">
        <v>0.03</v>
      </c>
      <c r="T106" s="4" t="n">
        <v>0</v>
      </c>
      <c r="U106" s="19" t="n">
        <v>0.5221903482826789</v>
      </c>
      <c r="V106" s="19" t="n">
        <v>0.682393077051091</v>
      </c>
      <c r="W106" s="4" t="n">
        <v>0.07136600367999635</v>
      </c>
      <c r="X106" s="4" t="n">
        <v>0.3190577491019317</v>
      </c>
      <c r="Y106" s="4" t="n">
        <v>-0.006423705121585743</v>
      </c>
      <c r="Z106" s="4" t="n">
        <v>-0.003861447947342111</v>
      </c>
      <c r="AA106" s="4" t="n">
        <v>0.03</v>
      </c>
      <c r="AB106" s="4" t="n">
        <v>0.05</v>
      </c>
      <c r="AC106" s="4">
        <f>(AB106+2*參數!$B$7)/(AA106+AB106)</f>
        <v/>
      </c>
    </row>
    <row r="107">
      <c r="A107" s="2" t="n">
        <v>106</v>
      </c>
      <c r="B107" s="2" t="inlineStr">
        <is>
          <t>PONS_USDT_PERP</t>
        </is>
      </c>
      <c r="C107" s="2" t="inlineStr">
        <is>
          <t>做空</t>
        </is>
      </c>
      <c r="D107" s="7" t="n">
        <v>46273.45833333334</v>
      </c>
      <c r="E107" s="20" t="n">
        <v>0.7033</v>
      </c>
      <c r="F107" s="20" t="n">
        <v>0.6822010000000001</v>
      </c>
      <c r="G107" s="20" t="n">
        <v>0.738465</v>
      </c>
      <c r="H107" s="7" t="n">
        <v>46273.5</v>
      </c>
      <c r="I107" s="20" t="n">
        <v>0.6822010000000001</v>
      </c>
      <c r="J107" s="2" t="inlineStr">
        <is>
          <t>止盈</t>
        </is>
      </c>
      <c r="K107" s="5">
        <f>(H107-D107)*24</f>
        <v/>
      </c>
      <c r="L107" s="4">
        <f>IF(C107="做多",I107/E107-1,1-I107/E107)-2*參數!$B$7</f>
        <v/>
      </c>
      <c r="M107" s="2" t="inlineStr"/>
      <c r="N107" s="4" t="n">
        <v>-0.05495834453103998</v>
      </c>
      <c r="O107" s="4" t="n">
        <v>0.06037568086024119</v>
      </c>
      <c r="P107" s="4" t="n">
        <v>-0.05849436743217817</v>
      </c>
      <c r="Q107" s="22" t="n">
        <v>-262696</v>
      </c>
      <c r="R107" s="22" t="n">
        <v>11270953.971</v>
      </c>
      <c r="S107" s="4" t="n">
        <v>0.03</v>
      </c>
      <c r="T107" s="4" t="n">
        <v>0</v>
      </c>
      <c r="U107" s="19" t="n">
        <v>0.8730207937001421</v>
      </c>
      <c r="V107" s="19" t="n">
        <v>0.9887218045112773</v>
      </c>
      <c r="W107" s="4" t="n">
        <v>0.1064906158011283</v>
      </c>
      <c r="X107" s="4" t="n">
        <v>0.08293128178380493</v>
      </c>
      <c r="Y107" s="4" t="n">
        <v>0.006423705121585743</v>
      </c>
      <c r="Z107" s="4" t="n">
        <v>0.003861447947342111</v>
      </c>
      <c r="AA107" s="4" t="n">
        <v>0.03</v>
      </c>
      <c r="AB107" s="4" t="n">
        <v>0.05</v>
      </c>
      <c r="AC107" s="4">
        <f>(AB107+2*參數!$B$7)/(AA107+AB107)</f>
        <v/>
      </c>
    </row>
    <row r="108">
      <c r="A108" s="2" t="n">
        <v>107</v>
      </c>
      <c r="B108" s="2" t="inlineStr">
        <is>
          <t>LIT_USDT_PERP</t>
        </is>
      </c>
      <c r="C108" s="2" t="inlineStr">
        <is>
          <t>做空</t>
        </is>
      </c>
      <c r="D108" s="7" t="n">
        <v>46273.5</v>
      </c>
      <c r="E108" s="20" t="n">
        <v>4.589</v>
      </c>
      <c r="F108" s="20" t="n">
        <v>4.45133</v>
      </c>
      <c r="G108" s="20" t="n">
        <v>4.81845</v>
      </c>
      <c r="H108" s="7" t="n">
        <v>46273.75</v>
      </c>
      <c r="I108" s="20" t="n">
        <v>4.81845</v>
      </c>
      <c r="J108" s="2" t="inlineStr">
        <is>
          <t>止損</t>
        </is>
      </c>
      <c r="K108" s="5">
        <f>(H108-D108)*24</f>
        <v/>
      </c>
      <c r="L108" s="4">
        <f>IF(C108="做多",I108/E108-1,1-I108/E108)-2*參數!$B$7</f>
        <v/>
      </c>
      <c r="M108" s="2" t="inlineStr"/>
      <c r="N108" s="4" t="n">
        <v>-0.02486187845303867</v>
      </c>
      <c r="O108" s="4" t="n">
        <v>0.02159179912334764</v>
      </c>
      <c r="P108" s="4" t="n">
        <v>-0.001066631837872034</v>
      </c>
      <c r="Q108" s="22" t="n">
        <v>-45008.80000000028</v>
      </c>
      <c r="R108" s="22" t="n">
        <v>2781263.1439</v>
      </c>
      <c r="S108" s="4" t="n">
        <v>0.003922423185879431</v>
      </c>
      <c r="T108" s="4" t="n">
        <v>0.05</v>
      </c>
      <c r="U108" s="19" t="n">
        <v>2.569586879950852</v>
      </c>
      <c r="V108" s="19" t="n">
        <v>0.7898089171974499</v>
      </c>
      <c r="W108" s="4" t="n">
        <v>0.003433366414683614</v>
      </c>
      <c r="X108" s="4" t="n">
        <v>-0.04153427144802557</v>
      </c>
      <c r="Y108" s="4" t="n">
        <v>0.0002382796211352067</v>
      </c>
      <c r="Z108" s="4" t="n">
        <v>0.003800028264359878</v>
      </c>
      <c r="AA108" s="4" t="n">
        <v>0.03</v>
      </c>
      <c r="AB108" s="4" t="n">
        <v>0.05</v>
      </c>
      <c r="AC108" s="4">
        <f>(AB108+2*參數!$B$7)/(AA108+AB108)</f>
        <v/>
      </c>
    </row>
    <row r="109">
      <c r="A109" s="2" t="n">
        <v>108</v>
      </c>
      <c r="B109" s="2" t="inlineStr">
        <is>
          <t>ACE_USDT_PERP</t>
        </is>
      </c>
      <c r="C109" s="2" t="inlineStr">
        <is>
          <t>做空</t>
        </is>
      </c>
      <c r="D109" s="7" t="n">
        <v>46273.54166666666</v>
      </c>
      <c r="E109" s="20" t="n">
        <v>0.17709</v>
      </c>
      <c r="F109" s="20" t="n">
        <v>0.1717773</v>
      </c>
      <c r="G109" s="20" t="n">
        <v>0.1859445</v>
      </c>
      <c r="H109" s="7" t="n">
        <v>46273.625</v>
      </c>
      <c r="I109" s="20" t="n">
        <v>0.1717773</v>
      </c>
      <c r="J109" s="2" t="inlineStr">
        <is>
          <t>止盈</t>
        </is>
      </c>
      <c r="K109" s="5">
        <f>(H109-D109)*24</f>
        <v/>
      </c>
      <c r="L109" s="4">
        <f>IF(C109="做多",I109/E109-1,1-I109/E109)-2*參數!$B$7</f>
        <v/>
      </c>
      <c r="M109" s="2" t="inlineStr"/>
      <c r="N109" s="4" t="n">
        <v>-0.02788604051161003</v>
      </c>
      <c r="O109" s="4" t="n">
        <v>0.03726361631575136</v>
      </c>
      <c r="P109" s="4" t="n">
        <v>-0.02041967789845756</v>
      </c>
      <c r="Q109" s="22" t="n">
        <v>-899525.450000003</v>
      </c>
      <c r="R109" s="22" t="n">
        <v>1391602.7817447</v>
      </c>
      <c r="S109" s="4" t="n">
        <v>0.03</v>
      </c>
      <c r="T109" s="4" t="n">
        <v>0</v>
      </c>
      <c r="U109" s="19" t="n">
        <v>0.6587984018347764</v>
      </c>
      <c r="V109" s="19" t="n">
        <v>0.7978560490045954</v>
      </c>
      <c r="W109" s="4" t="n">
        <v>-0.01112817672618061</v>
      </c>
      <c r="X109" s="4" t="n">
        <v>-0.08864572447285912</v>
      </c>
      <c r="Y109" s="4" t="n">
        <v>0.002917085551362164</v>
      </c>
      <c r="Z109" s="4" t="n">
        <v>0.006238522465579766</v>
      </c>
      <c r="AA109" s="4" t="n">
        <v>0.03</v>
      </c>
      <c r="AB109" s="4" t="n">
        <v>0.05</v>
      </c>
      <c r="AC109" s="4">
        <f>(AB109+2*參數!$B$7)/(AA109+AB109)</f>
        <v/>
      </c>
    </row>
    <row r="110">
      <c r="A110" s="2" t="n">
        <v>109</v>
      </c>
      <c r="B110" s="2" t="inlineStr">
        <is>
          <t>KAS_USDT_PERP</t>
        </is>
      </c>
      <c r="C110" s="2" t="inlineStr">
        <is>
          <t>做空</t>
        </is>
      </c>
      <c r="D110" s="7" t="n">
        <v>46273.54166666666</v>
      </c>
      <c r="E110" s="20" t="n">
        <v>0.03482</v>
      </c>
      <c r="F110" s="20" t="n">
        <v>0.0337754</v>
      </c>
      <c r="G110" s="20" t="n">
        <v>0.036561</v>
      </c>
      <c r="H110" s="7" t="n">
        <v>46273.95833333334</v>
      </c>
      <c r="I110" s="20" t="n">
        <v>0.036561</v>
      </c>
      <c r="J110" s="2" t="inlineStr">
        <is>
          <t>止損</t>
        </is>
      </c>
      <c r="K110" s="5">
        <f>(H110-D110)*24</f>
        <v/>
      </c>
      <c r="L110" s="4">
        <f>IF(C110="做多",I110/E110-1,1-I110/E110)-2*參數!$B$7</f>
        <v/>
      </c>
      <c r="M110" s="2" t="inlineStr"/>
      <c r="N110" s="4" t="n">
        <v>-0.02163529081202586</v>
      </c>
      <c r="O110" s="4" t="n">
        <v>0.02637817081598313</v>
      </c>
      <c r="P110" s="4" t="n">
        <v>-0.03474849959111248</v>
      </c>
      <c r="Q110" s="22" t="n">
        <v>-2623682</v>
      </c>
      <c r="R110" s="22" t="n">
        <v>2101397.66373</v>
      </c>
      <c r="S110" s="4" t="n">
        <v>0.02785755313038485</v>
      </c>
      <c r="T110" s="4" t="n">
        <v>0.05</v>
      </c>
      <c r="U110" s="19" t="n">
        <v>0.4550342197094706</v>
      </c>
      <c r="V110" s="19" t="n">
        <v>0.8119658119658144</v>
      </c>
      <c r="W110" s="4" t="n">
        <v>-0.1013863803863391</v>
      </c>
      <c r="X110" s="4" t="n">
        <v>-0.06255721696673766</v>
      </c>
      <c r="Y110" s="4" t="n">
        <v>0.002917085551362164</v>
      </c>
      <c r="Z110" s="4" t="n">
        <v>0.006238522465579766</v>
      </c>
      <c r="AA110" s="4" t="n">
        <v>0.03</v>
      </c>
      <c r="AB110" s="4" t="n">
        <v>0.05</v>
      </c>
      <c r="AC110" s="4">
        <f>(AB110+2*參數!$B$7)/(AA110+AB110)</f>
        <v/>
      </c>
    </row>
    <row r="111">
      <c r="A111" s="2" t="n">
        <v>110</v>
      </c>
      <c r="B111" s="2" t="inlineStr">
        <is>
          <t>ARB_USDT_PERP</t>
        </is>
      </c>
      <c r="C111" s="2" t="inlineStr">
        <is>
          <t>做多</t>
        </is>
      </c>
      <c r="D111" s="7" t="n">
        <v>46273.58333333334</v>
      </c>
      <c r="E111" s="20" t="n">
        <v>0.1747</v>
      </c>
      <c r="F111" s="20" t="n">
        <v>0.179941</v>
      </c>
      <c r="G111" s="20" t="n">
        <v>0.165965</v>
      </c>
      <c r="H111" s="7" t="n">
        <v>46273.91666666666</v>
      </c>
      <c r="I111" s="20" t="n">
        <v>0.165965</v>
      </c>
      <c r="J111" s="2" t="inlineStr">
        <is>
          <t>止損</t>
        </is>
      </c>
      <c r="K111" s="5">
        <f>(H111-D111)*24</f>
        <v/>
      </c>
      <c r="L111" s="4">
        <f>IF(C111="做多",I111/E111-1,1-I111/E111)-2*參數!$B$7</f>
        <v/>
      </c>
      <c r="M111" s="2" t="inlineStr"/>
      <c r="N111" s="4" t="n">
        <v>0.02223522527794031</v>
      </c>
      <c r="O111" s="4" t="n">
        <v>0.02568097476909951</v>
      </c>
      <c r="P111" s="4" t="n">
        <v>0.03876798668093695</v>
      </c>
      <c r="Q111" s="22" t="n">
        <v>1218160.9</v>
      </c>
      <c r="R111" s="22" t="n">
        <v>3947550.52323</v>
      </c>
      <c r="S111" s="4" t="n">
        <v>0.02232398397252444</v>
      </c>
      <c r="T111" s="4" t="n">
        <v>0.05</v>
      </c>
      <c r="U111" s="19" t="n">
        <v>1.889260099230201</v>
      </c>
      <c r="V111" s="19" t="n">
        <v>0.6333333333333324</v>
      </c>
      <c r="W111" s="4" t="n">
        <v>0.08962764298634074</v>
      </c>
      <c r="X111" s="4" t="n">
        <v>0.01925320886814474</v>
      </c>
      <c r="Y111" s="4" t="n">
        <v>-0.00123458359822004</v>
      </c>
      <c r="Z111" s="4" t="n">
        <v>-0.007010211173510084</v>
      </c>
      <c r="AA111" s="4" t="n">
        <v>0.03</v>
      </c>
      <c r="AB111" s="4" t="n">
        <v>0.05</v>
      </c>
      <c r="AC111" s="4">
        <f>(AB111+2*參數!$B$7)/(AA111+AB111)</f>
        <v/>
      </c>
    </row>
    <row r="112">
      <c r="A112" s="2" t="n">
        <v>111</v>
      </c>
      <c r="B112" s="2" t="inlineStr">
        <is>
          <t>USELESS_USDT_PERP</t>
        </is>
      </c>
      <c r="C112" s="2" t="inlineStr">
        <is>
          <t>做多</t>
        </is>
      </c>
      <c r="D112" s="7" t="n">
        <v>46273.58333333334</v>
      </c>
      <c r="E112" s="20" t="n">
        <v>0.24093</v>
      </c>
      <c r="F112" s="20" t="n">
        <v>0.2481579</v>
      </c>
      <c r="G112" s="20" t="n">
        <v>0.2288835</v>
      </c>
      <c r="H112" s="7" t="n">
        <v>46273.625</v>
      </c>
      <c r="I112" s="20" t="n">
        <v>0.2481579</v>
      </c>
      <c r="J112" s="2" t="inlineStr">
        <is>
          <t>止盈</t>
        </is>
      </c>
      <c r="K112" s="5">
        <f>(H112-D112)*24</f>
        <v/>
      </c>
      <c r="L112" s="4">
        <f>IF(C112="做多",I112/E112-1,1-I112/E112)-2*參數!$B$7</f>
        <v/>
      </c>
      <c r="M112" s="2" t="inlineStr"/>
      <c r="N112" s="4" t="n">
        <v>0.0864937993235626</v>
      </c>
      <c r="O112" s="4" t="n">
        <v>0.04862484005267798</v>
      </c>
      <c r="P112" s="4" t="n">
        <v>0.05327352848599309</v>
      </c>
      <c r="Q112" s="22" t="n">
        <v>679513</v>
      </c>
      <c r="R112" s="22" t="n">
        <v>4215211.47851</v>
      </c>
      <c r="S112" s="4" t="n">
        <v>0.03</v>
      </c>
      <c r="T112" s="4" t="n">
        <v>0</v>
      </c>
      <c r="U112" s="19" t="n">
        <v>0.8052885806174136</v>
      </c>
      <c r="V112" s="19" t="n">
        <v>0.8621151271753689</v>
      </c>
      <c r="W112" s="4" t="n">
        <v>0.01364868509238448</v>
      </c>
      <c r="X112" s="4" t="n">
        <v>0.09260351004489586</v>
      </c>
      <c r="Y112" s="4" t="n">
        <v>-0.00123458359822004</v>
      </c>
      <c r="Z112" s="4" t="n">
        <v>-0.007010211173510084</v>
      </c>
      <c r="AA112" s="4" t="n">
        <v>0.03</v>
      </c>
      <c r="AB112" s="4" t="n">
        <v>0.05</v>
      </c>
      <c r="AC112" s="4">
        <f>(AB112+2*參數!$B$7)/(AA112+AB112)</f>
        <v/>
      </c>
    </row>
    <row r="113">
      <c r="A113" s="2" t="n">
        <v>112</v>
      </c>
      <c r="B113" s="2" t="inlineStr">
        <is>
          <t>PUMP_USDT_PERP</t>
        </is>
      </c>
      <c r="C113" s="2" t="inlineStr">
        <is>
          <t>做空</t>
        </is>
      </c>
      <c r="D113" s="7" t="n">
        <v>46273.625</v>
      </c>
      <c r="E113" s="20" t="n">
        <v>0.004183</v>
      </c>
      <c r="F113" s="20" t="n">
        <v>0.00405751</v>
      </c>
      <c r="G113" s="20" t="n">
        <v>0.00439215</v>
      </c>
      <c r="H113" s="7" t="n">
        <v>46273.79166666666</v>
      </c>
      <c r="I113" s="20" t="n">
        <v>0.00439215</v>
      </c>
      <c r="J113" s="2" t="inlineStr">
        <is>
          <t>止損</t>
        </is>
      </c>
      <c r="K113" s="5">
        <f>(H113-D113)*24</f>
        <v/>
      </c>
      <c r="L113" s="4">
        <f>IF(C113="做多",I113/E113-1,1-I113/E113)-2*參數!$B$7</f>
        <v/>
      </c>
      <c r="M113" s="2" t="inlineStr"/>
      <c r="N113" s="4" t="n">
        <v>-0.02037470725995327</v>
      </c>
      <c r="O113" s="4" t="n">
        <v>0.0290642944977495</v>
      </c>
      <c r="P113" s="4" t="n">
        <v>-0.04081632653061229</v>
      </c>
      <c r="Q113" s="22" t="n">
        <v>-129299457</v>
      </c>
      <c r="R113" s="22" t="n">
        <v>9851697.301605999</v>
      </c>
      <c r="S113" s="4" t="n">
        <v>0.002629691608893037</v>
      </c>
      <c r="T113" s="4" t="n">
        <v>0.05</v>
      </c>
      <c r="U113" s="19" t="n">
        <v>0.5836086467967079</v>
      </c>
      <c r="V113" s="19" t="n">
        <v>0.6184210526315802</v>
      </c>
      <c r="W113" s="4" t="n">
        <v>-0.007124266566508108</v>
      </c>
      <c r="X113" s="4" t="n">
        <v>-0.03029556650246312</v>
      </c>
      <c r="Y113" s="4" t="n">
        <v>0.003353154371130707</v>
      </c>
      <c r="Z113" s="4" t="n">
        <v>0.009691274437690356</v>
      </c>
      <c r="AA113" s="4" t="n">
        <v>0.03</v>
      </c>
      <c r="AB113" s="4" t="n">
        <v>0.05</v>
      </c>
      <c r="AC113" s="4">
        <f>(AB113+2*參數!$B$7)/(AA113+AB113)</f>
        <v/>
      </c>
    </row>
    <row r="114">
      <c r="A114" s="2" t="n">
        <v>113</v>
      </c>
      <c r="B114" s="2" t="inlineStr">
        <is>
          <t>WLD_USDT_PERP</t>
        </is>
      </c>
      <c r="C114" s="2" t="inlineStr">
        <is>
          <t>做多</t>
        </is>
      </c>
      <c r="D114" s="7" t="n">
        <v>46273.66666666666</v>
      </c>
      <c r="E114" s="20" t="n">
        <v>0.4788</v>
      </c>
      <c r="F114" s="20" t="n">
        <v>0.493164</v>
      </c>
      <c r="G114" s="20" t="n">
        <v>0.45486</v>
      </c>
      <c r="H114" s="7" t="n">
        <v>46274</v>
      </c>
      <c r="I114" s="20" t="n">
        <v>0.493164</v>
      </c>
      <c r="J114" s="2" t="inlineStr">
        <is>
          <t>止盈</t>
        </is>
      </c>
      <c r="K114" s="5">
        <f>(H114-D114)*24</f>
        <v/>
      </c>
      <c r="L114" s="4">
        <f>IF(C114="做多",I114/E114-1,1-I114/E114)-2*參數!$B$7</f>
        <v/>
      </c>
      <c r="M114" s="2" t="inlineStr"/>
      <c r="N114" s="4" t="n">
        <v>0.03345564429095615</v>
      </c>
      <c r="O114" s="4" t="n">
        <v>0.02530774759559907</v>
      </c>
      <c r="P114" s="4" t="n">
        <v>0.02080845983284996</v>
      </c>
      <c r="Q114" s="22" t="n">
        <v>964062</v>
      </c>
      <c r="R114" s="22" t="n">
        <v>3277692.0117</v>
      </c>
      <c r="S114" s="4" t="n">
        <v>0.03</v>
      </c>
      <c r="T114" s="4" t="n">
        <v>0.03613199665831246</v>
      </c>
      <c r="U114" s="19" t="n">
        <v>0.7774894474618331</v>
      </c>
      <c r="V114" s="19" t="n">
        <v>0.9476744186046504</v>
      </c>
      <c r="W114" s="4" t="n">
        <v>0.1532375192386899</v>
      </c>
      <c r="X114" s="4" t="n">
        <v>0.06732055283102989</v>
      </c>
      <c r="Y114" s="4" t="n">
        <v>0.001986217819758718</v>
      </c>
      <c r="Z114" s="4" t="n">
        <v>-0.007139181253390414</v>
      </c>
      <c r="AA114" s="4" t="n">
        <v>0.03</v>
      </c>
      <c r="AB114" s="4" t="n">
        <v>0.05</v>
      </c>
      <c r="AC114" s="4">
        <f>(AB114+2*參數!$B$7)/(AA114+AB114)</f>
        <v/>
      </c>
    </row>
    <row r="115">
      <c r="A115" s="2" t="n">
        <v>114</v>
      </c>
      <c r="B115" s="2" t="inlineStr">
        <is>
          <t>USELESS_USDT_PERP</t>
        </is>
      </c>
      <c r="C115" s="2" t="inlineStr">
        <is>
          <t>做多</t>
        </is>
      </c>
      <c r="D115" s="7" t="n">
        <v>46273.70833333334</v>
      </c>
      <c r="E115" s="20" t="n">
        <v>0.2406</v>
      </c>
      <c r="F115" s="20" t="n">
        <v>0.247818</v>
      </c>
      <c r="G115" s="20" t="n">
        <v>0.22857</v>
      </c>
      <c r="H115" s="7" t="n">
        <v>46273.75</v>
      </c>
      <c r="I115" s="20" t="n">
        <v>0.247818</v>
      </c>
      <c r="J115" s="2" t="inlineStr">
        <is>
          <t>止盈</t>
        </is>
      </c>
      <c r="K115" s="5">
        <f>(H115-D115)*24</f>
        <v/>
      </c>
      <c r="L115" s="4">
        <f>IF(C115="做多",I115/E115-1,1-I115/E115)-2*參數!$B$7</f>
        <v/>
      </c>
      <c r="M115" s="2" t="inlineStr"/>
      <c r="N115" s="4" t="n">
        <v>0.03377159061613821</v>
      </c>
      <c r="O115" s="4" t="n">
        <v>0.05142885076912324</v>
      </c>
      <c r="P115" s="4" t="n">
        <v>0.04725943175511715</v>
      </c>
      <c r="Q115" s="22" t="n">
        <v>1117995</v>
      </c>
      <c r="R115" s="22" t="n">
        <v>4054225.12811</v>
      </c>
      <c r="S115" s="4" t="n">
        <v>0.03</v>
      </c>
      <c r="T115" s="4" t="n">
        <v>0</v>
      </c>
      <c r="U115" s="19" t="n">
        <v>1.06824364590281</v>
      </c>
      <c r="V115" s="19" t="n">
        <v>0.9421101774042967</v>
      </c>
      <c r="W115" s="4" t="n">
        <v>0.008865944107317336</v>
      </c>
      <c r="X115" s="4" t="n">
        <v>0.08888486603910217</v>
      </c>
      <c r="Y115" s="4" t="n">
        <v>-0.0006271910255593038</v>
      </c>
      <c r="Z115" s="4" t="n">
        <v>-0.007025669761602571</v>
      </c>
      <c r="AA115" s="4" t="n">
        <v>0.03</v>
      </c>
      <c r="AB115" s="4" t="n">
        <v>0.05</v>
      </c>
      <c r="AC115" s="4">
        <f>(AB115+2*參數!$B$7)/(AA115+AB115)</f>
        <v/>
      </c>
    </row>
    <row r="116">
      <c r="A116" s="2" t="n">
        <v>115</v>
      </c>
      <c r="B116" s="2" t="inlineStr">
        <is>
          <t>AERO_USDT_PERP</t>
        </is>
      </c>
      <c r="C116" s="2" t="inlineStr">
        <is>
          <t>做多</t>
        </is>
      </c>
      <c r="D116" s="7" t="n">
        <v>46273.75</v>
      </c>
      <c r="E116" s="20" t="n">
        <v>0.6424</v>
      </c>
      <c r="F116" s="20" t="n">
        <v>0.661672</v>
      </c>
      <c r="G116" s="20" t="n">
        <v>0.6102799999999999</v>
      </c>
      <c r="H116" s="7" t="n">
        <v>46274.125</v>
      </c>
      <c r="I116" s="20" t="n">
        <v>0.6102799999999999</v>
      </c>
      <c r="J116" s="2" t="inlineStr">
        <is>
          <t>止損</t>
        </is>
      </c>
      <c r="K116" s="5">
        <f>(H116-D116)*24</f>
        <v/>
      </c>
      <c r="L116" s="4">
        <f>IF(C116="做多",I116/E116-1,1-I116/E116)-2*參數!$B$7</f>
        <v/>
      </c>
      <c r="M116" s="2" t="inlineStr"/>
      <c r="N116" s="4" t="n">
        <v>0.02211614956245023</v>
      </c>
      <c r="O116" s="4" t="n">
        <v>0.02985810488876749</v>
      </c>
      <c r="P116" s="4" t="n">
        <v>0.03462715413109985</v>
      </c>
      <c r="Q116" s="22" t="n">
        <v>115721.4000000003</v>
      </c>
      <c r="R116" s="22" t="n">
        <v>2979004.4445</v>
      </c>
      <c r="S116" s="4" t="n">
        <v>0.02132627646326291</v>
      </c>
      <c r="T116" s="4" t="n">
        <v>0.05</v>
      </c>
      <c r="U116" s="19" t="n">
        <v>0.786151850585577</v>
      </c>
      <c r="V116" s="19" t="n">
        <v>0.5648854961832032</v>
      </c>
      <c r="W116" s="4" t="n">
        <v>0.1727913858983883</v>
      </c>
      <c r="X116" s="4" t="n">
        <v>0.1969442891745854</v>
      </c>
      <c r="Y116" s="4" t="n">
        <v>0.00424895211223042</v>
      </c>
      <c r="Z116" s="4" t="n">
        <v>-0.00243660765421716</v>
      </c>
      <c r="AA116" s="4" t="n">
        <v>0.03</v>
      </c>
      <c r="AB116" s="4" t="n">
        <v>0.05</v>
      </c>
      <c r="AC116" s="4">
        <f>(AB116+2*參數!$B$7)/(AA116+AB116)</f>
        <v/>
      </c>
    </row>
    <row r="117">
      <c r="A117" s="2" t="n">
        <v>116</v>
      </c>
      <c r="B117" s="2" t="inlineStr">
        <is>
          <t>UAI_USDT_PERP</t>
        </is>
      </c>
      <c r="C117" s="2" t="inlineStr">
        <is>
          <t>做多</t>
        </is>
      </c>
      <c r="D117" s="7" t="n">
        <v>46273.75</v>
      </c>
      <c r="E117" s="20" t="n">
        <v>0.7282999999999999</v>
      </c>
      <c r="F117" s="20" t="n">
        <v>0.750149</v>
      </c>
      <c r="G117" s="20" t="n">
        <v>0.691885</v>
      </c>
      <c r="H117" s="7" t="n">
        <v>46273.83333333334</v>
      </c>
      <c r="I117" s="20" t="n">
        <v>0.750149</v>
      </c>
      <c r="J117" s="2" t="inlineStr">
        <is>
          <t>止盈</t>
        </is>
      </c>
      <c r="K117" s="5">
        <f>(H117-D117)*24</f>
        <v/>
      </c>
      <c r="L117" s="4">
        <f>IF(C117="做多",I117/E117-1,1-I117/E117)-2*參數!$B$7</f>
        <v/>
      </c>
      <c r="M117" s="2" t="inlineStr"/>
      <c r="N117" s="4" t="n">
        <v>0.02231892195395835</v>
      </c>
      <c r="O117" s="4" t="n">
        <v>0.04664801455271905</v>
      </c>
      <c r="P117" s="4" t="n">
        <v>0.01829519794747014</v>
      </c>
      <c r="Q117" s="22" t="n">
        <v>1249843</v>
      </c>
      <c r="R117" s="22" t="n">
        <v>5140456.2015</v>
      </c>
      <c r="S117" s="4" t="n">
        <v>0.03</v>
      </c>
      <c r="T117" s="4" t="n">
        <v>0.006453384594260481</v>
      </c>
      <c r="U117" s="19" t="n">
        <v>1.068646902945055</v>
      </c>
      <c r="V117" s="19" t="n">
        <v>0.8738738738738727</v>
      </c>
      <c r="W117" s="4" t="n">
        <v>0.2926482516501987</v>
      </c>
      <c r="X117" s="4" t="n">
        <v>0.1465680100755666</v>
      </c>
      <c r="Y117" s="4" t="n">
        <v>0.00424895211223042</v>
      </c>
      <c r="Z117" s="4" t="n">
        <v>-0.00243660765421716</v>
      </c>
      <c r="AA117" s="4" t="n">
        <v>0.03</v>
      </c>
      <c r="AB117" s="4" t="n">
        <v>0.05</v>
      </c>
      <c r="AC117" s="4">
        <f>(AB117+2*參數!$B$7)/(AA117+AB117)</f>
        <v/>
      </c>
    </row>
    <row r="118">
      <c r="A118" s="2" t="n">
        <v>117</v>
      </c>
      <c r="B118" s="2" t="inlineStr">
        <is>
          <t>CASHCAT_USDT_PERP</t>
        </is>
      </c>
      <c r="C118" s="2" t="inlineStr">
        <is>
          <t>做空</t>
        </is>
      </c>
      <c r="D118" s="7" t="n">
        <v>46273.79166666666</v>
      </c>
      <c r="E118" s="20" t="n">
        <v>0.1787</v>
      </c>
      <c r="F118" s="20" t="n">
        <v>0.173339</v>
      </c>
      <c r="G118" s="20" t="n">
        <v>0.187635</v>
      </c>
      <c r="H118" s="7" t="n">
        <v>46273.875</v>
      </c>
      <c r="I118" s="20" t="n">
        <v>0.173339</v>
      </c>
      <c r="J118" s="2" t="inlineStr">
        <is>
          <t>止盈</t>
        </is>
      </c>
      <c r="K118" s="5">
        <f>(H118-D118)*24</f>
        <v/>
      </c>
      <c r="L118" s="4">
        <f>IF(C118="做多",I118/E118-1,1-I118/E118)-2*參數!$B$7</f>
        <v/>
      </c>
      <c r="M118" s="2" t="inlineStr"/>
      <c r="N118" s="4" t="n">
        <v>-0.02562704471101418</v>
      </c>
      <c r="O118" s="4" t="n">
        <v>0.04743066258406835</v>
      </c>
      <c r="P118" s="4" t="n">
        <v>-0.05964690714868315</v>
      </c>
      <c r="Q118" s="22" t="n">
        <v>-608095</v>
      </c>
      <c r="R118" s="22" t="n">
        <v>1922965.0831</v>
      </c>
      <c r="S118" s="4" t="n">
        <v>0.03</v>
      </c>
      <c r="T118" s="4" t="n">
        <v>0.006715165081141672</v>
      </c>
      <c r="U118" s="19" t="n">
        <v>2.678733376469101</v>
      </c>
      <c r="V118" s="19" t="n">
        <v>0.8613861386138628</v>
      </c>
      <c r="W118" s="4" t="n">
        <v>0.221805133386171</v>
      </c>
      <c r="X118" s="4" t="n">
        <v>0.1703806870937791</v>
      </c>
      <c r="Y118" s="4" t="n">
        <v>0.002534012287736753</v>
      </c>
      <c r="Z118" s="4" t="n">
        <v>0.004571300074293405</v>
      </c>
      <c r="AA118" s="4" t="n">
        <v>0.03</v>
      </c>
      <c r="AB118" s="4" t="n">
        <v>0.05</v>
      </c>
      <c r="AC118" s="4">
        <f>(AB118+2*參數!$B$7)/(AA118+AB118)</f>
        <v/>
      </c>
    </row>
    <row r="119">
      <c r="A119" s="2" t="n">
        <v>118</v>
      </c>
      <c r="B119" s="2" t="inlineStr">
        <is>
          <t>LIT_USDT_PERP</t>
        </is>
      </c>
      <c r="C119" s="2" t="inlineStr">
        <is>
          <t>做多</t>
        </is>
      </c>
      <c r="D119" s="7" t="n">
        <v>46273.875</v>
      </c>
      <c r="E119" s="20" t="n">
        <v>4.848</v>
      </c>
      <c r="F119" s="20" t="n">
        <v>4.99344</v>
      </c>
      <c r="G119" s="20" t="n">
        <v>4.6056</v>
      </c>
      <c r="H119" s="7" t="n">
        <v>46274.54166666666</v>
      </c>
      <c r="I119" s="20" t="n">
        <v>4.99344</v>
      </c>
      <c r="J119" s="2" t="inlineStr">
        <is>
          <t>止盈</t>
        </is>
      </c>
      <c r="K119" s="5">
        <f>(H119-D119)*24</f>
        <v/>
      </c>
      <c r="L119" s="4">
        <f>IF(C119="做多",I119/E119-1,1-I119/E119)-2*參數!$B$7</f>
        <v/>
      </c>
      <c r="M119" s="2" t="inlineStr"/>
      <c r="N119" s="4" t="n">
        <v>0.02473050095117313</v>
      </c>
      <c r="O119" s="4" t="n">
        <v>0.02337515758480993</v>
      </c>
      <c r="P119" s="4" t="n">
        <v>0.03262085050640584</v>
      </c>
      <c r="Q119" s="22" t="n">
        <v>90316</v>
      </c>
      <c r="R119" s="22" t="n">
        <v>3639353.3035</v>
      </c>
      <c r="S119" s="4" t="n">
        <v>0.03</v>
      </c>
      <c r="T119" s="4" t="n">
        <v>0.04290429042904298</v>
      </c>
      <c r="U119" s="19" t="n">
        <v>1.36772845210372</v>
      </c>
      <c r="V119" s="19" t="n">
        <v>1</v>
      </c>
      <c r="W119" s="4" t="n">
        <v>0.04612622565943925</v>
      </c>
      <c r="X119" s="4" t="n">
        <v>0.06385780118498996</v>
      </c>
      <c r="Y119" s="4" t="n">
        <v>0.0002142857142857224</v>
      </c>
      <c r="Z119" s="4" t="n">
        <v>-0.005404796600024797</v>
      </c>
      <c r="AA119" s="4" t="n">
        <v>0.03</v>
      </c>
      <c r="AB119" s="4" t="n">
        <v>0.05</v>
      </c>
      <c r="AC119" s="4">
        <f>(AB119+2*參數!$B$7)/(AA119+AB119)</f>
        <v/>
      </c>
    </row>
    <row r="120">
      <c r="A120" s="2" t="n">
        <v>119</v>
      </c>
      <c r="B120" s="2" t="inlineStr">
        <is>
          <t>PONS_USDT_PERP</t>
        </is>
      </c>
      <c r="C120" s="2" t="inlineStr">
        <is>
          <t>做多</t>
        </is>
      </c>
      <c r="D120" s="7" t="n">
        <v>46273.875</v>
      </c>
      <c r="E120" s="20" t="n">
        <v>0.7527</v>
      </c>
      <c r="F120" s="20" t="n">
        <v>0.7752810000000001</v>
      </c>
      <c r="G120" s="20" t="n">
        <v>0.715065</v>
      </c>
      <c r="H120" s="7" t="n">
        <v>46273.91666666666</v>
      </c>
      <c r="I120" s="20" t="n">
        <v>0.7752810000000001</v>
      </c>
      <c r="J120" s="2" t="inlineStr">
        <is>
          <t>止盈</t>
        </is>
      </c>
      <c r="K120" s="5">
        <f>(H120-D120)*24</f>
        <v/>
      </c>
      <c r="L120" s="4">
        <f>IF(C120="做多",I120/E120-1,1-I120/E120)-2*參數!$B$7</f>
        <v/>
      </c>
      <c r="M120" s="2" t="inlineStr"/>
      <c r="N120" s="4" t="n">
        <v>0.02757679180887362</v>
      </c>
      <c r="O120" s="4" t="n">
        <v>0.05023167941020193</v>
      </c>
      <c r="P120" s="4" t="n">
        <v>0.05147726479010983</v>
      </c>
      <c r="Q120" s="22" t="n">
        <v>6853449</v>
      </c>
      <c r="R120" s="22" t="n">
        <v>12535656.0709</v>
      </c>
      <c r="S120" s="4" t="n">
        <v>0.03</v>
      </c>
      <c r="T120" s="4" t="n">
        <v>0</v>
      </c>
      <c r="U120" s="19" t="n">
        <v>1.134336771587354</v>
      </c>
      <c r="V120" s="19" t="n">
        <v>0.8360655737704921</v>
      </c>
      <c r="W120" s="4" t="n">
        <v>-0.04920583992501781</v>
      </c>
      <c r="X120" s="4" t="n">
        <v>-0.05415933651671268</v>
      </c>
      <c r="Y120" s="4" t="n">
        <v>0.0002142857142857224</v>
      </c>
      <c r="Z120" s="4" t="n">
        <v>-0.005404796600024797</v>
      </c>
      <c r="AA120" s="4" t="n">
        <v>0.03</v>
      </c>
      <c r="AB120" s="4" t="n">
        <v>0.05</v>
      </c>
      <c r="AC120" s="4">
        <f>(AB120+2*參數!$B$7)/(AA120+AB120)</f>
        <v/>
      </c>
    </row>
    <row r="121">
      <c r="A121" s="2" t="n">
        <v>120</v>
      </c>
      <c r="B121" s="2" t="inlineStr">
        <is>
          <t>DOT_USDT_PERP</t>
        </is>
      </c>
      <c r="C121" s="2" t="inlineStr">
        <is>
          <t>做多</t>
        </is>
      </c>
      <c r="D121" s="7" t="n">
        <v>46273.95833333334</v>
      </c>
      <c r="E121" s="20" t="n">
        <v>1.123</v>
      </c>
      <c r="F121" s="20" t="n">
        <v>1.15669</v>
      </c>
      <c r="G121" s="20" t="n">
        <v>1.06685</v>
      </c>
      <c r="H121" s="7" t="n">
        <v>46274</v>
      </c>
      <c r="I121" s="20" t="n">
        <v>1.15669</v>
      </c>
      <c r="J121" s="2" t="inlineStr">
        <is>
          <t>止盈</t>
        </is>
      </c>
      <c r="K121" s="5">
        <f>(H121-D121)*24</f>
        <v/>
      </c>
      <c r="L121" s="4">
        <f>IF(C121="做多",I121/E121-1,1-I121/E121)-2*參數!$B$7</f>
        <v/>
      </c>
      <c r="M121" s="2" t="inlineStr"/>
      <c r="N121" s="4" t="n">
        <v>0.04659832246039142</v>
      </c>
      <c r="O121" s="4" t="n">
        <v>0.02256314074445255</v>
      </c>
      <c r="P121" s="4" t="n">
        <v>0.04811237108591171</v>
      </c>
      <c r="Q121" s="22" t="n">
        <v>111960.8999999999</v>
      </c>
      <c r="R121" s="22" t="n">
        <v>2741631.4739</v>
      </c>
      <c r="S121" s="4" t="n">
        <v>0.03</v>
      </c>
      <c r="T121" s="4" t="n">
        <v>0</v>
      </c>
      <c r="U121" s="19" t="n">
        <v>1.872915871665088</v>
      </c>
      <c r="V121" s="19" t="n">
        <v>0.7183098591549292</v>
      </c>
      <c r="W121" s="4" t="n">
        <v>0.1620928018543815</v>
      </c>
      <c r="X121" s="4" t="n">
        <v>0.05149812734082393</v>
      </c>
      <c r="Y121" s="4" t="n">
        <v>0.007548452907174541</v>
      </c>
      <c r="Z121" s="4" t="n">
        <v>-0.002864684043806798</v>
      </c>
      <c r="AA121" s="4" t="n">
        <v>0.03</v>
      </c>
      <c r="AB121" s="4" t="n">
        <v>0.05</v>
      </c>
      <c r="AC121" s="4">
        <f>(AB121+2*參數!$B$7)/(AA121+AB121)</f>
        <v/>
      </c>
    </row>
    <row r="122">
      <c r="A122" s="2" t="n">
        <v>121</v>
      </c>
      <c r="B122" s="2" t="inlineStr">
        <is>
          <t>INJ_USDT_PERP</t>
        </is>
      </c>
      <c r="C122" s="2" t="inlineStr">
        <is>
          <t>做多</t>
        </is>
      </c>
      <c r="D122" s="7" t="n">
        <v>46273.95833333334</v>
      </c>
      <c r="E122" s="20" t="n">
        <v>6.534</v>
      </c>
      <c r="F122" s="20" t="n">
        <v>6.73002</v>
      </c>
      <c r="G122" s="20" t="n">
        <v>6.207299999999999</v>
      </c>
      <c r="H122" s="7" t="n">
        <v>46274.79166666666</v>
      </c>
      <c r="I122" s="20" t="n">
        <v>6.207299999999999</v>
      </c>
      <c r="J122" s="2" t="inlineStr">
        <is>
          <t>止損</t>
        </is>
      </c>
      <c r="K122" s="5">
        <f>(H122-D122)*24</f>
        <v/>
      </c>
      <c r="L122" s="4">
        <f>IF(C122="做多",I122/E122-1,1-I122/E122)-2*參數!$B$7</f>
        <v/>
      </c>
      <c r="M122" s="2" t="inlineStr"/>
      <c r="N122" s="4" t="n">
        <v>0.03763696998570754</v>
      </c>
      <c r="O122" s="4" t="n">
        <v>0.02277252113543685</v>
      </c>
      <c r="P122" s="4" t="n">
        <v>0.03486779065071222</v>
      </c>
      <c r="Q122" s="22" t="n">
        <v>8623.600000000013</v>
      </c>
      <c r="R122" s="22" t="n">
        <v>4616788.334</v>
      </c>
      <c r="S122" s="4" t="n">
        <v>0.005050505050505194</v>
      </c>
      <c r="T122" s="4" t="n">
        <v>0.05</v>
      </c>
      <c r="U122" s="19" t="n">
        <v>1.258024063199622</v>
      </c>
      <c r="V122" s="19" t="n">
        <v>0.9379562043795607</v>
      </c>
      <c r="W122" s="4" t="n">
        <v>0.2206011469989353</v>
      </c>
      <c r="X122" s="4" t="n">
        <v>0.1461147167163657</v>
      </c>
      <c r="Y122" s="4" t="n">
        <v>0.007548452907174541</v>
      </c>
      <c r="Z122" s="4" t="n">
        <v>-0.002864684043806798</v>
      </c>
      <c r="AA122" s="4" t="n">
        <v>0.03</v>
      </c>
      <c r="AB122" s="4" t="n">
        <v>0.05</v>
      </c>
      <c r="AC122" s="4">
        <f>(AB122+2*參數!$B$7)/(AA122+AB122)</f>
        <v/>
      </c>
    </row>
    <row r="123">
      <c r="A123" s="2" t="n">
        <v>122</v>
      </c>
      <c r="B123" s="2" t="inlineStr">
        <is>
          <t>ICP_USDT_PERP</t>
        </is>
      </c>
      <c r="C123" s="2" t="inlineStr">
        <is>
          <t>做空</t>
        </is>
      </c>
      <c r="D123" s="7" t="n">
        <v>46274.04166666666</v>
      </c>
      <c r="E123" s="20" t="n">
        <v>2.963</v>
      </c>
      <c r="F123" s="20" t="n">
        <v>2.87411</v>
      </c>
      <c r="G123" s="20" t="n">
        <v>3.11115</v>
      </c>
      <c r="H123" s="7" t="n">
        <v>46274.45833333334</v>
      </c>
      <c r="I123" s="20" t="n">
        <v>2.87411</v>
      </c>
      <c r="J123" s="2" t="inlineStr">
        <is>
          <t>止盈</t>
        </is>
      </c>
      <c r="K123" s="5">
        <f>(H123-D123)*24</f>
        <v/>
      </c>
      <c r="L123" s="4">
        <f>IF(C123="做多",I123/E123-1,1-I123/E123)-2*參數!$B$7</f>
        <v/>
      </c>
      <c r="M123" s="2" t="inlineStr"/>
      <c r="N123" s="4" t="n">
        <v>-0.02049586776859502</v>
      </c>
      <c r="O123" s="4" t="n">
        <v>0.02158409979090471</v>
      </c>
      <c r="P123" s="4" t="n">
        <v>-0.0198478332782005</v>
      </c>
      <c r="Q123" s="22" t="n">
        <v>-422886</v>
      </c>
      <c r="R123" s="22" t="n">
        <v>7911871.461</v>
      </c>
      <c r="S123" s="4" t="n">
        <v>0.03</v>
      </c>
      <c r="T123" s="4" t="n">
        <v>0.002362470469119193</v>
      </c>
      <c r="U123" s="19" t="n">
        <v>0.9650820911192399</v>
      </c>
      <c r="V123" s="19" t="n">
        <v>0.8857142857142853</v>
      </c>
      <c r="W123" s="4" t="n">
        <v>-0.07225702322921967</v>
      </c>
      <c r="X123" s="4" t="n">
        <v>0.006371562709590939</v>
      </c>
      <c r="Y123" s="4" t="n">
        <v>0.002156710844794185</v>
      </c>
      <c r="Z123" s="4" t="n">
        <v>2.306172989785527e-05</v>
      </c>
      <c r="AA123" s="4" t="n">
        <v>0.03</v>
      </c>
      <c r="AB123" s="4" t="n">
        <v>0.05</v>
      </c>
      <c r="AC123" s="4">
        <f>(AB123+2*參數!$B$7)/(AA123+AB123)</f>
        <v/>
      </c>
    </row>
    <row r="124">
      <c r="A124" s="2" t="n">
        <v>123</v>
      </c>
      <c r="B124" s="2" t="inlineStr">
        <is>
          <t>MARSCOIN_USDT_PERP</t>
        </is>
      </c>
      <c r="C124" s="2" t="inlineStr">
        <is>
          <t>做空</t>
        </is>
      </c>
      <c r="D124" s="7" t="n">
        <v>46274.08333333334</v>
      </c>
      <c r="E124" s="20" t="n">
        <v>0.13851</v>
      </c>
      <c r="F124" s="20" t="n">
        <v>0.1343547</v>
      </c>
      <c r="G124" s="20" t="n">
        <v>0.1454355</v>
      </c>
      <c r="H124" s="7" t="n">
        <v>46274.20833333334</v>
      </c>
      <c r="I124" s="20" t="n">
        <v>0.1343547</v>
      </c>
      <c r="J124" s="2" t="inlineStr">
        <is>
          <t>止盈</t>
        </is>
      </c>
      <c r="K124" s="5">
        <f>(H124-D124)*24</f>
        <v/>
      </c>
      <c r="L124" s="4">
        <f>IF(C124="做多",I124/E124-1,1-I124/E124)-2*參數!$B$7</f>
        <v/>
      </c>
      <c r="M124" s="2" t="inlineStr"/>
      <c r="N124" s="4" t="n">
        <v>-0.02113074204946996</v>
      </c>
      <c r="O124" s="4" t="n">
        <v>0.06620259931879292</v>
      </c>
      <c r="P124" s="4" t="n">
        <v>-0.01649122184154939</v>
      </c>
      <c r="Q124" s="22" t="n">
        <v>-3642859</v>
      </c>
      <c r="R124" s="22" t="n">
        <v>2573723.70106</v>
      </c>
      <c r="S124" s="4" t="n">
        <v>0.03</v>
      </c>
      <c r="T124" s="4" t="n">
        <v>0.01797704136885425</v>
      </c>
      <c r="U124" s="19" t="n">
        <v>0.8598768796509205</v>
      </c>
      <c r="V124" s="19" t="n">
        <v>0.8427745664739887</v>
      </c>
      <c r="W124" s="4" t="n">
        <v>0.2464398895583695</v>
      </c>
      <c r="X124" s="4" t="n">
        <v>0.1138195777351247</v>
      </c>
      <c r="Y124" s="4" t="n">
        <v>0.002949174078780259</v>
      </c>
      <c r="Z124" s="4" t="n">
        <v>0.00255304695657721</v>
      </c>
      <c r="AA124" s="4" t="n">
        <v>0.03</v>
      </c>
      <c r="AB124" s="4" t="n">
        <v>0.05</v>
      </c>
      <c r="AC124" s="4">
        <f>(AB124+2*參數!$B$7)/(AA124+AB124)</f>
        <v/>
      </c>
    </row>
    <row r="125">
      <c r="A125" s="2" t="n">
        <v>124</v>
      </c>
      <c r="B125" s="2" t="inlineStr">
        <is>
          <t>UAI_USDT_PERP</t>
        </is>
      </c>
      <c r="C125" s="2" t="inlineStr">
        <is>
          <t>做多</t>
        </is>
      </c>
      <c r="D125" s="7" t="n">
        <v>46274.08333333334</v>
      </c>
      <c r="E125" s="20" t="n">
        <v>0.7446</v>
      </c>
      <c r="F125" s="20" t="n">
        <v>0.766938</v>
      </c>
      <c r="G125" s="20" t="n">
        <v>0.7073700000000001</v>
      </c>
      <c r="H125" s="7" t="n">
        <v>46274.20833333334</v>
      </c>
      <c r="I125" s="20" t="n">
        <v>0.7073700000000001</v>
      </c>
      <c r="J125" s="2" t="inlineStr">
        <is>
          <t>止損</t>
        </is>
      </c>
      <c r="K125" s="5">
        <f>(H125-D125)*24</f>
        <v/>
      </c>
      <c r="L125" s="4">
        <f>IF(C125="做多",I125/E125-1,1-I125/E125)-2*參數!$B$7</f>
        <v/>
      </c>
      <c r="M125" s="2" t="inlineStr"/>
      <c r="N125" s="4" t="n">
        <v>0.02675124103695548</v>
      </c>
      <c r="O125" s="4" t="n">
        <v>0.04454342423750336</v>
      </c>
      <c r="P125" s="4" t="n">
        <v>0.02032147114844407</v>
      </c>
      <c r="Q125" s="22" t="n">
        <v>1024515</v>
      </c>
      <c r="R125" s="22" t="n">
        <v>4766286.3946</v>
      </c>
      <c r="S125" s="4" t="n">
        <v>0.003491807681976766</v>
      </c>
      <c r="T125" s="4" t="n">
        <v>0.05</v>
      </c>
      <c r="U125" s="19" t="n">
        <v>0.7723512405947648</v>
      </c>
      <c r="V125" s="19" t="n">
        <v>0.9168704156479228</v>
      </c>
      <c r="W125" s="4" t="n">
        <v>0.2569082689911988</v>
      </c>
      <c r="X125" s="4" t="n">
        <v>0.003233629749393785</v>
      </c>
      <c r="Y125" s="4" t="n">
        <v>-0.002949174078780259</v>
      </c>
      <c r="Z125" s="4" t="n">
        <v>-0.00255304695657721</v>
      </c>
      <c r="AA125" s="4" t="n">
        <v>0.03</v>
      </c>
      <c r="AB125" s="4" t="n">
        <v>0.05</v>
      </c>
      <c r="AC125" s="4">
        <f>(AB125+2*參數!$B$7)/(AA125+AB125)</f>
        <v/>
      </c>
    </row>
    <row r="126">
      <c r="A126" s="2" t="n">
        <v>125</v>
      </c>
      <c r="B126" s="2" t="inlineStr">
        <is>
          <t>PUMP_USDT_PERP</t>
        </is>
      </c>
      <c r="C126" s="2" t="inlineStr">
        <is>
          <t>做多</t>
        </is>
      </c>
      <c r="D126" s="7" t="n">
        <v>46274.375</v>
      </c>
      <c r="E126" s="20" t="n">
        <v>0.004415</v>
      </c>
      <c r="F126" s="20" t="n">
        <v>0.00454745</v>
      </c>
      <c r="G126" s="20" t="n">
        <v>0.004194249999999999</v>
      </c>
      <c r="H126" s="7" t="n">
        <v>46274.625</v>
      </c>
      <c r="I126" s="20" t="n">
        <v>0.00454745</v>
      </c>
      <c r="J126" s="2" t="inlineStr">
        <is>
          <t>止盈</t>
        </is>
      </c>
      <c r="K126" s="5">
        <f>(H126-D126)*24</f>
        <v/>
      </c>
      <c r="L126" s="4">
        <f>IF(C126="做多",I126/E126-1,1-I126/E126)-2*參數!$B$7</f>
        <v/>
      </c>
      <c r="M126" s="2" t="inlineStr"/>
      <c r="N126" s="4" t="n">
        <v>0.02341214649976808</v>
      </c>
      <c r="O126" s="4" t="n">
        <v>0.02357135724918269</v>
      </c>
      <c r="P126" s="4" t="n">
        <v>0.02019595156668808</v>
      </c>
      <c r="Q126" s="22" t="n">
        <v>42353615</v>
      </c>
      <c r="R126" s="22" t="n">
        <v>4256449.039159</v>
      </c>
      <c r="S126" s="4" t="n">
        <v>0.03</v>
      </c>
      <c r="T126" s="4" t="n">
        <v>0.01041902604756517</v>
      </c>
      <c r="U126" s="19" t="n">
        <v>0.7383883424620865</v>
      </c>
      <c r="V126" s="19" t="n">
        <v>0.8059701492537309</v>
      </c>
      <c r="W126" s="4" t="n">
        <v>0.06027857829010563</v>
      </c>
      <c r="X126" s="4" t="n">
        <v>0.006611947104423033</v>
      </c>
      <c r="Y126" s="4" t="n">
        <v>0.004082845291785597</v>
      </c>
      <c r="Z126" s="4" t="n">
        <v>0.003343058304274615</v>
      </c>
      <c r="AA126" s="4" t="n">
        <v>0.03</v>
      </c>
      <c r="AB126" s="4" t="n">
        <v>0.05</v>
      </c>
      <c r="AC126" s="4">
        <f>(AB126+2*參數!$B$7)/(AA126+AB126)</f>
        <v/>
      </c>
    </row>
    <row r="127">
      <c r="A127" s="2" t="n">
        <v>126</v>
      </c>
      <c r="B127" s="2" t="inlineStr">
        <is>
          <t>UAI_USDT_PERP</t>
        </is>
      </c>
      <c r="C127" s="2" t="inlineStr">
        <is>
          <t>做多</t>
        </is>
      </c>
      <c r="D127" s="7" t="n">
        <v>46274.41666666666</v>
      </c>
      <c r="E127" s="20" t="n">
        <v>0.7438</v>
      </c>
      <c r="F127" s="20" t="n">
        <v>0.7661140000000001</v>
      </c>
      <c r="G127" s="20" t="n">
        <v>0.70661</v>
      </c>
      <c r="H127" s="7" t="n">
        <v>46274.58333333334</v>
      </c>
      <c r="I127" s="20" t="n">
        <v>0.70661</v>
      </c>
      <c r="J127" s="2" t="inlineStr">
        <is>
          <t>止損</t>
        </is>
      </c>
      <c r="K127" s="5">
        <f>(H127-D127)*24</f>
        <v/>
      </c>
      <c r="L127" s="4">
        <f>IF(C127="做多",I127/E127-1,1-I127/E127)-2*參數!$B$7</f>
        <v/>
      </c>
      <c r="M127" s="2" t="inlineStr"/>
      <c r="N127" s="4" t="n">
        <v>0.02508269018743103</v>
      </c>
      <c r="O127" s="4" t="n">
        <v>0.03774299419188885</v>
      </c>
      <c r="P127" s="4" t="n">
        <v>0.02128945001682014</v>
      </c>
      <c r="Q127" s="22" t="n">
        <v>730563</v>
      </c>
      <c r="R127" s="22" t="n">
        <v>3871168.9563</v>
      </c>
      <c r="S127" s="4" t="n">
        <v>0</v>
      </c>
      <c r="T127" s="4" t="n">
        <v>0.05</v>
      </c>
      <c r="U127" s="19" t="n">
        <v>0.8614060557989802</v>
      </c>
      <c r="V127" s="19" t="n">
        <v>0.9748953974895425</v>
      </c>
      <c r="W127" s="4" t="n">
        <v>0.2144149321769342</v>
      </c>
      <c r="X127" s="4" t="n">
        <v>0.02282728272827295</v>
      </c>
      <c r="Y127" s="4" t="n">
        <v>0.001308004607224023</v>
      </c>
      <c r="Z127" s="4" t="n">
        <v>0.004466018860912024</v>
      </c>
      <c r="AA127" s="4" t="n">
        <v>0.03</v>
      </c>
      <c r="AB127" s="4" t="n">
        <v>0.05</v>
      </c>
      <c r="AC127" s="4">
        <f>(AB127+2*參數!$B$7)/(AA127+AB127)</f>
        <v/>
      </c>
    </row>
    <row r="128">
      <c r="A128" s="2" t="n">
        <v>127</v>
      </c>
      <c r="B128" s="2" t="inlineStr">
        <is>
          <t>IOST_USDT_PERP</t>
        </is>
      </c>
      <c r="C128" s="2" t="inlineStr">
        <is>
          <t>做空</t>
        </is>
      </c>
      <c r="D128" s="7" t="n">
        <v>46274.5</v>
      </c>
      <c r="E128" s="20" t="n">
        <v>0.000857</v>
      </c>
      <c r="F128" s="20" t="n">
        <v>0.0008312899999999999</v>
      </c>
      <c r="G128" s="20" t="n">
        <v>0.0008998500000000001</v>
      </c>
      <c r="H128" s="7" t="n">
        <v>46274.54166666666</v>
      </c>
      <c r="I128" s="20" t="n">
        <v>0.0008998500000000001</v>
      </c>
      <c r="J128" s="2" t="inlineStr">
        <is>
          <t>止損</t>
        </is>
      </c>
      <c r="K128" s="5">
        <f>(H128-D128)*24</f>
        <v/>
      </c>
      <c r="L128" s="4">
        <f>IF(C128="做多",I128/E128-1,1-I128/E128)-2*參數!$B$7</f>
        <v/>
      </c>
      <c r="M128" s="2" t="inlineStr"/>
      <c r="N128" s="4" t="n">
        <v>-0.03923766816143492</v>
      </c>
      <c r="O128" s="4" t="n">
        <v>0.06156972651263126</v>
      </c>
      <c r="P128" s="4" t="n">
        <v>-0.04325983812447676</v>
      </c>
      <c r="Q128" s="22" t="n">
        <v>-152704396</v>
      </c>
      <c r="R128" s="22" t="n">
        <v>1821513.247362</v>
      </c>
      <c r="S128" s="4" t="n">
        <v>0</v>
      </c>
      <c r="T128" s="4" t="n">
        <v>0.05</v>
      </c>
      <c r="U128" s="19" t="n">
        <v>1.111824073263994</v>
      </c>
      <c r="V128" s="19" t="n">
        <v>0.6911764705882351</v>
      </c>
      <c r="W128" s="4" t="n">
        <v>-0.07096887067144886</v>
      </c>
      <c r="X128" s="4" t="n">
        <v>0.1907459867799811</v>
      </c>
      <c r="Y128" s="4" t="n">
        <v>0.001216173970064571</v>
      </c>
      <c r="Z128" s="4" t="n">
        <v>-0.0008652575196506085</v>
      </c>
      <c r="AA128" s="4" t="n">
        <v>0.03</v>
      </c>
      <c r="AB128" s="4" t="n">
        <v>0.05</v>
      </c>
      <c r="AC128" s="4">
        <f>(AB128+2*參數!$B$7)/(AA128+AB128)</f>
        <v/>
      </c>
    </row>
    <row r="129">
      <c r="A129" s="2" t="n">
        <v>128</v>
      </c>
      <c r="B129" s="2" t="inlineStr">
        <is>
          <t>XPL_USDT_PERP</t>
        </is>
      </c>
      <c r="C129" s="2" t="inlineStr">
        <is>
          <t>做空</t>
        </is>
      </c>
      <c r="D129" s="7" t="n">
        <v>46274.5</v>
      </c>
      <c r="E129" s="20" t="n">
        <v>0.09710000000000001</v>
      </c>
      <c r="F129" s="20" t="n">
        <v>0.09418700000000001</v>
      </c>
      <c r="G129" s="20" t="n">
        <v>0.101955</v>
      </c>
      <c r="H129" s="7" t="n">
        <v>46275</v>
      </c>
      <c r="I129" s="20" t="n">
        <v>0.09418700000000001</v>
      </c>
      <c r="J129" s="2" t="inlineStr">
        <is>
          <t>止盈</t>
        </is>
      </c>
      <c r="K129" s="5">
        <f>(H129-D129)*24</f>
        <v/>
      </c>
      <c r="L129" s="4">
        <f>IF(C129="做多",I129/E129-1,1-I129/E129)-2*參數!$B$7</f>
        <v/>
      </c>
      <c r="M129" s="2" t="inlineStr"/>
      <c r="N129" s="4" t="n">
        <v>-0.02313883299798791</v>
      </c>
      <c r="O129" s="4" t="n">
        <v>0.0223472353481632</v>
      </c>
      <c r="P129" s="4" t="n">
        <v>-0.003642706890359615</v>
      </c>
      <c r="Q129" s="22" t="n">
        <v>-3281546</v>
      </c>
      <c r="R129" s="22" t="n">
        <v>1210874.6298</v>
      </c>
      <c r="S129" s="4" t="n">
        <v>0.03</v>
      </c>
      <c r="T129" s="4" t="n">
        <v>0.02574665293511824</v>
      </c>
      <c r="U129" s="19" t="n">
        <v>0.6742122447118076</v>
      </c>
      <c r="V129" s="19" t="n">
        <v>0.8571428571428537</v>
      </c>
      <c r="W129" s="4" t="n">
        <v>-0.04589665980891655</v>
      </c>
      <c r="X129" s="4" t="n">
        <v>-0.04633620689655182</v>
      </c>
      <c r="Y129" s="4" t="n">
        <v>0.001216173970064571</v>
      </c>
      <c r="Z129" s="4" t="n">
        <v>-0.0008652575196506085</v>
      </c>
      <c r="AA129" s="4" t="n">
        <v>0.03</v>
      </c>
      <c r="AB129" s="4" t="n">
        <v>0.05</v>
      </c>
      <c r="AC129" s="4">
        <f>(AB129+2*參數!$B$7)/(AA129+AB129)</f>
        <v/>
      </c>
    </row>
    <row r="130">
      <c r="A130" s="2" t="n">
        <v>129</v>
      </c>
      <c r="B130" s="2" t="inlineStr">
        <is>
          <t>DASH_USDT_PERP</t>
        </is>
      </c>
      <c r="C130" s="2" t="inlineStr">
        <is>
          <t>做多</t>
        </is>
      </c>
      <c r="D130" s="7" t="n">
        <v>46274.54166666666</v>
      </c>
      <c r="E130" s="20" t="n">
        <v>64.79000000000001</v>
      </c>
      <c r="F130" s="20" t="n">
        <v>66.73370000000001</v>
      </c>
      <c r="G130" s="20" t="n">
        <v>61.5505</v>
      </c>
      <c r="H130" s="7" t="n">
        <v>46275.25</v>
      </c>
      <c r="I130" s="20" t="n">
        <v>61.5505</v>
      </c>
      <c r="J130" s="2" t="inlineStr">
        <is>
          <t>止損</t>
        </is>
      </c>
      <c r="K130" s="5">
        <f>(H130-D130)*24</f>
        <v/>
      </c>
      <c r="L130" s="4">
        <f>IF(C130="做多",I130/E130-1,1-I130/E130)-2*參數!$B$7</f>
        <v/>
      </c>
      <c r="M130" s="2" t="inlineStr"/>
      <c r="N130" s="4" t="n">
        <v>0.04382149186402451</v>
      </c>
      <c r="O130" s="4" t="n">
        <v>0.02002132949572752</v>
      </c>
      <c r="P130" s="4" t="n">
        <v>0.03192616129520354</v>
      </c>
      <c r="Q130" s="22" t="n">
        <v>11375.907</v>
      </c>
      <c r="R130" s="22" t="n">
        <v>2439474.88492</v>
      </c>
      <c r="S130" s="4" t="n">
        <v>0.02361475536348179</v>
      </c>
      <c r="T130" s="4" t="n">
        <v>0.05</v>
      </c>
      <c r="U130" s="19" t="n">
        <v>1.125007412142245</v>
      </c>
      <c r="V130" s="19" t="n">
        <v>0.9513888888888888</v>
      </c>
      <c r="W130" s="4" t="n">
        <v>-0.02844049629160872</v>
      </c>
      <c r="X130" s="4" t="n">
        <v>0.03300382653061229</v>
      </c>
      <c r="Y130" s="4" t="n">
        <v>0.006898771784506819</v>
      </c>
      <c r="Z130" s="4" t="n">
        <v>0.007295313963002314</v>
      </c>
      <c r="AA130" s="4" t="n">
        <v>0.03</v>
      </c>
      <c r="AB130" s="4" t="n">
        <v>0.05</v>
      </c>
      <c r="AC130" s="4">
        <f>(AB130+2*參數!$B$7)/(AA130+AB130)</f>
        <v/>
      </c>
    </row>
    <row r="131">
      <c r="A131" s="2" t="n">
        <v>130</v>
      </c>
      <c r="B131" s="2" t="inlineStr">
        <is>
          <t>PONS_USDT_PERP</t>
        </is>
      </c>
      <c r="C131" s="2" t="inlineStr">
        <is>
          <t>做多</t>
        </is>
      </c>
      <c r="D131" s="7" t="n">
        <v>46274.54166666666</v>
      </c>
      <c r="E131" s="20" t="n">
        <v>0.8091</v>
      </c>
      <c r="F131" s="20" t="n">
        <v>0.833373</v>
      </c>
      <c r="G131" s="20" t="n">
        <v>0.768645</v>
      </c>
      <c r="H131" s="7" t="n">
        <v>46274.70833333334</v>
      </c>
      <c r="I131" s="20" t="n">
        <v>0.833373</v>
      </c>
      <c r="J131" s="2" t="inlineStr">
        <is>
          <t>止盈</t>
        </is>
      </c>
      <c r="K131" s="5">
        <f>(H131-D131)*24</f>
        <v/>
      </c>
      <c r="L131" s="4">
        <f>IF(C131="做多",I131/E131-1,1-I131/E131)-2*參數!$B$7</f>
        <v/>
      </c>
      <c r="M131" s="2" t="inlineStr"/>
      <c r="N131" s="4" t="n">
        <v>0.0582003662045516</v>
      </c>
      <c r="O131" s="4" t="n">
        <v>0.04569447016875642</v>
      </c>
      <c r="P131" s="4" t="n">
        <v>0.03845931706315331</v>
      </c>
      <c r="Q131" s="22" t="n">
        <v>5419793</v>
      </c>
      <c r="R131" s="22" t="n">
        <v>11243844.1629</v>
      </c>
      <c r="S131" s="4" t="n">
        <v>0.03</v>
      </c>
      <c r="T131" s="4" t="n">
        <v>0.02410085279940688</v>
      </c>
      <c r="U131" s="19" t="n">
        <v>0.6149788240205761</v>
      </c>
      <c r="V131" s="19" t="n">
        <v>1</v>
      </c>
      <c r="W131" s="4" t="n">
        <v>0.003844908381006817</v>
      </c>
      <c r="X131" s="4" t="n">
        <v>0.172608695652174</v>
      </c>
      <c r="Y131" s="4" t="n">
        <v>0.006898771784506819</v>
      </c>
      <c r="Z131" s="4" t="n">
        <v>0.007295313963002314</v>
      </c>
      <c r="AA131" s="4" t="n">
        <v>0.03</v>
      </c>
      <c r="AB131" s="4" t="n">
        <v>0.05</v>
      </c>
      <c r="AC131" s="4">
        <f>(AB131+2*參數!$B$7)/(AA131+AB131)</f>
        <v/>
      </c>
    </row>
    <row r="132">
      <c r="A132" s="2" t="n">
        <v>131</v>
      </c>
      <c r="B132" s="2" t="inlineStr">
        <is>
          <t>USELESS_USDT_PERP</t>
        </is>
      </c>
      <c r="C132" s="2" t="inlineStr">
        <is>
          <t>做多</t>
        </is>
      </c>
      <c r="D132" s="7" t="n">
        <v>46274.54166666666</v>
      </c>
      <c r="E132" s="20" t="n">
        <v>0.29433</v>
      </c>
      <c r="F132" s="20" t="n">
        <v>0.3031599</v>
      </c>
      <c r="G132" s="20" t="n">
        <v>0.2796135</v>
      </c>
      <c r="H132" s="7" t="n">
        <v>46274.58333333334</v>
      </c>
      <c r="I132" s="20" t="n">
        <v>0.3031599</v>
      </c>
      <c r="J132" s="2" t="inlineStr">
        <is>
          <t>止盈</t>
        </is>
      </c>
      <c r="K132" s="5">
        <f>(H132-D132)*24</f>
        <v/>
      </c>
      <c r="L132" s="4">
        <f>IF(C132="做多",I132/E132-1,1-I132/E132)-2*參數!$B$7</f>
        <v/>
      </c>
      <c r="M132" s="2" t="inlineStr"/>
      <c r="N132" s="4" t="n">
        <v>0.0267206195276799</v>
      </c>
      <c r="O132" s="4" t="n">
        <v>0.0508450163025153</v>
      </c>
      <c r="P132" s="4" t="n">
        <v>0.04805499324335138</v>
      </c>
      <c r="Q132" s="22" t="n">
        <v>6113083</v>
      </c>
      <c r="R132" s="22" t="n">
        <v>11277342.91036</v>
      </c>
      <c r="S132" s="4" t="n">
        <v>0.03</v>
      </c>
      <c r="T132" s="4" t="n">
        <v>0</v>
      </c>
      <c r="U132" s="19" t="n">
        <v>1.056596246365362</v>
      </c>
      <c r="V132" s="19" t="n">
        <v>0.907578558225508</v>
      </c>
      <c r="W132" s="4" t="n">
        <v>0.2013160477914242</v>
      </c>
      <c r="X132" s="4" t="n">
        <v>0.3273055242390077</v>
      </c>
      <c r="Y132" s="4" t="n">
        <v>0.006898771784506819</v>
      </c>
      <c r="Z132" s="4" t="n">
        <v>0.007295313963002314</v>
      </c>
      <c r="AA132" s="4" t="n">
        <v>0.03</v>
      </c>
      <c r="AB132" s="4" t="n">
        <v>0.05</v>
      </c>
      <c r="AC132" s="4">
        <f>(AB132+2*參數!$B$7)/(AA132+AB132)</f>
        <v/>
      </c>
    </row>
    <row r="133">
      <c r="A133" s="2" t="n">
        <v>132</v>
      </c>
      <c r="B133" s="2" t="inlineStr">
        <is>
          <t>NEAR_USDT_PERP</t>
        </is>
      </c>
      <c r="C133" s="2" t="inlineStr">
        <is>
          <t>做多</t>
        </is>
      </c>
      <c r="D133" s="7" t="n">
        <v>46274.625</v>
      </c>
      <c r="E133" s="20" t="n">
        <v>2.393</v>
      </c>
      <c r="F133" s="20" t="n">
        <v>2.46479</v>
      </c>
      <c r="G133" s="20" t="n">
        <v>2.27335</v>
      </c>
      <c r="H133" s="7" t="n">
        <v>46274.66666666666</v>
      </c>
      <c r="I133" s="20" t="n">
        <v>2.46479</v>
      </c>
      <c r="J133" s="2" t="inlineStr">
        <is>
          <t>止盈</t>
        </is>
      </c>
      <c r="K133" s="5">
        <f>(H133-D133)*24</f>
        <v/>
      </c>
      <c r="L133" s="4">
        <f>IF(C133="做多",I133/E133-1,1-I133/E133)-2*參數!$B$7</f>
        <v/>
      </c>
      <c r="M133" s="2" t="inlineStr"/>
      <c r="N133" s="4" t="n">
        <v>0.02836269875376018</v>
      </c>
      <c r="O133" s="4" t="n">
        <v>0.02002500005067401</v>
      </c>
      <c r="P133" s="4" t="n">
        <v>0.02840689329150359</v>
      </c>
      <c r="Q133" s="22" t="n">
        <v>96786</v>
      </c>
      <c r="R133" s="22" t="n">
        <v>4162375.795</v>
      </c>
      <c r="S133" s="4" t="n">
        <v>0.03</v>
      </c>
      <c r="T133" s="4" t="n">
        <v>0</v>
      </c>
      <c r="U133" s="19" t="n">
        <v>1.642785689777653</v>
      </c>
      <c r="V133" s="19" t="n">
        <v>0.9124999999999986</v>
      </c>
      <c r="W133" s="4" t="n">
        <v>0.03500774201361567</v>
      </c>
      <c r="X133" s="4" t="n">
        <v>0.05186813186813177</v>
      </c>
      <c r="Y133" s="4" t="n">
        <v>0.002774169428374051</v>
      </c>
      <c r="Z133" s="4" t="n">
        <v>0.006666035634970591</v>
      </c>
      <c r="AA133" s="4" t="n">
        <v>0.03</v>
      </c>
      <c r="AB133" s="4" t="n">
        <v>0.05</v>
      </c>
      <c r="AC133" s="4">
        <f>(AB133+2*參數!$B$7)/(AA133+AB133)</f>
        <v/>
      </c>
    </row>
    <row r="134">
      <c r="A134" s="2" t="n">
        <v>133</v>
      </c>
      <c r="B134" s="2" t="inlineStr">
        <is>
          <t>BULLA_USDT_PERP</t>
        </is>
      </c>
      <c r="C134" s="2" t="inlineStr">
        <is>
          <t>做多</t>
        </is>
      </c>
      <c r="D134" s="7" t="n">
        <v>46274.70833333334</v>
      </c>
      <c r="E134" s="20" t="n">
        <v>0.07983</v>
      </c>
      <c r="F134" s="20" t="n">
        <v>0.0822249</v>
      </c>
      <c r="G134" s="20" t="n">
        <v>0.07583849999999999</v>
      </c>
      <c r="H134" s="7" t="n">
        <v>46274.75</v>
      </c>
      <c r="I134" s="20" t="n">
        <v>0.0822249</v>
      </c>
      <c r="J134" s="2" t="inlineStr">
        <is>
          <t>止盈</t>
        </is>
      </c>
      <c r="K134" s="5">
        <f>(H134-D134)*24</f>
        <v/>
      </c>
      <c r="L134" s="4">
        <f>IF(C134="做多",I134/E134-1,1-I134/E134)-2*參數!$B$7</f>
        <v/>
      </c>
      <c r="M134" s="2" t="inlineStr"/>
      <c r="N134" s="4" t="n">
        <v>0.03112890725910611</v>
      </c>
      <c r="O134" s="4" t="n">
        <v>0.03302822274806555</v>
      </c>
      <c r="P134" s="4" t="n">
        <v>0.01881807913930733</v>
      </c>
      <c r="Q134" s="22" t="n">
        <v>185494</v>
      </c>
      <c r="R134" s="22" t="n">
        <v>1714640.3982</v>
      </c>
      <c r="S134" s="4" t="n">
        <v>0.03</v>
      </c>
      <c r="T134" s="4" t="n">
        <v>0</v>
      </c>
      <c r="U134" s="19" t="n">
        <v>2.257015579100294</v>
      </c>
      <c r="V134" s="19" t="n">
        <v>0.8260869565217376</v>
      </c>
      <c r="W134" s="4" t="n">
        <v>0.03024131883278036</v>
      </c>
      <c r="X134" s="4" t="n">
        <v>0.02503852080123248</v>
      </c>
      <c r="Y134" s="4" t="n">
        <v>0.00523307830436659</v>
      </c>
      <c r="Z134" s="4" t="n">
        <v>0.01212964589387644</v>
      </c>
      <c r="AA134" s="4" t="n">
        <v>0.03</v>
      </c>
      <c r="AB134" s="4" t="n">
        <v>0.05</v>
      </c>
      <c r="AC134" s="4">
        <f>(AB134+2*參數!$B$7)/(AA134+AB134)</f>
        <v/>
      </c>
    </row>
    <row r="135">
      <c r="A135" s="2" t="n">
        <v>134</v>
      </c>
      <c r="B135" s="2" t="inlineStr">
        <is>
          <t>FF_USDT_PERP</t>
        </is>
      </c>
      <c r="C135" s="2" t="inlineStr">
        <is>
          <t>做多</t>
        </is>
      </c>
      <c r="D135" s="7" t="n">
        <v>46274.70833333334</v>
      </c>
      <c r="E135" s="20" t="n">
        <v>0.15464</v>
      </c>
      <c r="F135" s="20" t="n">
        <v>0.1592792</v>
      </c>
      <c r="G135" s="20" t="n">
        <v>0.146908</v>
      </c>
      <c r="H135" s="7" t="n">
        <v>46274.75</v>
      </c>
      <c r="I135" s="20" t="n">
        <v>0.1592792</v>
      </c>
      <c r="J135" s="2" t="inlineStr">
        <is>
          <t>止盈</t>
        </is>
      </c>
      <c r="K135" s="5">
        <f>(H135-D135)*24</f>
        <v/>
      </c>
      <c r="L135" s="4">
        <f>IF(C135="做多",I135/E135-1,1-I135/E135)-2*參數!$B$7</f>
        <v/>
      </c>
      <c r="M135" s="2" t="inlineStr"/>
      <c r="N135" s="4" t="n">
        <v>0.0481935877448656</v>
      </c>
      <c r="O135" s="4" t="n">
        <v>0.0273836460356741</v>
      </c>
      <c r="P135" s="4" t="n">
        <v>0.05559196155526447</v>
      </c>
      <c r="Q135" s="22" t="n">
        <v>773788</v>
      </c>
      <c r="R135" s="22" t="n">
        <v>1793648.90954</v>
      </c>
      <c r="S135" s="4" t="n">
        <v>0.03</v>
      </c>
      <c r="T135" s="4" t="n">
        <v>0</v>
      </c>
      <c r="U135" s="19" t="n">
        <v>1.095872431245166</v>
      </c>
      <c r="V135" s="19" t="n">
        <v>0.8704902867715069</v>
      </c>
      <c r="W135" s="4" t="n">
        <v>0.2387700416955385</v>
      </c>
      <c r="X135" s="4" t="n">
        <v>0.2914648404877234</v>
      </c>
      <c r="Y135" s="4" t="n">
        <v>0.00523307830436659</v>
      </c>
      <c r="Z135" s="4" t="n">
        <v>0.01212964589387644</v>
      </c>
      <c r="AA135" s="4" t="n">
        <v>0.03</v>
      </c>
      <c r="AB135" s="4" t="n">
        <v>0.05</v>
      </c>
      <c r="AC135" s="4">
        <f>(AB135+2*參數!$B$7)/(AA135+AB135)</f>
        <v/>
      </c>
    </row>
    <row r="136">
      <c r="A136" s="2" t="n">
        <v>135</v>
      </c>
      <c r="B136" s="2" t="inlineStr">
        <is>
          <t>WLD_USDT_PERP</t>
        </is>
      </c>
      <c r="C136" s="2" t="inlineStr">
        <is>
          <t>做空</t>
        </is>
      </c>
      <c r="D136" s="7" t="n">
        <v>46274.75</v>
      </c>
      <c r="E136" s="20" t="n">
        <v>0.4456</v>
      </c>
      <c r="F136" s="20" t="n">
        <v>0.432232</v>
      </c>
      <c r="G136" s="20" t="n">
        <v>0.46788</v>
      </c>
      <c r="H136" s="7" t="n">
        <v>46275</v>
      </c>
      <c r="I136" s="20" t="n">
        <v>0.432232</v>
      </c>
      <c r="J136" s="2" t="inlineStr">
        <is>
          <t>止盈</t>
        </is>
      </c>
      <c r="K136" s="5">
        <f>(H136-D136)*24</f>
        <v/>
      </c>
      <c r="L136" s="4">
        <f>IF(C136="做多",I136/E136-1,1-I136/E136)-2*參數!$B$7</f>
        <v/>
      </c>
      <c r="M136" s="2" t="inlineStr"/>
      <c r="N136" s="4" t="n">
        <v>-0.02451838879159363</v>
      </c>
      <c r="O136" s="4" t="n">
        <v>0.02025988260312546</v>
      </c>
      <c r="P136" s="4" t="n">
        <v>-0.03349998373260754</v>
      </c>
      <c r="Q136" s="22" t="n">
        <v>-187183</v>
      </c>
      <c r="R136" s="22" t="n">
        <v>1411793.6703</v>
      </c>
      <c r="S136" s="4" t="n">
        <v>0.03</v>
      </c>
      <c r="T136" s="4" t="n">
        <v>0.02176840215439846</v>
      </c>
      <c r="U136" s="19" t="n">
        <v>2.03583722335109</v>
      </c>
      <c r="V136" s="19" t="n">
        <v>0.9338842975206593</v>
      </c>
      <c r="W136" s="4" t="n">
        <v>-0.02207226528004935</v>
      </c>
      <c r="X136" s="4" t="n">
        <v>0.07895824720959077</v>
      </c>
      <c r="Y136" s="4" t="n">
        <v>0.009383559752248916</v>
      </c>
      <c r="Z136" s="4" t="n">
        <v>-0.002010608756258581</v>
      </c>
      <c r="AA136" s="4" t="n">
        <v>0.03</v>
      </c>
      <c r="AB136" s="4" t="n">
        <v>0.05</v>
      </c>
      <c r="AC136" s="4">
        <f>(AB136+2*參數!$B$7)/(AA136+AB136)</f>
        <v/>
      </c>
    </row>
    <row r="137">
      <c r="A137" s="2" t="n">
        <v>136</v>
      </c>
      <c r="B137" s="2" t="inlineStr">
        <is>
          <t>VVV_USDT_PERP</t>
        </is>
      </c>
      <c r="C137" s="2" t="inlineStr">
        <is>
          <t>做多</t>
        </is>
      </c>
      <c r="D137" s="7" t="n">
        <v>46274.79166666666</v>
      </c>
      <c r="E137" s="20" t="n">
        <v>26.225</v>
      </c>
      <c r="F137" s="20" t="n">
        <v>27.01175</v>
      </c>
      <c r="G137" s="20" t="n">
        <v>24.91375</v>
      </c>
      <c r="H137" s="7" t="n">
        <v>46274.83333333334</v>
      </c>
      <c r="I137" s="20" t="n">
        <v>27.01175</v>
      </c>
      <c r="J137" s="2" t="inlineStr">
        <is>
          <t>止盈</t>
        </is>
      </c>
      <c r="K137" s="5">
        <f>(H137-D137)*24</f>
        <v/>
      </c>
      <c r="L137" s="4">
        <f>IF(C137="做多",I137/E137-1,1-I137/E137)-2*參數!$B$7</f>
        <v/>
      </c>
      <c r="M137" s="2" t="inlineStr"/>
      <c r="N137" s="4" t="n">
        <v>0.0220187061574435</v>
      </c>
      <c r="O137" s="4" t="n">
        <v>0.05397922222697878</v>
      </c>
      <c r="P137" s="4" t="n">
        <v>0.04394313943258843</v>
      </c>
      <c r="Q137" s="22" t="n">
        <v>10316.69999999997</v>
      </c>
      <c r="R137" s="22" t="n">
        <v>12372708.74157</v>
      </c>
      <c r="S137" s="4" t="n">
        <v>0.03</v>
      </c>
      <c r="T137" s="4" t="n">
        <v>0</v>
      </c>
      <c r="U137" s="19" t="n">
        <v>0.8287536617025847</v>
      </c>
      <c r="V137" s="19" t="n">
        <v>0.8229284903518743</v>
      </c>
      <c r="W137" s="4" t="n">
        <v>0.3729396089805173</v>
      </c>
      <c r="X137" s="4" t="n">
        <v>0.4347849874165666</v>
      </c>
      <c r="Y137" s="4" t="n">
        <v>-0.0003877683173010293</v>
      </c>
      <c r="Z137" s="4" t="n">
        <v>0.001394646669198751</v>
      </c>
      <c r="AA137" s="4" t="n">
        <v>0.03</v>
      </c>
      <c r="AB137" s="4" t="n">
        <v>0.05</v>
      </c>
      <c r="AC137" s="4">
        <f>(AB137+2*參數!$B$7)/(AA137+AB137)</f>
        <v/>
      </c>
    </row>
    <row r="138">
      <c r="A138" s="2" t="n">
        <v>137</v>
      </c>
      <c r="B138" s="2" t="inlineStr">
        <is>
          <t>PUMP_USDT_PERP</t>
        </is>
      </c>
      <c r="C138" s="2" t="inlineStr">
        <is>
          <t>做多</t>
        </is>
      </c>
      <c r="D138" s="7" t="n">
        <v>46274.83333333334</v>
      </c>
      <c r="E138" s="20" t="n">
        <v>0.004602</v>
      </c>
      <c r="F138" s="20" t="n">
        <v>0.00474006</v>
      </c>
      <c r="G138" s="20" t="n">
        <v>0.0043719</v>
      </c>
      <c r="H138" s="7" t="n">
        <v>46274.875</v>
      </c>
      <c r="I138" s="20" t="n">
        <v>0.00474006</v>
      </c>
      <c r="J138" s="2" t="inlineStr">
        <is>
          <t>止盈</t>
        </is>
      </c>
      <c r="K138" s="5">
        <f>(H138-D138)*24</f>
        <v/>
      </c>
      <c r="L138" s="4">
        <f>IF(C138="做多",I138/E138-1,1-I138/E138)-2*參數!$B$7</f>
        <v/>
      </c>
      <c r="M138" s="2" t="inlineStr"/>
      <c r="N138" s="4" t="n">
        <v>0.03578663065496301</v>
      </c>
      <c r="O138" s="4" t="n">
        <v>0.02507227917066778</v>
      </c>
      <c r="P138" s="4" t="n">
        <v>0.03913112199968394</v>
      </c>
      <c r="Q138" s="22" t="n">
        <v>127764236</v>
      </c>
      <c r="R138" s="22" t="n">
        <v>4847507.429121</v>
      </c>
      <c r="S138" s="4" t="n">
        <v>0.03</v>
      </c>
      <c r="T138" s="4" t="n">
        <v>0</v>
      </c>
      <c r="U138" s="19" t="n">
        <v>4.045779838619979</v>
      </c>
      <c r="V138" s="19" t="n">
        <v>0.9685039370078733</v>
      </c>
      <c r="W138" s="4" t="n">
        <v>0.09744406660021276</v>
      </c>
      <c r="X138" s="4" t="n">
        <v>0.06503124276787786</v>
      </c>
      <c r="Y138" s="4" t="n">
        <v>0.005059423826577536</v>
      </c>
      <c r="Z138" s="4" t="n">
        <v>0.006198312887727875</v>
      </c>
      <c r="AA138" s="4" t="n">
        <v>0.03</v>
      </c>
      <c r="AB138" s="4" t="n">
        <v>0.05</v>
      </c>
      <c r="AC138" s="4">
        <f>(AB138+2*參數!$B$7)/(AA138+AB138)</f>
        <v/>
      </c>
    </row>
    <row r="139">
      <c r="A139" s="2" t="n">
        <v>138</v>
      </c>
      <c r="B139" s="2" t="inlineStr">
        <is>
          <t>BULLA_USDT_PERP</t>
        </is>
      </c>
      <c r="C139" s="2" t="inlineStr">
        <is>
          <t>做多</t>
        </is>
      </c>
      <c r="D139" s="7" t="n">
        <v>46274.875</v>
      </c>
      <c r="E139" s="20" t="n">
        <v>0.08321000000000001</v>
      </c>
      <c r="F139" s="20" t="n">
        <v>0.08570630000000001</v>
      </c>
      <c r="G139" s="20" t="n">
        <v>0.07904950000000001</v>
      </c>
      <c r="H139" s="7" t="n">
        <v>46274.91666666666</v>
      </c>
      <c r="I139" s="20" t="n">
        <v>0.08570630000000001</v>
      </c>
      <c r="J139" s="2" t="inlineStr">
        <is>
          <t>止盈</t>
        </is>
      </c>
      <c r="K139" s="5">
        <f>(H139-D139)*24</f>
        <v/>
      </c>
      <c r="L139" s="4">
        <f>IF(C139="做多",I139/E139-1,1-I139/E139)-2*參數!$B$7</f>
        <v/>
      </c>
      <c r="M139" s="2" t="inlineStr"/>
      <c r="N139" s="4" t="n">
        <v>0.02791846819024113</v>
      </c>
      <c r="O139" s="4" t="n">
        <v>0.07885590541266246</v>
      </c>
      <c r="P139" s="4" t="n">
        <v>0.057400277025911</v>
      </c>
      <c r="Q139" s="22" t="n">
        <v>9279213</v>
      </c>
      <c r="R139" s="22" t="n">
        <v>1716997.93514</v>
      </c>
      <c r="S139" s="4" t="n">
        <v>0.03</v>
      </c>
      <c r="T139" s="4" t="n">
        <v>0</v>
      </c>
      <c r="U139" s="19" t="n">
        <v>15.97198728469662</v>
      </c>
      <c r="V139" s="19" t="n">
        <v>0.2433094280216898</v>
      </c>
      <c r="W139" s="4" t="n">
        <v>0.06983842495509673</v>
      </c>
      <c r="X139" s="4" t="n">
        <v>0.0431239814466593</v>
      </c>
      <c r="Y139" s="4" t="n">
        <v>0.003588474501019068</v>
      </c>
      <c r="Z139" s="4" t="n">
        <v>0.009254340501077651</v>
      </c>
      <c r="AA139" s="4" t="n">
        <v>0.03</v>
      </c>
      <c r="AB139" s="4" t="n">
        <v>0.05</v>
      </c>
      <c r="AC139" s="4">
        <f>(AB139+2*參數!$B$7)/(AA139+AB139)</f>
        <v/>
      </c>
    </row>
    <row r="140">
      <c r="A140" s="2" t="n">
        <v>139</v>
      </c>
      <c r="B140" s="2" t="inlineStr">
        <is>
          <t>PONS_USDT_PERP</t>
        </is>
      </c>
      <c r="C140" s="2" t="inlineStr">
        <is>
          <t>做多</t>
        </is>
      </c>
      <c r="D140" s="7" t="n">
        <v>46274.875</v>
      </c>
      <c r="E140" s="20" t="n">
        <v>0.8066</v>
      </c>
      <c r="F140" s="20" t="n">
        <v>0.830798</v>
      </c>
      <c r="G140" s="20" t="n">
        <v>0.7662699999999999</v>
      </c>
      <c r="H140" s="7" t="n">
        <v>46274.95833333334</v>
      </c>
      <c r="I140" s="20" t="n">
        <v>0.7662699999999999</v>
      </c>
      <c r="J140" s="2" t="inlineStr">
        <is>
          <t>止損</t>
        </is>
      </c>
      <c r="K140" s="5">
        <f>(H140-D140)*24</f>
        <v/>
      </c>
      <c r="L140" s="4">
        <f>IF(C140="做多",I140/E140-1,1-I140/E140)-2*參數!$B$7</f>
        <v/>
      </c>
      <c r="M140" s="2" t="inlineStr"/>
      <c r="N140" s="4" t="n">
        <v>0.03264626808347204</v>
      </c>
      <c r="O140" s="4" t="n">
        <v>0.04159531370999592</v>
      </c>
      <c r="P140" s="4" t="n">
        <v>0.01433601609657953</v>
      </c>
      <c r="Q140" s="22" t="n">
        <v>466047</v>
      </c>
      <c r="R140" s="22" t="n">
        <v>10103179.1206</v>
      </c>
      <c r="S140" s="4" t="n">
        <v>0.002603520952144889</v>
      </c>
      <c r="T140" s="4" t="n">
        <v>0.05</v>
      </c>
      <c r="U140" s="19" t="n">
        <v>1.648022119137153</v>
      </c>
      <c r="V140" s="19" t="n">
        <v>0.8281622911694512</v>
      </c>
      <c r="W140" s="4" t="n">
        <v>-0.006887517021795242</v>
      </c>
      <c r="X140" s="4" t="n">
        <v>0.07160887471768285</v>
      </c>
      <c r="Y140" s="4" t="n">
        <v>0.003588474501019068</v>
      </c>
      <c r="Z140" s="4" t="n">
        <v>0.009254340501077651</v>
      </c>
      <c r="AA140" s="4" t="n">
        <v>0.03</v>
      </c>
      <c r="AB140" s="4" t="n">
        <v>0.05</v>
      </c>
      <c r="AC140" s="4">
        <f>(AB140+2*參數!$B$7)/(AA140+AB140)</f>
        <v/>
      </c>
    </row>
    <row r="141">
      <c r="A141" s="2" t="n">
        <v>140</v>
      </c>
      <c r="B141" s="2" t="inlineStr">
        <is>
          <t>DOT_USDT_PERP</t>
        </is>
      </c>
      <c r="C141" s="2" t="inlineStr">
        <is>
          <t>做空</t>
        </is>
      </c>
      <c r="D141" s="7" t="n">
        <v>46274.95833333334</v>
      </c>
      <c r="E141" s="20" t="n">
        <v>1.132</v>
      </c>
      <c r="F141" s="20" t="n">
        <v>1.09804</v>
      </c>
      <c r="G141" s="20" t="n">
        <v>1.1886</v>
      </c>
      <c r="H141" s="7" t="n">
        <v>46275.29166666666</v>
      </c>
      <c r="I141" s="20" t="n">
        <v>1.09804</v>
      </c>
      <c r="J141" s="2" t="inlineStr">
        <is>
          <t>止盈</t>
        </is>
      </c>
      <c r="K141" s="5">
        <f>(H141-D141)*24</f>
        <v/>
      </c>
      <c r="L141" s="4">
        <f>IF(C141="做多",I141/E141-1,1-I141/E141)-2*參數!$B$7</f>
        <v/>
      </c>
      <c r="M141" s="2" t="inlineStr"/>
      <c r="N141" s="4" t="n">
        <v>-0.02413793103448281</v>
      </c>
      <c r="O141" s="4" t="n">
        <v>0.02211709411513277</v>
      </c>
      <c r="P141" s="4" t="n">
        <v>-0.05587989991659725</v>
      </c>
      <c r="Q141" s="22" t="n">
        <v>-270114.6999999997</v>
      </c>
      <c r="R141" s="22" t="n">
        <v>3541739.0673</v>
      </c>
      <c r="S141" s="4" t="n">
        <v>0.03</v>
      </c>
      <c r="T141" s="4" t="n">
        <v>0.007950530035335746</v>
      </c>
      <c r="U141" s="19" t="n">
        <v>1.482383660972677</v>
      </c>
      <c r="V141" s="19" t="n">
        <v>0.8823529411764706</v>
      </c>
      <c r="W141" s="4" t="n">
        <v>-0.08557016408220397</v>
      </c>
      <c r="X141" s="4" t="n">
        <v>-0.008014247551201947</v>
      </c>
      <c r="Y141" s="4" t="n">
        <v>0.002284080452215065</v>
      </c>
      <c r="Z141" s="4" t="n">
        <v>-0.0004650460654174182</v>
      </c>
      <c r="AA141" s="4" t="n">
        <v>0.03</v>
      </c>
      <c r="AB141" s="4" t="n">
        <v>0.05</v>
      </c>
      <c r="AC141" s="4">
        <f>(AB141+2*參數!$B$7)/(AA141+AB141)</f>
        <v/>
      </c>
    </row>
    <row r="142">
      <c r="A142" s="2" t="n">
        <v>141</v>
      </c>
      <c r="B142" s="2" t="inlineStr">
        <is>
          <t>MARSCOIN_USDT_PERP</t>
        </is>
      </c>
      <c r="C142" s="2" t="inlineStr">
        <is>
          <t>做空</t>
        </is>
      </c>
      <c r="D142" s="7" t="n">
        <v>46274.95833333334</v>
      </c>
      <c r="E142" s="20" t="n">
        <v>0.13075</v>
      </c>
      <c r="F142" s="20" t="n">
        <v>0.1268275</v>
      </c>
      <c r="G142" s="20" t="n">
        <v>0.1372875</v>
      </c>
      <c r="H142" s="7" t="n">
        <v>46275</v>
      </c>
      <c r="I142" s="20" t="n">
        <v>0.1268275</v>
      </c>
      <c r="J142" s="2" t="inlineStr">
        <is>
          <t>止盈</t>
        </is>
      </c>
      <c r="K142" s="5">
        <f>(H142-D142)*24</f>
        <v/>
      </c>
      <c r="L142" s="4">
        <f>IF(C142="做多",I142/E142-1,1-I142/E142)-2*參數!$B$7</f>
        <v/>
      </c>
      <c r="M142" s="2" t="inlineStr"/>
      <c r="N142" s="4" t="n">
        <v>-0.04582938042764362</v>
      </c>
      <c r="O142" s="4" t="n">
        <v>0.06592602980287511</v>
      </c>
      <c r="P142" s="4" t="n">
        <v>-0.008150988625028055</v>
      </c>
      <c r="Q142" s="22" t="n">
        <v>-602478</v>
      </c>
      <c r="R142" s="22" t="n">
        <v>3010863.64812</v>
      </c>
      <c r="S142" s="4" t="n">
        <v>0.03</v>
      </c>
      <c r="T142" s="4" t="n">
        <v>0</v>
      </c>
      <c r="U142" s="19" t="n">
        <v>0.9586415265909578</v>
      </c>
      <c r="V142" s="19" t="n">
        <v>0.7476635514018692</v>
      </c>
      <c r="W142" s="4" t="n">
        <v>0.2383687402065578</v>
      </c>
      <c r="X142" s="4" t="n">
        <v>-0.03001417992752486</v>
      </c>
      <c r="Y142" s="4" t="n">
        <v>0.002284080452215065</v>
      </c>
      <c r="Z142" s="4" t="n">
        <v>-0.0004650460654174182</v>
      </c>
      <c r="AA142" s="4" t="n">
        <v>0.03</v>
      </c>
      <c r="AB142" s="4" t="n">
        <v>0.05</v>
      </c>
      <c r="AC142" s="4">
        <f>(AB142+2*參數!$B$7)/(AA142+AB142)</f>
        <v/>
      </c>
    </row>
    <row r="143">
      <c r="A143" s="2" t="n">
        <v>142</v>
      </c>
      <c r="B143" s="2" t="inlineStr">
        <is>
          <t>ENA_USDT_PERP</t>
        </is>
      </c>
      <c r="C143" s="2" t="inlineStr">
        <is>
          <t>做空</t>
        </is>
      </c>
      <c r="D143" s="7" t="n">
        <v>46275</v>
      </c>
      <c r="E143" s="20" t="n">
        <v>0.1563</v>
      </c>
      <c r="F143" s="20" t="n">
        <v>0.151611</v>
      </c>
      <c r="G143" s="20" t="n">
        <v>0.164115</v>
      </c>
      <c r="H143" s="7" t="n">
        <v>46275.25</v>
      </c>
      <c r="I143" s="20" t="n">
        <v>0.151611</v>
      </c>
      <c r="J143" s="2" t="inlineStr">
        <is>
          <t>止盈</t>
        </is>
      </c>
      <c r="K143" s="5">
        <f>(H143-D143)*24</f>
        <v/>
      </c>
      <c r="L143" s="4">
        <f>IF(C143="做多",I143/E143-1,1-I143/E143)-2*參數!$B$7</f>
        <v/>
      </c>
      <c r="M143" s="2" t="inlineStr"/>
      <c r="N143" s="4" t="n">
        <v>-0.03159851301115235</v>
      </c>
      <c r="O143" s="4" t="n">
        <v>0.02001059109395601</v>
      </c>
      <c r="P143" s="4" t="n">
        <v>-0.03569114970540144</v>
      </c>
      <c r="Q143" s="22" t="n">
        <v>-5648234</v>
      </c>
      <c r="R143" s="22" t="n">
        <v>3937096.3957</v>
      </c>
      <c r="S143" s="4" t="n">
        <v>0.03</v>
      </c>
      <c r="T143" s="4" t="n">
        <v>0.01343570057581589</v>
      </c>
      <c r="U143" s="19" t="n">
        <v>2.837922980872801</v>
      </c>
      <c r="V143" s="19" t="n">
        <v>0.694736842105264</v>
      </c>
      <c r="W143" s="4" t="n">
        <v>0.06777285387950838</v>
      </c>
      <c r="X143" s="4" t="n">
        <v>0.04169221336603313</v>
      </c>
      <c r="Y143" s="4" t="n">
        <v>0.004587487220028441</v>
      </c>
      <c r="Z143" s="4" t="n">
        <v>0.004225987851354307</v>
      </c>
      <c r="AA143" s="4" t="n">
        <v>0.03</v>
      </c>
      <c r="AB143" s="4" t="n">
        <v>0.05</v>
      </c>
      <c r="AC143" s="4">
        <f>(AB143+2*參數!$B$7)/(AA143+AB143)</f>
        <v/>
      </c>
    </row>
    <row r="144">
      <c r="A144" s="2" t="n">
        <v>143</v>
      </c>
      <c r="B144" s="2" t="inlineStr">
        <is>
          <t>AKE_USDT_PERP</t>
        </is>
      </c>
      <c r="C144" s="2" t="inlineStr">
        <is>
          <t>做空</t>
        </is>
      </c>
      <c r="D144" s="7" t="n">
        <v>46275.04166666666</v>
      </c>
      <c r="E144" s="20" t="n">
        <v>0.0151607</v>
      </c>
      <c r="F144" s="20" t="n">
        <v>0.014705879</v>
      </c>
      <c r="G144" s="20" t="n">
        <v>0.015918735</v>
      </c>
      <c r="H144" s="7" t="n">
        <v>46275.29166666666</v>
      </c>
      <c r="I144" s="20" t="n">
        <v>0.014705879</v>
      </c>
      <c r="J144" s="2" t="inlineStr">
        <is>
          <t>止盈</t>
        </is>
      </c>
      <c r="K144" s="5">
        <f>(H144-D144)*24</f>
        <v/>
      </c>
      <c r="L144" s="4">
        <f>IF(C144="做多",I144/E144-1,1-I144/E144)-2*參數!$B$7</f>
        <v/>
      </c>
      <c r="M144" s="2" t="inlineStr"/>
      <c r="N144" s="4" t="n">
        <v>-0.02656907123824204</v>
      </c>
      <c r="O144" s="4" t="n">
        <v>0.04491481230211565</v>
      </c>
      <c r="P144" s="4" t="n">
        <v>-0.03106581673673436</v>
      </c>
      <c r="Q144" s="22" t="n">
        <v>-13040704</v>
      </c>
      <c r="R144" s="22" t="n">
        <v>3092940.1034152</v>
      </c>
      <c r="S144" s="4" t="n">
        <v>0.03</v>
      </c>
      <c r="T144" s="4" t="n">
        <v>0.03028883890585532</v>
      </c>
      <c r="U144" s="19" t="n">
        <v>8.31398505972493</v>
      </c>
      <c r="V144" s="19" t="n">
        <v>0.6192244837319871</v>
      </c>
      <c r="W144" s="4" t="n">
        <v>0.0755249080872713</v>
      </c>
      <c r="X144" s="4" t="n">
        <v>0.2038618270422417</v>
      </c>
      <c r="Y144" s="4" t="n">
        <v>-0.002540409825633194</v>
      </c>
      <c r="Z144" s="4" t="n">
        <v>0.00189978323489759</v>
      </c>
      <c r="AA144" s="4" t="n">
        <v>0.03</v>
      </c>
      <c r="AB144" s="4" t="n">
        <v>0.05</v>
      </c>
      <c r="AC144" s="4">
        <f>(AB144+2*參數!$B$7)/(AA144+AB144)</f>
        <v/>
      </c>
    </row>
    <row r="145">
      <c r="A145" s="2" t="n">
        <v>144</v>
      </c>
      <c r="B145" s="2" t="inlineStr">
        <is>
          <t>PUMP_USDT_PERP</t>
        </is>
      </c>
      <c r="C145" s="2" t="inlineStr">
        <is>
          <t>做多</t>
        </is>
      </c>
      <c r="D145" s="7" t="n">
        <v>46275.04166666666</v>
      </c>
      <c r="E145" s="20" t="n">
        <v>0.004769</v>
      </c>
      <c r="F145" s="20" t="n">
        <v>0.00491207</v>
      </c>
      <c r="G145" s="20" t="n">
        <v>0.00453055</v>
      </c>
      <c r="H145" s="7" t="n">
        <v>46275.16666666666</v>
      </c>
      <c r="I145" s="20" t="n">
        <v>0.00453055</v>
      </c>
      <c r="J145" s="2" t="inlineStr">
        <is>
          <t>止損</t>
        </is>
      </c>
      <c r="K145" s="5">
        <f>(H145-D145)*24</f>
        <v/>
      </c>
      <c r="L145" s="4">
        <f>IF(C145="做多",I145/E145-1,1-I145/E145)-2*參數!$B$7</f>
        <v/>
      </c>
      <c r="M145" s="2" t="inlineStr"/>
      <c r="N145" s="4" t="n">
        <v>0.0297991794428849</v>
      </c>
      <c r="O145" s="4" t="n">
        <v>0.02721112648594715</v>
      </c>
      <c r="P145" s="4" t="n">
        <v>0.05868380451311395</v>
      </c>
      <c r="Q145" s="22" t="n">
        <v>312133448</v>
      </c>
      <c r="R145" s="22" t="n">
        <v>6069782.965766</v>
      </c>
      <c r="S145" s="4" t="n">
        <v>0.01216187880058706</v>
      </c>
      <c r="T145" s="4" t="n">
        <v>0.05</v>
      </c>
      <c r="U145" s="19" t="n">
        <v>2.180372118293235</v>
      </c>
      <c r="V145" s="19" t="n">
        <v>0.8801843317972352</v>
      </c>
      <c r="W145" s="4" t="n">
        <v>0.1305234212023516</v>
      </c>
      <c r="X145" s="4" t="n">
        <v>0.08386363636363625</v>
      </c>
      <c r="Y145" s="4" t="n">
        <v>0.002540409825633194</v>
      </c>
      <c r="Z145" s="4" t="n">
        <v>-0.00189978323489759</v>
      </c>
      <c r="AA145" s="4" t="n">
        <v>0.03</v>
      </c>
      <c r="AB145" s="4" t="n">
        <v>0.05</v>
      </c>
      <c r="AC145" s="4">
        <f>(AB145+2*參數!$B$7)/(AA145+AB145)</f>
        <v/>
      </c>
    </row>
    <row r="146">
      <c r="A146" s="2" t="n">
        <v>145</v>
      </c>
      <c r="B146" s="2" t="inlineStr">
        <is>
          <t>RAY_USDT_PERP</t>
        </is>
      </c>
      <c r="C146" s="2" t="inlineStr">
        <is>
          <t>做多</t>
        </is>
      </c>
      <c r="D146" s="7" t="n">
        <v>46275.08333333334</v>
      </c>
      <c r="E146" s="20" t="n">
        <v>1.365</v>
      </c>
      <c r="F146" s="20" t="n">
        <v>1.40595</v>
      </c>
      <c r="G146" s="20" t="n">
        <v>1.29675</v>
      </c>
      <c r="H146" s="7" t="n">
        <v>46275.16666666666</v>
      </c>
      <c r="I146" s="20" t="n">
        <v>1.29675</v>
      </c>
      <c r="J146" s="2" t="inlineStr">
        <is>
          <t>止損</t>
        </is>
      </c>
      <c r="K146" s="5">
        <f>(H146-D146)*24</f>
        <v/>
      </c>
      <c r="L146" s="4">
        <f>IF(C146="做多",I146/E146-1,1-I146/E146)-2*參數!$B$7</f>
        <v/>
      </c>
      <c r="M146" s="2" t="inlineStr"/>
      <c r="N146" s="4" t="n">
        <v>0.02247191011235961</v>
      </c>
      <c r="O146" s="4" t="n">
        <v>0.04799131109558633</v>
      </c>
      <c r="P146" s="4" t="n">
        <v>0.05592944998839644</v>
      </c>
      <c r="Q146" s="22" t="n">
        <v>228613.4000000001</v>
      </c>
      <c r="R146" s="22" t="n">
        <v>2431364.9724</v>
      </c>
      <c r="S146" s="4" t="n">
        <v>0.02710622710622701</v>
      </c>
      <c r="T146" s="4" t="n">
        <v>0.05</v>
      </c>
      <c r="U146" s="19" t="n">
        <v>0.9511020296400551</v>
      </c>
      <c r="V146" s="19" t="n">
        <v>0.6521739130434777</v>
      </c>
      <c r="W146" s="4" t="n">
        <v>0.1683042897736997</v>
      </c>
      <c r="X146" s="4" t="n">
        <v>0.1900610287707061</v>
      </c>
      <c r="Y146" s="4" t="n">
        <v>-0.00040243951981489</v>
      </c>
      <c r="Z146" s="4" t="n">
        <v>-0.002477908933204542</v>
      </c>
      <c r="AA146" s="4" t="n">
        <v>0.03</v>
      </c>
      <c r="AB146" s="4" t="n">
        <v>0.05</v>
      </c>
      <c r="AC146" s="4">
        <f>(AB146+2*參數!$B$7)/(AA146+AB146)</f>
        <v/>
      </c>
    </row>
    <row r="147">
      <c r="A147" s="2" t="n">
        <v>146</v>
      </c>
      <c r="B147" s="2" t="inlineStr">
        <is>
          <t>AKE_USDT_PERP</t>
        </is>
      </c>
      <c r="C147" s="2" t="inlineStr">
        <is>
          <t>做多</t>
        </is>
      </c>
      <c r="D147" s="7" t="n">
        <v>46275.33333333334</v>
      </c>
      <c r="E147" s="20" t="n">
        <v>0.0160605</v>
      </c>
      <c r="F147" s="20" t="n">
        <v>0.016542315</v>
      </c>
      <c r="G147" s="20" t="n">
        <v>0.015257475</v>
      </c>
      <c r="H147" s="7" t="n">
        <v>46275.5</v>
      </c>
      <c r="I147" s="20" t="n">
        <v>0.015257475</v>
      </c>
      <c r="J147" s="2" t="inlineStr">
        <is>
          <t>止損</t>
        </is>
      </c>
      <c r="K147" s="5">
        <f>(H147-D147)*24</f>
        <v/>
      </c>
      <c r="L147" s="4">
        <f>IF(C147="做多",I147/E147-1,1-I147/E147)-2*參數!$B$7</f>
        <v/>
      </c>
      <c r="M147" s="2" t="inlineStr"/>
      <c r="N147" s="4" t="n">
        <v>0.03810354857475273</v>
      </c>
      <c r="O147" s="4" t="n">
        <v>0.03833789543883941</v>
      </c>
      <c r="P147" s="4" t="n">
        <v>0.03858051286561359</v>
      </c>
      <c r="Q147" s="22" t="n">
        <v>29408404</v>
      </c>
      <c r="R147" s="22" t="n">
        <v>2804101.2334157</v>
      </c>
      <c r="S147" s="4" t="n">
        <v>0.002976246069549493</v>
      </c>
      <c r="T147" s="4" t="n">
        <v>0.05</v>
      </c>
      <c r="U147" s="19" t="n">
        <v>1.105813507966635</v>
      </c>
      <c r="V147" s="19" t="n">
        <v>0.7336182336182305</v>
      </c>
      <c r="W147" s="4" t="n">
        <v>-0.004189466463063063</v>
      </c>
      <c r="X147" s="4" t="n">
        <v>-0.01287645974185625</v>
      </c>
      <c r="Y147" s="4" t="n">
        <v>0.004863568431486387</v>
      </c>
      <c r="Z147" s="4" t="n">
        <v>-0.006777451980093496</v>
      </c>
      <c r="AA147" s="4" t="n">
        <v>0.03</v>
      </c>
      <c r="AB147" s="4" t="n">
        <v>0.05</v>
      </c>
      <c r="AC147" s="4">
        <f>(AB147+2*參數!$B$7)/(AA147+AB147)</f>
        <v/>
      </c>
    </row>
    <row r="148">
      <c r="A148" s="2" t="n">
        <v>147</v>
      </c>
      <c r="B148" s="2" t="inlineStr">
        <is>
          <t>KAT_USDT_PERP</t>
        </is>
      </c>
      <c r="C148" s="2" t="inlineStr">
        <is>
          <t>做空</t>
        </is>
      </c>
      <c r="D148" s="7" t="n">
        <v>46275.45833333334</v>
      </c>
      <c r="E148" s="20" t="n">
        <v>0.00549</v>
      </c>
      <c r="F148" s="20" t="n">
        <v>0.0053253</v>
      </c>
      <c r="G148" s="20" t="n">
        <v>0.005764500000000001</v>
      </c>
      <c r="H148" s="7" t="n">
        <v>46275.54166666666</v>
      </c>
      <c r="I148" s="20" t="n">
        <v>0.0053253</v>
      </c>
      <c r="J148" s="2" t="inlineStr">
        <is>
          <t>止盈</t>
        </is>
      </c>
      <c r="K148" s="5">
        <f>(H148-D148)*24</f>
        <v/>
      </c>
      <c r="L148" s="4">
        <f>IF(C148="做多",I148/E148-1,1-I148/E148)-2*參數!$B$7</f>
        <v/>
      </c>
      <c r="M148" s="2" t="inlineStr"/>
      <c r="N148" s="4" t="n">
        <v>-0.02243589743589747</v>
      </c>
      <c r="O148" s="4" t="n">
        <v>0.07180158841393985</v>
      </c>
      <c r="P148" s="4" t="n">
        <v>-0.05804436971329541</v>
      </c>
      <c r="Q148" s="22" t="n">
        <v>-195187</v>
      </c>
      <c r="R148" s="22" t="n">
        <v>1588257.254743</v>
      </c>
      <c r="S148" s="4" t="n">
        <v>0.03</v>
      </c>
      <c r="T148" s="4" t="n">
        <v>0.01438979963570119</v>
      </c>
      <c r="U148" s="19" t="n">
        <v>3.019475028667117</v>
      </c>
      <c r="V148" s="19" t="n">
        <v>0.6634615384615394</v>
      </c>
      <c r="W148" s="4" t="n">
        <v>-0.103519806069962</v>
      </c>
      <c r="X148" s="4" t="n">
        <v>-0.08390918065153019</v>
      </c>
      <c r="Y148" s="4" t="n">
        <v>-0.003362750460856878</v>
      </c>
      <c r="Z148" s="4" t="n">
        <v>0.004349731506490429</v>
      </c>
      <c r="AA148" s="4" t="n">
        <v>0.03</v>
      </c>
      <c r="AB148" s="4" t="n">
        <v>0.05</v>
      </c>
      <c r="AC148" s="4">
        <f>(AB148+2*參數!$B$7)/(AA148+AB148)</f>
        <v/>
      </c>
    </row>
    <row r="149">
      <c r="A149" s="2" t="n">
        <v>148</v>
      </c>
      <c r="B149" s="2" t="inlineStr">
        <is>
          <t>AKE_USDT_PERP</t>
        </is>
      </c>
      <c r="C149" s="2" t="inlineStr">
        <is>
          <t>做多</t>
        </is>
      </c>
      <c r="D149" s="7" t="n">
        <v>46275.54166666666</v>
      </c>
      <c r="E149" s="20" t="n">
        <v>0.0154525</v>
      </c>
      <c r="F149" s="20" t="n">
        <v>0.015916075</v>
      </c>
      <c r="G149" s="20" t="n">
        <v>0.014679875</v>
      </c>
      <c r="H149" s="7" t="n">
        <v>46275.75</v>
      </c>
      <c r="I149" s="20" t="n">
        <v>0.015916075</v>
      </c>
      <c r="J149" s="2" t="inlineStr">
        <is>
          <t>止盈</t>
        </is>
      </c>
      <c r="K149" s="5">
        <f>(H149-D149)*24</f>
        <v/>
      </c>
      <c r="L149" s="4">
        <f>IF(C149="做多",I149/E149-1,1-I149/E149)-2*參數!$B$7</f>
        <v/>
      </c>
      <c r="M149" s="2" t="inlineStr"/>
      <c r="N149" s="4" t="n">
        <v>0.0257899628252789</v>
      </c>
      <c r="O149" s="4" t="n">
        <v>0.0399508306345409</v>
      </c>
      <c r="P149" s="4" t="n">
        <v>0.003577548569029254</v>
      </c>
      <c r="Q149" s="22" t="n">
        <v>35488477</v>
      </c>
      <c r="R149" s="22" t="n">
        <v>3063002.323005</v>
      </c>
      <c r="S149" s="4" t="n">
        <v>0.03</v>
      </c>
      <c r="T149" s="4" t="n">
        <v>0.02697298171816853</v>
      </c>
      <c r="U149" s="19" t="n">
        <v>1.572832235173192</v>
      </c>
      <c r="V149" s="19" t="n">
        <v>0.7244387013406556</v>
      </c>
      <c r="W149" s="4" t="n">
        <v>-0.03199766865071907</v>
      </c>
      <c r="X149" s="4" t="n">
        <v>0.01145475372279492</v>
      </c>
      <c r="Y149" s="4" t="n">
        <v>0.001006419114810919</v>
      </c>
      <c r="Z149" s="4" t="n">
        <v>-0.002265062320720879</v>
      </c>
      <c r="AA149" s="4" t="n">
        <v>0.03</v>
      </c>
      <c r="AB149" s="4" t="n">
        <v>0.05</v>
      </c>
      <c r="AC149" s="4">
        <f>(AB149+2*參數!$B$7)/(AA149+AB149)</f>
        <v/>
      </c>
    </row>
    <row r="150">
      <c r="A150" s="2" t="n">
        <v>149</v>
      </c>
      <c r="B150" s="2" t="inlineStr">
        <is>
          <t>BULLA_USDT_PERP</t>
        </is>
      </c>
      <c r="C150" s="2" t="inlineStr">
        <is>
          <t>做多</t>
        </is>
      </c>
      <c r="D150" s="7" t="n">
        <v>46275.54166666666</v>
      </c>
      <c r="E150" s="20" t="n">
        <v>0.08887</v>
      </c>
      <c r="F150" s="20" t="n">
        <v>0.09153610000000001</v>
      </c>
      <c r="G150" s="20" t="n">
        <v>0.0844265</v>
      </c>
      <c r="H150" s="7" t="n">
        <v>46275.58333333334</v>
      </c>
      <c r="I150" s="20" t="n">
        <v>0.09153610000000001</v>
      </c>
      <c r="J150" s="2" t="inlineStr">
        <is>
          <t>止盈</t>
        </is>
      </c>
      <c r="K150" s="5">
        <f>(H150-D150)*24</f>
        <v/>
      </c>
      <c r="L150" s="4">
        <f>IF(C150="做多",I150/E150-1,1-I150/E150)-2*參數!$B$7</f>
        <v/>
      </c>
      <c r="M150" s="2" t="inlineStr"/>
      <c r="N150" s="4" t="n">
        <v>0.03674755016332254</v>
      </c>
      <c r="O150" s="4" t="n">
        <v>0.06540224408428828</v>
      </c>
      <c r="P150" s="4" t="n">
        <v>0.05066531102034078</v>
      </c>
      <c r="Q150" s="22" t="n">
        <v>16933466</v>
      </c>
      <c r="R150" s="22" t="n">
        <v>2483470.87492</v>
      </c>
      <c r="S150" s="4" t="n">
        <v>0.03</v>
      </c>
      <c r="T150" s="4" t="n">
        <v>0</v>
      </c>
      <c r="U150" s="19" t="n">
        <v>1.162474389333257</v>
      </c>
      <c r="V150" s="19" t="n">
        <v>0.8541176470588248</v>
      </c>
      <c r="W150" s="4" t="n">
        <v>0.1226558700361922</v>
      </c>
      <c r="X150" s="4" t="n">
        <v>0.1613957135389441</v>
      </c>
      <c r="Y150" s="4" t="n">
        <v>0.001006419114810919</v>
      </c>
      <c r="Z150" s="4" t="n">
        <v>-0.002265062320720879</v>
      </c>
      <c r="AA150" s="4" t="n">
        <v>0.03</v>
      </c>
      <c r="AB150" s="4" t="n">
        <v>0.05</v>
      </c>
      <c r="AC150" s="4">
        <f>(AB150+2*參數!$B$7)/(AA150+AB150)</f>
        <v/>
      </c>
    </row>
    <row r="151">
      <c r="A151" s="2" t="n">
        <v>150</v>
      </c>
      <c r="B151" s="2" t="inlineStr">
        <is>
          <t>RAY_USDT_PERP</t>
        </is>
      </c>
      <c r="C151" s="2" t="inlineStr">
        <is>
          <t>做多</t>
        </is>
      </c>
      <c r="D151" s="7" t="n">
        <v>46275.54166666666</v>
      </c>
      <c r="E151" s="20" t="n">
        <v>1.33</v>
      </c>
      <c r="F151" s="20" t="n">
        <v>1.3699</v>
      </c>
      <c r="G151" s="20" t="n">
        <v>1.2635</v>
      </c>
      <c r="H151" s="7" t="n">
        <v>46275.58333333334</v>
      </c>
      <c r="I151" s="20" t="n">
        <v>1.3699</v>
      </c>
      <c r="J151" s="2" t="inlineStr">
        <is>
          <t>止盈</t>
        </is>
      </c>
      <c r="K151" s="5">
        <f>(H151-D151)*24</f>
        <v/>
      </c>
      <c r="L151" s="4">
        <f>IF(C151="做多",I151/E151-1,1-I151/E151)-2*參數!$B$7</f>
        <v/>
      </c>
      <c r="M151" s="2" t="inlineStr"/>
      <c r="N151" s="4" t="n">
        <v>0.03744149765990645</v>
      </c>
      <c r="O151" s="4" t="n">
        <v>0.04572465884313836</v>
      </c>
      <c r="P151" s="4" t="n">
        <v>0.02607622280512278</v>
      </c>
      <c r="Q151" s="22" t="n">
        <v>13454.30000000028</v>
      </c>
      <c r="R151" s="22" t="n">
        <v>2474062.1371</v>
      </c>
      <c r="S151" s="4" t="n">
        <v>0.03</v>
      </c>
      <c r="T151" s="4" t="n">
        <v>0</v>
      </c>
      <c r="U151" s="19" t="n">
        <v>1.260890814524471</v>
      </c>
      <c r="V151" s="19" t="n">
        <v>0.5555555555555556</v>
      </c>
      <c r="W151" s="4" t="n">
        <v>0.09812987656359651</v>
      </c>
      <c r="X151" s="4" t="n">
        <v>0.06230031948881787</v>
      </c>
      <c r="Y151" s="4" t="n">
        <v>0.001006419114810919</v>
      </c>
      <c r="Z151" s="4" t="n">
        <v>-0.002265062320720879</v>
      </c>
      <c r="AA151" s="4" t="n">
        <v>0.03</v>
      </c>
      <c r="AB151" s="4" t="n">
        <v>0.05</v>
      </c>
      <c r="AC151" s="4">
        <f>(AB151+2*參數!$B$7)/(AA151+AB151)</f>
        <v/>
      </c>
    </row>
    <row r="152">
      <c r="A152" s="2" t="n">
        <v>151</v>
      </c>
      <c r="B152" s="2" t="inlineStr">
        <is>
          <t>VVV_USDT_PERP</t>
        </is>
      </c>
      <c r="C152" s="2" t="inlineStr">
        <is>
          <t>做多</t>
        </is>
      </c>
      <c r="D152" s="7" t="n">
        <v>46275.625</v>
      </c>
      <c r="E152" s="20" t="n">
        <v>24.415</v>
      </c>
      <c r="F152" s="20" t="n">
        <v>25.14745</v>
      </c>
      <c r="G152" s="20" t="n">
        <v>23.19425</v>
      </c>
      <c r="H152" s="7" t="n">
        <v>46275.875</v>
      </c>
      <c r="I152" s="20" t="n">
        <v>23.19425</v>
      </c>
      <c r="J152" s="2" t="inlineStr">
        <is>
          <t>止損</t>
        </is>
      </c>
      <c r="K152" s="5">
        <f>(H152-D152)*24</f>
        <v/>
      </c>
      <c r="L152" s="4">
        <f>IF(C152="做多",I152/E152-1,1-I152/E152)-2*參數!$B$7</f>
        <v/>
      </c>
      <c r="M152" s="2" t="inlineStr"/>
      <c r="N152" s="4" t="n">
        <v>0.02407617130153938</v>
      </c>
      <c r="O152" s="4" t="n">
        <v>0.0514705569258657</v>
      </c>
      <c r="P152" s="4" t="n">
        <v>0.00372465507885078</v>
      </c>
      <c r="Q152" s="22" t="n">
        <v>921.6600000000035</v>
      </c>
      <c r="R152" s="22" t="n">
        <v>11828522.19119</v>
      </c>
      <c r="S152" s="4" t="n">
        <v>0.007782101167315147</v>
      </c>
      <c r="T152" s="4" t="n">
        <v>0.05</v>
      </c>
      <c r="U152" s="19" t="n">
        <v>0.9534333756072091</v>
      </c>
      <c r="V152" s="19" t="n">
        <v>0.9483648881239224</v>
      </c>
      <c r="W152" s="4" t="n">
        <v>0.1923325423518571</v>
      </c>
      <c r="X152" s="4" t="n">
        <v>-0.09322191272052005</v>
      </c>
      <c r="Y152" s="4" t="n">
        <v>-0.001435641357171447</v>
      </c>
      <c r="Z152" s="4" t="n">
        <v>-0.001529317740104896</v>
      </c>
      <c r="AA152" s="4" t="n">
        <v>0.03</v>
      </c>
      <c r="AB152" s="4" t="n">
        <v>0.05</v>
      </c>
      <c r="AC152" s="4">
        <f>(AB152+2*參數!$B$7)/(AA152+AB152)</f>
        <v/>
      </c>
    </row>
    <row r="153">
      <c r="A153" s="2" t="n">
        <v>152</v>
      </c>
      <c r="B153" s="2" t="inlineStr">
        <is>
          <t>LIT_USDT_PERP</t>
        </is>
      </c>
      <c r="C153" s="2" t="inlineStr">
        <is>
          <t>做空</t>
        </is>
      </c>
      <c r="D153" s="7" t="n">
        <v>46275.66666666666</v>
      </c>
      <c r="E153" s="20" t="n">
        <v>4.481</v>
      </c>
      <c r="F153" s="20" t="n">
        <v>4.34657</v>
      </c>
      <c r="G153" s="20" t="n">
        <v>4.70505</v>
      </c>
      <c r="H153" s="7" t="n">
        <v>46276.125</v>
      </c>
      <c r="I153" s="20" t="n">
        <v>4.34657</v>
      </c>
      <c r="J153" s="2" t="inlineStr">
        <is>
          <t>止盈</t>
        </is>
      </c>
      <c r="K153" s="5">
        <f>(H153-D153)*24</f>
        <v/>
      </c>
      <c r="L153" s="4">
        <f>IF(C153="做多",I153/E153-1,1-I153/E153)-2*參數!$B$7</f>
        <v/>
      </c>
      <c r="M153" s="2" t="inlineStr"/>
      <c r="N153" s="4" t="n">
        <v>-0.02523384816184482</v>
      </c>
      <c r="O153" s="4" t="n">
        <v>0.02457392123100741</v>
      </c>
      <c r="P153" s="4" t="n">
        <v>-0.05674079843386548</v>
      </c>
      <c r="Q153" s="22" t="n">
        <v>-512836.4000000013</v>
      </c>
      <c r="R153" s="22" t="n">
        <v>6425780.0345</v>
      </c>
      <c r="S153" s="4" t="n">
        <v>0.03</v>
      </c>
      <c r="T153" s="4" t="n">
        <v>0.03392099977683549</v>
      </c>
      <c r="U153" s="19" t="n">
        <v>0.6670573531680229</v>
      </c>
      <c r="V153" s="19" t="n">
        <v>0.7134146341463428</v>
      </c>
      <c r="W153" s="4" t="n">
        <v>0.04769798361045929</v>
      </c>
      <c r="X153" s="4" t="n">
        <v>0.1532501889644746</v>
      </c>
      <c r="Y153" s="4" t="n">
        <v>0.004054150592941896</v>
      </c>
      <c r="Z153" s="4" t="n">
        <v>0.004809980989398999</v>
      </c>
      <c r="AA153" s="4" t="n">
        <v>0.03</v>
      </c>
      <c r="AB153" s="4" t="n">
        <v>0.05</v>
      </c>
      <c r="AC153" s="4">
        <f>(AB153+2*參數!$B$7)/(AA153+AB153)</f>
        <v/>
      </c>
    </row>
    <row r="154">
      <c r="A154" s="2" t="n">
        <v>153</v>
      </c>
      <c r="B154" s="2" t="inlineStr">
        <is>
          <t>MARSCOIN_USDT_PERP</t>
        </is>
      </c>
      <c r="C154" s="2" t="inlineStr">
        <is>
          <t>做空</t>
        </is>
      </c>
      <c r="D154" s="7" t="n">
        <v>46275.66666666666</v>
      </c>
      <c r="E154" s="20" t="n">
        <v>0.10829</v>
      </c>
      <c r="F154" s="20" t="n">
        <v>0.1050413</v>
      </c>
      <c r="G154" s="20" t="n">
        <v>0.1137045</v>
      </c>
      <c r="H154" s="7" t="n">
        <v>46275.75</v>
      </c>
      <c r="I154" s="20" t="n">
        <v>0.1050413</v>
      </c>
      <c r="J154" s="2" t="inlineStr">
        <is>
          <t>止盈</t>
        </is>
      </c>
      <c r="K154" s="5">
        <f>(H154-D154)*24</f>
        <v/>
      </c>
      <c r="L154" s="4">
        <f>IF(C154="做多",I154/E154-1,1-I154/E154)-2*參數!$B$7</f>
        <v/>
      </c>
      <c r="M154" s="2" t="inlineStr"/>
      <c r="N154" s="4" t="n">
        <v>-0.02459016393442615</v>
      </c>
      <c r="O154" s="4" t="n">
        <v>0.06470380305298849</v>
      </c>
      <c r="P154" s="4" t="n">
        <v>-0.0569291194579673</v>
      </c>
      <c r="Q154" s="22" t="n">
        <v>-2756843</v>
      </c>
      <c r="R154" s="22" t="n">
        <v>1930634.73827</v>
      </c>
      <c r="S154" s="4" t="n">
        <v>0.03</v>
      </c>
      <c r="T154" s="4" t="n">
        <v>0.009142118385815801</v>
      </c>
      <c r="U154" s="19" t="n">
        <v>0.5904915096154797</v>
      </c>
      <c r="V154" s="19" t="n">
        <v>0.7522522522522525</v>
      </c>
      <c r="W154" s="4" t="n">
        <v>0.2772065424521848</v>
      </c>
      <c r="X154" s="4" t="n">
        <v>0.2130087209302326</v>
      </c>
      <c r="Y154" s="4" t="n">
        <v>0.004054150592941896</v>
      </c>
      <c r="Z154" s="4" t="n">
        <v>0.004809980989398999</v>
      </c>
      <c r="AA154" s="4" t="n">
        <v>0.03</v>
      </c>
      <c r="AB154" s="4" t="n">
        <v>0.05</v>
      </c>
      <c r="AC154" s="4">
        <f>(AB154+2*參數!$B$7)/(AA154+AB154)</f>
        <v/>
      </c>
    </row>
    <row r="155">
      <c r="A155" s="2" t="n">
        <v>154</v>
      </c>
      <c r="B155" s="2" t="inlineStr">
        <is>
          <t>NEAR_USDT_PERP</t>
        </is>
      </c>
      <c r="C155" s="2" t="inlineStr">
        <is>
          <t>做空</t>
        </is>
      </c>
      <c r="D155" s="7" t="n">
        <v>46275.66666666666</v>
      </c>
      <c r="E155" s="20" t="n">
        <v>2.419</v>
      </c>
      <c r="F155" s="20" t="n">
        <v>2.34643</v>
      </c>
      <c r="G155" s="20" t="n">
        <v>2.53995</v>
      </c>
      <c r="H155" s="7" t="n">
        <v>46276.29166666666</v>
      </c>
      <c r="I155" s="20" t="n">
        <v>2.53995</v>
      </c>
      <c r="J155" s="2" t="inlineStr">
        <is>
          <t>止損</t>
        </is>
      </c>
      <c r="K155" s="5">
        <f>(H155-D155)*24</f>
        <v/>
      </c>
      <c r="L155" s="4">
        <f>IF(C155="做多",I155/E155-1,1-I155/E155)-2*參數!$B$7</f>
        <v/>
      </c>
      <c r="M155" s="2" t="inlineStr"/>
      <c r="N155" s="4" t="n">
        <v>-0.02812374447569299</v>
      </c>
      <c r="O155" s="4" t="n">
        <v>0.02436789844201838</v>
      </c>
      <c r="P155" s="4" t="n">
        <v>-0.04046013486711619</v>
      </c>
      <c r="Q155" s="22" t="n">
        <v>-1250947</v>
      </c>
      <c r="R155" s="22" t="n">
        <v>8651020.495999999</v>
      </c>
      <c r="S155" s="4" t="n">
        <v>0.02439024390243905</v>
      </c>
      <c r="T155" s="4" t="n">
        <v>0.05</v>
      </c>
      <c r="U155" s="19" t="n">
        <v>1.774749000078394</v>
      </c>
      <c r="V155" s="19" t="n">
        <v>0.7422680412371143</v>
      </c>
      <c r="W155" s="4" t="n">
        <v>-0.01335076011779845</v>
      </c>
      <c r="X155" s="4" t="n">
        <v>0.006162695152013176</v>
      </c>
      <c r="Y155" s="4" t="n">
        <v>0.004054150592941896</v>
      </c>
      <c r="Z155" s="4" t="n">
        <v>0.004809980989398999</v>
      </c>
      <c r="AA155" s="4" t="n">
        <v>0.03</v>
      </c>
      <c r="AB155" s="4" t="n">
        <v>0.05</v>
      </c>
      <c r="AC155" s="4">
        <f>(AB155+2*參數!$B$7)/(AA155+AB155)</f>
        <v/>
      </c>
    </row>
    <row r="156">
      <c r="A156" s="2" t="n">
        <v>155</v>
      </c>
      <c r="B156" s="2" t="inlineStr">
        <is>
          <t>PONS_USDT_PERP</t>
        </is>
      </c>
      <c r="C156" s="2" t="inlineStr">
        <is>
          <t>做空</t>
        </is>
      </c>
      <c r="D156" s="7" t="n">
        <v>46275.66666666666</v>
      </c>
      <c r="E156" s="20" t="n">
        <v>0.6353</v>
      </c>
      <c r="F156" s="20" t="n">
        <v>0.6162409999999999</v>
      </c>
      <c r="G156" s="20" t="n">
        <v>0.667065</v>
      </c>
      <c r="H156" s="7" t="n">
        <v>46275.70833333334</v>
      </c>
      <c r="I156" s="20" t="n">
        <v>0.6162409999999999</v>
      </c>
      <c r="J156" s="2" t="inlineStr">
        <is>
          <t>止盈</t>
        </is>
      </c>
      <c r="K156" s="5">
        <f>(H156-D156)*24</f>
        <v/>
      </c>
      <c r="L156" s="4">
        <f>IF(C156="做多",I156/E156-1,1-I156/E156)-2*參數!$B$7</f>
        <v/>
      </c>
      <c r="M156" s="2" t="inlineStr"/>
      <c r="N156" s="4" t="n">
        <v>-0.02276572834948476</v>
      </c>
      <c r="O156" s="4" t="n">
        <v>0.0514077001023617</v>
      </c>
      <c r="P156" s="4" t="n">
        <v>-0.05829862294887567</v>
      </c>
      <c r="Q156" s="22" t="n">
        <v>-3926328</v>
      </c>
      <c r="R156" s="22" t="n">
        <v>18666016.1518</v>
      </c>
      <c r="S156" s="4" t="n">
        <v>0.03</v>
      </c>
      <c r="T156" s="4" t="n">
        <v>0</v>
      </c>
      <c r="U156" s="19" t="n">
        <v>1.130555201594619</v>
      </c>
      <c r="V156" s="19" t="n">
        <v>0.6148648648648656</v>
      </c>
      <c r="W156" s="4" t="n">
        <v>0.1717025534716654</v>
      </c>
      <c r="X156" s="4" t="n">
        <v>0.2174180832717418</v>
      </c>
      <c r="Y156" s="4" t="n">
        <v>0.004054150592941896</v>
      </c>
      <c r="Z156" s="4" t="n">
        <v>0.004809980989398999</v>
      </c>
      <c r="AA156" s="4" t="n">
        <v>0.03</v>
      </c>
      <c r="AB156" s="4" t="n">
        <v>0.05</v>
      </c>
      <c r="AC156" s="4">
        <f>(AB156+2*參數!$B$7)/(AA156+AB156)</f>
        <v/>
      </c>
    </row>
    <row r="157">
      <c r="A157" s="2" t="n">
        <v>156</v>
      </c>
      <c r="B157" s="2" t="inlineStr">
        <is>
          <t>USELESS_USDT_PERP</t>
        </is>
      </c>
      <c r="C157" s="2" t="inlineStr">
        <is>
          <t>做空</t>
        </is>
      </c>
      <c r="D157" s="7" t="n">
        <v>46275.75</v>
      </c>
      <c r="E157" s="20" t="n">
        <v>0.23822</v>
      </c>
      <c r="F157" s="20" t="n">
        <v>0.2310734</v>
      </c>
      <c r="G157" s="20" t="n">
        <v>0.250131</v>
      </c>
      <c r="H157" s="7" t="n">
        <v>46275.83333333334</v>
      </c>
      <c r="I157" s="20" t="n">
        <v>0.250131</v>
      </c>
      <c r="J157" s="2" t="inlineStr">
        <is>
          <t>止損</t>
        </is>
      </c>
      <c r="K157" s="5">
        <f>(H157-D157)*24</f>
        <v/>
      </c>
      <c r="L157" s="4">
        <f>IF(C157="做多",I157/E157-1,1-I157/E157)-2*參數!$B$7</f>
        <v/>
      </c>
      <c r="M157" s="2" t="inlineStr"/>
      <c r="N157" s="4" t="n">
        <v>-0.02727643936300539</v>
      </c>
      <c r="O157" s="4" t="n">
        <v>0.06001857118844412</v>
      </c>
      <c r="P157" s="4" t="n">
        <v>-0.02185048544087975</v>
      </c>
      <c r="Q157" s="22" t="n">
        <v>-2078876</v>
      </c>
      <c r="R157" s="22" t="n">
        <v>10928567.0415</v>
      </c>
      <c r="S157" s="4" t="n">
        <v>0.004491646377298264</v>
      </c>
      <c r="T157" s="4" t="n">
        <v>0.05</v>
      </c>
      <c r="U157" s="19" t="n">
        <v>1.296193316790149</v>
      </c>
      <c r="V157" s="19" t="n">
        <v>0.6740929344366655</v>
      </c>
      <c r="W157" s="4" t="n">
        <v>0.04189179514776242</v>
      </c>
      <c r="X157" s="4" t="n">
        <v>0.2207647770763141</v>
      </c>
      <c r="Y157" s="4" t="n">
        <v>0.00133209004928736</v>
      </c>
      <c r="Z157" s="4" t="n">
        <v>0.004439296102084267</v>
      </c>
      <c r="AA157" s="4" t="n">
        <v>0.03</v>
      </c>
      <c r="AB157" s="4" t="n">
        <v>0.05</v>
      </c>
      <c r="AC157" s="4">
        <f>(AB157+2*參數!$B$7)/(AA157+AB157)</f>
        <v/>
      </c>
    </row>
    <row r="158">
      <c r="A158" s="2" t="n">
        <v>157</v>
      </c>
      <c r="B158" s="2" t="inlineStr">
        <is>
          <t>RAY_USDT_PERP</t>
        </is>
      </c>
      <c r="C158" s="2" t="inlineStr">
        <is>
          <t>做空</t>
        </is>
      </c>
      <c r="D158" s="7" t="n">
        <v>46275.875</v>
      </c>
      <c r="E158" s="20" t="n">
        <v>1.286</v>
      </c>
      <c r="F158" s="20" t="n">
        <v>1.24742</v>
      </c>
      <c r="G158" s="20" t="n">
        <v>1.3503</v>
      </c>
      <c r="H158" s="7" t="n">
        <v>46276.16666666666</v>
      </c>
      <c r="I158" s="20" t="n">
        <v>1.3503</v>
      </c>
      <c r="J158" s="2" t="inlineStr">
        <is>
          <t>止損</t>
        </is>
      </c>
      <c r="K158" s="5">
        <f>(H158-D158)*24</f>
        <v/>
      </c>
      <c r="L158" s="4">
        <f>IF(C158="做多",I158/E158-1,1-I158/E158)-2*參數!$B$7</f>
        <v/>
      </c>
      <c r="M158" s="2" t="inlineStr"/>
      <c r="N158" s="4" t="n">
        <v>-0.04244229337304539</v>
      </c>
      <c r="O158" s="4" t="n">
        <v>0.04587158086118715</v>
      </c>
      <c r="P158" s="4" t="n">
        <v>-0.01050282768437671</v>
      </c>
      <c r="Q158" s="22" t="n">
        <v>-237735.5999999999</v>
      </c>
      <c r="R158" s="22" t="n">
        <v>2421626.3634</v>
      </c>
      <c r="S158" s="4" t="n">
        <v>0.02643856920684295</v>
      </c>
      <c r="T158" s="4" t="n">
        <v>0.05</v>
      </c>
      <c r="U158" s="19" t="n">
        <v>0.6488037141102702</v>
      </c>
      <c r="V158" s="19" t="n">
        <v>0.8378378378378378</v>
      </c>
      <c r="W158" s="4" t="n">
        <v>-0.04361939541489157</v>
      </c>
      <c r="X158" s="4" t="n">
        <v>0.04457652303120363</v>
      </c>
      <c r="Y158" s="4" t="n">
        <v>0.01236741397168239</v>
      </c>
      <c r="Z158" s="4" t="n">
        <v>0.01629830704241075</v>
      </c>
      <c r="AA158" s="4" t="n">
        <v>0.03</v>
      </c>
      <c r="AB158" s="4" t="n">
        <v>0.05</v>
      </c>
      <c r="AC158" s="4">
        <f>(AB158+2*參數!$B$7)/(AA158+AB158)</f>
        <v/>
      </c>
    </row>
    <row r="159">
      <c r="A159" s="2" t="n">
        <v>158</v>
      </c>
      <c r="B159" s="2" t="inlineStr">
        <is>
          <t>MARSCOIN_USDT_PERP</t>
        </is>
      </c>
      <c r="C159" s="2" t="inlineStr">
        <is>
          <t>做多</t>
        </is>
      </c>
      <c r="D159" s="7" t="n">
        <v>46275.91666666666</v>
      </c>
      <c r="E159" s="20" t="n">
        <v>0.1116</v>
      </c>
      <c r="F159" s="20" t="n">
        <v>0.114948</v>
      </c>
      <c r="G159" s="20" t="n">
        <v>0.10602</v>
      </c>
      <c r="H159" s="7" t="n">
        <v>46275.95833333334</v>
      </c>
      <c r="I159" s="20" t="n">
        <v>0.114948</v>
      </c>
      <c r="J159" s="2" t="inlineStr">
        <is>
          <t>止盈</t>
        </is>
      </c>
      <c r="K159" s="5">
        <f>(H159-D159)*24</f>
        <v/>
      </c>
      <c r="L159" s="4">
        <f>IF(C159="做多",I159/E159-1,1-I159/E159)-2*參數!$B$7</f>
        <v/>
      </c>
      <c r="M159" s="2" t="inlineStr"/>
      <c r="N159" s="4" t="n">
        <v>0.0617448387403674</v>
      </c>
      <c r="O159" s="4" t="n">
        <v>0.0618959768872419</v>
      </c>
      <c r="P159" s="4" t="n">
        <v>0.03259712982410679</v>
      </c>
      <c r="Q159" s="22" t="n">
        <v>617572</v>
      </c>
      <c r="R159" s="22" t="n">
        <v>1861033.44856</v>
      </c>
      <c r="S159" s="4" t="n">
        <v>0.03</v>
      </c>
      <c r="T159" s="4" t="n">
        <v>0</v>
      </c>
      <c r="U159" s="19" t="n">
        <v>6.478792621252301</v>
      </c>
      <c r="V159" s="19" t="n">
        <v>0.5750000000000002</v>
      </c>
      <c r="W159" s="4" t="n">
        <v>-0.2200609274985131</v>
      </c>
      <c r="X159" s="4" t="n">
        <v>-0.185579800043786</v>
      </c>
      <c r="Y159" s="4" t="n">
        <v>0.003677054192960938</v>
      </c>
      <c r="Z159" s="4" t="n">
        <v>-0.01166898542179207</v>
      </c>
      <c r="AA159" s="4" t="n">
        <v>0.03</v>
      </c>
      <c r="AB159" s="4" t="n">
        <v>0.05</v>
      </c>
      <c r="AC159" s="4">
        <f>(AB159+2*參數!$B$7)/(AA159+AB159)</f>
        <v/>
      </c>
    </row>
    <row r="160">
      <c r="A160" s="2" t="n">
        <v>159</v>
      </c>
      <c r="B160" s="2" t="inlineStr">
        <is>
          <t>BULLA_USDT_PERP</t>
        </is>
      </c>
      <c r="C160" s="2" t="inlineStr">
        <is>
          <t>做空</t>
        </is>
      </c>
      <c r="D160" s="7" t="n">
        <v>46275.95833333334</v>
      </c>
      <c r="E160" s="20" t="n">
        <v>0.07895000000000001</v>
      </c>
      <c r="F160" s="20" t="n">
        <v>0.07658150000000001</v>
      </c>
      <c r="G160" s="20" t="n">
        <v>0.08289750000000001</v>
      </c>
      <c r="H160" s="7" t="n">
        <v>46276.125</v>
      </c>
      <c r="I160" s="20" t="n">
        <v>0.07658150000000001</v>
      </c>
      <c r="J160" s="2" t="inlineStr">
        <is>
          <t>止盈</t>
        </is>
      </c>
      <c r="K160" s="5">
        <f>(H160-D160)*24</f>
        <v/>
      </c>
      <c r="L160" s="4">
        <f>IF(C160="做多",I160/E160-1,1-I160/E160)-2*參數!$B$7</f>
        <v/>
      </c>
      <c r="M160" s="2" t="inlineStr"/>
      <c r="N160" s="4" t="n">
        <v>-0.0221699281644786</v>
      </c>
      <c r="O160" s="4" t="n">
        <v>0.06919654846446252</v>
      </c>
      <c r="P160" s="4" t="n">
        <v>-0.05720085980415579</v>
      </c>
      <c r="Q160" s="22" t="n">
        <v>-1920336</v>
      </c>
      <c r="R160" s="22" t="n">
        <v>2056048.17594</v>
      </c>
      <c r="S160" s="4" t="n">
        <v>0.03</v>
      </c>
      <c r="T160" s="4" t="n">
        <v>0.02077264091196951</v>
      </c>
      <c r="U160" s="19" t="n">
        <v>0.4162600534530905</v>
      </c>
      <c r="V160" s="19" t="n">
        <v>0.6486486486486474</v>
      </c>
      <c r="W160" s="4" t="n">
        <v>0.009715947148057014</v>
      </c>
      <c r="X160" s="4" t="n">
        <v>0.07520206161415011</v>
      </c>
      <c r="Y160" s="4" t="n">
        <v>-0.003095766526311161</v>
      </c>
      <c r="Z160" s="4" t="n">
        <v>0.007968989960186801</v>
      </c>
      <c r="AA160" s="4" t="n">
        <v>0.03</v>
      </c>
      <c r="AB160" s="4" t="n">
        <v>0.05</v>
      </c>
      <c r="AC160" s="4">
        <f>(AB160+2*參數!$B$7)/(AA160+AB160)</f>
        <v/>
      </c>
    </row>
    <row r="161">
      <c r="A161" s="2" t="n">
        <v>160</v>
      </c>
      <c r="B161" s="2" t="inlineStr">
        <is>
          <t>牛来_USDT_PERP</t>
        </is>
      </c>
      <c r="C161" s="2" t="inlineStr">
        <is>
          <t>做多</t>
        </is>
      </c>
      <c r="D161" s="7" t="n">
        <v>46275.95833333334</v>
      </c>
      <c r="E161" s="20" t="n">
        <v>0.08391999999999999</v>
      </c>
      <c r="F161" s="20" t="n">
        <v>0.0864376</v>
      </c>
      <c r="G161" s="20" t="n">
        <v>0.07972399999999999</v>
      </c>
      <c r="H161" s="7" t="n">
        <v>46276</v>
      </c>
      <c r="I161" s="20" t="n">
        <v>0.0864376</v>
      </c>
      <c r="J161" s="2" t="inlineStr">
        <is>
          <t>止盈</t>
        </is>
      </c>
      <c r="K161" s="5">
        <f>(H161-D161)*24</f>
        <v/>
      </c>
      <c r="L161" s="4">
        <f>IF(C161="做多",I161/E161-1,1-I161/E161)-2*參數!$B$7</f>
        <v/>
      </c>
      <c r="M161" s="2" t="inlineStr"/>
      <c r="N161" s="4" t="n">
        <v>0.04521110972723874</v>
      </c>
      <c r="O161" s="4" t="n">
        <v>0.06828209113532997</v>
      </c>
      <c r="P161" s="4" t="n">
        <v>0.05453631565720007</v>
      </c>
      <c r="Q161" s="22" t="n">
        <v>3178567</v>
      </c>
      <c r="R161" s="22" t="n">
        <v>1896867.83884</v>
      </c>
      <c r="S161" s="4" t="n">
        <v>0.03</v>
      </c>
      <c r="T161" s="4" t="n">
        <v>0</v>
      </c>
      <c r="U161" s="19" t="n">
        <v>2.726887724337139</v>
      </c>
      <c r="V161" s="19" t="n">
        <v>0.6095999999999985</v>
      </c>
      <c r="W161" s="4" t="n">
        <v>-0.06833815150828859</v>
      </c>
      <c r="X161" s="4" t="n">
        <v>-0.1574297188755021</v>
      </c>
      <c r="Y161" s="4" t="n">
        <v>0.003095766526311161</v>
      </c>
      <c r="Z161" s="4" t="n">
        <v>-0.007968989960186801</v>
      </c>
      <c r="AA161" s="4" t="n">
        <v>0.03</v>
      </c>
      <c r="AB161" s="4" t="n">
        <v>0.05</v>
      </c>
      <c r="AC161" s="4">
        <f>(AB161+2*參數!$B$7)/(AA161+AB161)</f>
        <v/>
      </c>
    </row>
    <row r="162">
      <c r="A162" s="2" t="n">
        <v>161</v>
      </c>
      <c r="B162" s="2" t="inlineStr">
        <is>
          <t>PONS_USDT_PERP</t>
        </is>
      </c>
      <c r="C162" s="2" t="inlineStr">
        <is>
          <t>做多</t>
        </is>
      </c>
      <c r="D162" s="7" t="n">
        <v>46276.08333333334</v>
      </c>
      <c r="E162" s="20" t="n">
        <v>0.6104000000000001</v>
      </c>
      <c r="F162" s="20" t="n">
        <v>0.628712</v>
      </c>
      <c r="G162" s="20" t="n">
        <v>0.5798800000000001</v>
      </c>
      <c r="H162" s="7" t="n">
        <v>46276.16666666666</v>
      </c>
      <c r="I162" s="20" t="n">
        <v>0.5798800000000001</v>
      </c>
      <c r="J162" s="2" t="inlineStr">
        <is>
          <t>止損</t>
        </is>
      </c>
      <c r="K162" s="5">
        <f>(H162-D162)*24</f>
        <v/>
      </c>
      <c r="L162" s="4">
        <f>IF(C162="做多",I162/E162-1,1-I162/E162)-2*參數!$B$7</f>
        <v/>
      </c>
      <c r="M162" s="2" t="inlineStr"/>
      <c r="N162" s="4" t="n">
        <v>0.03721325403568398</v>
      </c>
      <c r="O162" s="4" t="n">
        <v>0.05803293069826042</v>
      </c>
      <c r="P162" s="4" t="n">
        <v>0.0003769441303245191</v>
      </c>
      <c r="Q162" s="22" t="n">
        <v>1124790</v>
      </c>
      <c r="R162" s="22" t="n">
        <v>17152219.7176</v>
      </c>
      <c r="S162" s="4" t="n">
        <v>0</v>
      </c>
      <c r="T162" s="4" t="n">
        <v>0.05</v>
      </c>
      <c r="U162" s="19" t="n">
        <v>1.379313132101726</v>
      </c>
      <c r="V162" s="19" t="n">
        <v>0.9134396355353094</v>
      </c>
      <c r="W162" s="4" t="n">
        <v>-0.1676030677590739</v>
      </c>
      <c r="X162" s="4" t="n">
        <v>-0.1061648850490553</v>
      </c>
      <c r="Y162" s="4" t="n">
        <v>0.001618462654848773</v>
      </c>
      <c r="Z162" s="4" t="n">
        <v>-0.00714224747695813</v>
      </c>
      <c r="AA162" s="4" t="n">
        <v>0.03</v>
      </c>
      <c r="AB162" s="4" t="n">
        <v>0.05</v>
      </c>
      <c r="AC162" s="4">
        <f>(AB162+2*參數!$B$7)/(AA162+AB162)</f>
        <v/>
      </c>
    </row>
    <row r="163">
      <c r="A163" s="2" t="n">
        <v>162</v>
      </c>
      <c r="B163" s="2" t="inlineStr">
        <is>
          <t>USELESS_USDT_PERP</t>
        </is>
      </c>
      <c r="C163" s="2" t="inlineStr">
        <is>
          <t>做多</t>
        </is>
      </c>
      <c r="D163" s="7" t="n">
        <v>46276.08333333334</v>
      </c>
      <c r="E163" s="20" t="n">
        <v>0.24506</v>
      </c>
      <c r="F163" s="20" t="n">
        <v>0.2524118</v>
      </c>
      <c r="G163" s="20" t="n">
        <v>0.232807</v>
      </c>
      <c r="H163" s="7" t="n">
        <v>46276.125</v>
      </c>
      <c r="I163" s="20" t="n">
        <v>0.2524118</v>
      </c>
      <c r="J163" s="2" t="inlineStr">
        <is>
          <t>止盈</t>
        </is>
      </c>
      <c r="K163" s="5">
        <f>(H163-D163)*24</f>
        <v/>
      </c>
      <c r="L163" s="4">
        <f>IF(C163="做多",I163/E163-1,1-I163/E163)-2*參數!$B$7</f>
        <v/>
      </c>
      <c r="M163" s="2" t="inlineStr"/>
      <c r="N163" s="4" t="n">
        <v>0.02711764952428863</v>
      </c>
      <c r="O163" s="4" t="n">
        <v>0.06070850738254154</v>
      </c>
      <c r="P163" s="4" t="n">
        <v>0.04496959669785183</v>
      </c>
      <c r="Q163" s="22" t="n">
        <v>22032143</v>
      </c>
      <c r="R163" s="22" t="n">
        <v>14015079.88265</v>
      </c>
      <c r="S163" s="4" t="n">
        <v>0.03</v>
      </c>
      <c r="T163" s="4" t="n">
        <v>0</v>
      </c>
      <c r="U163" s="19" t="n">
        <v>1.410910958961266</v>
      </c>
      <c r="V163" s="19" t="n">
        <v>0.6428571428571432</v>
      </c>
      <c r="W163" s="4" t="n">
        <v>-0.01732965971440559</v>
      </c>
      <c r="X163" s="4" t="n">
        <v>-0.06686467138831775</v>
      </c>
      <c r="Y163" s="4" t="n">
        <v>0.001618462654848773</v>
      </c>
      <c r="Z163" s="4" t="n">
        <v>-0.00714224747695813</v>
      </c>
      <c r="AA163" s="4" t="n">
        <v>0.03</v>
      </c>
      <c r="AB163" s="4" t="n">
        <v>0.05</v>
      </c>
      <c r="AC163" s="4">
        <f>(AB163+2*參數!$B$7)/(AA163+AB163)</f>
        <v/>
      </c>
    </row>
    <row r="164">
      <c r="A164" s="2" t="n">
        <v>163</v>
      </c>
      <c r="B164" s="2" t="inlineStr">
        <is>
          <t>VVV_USDT_PERP</t>
        </is>
      </c>
      <c r="C164" s="2" t="inlineStr">
        <is>
          <t>做多</t>
        </is>
      </c>
      <c r="D164" s="7" t="n">
        <v>46276.08333333334</v>
      </c>
      <c r="E164" s="20" t="n">
        <v>25.016</v>
      </c>
      <c r="F164" s="20" t="n">
        <v>25.76648</v>
      </c>
      <c r="G164" s="20" t="n">
        <v>23.7652</v>
      </c>
      <c r="H164" s="7" t="n">
        <v>46276.375</v>
      </c>
      <c r="I164" s="20" t="n">
        <v>23.7652</v>
      </c>
      <c r="J164" s="2" t="inlineStr">
        <is>
          <t>止損</t>
        </is>
      </c>
      <c r="K164" s="5">
        <f>(H164-D164)*24</f>
        <v/>
      </c>
      <c r="L164" s="4">
        <f>IF(C164="做多",I164/E164-1,1-I164/E164)-2*參數!$B$7</f>
        <v/>
      </c>
      <c r="M164" s="2" t="inlineStr"/>
      <c r="N164" s="4" t="n">
        <v>0.05339397001852775</v>
      </c>
      <c r="O164" s="4" t="n">
        <v>0.04472129955124805</v>
      </c>
      <c r="P164" s="4" t="n">
        <v>0.05560537170466184</v>
      </c>
      <c r="Q164" s="22" t="n">
        <v>6747.979999999996</v>
      </c>
      <c r="R164" s="22" t="n">
        <v>9187643.20025</v>
      </c>
      <c r="S164" s="4" t="n">
        <v>0.02630316597377691</v>
      </c>
      <c r="T164" s="4" t="n">
        <v>0.05</v>
      </c>
      <c r="U164" s="19" t="n">
        <v>1.09901111874392</v>
      </c>
      <c r="V164" s="19" t="n">
        <v>0.8169449598021009</v>
      </c>
      <c r="W164" s="4" t="n">
        <v>0.1783281080429278</v>
      </c>
      <c r="X164" s="4" t="n">
        <v>-0.01266921892883932</v>
      </c>
      <c r="Y164" s="4" t="n">
        <v>0.001618462654848773</v>
      </c>
      <c r="Z164" s="4" t="n">
        <v>-0.00714224747695813</v>
      </c>
      <c r="AA164" s="4" t="n">
        <v>0.03</v>
      </c>
      <c r="AB164" s="4" t="n">
        <v>0.05</v>
      </c>
      <c r="AC164" s="4">
        <f>(AB164+2*參數!$B$7)/(AA164+AB164)</f>
        <v/>
      </c>
    </row>
    <row r="165">
      <c r="A165" s="2" t="n">
        <v>164</v>
      </c>
      <c r="B165" s="2" t="inlineStr">
        <is>
          <t>PUMP_USDT_PERP</t>
        </is>
      </c>
      <c r="C165" s="2" t="inlineStr">
        <is>
          <t>做空</t>
        </is>
      </c>
      <c r="D165" s="7" t="n">
        <v>46276.29166666666</v>
      </c>
      <c r="E165" s="20" t="n">
        <v>0.003721</v>
      </c>
      <c r="F165" s="20" t="n">
        <v>0.00360937</v>
      </c>
      <c r="G165" s="20" t="n">
        <v>0.00390705</v>
      </c>
      <c r="H165" s="7" t="n">
        <v>46276.45833333334</v>
      </c>
      <c r="I165" s="20" t="n">
        <v>0.00360937</v>
      </c>
      <c r="J165" s="2" t="inlineStr">
        <is>
          <t>止盈</t>
        </is>
      </c>
      <c r="K165" s="5">
        <f>(H165-D165)*24</f>
        <v/>
      </c>
      <c r="L165" s="4">
        <f>IF(C165="做多",I165/E165-1,1-I165/E165)-2*參數!$B$7</f>
        <v/>
      </c>
      <c r="M165" s="2" t="inlineStr"/>
      <c r="N165" s="4" t="n">
        <v>-0.02027382833070046</v>
      </c>
      <c r="O165" s="4" t="n">
        <v>0.0277116722579674</v>
      </c>
      <c r="P165" s="4" t="n">
        <v>-0.04920085344508185</v>
      </c>
      <c r="Q165" s="22" t="n">
        <v>-307877275</v>
      </c>
      <c r="R165" s="22" t="n">
        <v>4237847.540595</v>
      </c>
      <c r="S165" s="4" t="n">
        <v>0.03</v>
      </c>
      <c r="T165" s="4" t="n">
        <v>0.008868583714055411</v>
      </c>
      <c r="U165" s="19" t="n">
        <v>1.375112200070955</v>
      </c>
      <c r="V165" s="19" t="n">
        <v>0.9299363057324859</v>
      </c>
      <c r="W165" s="4" t="n">
        <v>0.1211288097802468</v>
      </c>
      <c r="X165" s="4" t="n">
        <v>0.0859739621714567</v>
      </c>
      <c r="Y165" s="4" t="n">
        <v>0.004143238028052165</v>
      </c>
      <c r="Z165" s="4" t="n">
        <v>0.01030891430923597</v>
      </c>
      <c r="AA165" s="4" t="n">
        <v>0.03</v>
      </c>
      <c r="AB165" s="4" t="n">
        <v>0.05</v>
      </c>
      <c r="AC165" s="4">
        <f>(AB165+2*參數!$B$7)/(AA165+AB165)</f>
        <v/>
      </c>
    </row>
    <row r="166">
      <c r="A166" s="2" t="n">
        <v>165</v>
      </c>
      <c r="B166" s="2" t="inlineStr">
        <is>
          <t>LIT_USDT_PERP</t>
        </is>
      </c>
      <c r="C166" s="2" t="inlineStr">
        <is>
          <t>做空</t>
        </is>
      </c>
      <c r="D166" s="7" t="n">
        <v>46276.33333333334</v>
      </c>
      <c r="E166" s="20" t="n">
        <v>4.288</v>
      </c>
      <c r="F166" s="20" t="n">
        <v>4.15936</v>
      </c>
      <c r="G166" s="20" t="n">
        <v>4.502400000000001</v>
      </c>
      <c r="H166" s="7" t="n">
        <v>46276.58333333334</v>
      </c>
      <c r="I166" s="20" t="n">
        <v>4.502400000000001</v>
      </c>
      <c r="J166" s="2" t="inlineStr">
        <is>
          <t>止損</t>
        </is>
      </c>
      <c r="K166" s="5">
        <f>(H166-D166)*24</f>
        <v/>
      </c>
      <c r="L166" s="4">
        <f>IF(C166="做多",I166/E166-1,1-I166/E166)-2*參數!$B$7</f>
        <v/>
      </c>
      <c r="M166" s="2" t="inlineStr"/>
      <c r="N166" s="4" t="n">
        <v>-0.0515372705153726</v>
      </c>
      <c r="O166" s="4" t="n">
        <v>0.02718597779088937</v>
      </c>
      <c r="P166" s="4" t="n">
        <v>-0.05230238803001341</v>
      </c>
      <c r="Q166" s="22" t="n">
        <v>-47034.29999999981</v>
      </c>
      <c r="R166" s="22" t="n">
        <v>4017450.1276</v>
      </c>
      <c r="S166" s="4" t="n">
        <v>0.003031716417910446</v>
      </c>
      <c r="T166" s="4" t="n">
        <v>0.05</v>
      </c>
      <c r="U166" s="19" t="n">
        <v>2.260241505767399</v>
      </c>
      <c r="V166" s="19" t="n">
        <v>1</v>
      </c>
      <c r="W166" s="4" t="n">
        <v>0.08528130586332971</v>
      </c>
      <c r="X166" s="4" t="n">
        <v>0.0515372705153726</v>
      </c>
      <c r="Y166" s="4" t="n">
        <v>0.003366144013667749</v>
      </c>
      <c r="Z166" s="4" t="n">
        <v>0.01251930175140159</v>
      </c>
      <c r="AA166" s="4" t="n">
        <v>0.03</v>
      </c>
      <c r="AB166" s="4" t="n">
        <v>0.05</v>
      </c>
      <c r="AC166" s="4">
        <f>(AB166+2*參數!$B$7)/(AA166+AB166)</f>
        <v/>
      </c>
    </row>
    <row r="167">
      <c r="A167" s="2" t="n">
        <v>166</v>
      </c>
      <c r="B167" s="2" t="inlineStr">
        <is>
          <t>NEAR_USDT_PERP</t>
        </is>
      </c>
      <c r="C167" s="2" t="inlineStr">
        <is>
          <t>做空</t>
        </is>
      </c>
      <c r="D167" s="7" t="n">
        <v>46276.41666666666</v>
      </c>
      <c r="E167" s="20" t="n">
        <v>2.418</v>
      </c>
      <c r="F167" s="20" t="n">
        <v>2.34546</v>
      </c>
      <c r="G167" s="20" t="n">
        <v>2.5389</v>
      </c>
      <c r="H167" s="7" t="n">
        <v>46276.875</v>
      </c>
      <c r="I167" s="20" t="n">
        <v>2.5389</v>
      </c>
      <c r="J167" s="2" t="inlineStr">
        <is>
          <t>止損</t>
        </is>
      </c>
      <c r="K167" s="5">
        <f>(H167-D167)*24</f>
        <v/>
      </c>
      <c r="L167" s="4">
        <f>IF(C167="做多",I167/E167-1,1-I167/E167)-2*參數!$B$7</f>
        <v/>
      </c>
      <c r="M167" s="2" t="inlineStr"/>
      <c r="N167" s="4" t="n">
        <v>-0.03241296518607439</v>
      </c>
      <c r="O167" s="4" t="n">
        <v>0.02491958699809038</v>
      </c>
      <c r="P167" s="4" t="n">
        <v>-0.01418786692759288</v>
      </c>
      <c r="Q167" s="22" t="n">
        <v>-443413</v>
      </c>
      <c r="R167" s="22" t="n">
        <v>9649532.063999999</v>
      </c>
      <c r="S167" s="4" t="n">
        <v>0.01612903225806461</v>
      </c>
      <c r="T167" s="4" t="n">
        <v>0.05</v>
      </c>
      <c r="U167" s="19" t="n">
        <v>1.038194278635516</v>
      </c>
      <c r="V167" s="19" t="n">
        <v>0.9545454545454516</v>
      </c>
      <c r="W167" s="4" t="n">
        <v>-0.006573113924261298</v>
      </c>
      <c r="X167" s="4" t="n">
        <v>0.01306122448979596</v>
      </c>
      <c r="Y167" s="4" t="n">
        <v>-0.0008558681598835882</v>
      </c>
      <c r="Z167" s="4" t="n">
        <v>0.005256716169969256</v>
      </c>
      <c r="AA167" s="4" t="n">
        <v>0.03</v>
      </c>
      <c r="AB167" s="4" t="n">
        <v>0.05</v>
      </c>
      <c r="AC167" s="4">
        <f>(AB167+2*參數!$B$7)/(AA167+AB167)</f>
        <v/>
      </c>
    </row>
    <row r="168">
      <c r="A168" s="2" t="n">
        <v>167</v>
      </c>
      <c r="B168" s="2" t="inlineStr">
        <is>
          <t>BULLA_USDT_PERP</t>
        </is>
      </c>
      <c r="C168" s="2" t="inlineStr">
        <is>
          <t>做空</t>
        </is>
      </c>
      <c r="D168" s="7" t="n">
        <v>46276.45833333334</v>
      </c>
      <c r="E168" s="20" t="n">
        <v>0.07525999999999999</v>
      </c>
      <c r="F168" s="20" t="n">
        <v>0.07300219999999999</v>
      </c>
      <c r="G168" s="20" t="n">
        <v>0.079023</v>
      </c>
      <c r="H168" s="7" t="n">
        <v>46276.54166666666</v>
      </c>
      <c r="I168" s="20" t="n">
        <v>0.079023</v>
      </c>
      <c r="J168" s="2" t="inlineStr">
        <is>
          <t>止損</t>
        </is>
      </c>
      <c r="K168" s="5">
        <f>(H168-D168)*24</f>
        <v/>
      </c>
      <c r="L168" s="4">
        <f>IF(C168="做多",I168/E168-1,1-I168/E168)-2*參數!$B$7</f>
        <v/>
      </c>
      <c r="M168" s="2" t="inlineStr"/>
      <c r="N168" s="4" t="n">
        <v>-0.02017966410623628</v>
      </c>
      <c r="O168" s="4" t="n">
        <v>0.04823724419003356</v>
      </c>
      <c r="P168" s="4" t="n">
        <v>-0.05145413870246085</v>
      </c>
      <c r="Q168" s="22" t="n">
        <v>-4500436</v>
      </c>
      <c r="R168" s="22" t="n">
        <v>1429060.99886</v>
      </c>
      <c r="S168" s="4" t="n">
        <v>0.0001328727079457082</v>
      </c>
      <c r="T168" s="4" t="n">
        <v>0.05</v>
      </c>
      <c r="U168" s="19" t="n">
        <v>1.179648508398454</v>
      </c>
      <c r="V168" s="19" t="n">
        <v>0.6402877697841751</v>
      </c>
      <c r="W168" s="4" t="n">
        <v>0.0592064883000839</v>
      </c>
      <c r="X168" s="4" t="n">
        <v>0.1051129607609989</v>
      </c>
      <c r="Y168" s="4" t="n">
        <v>0.001734964936813466</v>
      </c>
      <c r="Z168" s="4" t="n">
        <v>0.005970263210509419</v>
      </c>
      <c r="AA168" s="4" t="n">
        <v>0.03</v>
      </c>
      <c r="AB168" s="4" t="n">
        <v>0.05</v>
      </c>
      <c r="AC168" s="4">
        <f>(AB168+2*參數!$B$7)/(AA168+AB168)</f>
        <v/>
      </c>
    </row>
    <row r="169">
      <c r="A169" s="2" t="n">
        <v>168</v>
      </c>
      <c r="B169" s="2" t="inlineStr">
        <is>
          <t>VVV_USDT_PERP</t>
        </is>
      </c>
      <c r="C169" s="2" t="inlineStr">
        <is>
          <t>做空</t>
        </is>
      </c>
      <c r="D169" s="7" t="n">
        <v>46276.45833333334</v>
      </c>
      <c r="E169" s="20" t="n">
        <v>23.446</v>
      </c>
      <c r="F169" s="20" t="n">
        <v>22.74262</v>
      </c>
      <c r="G169" s="20" t="n">
        <v>24.6183</v>
      </c>
      <c r="H169" s="7" t="n">
        <v>46276.58333333334</v>
      </c>
      <c r="I169" s="20" t="n">
        <v>24.6183</v>
      </c>
      <c r="J169" s="2" t="inlineStr">
        <is>
          <t>止損</t>
        </is>
      </c>
      <c r="K169" s="5">
        <f>(H169-D169)*24</f>
        <v/>
      </c>
      <c r="L169" s="4">
        <f>IF(C169="做多",I169/E169-1,1-I169/E169)-2*參數!$B$7</f>
        <v/>
      </c>
      <c r="M169" s="2" t="inlineStr"/>
      <c r="N169" s="4" t="n">
        <v>-0.02858800132582029</v>
      </c>
      <c r="O169" s="4" t="n">
        <v>0.04189686119826182</v>
      </c>
      <c r="P169" s="4" t="n">
        <v>-0.02906067853112593</v>
      </c>
      <c r="Q169" s="22" t="n">
        <v>-56586.84000000003</v>
      </c>
      <c r="R169" s="22" t="n">
        <v>7115164.396330001</v>
      </c>
      <c r="S169" s="4" t="n">
        <v>0.005331399812334769</v>
      </c>
      <c r="T169" s="4" t="n">
        <v>0.05</v>
      </c>
      <c r="U169" s="19" t="n">
        <v>0.477057045992042</v>
      </c>
      <c r="V169" s="19" t="n">
        <v>0.9759036144578291</v>
      </c>
      <c r="W169" s="4" t="n">
        <v>-0.07103180113873098</v>
      </c>
      <c r="X169" s="4" t="n">
        <v>0.009881756756756732</v>
      </c>
      <c r="Y169" s="4" t="n">
        <v>0.001734964936813466</v>
      </c>
      <c r="Z169" s="4" t="n">
        <v>0.005970263210509419</v>
      </c>
      <c r="AA169" s="4" t="n">
        <v>0.03</v>
      </c>
      <c r="AB169" s="4" t="n">
        <v>0.05</v>
      </c>
      <c r="AC169" s="4">
        <f>(AB169+2*參數!$B$7)/(AA169+AB169)</f>
        <v/>
      </c>
    </row>
    <row r="170">
      <c r="A170" s="2" t="n">
        <v>169</v>
      </c>
      <c r="B170" s="2" t="inlineStr">
        <is>
          <t>UAI_USDT_PERP</t>
        </is>
      </c>
      <c r="C170" s="2" t="inlineStr">
        <is>
          <t>做空</t>
        </is>
      </c>
      <c r="D170" s="7" t="n">
        <v>46276.625</v>
      </c>
      <c r="E170" s="20" t="n">
        <v>0.6024</v>
      </c>
      <c r="F170" s="20" t="n">
        <v>0.5843280000000001</v>
      </c>
      <c r="G170" s="20" t="n">
        <v>0.6325200000000001</v>
      </c>
      <c r="H170" s="7" t="n">
        <v>46276.66666666666</v>
      </c>
      <c r="I170" s="20" t="n">
        <v>0.6325200000000001</v>
      </c>
      <c r="J170" s="2" t="inlineStr">
        <is>
          <t>止損</t>
        </is>
      </c>
      <c r="K170" s="5">
        <f>(H170-D170)*24</f>
        <v/>
      </c>
      <c r="L170" s="4">
        <f>IF(C170="做多",I170/E170-1,1-I170/E170)-2*參數!$B$7</f>
        <v/>
      </c>
      <c r="M170" s="2" t="inlineStr"/>
      <c r="N170" s="4" t="n">
        <v>-0.05446554700988848</v>
      </c>
      <c r="O170" s="4" t="n">
        <v>0.06012608351829671</v>
      </c>
      <c r="P170" s="4" t="n">
        <v>-0.05921304358011281</v>
      </c>
      <c r="Q170" s="22" t="n">
        <v>-403630</v>
      </c>
      <c r="R170" s="22" t="n">
        <v>1644007.6028</v>
      </c>
      <c r="S170" s="4" t="n">
        <v>0</v>
      </c>
      <c r="T170" s="4" t="n">
        <v>0.05</v>
      </c>
      <c r="U170" s="19" t="n">
        <v>0.7262307555325315</v>
      </c>
      <c r="V170" s="19" t="n">
        <v>0.8381642512077285</v>
      </c>
      <c r="W170" s="4" t="n">
        <v>0.139256422713114</v>
      </c>
      <c r="X170" s="4" t="n">
        <v>0.1308613475688933</v>
      </c>
      <c r="Y170" s="4" t="n">
        <v>-0.0005685048322909836</v>
      </c>
      <c r="Z170" s="4" t="n">
        <v>-0.002150049219673988</v>
      </c>
      <c r="AA170" s="4" t="n">
        <v>0.03</v>
      </c>
      <c r="AB170" s="4" t="n">
        <v>0.05</v>
      </c>
      <c r="AC170" s="4">
        <f>(AB170+2*參數!$B$7)/(AA170+AB170)</f>
        <v/>
      </c>
    </row>
    <row r="171">
      <c r="A171" s="2" t="n">
        <v>170</v>
      </c>
      <c r="B171" s="2" t="inlineStr">
        <is>
          <t>IOST_USDT_PERP</t>
        </is>
      </c>
      <c r="C171" s="2" t="inlineStr">
        <is>
          <t>做空</t>
        </is>
      </c>
      <c r="D171" s="7" t="n">
        <v>46276.75</v>
      </c>
      <c r="E171" s="20" t="n">
        <v>0.000976</v>
      </c>
      <c r="F171" s="20" t="n">
        <v>0.00094672</v>
      </c>
      <c r="G171" s="20" t="n">
        <v>0.0010248</v>
      </c>
      <c r="H171" s="7" t="n">
        <v>46276.79166666666</v>
      </c>
      <c r="I171" s="20" t="n">
        <v>0.00094672</v>
      </c>
      <c r="J171" s="2" t="inlineStr">
        <is>
          <t>止盈</t>
        </is>
      </c>
      <c r="K171" s="5">
        <f>(H171-D171)*24</f>
        <v/>
      </c>
      <c r="L171" s="4">
        <f>IF(C171="做多",I171/E171-1,1-I171/E171)-2*參數!$B$7</f>
        <v/>
      </c>
      <c r="M171" s="2" t="inlineStr"/>
      <c r="N171" s="4" t="n">
        <v>-0.03652517275419553</v>
      </c>
      <c r="O171" s="4" t="n">
        <v>0.07172342655218422</v>
      </c>
      <c r="P171" s="4" t="n">
        <v>-0.009690020800568466</v>
      </c>
      <c r="Q171" s="22" t="n">
        <v>-365714631</v>
      </c>
      <c r="R171" s="22" t="n">
        <v>2040043.203048</v>
      </c>
      <c r="S171" s="4" t="n">
        <v>0.03</v>
      </c>
      <c r="T171" s="4" t="n">
        <v>0</v>
      </c>
      <c r="U171" s="19" t="n">
        <v>0.9412700473027332</v>
      </c>
      <c r="V171" s="19" t="n">
        <v>0.8913043478260866</v>
      </c>
      <c r="W171" s="4" t="n">
        <v>0.104677509609122</v>
      </c>
      <c r="X171" s="4" t="n">
        <v>0.1103008204193255</v>
      </c>
      <c r="Y171" s="4" t="n">
        <v>0.004027199764110034</v>
      </c>
      <c r="Z171" s="4" t="n">
        <v>0.0009235380783999547</v>
      </c>
      <c r="AA171" s="4" t="n">
        <v>0.03</v>
      </c>
      <c r="AB171" s="4" t="n">
        <v>0.05</v>
      </c>
      <c r="AC171" s="4">
        <f>(AB171+2*參數!$B$7)/(AA171+AB171)</f>
        <v/>
      </c>
    </row>
    <row r="172">
      <c r="A172" s="2" t="n">
        <v>171</v>
      </c>
      <c r="B172" s="2" t="inlineStr">
        <is>
          <t>VVV_USDT_PERP</t>
        </is>
      </c>
      <c r="C172" s="2" t="inlineStr">
        <is>
          <t>做多</t>
        </is>
      </c>
      <c r="D172" s="7" t="n">
        <v>46276.83333333334</v>
      </c>
      <c r="E172" s="20" t="n">
        <v>24.665</v>
      </c>
      <c r="F172" s="20" t="n">
        <v>25.40495</v>
      </c>
      <c r="G172" s="20" t="n">
        <v>23.43175</v>
      </c>
      <c r="H172" s="7" t="n">
        <v>46276.875</v>
      </c>
      <c r="I172" s="20" t="n">
        <v>25.40495</v>
      </c>
      <c r="J172" s="2" t="inlineStr">
        <is>
          <t>止盈</t>
        </is>
      </c>
      <c r="K172" s="5">
        <f>(H172-D172)*24</f>
        <v/>
      </c>
      <c r="L172" s="4">
        <f>IF(C172="做多",I172/E172-1,1-I172/E172)-2*參數!$B$7</f>
        <v/>
      </c>
      <c r="M172" s="2" t="inlineStr"/>
      <c r="N172" s="4" t="n">
        <v>0.02221393344108735</v>
      </c>
      <c r="O172" s="4" t="n">
        <v>0.03381262927684345</v>
      </c>
      <c r="P172" s="4" t="n">
        <v>0.01563079051611238</v>
      </c>
      <c r="Q172" s="22" t="n">
        <v>22667.54999999996</v>
      </c>
      <c r="R172" s="22" t="n">
        <v>4813626.34929</v>
      </c>
      <c r="S172" s="4" t="n">
        <v>0.03</v>
      </c>
      <c r="T172" s="4" t="n">
        <v>0</v>
      </c>
      <c r="U172" s="19" t="n">
        <v>0.9058506016959673</v>
      </c>
      <c r="V172" s="19" t="n">
        <v>0.7744874715261955</v>
      </c>
      <c r="W172" s="4" t="n">
        <v>0.09511882916190673</v>
      </c>
      <c r="X172" s="4" t="n">
        <v>0.03101617690089031</v>
      </c>
      <c r="Y172" s="4" t="n">
        <v>0.0006990635407178036</v>
      </c>
      <c r="Z172" s="4" t="n">
        <v>-0.0005067294961926816</v>
      </c>
      <c r="AA172" s="4" t="n">
        <v>0.03</v>
      </c>
      <c r="AB172" s="4" t="n">
        <v>0.05</v>
      </c>
      <c r="AC172" s="4">
        <f>(AB172+2*參數!$B$7)/(AA172+AB172)</f>
        <v/>
      </c>
    </row>
    <row r="173">
      <c r="A173" s="2" t="n">
        <v>172</v>
      </c>
      <c r="B173" s="2" t="inlineStr">
        <is>
          <t>LIT_USDT_PERP</t>
        </is>
      </c>
      <c r="C173" s="2" t="inlineStr">
        <is>
          <t>做多</t>
        </is>
      </c>
      <c r="D173" s="7" t="n">
        <v>46276.875</v>
      </c>
      <c r="E173" s="20" t="n">
        <v>4.659</v>
      </c>
      <c r="F173" s="20" t="n">
        <v>4.79877</v>
      </c>
      <c r="G173" s="20" t="n">
        <v>4.42605</v>
      </c>
      <c r="H173" s="7" t="n">
        <v>46276.95833333334</v>
      </c>
      <c r="I173" s="20" t="n">
        <v>4.79877</v>
      </c>
      <c r="J173" s="2" t="inlineStr">
        <is>
          <t>止盈</t>
        </is>
      </c>
      <c r="K173" s="5">
        <f>(H173-D173)*24</f>
        <v/>
      </c>
      <c r="L173" s="4">
        <f>IF(C173="做多",I173/E173-1,1-I173/E173)-2*參數!$B$7</f>
        <v/>
      </c>
      <c r="M173" s="2" t="inlineStr"/>
      <c r="N173" s="4" t="n">
        <v>0.03235098604032793</v>
      </c>
      <c r="O173" s="4" t="n">
        <v>0.02162220394744305</v>
      </c>
      <c r="P173" s="4" t="n">
        <v>0.04032690246516624</v>
      </c>
      <c r="Q173" s="22" t="n">
        <v>62052.09999999963</v>
      </c>
      <c r="R173" s="22" t="n">
        <v>3399677.786</v>
      </c>
      <c r="S173" s="4" t="n">
        <v>0.03</v>
      </c>
      <c r="T173" s="4" t="n">
        <v>0.01266366172998501</v>
      </c>
      <c r="U173" s="19" t="n">
        <v>2.748589569835663</v>
      </c>
      <c r="V173" s="19" t="n">
        <v>0.9575289575289572</v>
      </c>
      <c r="W173" s="4" t="n">
        <v>-0.006569562519590288</v>
      </c>
      <c r="X173" s="4" t="n">
        <v>0.0483798379837983</v>
      </c>
      <c r="Y173" s="4" t="n">
        <v>0.01271069248538259</v>
      </c>
      <c r="Z173" s="4" t="n">
        <v>0.01165869166057498</v>
      </c>
      <c r="AA173" s="4" t="n">
        <v>0.03</v>
      </c>
      <c r="AB173" s="4" t="n">
        <v>0.05</v>
      </c>
      <c r="AC173" s="4">
        <f>(AB173+2*參數!$B$7)/(AA173+AB173)</f>
        <v/>
      </c>
    </row>
    <row r="174">
      <c r="A174" s="2" t="n">
        <v>173</v>
      </c>
      <c r="B174" s="2" t="inlineStr">
        <is>
          <t>PONS_USDT_PERP</t>
        </is>
      </c>
      <c r="C174" s="2" t="inlineStr">
        <is>
          <t>做多</t>
        </is>
      </c>
      <c r="D174" s="7" t="n">
        <v>46276.875</v>
      </c>
      <c r="E174" s="20" t="n">
        <v>0.6194</v>
      </c>
      <c r="F174" s="20" t="n">
        <v>0.6379819999999999</v>
      </c>
      <c r="G174" s="20" t="n">
        <v>0.5884299999999999</v>
      </c>
      <c r="H174" s="7" t="n">
        <v>46276.91666666666</v>
      </c>
      <c r="I174" s="20" t="n">
        <v>0.6379819999999999</v>
      </c>
      <c r="J174" s="2" t="inlineStr">
        <is>
          <t>止盈</t>
        </is>
      </c>
      <c r="K174" s="5">
        <f>(H174-D174)*24</f>
        <v/>
      </c>
      <c r="L174" s="4">
        <f>IF(C174="做多",I174/E174-1,1-I174/E174)-2*參數!$B$7</f>
        <v/>
      </c>
      <c r="M174" s="2" t="inlineStr"/>
      <c r="N174" s="4" t="n">
        <v>0.0411833921667506</v>
      </c>
      <c r="O174" s="4" t="n">
        <v>0.05038425945475051</v>
      </c>
      <c r="P174" s="4" t="n">
        <v>0.01647630300643299</v>
      </c>
      <c r="Q174" s="22" t="n">
        <v>20188</v>
      </c>
      <c r="R174" s="22" t="n">
        <v>6544877.766</v>
      </c>
      <c r="S174" s="4" t="n">
        <v>0.03</v>
      </c>
      <c r="T174" s="4" t="n">
        <v>0</v>
      </c>
      <c r="U174" s="19" t="n">
        <v>0.9174173609049526</v>
      </c>
      <c r="V174" s="19" t="n">
        <v>0.6834951456310661</v>
      </c>
      <c r="W174" s="4" t="n">
        <v>-0.1099999281562746</v>
      </c>
      <c r="X174" s="4" t="n">
        <v>0.08704808704808698</v>
      </c>
      <c r="Y174" s="4" t="n">
        <v>0.01271069248538259</v>
      </c>
      <c r="Z174" s="4" t="n">
        <v>0.01165869166057498</v>
      </c>
      <c r="AA174" s="4" t="n">
        <v>0.03</v>
      </c>
      <c r="AB174" s="4" t="n">
        <v>0.05</v>
      </c>
      <c r="AC174" s="4">
        <f>(AB174+2*參數!$B$7)/(AA174+AB174)</f>
        <v/>
      </c>
    </row>
    <row r="175">
      <c r="A175" s="2" t="n">
        <v>174</v>
      </c>
      <c r="B175" s="2" t="inlineStr">
        <is>
          <t>ZEC_USDT_PERP</t>
        </is>
      </c>
      <c r="C175" s="2" t="inlineStr">
        <is>
          <t>做多</t>
        </is>
      </c>
      <c r="D175" s="7" t="n">
        <v>46276.875</v>
      </c>
      <c r="E175" s="20" t="n">
        <v>1150.81</v>
      </c>
      <c r="F175" s="20" t="n">
        <v>1185.3343</v>
      </c>
      <c r="G175" s="20" t="n">
        <v>1093.2695</v>
      </c>
      <c r="H175" s="7" t="n">
        <v>46276.91666666666</v>
      </c>
      <c r="I175" s="20" t="n">
        <v>1185.3343</v>
      </c>
      <c r="J175" s="2" t="inlineStr">
        <is>
          <t>止盈</t>
        </is>
      </c>
      <c r="K175" s="5">
        <f>(H175-D175)*24</f>
        <v/>
      </c>
      <c r="L175" s="4">
        <f>IF(C175="做多",I175/E175-1,1-I175/E175)-2*參數!$B$7</f>
        <v/>
      </c>
      <c r="M175" s="2" t="inlineStr"/>
      <c r="N175" s="4" t="n">
        <v>0.04513627158049616</v>
      </c>
      <c r="O175" s="4" t="n">
        <v>0.02301159982877493</v>
      </c>
      <c r="P175" s="4" t="n">
        <v>0.04090594572104367</v>
      </c>
      <c r="Q175" s="22" t="n">
        <v>3050.965999999993</v>
      </c>
      <c r="R175" s="22" t="n">
        <v>31858591.84966</v>
      </c>
      <c r="S175" s="4" t="n">
        <v>0.03</v>
      </c>
      <c r="T175" s="4" t="n">
        <v>0</v>
      </c>
      <c r="U175" s="19" t="n">
        <v>3.527958566583369</v>
      </c>
      <c r="V175" s="19" t="n">
        <v>0.7579874213836477</v>
      </c>
      <c r="W175" s="4" t="n">
        <v>-0.02157207379431791</v>
      </c>
      <c r="X175" s="4" t="n">
        <v>-0.0321519881585145</v>
      </c>
      <c r="Y175" s="4" t="n">
        <v>0.01271069248538259</v>
      </c>
      <c r="Z175" s="4" t="n">
        <v>0.01165869166057498</v>
      </c>
      <c r="AA175" s="4" t="n">
        <v>0.03</v>
      </c>
      <c r="AB175" s="4" t="n">
        <v>0.05</v>
      </c>
      <c r="AC175" s="4">
        <f>(AB175+2*參數!$B$7)/(AA175+AB175)</f>
        <v/>
      </c>
    </row>
    <row r="176">
      <c r="A176" s="2" t="n">
        <v>175</v>
      </c>
      <c r="B176" s="2" t="inlineStr">
        <is>
          <t>PUMP_USDT_PERP</t>
        </is>
      </c>
      <c r="C176" s="2" t="inlineStr">
        <is>
          <t>做多</t>
        </is>
      </c>
      <c r="D176" s="7" t="n">
        <v>46276.91666666666</v>
      </c>
      <c r="E176" s="20" t="n">
        <v>0.003843</v>
      </c>
      <c r="F176" s="20" t="n">
        <v>0.003958290000000001</v>
      </c>
      <c r="G176" s="20" t="n">
        <v>0.00365085</v>
      </c>
      <c r="H176" s="7" t="n">
        <v>46277</v>
      </c>
      <c r="I176" s="20" t="n">
        <v>0.00365085</v>
      </c>
      <c r="J176" s="2" t="inlineStr">
        <is>
          <t>止損</t>
        </is>
      </c>
      <c r="K176" s="5">
        <f>(H176-D176)*24</f>
        <v/>
      </c>
      <c r="L176" s="4">
        <f>IF(C176="做多",I176/E176-1,1-I176/E176)-2*參數!$B$7</f>
        <v/>
      </c>
      <c r="M176" s="2" t="inlineStr"/>
      <c r="N176" s="4" t="n">
        <v>0.02836499866202846</v>
      </c>
      <c r="O176" s="4" t="n">
        <v>0.02619272129813715</v>
      </c>
      <c r="P176" s="4" t="n">
        <v>0.02968758373077529</v>
      </c>
      <c r="Q176" s="22" t="n">
        <v>51460715</v>
      </c>
      <c r="R176" s="22" t="n">
        <v>5504621.711578</v>
      </c>
      <c r="S176" s="4" t="n">
        <v>0.009888108248763849</v>
      </c>
      <c r="T176" s="4" t="n">
        <v>0.05</v>
      </c>
      <c r="U176" s="19" t="n">
        <v>2.069726197212137</v>
      </c>
      <c r="V176" s="19" t="n">
        <v>0.9903846153846162</v>
      </c>
      <c r="W176" s="4" t="n">
        <v>-0.08241108842806488</v>
      </c>
      <c r="X176" s="4" t="n">
        <v>-0.01309707241910629</v>
      </c>
      <c r="Y176" s="4" t="n">
        <v>0.01563093003456717</v>
      </c>
      <c r="Z176" s="4" t="n">
        <v>0.02619733051292372</v>
      </c>
      <c r="AA176" s="4" t="n">
        <v>0.03</v>
      </c>
      <c r="AB176" s="4" t="n">
        <v>0.05</v>
      </c>
      <c r="AC176" s="4">
        <f>(AB176+2*參數!$B$7)/(AA176+AB176)</f>
        <v/>
      </c>
    </row>
    <row r="177">
      <c r="A177" s="2" t="n">
        <v>176</v>
      </c>
      <c r="B177" s="2" t="inlineStr">
        <is>
          <t>PONS_USDT_PERP</t>
        </is>
      </c>
      <c r="C177" s="2" t="inlineStr">
        <is>
          <t>做空</t>
        </is>
      </c>
      <c r="D177" s="7" t="n">
        <v>46277.04166666666</v>
      </c>
      <c r="E177" s="20" t="n">
        <v>0.6084000000000001</v>
      </c>
      <c r="F177" s="20" t="n">
        <v>0.590148</v>
      </c>
      <c r="G177" s="20" t="n">
        <v>0.6388200000000001</v>
      </c>
      <c r="H177" s="7" t="n">
        <v>46277.16666666666</v>
      </c>
      <c r="I177" s="20" t="n">
        <v>0.590148</v>
      </c>
      <c r="J177" s="2" t="inlineStr">
        <is>
          <t>止盈</t>
        </is>
      </c>
      <c r="K177" s="5">
        <f>(H177-D177)*24</f>
        <v/>
      </c>
      <c r="L177" s="4">
        <f>IF(C177="做多",I177/E177-1,1-I177/E177)-2*參數!$B$7</f>
        <v/>
      </c>
      <c r="M177" s="2" t="inlineStr"/>
      <c r="N177" s="4" t="n">
        <v>-0.04788732394366191</v>
      </c>
      <c r="O177" s="4" t="n">
        <v>0.05391428247444321</v>
      </c>
      <c r="P177" s="4" t="n">
        <v>-0.01748946271982943</v>
      </c>
      <c r="Q177" s="22" t="n">
        <v>-1884620</v>
      </c>
      <c r="R177" s="22" t="n">
        <v>7189657.9305</v>
      </c>
      <c r="S177" s="4" t="n">
        <v>0.03</v>
      </c>
      <c r="T177" s="4" t="n">
        <v>0.02925706771860614</v>
      </c>
      <c r="U177" s="19" t="n">
        <v>0.9158699230400815</v>
      </c>
      <c r="V177" s="19" t="n">
        <v>0.8441860465116271</v>
      </c>
      <c r="W177" s="4" t="n">
        <v>0.1173551992479238</v>
      </c>
      <c r="X177" s="4" t="n">
        <v>-0.03381478334749377</v>
      </c>
      <c r="Y177" s="4" t="n">
        <v>-0.002425016282620041</v>
      </c>
      <c r="Z177" s="4" t="n">
        <v>-0.007135817448049364</v>
      </c>
      <c r="AA177" s="4" t="n">
        <v>0.03</v>
      </c>
      <c r="AB177" s="4" t="n">
        <v>0.05</v>
      </c>
      <c r="AC177" s="4">
        <f>(AB177+2*參數!$B$7)/(AA177+AB177)</f>
        <v/>
      </c>
    </row>
    <row r="178">
      <c r="A178" s="2" t="n">
        <v>177</v>
      </c>
      <c r="B178" s="2" t="inlineStr">
        <is>
          <t>IOST_USDT_PERP</t>
        </is>
      </c>
      <c r="C178" s="2" t="inlineStr">
        <is>
          <t>做空</t>
        </is>
      </c>
      <c r="D178" s="7" t="n">
        <v>46277.08333333334</v>
      </c>
      <c r="E178" s="20" t="n">
        <v>0.000895</v>
      </c>
      <c r="F178" s="20" t="n">
        <v>0.0008681499999999999</v>
      </c>
      <c r="G178" s="20" t="n">
        <v>0.00093975</v>
      </c>
      <c r="H178" s="7" t="n">
        <v>46277.25</v>
      </c>
      <c r="I178" s="20" t="n">
        <v>0.0008681499999999999</v>
      </c>
      <c r="J178" s="2" t="inlineStr">
        <is>
          <t>止盈</t>
        </is>
      </c>
      <c r="K178" s="5">
        <f>(H178-D178)*24</f>
        <v/>
      </c>
      <c r="L178" s="4">
        <f>IF(C178="做多",I178/E178-1,1-I178/E178)-2*參數!$B$7</f>
        <v/>
      </c>
      <c r="M178" s="2" t="inlineStr"/>
      <c r="N178" s="4" t="n">
        <v>-0.02399127589967287</v>
      </c>
      <c r="O178" s="4" t="n">
        <v>0.06096237757631735</v>
      </c>
      <c r="P178" s="4" t="n">
        <v>-0.05170586988768822</v>
      </c>
      <c r="Q178" s="22" t="n">
        <v>-80556021</v>
      </c>
      <c r="R178" s="22" t="n">
        <v>1426890.264431</v>
      </c>
      <c r="S178" s="4" t="n">
        <v>0.03</v>
      </c>
      <c r="T178" s="4" t="n">
        <v>0.003351955307262733</v>
      </c>
      <c r="U178" s="19" t="n">
        <v>0.5173070279746069</v>
      </c>
      <c r="V178" s="19" t="n">
        <v>0.7222222222222245</v>
      </c>
      <c r="W178" s="4" t="n">
        <v>0.1818489300046622</v>
      </c>
      <c r="X178" s="4" t="n">
        <v>0.1164856860809478</v>
      </c>
      <c r="Y178" s="4" t="n">
        <v>0.004939739543340704</v>
      </c>
      <c r="Z178" s="4" t="n">
        <v>-0.001914453688999895</v>
      </c>
      <c r="AA178" s="4" t="n">
        <v>0.03</v>
      </c>
      <c r="AB178" s="4" t="n">
        <v>0.05</v>
      </c>
      <c r="AC178" s="4">
        <f>(AB178+2*參數!$B$7)/(AA178+AB178)</f>
        <v/>
      </c>
    </row>
    <row r="179">
      <c r="A179" s="2" t="n">
        <v>178</v>
      </c>
      <c r="B179" s="2" t="inlineStr">
        <is>
          <t>ENA_USDT_PERP</t>
        </is>
      </c>
      <c r="C179" s="2" t="inlineStr">
        <is>
          <t>做空</t>
        </is>
      </c>
      <c r="D179" s="7" t="n">
        <v>46277.125</v>
      </c>
      <c r="E179" s="20" t="n">
        <v>0.1418</v>
      </c>
      <c r="F179" s="20" t="n">
        <v>0.137546</v>
      </c>
      <c r="G179" s="20" t="n">
        <v>0.14889</v>
      </c>
      <c r="H179" s="7" t="n">
        <v>46278.91666666666</v>
      </c>
      <c r="I179" s="20" t="n">
        <v>0.137546</v>
      </c>
      <c r="J179" s="2" t="inlineStr">
        <is>
          <t>止盈</t>
        </is>
      </c>
      <c r="K179" s="5">
        <f>(H179-D179)*24</f>
        <v/>
      </c>
      <c r="L179" s="4">
        <f>IF(C179="做多",I179/E179-1,1-I179/E179)-2*參數!$B$7</f>
        <v/>
      </c>
      <c r="M179" s="2" t="inlineStr"/>
      <c r="N179" s="4" t="n">
        <v>-0.02475928473177436</v>
      </c>
      <c r="O179" s="4" t="n">
        <v>0.02640895320179839</v>
      </c>
      <c r="P179" s="4" t="n">
        <v>-0.02936545964816206</v>
      </c>
      <c r="Q179" s="22" t="n">
        <v>-26921233</v>
      </c>
      <c r="R179" s="22" t="n">
        <v>7836145.6262</v>
      </c>
      <c r="S179" s="4" t="n">
        <v>0.03</v>
      </c>
      <c r="T179" s="4" t="n">
        <v>0.01410437235543016</v>
      </c>
      <c r="U179" s="19" t="n">
        <v>1.201993217794421</v>
      </c>
      <c r="V179" s="19" t="n">
        <v>0.8723404255319115</v>
      </c>
      <c r="W179" s="4" t="n">
        <v>0.08749847165646696</v>
      </c>
      <c r="X179" s="4" t="n">
        <v>0.0340599455040872</v>
      </c>
      <c r="Y179" s="4" t="n">
        <v>0.006107577499648187</v>
      </c>
      <c r="Z179" s="4" t="n">
        <v>0.004350599782954601</v>
      </c>
      <c r="AA179" s="4" t="n">
        <v>0.03</v>
      </c>
      <c r="AB179" s="4" t="n">
        <v>0.05</v>
      </c>
      <c r="AC179" s="4">
        <f>(AB179+2*參數!$B$7)/(AA179+AB179)</f>
        <v/>
      </c>
    </row>
    <row r="180">
      <c r="A180" s="2" t="n">
        <v>179</v>
      </c>
      <c r="B180" s="2" t="inlineStr">
        <is>
          <t>MARSCOIN_USDT_PERP</t>
        </is>
      </c>
      <c r="C180" s="2" t="inlineStr">
        <is>
          <t>做空</t>
        </is>
      </c>
      <c r="D180" s="7" t="n">
        <v>46277.125</v>
      </c>
      <c r="E180" s="20" t="n">
        <v>0.12248</v>
      </c>
      <c r="F180" s="20" t="n">
        <v>0.1188056</v>
      </c>
      <c r="G180" s="20" t="n">
        <v>0.128604</v>
      </c>
      <c r="H180" s="7" t="n">
        <v>46277.25</v>
      </c>
      <c r="I180" s="20" t="n">
        <v>0.1188056</v>
      </c>
      <c r="J180" s="2" t="inlineStr">
        <is>
          <t>止盈</t>
        </is>
      </c>
      <c r="K180" s="5">
        <f>(H180-D180)*24</f>
        <v/>
      </c>
      <c r="L180" s="4">
        <f>IF(C180="做多",I180/E180-1,1-I180/E180)-2*參數!$B$7</f>
        <v/>
      </c>
      <c r="M180" s="2" t="inlineStr"/>
      <c r="N180" s="4" t="n">
        <v>-0.02234993614303959</v>
      </c>
      <c r="O180" s="4" t="n">
        <v>0.05400174410036485</v>
      </c>
      <c r="P180" s="4" t="n">
        <v>-0.021080184626451</v>
      </c>
      <c r="Q180" s="22" t="n">
        <v>-1661631</v>
      </c>
      <c r="R180" s="22" t="n">
        <v>4420156.18964</v>
      </c>
      <c r="S180" s="4" t="n">
        <v>0.03</v>
      </c>
      <c r="T180" s="4" t="n">
        <v>0.02188112344872617</v>
      </c>
      <c r="U180" s="19" t="n">
        <v>0.7162961934991695</v>
      </c>
      <c r="V180" s="19" t="n">
        <v>0.7112068965517228</v>
      </c>
      <c r="W180" s="4" t="n">
        <v>0.0395247184367653</v>
      </c>
      <c r="X180" s="4" t="n">
        <v>-0.07561254061649247</v>
      </c>
      <c r="Y180" s="4" t="n">
        <v>0.006107577499648187</v>
      </c>
      <c r="Z180" s="4" t="n">
        <v>0.004350599782954601</v>
      </c>
      <c r="AA180" s="4" t="n">
        <v>0.03</v>
      </c>
      <c r="AB180" s="4" t="n">
        <v>0.05</v>
      </c>
      <c r="AC180" s="4">
        <f>(AB180+2*參數!$B$7)/(AA180+AB180)</f>
        <v/>
      </c>
    </row>
    <row r="181">
      <c r="A181" s="2" t="n">
        <v>180</v>
      </c>
      <c r="B181" s="2" t="inlineStr">
        <is>
          <t>PUMP_USDT_PERP</t>
        </is>
      </c>
      <c r="C181" s="2" t="inlineStr">
        <is>
          <t>做空</t>
        </is>
      </c>
      <c r="D181" s="7" t="n">
        <v>46277.125</v>
      </c>
      <c r="E181" s="20" t="n">
        <v>0.003537</v>
      </c>
      <c r="F181" s="20" t="n">
        <v>0.00343089</v>
      </c>
      <c r="G181" s="20" t="n">
        <v>0.00371385</v>
      </c>
      <c r="H181" s="7" t="n">
        <v>46278.08333333334</v>
      </c>
      <c r="I181" s="20" t="n">
        <v>0.00371385</v>
      </c>
      <c r="J181" s="2" t="inlineStr">
        <is>
          <t>止損</t>
        </is>
      </c>
      <c r="K181" s="5">
        <f>(H181-D181)*24</f>
        <v/>
      </c>
      <c r="L181" s="4">
        <f>IF(C181="做多",I181/E181-1,1-I181/E181)-2*參數!$B$7</f>
        <v/>
      </c>
      <c r="M181" s="2" t="inlineStr"/>
      <c r="N181" s="4" t="n">
        <v>-0.04224207961007309</v>
      </c>
      <c r="O181" s="4" t="n">
        <v>0.03232554839217103</v>
      </c>
      <c r="P181" s="4" t="n">
        <v>-0.04143743732892491</v>
      </c>
      <c r="Q181" s="22" t="n">
        <v>-178806568</v>
      </c>
      <c r="R181" s="22" t="n">
        <v>6297088.56239</v>
      </c>
      <c r="S181" s="4" t="n">
        <v>0.006502685891998872</v>
      </c>
      <c r="T181" s="4" t="n">
        <v>0.05</v>
      </c>
      <c r="U181" s="19" t="n">
        <v>1.224382173297189</v>
      </c>
      <c r="V181" s="19" t="n">
        <v>0.8535353535353518</v>
      </c>
      <c r="W181" s="4" t="n">
        <v>0.1475382969082898</v>
      </c>
      <c r="X181" s="4" t="n">
        <v>0.08934088568486087</v>
      </c>
      <c r="Y181" s="4" t="n">
        <v>0.006107577499648187</v>
      </c>
      <c r="Z181" s="4" t="n">
        <v>0.004350599782954601</v>
      </c>
      <c r="AA181" s="4" t="n">
        <v>0.03</v>
      </c>
      <c r="AB181" s="4" t="n">
        <v>0.05</v>
      </c>
      <c r="AC181" s="4">
        <f>(AB181+2*參數!$B$7)/(AA181+AB181)</f>
        <v/>
      </c>
    </row>
    <row r="182">
      <c r="A182" s="2" t="n">
        <v>181</v>
      </c>
      <c r="B182" s="2" t="inlineStr">
        <is>
          <t>USELESS_USDT_PERP</t>
        </is>
      </c>
      <c r="C182" s="2" t="inlineStr">
        <is>
          <t>做空</t>
        </is>
      </c>
      <c r="D182" s="7" t="n">
        <v>46277.125</v>
      </c>
      <c r="E182" s="20" t="n">
        <v>0.22299</v>
      </c>
      <c r="F182" s="20" t="n">
        <v>0.2163003</v>
      </c>
      <c r="G182" s="20" t="n">
        <v>0.2341395</v>
      </c>
      <c r="H182" s="7" t="n">
        <v>46277.16666666666</v>
      </c>
      <c r="I182" s="20" t="n">
        <v>0.2163003</v>
      </c>
      <c r="J182" s="2" t="inlineStr">
        <is>
          <t>止盈</t>
        </is>
      </c>
      <c r="K182" s="5">
        <f>(H182-D182)*24</f>
        <v/>
      </c>
      <c r="L182" s="4">
        <f>IF(C182="做多",I182/E182-1,1-I182/E182)-2*參數!$B$7</f>
        <v/>
      </c>
      <c r="M182" s="2" t="inlineStr"/>
      <c r="N182" s="4" t="n">
        <v>-0.0671045475463331</v>
      </c>
      <c r="O182" s="4" t="n">
        <v>0.0580202419608135</v>
      </c>
      <c r="P182" s="4" t="n">
        <v>-0.02607655032199874</v>
      </c>
      <c r="Q182" s="22" t="n">
        <v>-2047242</v>
      </c>
      <c r="R182" s="22" t="n">
        <v>6798765.46783</v>
      </c>
      <c r="S182" s="4" t="n">
        <v>0.03</v>
      </c>
      <c r="T182" s="4" t="n">
        <v>0</v>
      </c>
      <c r="U182" s="19" t="n">
        <v>0.9914632778234673</v>
      </c>
      <c r="V182" s="19" t="n">
        <v>0.9593365436062075</v>
      </c>
      <c r="W182" s="4" t="n">
        <v>0.1150498669935706</v>
      </c>
      <c r="X182" s="4" t="n">
        <v>0.1105305145592341</v>
      </c>
      <c r="Y182" s="4" t="n">
        <v>0.006107577499648187</v>
      </c>
      <c r="Z182" s="4" t="n">
        <v>0.004350599782954601</v>
      </c>
      <c r="AA182" s="4" t="n">
        <v>0.03</v>
      </c>
      <c r="AB182" s="4" t="n">
        <v>0.05</v>
      </c>
      <c r="AC182" s="4">
        <f>(AB182+2*參數!$B$7)/(AA182+AB182)</f>
        <v/>
      </c>
    </row>
    <row r="183">
      <c r="A183" s="2" t="n">
        <v>182</v>
      </c>
      <c r="B183" s="2" t="inlineStr">
        <is>
          <t>PONS_USDT_PERP</t>
        </is>
      </c>
      <c r="C183" s="2" t="inlineStr">
        <is>
          <t>做空</t>
        </is>
      </c>
      <c r="D183" s="7" t="n">
        <v>46277.20833333334</v>
      </c>
      <c r="E183" s="20" t="n">
        <v>0.5886</v>
      </c>
      <c r="F183" s="20" t="n">
        <v>0.5709419999999999</v>
      </c>
      <c r="G183" s="20" t="n">
        <v>0.6180300000000001</v>
      </c>
      <c r="H183" s="7" t="n">
        <v>46277.33333333334</v>
      </c>
      <c r="I183" s="20" t="n">
        <v>0.5709419999999999</v>
      </c>
      <c r="J183" s="2" t="inlineStr">
        <is>
          <t>止盈</t>
        </is>
      </c>
      <c r="K183" s="5">
        <f>(H183-D183)*24</f>
        <v/>
      </c>
      <c r="L183" s="4">
        <f>IF(C183="做多",I183/E183-1,1-I183/E183)-2*參數!$B$7</f>
        <v/>
      </c>
      <c r="M183" s="2" t="inlineStr"/>
      <c r="N183" s="4" t="n">
        <v>-0.02128367143332233</v>
      </c>
      <c r="O183" s="4" t="n">
        <v>0.05073437419971659</v>
      </c>
      <c r="P183" s="4" t="n">
        <v>-0.05479188078108932</v>
      </c>
      <c r="Q183" s="22" t="n">
        <v>-1615071</v>
      </c>
      <c r="R183" s="22" t="n">
        <v>6250085.110300001</v>
      </c>
      <c r="S183" s="4" t="n">
        <v>0.03</v>
      </c>
      <c r="T183" s="4" t="n">
        <v>0.01376146788990829</v>
      </c>
      <c r="U183" s="19" t="n">
        <v>0.8199632796621746</v>
      </c>
      <c r="V183" s="19" t="n">
        <v>0.8391304347826072</v>
      </c>
      <c r="W183" s="4" t="n">
        <v>0.1385391755383765</v>
      </c>
      <c r="X183" s="4" t="n">
        <v>-0.007186858316221789</v>
      </c>
      <c r="Y183" s="4" t="n">
        <v>-0.0006809669731016044</v>
      </c>
      <c r="Z183" s="4" t="n">
        <v>0.001518602885345666</v>
      </c>
      <c r="AA183" s="4" t="n">
        <v>0.03</v>
      </c>
      <c r="AB183" s="4" t="n">
        <v>0.05</v>
      </c>
      <c r="AC183" s="4">
        <f>(AB183+2*參數!$B$7)/(AA183+AB183)</f>
        <v/>
      </c>
    </row>
    <row r="184">
      <c r="A184" s="2" t="n">
        <v>183</v>
      </c>
      <c r="B184" s="2" t="inlineStr">
        <is>
          <t>AERO_USDT_PERP</t>
        </is>
      </c>
      <c r="C184" s="2" t="inlineStr">
        <is>
          <t>做空</t>
        </is>
      </c>
      <c r="D184" s="7" t="n">
        <v>46277.25</v>
      </c>
      <c r="E184" s="20" t="n">
        <v>0.5694</v>
      </c>
      <c r="F184" s="20" t="n">
        <v>0.552318</v>
      </c>
      <c r="G184" s="20" t="n">
        <v>0.59787</v>
      </c>
      <c r="H184" s="7" t="n">
        <v>46280.54166666666</v>
      </c>
      <c r="I184" s="20" t="n">
        <v>0.552318</v>
      </c>
      <c r="J184" s="2" t="inlineStr">
        <is>
          <t>止盈</t>
        </is>
      </c>
      <c r="K184" s="5">
        <f>(H184-D184)*24</f>
        <v/>
      </c>
      <c r="L184" s="4">
        <f>IF(C184="做多",I184/E184-1,1-I184/E184)-2*參數!$B$7</f>
        <v/>
      </c>
      <c r="M184" s="2" t="inlineStr"/>
      <c r="N184" s="4" t="n">
        <v>-0.02248927038626614</v>
      </c>
      <c r="O184" s="4" t="n">
        <v>0.02399339645909423</v>
      </c>
      <c r="P184" s="4" t="n">
        <v>-0.0003160223322447031</v>
      </c>
      <c r="Q184" s="22" t="n">
        <v>-361831.8</v>
      </c>
      <c r="R184" s="22" t="n">
        <v>1281726.24259</v>
      </c>
      <c r="S184" s="4" t="n">
        <v>0.03</v>
      </c>
      <c r="T184" s="4" t="n">
        <v>0.0277485072005621</v>
      </c>
      <c r="U184" s="19" t="n">
        <v>1.01517167462681</v>
      </c>
      <c r="V184" s="19" t="n">
        <v>0.9481865284974093</v>
      </c>
      <c r="W184" s="4" t="n">
        <v>0.03105260291875411</v>
      </c>
      <c r="X184" s="4" t="n">
        <v>-0.04057017543859653</v>
      </c>
      <c r="Y184" s="4" t="n">
        <v>0.002787994674994909</v>
      </c>
      <c r="Z184" s="4" t="n">
        <v>0.004388146566394635</v>
      </c>
      <c r="AA184" s="4" t="n">
        <v>0.03</v>
      </c>
      <c r="AB184" s="4" t="n">
        <v>0.05</v>
      </c>
      <c r="AC184" s="4">
        <f>(AB184+2*參數!$B$7)/(AA184+AB184)</f>
        <v/>
      </c>
    </row>
    <row r="185">
      <c r="A185" s="2" t="n">
        <v>184</v>
      </c>
      <c r="B185" s="2" t="inlineStr">
        <is>
          <t>USELESS_USDT_PERP</t>
        </is>
      </c>
      <c r="C185" s="2" t="inlineStr">
        <is>
          <t>做空</t>
        </is>
      </c>
      <c r="D185" s="7" t="n">
        <v>46277.25</v>
      </c>
      <c r="E185" s="20" t="n">
        <v>0.21674</v>
      </c>
      <c r="F185" s="20" t="n">
        <v>0.2102378</v>
      </c>
      <c r="G185" s="20" t="n">
        <v>0.227577</v>
      </c>
      <c r="H185" s="7" t="n">
        <v>46277.45833333334</v>
      </c>
      <c r="I185" s="20" t="n">
        <v>0.227577</v>
      </c>
      <c r="J185" s="2" t="inlineStr">
        <is>
          <t>止損</t>
        </is>
      </c>
      <c r="K185" s="5">
        <f>(H185-D185)*24</f>
        <v/>
      </c>
      <c r="L185" s="4">
        <f>IF(C185="做多",I185/E185-1,1-I185/E185)-2*參數!$B$7</f>
        <v/>
      </c>
      <c r="M185" s="2" t="inlineStr"/>
      <c r="N185" s="4" t="n">
        <v>-0.02789738069608905</v>
      </c>
      <c r="O185" s="4" t="n">
        <v>0.05473292229627186</v>
      </c>
      <c r="P185" s="4" t="n">
        <v>-0.04905647132120339</v>
      </c>
      <c r="Q185" s="22" t="n">
        <v>-1497454</v>
      </c>
      <c r="R185" s="22" t="n">
        <v>7028951.42274</v>
      </c>
      <c r="S185" s="4" t="n">
        <v>0.02159269170434619</v>
      </c>
      <c r="T185" s="4" t="n">
        <v>0.05</v>
      </c>
      <c r="U185" s="19" t="n">
        <v>0.7345015725800836</v>
      </c>
      <c r="V185" s="19" t="n">
        <v>0.9932659932659959</v>
      </c>
      <c r="W185" s="4" t="n">
        <v>0.1393847995041357</v>
      </c>
      <c r="X185" s="4" t="n">
        <v>0.1150218447592993</v>
      </c>
      <c r="Y185" s="4" t="n">
        <v>0.002787994674994909</v>
      </c>
      <c r="Z185" s="4" t="n">
        <v>0.004388146566394635</v>
      </c>
      <c r="AA185" s="4" t="n">
        <v>0.03</v>
      </c>
      <c r="AB185" s="4" t="n">
        <v>0.05</v>
      </c>
      <c r="AC185" s="4">
        <f>(AB185+2*參數!$B$7)/(AA185+AB185)</f>
        <v/>
      </c>
    </row>
    <row r="186">
      <c r="A186" s="2" t="n">
        <v>185</v>
      </c>
      <c r="B186" s="2" t="inlineStr">
        <is>
          <t>RAY_USDT_PERP</t>
        </is>
      </c>
      <c r="C186" s="2" t="inlineStr">
        <is>
          <t>做多</t>
        </is>
      </c>
      <c r="D186" s="7" t="n">
        <v>46277.41666666666</v>
      </c>
      <c r="E186" s="20" t="n">
        <v>1.716</v>
      </c>
      <c r="F186" s="20" t="n">
        <v>1.76748</v>
      </c>
      <c r="G186" s="20" t="n">
        <v>1.6302</v>
      </c>
      <c r="H186" s="7" t="n">
        <v>46277.5</v>
      </c>
      <c r="I186" s="20" t="n">
        <v>1.6302</v>
      </c>
      <c r="J186" s="2" t="inlineStr">
        <is>
          <t>止損</t>
        </is>
      </c>
      <c r="K186" s="5">
        <f>(H186-D186)*24</f>
        <v/>
      </c>
      <c r="L186" s="4">
        <f>IF(C186="做多",I186/E186-1,1-I186/E186)-2*參數!$B$7</f>
        <v/>
      </c>
      <c r="M186" s="2" t="inlineStr"/>
      <c r="N186" s="4" t="n">
        <v>0.04000000000000004</v>
      </c>
      <c r="O186" s="4" t="n">
        <v>0.04282887250254052</v>
      </c>
      <c r="P186" s="4" t="n">
        <v>0.05939004815409299</v>
      </c>
      <c r="Q186" s="22" t="n">
        <v>721092.5999999996</v>
      </c>
      <c r="R186" s="22" t="n">
        <v>4467953.1854</v>
      </c>
      <c r="S186" s="4" t="n">
        <v>0.01515151515151514</v>
      </c>
      <c r="T186" s="4" t="n">
        <v>0.05</v>
      </c>
      <c r="U186" s="19" t="n">
        <v>0.480733710492018</v>
      </c>
      <c r="V186" s="19" t="n">
        <v>0.8888888888888876</v>
      </c>
      <c r="W186" s="4" t="n">
        <v>0.2746234067207416</v>
      </c>
      <c r="X186" s="4" t="n">
        <v>0.1432378414390407</v>
      </c>
      <c r="Y186" s="4" t="n">
        <v>-0.0001993481058047974</v>
      </c>
      <c r="Z186" s="4" t="n">
        <v>-0.002897721507352458</v>
      </c>
      <c r="AA186" s="4" t="n">
        <v>0.03</v>
      </c>
      <c r="AB186" s="4" t="n">
        <v>0.05</v>
      </c>
      <c r="AC186" s="4">
        <f>(AB186+2*參數!$B$7)/(AA186+AB186)</f>
        <v/>
      </c>
    </row>
    <row r="187">
      <c r="A187" s="2" t="n">
        <v>186</v>
      </c>
      <c r="B187" s="2" t="inlineStr">
        <is>
          <t>AKE_USDT_PERP</t>
        </is>
      </c>
      <c r="C187" s="2" t="inlineStr">
        <is>
          <t>做多</t>
        </is>
      </c>
      <c r="D187" s="7" t="n">
        <v>46277.58333333334</v>
      </c>
      <c r="E187" s="20" t="n">
        <v>0.0143414</v>
      </c>
      <c r="F187" s="20" t="n">
        <v>0.014771642</v>
      </c>
      <c r="G187" s="20" t="n">
        <v>0.01362433</v>
      </c>
      <c r="H187" s="7" t="n">
        <v>46277.625</v>
      </c>
      <c r="I187" s="20" t="n">
        <v>0.014771642</v>
      </c>
      <c r="J187" s="2" t="inlineStr">
        <is>
          <t>止盈</t>
        </is>
      </c>
      <c r="K187" s="5">
        <f>(H187-D187)*24</f>
        <v/>
      </c>
      <c r="L187" s="4">
        <f>IF(C187="做多",I187/E187-1,1-I187/E187)-2*參數!$B$7</f>
        <v/>
      </c>
      <c r="M187" s="2" t="inlineStr"/>
      <c r="N187" s="4" t="n">
        <v>0.03836657857582448</v>
      </c>
      <c r="O187" s="4" t="n">
        <v>0.0374620669985186</v>
      </c>
      <c r="P187" s="4" t="n">
        <v>0.01536348446659686</v>
      </c>
      <c r="Q187" s="22" t="n">
        <v>16563931</v>
      </c>
      <c r="R187" s="22" t="n">
        <v>1694418.2021095</v>
      </c>
      <c r="S187" s="4" t="n">
        <v>0.03</v>
      </c>
      <c r="T187" s="4" t="n">
        <v>0</v>
      </c>
      <c r="U187" s="19" t="n">
        <v>2.652559555943732</v>
      </c>
      <c r="V187" s="19" t="n">
        <v>0.74231782265145</v>
      </c>
      <c r="W187" s="4" t="n">
        <v>-0.08330751525610258</v>
      </c>
      <c r="X187" s="4" t="n">
        <v>0.001844219350331855</v>
      </c>
      <c r="Y187" s="4" t="n">
        <v>-0.0001114185918761335</v>
      </c>
      <c r="Z187" s="4" t="n">
        <v>-0.003698735107982465</v>
      </c>
      <c r="AA187" s="4" t="n">
        <v>0.03</v>
      </c>
      <c r="AB187" s="4" t="n">
        <v>0.05</v>
      </c>
      <c r="AC187" s="4">
        <f>(AB187+2*參數!$B$7)/(AA187+AB187)</f>
        <v/>
      </c>
    </row>
    <row r="188">
      <c r="A188" s="2" t="n">
        <v>187</v>
      </c>
      <c r="B188" s="2" t="inlineStr">
        <is>
          <t>UAI_USDT_PERP</t>
        </is>
      </c>
      <c r="C188" s="2" t="inlineStr">
        <is>
          <t>做多</t>
        </is>
      </c>
      <c r="D188" s="7" t="n">
        <v>46277.625</v>
      </c>
      <c r="E188" s="20" t="n">
        <v>0.6982</v>
      </c>
      <c r="F188" s="20" t="n">
        <v>0.7191460000000001</v>
      </c>
      <c r="G188" s="20" t="n">
        <v>0.66329</v>
      </c>
      <c r="H188" s="7" t="n">
        <v>46277.66666666666</v>
      </c>
      <c r="I188" s="20" t="n">
        <v>0.7191460000000001</v>
      </c>
      <c r="J188" s="2" t="inlineStr">
        <is>
          <t>止盈</t>
        </is>
      </c>
      <c r="K188" s="5">
        <f>(H188-D188)*24</f>
        <v/>
      </c>
      <c r="L188" s="4">
        <f>IF(C188="做多",I188/E188-1,1-I188/E188)-2*參數!$B$7</f>
        <v/>
      </c>
      <c r="M188" s="2" t="inlineStr"/>
      <c r="N188" s="4" t="n">
        <v>0.07069467873025603</v>
      </c>
      <c r="O188" s="4" t="n">
        <v>0.04655508252481794</v>
      </c>
      <c r="P188" s="4" t="n">
        <v>0.05840799187472534</v>
      </c>
      <c r="Q188" s="22" t="n">
        <v>12818</v>
      </c>
      <c r="R188" s="22" t="n">
        <v>1384633.5535</v>
      </c>
      <c r="S188" s="4" t="n">
        <v>0.03</v>
      </c>
      <c r="T188" s="4" t="n">
        <v>0</v>
      </c>
      <c r="U188" s="19" t="n">
        <v>3.50905131059224</v>
      </c>
      <c r="V188" s="19" t="n">
        <v>0.579800498753118</v>
      </c>
      <c r="W188" s="4" t="n">
        <v>0.002663909412719434</v>
      </c>
      <c r="X188" s="4" t="n">
        <v>0.1590305444887119</v>
      </c>
      <c r="Y188" s="4" t="n">
        <v>0.001065073116880644</v>
      </c>
      <c r="Z188" s="4" t="n">
        <v>-0.002830626471078013</v>
      </c>
      <c r="AA188" s="4" t="n">
        <v>0.03</v>
      </c>
      <c r="AB188" s="4" t="n">
        <v>0.05</v>
      </c>
      <c r="AC188" s="4">
        <f>(AB188+2*參數!$B$7)/(AA188+AB188)</f>
        <v/>
      </c>
    </row>
    <row r="189">
      <c r="A189" s="2" t="n">
        <v>188</v>
      </c>
      <c r="B189" s="2" t="inlineStr">
        <is>
          <t>MET_USDT_PERP</t>
        </is>
      </c>
      <c r="C189" s="2" t="inlineStr">
        <is>
          <t>做空</t>
        </is>
      </c>
      <c r="D189" s="7" t="n">
        <v>46277.79166666666</v>
      </c>
      <c r="E189" s="20" t="n">
        <v>0.2336</v>
      </c>
      <c r="F189" s="20" t="n">
        <v>0.226592</v>
      </c>
      <c r="G189" s="20" t="n">
        <v>0.24528</v>
      </c>
      <c r="H189" s="7" t="n">
        <v>46277.875</v>
      </c>
      <c r="I189" s="20" t="n">
        <v>0.24528</v>
      </c>
      <c r="J189" s="2" t="inlineStr">
        <is>
          <t>止損</t>
        </is>
      </c>
      <c r="K189" s="5">
        <f>(H189-D189)*24</f>
        <v/>
      </c>
      <c r="L189" s="4">
        <f>IF(C189="做多",I189/E189-1,1-I189/E189)-2*參數!$B$7</f>
        <v/>
      </c>
      <c r="M189" s="2" t="inlineStr"/>
      <c r="N189" s="4" t="n">
        <v>-0.02095557418273264</v>
      </c>
      <c r="O189" s="4" t="n">
        <v>0.03877717093502898</v>
      </c>
      <c r="P189" s="4" t="n">
        <v>-0.03339264286009846</v>
      </c>
      <c r="Q189" s="22" t="n">
        <v>-754680</v>
      </c>
      <c r="R189" s="22" t="n">
        <v>2069443.1059</v>
      </c>
      <c r="S189" s="4" t="n">
        <v>0</v>
      </c>
      <c r="T189" s="4" t="n">
        <v>0.05</v>
      </c>
      <c r="U189" s="19" t="n">
        <v>0.7686133324907366</v>
      </c>
      <c r="V189" s="19" t="n">
        <v>0.9684210526315794</v>
      </c>
      <c r="W189" s="4" t="n">
        <v>-0.07733672768192745</v>
      </c>
      <c r="X189" s="4" t="n">
        <v>0.08998831320607703</v>
      </c>
      <c r="Y189" s="4" t="n">
        <v>0.000275478530781248</v>
      </c>
      <c r="Z189" s="4" t="n">
        <v>-0.0001187741882728854</v>
      </c>
      <c r="AA189" s="4" t="n">
        <v>0.03</v>
      </c>
      <c r="AB189" s="4" t="n">
        <v>0.05</v>
      </c>
      <c r="AC189" s="4">
        <f>(AB189+2*參數!$B$7)/(AA189+AB189)</f>
        <v/>
      </c>
    </row>
    <row r="190">
      <c r="A190" s="2" t="n">
        <v>189</v>
      </c>
      <c r="B190" s="2" t="inlineStr">
        <is>
          <t>牛来_USDT_PERP</t>
        </is>
      </c>
      <c r="C190" s="2" t="inlineStr">
        <is>
          <t>做空</t>
        </is>
      </c>
      <c r="D190" s="7" t="n">
        <v>46277.79166666666</v>
      </c>
      <c r="E190" s="20" t="n">
        <v>0.12973</v>
      </c>
      <c r="F190" s="20" t="n">
        <v>0.1258381</v>
      </c>
      <c r="G190" s="20" t="n">
        <v>0.1362165</v>
      </c>
      <c r="H190" s="7" t="n">
        <v>46277.875</v>
      </c>
      <c r="I190" s="20" t="n">
        <v>0.1362165</v>
      </c>
      <c r="J190" s="2" t="inlineStr">
        <is>
          <t>止損</t>
        </is>
      </c>
      <c r="K190" s="5">
        <f>(H190-D190)*24</f>
        <v/>
      </c>
      <c r="L190" s="4">
        <f>IF(C190="做多",I190/E190-1,1-I190/E190)-2*參數!$B$7</f>
        <v/>
      </c>
      <c r="M190" s="2" t="inlineStr"/>
      <c r="N190" s="4" t="n">
        <v>-0.02853077729519227</v>
      </c>
      <c r="O190" s="4" t="n">
        <v>0.07625963057504956</v>
      </c>
      <c r="P190" s="4" t="n">
        <v>-0.0004815378392433178</v>
      </c>
      <c r="Q190" s="22" t="n">
        <v>-4150037</v>
      </c>
      <c r="R190" s="22" t="n">
        <v>5480909.43373</v>
      </c>
      <c r="S190" s="4" t="n">
        <v>0.009095814383720091</v>
      </c>
      <c r="T190" s="4" t="n">
        <v>0.05</v>
      </c>
      <c r="U190" s="19" t="n">
        <v>0.735717001345907</v>
      </c>
      <c r="V190" s="19" t="n">
        <v>0.601837672281774</v>
      </c>
      <c r="W190" s="4" t="n">
        <v>-0.2125352951237818</v>
      </c>
      <c r="X190" s="4" t="n">
        <v>0.1314855727388364</v>
      </c>
      <c r="Y190" s="4" t="n">
        <v>0.000275478530781248</v>
      </c>
      <c r="Z190" s="4" t="n">
        <v>-0.0001187741882728854</v>
      </c>
      <c r="AA190" s="4" t="n">
        <v>0.03</v>
      </c>
      <c r="AB190" s="4" t="n">
        <v>0.05</v>
      </c>
      <c r="AC190" s="4">
        <f>(AB190+2*參數!$B$7)/(AA190+AB190)</f>
        <v/>
      </c>
    </row>
    <row r="191">
      <c r="A191" s="2" t="n">
        <v>190</v>
      </c>
      <c r="B191" s="2" t="inlineStr">
        <is>
          <t>LAB_USDT_PERP</t>
        </is>
      </c>
      <c r="C191" s="2" t="inlineStr">
        <is>
          <t>做多</t>
        </is>
      </c>
      <c r="D191" s="7" t="n">
        <v>46277.875</v>
      </c>
      <c r="E191" s="20" t="n">
        <v>0.07699</v>
      </c>
      <c r="F191" s="20" t="n">
        <v>0.0792997</v>
      </c>
      <c r="G191" s="20" t="n">
        <v>0.0731405</v>
      </c>
      <c r="H191" s="7" t="n">
        <v>46277.95833333334</v>
      </c>
      <c r="I191" s="20" t="n">
        <v>0.0731405</v>
      </c>
      <c r="J191" s="2" t="inlineStr">
        <is>
          <t>止損</t>
        </is>
      </c>
      <c r="K191" s="5">
        <f>(H191-D191)*24</f>
        <v/>
      </c>
      <c r="L191" s="4">
        <f>IF(C191="做多",I191/E191-1,1-I191/E191)-2*參數!$B$7</f>
        <v/>
      </c>
      <c r="M191" s="2" t="inlineStr"/>
      <c r="N191" s="4" t="n">
        <v>0.03342281879194631</v>
      </c>
      <c r="O191" s="4" t="n">
        <v>0.07366692562586681</v>
      </c>
      <c r="P191" s="4" t="n">
        <v>0.007920403220527783</v>
      </c>
      <c r="Q191" s="22" t="n">
        <v>34368837</v>
      </c>
      <c r="R191" s="22" t="n">
        <v>6857670.1932</v>
      </c>
      <c r="S191" s="4" t="n">
        <v>0.007793219898688086</v>
      </c>
      <c r="T191" s="4" t="n">
        <v>0.05</v>
      </c>
      <c r="U191" s="19" t="n">
        <v>0.8291217446110898</v>
      </c>
      <c r="V191" s="19" t="n">
        <v>0.7493540051679589</v>
      </c>
      <c r="W191" s="4" t="n">
        <v>0.2474137106952885</v>
      </c>
      <c r="X191" s="4" t="n">
        <v>0.3924760354494485</v>
      </c>
      <c r="Y191" s="4" t="n">
        <v>-0.0003776312947710858</v>
      </c>
      <c r="Z191" s="4" t="n">
        <v>0.0006844719125065346</v>
      </c>
      <c r="AA191" s="4" t="n">
        <v>0.03</v>
      </c>
      <c r="AB191" s="4" t="n">
        <v>0.05</v>
      </c>
      <c r="AC191" s="4">
        <f>(AB191+2*參數!$B$7)/(AA191+AB191)</f>
        <v/>
      </c>
    </row>
    <row r="192">
      <c r="A192" s="2" t="n">
        <v>191</v>
      </c>
      <c r="B192" s="2" t="inlineStr">
        <is>
          <t>牛来_USDT_PERP</t>
        </is>
      </c>
      <c r="C192" s="2" t="inlineStr">
        <is>
          <t>做多</t>
        </is>
      </c>
      <c r="D192" s="7" t="n">
        <v>46278</v>
      </c>
      <c r="E192" s="20" t="n">
        <v>0.13578</v>
      </c>
      <c r="F192" s="20" t="n">
        <v>0.1398534</v>
      </c>
      <c r="G192" s="20" t="n">
        <v>0.128991</v>
      </c>
      <c r="H192" s="7" t="n">
        <v>46278.08333333334</v>
      </c>
      <c r="I192" s="20" t="n">
        <v>0.128991</v>
      </c>
      <c r="J192" s="2" t="inlineStr">
        <is>
          <t>止損</t>
        </is>
      </c>
      <c r="K192" s="5">
        <f>(H192-D192)*24</f>
        <v/>
      </c>
      <c r="L192" s="4">
        <f>IF(C192="做多",I192/E192-1,1-I192/E192)-2*參數!$B$7</f>
        <v/>
      </c>
      <c r="M192" s="2" t="inlineStr"/>
      <c r="N192" s="4" t="n">
        <v>0.02630385487528364</v>
      </c>
      <c r="O192" s="4" t="n">
        <v>0.0656380056310801</v>
      </c>
      <c r="P192" s="4" t="n">
        <v>0.03692389934705442</v>
      </c>
      <c r="Q192" s="22" t="n">
        <v>2052353</v>
      </c>
      <c r="R192" s="22" t="n">
        <v>3011155.14336</v>
      </c>
      <c r="S192" s="4" t="n">
        <v>0.01119457946678448</v>
      </c>
      <c r="T192" s="4" t="n">
        <v>0.05</v>
      </c>
      <c r="U192" s="19" t="n">
        <v>0.4313868219392165</v>
      </c>
      <c r="V192" s="19" t="n">
        <v>0.8737270875763784</v>
      </c>
      <c r="W192" s="4" t="n">
        <v>0.2422826234139808</v>
      </c>
      <c r="X192" s="4" t="n">
        <v>-0.03256145350908435</v>
      </c>
      <c r="Y192" s="4" t="n">
        <v>-0.001068111135219985</v>
      </c>
      <c r="Z192" s="4" t="n">
        <v>0.001094822274368523</v>
      </c>
      <c r="AA192" s="4" t="n">
        <v>0.03</v>
      </c>
      <c r="AB192" s="4" t="n">
        <v>0.05</v>
      </c>
      <c r="AC192" s="4">
        <f>(AB192+2*參數!$B$7)/(AA192+AB192)</f>
        <v/>
      </c>
    </row>
    <row r="193">
      <c r="A193" s="2" t="n">
        <v>192</v>
      </c>
      <c r="B193" s="2" t="inlineStr">
        <is>
          <t>MARSCOIN_USDT_PERP</t>
        </is>
      </c>
      <c r="C193" s="2" t="inlineStr">
        <is>
          <t>做空</t>
        </is>
      </c>
      <c r="D193" s="7" t="n">
        <v>46278.04166666666</v>
      </c>
      <c r="E193" s="20" t="n">
        <v>0.11779</v>
      </c>
      <c r="F193" s="20" t="n">
        <v>0.1142563</v>
      </c>
      <c r="G193" s="20" t="n">
        <v>0.1236795</v>
      </c>
      <c r="H193" s="7" t="n">
        <v>46278.45833333334</v>
      </c>
      <c r="I193" s="20" t="n">
        <v>0.1236795</v>
      </c>
      <c r="J193" s="2" t="inlineStr">
        <is>
          <t>止損</t>
        </is>
      </c>
      <c r="K193" s="5">
        <f>(H193-D193)*24</f>
        <v/>
      </c>
      <c r="L193" s="4">
        <f>IF(C193="做多",I193/E193-1,1-I193/E193)-2*參數!$B$7</f>
        <v/>
      </c>
      <c r="M193" s="2" t="inlineStr"/>
      <c r="N193" s="4" t="n">
        <v>-0.02636799470986939</v>
      </c>
      <c r="O193" s="4" t="n">
        <v>0.03725001851709079</v>
      </c>
      <c r="P193" s="4" t="n">
        <v>-0.003574072115892779</v>
      </c>
      <c r="Q193" s="22" t="n">
        <v>-5714544</v>
      </c>
      <c r="R193" s="22" t="n">
        <v>1817018.29532</v>
      </c>
      <c r="S193" s="4" t="n">
        <v>0.02385601494184575</v>
      </c>
      <c r="T193" s="4" t="n">
        <v>0.05</v>
      </c>
      <c r="U193" s="19" t="n">
        <v>2.875093831728709</v>
      </c>
      <c r="V193" s="19" t="n">
        <v>0.7025495750708207</v>
      </c>
      <c r="W193" s="4" t="n">
        <v>0.02972362073964741</v>
      </c>
      <c r="X193" s="4" t="n">
        <v>0.07215439149271363</v>
      </c>
      <c r="Y193" s="4" t="n">
        <v>0.0002275557026621966</v>
      </c>
      <c r="Z193" s="4" t="n">
        <v>-0.0008473267143092045</v>
      </c>
      <c r="AA193" s="4" t="n">
        <v>0.03</v>
      </c>
      <c r="AB193" s="4" t="n">
        <v>0.05</v>
      </c>
      <c r="AC193" s="4">
        <f>(AB193+2*參數!$B$7)/(AA193+AB193)</f>
        <v/>
      </c>
    </row>
    <row r="194">
      <c r="A194" s="2" t="n">
        <v>193</v>
      </c>
      <c r="B194" s="2" t="inlineStr">
        <is>
          <t>PONS_USDT_PERP</t>
        </is>
      </c>
      <c r="C194" s="2" t="inlineStr">
        <is>
          <t>做空</t>
        </is>
      </c>
      <c r="D194" s="7" t="n">
        <v>46278.04166666666</v>
      </c>
      <c r="E194" s="20" t="n">
        <v>0.6118</v>
      </c>
      <c r="F194" s="20" t="n">
        <v>0.593446</v>
      </c>
      <c r="G194" s="20" t="n">
        <v>0.64239</v>
      </c>
      <c r="H194" s="7" t="n">
        <v>46278.125</v>
      </c>
      <c r="I194" s="20" t="n">
        <v>0.593446</v>
      </c>
      <c r="J194" s="2" t="inlineStr">
        <is>
          <t>止盈</t>
        </is>
      </c>
      <c r="K194" s="5">
        <f>(H194-D194)*24</f>
        <v/>
      </c>
      <c r="L194" s="4">
        <f>IF(C194="做多",I194/E194-1,1-I194/E194)-2*參數!$B$7</f>
        <v/>
      </c>
      <c r="M194" s="2" t="inlineStr"/>
      <c r="N194" s="4" t="n">
        <v>-0.02595128164305049</v>
      </c>
      <c r="O194" s="4" t="n">
        <v>0.03563079245954242</v>
      </c>
      <c r="P194" s="4" t="n">
        <v>-0.007985731079492409</v>
      </c>
      <c r="Q194" s="22" t="n">
        <v>-482055</v>
      </c>
      <c r="R194" s="22" t="n">
        <v>2443822.4458</v>
      </c>
      <c r="S194" s="4" t="n">
        <v>0.03</v>
      </c>
      <c r="T194" s="4" t="n">
        <v>0.003269042170644054</v>
      </c>
      <c r="U194" s="19" t="n">
        <v>0.7277946313631973</v>
      </c>
      <c r="V194" s="19" t="n">
        <v>0.9458128078817738</v>
      </c>
      <c r="W194" s="4" t="n">
        <v>0.07782699986283459</v>
      </c>
      <c r="X194" s="4" t="n">
        <v>-0.005588428665351586</v>
      </c>
      <c r="Y194" s="4" t="n">
        <v>0.0002275557026621966</v>
      </c>
      <c r="Z194" s="4" t="n">
        <v>-0.0008473267143092045</v>
      </c>
      <c r="AA194" s="4" t="n">
        <v>0.03</v>
      </c>
      <c r="AB194" s="4" t="n">
        <v>0.05</v>
      </c>
      <c r="AC194" s="4">
        <f>(AB194+2*參數!$B$7)/(AA194+AB194)</f>
        <v/>
      </c>
    </row>
    <row r="195">
      <c r="A195" s="2" t="n">
        <v>194</v>
      </c>
      <c r="B195" s="2" t="inlineStr">
        <is>
          <t>RIVER_USDT_PERP</t>
        </is>
      </c>
      <c r="C195" s="2" t="inlineStr">
        <is>
          <t>做多</t>
        </is>
      </c>
      <c r="D195" s="7" t="n">
        <v>46278.08333333334</v>
      </c>
      <c r="E195" s="20" t="n">
        <v>1.412</v>
      </c>
      <c r="F195" s="20" t="n">
        <v>1.45436</v>
      </c>
      <c r="G195" s="20" t="n">
        <v>1.3414</v>
      </c>
      <c r="H195" s="7" t="n">
        <v>46278.125</v>
      </c>
      <c r="I195" s="20" t="n">
        <v>1.45436</v>
      </c>
      <c r="J195" s="2" t="inlineStr">
        <is>
          <t>止盈</t>
        </is>
      </c>
      <c r="K195" s="5">
        <f>(H195-D195)*24</f>
        <v/>
      </c>
      <c r="L195" s="4">
        <f>IF(C195="做多",I195/E195-1,1-I195/E195)-2*參數!$B$7</f>
        <v/>
      </c>
      <c r="M195" s="2" t="inlineStr"/>
      <c r="N195" s="4" t="n">
        <v>0.06485671191553544</v>
      </c>
      <c r="O195" s="4" t="n">
        <v>0.0402440441641955</v>
      </c>
      <c r="P195" s="4" t="n">
        <v>0.05724233461869632</v>
      </c>
      <c r="Q195" s="22" t="n">
        <v>358363.9</v>
      </c>
      <c r="R195" s="22" t="n">
        <v>2323206.5163</v>
      </c>
      <c r="S195" s="4" t="n">
        <v>0.03</v>
      </c>
      <c r="T195" s="4" t="n">
        <v>0</v>
      </c>
      <c r="U195" s="19" t="n">
        <v>1.628344958438214</v>
      </c>
      <c r="V195" s="19" t="n">
        <v>0.9374999999999999</v>
      </c>
      <c r="W195" s="4" t="n">
        <v>0.1756477719309932</v>
      </c>
      <c r="X195" s="4" t="n">
        <v>0.1489015459723351</v>
      </c>
      <c r="Y195" s="4" t="n">
        <v>-0.001973460448671305</v>
      </c>
      <c r="Z195" s="4" t="n">
        <v>-0.001188114198741208</v>
      </c>
      <c r="AA195" s="4" t="n">
        <v>0.03</v>
      </c>
      <c r="AB195" s="4" t="n">
        <v>0.05</v>
      </c>
      <c r="AC195" s="4">
        <f>(AB195+2*參數!$B$7)/(AA195+AB195)</f>
        <v/>
      </c>
    </row>
    <row r="196">
      <c r="A196" s="2" t="n">
        <v>195</v>
      </c>
      <c r="B196" s="2" t="inlineStr">
        <is>
          <t>USELESS_USDT_PERP</t>
        </is>
      </c>
      <c r="C196" s="2" t="inlineStr">
        <is>
          <t>做多</t>
        </is>
      </c>
      <c r="D196" s="7" t="n">
        <v>46278.08333333334</v>
      </c>
      <c r="E196" s="20" t="n">
        <v>0.23269</v>
      </c>
      <c r="F196" s="20" t="n">
        <v>0.2396707</v>
      </c>
      <c r="G196" s="20" t="n">
        <v>0.2210555</v>
      </c>
      <c r="H196" s="7" t="n">
        <v>46278.5</v>
      </c>
      <c r="I196" s="20" t="n">
        <v>0.2396707</v>
      </c>
      <c r="J196" s="2" t="inlineStr">
        <is>
          <t>止盈</t>
        </is>
      </c>
      <c r="K196" s="5">
        <f>(H196-D196)*24</f>
        <v/>
      </c>
      <c r="L196" s="4">
        <f>IF(C196="做多",I196/E196-1,1-I196/E196)-2*參數!$B$7</f>
        <v/>
      </c>
      <c r="M196" s="2" t="inlineStr"/>
      <c r="N196" s="4" t="n">
        <v>0.02110760049148674</v>
      </c>
      <c r="O196" s="4" t="n">
        <v>0.03676124996549265</v>
      </c>
      <c r="P196" s="4" t="n">
        <v>0.02226947425764747</v>
      </c>
      <c r="Q196" s="22" t="n">
        <v>1450242</v>
      </c>
      <c r="R196" s="22" t="n">
        <v>3111990.00034</v>
      </c>
      <c r="S196" s="4" t="n">
        <v>0.03</v>
      </c>
      <c r="T196" s="4" t="n">
        <v>0.0336928961278955</v>
      </c>
      <c r="U196" s="19" t="n">
        <v>0.3783995304245745</v>
      </c>
      <c r="V196" s="19" t="n">
        <v>0.8534201954397415</v>
      </c>
      <c r="W196" s="4" t="n">
        <v>-0.06779246814453488</v>
      </c>
      <c r="X196" s="4" t="n">
        <v>-0.02652386729699197</v>
      </c>
      <c r="Y196" s="4" t="n">
        <v>-0.001973460448671305</v>
      </c>
      <c r="Z196" s="4" t="n">
        <v>-0.001188114198741208</v>
      </c>
      <c r="AA196" s="4" t="n">
        <v>0.03</v>
      </c>
      <c r="AB196" s="4" t="n">
        <v>0.05</v>
      </c>
      <c r="AC196" s="4">
        <f>(AB196+2*參數!$B$7)/(AA196+AB196)</f>
        <v/>
      </c>
    </row>
    <row r="197">
      <c r="A197" s="2" t="n">
        <v>196</v>
      </c>
      <c r="B197" s="2" t="inlineStr">
        <is>
          <t>VVV_USDT_PERP</t>
        </is>
      </c>
      <c r="C197" s="2" t="inlineStr">
        <is>
          <t>做多</t>
        </is>
      </c>
      <c r="D197" s="7" t="n">
        <v>46278.20833333334</v>
      </c>
      <c r="E197" s="20" t="n">
        <v>23.956</v>
      </c>
      <c r="F197" s="20" t="n">
        <v>24.67468</v>
      </c>
      <c r="G197" s="20" t="n">
        <v>22.7582</v>
      </c>
      <c r="H197" s="7" t="n">
        <v>46278.29166666666</v>
      </c>
      <c r="I197" s="20" t="n">
        <v>24.67468</v>
      </c>
      <c r="J197" s="2" t="inlineStr">
        <is>
          <t>止盈</t>
        </is>
      </c>
      <c r="K197" s="5">
        <f>(H197-D197)*24</f>
        <v/>
      </c>
      <c r="L197" s="4">
        <f>IF(C197="做多",I197/E197-1,1-I197/E197)-2*參數!$B$7</f>
        <v/>
      </c>
      <c r="M197" s="2" t="inlineStr"/>
      <c r="N197" s="4" t="n">
        <v>0.02319224362533623</v>
      </c>
      <c r="O197" s="4" t="n">
        <v>0.02012515049149717</v>
      </c>
      <c r="P197" s="4" t="n">
        <v>0.02280781152601419</v>
      </c>
      <c r="Q197" s="22" t="n">
        <v>19198.86</v>
      </c>
      <c r="R197" s="22" t="n">
        <v>2454827.49017</v>
      </c>
      <c r="S197" s="4" t="n">
        <v>0.03</v>
      </c>
      <c r="T197" s="4" t="n">
        <v>0.004550008348639056</v>
      </c>
      <c r="U197" s="19" t="n">
        <v>2.355414085223603</v>
      </c>
      <c r="V197" s="19" t="n">
        <v>0.732620320855615</v>
      </c>
      <c r="W197" s="4" t="n">
        <v>-0.01346377333222426</v>
      </c>
      <c r="X197" s="4" t="n">
        <v>-0.00897695776279317</v>
      </c>
      <c r="Y197" s="4" t="n">
        <v>0.00058507526195406</v>
      </c>
      <c r="Z197" s="4" t="n">
        <v>-0.001610280944836395</v>
      </c>
      <c r="AA197" s="4" t="n">
        <v>0.03</v>
      </c>
      <c r="AB197" s="4" t="n">
        <v>0.05</v>
      </c>
      <c r="AC197" s="4">
        <f>(AB197+2*參數!$B$7)/(AA197+AB197)</f>
        <v/>
      </c>
    </row>
    <row r="198">
      <c r="A198" s="2" t="n">
        <v>197</v>
      </c>
      <c r="B198" s="2" t="inlineStr">
        <is>
          <t>AKE_USDT_PERP</t>
        </is>
      </c>
      <c r="C198" s="2" t="inlineStr">
        <is>
          <t>做多</t>
        </is>
      </c>
      <c r="D198" s="7" t="n">
        <v>46278.45833333334</v>
      </c>
      <c r="E198" s="20" t="n">
        <v>0.0164847</v>
      </c>
      <c r="F198" s="20" t="n">
        <v>0.016979241</v>
      </c>
      <c r="G198" s="20" t="n">
        <v>0.015660465</v>
      </c>
      <c r="H198" s="7" t="n">
        <v>46278.58333333334</v>
      </c>
      <c r="I198" s="20" t="n">
        <v>0.015660465</v>
      </c>
      <c r="J198" s="2" t="inlineStr">
        <is>
          <t>止損</t>
        </is>
      </c>
      <c r="K198" s="5">
        <f>(H198-D198)*24</f>
        <v/>
      </c>
      <c r="L198" s="4">
        <f>IF(C198="做多",I198/E198-1,1-I198/E198)-2*參數!$B$7</f>
        <v/>
      </c>
      <c r="M198" s="2" t="inlineStr"/>
      <c r="N198" s="4" t="n">
        <v>0.03530852567122023</v>
      </c>
      <c r="O198" s="4" t="n">
        <v>0.03066412929037533</v>
      </c>
      <c r="P198" s="4" t="n">
        <v>0.05175916860704954</v>
      </c>
      <c r="Q198" s="22" t="n">
        <v>16627395</v>
      </c>
      <c r="R198" s="22" t="n">
        <v>1279492.2116761</v>
      </c>
      <c r="S198" s="4" t="n">
        <v>0.006266416737944702</v>
      </c>
      <c r="T198" s="4" t="n">
        <v>0.05</v>
      </c>
      <c r="U198" s="19" t="n">
        <v>1.16641888456675</v>
      </c>
      <c r="V198" s="19" t="n">
        <v>0.9319167389418938</v>
      </c>
      <c r="W198" s="4" t="n">
        <v>0.08557267091363707</v>
      </c>
      <c r="X198" s="4" t="n">
        <v>0.1904029462738304</v>
      </c>
      <c r="Y198" s="4" t="n">
        <v>-0.0002807767553076879</v>
      </c>
      <c r="Z198" s="4" t="n">
        <v>6.931272133070543e-05</v>
      </c>
      <c r="AA198" s="4" t="n">
        <v>0.03</v>
      </c>
      <c r="AB198" s="4" t="n">
        <v>0.05</v>
      </c>
      <c r="AC198" s="4">
        <f>(AB198+2*參數!$B$7)/(AA198+AB198)</f>
        <v/>
      </c>
    </row>
    <row r="199">
      <c r="A199" s="2" t="n">
        <v>198</v>
      </c>
      <c r="B199" s="2" t="inlineStr">
        <is>
          <t>PONS_USDT_PERP</t>
        </is>
      </c>
      <c r="C199" s="2" t="inlineStr">
        <is>
          <t>做空</t>
        </is>
      </c>
      <c r="D199" s="7" t="n">
        <v>46278.45833333334</v>
      </c>
      <c r="E199" s="20" t="n">
        <v>0.5901999999999999</v>
      </c>
      <c r="F199" s="20" t="n">
        <v>0.5724939999999999</v>
      </c>
      <c r="G199" s="20" t="n">
        <v>0.61971</v>
      </c>
      <c r="H199" s="7" t="n">
        <v>46278.625</v>
      </c>
      <c r="I199" s="20" t="n">
        <v>0.5724939999999999</v>
      </c>
      <c r="J199" s="2" t="inlineStr">
        <is>
          <t>止盈</t>
        </is>
      </c>
      <c r="K199" s="5">
        <f>(H199-D199)*24</f>
        <v/>
      </c>
      <c r="L199" s="4">
        <f>IF(C199="做多",I199/E199-1,1-I199/E199)-2*參數!$B$7</f>
        <v/>
      </c>
      <c r="M199" s="2" t="inlineStr"/>
      <c r="N199" s="4" t="n">
        <v>-0.0218760357971497</v>
      </c>
      <c r="O199" s="4" t="n">
        <v>0.03203661733508664</v>
      </c>
      <c r="P199" s="4" t="n">
        <v>-0.04098014364174085</v>
      </c>
      <c r="Q199" s="22" t="n">
        <v>-538336</v>
      </c>
      <c r="R199" s="22" t="n">
        <v>1769968.569</v>
      </c>
      <c r="S199" s="4" t="n">
        <v>0.03</v>
      </c>
      <c r="T199" s="4" t="n">
        <v>0.01745171128431044</v>
      </c>
      <c r="U199" s="19" t="n">
        <v>0.684186904308496</v>
      </c>
      <c r="V199" s="19" t="n">
        <v>0.9259259259259283</v>
      </c>
      <c r="W199" s="4" t="n">
        <v>0.08181092648108945</v>
      </c>
      <c r="X199" s="4" t="n">
        <v>0.008733624454148603</v>
      </c>
      <c r="Y199" s="4" t="n">
        <v>0.0002807767553076879</v>
      </c>
      <c r="Z199" s="4" t="n">
        <v>-6.931272133070543e-05</v>
      </c>
      <c r="AA199" s="4" t="n">
        <v>0.03</v>
      </c>
      <c r="AB199" s="4" t="n">
        <v>0.05</v>
      </c>
      <c r="AC199" s="4">
        <f>(AB199+2*參數!$B$7)/(AA199+AB199)</f>
        <v/>
      </c>
    </row>
    <row r="200">
      <c r="A200" s="2" t="n">
        <v>199</v>
      </c>
      <c r="B200" s="2" t="inlineStr">
        <is>
          <t>MARSCOIN_USDT_PERP</t>
        </is>
      </c>
      <c r="C200" s="2" t="inlineStr">
        <is>
          <t>做空</t>
        </is>
      </c>
      <c r="D200" s="7" t="n">
        <v>46278.5</v>
      </c>
      <c r="E200" s="20" t="n">
        <v>0.11416</v>
      </c>
      <c r="F200" s="20" t="n">
        <v>0.1107352</v>
      </c>
      <c r="G200" s="20" t="n">
        <v>0.119868</v>
      </c>
      <c r="H200" s="7" t="n">
        <v>46278.625</v>
      </c>
      <c r="I200" s="20" t="n">
        <v>0.119868</v>
      </c>
      <c r="J200" s="2" t="inlineStr">
        <is>
          <t>止損</t>
        </is>
      </c>
      <c r="K200" s="5">
        <f>(H200-D200)*24</f>
        <v/>
      </c>
      <c r="L200" s="4">
        <f>IF(C200="做多",I200/E200-1,1-I200/E200)-2*參數!$B$7</f>
        <v/>
      </c>
      <c r="M200" s="2" t="inlineStr"/>
      <c r="N200" s="4" t="n">
        <v>-0.02718363868768636</v>
      </c>
      <c r="O200" s="4" t="n">
        <v>0.03723116438279655</v>
      </c>
      <c r="P200" s="4" t="n">
        <v>-0.04411025890076015</v>
      </c>
      <c r="Q200" s="22" t="n">
        <v>-2353397</v>
      </c>
      <c r="R200" s="22" t="n">
        <v>1260378.77313</v>
      </c>
      <c r="S200" s="4" t="n">
        <v>0.01673090399439381</v>
      </c>
      <c r="T200" s="4" t="n">
        <v>0.05</v>
      </c>
      <c r="U200" s="19" t="n">
        <v>0.6845291252500373</v>
      </c>
      <c r="V200" s="19" t="n">
        <v>0.7480314960629915</v>
      </c>
      <c r="W200" s="4" t="n">
        <v>0.04624492356842758</v>
      </c>
      <c r="X200" s="4" t="n">
        <v>-0.008658773634917738</v>
      </c>
      <c r="Y200" s="4" t="n">
        <v>0.001314973745824233</v>
      </c>
      <c r="Z200" s="4" t="n">
        <v>0.001197595179174393</v>
      </c>
      <c r="AA200" s="4" t="n">
        <v>0.03</v>
      </c>
      <c r="AB200" s="4" t="n">
        <v>0.05</v>
      </c>
      <c r="AC200" s="4">
        <f>(AB200+2*參數!$B$7)/(AA200+AB200)</f>
        <v/>
      </c>
    </row>
    <row r="201">
      <c r="A201" s="2" t="n">
        <v>200</v>
      </c>
      <c r="B201" s="2" t="inlineStr">
        <is>
          <t>RIVER_USDT_PERP</t>
        </is>
      </c>
      <c r="C201" s="2" t="inlineStr">
        <is>
          <t>做空</t>
        </is>
      </c>
      <c r="D201" s="7" t="n">
        <v>46278.5</v>
      </c>
      <c r="E201" s="20" t="n">
        <v>1.261</v>
      </c>
      <c r="F201" s="20" t="n">
        <v>1.22317</v>
      </c>
      <c r="G201" s="20" t="n">
        <v>1.32405</v>
      </c>
      <c r="H201" s="7" t="n">
        <v>46278.70833333334</v>
      </c>
      <c r="I201" s="20" t="n">
        <v>1.22317</v>
      </c>
      <c r="J201" s="2" t="inlineStr">
        <is>
          <t>止盈</t>
        </is>
      </c>
      <c r="K201" s="5">
        <f>(H201-D201)*24</f>
        <v/>
      </c>
      <c r="L201" s="4">
        <f>IF(C201="做多",I201/E201-1,1-I201/E201)-2*參數!$B$7</f>
        <v/>
      </c>
      <c r="M201" s="2" t="inlineStr"/>
      <c r="N201" s="4" t="n">
        <v>-0.03149001536098317</v>
      </c>
      <c r="O201" s="4" t="n">
        <v>0.04700685788213382</v>
      </c>
      <c r="P201" s="4" t="n">
        <v>-0.05684367988032912</v>
      </c>
      <c r="Q201" s="22" t="n">
        <v>-166098.5</v>
      </c>
      <c r="R201" s="22" t="n">
        <v>1633132.5949</v>
      </c>
      <c r="S201" s="4" t="n">
        <v>0.03</v>
      </c>
      <c r="T201" s="4" t="n">
        <v>0.04203013481364004</v>
      </c>
      <c r="U201" s="19" t="n">
        <v>2.452428134930138</v>
      </c>
      <c r="V201" s="19" t="n">
        <v>0.875</v>
      </c>
      <c r="W201" s="4" t="n">
        <v>-0.03967416397335244</v>
      </c>
      <c r="X201" s="4" t="n">
        <v>0.1181818181818182</v>
      </c>
      <c r="Y201" s="4" t="n">
        <v>0.001314973745824233</v>
      </c>
      <c r="Z201" s="4" t="n">
        <v>0.001197595179174393</v>
      </c>
      <c r="AA201" s="4" t="n">
        <v>0.03</v>
      </c>
      <c r="AB201" s="4" t="n">
        <v>0.05</v>
      </c>
      <c r="AC201" s="4">
        <f>(AB201+2*參數!$B$7)/(AA201+AB201)</f>
        <v/>
      </c>
    </row>
    <row r="202">
      <c r="A202" s="2" t="n">
        <v>201</v>
      </c>
      <c r="B202" s="2" t="inlineStr">
        <is>
          <t>PUMP_USDT_PERP</t>
        </is>
      </c>
      <c r="C202" s="2" t="inlineStr">
        <is>
          <t>做空</t>
        </is>
      </c>
      <c r="D202" s="7" t="n">
        <v>46278.625</v>
      </c>
      <c r="E202" s="20" t="n">
        <v>0.003747</v>
      </c>
      <c r="F202" s="20" t="n">
        <v>0.00363459</v>
      </c>
      <c r="G202" s="20" t="n">
        <v>0.00393435</v>
      </c>
      <c r="H202" s="7" t="n">
        <v>46278.75</v>
      </c>
      <c r="I202" s="20" t="n">
        <v>0.00363459</v>
      </c>
      <c r="J202" s="2" t="inlineStr">
        <is>
          <t>止盈</t>
        </is>
      </c>
      <c r="K202" s="5">
        <f>(H202-D202)*24</f>
        <v/>
      </c>
      <c r="L202" s="4">
        <f>IF(C202="做多",I202/E202-1,1-I202/E202)-2*參數!$B$7</f>
        <v/>
      </c>
      <c r="M202" s="2" t="inlineStr"/>
      <c r="N202" s="4" t="n">
        <v>-0.02371026576341839</v>
      </c>
      <c r="O202" s="4" t="n">
        <v>0.02110602954508002</v>
      </c>
      <c r="P202" s="4" t="n">
        <v>-0.00349720090953809</v>
      </c>
      <c r="Q202" s="22" t="n">
        <v>-41085587</v>
      </c>
      <c r="R202" s="22" t="n">
        <v>2666544.507709</v>
      </c>
      <c r="S202" s="4" t="n">
        <v>0.03</v>
      </c>
      <c r="T202" s="4" t="n">
        <v>0.004536962903656239</v>
      </c>
      <c r="U202" s="19" t="n">
        <v>0.823158869101001</v>
      </c>
      <c r="V202" s="19" t="n">
        <v>0.8260869565217388</v>
      </c>
      <c r="W202" s="4" t="n">
        <v>0.04097422890181679</v>
      </c>
      <c r="X202" s="4" t="n">
        <v>-0.05668358714043986</v>
      </c>
      <c r="Y202" s="4" t="n">
        <v>0.002569852498747971</v>
      </c>
      <c r="Z202" s="4" t="n">
        <v>0.00197611890247551</v>
      </c>
      <c r="AA202" s="4" t="n">
        <v>0.03</v>
      </c>
      <c r="AB202" s="4" t="n">
        <v>0.05</v>
      </c>
      <c r="AC202" s="4">
        <f>(AB202+2*參數!$B$7)/(AA202+AB202)</f>
        <v/>
      </c>
    </row>
    <row r="203">
      <c r="A203" s="2" t="n">
        <v>202</v>
      </c>
      <c r="B203" s="2" t="inlineStr">
        <is>
          <t>USELESS_USDT_PERP</t>
        </is>
      </c>
      <c r="C203" s="2" t="inlineStr">
        <is>
          <t>做空</t>
        </is>
      </c>
      <c r="D203" s="7" t="n">
        <v>46278.625</v>
      </c>
      <c r="E203" s="20" t="n">
        <v>0.22444</v>
      </c>
      <c r="F203" s="20" t="n">
        <v>0.2177068</v>
      </c>
      <c r="G203" s="20" t="n">
        <v>0.235662</v>
      </c>
      <c r="H203" s="7" t="n">
        <v>46278.83333333334</v>
      </c>
      <c r="I203" s="20" t="n">
        <v>0.2177068</v>
      </c>
      <c r="J203" s="2" t="inlineStr">
        <is>
          <t>止盈</t>
        </is>
      </c>
      <c r="K203" s="5">
        <f>(H203-D203)*24</f>
        <v/>
      </c>
      <c r="L203" s="4">
        <f>IF(C203="做多",I203/E203-1,1-I203/E203)-2*參數!$B$7</f>
        <v/>
      </c>
      <c r="M203" s="2" t="inlineStr"/>
      <c r="N203" s="4" t="n">
        <v>-0.02383437717466952</v>
      </c>
      <c r="O203" s="4" t="n">
        <v>0.0296493558421459</v>
      </c>
      <c r="P203" s="4" t="n">
        <v>-0.0325257397552865</v>
      </c>
      <c r="Q203" s="22" t="n">
        <v>-987624</v>
      </c>
      <c r="R203" s="22" t="n">
        <v>1943593.26169</v>
      </c>
      <c r="S203" s="4" t="n">
        <v>0.03</v>
      </c>
      <c r="T203" s="4" t="n">
        <v>0.03199073248975215</v>
      </c>
      <c r="U203" s="19" t="n">
        <v>1.125300022122543</v>
      </c>
      <c r="V203" s="19" t="n">
        <v>0.8199999999999997</v>
      </c>
      <c r="W203" s="4" t="n">
        <v>0.07342117474540155</v>
      </c>
      <c r="X203" s="4" t="n">
        <v>-0.009263422969691515</v>
      </c>
      <c r="Y203" s="4" t="n">
        <v>0.002569852498747971</v>
      </c>
      <c r="Z203" s="4" t="n">
        <v>0.00197611890247551</v>
      </c>
      <c r="AA203" s="4" t="n">
        <v>0.03</v>
      </c>
      <c r="AB203" s="4" t="n">
        <v>0.05</v>
      </c>
      <c r="AC203" s="4">
        <f>(AB203+2*參數!$B$7)/(AA203+AB203)</f>
        <v/>
      </c>
    </row>
    <row r="204">
      <c r="A204" s="2" t="n">
        <v>203</v>
      </c>
      <c r="B204" s="2" t="inlineStr">
        <is>
          <t>LAB_USDT_PERP</t>
        </is>
      </c>
      <c r="C204" s="2" t="inlineStr">
        <is>
          <t>做空</t>
        </is>
      </c>
      <c r="D204" s="7" t="n">
        <v>46278.70833333334</v>
      </c>
      <c r="E204" s="20" t="n">
        <v>0.06694</v>
      </c>
      <c r="F204" s="20" t="n">
        <v>0.0649318</v>
      </c>
      <c r="G204" s="20" t="n">
        <v>0.070287</v>
      </c>
      <c r="H204" s="7" t="n">
        <v>46278.875</v>
      </c>
      <c r="I204" s="20" t="n">
        <v>0.0649318</v>
      </c>
      <c r="J204" s="2" t="inlineStr">
        <is>
          <t>止盈</t>
        </is>
      </c>
      <c r="K204" s="5">
        <f>(H204-D204)*24</f>
        <v/>
      </c>
      <c r="L204" s="4">
        <f>IF(C204="做多",I204/E204-1,1-I204/E204)-2*參數!$B$7</f>
        <v/>
      </c>
      <c r="M204" s="2" t="inlineStr"/>
      <c r="N204" s="4" t="n">
        <v>-0.02163110201695406</v>
      </c>
      <c r="O204" s="4" t="n">
        <v>0.05683338164555901</v>
      </c>
      <c r="P204" s="4" t="n">
        <v>-0.02280938651874009</v>
      </c>
      <c r="Q204" s="22" t="n">
        <v>-12550292</v>
      </c>
      <c r="R204" s="22" t="n">
        <v>3660542.31503</v>
      </c>
      <c r="S204" s="4" t="n">
        <v>0.03</v>
      </c>
      <c r="T204" s="4" t="n">
        <v>0.01210038840752925</v>
      </c>
      <c r="U204" s="19" t="n">
        <v>0.6170410304977394</v>
      </c>
      <c r="V204" s="19" t="n">
        <v>0.870848708487084</v>
      </c>
      <c r="W204" s="4" t="n">
        <v>-0.08609589574517806</v>
      </c>
      <c r="X204" s="4" t="n">
        <v>0.08925170068027211</v>
      </c>
      <c r="Y204" s="4" t="n">
        <v>0.004148521748605805</v>
      </c>
      <c r="Z204" s="4" t="n">
        <v>0.005552773695665758</v>
      </c>
      <c r="AA204" s="4" t="n">
        <v>0.03</v>
      </c>
      <c r="AB204" s="4" t="n">
        <v>0.05</v>
      </c>
      <c r="AC204" s="4">
        <f>(AB204+2*參數!$B$7)/(AA204+AB204)</f>
        <v/>
      </c>
    </row>
    <row r="205">
      <c r="A205" s="2" t="n">
        <v>204</v>
      </c>
      <c r="B205" s="2" t="inlineStr">
        <is>
          <t>VVV_USDT_PERP</t>
        </is>
      </c>
      <c r="C205" s="2" t="inlineStr">
        <is>
          <t>做空</t>
        </is>
      </c>
      <c r="D205" s="7" t="n">
        <v>46278.70833333334</v>
      </c>
      <c r="E205" s="20" t="n">
        <v>22.673</v>
      </c>
      <c r="F205" s="20" t="n">
        <v>21.99281</v>
      </c>
      <c r="G205" s="20" t="n">
        <v>23.80665</v>
      </c>
      <c r="H205" s="7" t="n">
        <v>46278.91666666666</v>
      </c>
      <c r="I205" s="20" t="n">
        <v>21.99281</v>
      </c>
      <c r="J205" s="2" t="inlineStr">
        <is>
          <t>止盈</t>
        </is>
      </c>
      <c r="K205" s="5">
        <f>(H205-D205)*24</f>
        <v/>
      </c>
      <c r="L205" s="4">
        <f>IF(C205="做多",I205/E205-1,1-I205/E205)-2*參數!$B$7</f>
        <v/>
      </c>
      <c r="M205" s="2" t="inlineStr"/>
      <c r="N205" s="4" t="n">
        <v>-0.02309448920677326</v>
      </c>
      <c r="O205" s="4" t="n">
        <v>0.02184826900916101</v>
      </c>
      <c r="P205" s="4" t="n">
        <v>-0.04285072008882129</v>
      </c>
      <c r="Q205" s="22" t="n">
        <v>-7973.100000000006</v>
      </c>
      <c r="R205" s="22" t="n">
        <v>1862546.13313</v>
      </c>
      <c r="S205" s="4" t="n">
        <v>0.03</v>
      </c>
      <c r="T205" s="4" t="n">
        <v>0.0170246548758437</v>
      </c>
      <c r="U205" s="19" t="n">
        <v>1.542546484066931</v>
      </c>
      <c r="V205" s="19" t="n">
        <v>0.9434571890145451</v>
      </c>
      <c r="W205" s="4" t="n">
        <v>0.06339370140216238</v>
      </c>
      <c r="X205" s="4" t="n">
        <v>0.02254699086049328</v>
      </c>
      <c r="Y205" s="4" t="n">
        <v>0.004148521748605805</v>
      </c>
      <c r="Z205" s="4" t="n">
        <v>0.005552773695665758</v>
      </c>
      <c r="AA205" s="4" t="n">
        <v>0.03</v>
      </c>
      <c r="AB205" s="4" t="n">
        <v>0.05</v>
      </c>
      <c r="AC205" s="4">
        <f>(AB205+2*參數!$B$7)/(AA205+AB205)</f>
        <v/>
      </c>
    </row>
    <row r="206">
      <c r="A206" s="2" t="n">
        <v>205</v>
      </c>
      <c r="B206" s="2" t="inlineStr">
        <is>
          <t>牛来_USDT_PERP</t>
        </is>
      </c>
      <c r="C206" s="2" t="inlineStr">
        <is>
          <t>做空</t>
        </is>
      </c>
      <c r="D206" s="7" t="n">
        <v>46278.70833333334</v>
      </c>
      <c r="E206" s="20" t="n">
        <v>0.13497</v>
      </c>
      <c r="F206" s="20" t="n">
        <v>0.1309209</v>
      </c>
      <c r="G206" s="20" t="n">
        <v>0.1417185</v>
      </c>
      <c r="H206" s="7" t="n">
        <v>46278.75</v>
      </c>
      <c r="I206" s="20" t="n">
        <v>0.1309209</v>
      </c>
      <c r="J206" s="2" t="inlineStr">
        <is>
          <t>止盈</t>
        </is>
      </c>
      <c r="K206" s="5">
        <f>(H206-D206)*24</f>
        <v/>
      </c>
      <c r="L206" s="4">
        <f>IF(C206="做多",I206/E206-1,1-I206/E206)-2*參數!$B$7</f>
        <v/>
      </c>
      <c r="M206" s="2" t="inlineStr"/>
      <c r="N206" s="4" t="n">
        <v>-0.0527091521617068</v>
      </c>
      <c r="O206" s="4" t="n">
        <v>0.06786401863590003</v>
      </c>
      <c r="P206" s="4" t="n">
        <v>-0.00759906914160291</v>
      </c>
      <c r="Q206" s="22" t="n">
        <v>-4457033</v>
      </c>
      <c r="R206" s="22" t="n">
        <v>2751747.85932</v>
      </c>
      <c r="S206" s="4" t="n">
        <v>0.03</v>
      </c>
      <c r="T206" s="4" t="n">
        <v>0</v>
      </c>
      <c r="U206" s="19" t="n">
        <v>3.10622767745523</v>
      </c>
      <c r="V206" s="19" t="n">
        <v>0.8714153561517111</v>
      </c>
      <c r="W206" s="4" t="n">
        <v>-0.1647645142499623</v>
      </c>
      <c r="X206" s="4" t="n">
        <v>0.0762439258093216</v>
      </c>
      <c r="Y206" s="4" t="n">
        <v>0.004148521748605805</v>
      </c>
      <c r="Z206" s="4" t="n">
        <v>0.005552773695665758</v>
      </c>
      <c r="AA206" s="4" t="n">
        <v>0.03</v>
      </c>
      <c r="AB206" s="4" t="n">
        <v>0.05</v>
      </c>
      <c r="AC206" s="4">
        <f>(AB206+2*參數!$B$7)/(AA206+AB206)</f>
        <v/>
      </c>
    </row>
    <row r="207">
      <c r="A207" s="2" t="n">
        <v>206</v>
      </c>
      <c r="B207" s="2" t="inlineStr">
        <is>
          <t>LAB_USDT_PERP</t>
        </is>
      </c>
      <c r="C207" s="2" t="inlineStr">
        <is>
          <t>做空</t>
        </is>
      </c>
      <c r="D207" s="7" t="n">
        <v>46278.91666666666</v>
      </c>
      <c r="E207" s="20" t="n">
        <v>0.06630999999999999</v>
      </c>
      <c r="F207" s="20" t="n">
        <v>0.06432069999999999</v>
      </c>
      <c r="G207" s="20" t="n">
        <v>0.06962549999999999</v>
      </c>
      <c r="H207" s="7" t="n">
        <v>46278.95833333334</v>
      </c>
      <c r="I207" s="20" t="n">
        <v>0.06962549999999999</v>
      </c>
      <c r="J207" s="2" t="inlineStr">
        <is>
          <t>止損</t>
        </is>
      </c>
      <c r="K207" s="5">
        <f>(H207-D207)*24</f>
        <v/>
      </c>
      <c r="L207" s="4">
        <f>IF(C207="做多",I207/E207-1,1-I207/E207)-2*參數!$B$7</f>
        <v/>
      </c>
      <c r="M207" s="2" t="inlineStr"/>
      <c r="N207" s="4" t="n">
        <v>-0.02154345580640404</v>
      </c>
      <c r="O207" s="4" t="n">
        <v>0.05072047984250207</v>
      </c>
      <c r="P207" s="4" t="n">
        <v>-0.01728750009262481</v>
      </c>
      <c r="Q207" s="22" t="n">
        <v>-3247400</v>
      </c>
      <c r="R207" s="22" t="n">
        <v>2692569.84842</v>
      </c>
      <c r="S207" s="4" t="n">
        <v>0</v>
      </c>
      <c r="T207" s="4" t="n">
        <v>0.05</v>
      </c>
      <c r="U207" s="19" t="n">
        <v>0.3851967586724329</v>
      </c>
      <c r="V207" s="19" t="n">
        <v>0.7575757575757599</v>
      </c>
      <c r="W207" s="4" t="n">
        <v>-0.07609418866944684</v>
      </c>
      <c r="X207" s="4" t="n">
        <v>0.1144497863247864</v>
      </c>
      <c r="Y207" s="4" t="n">
        <v>-0.001146942940892126</v>
      </c>
      <c r="Z207" s="4" t="n">
        <v>0.003088123556609257</v>
      </c>
      <c r="AA207" s="4" t="n">
        <v>0.03</v>
      </c>
      <c r="AB207" s="4" t="n">
        <v>0.05</v>
      </c>
      <c r="AC207" s="4">
        <f>(AB207+2*參數!$B$7)/(AA207+AB207)</f>
        <v/>
      </c>
    </row>
    <row r="208">
      <c r="A208" s="2" t="n">
        <v>207</v>
      </c>
      <c r="B208" s="2" t="inlineStr">
        <is>
          <t>PUMP_USDT_PERP</t>
        </is>
      </c>
      <c r="C208" s="2" t="inlineStr">
        <is>
          <t>做空</t>
        </is>
      </c>
      <c r="D208" s="7" t="n">
        <v>46279</v>
      </c>
      <c r="E208" s="20" t="n">
        <v>0.003569</v>
      </c>
      <c r="F208" s="20" t="n">
        <v>0.00346193</v>
      </c>
      <c r="G208" s="20" t="n">
        <v>0.00374745</v>
      </c>
      <c r="H208" s="7" t="n">
        <v>46279.375</v>
      </c>
      <c r="I208" s="20" t="n">
        <v>0.00346193</v>
      </c>
      <c r="J208" s="2" t="inlineStr">
        <is>
          <t>止盈</t>
        </is>
      </c>
      <c r="K208" s="5">
        <f>(H208-D208)*24</f>
        <v/>
      </c>
      <c r="L208" s="4">
        <f>IF(C208="做多",I208/E208-1,1-I208/E208)-2*參數!$B$7</f>
        <v/>
      </c>
      <c r="M208" s="2" t="inlineStr"/>
      <c r="N208" s="4" t="n">
        <v>-0.0309530274232962</v>
      </c>
      <c r="O208" s="4" t="n">
        <v>0.02022154281324897</v>
      </c>
      <c r="P208" s="4" t="n">
        <v>-0.04703416418568007</v>
      </c>
      <c r="Q208" s="22" t="n">
        <v>-126643814</v>
      </c>
      <c r="R208" s="22" t="n">
        <v>2834501.678442</v>
      </c>
      <c r="S208" s="4" t="n">
        <v>0.03</v>
      </c>
      <c r="T208" s="4" t="n">
        <v>0.02577752871952921</v>
      </c>
      <c r="U208" s="19" t="n">
        <v>1.170633405432124</v>
      </c>
      <c r="V208" s="19" t="n">
        <v>0.9133858267716523</v>
      </c>
      <c r="W208" s="4" t="n">
        <v>0.06902371394064588</v>
      </c>
      <c r="X208" s="4" t="n">
        <v>0.02459688439464325</v>
      </c>
      <c r="Y208" s="4" t="n">
        <v>0.001000322642925155</v>
      </c>
      <c r="Z208" s="4" t="n">
        <v>-0.0005462274681169443</v>
      </c>
      <c r="AA208" s="4" t="n">
        <v>0.03</v>
      </c>
      <c r="AB208" s="4" t="n">
        <v>0.05</v>
      </c>
      <c r="AC208" s="4">
        <f>(AB208+2*參數!$B$7)/(AA208+AB208)</f>
        <v/>
      </c>
    </row>
    <row r="209">
      <c r="A209" s="2" t="n">
        <v>208</v>
      </c>
      <c r="B209" s="2" t="inlineStr">
        <is>
          <t>LAB_USDT_PERP</t>
        </is>
      </c>
      <c r="C209" s="2" t="inlineStr">
        <is>
          <t>做空</t>
        </is>
      </c>
      <c r="D209" s="7" t="n">
        <v>46279.04166666666</v>
      </c>
      <c r="E209" s="20" t="n">
        <v>0.06729</v>
      </c>
      <c r="F209" s="20" t="n">
        <v>0.0652713</v>
      </c>
      <c r="G209" s="20" t="n">
        <v>0.07065450000000001</v>
      </c>
      <c r="H209" s="7" t="n">
        <v>46279.29166666666</v>
      </c>
      <c r="I209" s="20" t="n">
        <v>0.0652713</v>
      </c>
      <c r="J209" s="2" t="inlineStr">
        <is>
          <t>止盈</t>
        </is>
      </c>
      <c r="K209" s="5">
        <f>(H209-D209)*24</f>
        <v/>
      </c>
      <c r="L209" s="4">
        <f>IF(C209="做多",I209/E209-1,1-I209/E209)-2*參數!$B$7</f>
        <v/>
      </c>
      <c r="M209" s="2" t="inlineStr"/>
      <c r="N209" s="4" t="n">
        <v>-0.03235547886108714</v>
      </c>
      <c r="O209" s="4" t="n">
        <v>0.05239573335881385</v>
      </c>
      <c r="P209" s="4" t="n">
        <v>-0.006606384941871046</v>
      </c>
      <c r="Q209" s="22" t="n">
        <v>-158654</v>
      </c>
      <c r="R209" s="22" t="n">
        <v>2639902.52603</v>
      </c>
      <c r="S209" s="4" t="n">
        <v>0.03</v>
      </c>
      <c r="T209" s="4" t="n">
        <v>0.0306137613315498</v>
      </c>
      <c r="U209" s="19" t="n">
        <v>3.057108558523112</v>
      </c>
      <c r="V209" s="19" t="n">
        <v>0.9469214437367303</v>
      </c>
      <c r="W209" s="4" t="n">
        <v>-0.09114436379910895</v>
      </c>
      <c r="X209" s="4" t="n">
        <v>0.04227156276686594</v>
      </c>
      <c r="Y209" s="4" t="n">
        <v>-0.002005242684949948</v>
      </c>
      <c r="Z209" s="4" t="n">
        <v>-0.002472360720056743</v>
      </c>
      <c r="AA209" s="4" t="n">
        <v>0.03</v>
      </c>
      <c r="AB209" s="4" t="n">
        <v>0.05</v>
      </c>
      <c r="AC209" s="4">
        <f>(AB209+2*參數!$B$7)/(AA209+AB209)</f>
        <v/>
      </c>
    </row>
    <row r="210">
      <c r="A210" s="2" t="n">
        <v>209</v>
      </c>
      <c r="B210" s="2" t="inlineStr">
        <is>
          <t>USELESS_USDT_PERP</t>
        </is>
      </c>
      <c r="C210" s="2" t="inlineStr">
        <is>
          <t>做空</t>
        </is>
      </c>
      <c r="D210" s="7" t="n">
        <v>46279.29166666666</v>
      </c>
      <c r="E210" s="20" t="n">
        <v>0.21683</v>
      </c>
      <c r="F210" s="20" t="n">
        <v>0.2103251</v>
      </c>
      <c r="G210" s="20" t="n">
        <v>0.2276715</v>
      </c>
      <c r="H210" s="7" t="n">
        <v>46279.41666666666</v>
      </c>
      <c r="I210" s="20" t="n">
        <v>0.2103251</v>
      </c>
      <c r="J210" s="2" t="inlineStr">
        <is>
          <t>止盈</t>
        </is>
      </c>
      <c r="K210" s="5">
        <f>(H210-D210)*24</f>
        <v/>
      </c>
      <c r="L210" s="4">
        <f>IF(C210="做多",I210/E210-1,1-I210/E210)-2*參數!$B$7</f>
        <v/>
      </c>
      <c r="M210" s="2" t="inlineStr"/>
      <c r="N210" s="4" t="n">
        <v>-0.03738068812430639</v>
      </c>
      <c r="O210" s="4" t="n">
        <v>0.03386106881319671</v>
      </c>
      <c r="P210" s="4" t="n">
        <v>-0.01970491232591187</v>
      </c>
      <c r="Q210" s="22" t="n">
        <v>-3175872</v>
      </c>
      <c r="R210" s="22" t="n">
        <v>2128113.32288</v>
      </c>
      <c r="S210" s="4" t="n">
        <v>0.03</v>
      </c>
      <c r="T210" s="4" t="n">
        <v>0.01000784024350887</v>
      </c>
      <c r="U210" s="19" t="n">
        <v>0.5672975038799286</v>
      </c>
      <c r="V210" s="19" t="n">
        <v>0.7184300341296932</v>
      </c>
      <c r="W210" s="4" t="n">
        <v>0.05441177111906748</v>
      </c>
      <c r="X210" s="4" t="n">
        <v>0.06558931264813628</v>
      </c>
      <c r="Y210" s="4" t="n">
        <v>0.007608961493219879</v>
      </c>
      <c r="Z210" s="4" t="n">
        <v>0.00463370666291496</v>
      </c>
      <c r="AA210" s="4" t="n">
        <v>0.03</v>
      </c>
      <c r="AB210" s="4" t="n">
        <v>0.05</v>
      </c>
      <c r="AC210" s="4">
        <f>(AB210+2*參數!$B$7)/(AA210+AB210)</f>
        <v/>
      </c>
    </row>
    <row r="211">
      <c r="A211" s="2" t="n">
        <v>210</v>
      </c>
      <c r="B211" s="2" t="inlineStr">
        <is>
          <t>VVV_USDT_PERP</t>
        </is>
      </c>
      <c r="C211" s="2" t="inlineStr">
        <is>
          <t>做空</t>
        </is>
      </c>
      <c r="D211" s="7" t="n">
        <v>46279.29166666666</v>
      </c>
      <c r="E211" s="20" t="n">
        <v>21.468</v>
      </c>
      <c r="F211" s="20" t="n">
        <v>20.82396</v>
      </c>
      <c r="G211" s="20" t="n">
        <v>22.5414</v>
      </c>
      <c r="H211" s="7" t="n">
        <v>46279.5</v>
      </c>
      <c r="I211" s="20" t="n">
        <v>22.5414</v>
      </c>
      <c r="J211" s="2" t="inlineStr">
        <is>
          <t>止損</t>
        </is>
      </c>
      <c r="K211" s="5">
        <f>(H211-D211)*24</f>
        <v/>
      </c>
      <c r="L211" s="4">
        <f>IF(C211="做多",I211/E211-1,1-I211/E211)-2*參數!$B$7</f>
        <v/>
      </c>
      <c r="M211" s="2" t="inlineStr"/>
      <c r="N211" s="4" t="n">
        <v>-0.02289381457375628</v>
      </c>
      <c r="O211" s="4" t="n">
        <v>0.02160081896245285</v>
      </c>
      <c r="P211" s="4" t="n">
        <v>-0.04553578573905626</v>
      </c>
      <c r="Q211" s="22" t="n">
        <v>-14412.56</v>
      </c>
      <c r="R211" s="22" t="n">
        <v>1369833.00885</v>
      </c>
      <c r="S211" s="4" t="n">
        <v>0.01276318241103036</v>
      </c>
      <c r="T211" s="4" t="n">
        <v>0.05</v>
      </c>
      <c r="U211" s="19" t="n">
        <v>0.6271932459439219</v>
      </c>
      <c r="V211" s="19" t="n">
        <v>0.9384328358208933</v>
      </c>
      <c r="W211" s="4" t="n">
        <v>0.09222223725694489</v>
      </c>
      <c r="X211" s="4" t="n">
        <v>0.1147216494845361</v>
      </c>
      <c r="Y211" s="4" t="n">
        <v>0.007608961493219879</v>
      </c>
      <c r="Z211" s="4" t="n">
        <v>0.00463370666291496</v>
      </c>
      <c r="AA211" s="4" t="n">
        <v>0.03</v>
      </c>
      <c r="AB211" s="4" t="n">
        <v>0.05</v>
      </c>
      <c r="AC211" s="4">
        <f>(AB211+2*參數!$B$7)/(AA211+AB211)</f>
        <v/>
      </c>
    </row>
    <row r="212">
      <c r="A212" s="2" t="n">
        <v>211</v>
      </c>
      <c r="B212" s="2" t="inlineStr">
        <is>
          <t>BTW_USDT_PERP</t>
        </is>
      </c>
      <c r="C212" s="2" t="inlineStr">
        <is>
          <t>做多</t>
        </is>
      </c>
      <c r="D212" s="7" t="n">
        <v>46279.45833333334</v>
      </c>
      <c r="E212" s="20" t="n">
        <v>0.70762</v>
      </c>
      <c r="F212" s="20" t="n">
        <v>0.7288486000000001</v>
      </c>
      <c r="G212" s="20" t="n">
        <v>0.672239</v>
      </c>
      <c r="H212" s="7" t="n">
        <v>46279.5</v>
      </c>
      <c r="I212" s="20" t="n">
        <v>0.672239</v>
      </c>
      <c r="J212" s="2" t="inlineStr">
        <is>
          <t>止損</t>
        </is>
      </c>
      <c r="K212" s="5">
        <f>(H212-D212)*24</f>
        <v/>
      </c>
      <c r="L212" s="4">
        <f>IF(C212="做多",I212/E212-1,1-I212/E212)-2*參數!$B$7</f>
        <v/>
      </c>
      <c r="M212" s="2" t="inlineStr"/>
      <c r="N212" s="4" t="n">
        <v>0.06417984070839045</v>
      </c>
      <c r="O212" s="4" t="n">
        <v>0.05447806281300982</v>
      </c>
      <c r="P212" s="4" t="n">
        <v>0.05269413873762541</v>
      </c>
      <c r="Q212" s="22" t="n">
        <v>29072</v>
      </c>
      <c r="R212" s="22" t="n">
        <v>1249265.946402</v>
      </c>
      <c r="S212" s="4" t="n">
        <v>0</v>
      </c>
      <c r="T212" s="4" t="n">
        <v>0.05</v>
      </c>
      <c r="U212" s="19" t="n">
        <v>0.5619089762421139</v>
      </c>
      <c r="V212" s="19" t="n">
        <v>0.8878120158374936</v>
      </c>
      <c r="W212" s="4" t="n">
        <v>0.3125680158956472</v>
      </c>
      <c r="X212" s="4" t="n">
        <v>0.2763570379829945</v>
      </c>
      <c r="Y212" s="4" t="n">
        <v>0.006412035895985824</v>
      </c>
      <c r="Z212" s="4" t="n">
        <v>0.0072719933770935</v>
      </c>
      <c r="AA212" s="4" t="n">
        <v>0.03</v>
      </c>
      <c r="AB212" s="4" t="n">
        <v>0.05</v>
      </c>
      <c r="AC212" s="4">
        <f>(AB212+2*參數!$B$7)/(AA212+AB212)</f>
        <v/>
      </c>
    </row>
    <row r="213">
      <c r="A213" s="2" t="n">
        <v>212</v>
      </c>
      <c r="B213" s="2" t="inlineStr">
        <is>
          <t>牛来_USDT_PERP</t>
        </is>
      </c>
      <c r="C213" s="2" t="inlineStr">
        <is>
          <t>做空</t>
        </is>
      </c>
      <c r="D213" s="7" t="n">
        <v>46279.5</v>
      </c>
      <c r="E213" s="20" t="n">
        <v>0.11776</v>
      </c>
      <c r="F213" s="20" t="n">
        <v>0.1142272</v>
      </c>
      <c r="G213" s="20" t="n">
        <v>0.123648</v>
      </c>
      <c r="H213" s="7" t="n">
        <v>46279.625</v>
      </c>
      <c r="I213" s="20" t="n">
        <v>0.123648</v>
      </c>
      <c r="J213" s="2" t="inlineStr">
        <is>
          <t>止損</t>
        </is>
      </c>
      <c r="K213" s="5">
        <f>(H213-D213)*24</f>
        <v/>
      </c>
      <c r="L213" s="4">
        <f>IF(C213="做多",I213/E213-1,1-I213/E213)-2*參數!$B$7</f>
        <v/>
      </c>
      <c r="M213" s="2" t="inlineStr"/>
      <c r="N213" s="4" t="n">
        <v>-0.02281968301385784</v>
      </c>
      <c r="O213" s="4" t="n">
        <v>0.05705666237909381</v>
      </c>
      <c r="P213" s="4" t="n">
        <v>-0.04483810265394839</v>
      </c>
      <c r="Q213" s="22" t="n">
        <v>-7024900</v>
      </c>
      <c r="R213" s="22" t="n">
        <v>2030342.06041</v>
      </c>
      <c r="S213" s="4" t="n">
        <v>0.02734375</v>
      </c>
      <c r="T213" s="4" t="n">
        <v>0.05</v>
      </c>
      <c r="U213" s="19" t="n">
        <v>0.4761997968648705</v>
      </c>
      <c r="V213" s="19" t="n">
        <v>0.7176470588235297</v>
      </c>
      <c r="W213" s="4" t="n">
        <v>0.02487254034117869</v>
      </c>
      <c r="X213" s="4" t="n">
        <v>0.1282848471389443</v>
      </c>
      <c r="Y213" s="4" t="n">
        <v>0.000323521564452256</v>
      </c>
      <c r="Z213" s="4" t="n">
        <v>-0.006638404311750445</v>
      </c>
      <c r="AA213" s="4" t="n">
        <v>0.03</v>
      </c>
      <c r="AB213" s="4" t="n">
        <v>0.05</v>
      </c>
      <c r="AC213" s="4">
        <f>(AB213+2*參數!$B$7)/(AA213+AB213)</f>
        <v/>
      </c>
    </row>
    <row r="214">
      <c r="A214" s="2" t="n">
        <v>213</v>
      </c>
      <c r="B214" s="2" t="inlineStr">
        <is>
          <t>FIL_USDT_PERP</t>
        </is>
      </c>
      <c r="C214" s="2" t="inlineStr">
        <is>
          <t>做多</t>
        </is>
      </c>
      <c r="D214" s="7" t="n">
        <v>46279.625</v>
      </c>
      <c r="E214" s="20" t="n">
        <v>0.996</v>
      </c>
      <c r="F214" s="20" t="n">
        <v>1.02588</v>
      </c>
      <c r="G214" s="20" t="n">
        <v>0.9461999999999999</v>
      </c>
      <c r="H214" s="7" t="n">
        <v>46279.75</v>
      </c>
      <c r="I214" s="20" t="n">
        <v>1.02588</v>
      </c>
      <c r="J214" s="2" t="inlineStr">
        <is>
          <t>止盈</t>
        </is>
      </c>
      <c r="K214" s="5">
        <f>(H214-D214)*24</f>
        <v/>
      </c>
      <c r="L214" s="4">
        <f>IF(C214="做多",I214/E214-1,1-I214/E214)-2*參數!$B$7</f>
        <v/>
      </c>
      <c r="M214" s="2" t="inlineStr"/>
      <c r="N214" s="4" t="n">
        <v>0.03426791277258578</v>
      </c>
      <c r="O214" s="4" t="n">
        <v>0.03100840294421877</v>
      </c>
      <c r="P214" s="4" t="n">
        <v>0.04902838485438932</v>
      </c>
      <c r="Q214" s="22" t="n">
        <v>135858.4000000001</v>
      </c>
      <c r="R214" s="22" t="n">
        <v>2098980.9254</v>
      </c>
      <c r="S214" s="4" t="n">
        <v>0.03</v>
      </c>
      <c r="T214" s="4" t="n">
        <v>0.008032128514056214</v>
      </c>
      <c r="U214" s="19" t="n">
        <v>0.6920262478472113</v>
      </c>
      <c r="V214" s="19" t="n">
        <v>0.8000000000000019</v>
      </c>
      <c r="W214" s="4" t="n">
        <v>0.2005207077768671</v>
      </c>
      <c r="X214" s="4" t="n">
        <v>0.2266009852216748</v>
      </c>
      <c r="Y214" s="4" t="n">
        <v>-0.0003170965301131368</v>
      </c>
      <c r="Z214" s="4" t="n">
        <v>0.004886483600883285</v>
      </c>
      <c r="AA214" s="4" t="n">
        <v>0.03</v>
      </c>
      <c r="AB214" s="4" t="n">
        <v>0.05</v>
      </c>
      <c r="AC214" s="4">
        <f>(AB214+2*參數!$B$7)/(AA214+AB214)</f>
        <v/>
      </c>
    </row>
    <row r="215">
      <c r="A215" s="2" t="n">
        <v>214</v>
      </c>
      <c r="B215" s="2" t="inlineStr">
        <is>
          <t>LSK_USDT_PERP</t>
        </is>
      </c>
      <c r="C215" s="2" t="inlineStr">
        <is>
          <t>做多</t>
        </is>
      </c>
      <c r="D215" s="7" t="n">
        <v>46279.66666666666</v>
      </c>
      <c r="E215" s="20" t="n">
        <v>0.9222</v>
      </c>
      <c r="F215" s="20" t="n">
        <v>0.9498660000000001</v>
      </c>
      <c r="G215" s="20" t="n">
        <v>0.8760899999999999</v>
      </c>
      <c r="H215" s="7" t="n">
        <v>46279.70833333334</v>
      </c>
      <c r="I215" s="20" t="n">
        <v>0.9498660000000001</v>
      </c>
      <c r="J215" s="2" t="inlineStr">
        <is>
          <t>止盈</t>
        </is>
      </c>
      <c r="K215" s="5">
        <f>(H215-D215)*24</f>
        <v/>
      </c>
      <c r="L215" s="4">
        <f>IF(C215="做多",I215/E215-1,1-I215/E215)-2*參數!$B$7</f>
        <v/>
      </c>
      <c r="M215" s="2" t="inlineStr"/>
      <c r="N215" s="4" t="n">
        <v>0.05261956397671508</v>
      </c>
      <c r="O215" s="4" t="n">
        <v>0.1493080715481551</v>
      </c>
      <c r="P215" s="4" t="n">
        <v>0.03846673573262471</v>
      </c>
      <c r="Q215" s="22" t="n">
        <v>1655425</v>
      </c>
      <c r="R215" s="22" t="n">
        <v>21319541.3692</v>
      </c>
      <c r="S215" s="4" t="n">
        <v>0.03</v>
      </c>
      <c r="T215" s="4" t="n">
        <v>0</v>
      </c>
      <c r="U215" s="19" t="n">
        <v>0.845950323524046</v>
      </c>
      <c r="V215" s="19" t="n">
        <v>0.5388418079096046</v>
      </c>
      <c r="W215" s="4" t="n">
        <v>1.405320813771518</v>
      </c>
      <c r="X215" s="4" t="n">
        <v>0.1928599146294141</v>
      </c>
      <c r="Y215" s="4" t="n">
        <v>0.00386567862774867</v>
      </c>
      <c r="Z215" s="4" t="n">
        <v>0.008051884035208845</v>
      </c>
      <c r="AA215" s="4" t="n">
        <v>0.03</v>
      </c>
      <c r="AB215" s="4" t="n">
        <v>0.05</v>
      </c>
      <c r="AC215" s="4">
        <f>(AB215+2*參數!$B$7)/(AA215+AB215)</f>
        <v/>
      </c>
    </row>
    <row r="216">
      <c r="A216" s="2" t="n">
        <v>215</v>
      </c>
      <c r="B216" s="2" t="inlineStr">
        <is>
          <t>PONS_USDT_PERP</t>
        </is>
      </c>
      <c r="C216" s="2" t="inlineStr">
        <is>
          <t>做多</t>
        </is>
      </c>
      <c r="D216" s="7" t="n">
        <v>46279.66666666666</v>
      </c>
      <c r="E216" s="20" t="n">
        <v>0.5661</v>
      </c>
      <c r="F216" s="20" t="n">
        <v>0.583083</v>
      </c>
      <c r="G216" s="20" t="n">
        <v>0.537795</v>
      </c>
      <c r="H216" s="7" t="n">
        <v>46279.91666666666</v>
      </c>
      <c r="I216" s="20" t="n">
        <v>0.537795</v>
      </c>
      <c r="J216" s="2" t="inlineStr">
        <is>
          <t>止損</t>
        </is>
      </c>
      <c r="K216" s="5">
        <f>(H216-D216)*24</f>
        <v/>
      </c>
      <c r="L216" s="4">
        <f>IF(C216="做多",I216/E216-1,1-I216/E216)-2*參數!$B$7</f>
        <v/>
      </c>
      <c r="M216" s="2" t="inlineStr"/>
      <c r="N216" s="4" t="n">
        <v>0.06110590440487362</v>
      </c>
      <c r="O216" s="4" t="n">
        <v>0.03650424816235819</v>
      </c>
      <c r="P216" s="4" t="n">
        <v>0.03450166295091561</v>
      </c>
      <c r="Q216" s="22" t="n">
        <v>605808</v>
      </c>
      <c r="R216" s="22" t="n">
        <v>1677042.4063</v>
      </c>
      <c r="S216" s="4" t="n">
        <v>0.02402402402402393</v>
      </c>
      <c r="T216" s="4" t="n">
        <v>0.05</v>
      </c>
      <c r="U216" s="19" t="n">
        <v>1.433584458164734</v>
      </c>
      <c r="V216" s="19" t="n">
        <v>1</v>
      </c>
      <c r="W216" s="4" t="n">
        <v>-0.04372415470688384</v>
      </c>
      <c r="X216" s="4" t="n">
        <v>-0.00158730158730136</v>
      </c>
      <c r="Y216" s="4" t="n">
        <v>0.00386567862774867</v>
      </c>
      <c r="Z216" s="4" t="n">
        <v>0.008051884035208845</v>
      </c>
      <c r="AA216" s="4" t="n">
        <v>0.03</v>
      </c>
      <c r="AB216" s="4" t="n">
        <v>0.05</v>
      </c>
      <c r="AC216" s="4">
        <f>(AB216+2*參數!$B$7)/(AA216+AB216)</f>
        <v/>
      </c>
    </row>
    <row r="217">
      <c r="A217" s="2" t="n">
        <v>216</v>
      </c>
      <c r="B217" s="2" t="inlineStr">
        <is>
          <t>牛来_USDT_PERP</t>
        </is>
      </c>
      <c r="C217" s="2" t="inlineStr">
        <is>
          <t>做空</t>
        </is>
      </c>
      <c r="D217" s="7" t="n">
        <v>46279.66666666666</v>
      </c>
      <c r="E217" s="20" t="n">
        <v>0.12014</v>
      </c>
      <c r="F217" s="20" t="n">
        <v>0.1165358</v>
      </c>
      <c r="G217" s="20" t="n">
        <v>0.126147</v>
      </c>
      <c r="H217" s="7" t="n">
        <v>46279.70833333334</v>
      </c>
      <c r="I217" s="20" t="n">
        <v>0.1165358</v>
      </c>
      <c r="J217" s="2" t="inlineStr">
        <is>
          <t>止盈</t>
        </is>
      </c>
      <c r="K217" s="5">
        <f>(H217-D217)*24</f>
        <v/>
      </c>
      <c r="L217" s="4">
        <f>IF(C217="做多",I217/E217-1,1-I217/E217)-2*參數!$B$7</f>
        <v/>
      </c>
      <c r="M217" s="2" t="inlineStr"/>
      <c r="N217" s="4" t="n">
        <v>-0.02094368837095595</v>
      </c>
      <c r="O217" s="4" t="n">
        <v>0.05348945695792933</v>
      </c>
      <c r="P217" s="4" t="n">
        <v>-0.008001056899156977</v>
      </c>
      <c r="Q217" s="22" t="n">
        <v>-2286112</v>
      </c>
      <c r="R217" s="22" t="n">
        <v>1877770.83223</v>
      </c>
      <c r="S217" s="4" t="n">
        <v>0.03</v>
      </c>
      <c r="T217" s="4" t="n">
        <v>0</v>
      </c>
      <c r="U217" s="19" t="n">
        <v>0.6989090661339149</v>
      </c>
      <c r="V217" s="19" t="n">
        <v>0.8567164179104492</v>
      </c>
      <c r="W217" s="4" t="n">
        <v>0.01805490849945646</v>
      </c>
      <c r="X217" s="4" t="n">
        <v>0.1567939359910163</v>
      </c>
      <c r="Y217" s="4" t="n">
        <v>-0.00386567862774867</v>
      </c>
      <c r="Z217" s="4" t="n">
        <v>-0.008051884035208845</v>
      </c>
      <c r="AA217" s="4" t="n">
        <v>0.03</v>
      </c>
      <c r="AB217" s="4" t="n">
        <v>0.05</v>
      </c>
      <c r="AC217" s="4">
        <f>(AB217+2*參數!$B$7)/(AA217+AB217)</f>
        <v/>
      </c>
    </row>
    <row r="218">
      <c r="A218" s="2" t="n">
        <v>217</v>
      </c>
      <c r="B218" s="2" t="inlineStr">
        <is>
          <t>USELESS_USDT_PERP</t>
        </is>
      </c>
      <c r="C218" s="2" t="inlineStr">
        <is>
          <t>做空</t>
        </is>
      </c>
      <c r="D218" s="7" t="n">
        <v>46279.70833333334</v>
      </c>
      <c r="E218" s="20" t="n">
        <v>0.20271</v>
      </c>
      <c r="F218" s="20" t="n">
        <v>0.1966287</v>
      </c>
      <c r="G218" s="20" t="n">
        <v>0.2128455</v>
      </c>
      <c r="H218" s="7" t="n">
        <v>46279.83333333334</v>
      </c>
      <c r="I218" s="20" t="n">
        <v>0.1966287</v>
      </c>
      <c r="J218" s="2" t="inlineStr">
        <is>
          <t>止盈</t>
        </is>
      </c>
      <c r="K218" s="5">
        <f>(H218-D218)*24</f>
        <v/>
      </c>
      <c r="L218" s="4">
        <f>IF(C218="做多",I218/E218-1,1-I218/E218)-2*參數!$B$7</f>
        <v/>
      </c>
      <c r="M218" s="2" t="inlineStr"/>
      <c r="N218" s="4" t="n">
        <v>-0.0318097148588623</v>
      </c>
      <c r="O218" s="4" t="n">
        <v>0.03549055706044232</v>
      </c>
      <c r="P218" s="4" t="n">
        <v>-0.04754297474257441</v>
      </c>
      <c r="Q218" s="22" t="n">
        <v>-887001</v>
      </c>
      <c r="R218" s="22" t="n">
        <v>1992329.76383</v>
      </c>
      <c r="S218" s="4" t="n">
        <v>0.03</v>
      </c>
      <c r="T218" s="4" t="n">
        <v>0.02989492378274394</v>
      </c>
      <c r="U218" s="19" t="n">
        <v>1.088276490112146</v>
      </c>
      <c r="V218" s="19" t="n">
        <v>0.9719853836784399</v>
      </c>
      <c r="W218" s="4" t="n">
        <v>0.1066100543059095</v>
      </c>
      <c r="X218" s="4" t="n">
        <v>0.09846564376250833</v>
      </c>
      <c r="Y218" s="4" t="n">
        <v>0.001980627866740581</v>
      </c>
      <c r="Z218" s="4" t="n">
        <v>-0.005421194060191814</v>
      </c>
      <c r="AA218" s="4" t="n">
        <v>0.03</v>
      </c>
      <c r="AB218" s="4" t="n">
        <v>0.05</v>
      </c>
      <c r="AC218" s="4">
        <f>(AB218+2*參數!$B$7)/(AA218+AB218)</f>
        <v/>
      </c>
    </row>
    <row r="219">
      <c r="A219" s="2" t="n">
        <v>218</v>
      </c>
      <c r="B219" s="2" t="inlineStr">
        <is>
          <t>LSK_USDT_PERP</t>
        </is>
      </c>
      <c r="C219" s="2" t="inlineStr">
        <is>
          <t>做空</t>
        </is>
      </c>
      <c r="D219" s="7" t="n">
        <v>46279.75</v>
      </c>
      <c r="E219" s="20" t="n">
        <v>0.8768</v>
      </c>
      <c r="F219" s="20" t="n">
        <v>0.850496</v>
      </c>
      <c r="G219" s="20" t="n">
        <v>0.92064</v>
      </c>
      <c r="H219" s="7" t="n">
        <v>46279.79166666666</v>
      </c>
      <c r="I219" s="20" t="n">
        <v>0.850496</v>
      </c>
      <c r="J219" s="2" t="inlineStr">
        <is>
          <t>止盈</t>
        </is>
      </c>
      <c r="K219" s="5">
        <f>(H219-D219)*24</f>
        <v/>
      </c>
      <c r="L219" s="4">
        <f>IF(C219="做多",I219/E219-1,1-I219/E219)-2*參數!$B$7</f>
        <v/>
      </c>
      <c r="M219" s="2" t="inlineStr"/>
      <c r="N219" s="4" t="n">
        <v>-0.09111640924639786</v>
      </c>
      <c r="O219" s="4" t="n">
        <v>0.153993602113604</v>
      </c>
      <c r="P219" s="4" t="n">
        <v>-0.01166100242914059</v>
      </c>
      <c r="Q219" s="22" t="n">
        <v>-1081120</v>
      </c>
      <c r="R219" s="22" t="n">
        <v>21256200.9232</v>
      </c>
      <c r="S219" s="4" t="n">
        <v>0.03</v>
      </c>
      <c r="T219" s="4" t="n">
        <v>0</v>
      </c>
      <c r="U219" s="19" t="n">
        <v>0.8150563760825439</v>
      </c>
      <c r="V219" s="19" t="n">
        <v>0.5871743486973944</v>
      </c>
      <c r="W219" s="4" t="n">
        <v>-1.194463285037455</v>
      </c>
      <c r="X219" s="4" t="n">
        <v>-0.1097329451968105</v>
      </c>
      <c r="Y219" s="4" t="n">
        <v>-0.005263842038406796</v>
      </c>
      <c r="Z219" s="4" t="n">
        <v>-0.009867322303158232</v>
      </c>
      <c r="AA219" s="4" t="n">
        <v>0.03</v>
      </c>
      <c r="AB219" s="4" t="n">
        <v>0.05</v>
      </c>
      <c r="AC219" s="4">
        <f>(AB219+2*參數!$B$7)/(AA219+AB219)</f>
        <v/>
      </c>
    </row>
    <row r="220">
      <c r="A220" s="2" t="n">
        <v>219</v>
      </c>
      <c r="B220" s="2" t="inlineStr">
        <is>
          <t>PONS_USDT_PERP</t>
        </is>
      </c>
      <c r="C220" s="2" t="inlineStr">
        <is>
          <t>做多</t>
        </is>
      </c>
      <c r="D220" s="7" t="n">
        <v>46279.95833333334</v>
      </c>
      <c r="E220" s="20" t="n">
        <v>0.5794</v>
      </c>
      <c r="F220" s="20" t="n">
        <v>0.596782</v>
      </c>
      <c r="G220" s="20" t="n">
        <v>0.55043</v>
      </c>
      <c r="H220" s="7" t="n">
        <v>46280</v>
      </c>
      <c r="I220" s="20" t="n">
        <v>0.596782</v>
      </c>
      <c r="J220" s="2" t="inlineStr">
        <is>
          <t>止盈</t>
        </is>
      </c>
      <c r="K220" s="5">
        <f>(H220-D220)*24</f>
        <v/>
      </c>
      <c r="L220" s="4">
        <f>IF(C220="做多",I220/E220-1,1-I220/E220)-2*參數!$B$7</f>
        <v/>
      </c>
      <c r="M220" s="2" t="inlineStr"/>
      <c r="N220" s="4" t="n">
        <v>0.05903856698958143</v>
      </c>
      <c r="O220" s="4" t="n">
        <v>0.03743199201995348</v>
      </c>
      <c r="P220" s="4" t="n">
        <v>0.05355990144468992</v>
      </c>
      <c r="Q220" s="22" t="n">
        <v>593268</v>
      </c>
      <c r="R220" s="22" t="n">
        <v>1954273.9413</v>
      </c>
      <c r="S220" s="4" t="n">
        <v>0.03</v>
      </c>
      <c r="T220" s="4" t="n">
        <v>0</v>
      </c>
      <c r="U220" s="19" t="n">
        <v>2.871295855203831</v>
      </c>
      <c r="V220" s="19" t="n">
        <v>0.7149028077753783</v>
      </c>
      <c r="W220" s="4" t="n">
        <v>-0.01492237880773994</v>
      </c>
      <c r="X220" s="4" t="n">
        <v>0.05556567680816182</v>
      </c>
      <c r="Y220" s="4" t="n">
        <v>0.004340970985113657</v>
      </c>
      <c r="Z220" s="4" t="n">
        <v>0.01218672904312879</v>
      </c>
      <c r="AA220" s="4" t="n">
        <v>0.03</v>
      </c>
      <c r="AB220" s="4" t="n">
        <v>0.05</v>
      </c>
      <c r="AC220" s="4">
        <f>(AB220+2*參數!$B$7)/(AA220+AB220)</f>
        <v/>
      </c>
    </row>
    <row r="221">
      <c r="A221" s="2" t="n">
        <v>220</v>
      </c>
      <c r="B221" s="2" t="inlineStr">
        <is>
          <t>FIL_USDT_PERP</t>
        </is>
      </c>
      <c r="C221" s="2" t="inlineStr">
        <is>
          <t>做空</t>
        </is>
      </c>
      <c r="D221" s="7" t="n">
        <v>46280</v>
      </c>
      <c r="E221" s="20" t="n">
        <v>0.953</v>
      </c>
      <c r="F221" s="20" t="n">
        <v>0.92441</v>
      </c>
      <c r="G221" s="20" t="n">
        <v>1.00065</v>
      </c>
      <c r="H221" s="7" t="n">
        <v>46280.375</v>
      </c>
      <c r="I221" s="20" t="n">
        <v>0.92441</v>
      </c>
      <c r="J221" s="2" t="inlineStr">
        <is>
          <t>止盈</t>
        </is>
      </c>
      <c r="K221" s="5">
        <f>(H221-D221)*24</f>
        <v/>
      </c>
      <c r="L221" s="4">
        <f>IF(C221="做多",I221/E221-1,1-I221/E221)-2*參數!$B$7</f>
        <v/>
      </c>
      <c r="M221" s="2" t="inlineStr"/>
      <c r="N221" s="4" t="n">
        <v>-0.03248730964467006</v>
      </c>
      <c r="O221" s="4" t="n">
        <v>0.03394151974486471</v>
      </c>
      <c r="P221" s="4" t="n">
        <v>-0.03061743464550915</v>
      </c>
      <c r="Q221" s="22" t="n">
        <v>-483300.7</v>
      </c>
      <c r="R221" s="22" t="n">
        <v>2616142.9346</v>
      </c>
      <c r="S221" s="4" t="n">
        <v>0.03</v>
      </c>
      <c r="T221" s="4" t="n">
        <v>0.01888772298006303</v>
      </c>
      <c r="U221" s="19" t="n">
        <v>1.332575490212957</v>
      </c>
      <c r="V221" s="19" t="n">
        <v>0.8461538461538461</v>
      </c>
      <c r="W221" s="4" t="n">
        <v>-0.1257456736164431</v>
      </c>
      <c r="X221" s="4" t="n">
        <v>-0.00527426160337563</v>
      </c>
      <c r="Y221" s="4" t="n">
        <v>-0.0008244306713696137</v>
      </c>
      <c r="Z221" s="4" t="n">
        <v>-0.01217989415057485</v>
      </c>
      <c r="AA221" s="4" t="n">
        <v>0.03</v>
      </c>
      <c r="AB221" s="4" t="n">
        <v>0.05</v>
      </c>
      <c r="AC221" s="4">
        <f>(AB221+2*參數!$B$7)/(AA221+AB221)</f>
        <v/>
      </c>
    </row>
    <row r="222">
      <c r="A222" s="2" t="n">
        <v>221</v>
      </c>
      <c r="B222" s="2" t="inlineStr">
        <is>
          <t>USELESS_USDT_PERP</t>
        </is>
      </c>
      <c r="C222" s="2" t="inlineStr">
        <is>
          <t>做多</t>
        </is>
      </c>
      <c r="D222" s="7" t="n">
        <v>46280.08333333334</v>
      </c>
      <c r="E222" s="20" t="n">
        <v>0.21527</v>
      </c>
      <c r="F222" s="20" t="n">
        <v>0.2217281</v>
      </c>
      <c r="G222" s="20" t="n">
        <v>0.2045065</v>
      </c>
      <c r="H222" s="7" t="n">
        <v>46280.25</v>
      </c>
      <c r="I222" s="20" t="n">
        <v>0.2045065</v>
      </c>
      <c r="J222" s="2" t="inlineStr">
        <is>
          <t>止損</t>
        </is>
      </c>
      <c r="K222" s="5">
        <f>(H222-D222)*24</f>
        <v/>
      </c>
      <c r="L222" s="4">
        <f>IF(C222="做多",I222/E222-1,1-I222/E222)-2*參數!$B$7</f>
        <v/>
      </c>
      <c r="M222" s="2" t="inlineStr"/>
      <c r="N222" s="4" t="n">
        <v>0.07694231827505127</v>
      </c>
      <c r="O222" s="4" t="n">
        <v>0.04129466730861369</v>
      </c>
      <c r="P222" s="4" t="n">
        <v>0.04722917472386601</v>
      </c>
      <c r="Q222" s="22" t="n">
        <v>57563</v>
      </c>
      <c r="R222" s="22" t="n">
        <v>2142958.19727</v>
      </c>
      <c r="S222" s="4" t="n">
        <v>0.02870813397129202</v>
      </c>
      <c r="T222" s="4" t="n">
        <v>0.05</v>
      </c>
      <c r="U222" s="19" t="n">
        <v>2.695897368776979</v>
      </c>
      <c r="V222" s="19" t="n">
        <v>0.8418891170431212</v>
      </c>
      <c r="W222" s="4" t="n">
        <v>-0.03711019445659591</v>
      </c>
      <c r="X222" s="4" t="n">
        <v>-0.01193372194427877</v>
      </c>
      <c r="Y222" s="4" t="n">
        <v>0.002349919531133837</v>
      </c>
      <c r="Z222" s="4" t="n">
        <v>0.01492736573107156</v>
      </c>
      <c r="AA222" s="4" t="n">
        <v>0.03</v>
      </c>
      <c r="AB222" s="4" t="n">
        <v>0.05</v>
      </c>
      <c r="AC222" s="4">
        <f>(AB222+2*參數!$B$7)/(AA222+AB222)</f>
        <v/>
      </c>
    </row>
    <row r="223">
      <c r="A223" s="2" t="n">
        <v>222</v>
      </c>
      <c r="B223" s="2" t="inlineStr">
        <is>
          <t>LIT_USDT_PERP</t>
        </is>
      </c>
      <c r="C223" s="2" t="inlineStr">
        <is>
          <t>做多</t>
        </is>
      </c>
      <c r="D223" s="7" t="n">
        <v>46280.16666666666</v>
      </c>
      <c r="E223" s="20" t="n">
        <v>4.538</v>
      </c>
      <c r="F223" s="20" t="n">
        <v>4.67414</v>
      </c>
      <c r="G223" s="20" t="n">
        <v>4.3111</v>
      </c>
      <c r="H223" s="7" t="n">
        <v>46280.5</v>
      </c>
      <c r="I223" s="20" t="n">
        <v>4.3111</v>
      </c>
      <c r="J223" s="2" t="inlineStr">
        <is>
          <t>止損</t>
        </is>
      </c>
      <c r="K223" s="5">
        <f>(H223-D223)*24</f>
        <v/>
      </c>
      <c r="L223" s="4">
        <f>IF(C223="做多",I223/E223-1,1-I223/E223)-2*參數!$B$7</f>
        <v/>
      </c>
      <c r="M223" s="2" t="inlineStr"/>
      <c r="N223" s="4" t="n">
        <v>0.02437923250564356</v>
      </c>
      <c r="O223" s="4" t="n">
        <v>0.02074968406070711</v>
      </c>
      <c r="P223" s="4" t="n">
        <v>0.01550786582227492</v>
      </c>
      <c r="Q223" s="22" t="n">
        <v>44747.19999999972</v>
      </c>
      <c r="R223" s="22" t="n">
        <v>3149491.7076</v>
      </c>
      <c r="S223" s="4" t="n">
        <v>0.0202732481269281</v>
      </c>
      <c r="T223" s="4" t="n">
        <v>0.05</v>
      </c>
      <c r="U223" s="19" t="n">
        <v>1.101212313974368</v>
      </c>
      <c r="V223" s="19" t="n">
        <v>0.9854014598540163</v>
      </c>
      <c r="W223" s="4" t="n">
        <v>0.03869588504305388</v>
      </c>
      <c r="X223" s="4" t="n">
        <v>0.07919143876337698</v>
      </c>
      <c r="Y223" s="4" t="n">
        <v>-0.003054879219244189</v>
      </c>
      <c r="Z223" s="4" t="n">
        <v>0.01231999729168809</v>
      </c>
      <c r="AA223" s="4" t="n">
        <v>0.03</v>
      </c>
      <c r="AB223" s="4" t="n">
        <v>0.05</v>
      </c>
      <c r="AC223" s="4">
        <f>(AB223+2*參數!$B$7)/(AA223+AB223)</f>
        <v/>
      </c>
    </row>
    <row r="224">
      <c r="A224" s="2" t="n">
        <v>223</v>
      </c>
      <c r="B224" s="2" t="inlineStr">
        <is>
          <t>牛来_USDT_PERP</t>
        </is>
      </c>
      <c r="C224" s="2" t="inlineStr">
        <is>
          <t>做空</t>
        </is>
      </c>
      <c r="D224" s="7" t="n">
        <v>46280.45833333334</v>
      </c>
      <c r="E224" s="20" t="n">
        <v>0.1125</v>
      </c>
      <c r="F224" s="20" t="n">
        <v>0.109125</v>
      </c>
      <c r="G224" s="20" t="n">
        <v>0.118125</v>
      </c>
      <c r="H224" s="7" t="n">
        <v>46280.5</v>
      </c>
      <c r="I224" s="20" t="n">
        <v>0.109125</v>
      </c>
      <c r="J224" s="2" t="inlineStr">
        <is>
          <t>止盈</t>
        </is>
      </c>
      <c r="K224" s="5">
        <f>(H224-D224)*24</f>
        <v/>
      </c>
      <c r="L224" s="4">
        <f>IF(C224="做多",I224/E224-1,1-I224/E224)-2*參數!$B$7</f>
        <v/>
      </c>
      <c r="M224" s="2" t="inlineStr"/>
      <c r="N224" s="4" t="n">
        <v>-0.05794674258918098</v>
      </c>
      <c r="O224" s="4" t="n">
        <v>0.05103412800415014</v>
      </c>
      <c r="P224" s="4" t="n">
        <v>-0.03928266438941086</v>
      </c>
      <c r="Q224" s="22" t="n">
        <v>-4340925</v>
      </c>
      <c r="R224" s="22" t="n">
        <v>3147065.65734</v>
      </c>
      <c r="S224" s="4" t="n">
        <v>0.03</v>
      </c>
      <c r="T224" s="4" t="n">
        <v>0</v>
      </c>
      <c r="U224" s="19" t="n">
        <v>1.315326619284867</v>
      </c>
      <c r="V224" s="19" t="n">
        <v>0.9223803363518754</v>
      </c>
      <c r="W224" s="4" t="n">
        <v>0.1160726281871474</v>
      </c>
      <c r="X224" s="4" t="n">
        <v>0.06646751306945486</v>
      </c>
      <c r="Y224" s="4" t="n">
        <v>0.0001271052611305779</v>
      </c>
      <c r="Z224" s="4" t="n">
        <v>0.005401828092954308</v>
      </c>
      <c r="AA224" s="4" t="n">
        <v>0.03</v>
      </c>
      <c r="AB224" s="4" t="n">
        <v>0.05</v>
      </c>
      <c r="AC224" s="4">
        <f>(AB224+2*參數!$B$7)/(AA224+AB224)</f>
        <v/>
      </c>
    </row>
    <row r="225">
      <c r="A225" s="2" t="n">
        <v>224</v>
      </c>
      <c r="B225" s="2" t="inlineStr">
        <is>
          <t>PONS_USDT_PERP</t>
        </is>
      </c>
      <c r="C225" s="2" t="inlineStr">
        <is>
          <t>做多</t>
        </is>
      </c>
      <c r="D225" s="7" t="n">
        <v>46280.54166666666</v>
      </c>
      <c r="E225" s="20" t="n">
        <v>0.6313</v>
      </c>
      <c r="F225" s="20" t="n">
        <v>0.650239</v>
      </c>
      <c r="G225" s="20" t="n">
        <v>0.5997349999999999</v>
      </c>
      <c r="H225" s="7" t="n">
        <v>46280.66666666666</v>
      </c>
      <c r="I225" s="20" t="n">
        <v>0.5997349999999999</v>
      </c>
      <c r="J225" s="2" t="inlineStr">
        <is>
          <t>止損</t>
        </is>
      </c>
      <c r="K225" s="5">
        <f>(H225-D225)*24</f>
        <v/>
      </c>
      <c r="L225" s="4">
        <f>IF(C225="做多",I225/E225-1,1-I225/E225)-2*參數!$B$7</f>
        <v/>
      </c>
      <c r="M225" s="2" t="inlineStr"/>
      <c r="N225" s="4" t="n">
        <v>0.03052562846882134</v>
      </c>
      <c r="O225" s="4" t="n">
        <v>0.03689338107401321</v>
      </c>
      <c r="P225" s="4" t="n">
        <v>0.03444320639706344</v>
      </c>
      <c r="Q225" s="22" t="n">
        <v>497440</v>
      </c>
      <c r="R225" s="22" t="n">
        <v>2733460.7658</v>
      </c>
      <c r="S225" s="4" t="n">
        <v>0.01092982734040882</v>
      </c>
      <c r="T225" s="4" t="n">
        <v>0.05</v>
      </c>
      <c r="U225" s="19" t="n">
        <v>0.8348760476846643</v>
      </c>
      <c r="V225" s="19" t="n">
        <v>0.8571428571428538</v>
      </c>
      <c r="W225" s="4" t="n">
        <v>0.05967979642330778</v>
      </c>
      <c r="X225" s="4" t="n">
        <v>0.163472171028382</v>
      </c>
      <c r="Y225" s="4" t="n">
        <v>-0.001480964455565226</v>
      </c>
      <c r="Z225" s="4" t="n">
        <v>-0.009528629640421338</v>
      </c>
      <c r="AA225" s="4" t="n">
        <v>0.03</v>
      </c>
      <c r="AB225" s="4" t="n">
        <v>0.05</v>
      </c>
      <c r="AC225" s="4">
        <f>(AB225+2*參數!$B$7)/(AA225+AB225)</f>
        <v/>
      </c>
    </row>
    <row r="226">
      <c r="A226" s="2" t="n">
        <v>225</v>
      </c>
      <c r="B226" s="2" t="inlineStr">
        <is>
          <t>USELESS_USDT_PERP</t>
        </is>
      </c>
      <c r="C226" s="2" t="inlineStr">
        <is>
          <t>做多</t>
        </is>
      </c>
      <c r="D226" s="7" t="n">
        <v>46280.54166666666</v>
      </c>
      <c r="E226" s="20" t="n">
        <v>0.20512</v>
      </c>
      <c r="F226" s="20" t="n">
        <v>0.2112736</v>
      </c>
      <c r="G226" s="20" t="n">
        <v>0.194864</v>
      </c>
      <c r="H226" s="7" t="n">
        <v>46280.875</v>
      </c>
      <c r="I226" s="20" t="n">
        <v>0.2112736</v>
      </c>
      <c r="J226" s="2" t="inlineStr">
        <is>
          <t>止盈</t>
        </is>
      </c>
      <c r="K226" s="5">
        <f>(H226-D226)*24</f>
        <v/>
      </c>
      <c r="L226" s="4">
        <f>IF(C226="做多",I226/E226-1,1-I226/E226)-2*參數!$B$7</f>
        <v/>
      </c>
      <c r="M226" s="2" t="inlineStr"/>
      <c r="N226" s="4" t="n">
        <v>0.03439233484619253</v>
      </c>
      <c r="O226" s="4" t="n">
        <v>0.03966172913084775</v>
      </c>
      <c r="P226" s="4" t="n">
        <v>0.007334507050899441</v>
      </c>
      <c r="Q226" s="22" t="n">
        <v>1093709</v>
      </c>
      <c r="R226" s="22" t="n">
        <v>1884084.0024</v>
      </c>
      <c r="S226" s="4" t="n">
        <v>0.03</v>
      </c>
      <c r="T226" s="4" t="n">
        <v>0.04051287051482055</v>
      </c>
      <c r="U226" s="19" t="n">
        <v>0.6198819809527375</v>
      </c>
      <c r="V226" s="19" t="n">
        <v>0.9092071611253179</v>
      </c>
      <c r="W226" s="4" t="n">
        <v>-0.06668905302518446</v>
      </c>
      <c r="X226" s="4" t="n">
        <v>0.001171417415072096</v>
      </c>
      <c r="Y226" s="4" t="n">
        <v>-0.001480964455565226</v>
      </c>
      <c r="Z226" s="4" t="n">
        <v>-0.009528629640421338</v>
      </c>
      <c r="AA226" s="4" t="n">
        <v>0.03</v>
      </c>
      <c r="AB226" s="4" t="n">
        <v>0.05</v>
      </c>
      <c r="AC226" s="4">
        <f>(AB226+2*參數!$B$7)/(AA226+AB226)</f>
        <v/>
      </c>
    </row>
    <row r="227">
      <c r="A227" s="2" t="n">
        <v>226</v>
      </c>
      <c r="B227" s="2" t="inlineStr">
        <is>
          <t>LSK_USDT_PERP</t>
        </is>
      </c>
      <c r="C227" s="2" t="inlineStr">
        <is>
          <t>做空</t>
        </is>
      </c>
      <c r="D227" s="7" t="n">
        <v>46280.75</v>
      </c>
      <c r="E227" s="20" t="n">
        <v>0.3894</v>
      </c>
      <c r="F227" s="20" t="n">
        <v>0.377718</v>
      </c>
      <c r="G227" s="20" t="n">
        <v>0.4088700000000001</v>
      </c>
      <c r="H227" s="7" t="n">
        <v>46280.79166666666</v>
      </c>
      <c r="I227" s="20" t="n">
        <v>0.377718</v>
      </c>
      <c r="J227" s="2" t="inlineStr">
        <is>
          <t>止盈</t>
        </is>
      </c>
      <c r="K227" s="5">
        <f>(H227-D227)*24</f>
        <v/>
      </c>
      <c r="L227" s="4">
        <f>IF(C227="做多",I227/E227-1,1-I227/E227)-2*參數!$B$7</f>
        <v/>
      </c>
      <c r="M227" s="2" t="inlineStr"/>
      <c r="N227" s="4" t="n">
        <v>-0.06953405017921133</v>
      </c>
      <c r="O227" s="4" t="n">
        <v>0.1762667332825261</v>
      </c>
      <c r="P227" s="4" t="n">
        <v>-0.03703245749613604</v>
      </c>
      <c r="Q227" s="22" t="n">
        <v>-6448703</v>
      </c>
      <c r="R227" s="22" t="n">
        <v>15364261.8638</v>
      </c>
      <c r="S227" s="4" t="n">
        <v>0.03</v>
      </c>
      <c r="T227" s="4" t="n">
        <v>0</v>
      </c>
      <c r="U227" s="19" t="n">
        <v>0.6187481295028492</v>
      </c>
      <c r="V227" s="19" t="n">
        <v>0.9039039039039029</v>
      </c>
      <c r="W227" s="4" t="n">
        <v>0.1875482484508335</v>
      </c>
      <c r="X227" s="4" t="n">
        <v>0.5558850364963503</v>
      </c>
      <c r="Y227" s="4" t="n">
        <v>0.0002338731472049105</v>
      </c>
      <c r="Z227" s="4" t="n">
        <v>0.01463131656237382</v>
      </c>
      <c r="AA227" s="4" t="n">
        <v>0.03</v>
      </c>
      <c r="AB227" s="4" t="n">
        <v>0.05</v>
      </c>
      <c r="AC227" s="4">
        <f>(AB227+2*參數!$B$7)/(AA227+AB227)</f>
        <v/>
      </c>
    </row>
    <row r="228">
      <c r="A228" s="2" t="n">
        <v>227</v>
      </c>
      <c r="B228" s="2" t="inlineStr">
        <is>
          <t>CAP_USDT_PERP</t>
        </is>
      </c>
      <c r="C228" s="2" t="inlineStr">
        <is>
          <t>做空</t>
        </is>
      </c>
      <c r="D228" s="7" t="n">
        <v>46280.79166666666</v>
      </c>
      <c r="E228" s="20" t="n">
        <v>0.06137</v>
      </c>
      <c r="F228" s="20" t="n">
        <v>0.0595289</v>
      </c>
      <c r="G228" s="20" t="n">
        <v>0.06443850000000001</v>
      </c>
      <c r="H228" s="7" t="n">
        <v>46280.875</v>
      </c>
      <c r="I228" s="20" t="n">
        <v>0.06443850000000001</v>
      </c>
      <c r="J228" s="2" t="inlineStr">
        <is>
          <t>止損</t>
        </is>
      </c>
      <c r="K228" s="5">
        <f>(H228-D228)*24</f>
        <v/>
      </c>
      <c r="L228" s="4">
        <f>IF(C228="做多",I228/E228-1,1-I228/E228)-2*參數!$B$7</f>
        <v/>
      </c>
      <c r="M228" s="2" t="inlineStr"/>
      <c r="N228" s="4" t="n">
        <v>-0.06219437652811732</v>
      </c>
      <c r="O228" s="4" t="n">
        <v>0.06406880016718004</v>
      </c>
      <c r="P228" s="4" t="n">
        <v>-0.00808947721450437</v>
      </c>
      <c r="Q228" s="22" t="n">
        <v>-2519277</v>
      </c>
      <c r="R228" s="22" t="n">
        <v>1798381.06354</v>
      </c>
      <c r="S228" s="4" t="n">
        <v>0.002770083102493159</v>
      </c>
      <c r="T228" s="4" t="n">
        <v>0.05</v>
      </c>
      <c r="U228" s="19" t="n">
        <v>0.7600169040732216</v>
      </c>
      <c r="V228" s="19" t="n">
        <v>0.9199218749999999</v>
      </c>
      <c r="W228" s="4" t="n">
        <v>-0.2375478927203067</v>
      </c>
      <c r="X228" s="4" t="n">
        <v>-0.1192777676454497</v>
      </c>
      <c r="Y228" s="4" t="n">
        <v>-0.0009980921883692151</v>
      </c>
      <c r="Z228" s="4" t="n">
        <v>0.01272818698479727</v>
      </c>
      <c r="AA228" s="4" t="n">
        <v>0.03</v>
      </c>
      <c r="AB228" s="4" t="n">
        <v>0.05</v>
      </c>
      <c r="AC228" s="4">
        <f>(AB228+2*參數!$B$7)/(AA228+AB228)</f>
        <v/>
      </c>
    </row>
    <row r="229">
      <c r="A229" s="2" t="n">
        <v>228</v>
      </c>
      <c r="B229" s="2" t="inlineStr">
        <is>
          <t>牛来_USDT_PERP</t>
        </is>
      </c>
      <c r="C229" s="2" t="inlineStr">
        <is>
          <t>做空</t>
        </is>
      </c>
      <c r="D229" s="7" t="n">
        <v>46280.91666666666</v>
      </c>
      <c r="E229" s="20" t="n">
        <v>0.11513</v>
      </c>
      <c r="F229" s="20" t="n">
        <v>0.1116761</v>
      </c>
      <c r="G229" s="20" t="n">
        <v>0.1208865</v>
      </c>
      <c r="H229" s="7" t="n">
        <v>46280.95833333334</v>
      </c>
      <c r="I229" s="20" t="n">
        <v>0.1116761</v>
      </c>
      <c r="J229" s="2" t="inlineStr">
        <is>
          <t>止盈</t>
        </is>
      </c>
      <c r="K229" s="5">
        <f>(H229-D229)*24</f>
        <v/>
      </c>
      <c r="L229" s="4">
        <f>IF(C229="做多",I229/E229-1,1-I229/E229)-2*參數!$B$7</f>
        <v/>
      </c>
      <c r="M229" s="2" t="inlineStr"/>
      <c r="N229" s="4" t="n">
        <v>-0.02283143778645391</v>
      </c>
      <c r="O229" s="4" t="n">
        <v>0.04590811279218091</v>
      </c>
      <c r="P229" s="4" t="n">
        <v>-0.001651917915721945</v>
      </c>
      <c r="Q229" s="22" t="n">
        <v>-13335483</v>
      </c>
      <c r="R229" s="22" t="n">
        <v>3947406.29375</v>
      </c>
      <c r="S229" s="4" t="n">
        <v>0.03</v>
      </c>
      <c r="T229" s="4" t="n">
        <v>0</v>
      </c>
      <c r="U229" s="19" t="n">
        <v>3.572201315293682</v>
      </c>
      <c r="V229" s="19" t="n">
        <v>0.5984251968503946</v>
      </c>
      <c r="W229" s="4" t="n">
        <v>0.08304667756741757</v>
      </c>
      <c r="X229" s="4" t="n">
        <v>-0.06326191355744371</v>
      </c>
      <c r="Y229" s="4" t="n">
        <v>0.004326499942148732</v>
      </c>
      <c r="Z229" s="4" t="n">
        <v>0.01466104750439268</v>
      </c>
      <c r="AA229" s="4" t="n">
        <v>0.03</v>
      </c>
      <c r="AB229" s="4" t="n">
        <v>0.05</v>
      </c>
      <c r="AC229" s="4">
        <f>(AB229+2*參數!$B$7)/(AA229+AB229)</f>
        <v/>
      </c>
    </row>
    <row r="230">
      <c r="A230" s="2" t="n">
        <v>229</v>
      </c>
      <c r="B230" s="2" t="inlineStr">
        <is>
          <t>LIT_USDT_PERP</t>
        </is>
      </c>
      <c r="C230" s="2" t="inlineStr">
        <is>
          <t>做空</t>
        </is>
      </c>
      <c r="D230" s="7" t="n">
        <v>46280.95833333334</v>
      </c>
      <c r="E230" s="20" t="n">
        <v>4.209</v>
      </c>
      <c r="F230" s="20" t="n">
        <v>4.08273</v>
      </c>
      <c r="G230" s="20" t="n">
        <v>4.419449999999999</v>
      </c>
      <c r="H230" s="7" t="n">
        <v>46281.04166666666</v>
      </c>
      <c r="I230" s="20" t="n">
        <v>4.08273</v>
      </c>
      <c r="J230" s="2" t="inlineStr">
        <is>
          <t>止盈</t>
        </is>
      </c>
      <c r="K230" s="5">
        <f>(H230-D230)*24</f>
        <v/>
      </c>
      <c r="L230" s="4">
        <f>IF(C230="做多",I230/E230-1,1-I230/E230)-2*參數!$B$7</f>
        <v/>
      </c>
      <c r="M230" s="2" t="inlineStr"/>
      <c r="N230" s="4" t="n">
        <v>-0.02839335180055402</v>
      </c>
      <c r="O230" s="4" t="n">
        <v>0.02178435996980033</v>
      </c>
      <c r="P230" s="4" t="n">
        <v>-0.04362644853442399</v>
      </c>
      <c r="Q230" s="22" t="n">
        <v>-382515.8999999999</v>
      </c>
      <c r="R230" s="22" t="n">
        <v>3309147.8667</v>
      </c>
      <c r="S230" s="4" t="n">
        <v>0.03</v>
      </c>
      <c r="T230" s="4" t="n">
        <v>0.0168686148728916</v>
      </c>
      <c r="U230" s="19" t="n">
        <v>3.199325144880385</v>
      </c>
      <c r="V230" s="19" t="n">
        <v>0.7540983606557391</v>
      </c>
      <c r="W230" s="4" t="n">
        <v>0.03331825165879287</v>
      </c>
      <c r="X230" s="4" t="n">
        <v>0.03860210141617193</v>
      </c>
      <c r="Y230" s="4" t="n">
        <v>0.008791137050601638</v>
      </c>
      <c r="Z230" s="4" t="n">
        <v>0.02126479226765776</v>
      </c>
      <c r="AA230" s="4" t="n">
        <v>0.03</v>
      </c>
      <c r="AB230" s="4" t="n">
        <v>0.05</v>
      </c>
      <c r="AC230" s="4">
        <f>(AB230+2*參數!$B$7)/(AA230+AB230)</f>
        <v/>
      </c>
    </row>
    <row r="231">
      <c r="A231" s="2" t="n">
        <v>230</v>
      </c>
      <c r="B231" s="2" t="inlineStr">
        <is>
          <t>PONS_USDT_PERP</t>
        </is>
      </c>
      <c r="C231" s="2" t="inlineStr">
        <is>
          <t>做空</t>
        </is>
      </c>
      <c r="D231" s="7" t="n">
        <v>46280.95833333334</v>
      </c>
      <c r="E231" s="20" t="n">
        <v>0.6319</v>
      </c>
      <c r="F231" s="20" t="n">
        <v>0.612943</v>
      </c>
      <c r="G231" s="20" t="n">
        <v>0.6634950000000001</v>
      </c>
      <c r="H231" s="7" t="n">
        <v>46281.04166666666</v>
      </c>
      <c r="I231" s="20" t="n">
        <v>0.6634950000000001</v>
      </c>
      <c r="J231" s="2" t="inlineStr">
        <is>
          <t>止損</t>
        </is>
      </c>
      <c r="K231" s="5">
        <f>(H231-D231)*24</f>
        <v/>
      </c>
      <c r="L231" s="4">
        <f>IF(C231="做多",I231/E231-1,1-I231/E231)-2*參數!$B$7</f>
        <v/>
      </c>
      <c r="M231" s="2" t="inlineStr"/>
      <c r="N231" s="4" t="n">
        <v>-0.03067955207853967</v>
      </c>
      <c r="O231" s="4" t="n">
        <v>0.04561528399298138</v>
      </c>
      <c r="P231" s="4" t="n">
        <v>-0.001777180996011096</v>
      </c>
      <c r="Q231" s="22" t="n">
        <v>-188505</v>
      </c>
      <c r="R231" s="22" t="n">
        <v>3708159.2401</v>
      </c>
      <c r="S231" s="4" t="n">
        <v>0.008229150181990774</v>
      </c>
      <c r="T231" s="4" t="n">
        <v>0.05</v>
      </c>
      <c r="U231" s="19" t="n">
        <v>2.135001569503176</v>
      </c>
      <c r="V231" s="19" t="n">
        <v>0.6008869179600886</v>
      </c>
      <c r="W231" s="4" t="n">
        <v>-0.06019576458587106</v>
      </c>
      <c r="X231" s="4" t="n">
        <v>-0.09061097687262687</v>
      </c>
      <c r="Y231" s="4" t="n">
        <v>0.008791137050601638</v>
      </c>
      <c r="Z231" s="4" t="n">
        <v>0.02126479226765776</v>
      </c>
      <c r="AA231" s="4" t="n">
        <v>0.03</v>
      </c>
      <c r="AB231" s="4" t="n">
        <v>0.05</v>
      </c>
      <c r="AC231" s="4">
        <f>(AB231+2*參數!$B$7)/(AA231+AB231)</f>
        <v/>
      </c>
    </row>
    <row r="232">
      <c r="A232" s="2" t="n">
        <v>231</v>
      </c>
      <c r="B232" s="2" t="inlineStr">
        <is>
          <t>UNI_USDT_PERP</t>
        </is>
      </c>
      <c r="C232" s="2" t="inlineStr">
        <is>
          <t>做空</t>
        </is>
      </c>
      <c r="D232" s="7" t="n">
        <v>46280.95833333334</v>
      </c>
      <c r="E232" s="20" t="n">
        <v>6.252</v>
      </c>
      <c r="F232" s="20" t="n">
        <v>6.064439999999999</v>
      </c>
      <c r="G232" s="20" t="n">
        <v>6.5646</v>
      </c>
      <c r="H232" s="7" t="n">
        <v>46281.08333333334</v>
      </c>
      <c r="I232" s="20" t="n">
        <v>6.5646</v>
      </c>
      <c r="J232" s="2" t="inlineStr">
        <is>
          <t>止損</t>
        </is>
      </c>
      <c r="K232" s="5">
        <f>(H232-D232)*24</f>
        <v/>
      </c>
      <c r="L232" s="4">
        <f>IF(C232="做多",I232/E232-1,1-I232/E232)-2*參數!$B$7</f>
        <v/>
      </c>
      <c r="M232" s="2" t="inlineStr"/>
      <c r="N232" s="4" t="n">
        <v>-0.0366718027734978</v>
      </c>
      <c r="O232" s="4" t="n">
        <v>0.02461742264159466</v>
      </c>
      <c r="P232" s="4" t="n">
        <v>-0.05409596719897736</v>
      </c>
      <c r="Q232" s="22" t="n">
        <v>-51002</v>
      </c>
      <c r="R232" s="22" t="n">
        <v>4383325.914</v>
      </c>
      <c r="S232" s="4" t="n">
        <v>0.00175943698016634</v>
      </c>
      <c r="T232" s="4" t="n">
        <v>0.05</v>
      </c>
      <c r="U232" s="19" t="n">
        <v>2.137314918319816</v>
      </c>
      <c r="V232" s="19" t="n">
        <v>0.7471590909090918</v>
      </c>
      <c r="W232" s="4" t="n">
        <v>0.0144801430044168</v>
      </c>
      <c r="X232" s="4" t="n">
        <v>0.0138801261829653</v>
      </c>
      <c r="Y232" s="4" t="n">
        <v>0.008791137050601638</v>
      </c>
      <c r="Z232" s="4" t="n">
        <v>0.02126479226765776</v>
      </c>
      <c r="AA232" s="4" t="n">
        <v>0.03</v>
      </c>
      <c r="AB232" s="4" t="n">
        <v>0.05</v>
      </c>
      <c r="AC232" s="4">
        <f>(AB232+2*參數!$B$7)/(AA232+AB232)</f>
        <v/>
      </c>
    </row>
    <row r="233">
      <c r="A233" s="2" t="n">
        <v>232</v>
      </c>
      <c r="B233" s="2" t="inlineStr">
        <is>
          <t>POWER_USDT_PERP</t>
        </is>
      </c>
      <c r="C233" s="2" t="inlineStr">
        <is>
          <t>做多</t>
        </is>
      </c>
      <c r="D233" s="7" t="n">
        <v>46281</v>
      </c>
      <c r="E233" s="20" t="n">
        <v>0.17359</v>
      </c>
      <c r="F233" s="20" t="n">
        <v>0.1787977</v>
      </c>
      <c r="G233" s="20" t="n">
        <v>0.1649105</v>
      </c>
      <c r="H233" s="7" t="n">
        <v>46281.04166666666</v>
      </c>
      <c r="I233" s="20" t="n">
        <v>0.1787977</v>
      </c>
      <c r="J233" s="2" t="inlineStr">
        <is>
          <t>止盈</t>
        </is>
      </c>
      <c r="K233" s="5">
        <f>(H233-D233)*24</f>
        <v/>
      </c>
      <c r="L233" s="4">
        <f>IF(C233="做多",I233/E233-1,1-I233/E233)-2*參數!$B$7</f>
        <v/>
      </c>
      <c r="M233" s="2" t="inlineStr"/>
      <c r="N233" s="4" t="n">
        <v>0.0461640450792502</v>
      </c>
      <c r="O233" s="4" t="n">
        <v>0.09756599377526332</v>
      </c>
      <c r="P233" s="4" t="n">
        <v>0.05763079491381906</v>
      </c>
      <c r="Q233" s="22" t="n">
        <v>1254089</v>
      </c>
      <c r="R233" s="22" t="n">
        <v>3359749.00031</v>
      </c>
      <c r="S233" s="4" t="n">
        <v>0.03</v>
      </c>
      <c r="T233" s="4" t="n">
        <v>0</v>
      </c>
      <c r="U233" s="19" t="n">
        <v>0.4716771758509334</v>
      </c>
      <c r="V233" s="19" t="n">
        <v>0.811552346570397</v>
      </c>
      <c r="W233" s="4" t="n">
        <v>0.4956957496874455</v>
      </c>
      <c r="X233" s="4" t="n">
        <v>0.3775890802317274</v>
      </c>
      <c r="Y233" s="4" t="n">
        <v>0.007424073176386381</v>
      </c>
      <c r="Z233" s="4" t="n">
        <v>-0.01242991635351587</v>
      </c>
      <c r="AA233" s="4" t="n">
        <v>0.03</v>
      </c>
      <c r="AB233" s="4" t="n">
        <v>0.05</v>
      </c>
      <c r="AC233" s="4">
        <f>(AB233+2*參數!$B$7)/(AA233+AB233)</f>
        <v/>
      </c>
    </row>
    <row r="234">
      <c r="A234" s="2" t="n">
        <v>233</v>
      </c>
      <c r="B234" s="2" t="inlineStr">
        <is>
          <t>USELESS_USDT_PERP</t>
        </is>
      </c>
      <c r="C234" s="2" t="inlineStr">
        <is>
          <t>做多</t>
        </is>
      </c>
      <c r="D234" s="7" t="n">
        <v>46281.04166666666</v>
      </c>
      <c r="E234" s="20" t="n">
        <v>0.21036</v>
      </c>
      <c r="F234" s="20" t="n">
        <v>0.2166708</v>
      </c>
      <c r="G234" s="20" t="n">
        <v>0.199842</v>
      </c>
      <c r="H234" s="7" t="n">
        <v>46281.08333333334</v>
      </c>
      <c r="I234" s="20" t="n">
        <v>0.2166708</v>
      </c>
      <c r="J234" s="2" t="inlineStr">
        <is>
          <t>止盈</t>
        </is>
      </c>
      <c r="K234" s="5">
        <f>(H234-D234)*24</f>
        <v/>
      </c>
      <c r="L234" s="4">
        <f>IF(C234="做多",I234/E234-1,1-I234/E234)-2*參數!$B$7</f>
        <v/>
      </c>
      <c r="M234" s="2" t="inlineStr"/>
      <c r="N234" s="4" t="n">
        <v>0.02956147220046978</v>
      </c>
      <c r="O234" s="4" t="n">
        <v>0.03850196518775723</v>
      </c>
      <c r="P234" s="4" t="n">
        <v>0.0352693368636301</v>
      </c>
      <c r="Q234" s="22" t="n">
        <v>295930</v>
      </c>
      <c r="R234" s="22" t="n">
        <v>1737965.62072</v>
      </c>
      <c r="S234" s="4" t="n">
        <v>0.03</v>
      </c>
      <c r="T234" s="4" t="n">
        <v>0</v>
      </c>
      <c r="U234" s="19" t="n">
        <v>1.905555903024474</v>
      </c>
      <c r="V234" s="19" t="n">
        <v>0.8135764944275572</v>
      </c>
      <c r="W234" s="4" t="n">
        <v>-0.0330703188992556</v>
      </c>
      <c r="X234" s="4" t="n">
        <v>0.05237880834458952</v>
      </c>
      <c r="Y234" s="4" t="n">
        <v>-0.001654053149369505</v>
      </c>
      <c r="Z234" s="4" t="n">
        <v>-0.01233317454819816</v>
      </c>
      <c r="AA234" s="4" t="n">
        <v>0.03</v>
      </c>
      <c r="AB234" s="4" t="n">
        <v>0.05</v>
      </c>
      <c r="AC234" s="4">
        <f>(AB234+2*參數!$B$7)/(AA234+AB234)</f>
        <v/>
      </c>
    </row>
    <row r="235">
      <c r="A235" s="2" t="n">
        <v>234</v>
      </c>
      <c r="B235" s="2" t="inlineStr">
        <is>
          <t>XRP_USDT_PERP</t>
        </is>
      </c>
      <c r="C235" s="2" t="inlineStr">
        <is>
          <t>做空</t>
        </is>
      </c>
      <c r="D235" s="7" t="n">
        <v>46281.125</v>
      </c>
      <c r="E235" s="20" t="n">
        <v>1.3237</v>
      </c>
      <c r="F235" s="20" t="n">
        <v>1.283989</v>
      </c>
      <c r="G235" s="20" t="n">
        <v>1.389885</v>
      </c>
      <c r="H235" s="7" t="n">
        <v>46281.20833333334</v>
      </c>
      <c r="I235" s="20" t="n">
        <v>1.283989</v>
      </c>
      <c r="J235" s="2" t="inlineStr">
        <is>
          <t>止盈</t>
        </is>
      </c>
      <c r="K235" s="5">
        <f>(H235-D235)*24</f>
        <v/>
      </c>
      <c r="L235" s="4">
        <f>IF(C235="做多",I235/E235-1,1-I235/E235)-2*參數!$B$7</f>
        <v/>
      </c>
      <c r="M235" s="2" t="inlineStr"/>
      <c r="N235" s="4" t="n">
        <v>-0.05746226146397038</v>
      </c>
      <c r="O235" s="4" t="n">
        <v>0.02033970493521694</v>
      </c>
      <c r="P235" s="4" t="n">
        <v>-0.05560628977483517</v>
      </c>
      <c r="Q235" s="22" t="n">
        <v>-8152403</v>
      </c>
      <c r="R235" s="22" t="n">
        <v>32885063.0137</v>
      </c>
      <c r="S235" s="4" t="n">
        <v>0.03</v>
      </c>
      <c r="T235" s="4" t="n">
        <v>0.004003928382563915</v>
      </c>
      <c r="U235" s="19" t="n">
        <v>7.440720345189181</v>
      </c>
      <c r="V235" s="19" t="n">
        <v>0.7048346055979633</v>
      </c>
      <c r="W235" s="4" t="n">
        <v>0.03940284340241662</v>
      </c>
      <c r="X235" s="4" t="n">
        <v>0.1036700975081255</v>
      </c>
      <c r="Y235" s="4" t="n">
        <v>0.01286737466040988</v>
      </c>
      <c r="Z235" s="4" t="n">
        <v>0.01486534212469592</v>
      </c>
      <c r="AA235" s="4" t="n">
        <v>0.03</v>
      </c>
      <c r="AB235" s="4" t="n">
        <v>0.05</v>
      </c>
      <c r="AC235" s="4">
        <f>(AB235+2*參數!$B$7)/(AA235+AB235)</f>
        <v/>
      </c>
    </row>
    <row r="236">
      <c r="A236" s="2" t="n">
        <v>235</v>
      </c>
      <c r="B236" s="2" t="inlineStr">
        <is>
          <t>LIT_USDT_PERP</t>
        </is>
      </c>
      <c r="C236" s="2" t="inlineStr">
        <is>
          <t>做空</t>
        </is>
      </c>
      <c r="D236" s="7" t="n">
        <v>46281.16666666666</v>
      </c>
      <c r="E236" s="20" t="n">
        <v>4.163</v>
      </c>
      <c r="F236" s="20" t="n">
        <v>4.038110000000001</v>
      </c>
      <c r="G236" s="20" t="n">
        <v>4.37115</v>
      </c>
      <c r="H236" s="7" t="n">
        <v>46281.20833333334</v>
      </c>
      <c r="I236" s="20" t="n">
        <v>4.038110000000001</v>
      </c>
      <c r="J236" s="2" t="inlineStr">
        <is>
          <t>止盈</t>
        </is>
      </c>
      <c r="K236" s="5">
        <f>(H236-D236)*24</f>
        <v/>
      </c>
      <c r="L236" s="4">
        <f>IF(C236="做多",I236/E236-1,1-I236/E236)-2*參數!$B$7</f>
        <v/>
      </c>
      <c r="M236" s="2" t="inlineStr"/>
      <c r="N236" s="4" t="n">
        <v>-0.02688172043010739</v>
      </c>
      <c r="O236" s="4" t="n">
        <v>0.0268959332342488</v>
      </c>
      <c r="P236" s="4" t="n">
        <v>-0.03756791122413583</v>
      </c>
      <c r="Q236" s="22" t="n">
        <v>-243584.8999999997</v>
      </c>
      <c r="R236" s="22" t="n">
        <v>3360436.3019</v>
      </c>
      <c r="S236" s="4" t="n">
        <v>0.03</v>
      </c>
      <c r="T236" s="4" t="n">
        <v>0</v>
      </c>
      <c r="U236" s="19" t="n">
        <v>1.195482518921788</v>
      </c>
      <c r="V236" s="19" t="n">
        <v>0.8352272727272725</v>
      </c>
      <c r="W236" s="4" t="n">
        <v>0.03808606160593186</v>
      </c>
      <c r="X236" s="4" t="n">
        <v>0.08263552225650062</v>
      </c>
      <c r="Y236" s="4" t="n">
        <v>-0.002749499282996837</v>
      </c>
      <c r="Z236" s="4" t="n">
        <v>0.01086973111273415</v>
      </c>
      <c r="AA236" s="4" t="n">
        <v>0.03</v>
      </c>
      <c r="AB236" s="4" t="n">
        <v>0.05</v>
      </c>
      <c r="AC236" s="4">
        <f>(AB236+2*參數!$B$7)/(AA236+AB236)</f>
        <v/>
      </c>
    </row>
    <row r="237">
      <c r="A237" s="2" t="n">
        <v>236</v>
      </c>
      <c r="B237" s="2" t="inlineStr">
        <is>
          <t>SKYAI_USDT_PERP</t>
        </is>
      </c>
      <c r="C237" s="2" t="inlineStr">
        <is>
          <t>做空</t>
        </is>
      </c>
      <c r="D237" s="7" t="n">
        <v>46281.20833333334</v>
      </c>
      <c r="E237" s="20" t="n">
        <v>0.05174</v>
      </c>
      <c r="F237" s="20" t="n">
        <v>0.0501878</v>
      </c>
      <c r="G237" s="20" t="n">
        <v>0.054327</v>
      </c>
      <c r="H237" s="7" t="n">
        <v>46281.70833333334</v>
      </c>
      <c r="I237" s="20" t="n">
        <v>0.054327</v>
      </c>
      <c r="J237" s="2" t="inlineStr">
        <is>
          <t>止損</t>
        </is>
      </c>
      <c r="K237" s="5">
        <f>(H237-D237)*24</f>
        <v/>
      </c>
      <c r="L237" s="4">
        <f>IF(C237="做多",I237/E237-1,1-I237/E237)-2*參數!$B$7</f>
        <v/>
      </c>
      <c r="M237" s="2" t="inlineStr"/>
      <c r="N237" s="4" t="n">
        <v>-0.02192816635160688</v>
      </c>
      <c r="O237" s="4" t="n">
        <v>0.02133811929437566</v>
      </c>
      <c r="P237" s="4" t="n">
        <v>-0.005745690731951081</v>
      </c>
      <c r="Q237" s="22" t="n">
        <v>-2201927</v>
      </c>
      <c r="R237" s="22" t="n">
        <v>1761581.08637</v>
      </c>
      <c r="S237" s="4" t="n">
        <v>0.009277155005798288</v>
      </c>
      <c r="T237" s="4" t="n">
        <v>0.05</v>
      </c>
      <c r="U237" s="19" t="n">
        <v>0.8701492201962129</v>
      </c>
      <c r="V237" s="19" t="n">
        <v>0.8219178082191763</v>
      </c>
      <c r="W237" s="4" t="n">
        <v>-0.01404453642838366</v>
      </c>
      <c r="X237" s="4" t="n">
        <v>0.00995024875621886</v>
      </c>
      <c r="Y237" s="4" t="n">
        <v>0.003281685202475515</v>
      </c>
      <c r="Z237" s="4" t="n">
        <v>0.01281519354154825</v>
      </c>
      <c r="AA237" s="4" t="n">
        <v>0.03</v>
      </c>
      <c r="AB237" s="4" t="n">
        <v>0.05</v>
      </c>
      <c r="AC237" s="4">
        <f>(AB237+2*參數!$B$7)/(AA237+AB237)</f>
        <v/>
      </c>
    </row>
    <row r="238">
      <c r="A238" s="2" t="n">
        <v>237</v>
      </c>
      <c r="B238" s="2" t="inlineStr">
        <is>
          <t>USELESS_USDT_PERP</t>
        </is>
      </c>
      <c r="C238" s="2" t="inlineStr">
        <is>
          <t>做多</t>
        </is>
      </c>
      <c r="D238" s="7" t="n">
        <v>46281.375</v>
      </c>
      <c r="E238" s="20" t="n">
        <v>0.22015</v>
      </c>
      <c r="F238" s="20" t="n">
        <v>0.2267545</v>
      </c>
      <c r="G238" s="20" t="n">
        <v>0.2091425</v>
      </c>
      <c r="H238" s="7" t="n">
        <v>46281.54166666666</v>
      </c>
      <c r="I238" s="20" t="n">
        <v>0.2267545</v>
      </c>
      <c r="J238" s="2" t="inlineStr">
        <is>
          <t>止盈</t>
        </is>
      </c>
      <c r="K238" s="5">
        <f>(H238-D238)*24</f>
        <v/>
      </c>
      <c r="L238" s="4">
        <f>IF(C238="做多",I238/E238-1,1-I238/E238)-2*參數!$B$7</f>
        <v/>
      </c>
      <c r="M238" s="2" t="inlineStr"/>
      <c r="N238" s="4" t="n">
        <v>0.02300185873605942</v>
      </c>
      <c r="O238" s="4" t="n">
        <v>0.03832443989767427</v>
      </c>
      <c r="P238" s="4" t="n">
        <v>0.05289336435658254</v>
      </c>
      <c r="Q238" s="22" t="n">
        <v>581393</v>
      </c>
      <c r="R238" s="22" t="n">
        <v>1734895.76827</v>
      </c>
      <c r="S238" s="4" t="n">
        <v>0.03</v>
      </c>
      <c r="T238" s="4" t="n">
        <v>0.02243924596865776</v>
      </c>
      <c r="U238" s="19" t="n">
        <v>0.7511306159793725</v>
      </c>
      <c r="V238" s="19" t="n">
        <v>0.7533632286995539</v>
      </c>
      <c r="W238" s="4" t="n">
        <v>0.01927619583807516</v>
      </c>
      <c r="X238" s="4" t="n">
        <v>0.104505318081477</v>
      </c>
      <c r="Y238" s="4" t="n">
        <v>0.0017738118701216</v>
      </c>
      <c r="Z238" s="4" t="n">
        <v>-0.00944981787029231</v>
      </c>
      <c r="AA238" s="4" t="n">
        <v>0.03</v>
      </c>
      <c r="AB238" s="4" t="n">
        <v>0.05</v>
      </c>
      <c r="AC238" s="4">
        <f>(AB238+2*參數!$B$7)/(AA238+AB238)</f>
        <v/>
      </c>
    </row>
    <row r="239">
      <c r="A239" s="2" t="n">
        <v>238</v>
      </c>
      <c r="B239" s="2" t="inlineStr">
        <is>
          <t>PONS_USDT_PERP</t>
        </is>
      </c>
      <c r="C239" s="2" t="inlineStr">
        <is>
          <t>做空</t>
        </is>
      </c>
      <c r="D239" s="7" t="n">
        <v>46281.41666666666</v>
      </c>
      <c r="E239" s="20" t="n">
        <v>0.6093</v>
      </c>
      <c r="F239" s="20" t="n">
        <v>0.5910209999999999</v>
      </c>
      <c r="G239" s="20" t="n">
        <v>0.639765</v>
      </c>
      <c r="H239" s="7" t="n">
        <v>46281.5</v>
      </c>
      <c r="I239" s="20" t="n">
        <v>0.5910209999999999</v>
      </c>
      <c r="J239" s="2" t="inlineStr">
        <is>
          <t>止盈</t>
        </is>
      </c>
      <c r="K239" s="5">
        <f>(H239-D239)*24</f>
        <v/>
      </c>
      <c r="L239" s="4">
        <f>IF(C239="做多",I239/E239-1,1-I239/E239)-2*參數!$B$7</f>
        <v/>
      </c>
      <c r="M239" s="2" t="inlineStr"/>
      <c r="N239" s="4" t="n">
        <v>-0.0371365360303415</v>
      </c>
      <c r="O239" s="4" t="n">
        <v>0.04503466628165607</v>
      </c>
      <c r="P239" s="4" t="n">
        <v>-0.04653109767070673</v>
      </c>
      <c r="Q239" s="22" t="n">
        <v>-522329</v>
      </c>
      <c r="R239" s="22" t="n">
        <v>3799658.9706</v>
      </c>
      <c r="S239" s="4" t="n">
        <v>0.03</v>
      </c>
      <c r="T239" s="4" t="n">
        <v>0.008042015427539795</v>
      </c>
      <c r="U239" s="19" t="n">
        <v>0.4664810909990809</v>
      </c>
      <c r="V239" s="19" t="n">
        <v>0.9928571428571437</v>
      </c>
      <c r="W239" s="4" t="n">
        <v>-0.01623507670548352</v>
      </c>
      <c r="X239" s="4" t="n">
        <v>0.02433947157726202</v>
      </c>
      <c r="Y239" s="4" t="n">
        <v>0.003551905352945806</v>
      </c>
      <c r="Z239" s="4" t="n">
        <v>0.01159420365782837</v>
      </c>
      <c r="AA239" s="4" t="n">
        <v>0.03</v>
      </c>
      <c r="AB239" s="4" t="n">
        <v>0.05</v>
      </c>
      <c r="AC239" s="4">
        <f>(AB239+2*參數!$B$7)/(AA239+AB239)</f>
        <v/>
      </c>
    </row>
    <row r="240">
      <c r="A240" s="2" t="n">
        <v>239</v>
      </c>
      <c r="B240" s="2" t="inlineStr">
        <is>
          <t>PUMP_USDT_PERP</t>
        </is>
      </c>
      <c r="C240" s="2" t="inlineStr">
        <is>
          <t>做空</t>
        </is>
      </c>
      <c r="D240" s="7" t="n">
        <v>46281.41666666666</v>
      </c>
      <c r="E240" s="20" t="n">
        <v>0.003404</v>
      </c>
      <c r="F240" s="20" t="n">
        <v>0.00330188</v>
      </c>
      <c r="G240" s="20" t="n">
        <v>0.0035742</v>
      </c>
      <c r="H240" s="7" t="n">
        <v>46281.75</v>
      </c>
      <c r="I240" s="20" t="n">
        <v>0.0035742</v>
      </c>
      <c r="J240" s="2" t="inlineStr">
        <is>
          <t>止損</t>
        </is>
      </c>
      <c r="K240" s="5">
        <f>(H240-D240)*24</f>
        <v/>
      </c>
      <c r="L240" s="4">
        <f>IF(C240="做多",I240/E240-1,1-I240/E240)-2*參數!$B$7</f>
        <v/>
      </c>
      <c r="M240" s="2" t="inlineStr"/>
      <c r="N240" s="4" t="n">
        <v>-0.02992305500142489</v>
      </c>
      <c r="O240" s="4" t="n">
        <v>0.02274208945814131</v>
      </c>
      <c r="P240" s="4" t="n">
        <v>-0.04368591094254815</v>
      </c>
      <c r="Q240" s="22" t="n">
        <v>-20457617</v>
      </c>
      <c r="R240" s="22" t="n">
        <v>2582208.096545</v>
      </c>
      <c r="S240" s="4" t="n">
        <v>0.001175088131609936</v>
      </c>
      <c r="T240" s="4" t="n">
        <v>0.05</v>
      </c>
      <c r="U240" s="19" t="n">
        <v>1.872317074448306</v>
      </c>
      <c r="V240" s="19" t="n">
        <v>0.9444444444444441</v>
      </c>
      <c r="W240" s="4" t="n">
        <v>0.06490966379052221</v>
      </c>
      <c r="X240" s="4" t="n">
        <v>0.08519215264713786</v>
      </c>
      <c r="Y240" s="4" t="n">
        <v>0.003551905352945806</v>
      </c>
      <c r="Z240" s="4" t="n">
        <v>0.01159420365782837</v>
      </c>
      <c r="AA240" s="4" t="n">
        <v>0.03</v>
      </c>
      <c r="AB240" s="4" t="n">
        <v>0.05</v>
      </c>
      <c r="AC240" s="4">
        <f>(AB240+2*參數!$B$7)/(AA240+AB240)</f>
        <v/>
      </c>
    </row>
    <row r="241">
      <c r="A241" s="2" t="n">
        <v>240</v>
      </c>
      <c r="B241" s="2" t="inlineStr">
        <is>
          <t>UNI_USDT_PERP</t>
        </is>
      </c>
      <c r="C241" s="2" t="inlineStr">
        <is>
          <t>做空</t>
        </is>
      </c>
      <c r="D241" s="7" t="n">
        <v>46281.41666666666</v>
      </c>
      <c r="E241" s="20" t="n">
        <v>6.241</v>
      </c>
      <c r="F241" s="20" t="n">
        <v>6.053769999999999</v>
      </c>
      <c r="G241" s="20" t="n">
        <v>6.55305</v>
      </c>
      <c r="H241" s="7" t="n">
        <v>46281.95833333334</v>
      </c>
      <c r="I241" s="20" t="n">
        <v>6.053769999999999</v>
      </c>
      <c r="J241" s="2" t="inlineStr">
        <is>
          <t>止盈</t>
        </is>
      </c>
      <c r="K241" s="5">
        <f>(H241-D241)*24</f>
        <v/>
      </c>
      <c r="L241" s="4">
        <f>IF(C241="做多",I241/E241-1,1-I241/E241)-2*參數!$B$7</f>
        <v/>
      </c>
      <c r="M241" s="2" t="inlineStr"/>
      <c r="N241" s="4" t="n">
        <v>-0.02270591919824627</v>
      </c>
      <c r="O241" s="4" t="n">
        <v>0.02422523056142968</v>
      </c>
      <c r="P241" s="4" t="n">
        <v>-0.03365410669907953</v>
      </c>
      <c r="Q241" s="22" t="n">
        <v>-8309</v>
      </c>
      <c r="R241" s="22" t="n">
        <v>4628640.403</v>
      </c>
      <c r="S241" s="4" t="n">
        <v>0.03</v>
      </c>
      <c r="T241" s="4" t="n">
        <v>0.03573145329274174</v>
      </c>
      <c r="U241" s="19" t="n">
        <v>0.7170819771843435</v>
      </c>
      <c r="V241" s="19" t="n">
        <v>0.9337016574585659</v>
      </c>
      <c r="W241" s="4" t="n">
        <v>0.01983726251745244</v>
      </c>
      <c r="X241" s="4" t="n">
        <v>0.06445810223354831</v>
      </c>
      <c r="Y241" s="4" t="n">
        <v>0.003551905352945806</v>
      </c>
      <c r="Z241" s="4" t="n">
        <v>0.01159420365782837</v>
      </c>
      <c r="AA241" s="4" t="n">
        <v>0.03</v>
      </c>
      <c r="AB241" s="4" t="n">
        <v>0.05</v>
      </c>
      <c r="AC241" s="4">
        <f>(AB241+2*參數!$B$7)/(AA241+AB241)</f>
        <v/>
      </c>
    </row>
    <row r="242">
      <c r="A242" s="2" t="n">
        <v>241</v>
      </c>
      <c r="B242" s="2" t="inlineStr">
        <is>
          <t>牛来_USDT_PERP</t>
        </is>
      </c>
      <c r="C242" s="2" t="inlineStr">
        <is>
          <t>做空</t>
        </is>
      </c>
      <c r="D242" s="7" t="n">
        <v>46281.41666666666</v>
      </c>
      <c r="E242" s="20" t="n">
        <v>0.11407</v>
      </c>
      <c r="F242" s="20" t="n">
        <v>0.1106479</v>
      </c>
      <c r="G242" s="20" t="n">
        <v>0.1197735</v>
      </c>
      <c r="H242" s="7" t="n">
        <v>46281.70833333334</v>
      </c>
      <c r="I242" s="20" t="n">
        <v>0.1106479</v>
      </c>
      <c r="J242" s="2" t="inlineStr">
        <is>
          <t>止盈</t>
        </is>
      </c>
      <c r="K242" s="5">
        <f>(H242-D242)*24</f>
        <v/>
      </c>
      <c r="L242" s="4">
        <f>IF(C242="做多",I242/E242-1,1-I242/E242)-2*參數!$B$7</f>
        <v/>
      </c>
      <c r="M242" s="2" t="inlineStr"/>
      <c r="N242" s="4" t="n">
        <v>-0.02245265232667748</v>
      </c>
      <c r="O242" s="4" t="n">
        <v>0.04160649993392866</v>
      </c>
      <c r="P242" s="4" t="n">
        <v>-0.007011939012234847</v>
      </c>
      <c r="Q242" s="22" t="n">
        <v>-6985142</v>
      </c>
      <c r="R242" s="22" t="n">
        <v>2887294.37661</v>
      </c>
      <c r="S242" s="4" t="n">
        <v>0.03</v>
      </c>
      <c r="T242" s="4" t="n">
        <v>0.01981239589725603</v>
      </c>
      <c r="U242" s="19" t="n">
        <v>0.7082025381006778</v>
      </c>
      <c r="V242" s="19" t="n">
        <v>0.8578553615960097</v>
      </c>
      <c r="W242" s="4" t="n">
        <v>0.07673455248295025</v>
      </c>
      <c r="X242" s="4" t="n">
        <v>0.04479986601909225</v>
      </c>
      <c r="Y242" s="4" t="n">
        <v>0.003551905352945806</v>
      </c>
      <c r="Z242" s="4" t="n">
        <v>0.01159420365782837</v>
      </c>
      <c r="AA242" s="4" t="n">
        <v>0.03</v>
      </c>
      <c r="AB242" s="4" t="n">
        <v>0.05</v>
      </c>
      <c r="AC242" s="4">
        <f>(AB242+2*參數!$B$7)/(AA242+AB242)</f>
        <v/>
      </c>
    </row>
    <row r="243">
      <c r="A243" s="2" t="n">
        <v>242</v>
      </c>
      <c r="B243" s="2" t="inlineStr">
        <is>
          <t>POWER_USDT_PERP</t>
        </is>
      </c>
      <c r="C243" s="2" t="inlineStr">
        <is>
          <t>做空</t>
        </is>
      </c>
      <c r="D243" s="7" t="n">
        <v>46281.45833333334</v>
      </c>
      <c r="E243" s="20" t="n">
        <v>0.16882</v>
      </c>
      <c r="F243" s="20" t="n">
        <v>0.1637554</v>
      </c>
      <c r="G243" s="20" t="n">
        <v>0.177261</v>
      </c>
      <c r="H243" s="7" t="n">
        <v>46281.5</v>
      </c>
      <c r="I243" s="20" t="n">
        <v>0.1637554</v>
      </c>
      <c r="J243" s="2" t="inlineStr">
        <is>
          <t>止盈</t>
        </is>
      </c>
      <c r="K243" s="5">
        <f>(H243-D243)*24</f>
        <v/>
      </c>
      <c r="L243" s="4">
        <f>IF(C243="做多",I243/E243-1,1-I243/E243)-2*參數!$B$7</f>
        <v/>
      </c>
      <c r="M243" s="2" t="inlineStr"/>
      <c r="N243" s="4" t="n">
        <v>-0.0370750627424139</v>
      </c>
      <c r="O243" s="4" t="n">
        <v>0.09180900110238342</v>
      </c>
      <c r="P243" s="4" t="n">
        <v>-0.03601661646514698</v>
      </c>
      <c r="Q243" s="22" t="n">
        <v>-5918706</v>
      </c>
      <c r="R243" s="22" t="n">
        <v>4059428.69729</v>
      </c>
      <c r="S243" s="4" t="n">
        <v>0.03</v>
      </c>
      <c r="T243" s="4" t="n">
        <v>0</v>
      </c>
      <c r="U243" s="19" t="n">
        <v>4.658083192416719</v>
      </c>
      <c r="V243" s="19" t="n">
        <v>0.4927940492794048</v>
      </c>
      <c r="W243" s="4" t="n">
        <v>-0.3357249049160405</v>
      </c>
      <c r="X243" s="4" t="n">
        <v>-0.006738624843461105</v>
      </c>
      <c r="Y243" s="4" t="n">
        <v>-0.005144106539455295</v>
      </c>
      <c r="Z243" s="4" t="n">
        <v>0.005599216888342529</v>
      </c>
      <c r="AA243" s="4" t="n">
        <v>0.03</v>
      </c>
      <c r="AB243" s="4" t="n">
        <v>0.05</v>
      </c>
      <c r="AC243" s="4">
        <f>(AB243+2*參數!$B$7)/(AA243+AB243)</f>
        <v/>
      </c>
    </row>
    <row r="244">
      <c r="A244" s="2" t="n">
        <v>243</v>
      </c>
      <c r="B244" s="2" t="inlineStr">
        <is>
          <t>AKE_USDT_PERP</t>
        </is>
      </c>
      <c r="C244" s="2" t="inlineStr">
        <is>
          <t>做多</t>
        </is>
      </c>
      <c r="D244" s="7" t="n">
        <v>46281.54166666666</v>
      </c>
      <c r="E244" s="20" t="n">
        <v>0.0280655</v>
      </c>
      <c r="F244" s="20" t="n">
        <v>0.028907465</v>
      </c>
      <c r="G244" s="20" t="n">
        <v>0.026662225</v>
      </c>
      <c r="H244" s="7" t="n">
        <v>46281.625</v>
      </c>
      <c r="I244" s="20" t="n">
        <v>0.026662225</v>
      </c>
      <c r="J244" s="2" t="inlineStr">
        <is>
          <t>止損</t>
        </is>
      </c>
      <c r="K244" s="5">
        <f>(H244-D244)*24</f>
        <v/>
      </c>
      <c r="L244" s="4">
        <f>IF(C244="做多",I244/E244-1,1-I244/E244)-2*參數!$B$7</f>
        <v/>
      </c>
      <c r="M244" s="2" t="inlineStr"/>
      <c r="N244" s="4" t="n">
        <v>0.0298396832560921</v>
      </c>
      <c r="O244" s="4" t="n">
        <v>0.07339169726050528</v>
      </c>
      <c r="P244" s="4" t="n">
        <v>0.05453837010312035</v>
      </c>
      <c r="Q244" s="22" t="n">
        <v>152267858</v>
      </c>
      <c r="R244" s="22" t="n">
        <v>12370801.771743</v>
      </c>
      <c r="S244" s="4" t="n">
        <v>0.02044146728189422</v>
      </c>
      <c r="T244" s="4" t="n">
        <v>0.05</v>
      </c>
      <c r="U244" s="19" t="n">
        <v>0.6997433505358437</v>
      </c>
      <c r="V244" s="19" t="n">
        <v>0.657695479421246</v>
      </c>
      <c r="W244" s="4" t="n">
        <v>0.5835460394901644</v>
      </c>
      <c r="X244" s="4" t="n">
        <v>0.6584724479243611</v>
      </c>
      <c r="Y244" s="4" t="n">
        <v>0.0005027214250372669</v>
      </c>
      <c r="Z244" s="4" t="n">
        <v>-0.004494868676089614</v>
      </c>
      <c r="AA244" s="4" t="n">
        <v>0.03</v>
      </c>
      <c r="AB244" s="4" t="n">
        <v>0.05</v>
      </c>
      <c r="AC244" s="4">
        <f>(AB244+2*參數!$B$7)/(AA244+AB244)</f>
        <v/>
      </c>
    </row>
    <row r="245">
      <c r="A245" s="2" t="n">
        <v>244</v>
      </c>
      <c r="B245" s="2" t="inlineStr">
        <is>
          <t>ZEC_USDT_PERP</t>
        </is>
      </c>
      <c r="C245" s="2" t="inlineStr">
        <is>
          <t>做多</t>
        </is>
      </c>
      <c r="D245" s="7" t="n">
        <v>46281.625</v>
      </c>
      <c r="E245" s="20" t="n">
        <v>1187.67</v>
      </c>
      <c r="F245" s="20" t="n">
        <v>1223.3001</v>
      </c>
      <c r="G245" s="20" t="n">
        <v>1128.2865</v>
      </c>
      <c r="H245" s="7" t="n">
        <v>46281.83333333334</v>
      </c>
      <c r="I245" s="20" t="n">
        <v>1223.3001</v>
      </c>
      <c r="J245" s="2" t="inlineStr">
        <is>
          <t>止盈</t>
        </is>
      </c>
      <c r="K245" s="5">
        <f>(H245-D245)*24</f>
        <v/>
      </c>
      <c r="L245" s="4">
        <f>IF(C245="做多",I245/E245-1,1-I245/E245)-2*參數!$B$7</f>
        <v/>
      </c>
      <c r="M245" s="2" t="inlineStr"/>
      <c r="N245" s="4" t="n">
        <v>0.02746729877500176</v>
      </c>
      <c r="O245" s="4" t="n">
        <v>0.02078451425900701</v>
      </c>
      <c r="P245" s="4" t="n">
        <v>0.05195003620404481</v>
      </c>
      <c r="Q245" s="22" t="n">
        <v>2618.917999999991</v>
      </c>
      <c r="R245" s="22" t="n">
        <v>25970903.79783</v>
      </c>
      <c r="S245" s="4" t="n">
        <v>0.03</v>
      </c>
      <c r="T245" s="4" t="n">
        <v>0.01571985484183325</v>
      </c>
      <c r="U245" s="19" t="n">
        <v>0.9711796671273036</v>
      </c>
      <c r="V245" s="19" t="n">
        <v>0.9237707302880448</v>
      </c>
      <c r="W245" s="4" t="n">
        <v>0.05099735770625657</v>
      </c>
      <c r="X245" s="4" t="n">
        <v>0.03737509607993839</v>
      </c>
      <c r="Y245" s="4" t="n">
        <v>0.0009680287115998443</v>
      </c>
      <c r="Z245" s="4" t="n">
        <v>-0.0008528134891508943</v>
      </c>
      <c r="AA245" s="4" t="n">
        <v>0.03</v>
      </c>
      <c r="AB245" s="4" t="n">
        <v>0.05</v>
      </c>
      <c r="AC245" s="4">
        <f>(AB245+2*參數!$B$7)/(AA245+AB245)</f>
        <v/>
      </c>
    </row>
    <row r="246">
      <c r="A246" s="2" t="n">
        <v>245</v>
      </c>
      <c r="B246" s="2" t="inlineStr">
        <is>
          <t>AKE_USDT_PERP</t>
        </is>
      </c>
      <c r="C246" s="2" t="inlineStr">
        <is>
          <t>做多</t>
        </is>
      </c>
      <c r="D246" s="7" t="n">
        <v>46281.79166666666</v>
      </c>
      <c r="E246" s="20" t="n">
        <v>0.0287685</v>
      </c>
      <c r="F246" s="20" t="n">
        <v>0.029631555</v>
      </c>
      <c r="G246" s="20" t="n">
        <v>0.027330075</v>
      </c>
      <c r="H246" s="7" t="n">
        <v>46281.875</v>
      </c>
      <c r="I246" s="20" t="n">
        <v>0.027330075</v>
      </c>
      <c r="J246" s="2" t="inlineStr">
        <is>
          <t>止損</t>
        </is>
      </c>
      <c r="K246" s="5">
        <f>(H246-D246)*24</f>
        <v/>
      </c>
      <c r="L246" s="4">
        <f>IF(C246="做多",I246/E246-1,1-I246/E246)-2*參數!$B$7</f>
        <v/>
      </c>
      <c r="M246" s="2" t="inlineStr"/>
      <c r="N246" s="4" t="n">
        <v>0.0276849983031775</v>
      </c>
      <c r="O246" s="4" t="n">
        <v>0.0645195499446362</v>
      </c>
      <c r="P246" s="4" t="n">
        <v>0.03368601578420582</v>
      </c>
      <c r="Q246" s="22" t="n">
        <v>16989750</v>
      </c>
      <c r="R246" s="22" t="n">
        <v>11434612.3498025</v>
      </c>
      <c r="S246" s="4" t="n">
        <v>0.01709161061577769</v>
      </c>
      <c r="T246" s="4" t="n">
        <v>0.05</v>
      </c>
      <c r="U246" s="19" t="n">
        <v>0.6044001920117454</v>
      </c>
      <c r="V246" s="19" t="n">
        <v>0.954480603301854</v>
      </c>
      <c r="W246" s="4" t="n">
        <v>0.5483047842690489</v>
      </c>
      <c r="X246" s="4" t="n">
        <v>0.3174803077486719</v>
      </c>
      <c r="Y246" s="4" t="n">
        <v>-0.0003396537901019236</v>
      </c>
      <c r="Z246" s="4" t="n">
        <v>0.0002423747456052894</v>
      </c>
      <c r="AA246" s="4" t="n">
        <v>0.03</v>
      </c>
      <c r="AB246" s="4" t="n">
        <v>0.05</v>
      </c>
      <c r="AC246" s="4">
        <f>(AB246+2*參數!$B$7)/(AA246+AB246)</f>
        <v/>
      </c>
    </row>
    <row r="247">
      <c r="A247" s="2" t="n">
        <v>246</v>
      </c>
      <c r="B247" s="2" t="inlineStr">
        <is>
          <t>牛来_USDT_PERP</t>
        </is>
      </c>
      <c r="C247" s="2" t="inlineStr">
        <is>
          <t>做空</t>
        </is>
      </c>
      <c r="D247" s="7" t="n">
        <v>46281.875</v>
      </c>
      <c r="E247" s="20" t="n">
        <v>0.10822</v>
      </c>
      <c r="F247" s="20" t="n">
        <v>0.1049734</v>
      </c>
      <c r="G247" s="20" t="n">
        <v>0.113631</v>
      </c>
      <c r="H247" s="7" t="n">
        <v>46282</v>
      </c>
      <c r="I247" s="20" t="n">
        <v>0.1049734</v>
      </c>
      <c r="J247" s="2" t="inlineStr">
        <is>
          <t>止盈</t>
        </is>
      </c>
      <c r="K247" s="5">
        <f>(H247-D247)*24</f>
        <v/>
      </c>
      <c r="L247" s="4">
        <f>IF(C247="做多",I247/E247-1,1-I247/E247)-2*參數!$B$7</f>
        <v/>
      </c>
      <c r="M247" s="2" t="inlineStr"/>
      <c r="N247" s="4" t="n">
        <v>-0.03676012461059197</v>
      </c>
      <c r="O247" s="4" t="n">
        <v>0.0359751056433864</v>
      </c>
      <c r="P247" s="4" t="n">
        <v>-0.05536691602000643</v>
      </c>
      <c r="Q247" s="22" t="n">
        <v>-1313029</v>
      </c>
      <c r="R247" s="22" t="n">
        <v>3530687.4792</v>
      </c>
      <c r="S247" s="4" t="n">
        <v>0.03</v>
      </c>
      <c r="T247" s="4" t="n">
        <v>0.01561633709111065</v>
      </c>
      <c r="U247" s="19" t="n">
        <v>4.678764547478839</v>
      </c>
      <c r="V247" s="19" t="n">
        <v>0.848368522072937</v>
      </c>
      <c r="W247" s="4" t="n">
        <v>0.1092021671525913</v>
      </c>
      <c r="X247" s="4" t="n">
        <v>0.08148022407061617</v>
      </c>
      <c r="Y247" s="4" t="n">
        <v>0.003630747590217531</v>
      </c>
      <c r="Z247" s="4" t="n">
        <v>-0.0006901584096072888</v>
      </c>
      <c r="AA247" s="4" t="n">
        <v>0.03</v>
      </c>
      <c r="AB247" s="4" t="n">
        <v>0.05</v>
      </c>
      <c r="AC247" s="4">
        <f>(AB247+2*參數!$B$7)/(AA247+AB247)</f>
        <v/>
      </c>
    </row>
    <row r="248">
      <c r="A248" s="2" t="n">
        <v>247</v>
      </c>
      <c r="B248" s="2" t="inlineStr">
        <is>
          <t>USELESS_USDT_PERP</t>
        </is>
      </c>
      <c r="C248" s="2" t="inlineStr">
        <is>
          <t>做空</t>
        </is>
      </c>
      <c r="D248" s="7" t="n">
        <v>46282</v>
      </c>
      <c r="E248" s="20" t="n">
        <v>0.225</v>
      </c>
      <c r="F248" s="20" t="n">
        <v>0.21825</v>
      </c>
      <c r="G248" s="20" t="n">
        <v>0.23625</v>
      </c>
      <c r="H248" s="7" t="n">
        <v>46282.125</v>
      </c>
      <c r="I248" s="20" t="n">
        <v>0.23625</v>
      </c>
      <c r="J248" s="2" t="inlineStr">
        <is>
          <t>止損</t>
        </is>
      </c>
      <c r="K248" s="5">
        <f>(H248-D248)*24</f>
        <v/>
      </c>
      <c r="L248" s="4">
        <f>IF(C248="做多",I248/E248-1,1-I248/E248)-2*參數!$B$7</f>
        <v/>
      </c>
      <c r="M248" s="2" t="inlineStr"/>
      <c r="N248" s="4" t="n">
        <v>-0.03292357947219116</v>
      </c>
      <c r="O248" s="4" t="n">
        <v>0.04095456277656997</v>
      </c>
      <c r="P248" s="4" t="n">
        <v>-0.0164514881088984</v>
      </c>
      <c r="Q248" s="22" t="n">
        <v>-778608</v>
      </c>
      <c r="R248" s="22" t="n">
        <v>2914314.34629</v>
      </c>
      <c r="S248" s="4" t="n">
        <v>0.01364444444444457</v>
      </c>
      <c r="T248" s="4" t="n">
        <v>0.05</v>
      </c>
      <c r="U248" s="19" t="n">
        <v>1.22830388521858</v>
      </c>
      <c r="V248" s="19" t="n">
        <v>0.881369426751591</v>
      </c>
      <c r="W248" s="4" t="n">
        <v>-0.03547633982584686</v>
      </c>
      <c r="X248" s="4" t="n">
        <v>-0.101213782302271</v>
      </c>
      <c r="Y248" s="4" t="n">
        <v>-0.001227850125626873</v>
      </c>
      <c r="Z248" s="4" t="n">
        <v>0.0003683615984713118</v>
      </c>
      <c r="AA248" s="4" t="n">
        <v>0.03</v>
      </c>
      <c r="AB248" s="4" t="n">
        <v>0.05</v>
      </c>
      <c r="AC248" s="4">
        <f>(AB248+2*參數!$B$7)/(AA248+AB248)</f>
        <v/>
      </c>
    </row>
    <row r="249">
      <c r="A249" s="2" t="n">
        <v>248</v>
      </c>
      <c r="B249" s="2" t="inlineStr">
        <is>
          <t>ARB_USDT_PERP</t>
        </is>
      </c>
      <c r="C249" s="2" t="inlineStr">
        <is>
          <t>做多</t>
        </is>
      </c>
      <c r="D249" s="7" t="n">
        <v>46282.125</v>
      </c>
      <c r="E249" s="20" t="n">
        <v>0.1633</v>
      </c>
      <c r="F249" s="20" t="n">
        <v>0.168199</v>
      </c>
      <c r="G249" s="20" t="n">
        <v>0.155135</v>
      </c>
      <c r="H249" s="7" t="n">
        <v>46282.33333333334</v>
      </c>
      <c r="I249" s="20" t="n">
        <v>0.168199</v>
      </c>
      <c r="J249" s="2" t="inlineStr">
        <is>
          <t>止盈</t>
        </is>
      </c>
      <c r="K249" s="5">
        <f>(H249-D249)*24</f>
        <v/>
      </c>
      <c r="L249" s="4">
        <f>IF(C249="做多",I249/E249-1,1-I249/E249)-2*參數!$B$7</f>
        <v/>
      </c>
      <c r="M249" s="2" t="inlineStr"/>
      <c r="N249" s="4" t="n">
        <v>0.0501607717041801</v>
      </c>
      <c r="O249" s="4" t="n">
        <v>0.03317999061526898</v>
      </c>
      <c r="P249" s="4" t="n">
        <v>0.04285075675330474</v>
      </c>
      <c r="Q249" s="22" t="n">
        <v>4728317.000000002</v>
      </c>
      <c r="R249" s="22" t="n">
        <v>4536947.58375</v>
      </c>
      <c r="S249" s="4" t="n">
        <v>0.03</v>
      </c>
      <c r="T249" s="4" t="n">
        <v>0.03919167176974891</v>
      </c>
      <c r="U249" s="19" t="n">
        <v>1.68259846757864</v>
      </c>
      <c r="V249" s="19" t="n">
        <v>0.8557692307692305</v>
      </c>
      <c r="W249" s="4" t="n">
        <v>0.1490209047220323</v>
      </c>
      <c r="X249" s="4" t="n">
        <v>0.1231086657496561</v>
      </c>
      <c r="Y249" s="4" t="n">
        <v>-0.001359250232816134</v>
      </c>
      <c r="Z249" s="4" t="n">
        <v>-0.002448073282010799</v>
      </c>
      <c r="AA249" s="4" t="n">
        <v>0.03</v>
      </c>
      <c r="AB249" s="4" t="n">
        <v>0.05</v>
      </c>
      <c r="AC249" s="4">
        <f>(AB249+2*參數!$B$7)/(AA249+AB249)</f>
        <v/>
      </c>
    </row>
    <row r="250">
      <c r="A250" s="2" t="n">
        <v>249</v>
      </c>
      <c r="B250" s="2" t="inlineStr">
        <is>
          <t>ENA_USDT_PERP</t>
        </is>
      </c>
      <c r="C250" s="2" t="inlineStr">
        <is>
          <t>做多</t>
        </is>
      </c>
      <c r="D250" s="7" t="n">
        <v>46282.125</v>
      </c>
      <c r="E250" s="20" t="n">
        <v>0.1469</v>
      </c>
      <c r="F250" s="20" t="n">
        <v>0.151307</v>
      </c>
      <c r="G250" s="20" t="n">
        <v>0.139555</v>
      </c>
      <c r="H250" s="7" t="n">
        <v>46282.375</v>
      </c>
      <c r="I250" s="20" t="n">
        <v>0.151307</v>
      </c>
      <c r="J250" s="2" t="inlineStr">
        <is>
          <t>止盈</t>
        </is>
      </c>
      <c r="K250" s="5">
        <f>(H250-D250)*24</f>
        <v/>
      </c>
      <c r="L250" s="4">
        <f>IF(C250="做多",I250/E250-1,1-I250/E250)-2*參數!$B$7</f>
        <v/>
      </c>
      <c r="M250" s="2" t="inlineStr"/>
      <c r="N250" s="4" t="n">
        <v>0.02943237561317447</v>
      </c>
      <c r="O250" s="4" t="n">
        <v>0.02301681333527623</v>
      </c>
      <c r="P250" s="4" t="n">
        <v>0.03622191655204055</v>
      </c>
      <c r="Q250" s="22" t="n">
        <v>9489715</v>
      </c>
      <c r="R250" s="22" t="n">
        <v>4292644.2501</v>
      </c>
      <c r="S250" s="4" t="n">
        <v>0.03</v>
      </c>
      <c r="T250" s="4" t="n">
        <v>0.02178352620830504</v>
      </c>
      <c r="U250" s="19" t="n">
        <v>2.765192083529199</v>
      </c>
      <c r="V250" s="19" t="n">
        <v>0.5</v>
      </c>
      <c r="W250" s="4" t="n">
        <v>0.03942601607607821</v>
      </c>
      <c r="X250" s="4" t="n">
        <v>0.03523608174770976</v>
      </c>
      <c r="Y250" s="4" t="n">
        <v>-0.001359250232816134</v>
      </c>
      <c r="Z250" s="4" t="n">
        <v>-0.002448073282010799</v>
      </c>
      <c r="AA250" s="4" t="n">
        <v>0.03</v>
      </c>
      <c r="AB250" s="4" t="n">
        <v>0.05</v>
      </c>
      <c r="AC250" s="4">
        <f>(AB250+2*參數!$B$7)/(AA250+AB250)</f>
        <v/>
      </c>
    </row>
    <row r="251">
      <c r="A251" s="2" t="n">
        <v>250</v>
      </c>
      <c r="B251" s="2" t="inlineStr">
        <is>
          <t>UNI_USDT_PERP</t>
        </is>
      </c>
      <c r="C251" s="2" t="inlineStr">
        <is>
          <t>做多</t>
        </is>
      </c>
      <c r="D251" s="7" t="n">
        <v>46282.125</v>
      </c>
      <c r="E251" s="20" t="n">
        <v>6.296</v>
      </c>
      <c r="F251" s="20" t="n">
        <v>6.48488</v>
      </c>
      <c r="G251" s="20" t="n">
        <v>5.9812</v>
      </c>
      <c r="H251" s="7" t="n">
        <v>46282.20833333334</v>
      </c>
      <c r="I251" s="20" t="n">
        <v>6.48488</v>
      </c>
      <c r="J251" s="2" t="inlineStr">
        <is>
          <t>止盈</t>
        </is>
      </c>
      <c r="K251" s="5">
        <f>(H251-D251)*24</f>
        <v/>
      </c>
      <c r="L251" s="4">
        <f>IF(C251="做多",I251/E251-1,1-I251/E251)-2*參數!$B$7</f>
        <v/>
      </c>
      <c r="M251" s="2" t="inlineStr"/>
      <c r="N251" s="4" t="n">
        <v>0.02340702210663204</v>
      </c>
      <c r="O251" s="4" t="n">
        <v>0.02436587511532557</v>
      </c>
      <c r="P251" s="4" t="n">
        <v>0.002539788695949952</v>
      </c>
      <c r="Q251" s="22" t="n">
        <v>31842</v>
      </c>
      <c r="R251" s="22" t="n">
        <v>3831093.943</v>
      </c>
      <c r="S251" s="4" t="n">
        <v>0.03</v>
      </c>
      <c r="T251" s="4" t="n">
        <v>0.01254764930114372</v>
      </c>
      <c r="U251" s="19" t="n">
        <v>4.174686847950839</v>
      </c>
      <c r="V251" s="19" t="n">
        <v>0.5188405797101461</v>
      </c>
      <c r="W251" s="4" t="n">
        <v>-0.01225580942937998</v>
      </c>
      <c r="X251" s="4" t="n">
        <v>-0.01548084440969499</v>
      </c>
      <c r="Y251" s="4" t="n">
        <v>-0.001359250232816134</v>
      </c>
      <c r="Z251" s="4" t="n">
        <v>-0.002448073282010799</v>
      </c>
      <c r="AA251" s="4" t="n">
        <v>0.03</v>
      </c>
      <c r="AB251" s="4" t="n">
        <v>0.05</v>
      </c>
      <c r="AC251" s="4">
        <f>(AB251+2*參數!$B$7)/(AA251+AB251)</f>
        <v/>
      </c>
    </row>
    <row r="252">
      <c r="A252" s="2" t="n">
        <v>251</v>
      </c>
      <c r="B252" s="2" t="inlineStr">
        <is>
          <t>VVV_USDT_PERP</t>
        </is>
      </c>
      <c r="C252" s="2" t="inlineStr">
        <is>
          <t>做多</t>
        </is>
      </c>
      <c r="D252" s="7" t="n">
        <v>46282.125</v>
      </c>
      <c r="E252" s="20" t="n">
        <v>23.266</v>
      </c>
      <c r="F252" s="20" t="n">
        <v>23.96398</v>
      </c>
      <c r="G252" s="20" t="n">
        <v>22.1027</v>
      </c>
      <c r="H252" s="7" t="n">
        <v>46282.375</v>
      </c>
      <c r="I252" s="20" t="n">
        <v>23.96398</v>
      </c>
      <c r="J252" s="2" t="inlineStr">
        <is>
          <t>止盈</t>
        </is>
      </c>
      <c r="K252" s="5">
        <f>(H252-D252)*24</f>
        <v/>
      </c>
      <c r="L252" s="4">
        <f>IF(C252="做多",I252/E252-1,1-I252/E252)-2*參數!$B$7</f>
        <v/>
      </c>
      <c r="M252" s="2" t="inlineStr"/>
      <c r="N252" s="4" t="n">
        <v>0.04182339244133959</v>
      </c>
      <c r="O252" s="4" t="n">
        <v>0.02567802891555657</v>
      </c>
      <c r="P252" s="4" t="n">
        <v>0.05087716128566</v>
      </c>
      <c r="Q252" s="22" t="n">
        <v>24756.23000000003</v>
      </c>
      <c r="R252" s="22" t="n">
        <v>1607833.34184</v>
      </c>
      <c r="S252" s="4" t="n">
        <v>0.03</v>
      </c>
      <c r="T252" s="4" t="n">
        <v>0.0467635175793002</v>
      </c>
      <c r="U252" s="19" t="n">
        <v>4.424885051501956</v>
      </c>
      <c r="V252" s="19" t="n">
        <v>0.6088169642857135</v>
      </c>
      <c r="W252" s="4" t="n">
        <v>0.03407064090068057</v>
      </c>
      <c r="X252" s="4" t="n">
        <v>0.05615325253075487</v>
      </c>
      <c r="Y252" s="4" t="n">
        <v>-0.001359250232816134</v>
      </c>
      <c r="Z252" s="4" t="n">
        <v>-0.002448073282010799</v>
      </c>
      <c r="AA252" s="4" t="n">
        <v>0.03</v>
      </c>
      <c r="AB252" s="4" t="n">
        <v>0.05</v>
      </c>
      <c r="AC252" s="4">
        <f>(AB252+2*參數!$B$7)/(AA252+AB252)</f>
        <v/>
      </c>
    </row>
    <row r="253">
      <c r="A253" s="2" t="n">
        <v>252</v>
      </c>
      <c r="B253" s="2" t="inlineStr">
        <is>
          <t>ZEN_USDT_PERP</t>
        </is>
      </c>
      <c r="C253" s="2" t="inlineStr">
        <is>
          <t>做多</t>
        </is>
      </c>
      <c r="D253" s="7" t="n">
        <v>46282.125</v>
      </c>
      <c r="E253" s="20" t="n">
        <v>6.741</v>
      </c>
      <c r="F253" s="20" t="n">
        <v>6.94323</v>
      </c>
      <c r="G253" s="20" t="n">
        <v>6.403949999999999</v>
      </c>
      <c r="H253" s="7" t="n">
        <v>46282.41666666666</v>
      </c>
      <c r="I253" s="20" t="n">
        <v>6.94323</v>
      </c>
      <c r="J253" s="2" t="inlineStr">
        <is>
          <t>止盈</t>
        </is>
      </c>
      <c r="K253" s="5">
        <f>(H253-D253)*24</f>
        <v/>
      </c>
      <c r="L253" s="4">
        <f>IF(C253="做多",I253/E253-1,1-I253/E253)-2*參數!$B$7</f>
        <v/>
      </c>
      <c r="M253" s="2" t="inlineStr"/>
      <c r="N253" s="4" t="n">
        <v>0.03596127247579539</v>
      </c>
      <c r="O253" s="4" t="n">
        <v>0.02228641893368193</v>
      </c>
      <c r="P253" s="4" t="n">
        <v>0.05414597912349972</v>
      </c>
      <c r="Q253" s="22" t="n">
        <v>161895.5</v>
      </c>
      <c r="R253" s="22" t="n">
        <v>1210685.2987</v>
      </c>
      <c r="S253" s="4" t="n">
        <v>0.03</v>
      </c>
      <c r="T253" s="4" t="n">
        <v>0.02329031300993922</v>
      </c>
      <c r="U253" s="19" t="n">
        <v>1.771923740229836</v>
      </c>
      <c r="V253" s="19" t="n">
        <v>0.7879656160458433</v>
      </c>
      <c r="W253" s="4" t="n">
        <v>0.06495078097970408</v>
      </c>
      <c r="X253" s="4" t="n">
        <v>0.08743345700919503</v>
      </c>
      <c r="Y253" s="4" t="n">
        <v>-0.001359250232816134</v>
      </c>
      <c r="Z253" s="4" t="n">
        <v>-0.002448073282010799</v>
      </c>
      <c r="AA253" s="4" t="n">
        <v>0.03</v>
      </c>
      <c r="AB253" s="4" t="n">
        <v>0.05</v>
      </c>
      <c r="AC253" s="4">
        <f>(AB253+2*參數!$B$7)/(AA253+AB253)</f>
        <v/>
      </c>
    </row>
    <row r="254">
      <c r="A254" s="2" t="n">
        <v>253</v>
      </c>
      <c r="B254" s="2" t="inlineStr">
        <is>
          <t>NEAR_USDT_PERP</t>
        </is>
      </c>
      <c r="C254" s="2" t="inlineStr">
        <is>
          <t>做多</t>
        </is>
      </c>
      <c r="D254" s="7" t="n">
        <v>46282.16666666666</v>
      </c>
      <c r="E254" s="20" t="n">
        <v>2.547</v>
      </c>
      <c r="F254" s="20" t="n">
        <v>2.62341</v>
      </c>
      <c r="G254" s="20" t="n">
        <v>2.41965</v>
      </c>
      <c r="H254" s="7" t="n">
        <v>46282.33333333334</v>
      </c>
      <c r="I254" s="20" t="n">
        <v>2.62341</v>
      </c>
      <c r="J254" s="2" t="inlineStr">
        <is>
          <t>止盈</t>
        </is>
      </c>
      <c r="K254" s="5">
        <f>(H254-D254)*24</f>
        <v/>
      </c>
      <c r="L254" s="4">
        <f>IF(C254="做多",I254/E254-1,1-I254/E254)-2*參數!$B$7</f>
        <v/>
      </c>
      <c r="M254" s="2" t="inlineStr"/>
      <c r="N254" s="4" t="n">
        <v>0.02002402883460164</v>
      </c>
      <c r="O254" s="4" t="n">
        <v>0.02105222326682982</v>
      </c>
      <c r="P254" s="4" t="n">
        <v>0.05699997925009859</v>
      </c>
      <c r="Q254" s="22" t="n">
        <v>395901</v>
      </c>
      <c r="R254" s="22" t="n">
        <v>4474252.094000001</v>
      </c>
      <c r="S254" s="4" t="n">
        <v>0.03</v>
      </c>
      <c r="T254" s="4" t="n">
        <v>0.01020808794660399</v>
      </c>
      <c r="U254" s="19" t="n">
        <v>3.612551793805155</v>
      </c>
      <c r="V254" s="19" t="n">
        <v>0.6947368421052647</v>
      </c>
      <c r="W254" s="4" t="n">
        <v>0.06808574879227058</v>
      </c>
      <c r="X254" s="4" t="n">
        <v>0.09079229122055676</v>
      </c>
      <c r="Y254" s="4" t="n">
        <v>0.005910006005243273</v>
      </c>
      <c r="Z254" s="4" t="n">
        <v>0.003151295491185202</v>
      </c>
      <c r="AA254" s="4" t="n">
        <v>0.03</v>
      </c>
      <c r="AB254" s="4" t="n">
        <v>0.05</v>
      </c>
      <c r="AC254" s="4">
        <f>(AB254+2*參數!$B$7)/(AA254+AB254)</f>
        <v/>
      </c>
    </row>
    <row r="255">
      <c r="A255" s="2" t="n">
        <v>254</v>
      </c>
      <c r="B255" s="2" t="inlineStr">
        <is>
          <t>PONS_USDT_PERP</t>
        </is>
      </c>
      <c r="C255" s="2" t="inlineStr">
        <is>
          <t>做空</t>
        </is>
      </c>
      <c r="D255" s="7" t="n">
        <v>46282.20833333334</v>
      </c>
      <c r="E255" s="20" t="n">
        <v>0.5614</v>
      </c>
      <c r="F255" s="20" t="n">
        <v>0.544558</v>
      </c>
      <c r="G255" s="20" t="n">
        <v>0.58947</v>
      </c>
      <c r="H255" s="7" t="n">
        <v>46282.375</v>
      </c>
      <c r="I255" s="20" t="n">
        <v>0.58947</v>
      </c>
      <c r="J255" s="2" t="inlineStr">
        <is>
          <t>止損</t>
        </is>
      </c>
      <c r="K255" s="5">
        <f>(H255-D255)*24</f>
        <v/>
      </c>
      <c r="L255" s="4">
        <f>IF(C255="做多",I255/E255-1,1-I255/E255)-2*參數!$B$7</f>
        <v/>
      </c>
      <c r="M255" s="2" t="inlineStr"/>
      <c r="N255" s="4" t="n">
        <v>-0.02483932603786687</v>
      </c>
      <c r="O255" s="4" t="n">
        <v>0.03836135942662895</v>
      </c>
      <c r="P255" s="4" t="n">
        <v>-0.03839401180168389</v>
      </c>
      <c r="Q255" s="22" t="n">
        <v>-459060</v>
      </c>
      <c r="R255" s="22" t="n">
        <v>3179156.2687</v>
      </c>
      <c r="S255" s="4" t="n">
        <v>0.02315639472746711</v>
      </c>
      <c r="T255" s="4" t="n">
        <v>0.05</v>
      </c>
      <c r="U255" s="19" t="n">
        <v>0.9381406590446995</v>
      </c>
      <c r="V255" s="19" t="n">
        <v>0.9255813953488353</v>
      </c>
      <c r="W255" s="4" t="n">
        <v>0.05275483999419561</v>
      </c>
      <c r="X255" s="4" t="n">
        <v>0.1207517619420516</v>
      </c>
      <c r="Y255" s="4" t="n">
        <v>-0.001270260390230371</v>
      </c>
      <c r="Z255" s="4" t="n">
        <v>-0.004154017318307002</v>
      </c>
      <c r="AA255" s="4" t="n">
        <v>0.03</v>
      </c>
      <c r="AB255" s="4" t="n">
        <v>0.05</v>
      </c>
      <c r="AC255" s="4">
        <f>(AB255+2*參數!$B$7)/(AA255+AB255)</f>
        <v/>
      </c>
    </row>
    <row r="256">
      <c r="A256" s="2" t="n">
        <v>255</v>
      </c>
      <c r="B256" s="2" t="inlineStr">
        <is>
          <t>AIN_USDT_PERP</t>
        </is>
      </c>
      <c r="C256" s="2" t="inlineStr">
        <is>
          <t>做空</t>
        </is>
      </c>
      <c r="D256" s="7" t="n">
        <v>46282.29166666666</v>
      </c>
      <c r="E256" s="20" t="n">
        <v>0.02344</v>
      </c>
      <c r="F256" s="20" t="n">
        <v>0.0227368</v>
      </c>
      <c r="G256" s="20" t="n">
        <v>0.024612</v>
      </c>
      <c r="H256" s="7" t="n">
        <v>46282.375</v>
      </c>
      <c r="I256" s="20" t="n">
        <v>0.0227368</v>
      </c>
      <c r="J256" s="2" t="inlineStr">
        <is>
          <t>止盈</t>
        </is>
      </c>
      <c r="K256" s="5">
        <f>(H256-D256)*24</f>
        <v/>
      </c>
      <c r="L256" s="4">
        <f>IF(C256="做多",I256/E256-1,1-I256/E256)-2*參數!$B$7</f>
        <v/>
      </c>
      <c r="M256" s="2" t="inlineStr"/>
      <c r="N256" s="4" t="n">
        <v>-0.0249584026622296</v>
      </c>
      <c r="O256" s="4" t="n">
        <v>0.3384619336169011</v>
      </c>
      <c r="P256" s="4" t="n">
        <v>-0.02510033896895214</v>
      </c>
      <c r="Q256" s="22" t="n">
        <v>-33284980</v>
      </c>
      <c r="R256" s="22" t="n">
        <v>4829684.85459</v>
      </c>
      <c r="S256" s="4" t="n">
        <v>0.03</v>
      </c>
      <c r="T256" s="4" t="n">
        <v>0.01706484641638228</v>
      </c>
      <c r="U256" s="19" t="n">
        <v>0.8939750352695403</v>
      </c>
      <c r="V256" s="19" t="n">
        <v>0.5496183206106875</v>
      </c>
      <c r="W256" s="4" t="n">
        <v>0.747446178776644</v>
      </c>
      <c r="X256" s="4" t="n">
        <v>0.873754510691011</v>
      </c>
      <c r="Y256" s="4" t="n">
        <v>0.003833380301350164</v>
      </c>
      <c r="Z256" s="4" t="n">
        <v>0.002574550686450072</v>
      </c>
      <c r="AA256" s="4" t="n">
        <v>0.03</v>
      </c>
      <c r="AB256" s="4" t="n">
        <v>0.05</v>
      </c>
      <c r="AC256" s="4">
        <f>(AB256+2*參數!$B$7)/(AA256+AB256)</f>
        <v/>
      </c>
    </row>
    <row r="257">
      <c r="A257" s="2" t="n">
        <v>256</v>
      </c>
      <c r="B257" s="2" t="inlineStr">
        <is>
          <t>USELESS_USDT_PERP</t>
        </is>
      </c>
      <c r="C257" s="2" t="inlineStr">
        <is>
          <t>做多</t>
        </is>
      </c>
      <c r="D257" s="7" t="n">
        <v>46282.45833333334</v>
      </c>
      <c r="E257" s="20" t="n">
        <v>0.24275</v>
      </c>
      <c r="F257" s="20" t="n">
        <v>0.2500325</v>
      </c>
      <c r="G257" s="20" t="n">
        <v>0.2306125</v>
      </c>
      <c r="H257" s="7" t="n">
        <v>46282.5</v>
      </c>
      <c r="I257" s="20" t="n">
        <v>0.2500325</v>
      </c>
      <c r="J257" s="2" t="inlineStr">
        <is>
          <t>止盈</t>
        </is>
      </c>
      <c r="K257" s="5">
        <f>(H257-D257)*24</f>
        <v/>
      </c>
      <c r="L257" s="4">
        <f>IF(C257="做多",I257/E257-1,1-I257/E257)-2*參數!$B$7</f>
        <v/>
      </c>
      <c r="M257" s="2" t="inlineStr"/>
      <c r="N257" s="4" t="n">
        <v>0.03258326598324057</v>
      </c>
      <c r="O257" s="4" t="n">
        <v>0.04022410631062562</v>
      </c>
      <c r="P257" s="4" t="n">
        <v>0.03915172685399226</v>
      </c>
      <c r="Q257" s="22" t="n">
        <v>3772564</v>
      </c>
      <c r="R257" s="22" t="n">
        <v>3887367.54221</v>
      </c>
      <c r="S257" s="4" t="n">
        <v>0.03</v>
      </c>
      <c r="T257" s="4" t="n">
        <v>0</v>
      </c>
      <c r="U257" s="19" t="n">
        <v>0.6859164949066544</v>
      </c>
      <c r="V257" s="19" t="n">
        <v>0.8610139860139854</v>
      </c>
      <c r="W257" s="4" t="n">
        <v>0.1183074882606505</v>
      </c>
      <c r="X257" s="4" t="n">
        <v>0.1027073680385209</v>
      </c>
      <c r="Y257" s="4" t="n">
        <v>0.0001100414096306679</v>
      </c>
      <c r="Z257" s="4" t="n">
        <v>0.005538057160273446</v>
      </c>
      <c r="AA257" s="4" t="n">
        <v>0.03</v>
      </c>
      <c r="AB257" s="4" t="n">
        <v>0.05</v>
      </c>
      <c r="AC257" s="4">
        <f>(AB257+2*參數!$B$7)/(AA257+AB257)</f>
        <v/>
      </c>
    </row>
    <row r="258">
      <c r="A258" s="2" t="n">
        <v>257</v>
      </c>
      <c r="B258" s="2" t="inlineStr">
        <is>
          <t>AIN_USDT_PERP</t>
        </is>
      </c>
      <c r="C258" s="2" t="inlineStr">
        <is>
          <t>做空</t>
        </is>
      </c>
      <c r="D258" s="7" t="n">
        <v>46282.58333333334</v>
      </c>
      <c r="E258" s="20" t="n">
        <v>0.02385</v>
      </c>
      <c r="F258" s="20" t="n">
        <v>0.0231345</v>
      </c>
      <c r="G258" s="20" t="n">
        <v>0.0250425</v>
      </c>
      <c r="H258" s="7" t="n">
        <v>46282.66666666666</v>
      </c>
      <c r="I258" s="20" t="n">
        <v>0.0231345</v>
      </c>
      <c r="J258" s="2" t="inlineStr">
        <is>
          <t>止盈</t>
        </is>
      </c>
      <c r="K258" s="5">
        <f>(H258-D258)*24</f>
        <v/>
      </c>
      <c r="L258" s="4">
        <f>IF(C258="做多",I258/E258-1,1-I258/E258)-2*參數!$B$7</f>
        <v/>
      </c>
      <c r="M258" s="2" t="inlineStr"/>
      <c r="N258" s="4" t="n">
        <v>-0.03830645161290325</v>
      </c>
      <c r="O258" s="4" t="n">
        <v>0.2410149709643114</v>
      </c>
      <c r="P258" s="4" t="n">
        <v>-0.008089168000998126</v>
      </c>
      <c r="Q258" s="22" t="n">
        <v>-62019309</v>
      </c>
      <c r="R258" s="22" t="n">
        <v>4046347.14221</v>
      </c>
      <c r="S258" s="4" t="n">
        <v>0.03</v>
      </c>
      <c r="T258" s="4" t="n">
        <v>0.008805031446540879</v>
      </c>
      <c r="U258" s="19" t="n">
        <v>1.505901751531168</v>
      </c>
      <c r="V258" s="19" t="n">
        <v>0.5722891566265063</v>
      </c>
      <c r="W258" s="4" t="n">
        <v>0.7334042764860337</v>
      </c>
      <c r="X258" s="4" t="n">
        <v>-0.04330708661417337</v>
      </c>
      <c r="Y258" s="4" t="n">
        <v>0.002777618019355721</v>
      </c>
      <c r="Z258" s="4" t="n">
        <v>-0.003661583056814743</v>
      </c>
      <c r="AA258" s="4" t="n">
        <v>0.03</v>
      </c>
      <c r="AB258" s="4" t="n">
        <v>0.05</v>
      </c>
      <c r="AC258" s="4">
        <f>(AB258+2*參數!$B$7)/(AA258+AB258)</f>
        <v/>
      </c>
    </row>
    <row r="259">
      <c r="A259" s="2" t="n">
        <v>258</v>
      </c>
      <c r="B259" s="2" t="inlineStr">
        <is>
          <t>AIN_USDT_PERP</t>
        </is>
      </c>
      <c r="C259" s="2" t="inlineStr">
        <is>
          <t>做空</t>
        </is>
      </c>
      <c r="D259" s="7" t="n">
        <v>46282.75</v>
      </c>
      <c r="E259" s="20" t="n">
        <v>0.02305</v>
      </c>
      <c r="F259" s="20" t="n">
        <v>0.0223585</v>
      </c>
      <c r="G259" s="20" t="n">
        <v>0.0242025</v>
      </c>
      <c r="H259" s="7" t="n">
        <v>46282.95833333334</v>
      </c>
      <c r="I259" s="20" t="n">
        <v>0.0223585</v>
      </c>
      <c r="J259" s="2" t="inlineStr">
        <is>
          <t>止盈</t>
        </is>
      </c>
      <c r="K259" s="5">
        <f>(H259-D259)*24</f>
        <v/>
      </c>
      <c r="L259" s="4">
        <f>IF(C259="做多",I259/E259-1,1-I259/E259)-2*參數!$B$7</f>
        <v/>
      </c>
      <c r="M259" s="2" t="inlineStr"/>
      <c r="N259" s="4" t="n">
        <v>-0.02206194314806953</v>
      </c>
      <c r="O259" s="4" t="n">
        <v>0.1958887698740221</v>
      </c>
      <c r="P259" s="4" t="n">
        <v>-0.02953497673831129</v>
      </c>
      <c r="Q259" s="22" t="n">
        <v>-75159600</v>
      </c>
      <c r="R259" s="22" t="n">
        <v>3954454.93323</v>
      </c>
      <c r="S259" s="4" t="n">
        <v>0.03</v>
      </c>
      <c r="T259" s="4" t="n">
        <v>0.04642082429501082</v>
      </c>
      <c r="U259" s="19" t="n">
        <v>1.20766109490269</v>
      </c>
      <c r="V259" s="19" t="n">
        <v>0.5728155339805829</v>
      </c>
      <c r="W259" s="4" t="n">
        <v>0.7366641228002029</v>
      </c>
      <c r="X259" s="4" t="n">
        <v>0.08821202531645567</v>
      </c>
      <c r="Y259" s="4" t="n">
        <v>0.001374381887423448</v>
      </c>
      <c r="Z259" s="4" t="n">
        <v>-0.004154116650517459</v>
      </c>
      <c r="AA259" s="4" t="n">
        <v>0.03</v>
      </c>
      <c r="AB259" s="4" t="n">
        <v>0.05</v>
      </c>
      <c r="AC259" s="4">
        <f>(AB259+2*參數!$B$7)/(AA259+AB259)</f>
        <v/>
      </c>
    </row>
    <row r="260">
      <c r="A260" s="2" t="n">
        <v>259</v>
      </c>
      <c r="B260" s="2" t="inlineStr">
        <is>
          <t>BR_USDT_PERP</t>
        </is>
      </c>
      <c r="C260" s="2" t="inlineStr">
        <is>
          <t>做多</t>
        </is>
      </c>
      <c r="D260" s="7" t="n">
        <v>46282.83333333334</v>
      </c>
      <c r="E260" s="20" t="n">
        <v>0.65686</v>
      </c>
      <c r="F260" s="20" t="n">
        <v>0.6765658</v>
      </c>
      <c r="G260" s="20" t="n">
        <v>0.6240169999999999</v>
      </c>
      <c r="H260" s="7" t="n">
        <v>46282.95833333334</v>
      </c>
      <c r="I260" s="20" t="n">
        <v>0.6765658</v>
      </c>
      <c r="J260" s="2" t="inlineStr">
        <is>
          <t>止盈</t>
        </is>
      </c>
      <c r="K260" s="5">
        <f>(H260-D260)*24</f>
        <v/>
      </c>
      <c r="L260" s="4">
        <f>IF(C260="做多",I260/E260-1,1-I260/E260)-2*參數!$B$7</f>
        <v/>
      </c>
      <c r="M260" s="2" t="inlineStr"/>
      <c r="N260" s="4" t="n">
        <v>0.04101556309233256</v>
      </c>
      <c r="O260" s="4" t="n">
        <v>0.09072247896364842</v>
      </c>
      <c r="P260" s="4" t="n">
        <v>0.03745014005403147</v>
      </c>
      <c r="Q260" s="22" t="n">
        <v>1428162</v>
      </c>
      <c r="R260" s="22" t="n">
        <v>15030591.31232</v>
      </c>
      <c r="S260" s="4" t="n">
        <v>0.03</v>
      </c>
      <c r="T260" s="4" t="n">
        <v>0.03142222086898272</v>
      </c>
      <c r="U260" s="19" t="n">
        <v>0.5502625745926619</v>
      </c>
      <c r="V260" s="19" t="n">
        <v>0.8745980707395492</v>
      </c>
      <c r="W260" s="4" t="n">
        <v>0.5629312658586867</v>
      </c>
      <c r="X260" s="4" t="n">
        <v>0.2020935892978057</v>
      </c>
      <c r="Y260" s="4" t="n">
        <v>0.0009859272953907094</v>
      </c>
      <c r="Z260" s="4" t="n">
        <v>0.003379461603953526</v>
      </c>
      <c r="AA260" s="4" t="n">
        <v>0.03</v>
      </c>
      <c r="AB260" s="4" t="n">
        <v>0.05</v>
      </c>
      <c r="AC260" s="4">
        <f>(AB260+2*參數!$B$7)/(AA260+AB260)</f>
        <v/>
      </c>
    </row>
    <row r="261">
      <c r="A261" s="2" t="n">
        <v>260</v>
      </c>
      <c r="B261" s="2" t="inlineStr">
        <is>
          <t>牛来_USDT_PERP</t>
        </is>
      </c>
      <c r="C261" s="2" t="inlineStr">
        <is>
          <t>做空</t>
        </is>
      </c>
      <c r="D261" s="7" t="n">
        <v>46282.83333333334</v>
      </c>
      <c r="E261" s="20" t="n">
        <v>0.10472</v>
      </c>
      <c r="F261" s="20" t="n">
        <v>0.1015784</v>
      </c>
      <c r="G261" s="20" t="n">
        <v>0.109956</v>
      </c>
      <c r="H261" s="7" t="n">
        <v>46282.91666666666</v>
      </c>
      <c r="I261" s="20" t="n">
        <v>0.109956</v>
      </c>
      <c r="J261" s="2" t="inlineStr">
        <is>
          <t>止損</t>
        </is>
      </c>
      <c r="K261" s="5">
        <f>(H261-D261)*24</f>
        <v/>
      </c>
      <c r="L261" s="4">
        <f>IF(C261="做多",I261/E261-1,1-I261/E261)-2*參數!$B$7</f>
        <v/>
      </c>
      <c r="M261" s="2" t="inlineStr"/>
      <c r="N261" s="4" t="n">
        <v>-0.04172767203513916</v>
      </c>
      <c r="O261" s="4" t="n">
        <v>0.04048676979687356</v>
      </c>
      <c r="P261" s="4" t="n">
        <v>-0.006338482559684278</v>
      </c>
      <c r="Q261" s="22" t="n">
        <v>-4050075</v>
      </c>
      <c r="R261" s="22" t="n">
        <v>2337042.32057</v>
      </c>
      <c r="S261" s="4" t="n">
        <v>0.0003819709702062024</v>
      </c>
      <c r="T261" s="4" t="n">
        <v>0.05</v>
      </c>
      <c r="U261" s="19" t="n">
        <v>0.3772019483351589</v>
      </c>
      <c r="V261" s="19" t="n">
        <v>0.9287090558766868</v>
      </c>
      <c r="W261" s="4" t="n">
        <v>0.08628786120510201</v>
      </c>
      <c r="X261" s="4" t="n">
        <v>0.06791277258566986</v>
      </c>
      <c r="Y261" s="4" t="n">
        <v>-0.0009859272953907094</v>
      </c>
      <c r="Z261" s="4" t="n">
        <v>-0.003379461603953526</v>
      </c>
      <c r="AA261" s="4" t="n">
        <v>0.03</v>
      </c>
      <c r="AB261" s="4" t="n">
        <v>0.05</v>
      </c>
      <c r="AC261" s="4">
        <f>(AB261+2*參數!$B$7)/(AA261+AB261)</f>
        <v/>
      </c>
    </row>
    <row r="262">
      <c r="A262" s="2" t="n">
        <v>261</v>
      </c>
      <c r="B262" s="2" t="inlineStr">
        <is>
          <t>PONS_USDT_PERP</t>
        </is>
      </c>
      <c r="C262" s="2" t="inlineStr">
        <is>
          <t>做多</t>
        </is>
      </c>
      <c r="D262" s="7" t="n">
        <v>46282.95833333334</v>
      </c>
      <c r="E262" s="20" t="n">
        <v>0.6459</v>
      </c>
      <c r="F262" s="20" t="n">
        <v>0.665277</v>
      </c>
      <c r="G262" s="20" t="n">
        <v>0.613605</v>
      </c>
      <c r="H262" s="7" t="n">
        <v>46283</v>
      </c>
      <c r="I262" s="20" t="n">
        <v>0.665277</v>
      </c>
      <c r="J262" s="2" t="inlineStr">
        <is>
          <t>止盈</t>
        </is>
      </c>
      <c r="K262" s="5">
        <f>(H262-D262)*24</f>
        <v/>
      </c>
      <c r="L262" s="4">
        <f>IF(C262="做多",I262/E262-1,1-I262/E262)-2*參數!$B$7</f>
        <v/>
      </c>
      <c r="M262" s="2" t="inlineStr"/>
      <c r="N262" s="4" t="n">
        <v>0.03080114905841036</v>
      </c>
      <c r="O262" s="4" t="n">
        <v>0.03659783620704936</v>
      </c>
      <c r="P262" s="4" t="n">
        <v>0.04448648910881481</v>
      </c>
      <c r="Q262" s="22" t="n">
        <v>746179</v>
      </c>
      <c r="R262" s="22" t="n">
        <v>3564264.4443</v>
      </c>
      <c r="S262" s="4" t="n">
        <v>0.03</v>
      </c>
      <c r="T262" s="4" t="n">
        <v>0</v>
      </c>
      <c r="U262" s="19" t="n">
        <v>1.539073903228633</v>
      </c>
      <c r="V262" s="19" t="n">
        <v>0.9482758620689674</v>
      </c>
      <c r="W262" s="4" t="n">
        <v>0.07694334167565664</v>
      </c>
      <c r="X262" s="4" t="n">
        <v>0.1307773109243697</v>
      </c>
      <c r="Y262" s="4" t="n">
        <v>-0.002634616513306764</v>
      </c>
      <c r="Z262" s="4" t="n">
        <v>0.001792285847649344</v>
      </c>
      <c r="AA262" s="4" t="n">
        <v>0.03</v>
      </c>
      <c r="AB262" s="4" t="n">
        <v>0.05</v>
      </c>
      <c r="AC262" s="4">
        <f>(AB262+2*參數!$B$7)/(AA262+AB262)</f>
        <v/>
      </c>
    </row>
    <row r="263">
      <c r="A263" s="2" t="n">
        <v>262</v>
      </c>
      <c r="B263" s="2" t="inlineStr">
        <is>
          <t>ZEC_USDT_PERP</t>
        </is>
      </c>
      <c r="C263" s="2" t="inlineStr">
        <is>
          <t>做多</t>
        </is>
      </c>
      <c r="D263" s="7" t="n">
        <v>46282.95833333334</v>
      </c>
      <c r="E263" s="20" t="n">
        <v>1422.48</v>
      </c>
      <c r="F263" s="20" t="n">
        <v>1465.1544</v>
      </c>
      <c r="G263" s="20" t="n">
        <v>1351.356</v>
      </c>
      <c r="H263" s="7" t="n">
        <v>46283</v>
      </c>
      <c r="I263" s="20" t="n">
        <v>1465.1544</v>
      </c>
      <c r="J263" s="2" t="inlineStr">
        <is>
          <t>止盈</t>
        </is>
      </c>
      <c r="K263" s="5">
        <f>(H263-D263)*24</f>
        <v/>
      </c>
      <c r="L263" s="4">
        <f>IF(C263="做多",I263/E263-1,1-I263/E263)-2*參數!$B$7</f>
        <v/>
      </c>
      <c r="M263" s="2" t="inlineStr"/>
      <c r="N263" s="4" t="n">
        <v>0.03563056044964119</v>
      </c>
      <c r="O263" s="4" t="n">
        <v>0.02457261291058671</v>
      </c>
      <c r="P263" s="4" t="n">
        <v>0.05102318268332762</v>
      </c>
      <c r="Q263" s="22" t="n">
        <v>8293.069999999992</v>
      </c>
      <c r="R263" s="22" t="n">
        <v>58814257.46918</v>
      </c>
      <c r="S263" s="4" t="n">
        <v>0.03</v>
      </c>
      <c r="T263" s="4" t="n">
        <v>0</v>
      </c>
      <c r="U263" s="19" t="n">
        <v>2.482587115911764</v>
      </c>
      <c r="V263" s="19" t="n">
        <v>0.7469093873115078</v>
      </c>
      <c r="W263" s="4" t="n">
        <v>0.1986935110374048</v>
      </c>
      <c r="X263" s="4" t="n">
        <v>0.1428755071706904</v>
      </c>
      <c r="Y263" s="4" t="n">
        <v>-0.002634616513306764</v>
      </c>
      <c r="Z263" s="4" t="n">
        <v>0.001792285847649344</v>
      </c>
      <c r="AA263" s="4" t="n">
        <v>0.03</v>
      </c>
      <c r="AB263" s="4" t="n">
        <v>0.05</v>
      </c>
      <c r="AC263" s="4">
        <f>(AB263+2*參數!$B$7)/(AA263+AB263)</f>
        <v/>
      </c>
    </row>
    <row r="264">
      <c r="A264" s="2" t="n">
        <v>263</v>
      </c>
      <c r="B264" s="2" t="inlineStr">
        <is>
          <t>ARB_USDT_PERP</t>
        </is>
      </c>
      <c r="C264" s="2" t="inlineStr">
        <is>
          <t>做多</t>
        </is>
      </c>
      <c r="D264" s="7" t="n">
        <v>46283</v>
      </c>
      <c r="E264" s="20" t="n">
        <v>0.1709</v>
      </c>
      <c r="F264" s="20" t="n">
        <v>0.176027</v>
      </c>
      <c r="G264" s="20" t="n">
        <v>0.162355</v>
      </c>
      <c r="H264" s="7" t="n">
        <v>46283.04166666666</v>
      </c>
      <c r="I264" s="20" t="n">
        <v>0.176027</v>
      </c>
      <c r="J264" s="2" t="inlineStr">
        <is>
          <t>止盈</t>
        </is>
      </c>
      <c r="K264" s="5">
        <f>(H264-D264)*24</f>
        <v/>
      </c>
      <c r="L264" s="4">
        <f>IF(C264="做多",I264/E264-1,1-I264/E264)-2*參數!$B$7</f>
        <v/>
      </c>
      <c r="M264" s="2" t="inlineStr"/>
      <c r="N264" s="4" t="n">
        <v>0.04270896888346565</v>
      </c>
      <c r="O264" s="4" t="n">
        <v>0.02717803809897244</v>
      </c>
      <c r="P264" s="4" t="n">
        <v>0.03400290416263307</v>
      </c>
      <c r="Q264" s="22" t="n">
        <v>283194.9000000004</v>
      </c>
      <c r="R264" s="22" t="n">
        <v>4638450.92544</v>
      </c>
      <c r="S264" s="4" t="n">
        <v>0.03</v>
      </c>
      <c r="T264" s="4" t="n">
        <v>0</v>
      </c>
      <c r="U264" s="19" t="n">
        <v>5.039671171572199</v>
      </c>
      <c r="V264" s="19" t="n">
        <v>0.9775280898876397</v>
      </c>
      <c r="W264" s="4" t="n">
        <v>0.1595166532102124</v>
      </c>
      <c r="X264" s="4" t="n">
        <v>0.08992346938775508</v>
      </c>
      <c r="Y264" s="4" t="n">
        <v>0.003690360208972177</v>
      </c>
      <c r="Z264" s="4" t="n">
        <v>0.005025605979370518</v>
      </c>
      <c r="AA264" s="4" t="n">
        <v>0.03</v>
      </c>
      <c r="AB264" s="4" t="n">
        <v>0.05</v>
      </c>
      <c r="AC264" s="4">
        <f>(AB264+2*參數!$B$7)/(AA264+AB264)</f>
        <v/>
      </c>
    </row>
    <row r="265">
      <c r="A265" s="2" t="n">
        <v>264</v>
      </c>
      <c r="B265" s="2" t="inlineStr">
        <is>
          <t>DASH_USDT_PERP</t>
        </is>
      </c>
      <c r="C265" s="2" t="inlineStr">
        <is>
          <t>做多</t>
        </is>
      </c>
      <c r="D265" s="7" t="n">
        <v>46283</v>
      </c>
      <c r="E265" s="20" t="n">
        <v>60.16</v>
      </c>
      <c r="F265" s="20" t="n">
        <v>61.9648</v>
      </c>
      <c r="G265" s="20" t="n">
        <v>57.15199999999999</v>
      </c>
      <c r="H265" s="7" t="n">
        <v>46283.04166666666</v>
      </c>
      <c r="I265" s="20" t="n">
        <v>61.9648</v>
      </c>
      <c r="J265" s="2" t="inlineStr">
        <is>
          <t>止盈</t>
        </is>
      </c>
      <c r="K265" s="5">
        <f>(H265-D265)*24</f>
        <v/>
      </c>
      <c r="L265" s="4">
        <f>IF(C265="做多",I265/E265-1,1-I265/E265)-2*參數!$B$7</f>
        <v/>
      </c>
      <c r="M265" s="2" t="inlineStr"/>
      <c r="N265" s="4" t="n">
        <v>0.032258064516129</v>
      </c>
      <c r="O265" s="4" t="n">
        <v>0.02679911180469867</v>
      </c>
      <c r="P265" s="4" t="n">
        <v>0.04098353564105439</v>
      </c>
      <c r="Q265" s="22" t="n">
        <v>1875.628000000002</v>
      </c>
      <c r="R265" s="22" t="n">
        <v>1368045.26755</v>
      </c>
      <c r="S265" s="4" t="n">
        <v>0.03</v>
      </c>
      <c r="T265" s="4" t="n">
        <v>0</v>
      </c>
      <c r="U265" s="19" t="n">
        <v>1.521934848434477</v>
      </c>
      <c r="V265" s="19" t="n">
        <v>0.8906249999999993</v>
      </c>
      <c r="W265" s="4" t="n">
        <v>0.1103789795809131</v>
      </c>
      <c r="X265" s="4" t="n">
        <v>0.1118092773978931</v>
      </c>
      <c r="Y265" s="4" t="n">
        <v>0.003690360208972177</v>
      </c>
      <c r="Z265" s="4" t="n">
        <v>0.005025605979370518</v>
      </c>
      <c r="AA265" s="4" t="n">
        <v>0.03</v>
      </c>
      <c r="AB265" s="4" t="n">
        <v>0.05</v>
      </c>
      <c r="AC265" s="4">
        <f>(AB265+2*參數!$B$7)/(AA265+AB265)</f>
        <v/>
      </c>
    </row>
    <row r="266">
      <c r="A266" s="2" t="n">
        <v>265</v>
      </c>
      <c r="B266" s="2" t="inlineStr">
        <is>
          <t>NEAR_USDT_PERP</t>
        </is>
      </c>
      <c r="C266" s="2" t="inlineStr">
        <is>
          <t>做多</t>
        </is>
      </c>
      <c r="D266" s="7" t="n">
        <v>46283</v>
      </c>
      <c r="E266" s="20" t="n">
        <v>2.875</v>
      </c>
      <c r="F266" s="20" t="n">
        <v>2.96125</v>
      </c>
      <c r="G266" s="20" t="n">
        <v>2.73125</v>
      </c>
      <c r="H266" s="7" t="n">
        <v>46283.04166666666</v>
      </c>
      <c r="I266" s="20" t="n">
        <v>2.96125</v>
      </c>
      <c r="J266" s="2" t="inlineStr">
        <is>
          <t>止盈</t>
        </is>
      </c>
      <c r="K266" s="5">
        <f>(H266-D266)*24</f>
        <v/>
      </c>
      <c r="L266" s="4">
        <f>IF(C266="做多",I266/E266-1,1-I266/E266)-2*參數!$B$7</f>
        <v/>
      </c>
      <c r="M266" s="2" t="inlineStr"/>
      <c r="N266" s="4" t="n">
        <v>0.02167732764747687</v>
      </c>
      <c r="O266" s="4" t="n">
        <v>0.02290206153299641</v>
      </c>
      <c r="P266" s="4" t="n">
        <v>0.05764632306956541</v>
      </c>
      <c r="Q266" s="22" t="n">
        <v>1108520</v>
      </c>
      <c r="R266" s="22" t="n">
        <v>6798736.242000001</v>
      </c>
      <c r="S266" s="4" t="n">
        <v>0.03</v>
      </c>
      <c r="T266" s="4" t="n">
        <v>0</v>
      </c>
      <c r="U266" s="19" t="n">
        <v>2.676599287845367</v>
      </c>
      <c r="V266" s="19" t="n">
        <v>0.89873417721519</v>
      </c>
      <c r="W266" s="4" t="n">
        <v>0.1686991869918699</v>
      </c>
      <c r="X266" s="4" t="n">
        <v>0.1715566422167889</v>
      </c>
      <c r="Y266" s="4" t="n">
        <v>0.003690360208972177</v>
      </c>
      <c r="Z266" s="4" t="n">
        <v>0.005025605979370518</v>
      </c>
      <c r="AA266" s="4" t="n">
        <v>0.03</v>
      </c>
      <c r="AB266" s="4" t="n">
        <v>0.05</v>
      </c>
      <c r="AC266" s="4">
        <f>(AB266+2*參數!$B$7)/(AA266+AB266)</f>
        <v/>
      </c>
    </row>
    <row r="267">
      <c r="A267" s="2" t="n">
        <v>266</v>
      </c>
      <c r="B267" s="2" t="inlineStr">
        <is>
          <t>ENA_USDT_PERP</t>
        </is>
      </c>
      <c r="C267" s="2" t="inlineStr">
        <is>
          <t>做多</t>
        </is>
      </c>
      <c r="D267" s="7" t="n">
        <v>46283.08333333334</v>
      </c>
      <c r="E267" s="20" t="n">
        <v>0.1581</v>
      </c>
      <c r="F267" s="20" t="n">
        <v>0.162843</v>
      </c>
      <c r="G267" s="20" t="n">
        <v>0.150195</v>
      </c>
      <c r="H267" s="7" t="n">
        <v>46283.45833333334</v>
      </c>
      <c r="I267" s="20" t="n">
        <v>0.162843</v>
      </c>
      <c r="J267" s="2" t="inlineStr">
        <is>
          <t>止盈</t>
        </is>
      </c>
      <c r="K267" s="5">
        <f>(H267-D267)*24</f>
        <v/>
      </c>
      <c r="L267" s="4">
        <f>IF(C267="做多",I267/E267-1,1-I267/E267)-2*參數!$B$7</f>
        <v/>
      </c>
      <c r="M267" s="2" t="inlineStr"/>
      <c r="N267" s="4" t="n">
        <v>0.02065848934796621</v>
      </c>
      <c r="O267" s="4" t="n">
        <v>0.02073458988494651</v>
      </c>
      <c r="P267" s="4" t="n">
        <v>0.04280720269111526</v>
      </c>
      <c r="Q267" s="22" t="n">
        <v>15777914</v>
      </c>
      <c r="R267" s="22" t="n">
        <v>5654372.4355</v>
      </c>
      <c r="S267" s="4" t="n">
        <v>0.03</v>
      </c>
      <c r="T267" s="4" t="n">
        <v>0.04680581910183423</v>
      </c>
      <c r="U267" s="19" t="n">
        <v>7.395776959201131</v>
      </c>
      <c r="V267" s="19" t="n">
        <v>0.7441860465116237</v>
      </c>
      <c r="W267" s="4" t="n">
        <v>0.1006070394297169</v>
      </c>
      <c r="X267" s="4" t="n">
        <v>0.1079187105816397</v>
      </c>
      <c r="Y267" s="4" t="n">
        <v>-0.001188543070350989</v>
      </c>
      <c r="Z267" s="4" t="n">
        <v>0.002733196136015081</v>
      </c>
      <c r="AA267" s="4" t="n">
        <v>0.03</v>
      </c>
      <c r="AB267" s="4" t="n">
        <v>0.05</v>
      </c>
      <c r="AC267" s="4">
        <f>(AB267+2*參數!$B$7)/(AA267+AB267)</f>
        <v/>
      </c>
    </row>
    <row r="268">
      <c r="A268" s="2" t="n">
        <v>267</v>
      </c>
      <c r="B268" s="2" t="inlineStr">
        <is>
          <t>VVV_USDT_PERP</t>
        </is>
      </c>
      <c r="C268" s="2" t="inlineStr">
        <is>
          <t>做多</t>
        </is>
      </c>
      <c r="D268" s="7" t="n">
        <v>46283.125</v>
      </c>
      <c r="E268" s="20" t="n">
        <v>25.152</v>
      </c>
      <c r="F268" s="20" t="n">
        <v>25.90656</v>
      </c>
      <c r="G268" s="20" t="n">
        <v>23.8944</v>
      </c>
      <c r="H268" s="7" t="n">
        <v>46283.41666666666</v>
      </c>
      <c r="I268" s="20" t="n">
        <v>25.90656</v>
      </c>
      <c r="J268" s="2" t="inlineStr">
        <is>
          <t>止盈</t>
        </is>
      </c>
      <c r="K268" s="5">
        <f>(H268-D268)*24</f>
        <v/>
      </c>
      <c r="L268" s="4">
        <f>IF(C268="做多",I268/E268-1,1-I268/E268)-2*參數!$B$7</f>
        <v/>
      </c>
      <c r="M268" s="2" t="inlineStr"/>
      <c r="N268" s="4" t="n">
        <v>0.0320039389463318</v>
      </c>
      <c r="O268" s="4" t="n">
        <v>0.02443903880866428</v>
      </c>
      <c r="P268" s="4" t="n">
        <v>0.01678059902413009</v>
      </c>
      <c r="Q268" s="22" t="n">
        <v>21013.16000000002</v>
      </c>
      <c r="R268" s="22" t="n">
        <v>1389453.07448</v>
      </c>
      <c r="S268" s="4" t="n">
        <v>0.03</v>
      </c>
      <c r="T268" s="4" t="n">
        <v>0.01972010178117056</v>
      </c>
      <c r="U268" s="19" t="n">
        <v>1.927413978091563</v>
      </c>
      <c r="V268" s="19" t="n">
        <v>0.9753639417693186</v>
      </c>
      <c r="W268" s="4" t="n">
        <v>0.1058103846463294</v>
      </c>
      <c r="X268" s="4" t="n">
        <v>0.08106249462735327</v>
      </c>
      <c r="Y268" s="4" t="n">
        <v>-0.001332178170022846</v>
      </c>
      <c r="Z268" s="4" t="n">
        <v>0.0008132499262361037</v>
      </c>
      <c r="AA268" s="4" t="n">
        <v>0.03</v>
      </c>
      <c r="AB268" s="4" t="n">
        <v>0.05</v>
      </c>
      <c r="AC268" s="4">
        <f>(AB268+2*參數!$B$7)/(AA268+AB268)</f>
        <v/>
      </c>
    </row>
    <row r="269">
      <c r="A269" s="2" t="n">
        <v>268</v>
      </c>
      <c r="B269" s="2" t="inlineStr">
        <is>
          <t>AKE_USDT_PERP</t>
        </is>
      </c>
      <c r="C269" s="2" t="inlineStr">
        <is>
          <t>做多</t>
        </is>
      </c>
      <c r="D269" s="7" t="n">
        <v>46283.20833333334</v>
      </c>
      <c r="E269" s="20" t="n">
        <v>0.0214905</v>
      </c>
      <c r="F269" s="20" t="n">
        <v>0.022135215</v>
      </c>
      <c r="G269" s="20" t="n">
        <v>0.020415975</v>
      </c>
      <c r="H269" s="7" t="n">
        <v>46283.625</v>
      </c>
      <c r="I269" s="20" t="n">
        <v>0.022135215</v>
      </c>
      <c r="J269" s="2" t="inlineStr">
        <is>
          <t>止盈</t>
        </is>
      </c>
      <c r="K269" s="5">
        <f>(H269-D269)*24</f>
        <v/>
      </c>
      <c r="L269" s="4">
        <f>IF(C269="做多",I269/E269-1,1-I269/E269)-2*參數!$B$7</f>
        <v/>
      </c>
      <c r="M269" s="2" t="inlineStr"/>
      <c r="N269" s="4" t="n">
        <v>0.02601990881096183</v>
      </c>
      <c r="O269" s="4" t="n">
        <v>0.04972128367543062</v>
      </c>
      <c r="P269" s="4" t="n">
        <v>0.0241716031320145</v>
      </c>
      <c r="Q269" s="22" t="n">
        <v>5592380</v>
      </c>
      <c r="R269" s="22" t="n">
        <v>1554549.0829196</v>
      </c>
      <c r="S269" s="4" t="n">
        <v>0.03</v>
      </c>
      <c r="T269" s="4" t="n">
        <v>0.0264256299295037</v>
      </c>
      <c r="U269" s="19" t="n">
        <v>0.5059324416336631</v>
      </c>
      <c r="V269" s="19" t="n">
        <v>0.6913765131661026</v>
      </c>
      <c r="W269" s="4" t="n">
        <v>0.03822742709846749</v>
      </c>
      <c r="X269" s="4" t="n">
        <v>0.111223144341891</v>
      </c>
      <c r="Y269" s="4" t="n">
        <v>-0.0003996823439672559</v>
      </c>
      <c r="Z269" s="4" t="n">
        <v>0.0002900349911074684</v>
      </c>
      <c r="AA269" s="4" t="n">
        <v>0.03</v>
      </c>
      <c r="AB269" s="4" t="n">
        <v>0.05</v>
      </c>
      <c r="AC269" s="4">
        <f>(AB269+2*參數!$B$7)/(AA269+AB269)</f>
        <v/>
      </c>
    </row>
    <row r="270">
      <c r="A270" s="2" t="n">
        <v>269</v>
      </c>
      <c r="B270" s="2" t="inlineStr">
        <is>
          <t>PONS_USDT_PERP</t>
        </is>
      </c>
      <c r="C270" s="2" t="inlineStr">
        <is>
          <t>做多</t>
        </is>
      </c>
      <c r="D270" s="7" t="n">
        <v>46283.29166666666</v>
      </c>
      <c r="E270" s="20" t="n">
        <v>0.6647</v>
      </c>
      <c r="F270" s="20" t="n">
        <v>0.6846409999999999</v>
      </c>
      <c r="G270" s="20" t="n">
        <v>0.6314649999999999</v>
      </c>
      <c r="H270" s="7" t="n">
        <v>46283.33333333334</v>
      </c>
      <c r="I270" s="20" t="n">
        <v>0.6846409999999999</v>
      </c>
      <c r="J270" s="2" t="inlineStr">
        <is>
          <t>止盈</t>
        </is>
      </c>
      <c r="K270" s="5">
        <f>(H270-D270)*24</f>
        <v/>
      </c>
      <c r="L270" s="4">
        <f>IF(C270="做多",I270/E270-1,1-I270/E270)-2*參數!$B$7</f>
        <v/>
      </c>
      <c r="M270" s="2" t="inlineStr"/>
      <c r="N270" s="4" t="n">
        <v>0.02656370656370655</v>
      </c>
      <c r="O270" s="4" t="n">
        <v>0.03346378228372149</v>
      </c>
      <c r="P270" s="4" t="n">
        <v>0.03004757403418501</v>
      </c>
      <c r="Q270" s="22" t="n">
        <v>212974</v>
      </c>
      <c r="R270" s="22" t="n">
        <v>3055127.0186</v>
      </c>
      <c r="S270" s="4" t="n">
        <v>0.03</v>
      </c>
      <c r="T270" s="4" t="n">
        <v>0</v>
      </c>
      <c r="U270" s="19" t="n">
        <v>0.4939430527295209</v>
      </c>
      <c r="V270" s="19" t="n">
        <v>1</v>
      </c>
      <c r="W270" s="4" t="n">
        <v>0.09392948952151481</v>
      </c>
      <c r="X270" s="4" t="n">
        <v>0.20329471397538</v>
      </c>
      <c r="Y270" s="4" t="n">
        <v>0.0001322396286815852</v>
      </c>
      <c r="Z270" s="4" t="n">
        <v>-0.001642285931841903</v>
      </c>
      <c r="AA270" s="4" t="n">
        <v>0.03</v>
      </c>
      <c r="AB270" s="4" t="n">
        <v>0.05</v>
      </c>
      <c r="AC270" s="4">
        <f>(AB270+2*參數!$B$7)/(AA270+AB270)</f>
        <v/>
      </c>
    </row>
    <row r="271">
      <c r="A271" s="2" t="n">
        <v>270</v>
      </c>
      <c r="B271" s="2" t="inlineStr">
        <is>
          <t>GENIUS_USDT_PERP</t>
        </is>
      </c>
      <c r="C271" s="2" t="inlineStr">
        <is>
          <t>做多</t>
        </is>
      </c>
      <c r="D271" s="7" t="n">
        <v>46283.33333333334</v>
      </c>
      <c r="E271" s="20" t="n">
        <v>0.361</v>
      </c>
      <c r="F271" s="20" t="n">
        <v>0.37183</v>
      </c>
      <c r="G271" s="20" t="n">
        <v>0.34295</v>
      </c>
      <c r="H271" s="7" t="n">
        <v>46283.375</v>
      </c>
      <c r="I271" s="20" t="n">
        <v>0.37183</v>
      </c>
      <c r="J271" s="2" t="inlineStr">
        <is>
          <t>止盈</t>
        </is>
      </c>
      <c r="K271" s="5">
        <f>(H271-D271)*24</f>
        <v/>
      </c>
      <c r="L271" s="4">
        <f>IF(C271="做多",I271/E271-1,1-I271/E271)-2*參數!$B$7</f>
        <v/>
      </c>
      <c r="M271" s="2" t="inlineStr"/>
      <c r="N271" s="4" t="n">
        <v>0.02790432801822318</v>
      </c>
      <c r="O271" s="4" t="n">
        <v>0.06081892773001768</v>
      </c>
      <c r="P271" s="4" t="n">
        <v>0.03863969847800419</v>
      </c>
      <c r="Q271" s="22" t="n">
        <v>1108599</v>
      </c>
      <c r="R271" s="22" t="n">
        <v>2382541.9038</v>
      </c>
      <c r="S271" s="4" t="n">
        <v>0.03</v>
      </c>
      <c r="T271" s="4" t="n">
        <v>0</v>
      </c>
      <c r="U271" s="19" t="n">
        <v>1.173640421312049</v>
      </c>
      <c r="V271" s="19" t="n">
        <v>0.5754716981132071</v>
      </c>
      <c r="W271" s="4" t="n">
        <v>0.1599437057791544</v>
      </c>
      <c r="X271" s="4" t="n">
        <v>0.1882817643186305</v>
      </c>
      <c r="Y271" s="4" t="n">
        <v>-9.163910947851406e-06</v>
      </c>
      <c r="Z271" s="4" t="n">
        <v>-0.001640996109667614</v>
      </c>
      <c r="AA271" s="4" t="n">
        <v>0.03</v>
      </c>
      <c r="AB271" s="4" t="n">
        <v>0.05</v>
      </c>
      <c r="AC271" s="4">
        <f>(AB271+2*參數!$B$7)/(AA271+AB271)</f>
        <v/>
      </c>
    </row>
    <row r="272">
      <c r="A272" s="2" t="n">
        <v>271</v>
      </c>
      <c r="B272" s="2" t="inlineStr">
        <is>
          <t>BR_USDT_PERP</t>
        </is>
      </c>
      <c r="C272" s="2" t="inlineStr">
        <is>
          <t>做多</t>
        </is>
      </c>
      <c r="D272" s="7" t="n">
        <v>46283.41666666666</v>
      </c>
      <c r="E272" s="20" t="n">
        <v>0.68503</v>
      </c>
      <c r="F272" s="20" t="n">
        <v>0.7055809000000001</v>
      </c>
      <c r="G272" s="20" t="n">
        <v>0.6507785</v>
      </c>
      <c r="H272" s="7" t="n">
        <v>46283.45833333334</v>
      </c>
      <c r="I272" s="20" t="n">
        <v>0.6507785</v>
      </c>
      <c r="J272" s="2" t="inlineStr">
        <is>
          <t>止損</t>
        </is>
      </c>
      <c r="K272" s="5">
        <f>(H272-D272)*24</f>
        <v/>
      </c>
      <c r="L272" s="4">
        <f>IF(C272="做多",I272/E272-1,1-I272/E272)-2*參數!$B$7</f>
        <v/>
      </c>
      <c r="M272" s="2" t="inlineStr"/>
      <c r="N272" s="4" t="n">
        <v>0.02767859821776852</v>
      </c>
      <c r="O272" s="4" t="n">
        <v>0.05073655850291642</v>
      </c>
      <c r="P272" s="4" t="n">
        <v>0.04602539210873302</v>
      </c>
      <c r="Q272" s="22" t="n">
        <v>1478275</v>
      </c>
      <c r="R272" s="22" t="n">
        <v>10774576.9653</v>
      </c>
      <c r="S272" s="4" t="n">
        <v>0</v>
      </c>
      <c r="T272" s="4" t="n">
        <v>0.05</v>
      </c>
      <c r="U272" s="19" t="n">
        <v>0.4660707714372289</v>
      </c>
      <c r="V272" s="19" t="n">
        <v>0.8708971553610502</v>
      </c>
      <c r="W272" s="4" t="n">
        <v>0.444993306915372</v>
      </c>
      <c r="X272" s="4" t="n">
        <v>0.2074843122047521</v>
      </c>
      <c r="Y272" s="4" t="n">
        <v>0.001975084156611517</v>
      </c>
      <c r="Z272" s="4" t="n">
        <v>0.002225530240778761</v>
      </c>
      <c r="AA272" s="4" t="n">
        <v>0.03</v>
      </c>
      <c r="AB272" s="4" t="n">
        <v>0.05</v>
      </c>
      <c r="AC272" s="4">
        <f>(AB272+2*參數!$B$7)/(AA272+AB272)</f>
        <v/>
      </c>
    </row>
    <row r="273">
      <c r="A273" s="2" t="n">
        <v>272</v>
      </c>
      <c r="B273" s="2" t="inlineStr">
        <is>
          <t>LSK_USDT_PERP</t>
        </is>
      </c>
      <c r="C273" s="2" t="inlineStr">
        <is>
          <t>做空</t>
        </is>
      </c>
      <c r="D273" s="7" t="n">
        <v>46283.41666666666</v>
      </c>
      <c r="E273" s="20" t="n">
        <v>0.4331</v>
      </c>
      <c r="F273" s="20" t="n">
        <v>0.420107</v>
      </c>
      <c r="G273" s="20" t="n">
        <v>0.454755</v>
      </c>
      <c r="H273" s="7" t="n">
        <v>46283.45833333334</v>
      </c>
      <c r="I273" s="20" t="n">
        <v>0.420107</v>
      </c>
      <c r="J273" s="2" t="inlineStr">
        <is>
          <t>止盈</t>
        </is>
      </c>
      <c r="K273" s="5">
        <f>(H273-D273)*24</f>
        <v/>
      </c>
      <c r="L273" s="4">
        <f>IF(C273="做多",I273/E273-1,1-I273/E273)-2*參數!$B$7</f>
        <v/>
      </c>
      <c r="M273" s="2" t="inlineStr"/>
      <c r="N273" s="4" t="n">
        <v>-0.0265228141155317</v>
      </c>
      <c r="O273" s="4" t="n">
        <v>0.08666889874240431</v>
      </c>
      <c r="P273" s="4" t="n">
        <v>-0.0498859248859248</v>
      </c>
      <c r="Q273" s="22" t="n">
        <v>-2134481</v>
      </c>
      <c r="R273" s="22" t="n">
        <v>4914218.5324</v>
      </c>
      <c r="S273" s="4" t="n">
        <v>0.03</v>
      </c>
      <c r="T273" s="4" t="n">
        <v>0</v>
      </c>
      <c r="U273" s="19" t="n">
        <v>2.821104346746711</v>
      </c>
      <c r="V273" s="19" t="n">
        <v>0.1596752368064956</v>
      </c>
      <c r="W273" s="4" t="n">
        <v>0.1743005576473953</v>
      </c>
      <c r="X273" s="4" t="n">
        <v>0.1338</v>
      </c>
      <c r="Y273" s="4" t="n">
        <v>-0.001975084156611517</v>
      </c>
      <c r="Z273" s="4" t="n">
        <v>-0.002225530240778761</v>
      </c>
      <c r="AA273" s="4" t="n">
        <v>0.03</v>
      </c>
      <c r="AB273" s="4" t="n">
        <v>0.05</v>
      </c>
      <c r="AC273" s="4">
        <f>(AB273+2*參數!$B$7)/(AA273+AB273)</f>
        <v/>
      </c>
    </row>
    <row r="274">
      <c r="A274" s="2" t="n">
        <v>273</v>
      </c>
      <c r="B274" s="2" t="inlineStr">
        <is>
          <t>PONS_USDT_PERP</t>
        </is>
      </c>
      <c r="C274" s="2" t="inlineStr">
        <is>
          <t>做多</t>
        </is>
      </c>
      <c r="D274" s="7" t="n">
        <v>46283.41666666666</v>
      </c>
      <c r="E274" s="20" t="n">
        <v>0.6899999999999999</v>
      </c>
      <c r="F274" s="20" t="n">
        <v>0.7107</v>
      </c>
      <c r="G274" s="20" t="n">
        <v>0.6555</v>
      </c>
      <c r="H274" s="7" t="n">
        <v>46283.45833333334</v>
      </c>
      <c r="I274" s="20" t="n">
        <v>0.7107</v>
      </c>
      <c r="J274" s="2" t="inlineStr">
        <is>
          <t>止盈</t>
        </is>
      </c>
      <c r="K274" s="5">
        <f>(H274-D274)*24</f>
        <v/>
      </c>
      <c r="L274" s="4">
        <f>IF(C274="做多",I274/E274-1,1-I274/E274)-2*參數!$B$7</f>
        <v/>
      </c>
      <c r="M274" s="2" t="inlineStr"/>
      <c r="N274" s="4" t="n">
        <v>0.03510351035103509</v>
      </c>
      <c r="O274" s="4" t="n">
        <v>0.03562285949662256</v>
      </c>
      <c r="P274" s="4" t="n">
        <v>0.05833902126647894</v>
      </c>
      <c r="Q274" s="22" t="n">
        <v>192142</v>
      </c>
      <c r="R274" s="22" t="n">
        <v>3104400.2035</v>
      </c>
      <c r="S274" s="4" t="n">
        <v>0.03</v>
      </c>
      <c r="T274" s="4" t="n">
        <v>0</v>
      </c>
      <c r="U274" s="19" t="n">
        <v>0.7455209698180253</v>
      </c>
      <c r="V274" s="19" t="n">
        <v>0.8271604938271588</v>
      </c>
      <c r="W274" s="4" t="n">
        <v>0.1292019815039986</v>
      </c>
      <c r="X274" s="4" t="n">
        <v>0.1157826649417852</v>
      </c>
      <c r="Y274" s="4" t="n">
        <v>0.001975084156611517</v>
      </c>
      <c r="Z274" s="4" t="n">
        <v>0.002225530240778761</v>
      </c>
      <c r="AA274" s="4" t="n">
        <v>0.03</v>
      </c>
      <c r="AB274" s="4" t="n">
        <v>0.05</v>
      </c>
      <c r="AC274" s="4">
        <f>(AB274+2*參數!$B$7)/(AA274+AB274)</f>
        <v/>
      </c>
    </row>
    <row r="275">
      <c r="A275" s="2" t="n">
        <v>274</v>
      </c>
      <c r="B275" s="2" t="inlineStr">
        <is>
          <t>USELESS_USDT_PERP</t>
        </is>
      </c>
      <c r="C275" s="2" t="inlineStr">
        <is>
          <t>做多</t>
        </is>
      </c>
      <c r="D275" s="7" t="n">
        <v>46283.41666666666</v>
      </c>
      <c r="E275" s="20" t="n">
        <v>0.2663</v>
      </c>
      <c r="F275" s="20" t="n">
        <v>0.274289</v>
      </c>
      <c r="G275" s="20" t="n">
        <v>0.252985</v>
      </c>
      <c r="H275" s="7" t="n">
        <v>46283.5</v>
      </c>
      <c r="I275" s="20" t="n">
        <v>0.274289</v>
      </c>
      <c r="J275" s="2" t="inlineStr">
        <is>
          <t>止盈</t>
        </is>
      </c>
      <c r="K275" s="5">
        <f>(H275-D275)*24</f>
        <v/>
      </c>
      <c r="L275" s="4">
        <f>IF(C275="做多",I275/E275-1,1-I275/E275)-2*參數!$B$7</f>
        <v/>
      </c>
      <c r="M275" s="2" t="inlineStr"/>
      <c r="N275" s="4" t="n">
        <v>0.03125121016148391</v>
      </c>
      <c r="O275" s="4" t="n">
        <v>0.03683476581725272</v>
      </c>
      <c r="P275" s="4" t="n">
        <v>0.01237045991955776</v>
      </c>
      <c r="Q275" s="22" t="n">
        <v>589961</v>
      </c>
      <c r="R275" s="22" t="n">
        <v>3238900.64213</v>
      </c>
      <c r="S275" s="4" t="n">
        <v>0.03</v>
      </c>
      <c r="T275" s="4" t="n">
        <v>0.008411565903116647</v>
      </c>
      <c r="U275" s="19" t="n">
        <v>0.8001863047524346</v>
      </c>
      <c r="V275" s="19" t="n">
        <v>0.6106927710843372</v>
      </c>
      <c r="W275" s="4" t="n">
        <v>0.1765906617670774</v>
      </c>
      <c r="X275" s="4" t="n">
        <v>0.1327576672763622</v>
      </c>
      <c r="Y275" s="4" t="n">
        <v>0.001975084156611517</v>
      </c>
      <c r="Z275" s="4" t="n">
        <v>0.002225530240778761</v>
      </c>
      <c r="AA275" s="4" t="n">
        <v>0.03</v>
      </c>
      <c r="AB275" s="4" t="n">
        <v>0.05</v>
      </c>
      <c r="AC275" s="4">
        <f>(AB275+2*參數!$B$7)/(AA275+AB275)</f>
        <v/>
      </c>
    </row>
    <row r="276">
      <c r="A276" s="2" t="n">
        <v>275</v>
      </c>
      <c r="B276" s="2" t="inlineStr">
        <is>
          <t>MARSCOIN_USDT_PERP</t>
        </is>
      </c>
      <c r="C276" s="2" t="inlineStr">
        <is>
          <t>做多</t>
        </is>
      </c>
      <c r="D276" s="7" t="n">
        <v>46283.45833333334</v>
      </c>
      <c r="E276" s="20" t="n">
        <v>0.11984</v>
      </c>
      <c r="F276" s="20" t="n">
        <v>0.1234352</v>
      </c>
      <c r="G276" s="20" t="n">
        <v>0.113848</v>
      </c>
      <c r="H276" s="7" t="n">
        <v>46283.5</v>
      </c>
      <c r="I276" s="20" t="n">
        <v>0.1234352</v>
      </c>
      <c r="J276" s="2" t="inlineStr">
        <is>
          <t>止盈</t>
        </is>
      </c>
      <c r="K276" s="5">
        <f>(H276-D276)*24</f>
        <v/>
      </c>
      <c r="L276" s="4">
        <f>IF(C276="做多",I276/E276-1,1-I276/E276)-2*參數!$B$7</f>
        <v/>
      </c>
      <c r="M276" s="2" t="inlineStr"/>
      <c r="N276" s="4" t="n">
        <v>0.03203582500861168</v>
      </c>
      <c r="O276" s="4" t="n">
        <v>0.04803760990878102</v>
      </c>
      <c r="P276" s="4" t="n">
        <v>0.04421170032936583</v>
      </c>
      <c r="Q276" s="22" t="n">
        <v>5348352</v>
      </c>
      <c r="R276" s="22" t="n">
        <v>2478432.46333</v>
      </c>
      <c r="S276" s="4" t="n">
        <v>0.03</v>
      </c>
      <c r="T276" s="4" t="n">
        <v>0</v>
      </c>
      <c r="U276" s="19" t="n">
        <v>0.7467315087011944</v>
      </c>
      <c r="V276" s="19" t="n">
        <v>0.9114093959731552</v>
      </c>
      <c r="W276" s="4" t="n">
        <v>0.2285221342086621</v>
      </c>
      <c r="X276" s="4" t="n">
        <v>0.1333459428787593</v>
      </c>
      <c r="Y276" s="4" t="n">
        <v>0.003167985356867575</v>
      </c>
      <c r="Z276" s="4" t="n">
        <v>0.005072521977989464</v>
      </c>
      <c r="AA276" s="4" t="n">
        <v>0.03</v>
      </c>
      <c r="AB276" s="4" t="n">
        <v>0.05</v>
      </c>
      <c r="AC276" s="4">
        <f>(AB276+2*參數!$B$7)/(AA276+AB276)</f>
        <v/>
      </c>
    </row>
    <row r="277">
      <c r="A277" s="2" t="n">
        <v>276</v>
      </c>
      <c r="B277" s="2" t="inlineStr">
        <is>
          <t>LIT_USDT_PERP</t>
        </is>
      </c>
      <c r="C277" s="2" t="inlineStr">
        <is>
          <t>做多</t>
        </is>
      </c>
      <c r="D277" s="7" t="n">
        <v>46283.5</v>
      </c>
      <c r="E277" s="20" t="n">
        <v>5.032</v>
      </c>
      <c r="F277" s="20" t="n">
        <v>5.18296</v>
      </c>
      <c r="G277" s="20" t="n">
        <v>4.7804</v>
      </c>
      <c r="H277" s="7" t="n">
        <v>46284.04166666666</v>
      </c>
      <c r="I277" s="20" t="n">
        <v>4.7804</v>
      </c>
      <c r="J277" s="2" t="inlineStr">
        <is>
          <t>止損</t>
        </is>
      </c>
      <c r="K277" s="5">
        <f>(H277-D277)*24</f>
        <v/>
      </c>
      <c r="L277" s="4">
        <f>IF(C277="做多",I277/E277-1,1-I277/E277)-2*參數!$B$7</f>
        <v/>
      </c>
      <c r="M277" s="2" t="inlineStr"/>
      <c r="N277" s="4" t="n">
        <v>0.02484725050916503</v>
      </c>
      <c r="O277" s="4" t="n">
        <v>0.02336059286912625</v>
      </c>
      <c r="P277" s="4" t="n">
        <v>0.04761309932754565</v>
      </c>
      <c r="Q277" s="22" t="n">
        <v>116154.1</v>
      </c>
      <c r="R277" s="22" t="n">
        <v>5209436.4666</v>
      </c>
      <c r="S277" s="4" t="n">
        <v>0.0254372019077902</v>
      </c>
      <c r="T277" s="4" t="n">
        <v>0.05</v>
      </c>
      <c r="U277" s="19" t="n">
        <v>2.024467556233355</v>
      </c>
      <c r="V277" s="19" t="n">
        <v>0.7511961722488053</v>
      </c>
      <c r="W277" s="4" t="n">
        <v>0.1250223573600431</v>
      </c>
      <c r="X277" s="4" t="n">
        <v>0.03966942148760344</v>
      </c>
      <c r="Y277" s="4" t="n">
        <v>0.005212617888207483</v>
      </c>
      <c r="Z277" s="4" t="n">
        <v>0.009707612438792701</v>
      </c>
      <c r="AA277" s="4" t="n">
        <v>0.03</v>
      </c>
      <c r="AB277" s="4" t="n">
        <v>0.05</v>
      </c>
      <c r="AC277" s="4">
        <f>(AB277+2*參數!$B$7)/(AA277+AB277)</f>
        <v/>
      </c>
    </row>
    <row r="278">
      <c r="A278" s="2" t="n">
        <v>277</v>
      </c>
      <c r="B278" s="2" t="inlineStr">
        <is>
          <t>ZEC_USDT_PERP</t>
        </is>
      </c>
      <c r="C278" s="2" t="inlineStr">
        <is>
          <t>做多</t>
        </is>
      </c>
      <c r="D278" s="7" t="n">
        <v>46283.5</v>
      </c>
      <c r="E278" s="20" t="n">
        <v>1517.28</v>
      </c>
      <c r="F278" s="20" t="n">
        <v>1562.7984</v>
      </c>
      <c r="G278" s="20" t="n">
        <v>1441.416</v>
      </c>
      <c r="H278" s="7" t="n">
        <v>46283.91666666666</v>
      </c>
      <c r="I278" s="20" t="n">
        <v>1441.416</v>
      </c>
      <c r="J278" s="2" t="inlineStr">
        <is>
          <t>止損</t>
        </is>
      </c>
      <c r="K278" s="5">
        <f>(H278-D278)*24</f>
        <v/>
      </c>
      <c r="L278" s="4">
        <f>IF(C278="做多",I278/E278-1,1-I278/E278)-2*參數!$B$7</f>
        <v/>
      </c>
      <c r="M278" s="2" t="inlineStr"/>
      <c r="N278" s="4" t="n">
        <v>0.02152412627666944</v>
      </c>
      <c r="O278" s="4" t="n">
        <v>0.02145865696102698</v>
      </c>
      <c r="P278" s="4" t="n">
        <v>0.05341648025260648</v>
      </c>
      <c r="Q278" s="22" t="n">
        <v>7035.429999999978</v>
      </c>
      <c r="R278" s="22" t="n">
        <v>62322946.17062</v>
      </c>
      <c r="S278" s="4" t="n">
        <v>0.01072972687967932</v>
      </c>
      <c r="T278" s="4" t="n">
        <v>0.05</v>
      </c>
      <c r="U278" s="19" t="n">
        <v>1.225358724785403</v>
      </c>
      <c r="V278" s="19" t="n">
        <v>0.8521631644004941</v>
      </c>
      <c r="W278" s="4" t="n">
        <v>0.2268514943519857</v>
      </c>
      <c r="X278" s="4" t="n">
        <v>0.1004351610095735</v>
      </c>
      <c r="Y278" s="4" t="n">
        <v>0.005212617888207483</v>
      </c>
      <c r="Z278" s="4" t="n">
        <v>0.009707612438792701</v>
      </c>
      <c r="AA278" s="4" t="n">
        <v>0.03</v>
      </c>
      <c r="AB278" s="4" t="n">
        <v>0.05</v>
      </c>
      <c r="AC278" s="4">
        <f>(AB278+2*參數!$B$7)/(AA278+AB278)</f>
        <v/>
      </c>
    </row>
    <row r="279">
      <c r="A279" s="2" t="n">
        <v>278</v>
      </c>
      <c r="B279" s="2" t="inlineStr">
        <is>
          <t>GENIUS_USDT_PERP</t>
        </is>
      </c>
      <c r="C279" s="2" t="inlineStr">
        <is>
          <t>做多</t>
        </is>
      </c>
      <c r="D279" s="7" t="n">
        <v>46283.54166666666</v>
      </c>
      <c r="E279" s="20" t="n">
        <v>0.3723</v>
      </c>
      <c r="F279" s="20" t="n">
        <v>0.383469</v>
      </c>
      <c r="G279" s="20" t="n">
        <v>0.353685</v>
      </c>
      <c r="H279" s="7" t="n">
        <v>46283.58333333334</v>
      </c>
      <c r="I279" s="20" t="n">
        <v>0.353685</v>
      </c>
      <c r="J279" s="2" t="inlineStr">
        <is>
          <t>止損</t>
        </is>
      </c>
      <c r="K279" s="5">
        <f>(H279-D279)*24</f>
        <v/>
      </c>
      <c r="L279" s="4">
        <f>IF(C279="做多",I279/E279-1,1-I279/E279)-2*參數!$B$7</f>
        <v/>
      </c>
      <c r="M279" s="2" t="inlineStr"/>
      <c r="N279" s="4" t="n">
        <v>0.03416666666666668</v>
      </c>
      <c r="O279" s="4" t="n">
        <v>0.06252322212808097</v>
      </c>
      <c r="P279" s="4" t="n">
        <v>0.0278000165640615</v>
      </c>
      <c r="Q279" s="22" t="n">
        <v>780734</v>
      </c>
      <c r="R279" s="22" t="n">
        <v>3225189.2326</v>
      </c>
      <c r="S279" s="4" t="n">
        <v>0</v>
      </c>
      <c r="T279" s="4" t="n">
        <v>0.05</v>
      </c>
      <c r="U279" s="19" t="n">
        <v>0.6256405070891533</v>
      </c>
      <c r="V279" s="19" t="n">
        <v>0.9189189189189194</v>
      </c>
      <c r="W279" s="4" t="n">
        <v>0.1834564047465408</v>
      </c>
      <c r="X279" s="4" t="n">
        <v>0.2138897945875451</v>
      </c>
      <c r="Y279" s="4" t="n">
        <v>0.00248354859144917</v>
      </c>
      <c r="Z279" s="4" t="n">
        <v>0.01155661600367108</v>
      </c>
      <c r="AA279" s="4" t="n">
        <v>0.03</v>
      </c>
      <c r="AB279" s="4" t="n">
        <v>0.05</v>
      </c>
      <c r="AC279" s="4">
        <f>(AB279+2*參數!$B$7)/(AA279+AB279)</f>
        <v/>
      </c>
    </row>
    <row r="280">
      <c r="A280" s="2" t="n">
        <v>279</v>
      </c>
      <c r="B280" s="2" t="inlineStr">
        <is>
          <t>USELESS_USDT_PERP</t>
        </is>
      </c>
      <c r="C280" s="2" t="inlineStr">
        <is>
          <t>做空</t>
        </is>
      </c>
      <c r="D280" s="7" t="n">
        <v>46283.58333333334</v>
      </c>
      <c r="E280" s="20" t="n">
        <v>0.25685</v>
      </c>
      <c r="F280" s="20" t="n">
        <v>0.2491445</v>
      </c>
      <c r="G280" s="20" t="n">
        <v>0.2696925000000001</v>
      </c>
      <c r="H280" s="7" t="n">
        <v>46283.66666666666</v>
      </c>
      <c r="I280" s="20" t="n">
        <v>0.2491445</v>
      </c>
      <c r="J280" s="2" t="inlineStr">
        <is>
          <t>止盈</t>
        </is>
      </c>
      <c r="K280" s="5">
        <f>(H280-D280)*24</f>
        <v/>
      </c>
      <c r="L280" s="4">
        <f>IF(C280="做多",I280/E280-1,1-I280/E280)-2*參數!$B$7</f>
        <v/>
      </c>
      <c r="M280" s="2" t="inlineStr"/>
      <c r="N280" s="4" t="n">
        <v>-0.04761021914049446</v>
      </c>
      <c r="O280" s="4" t="n">
        <v>0.0419061784463768</v>
      </c>
      <c r="P280" s="4" t="n">
        <v>-0.02089345140299836</v>
      </c>
      <c r="Q280" s="22" t="n">
        <v>-279387</v>
      </c>
      <c r="R280" s="22" t="n">
        <v>2069224.9942</v>
      </c>
      <c r="S280" s="4" t="n">
        <v>0.03</v>
      </c>
      <c r="T280" s="4" t="n">
        <v>0.02764259295308547</v>
      </c>
      <c r="U280" s="19" t="n">
        <v>1.69595987019871</v>
      </c>
      <c r="V280" s="19" t="n">
        <v>0.6687499999999996</v>
      </c>
      <c r="W280" s="4" t="n">
        <v>-0.1240075496897983</v>
      </c>
      <c r="X280" s="4" t="n">
        <v>0.03555872634424739</v>
      </c>
      <c r="Y280" s="4" t="n">
        <v>0.001074269000568728</v>
      </c>
      <c r="Z280" s="4" t="n">
        <v>-0.00979842568136613</v>
      </c>
      <c r="AA280" s="4" t="n">
        <v>0.03</v>
      </c>
      <c r="AB280" s="4" t="n">
        <v>0.05</v>
      </c>
      <c r="AC280" s="4">
        <f>(AB280+2*參數!$B$7)/(AA280+AB280)</f>
        <v/>
      </c>
    </row>
    <row r="281">
      <c r="A281" s="2" t="n">
        <v>280</v>
      </c>
      <c r="B281" s="2" t="inlineStr">
        <is>
          <t>AIN_USDT_PERP</t>
        </is>
      </c>
      <c r="C281" s="2" t="inlineStr">
        <is>
          <t>做空</t>
        </is>
      </c>
      <c r="D281" s="7" t="n">
        <v>46283.70833333334</v>
      </c>
      <c r="E281" s="20" t="n">
        <v>0.02091</v>
      </c>
      <c r="F281" s="20" t="n">
        <v>0.0202827</v>
      </c>
      <c r="G281" s="20" t="n">
        <v>0.0219555</v>
      </c>
      <c r="H281" s="7" t="n">
        <v>46283.83333333334</v>
      </c>
      <c r="I281" s="20" t="n">
        <v>0.0202827</v>
      </c>
      <c r="J281" s="2" t="inlineStr">
        <is>
          <t>止盈</t>
        </is>
      </c>
      <c r="K281" s="5">
        <f>(H281-D281)*24</f>
        <v/>
      </c>
      <c r="L281" s="4">
        <f>IF(C281="做多",I281/E281-1,1-I281/E281)-2*參數!$B$7</f>
        <v/>
      </c>
      <c r="M281" s="2" t="inlineStr"/>
      <c r="N281" s="4" t="n">
        <v>-0.02106741573033699</v>
      </c>
      <c r="O281" s="4" t="n">
        <v>0.06509047457909052</v>
      </c>
      <c r="P281" s="4" t="n">
        <v>-0.05307490263563064</v>
      </c>
      <c r="Q281" s="22" t="n">
        <v>-37446446</v>
      </c>
      <c r="R281" s="22" t="n">
        <v>2007982.6852</v>
      </c>
      <c r="S281" s="4" t="n">
        <v>0.03</v>
      </c>
      <c r="T281" s="4" t="n">
        <v>0.01912960306073641</v>
      </c>
      <c r="U281" s="19" t="n">
        <v>0.9540440721052357</v>
      </c>
      <c r="V281" s="19" t="n">
        <v>0.6923076923076913</v>
      </c>
      <c r="W281" s="4" t="n">
        <v>0.7271154102143143</v>
      </c>
      <c r="X281" s="4" t="n">
        <v>0.1128553245651251</v>
      </c>
      <c r="Y281" s="4" t="n">
        <v>-0.005964564904340497</v>
      </c>
      <c r="Z281" s="4" t="n">
        <v>-0.01730645407916498</v>
      </c>
      <c r="AA281" s="4" t="n">
        <v>0.03</v>
      </c>
      <c r="AB281" s="4" t="n">
        <v>0.05</v>
      </c>
      <c r="AC281" s="4">
        <f>(AB281+2*參數!$B$7)/(AA281+AB281)</f>
        <v/>
      </c>
    </row>
    <row r="282">
      <c r="A282" s="2" t="n">
        <v>281</v>
      </c>
      <c r="B282" s="2" t="inlineStr">
        <is>
          <t>BR_USDT_PERP</t>
        </is>
      </c>
      <c r="C282" s="2" t="inlineStr">
        <is>
          <t>做多</t>
        </is>
      </c>
      <c r="D282" s="7" t="n">
        <v>46283.75</v>
      </c>
      <c r="E282" s="20" t="n">
        <v>0.6718</v>
      </c>
      <c r="F282" s="20" t="n">
        <v>0.691954</v>
      </c>
      <c r="G282" s="20" t="n">
        <v>0.6382099999999999</v>
      </c>
      <c r="H282" s="7" t="n">
        <v>46283.83333333334</v>
      </c>
      <c r="I282" s="20" t="n">
        <v>0.691954</v>
      </c>
      <c r="J282" s="2" t="inlineStr">
        <is>
          <t>止盈</t>
        </is>
      </c>
      <c r="K282" s="5">
        <f>(H282-D282)*24</f>
        <v/>
      </c>
      <c r="L282" s="4">
        <f>IF(C282="做多",I282/E282-1,1-I282/E282)-2*參數!$B$7</f>
        <v/>
      </c>
      <c r="M282" s="2" t="inlineStr"/>
      <c r="N282" s="4" t="n">
        <v>0.02471018913971923</v>
      </c>
      <c r="O282" s="4" t="n">
        <v>0.04538119807602173</v>
      </c>
      <c r="P282" s="4" t="n">
        <v>0.009067791391230706</v>
      </c>
      <c r="Q282" s="22" t="n">
        <v>3478099</v>
      </c>
      <c r="R282" s="22" t="n">
        <v>6200221.46604</v>
      </c>
      <c r="S282" s="4" t="n">
        <v>0.03</v>
      </c>
      <c r="T282" s="4" t="n">
        <v>0.01537660017862452</v>
      </c>
      <c r="U282" s="19" t="n">
        <v>1.154676657014696</v>
      </c>
      <c r="V282" s="19" t="n">
        <v>0.7763908701854491</v>
      </c>
      <c r="W282" s="4" t="n">
        <v>0.3463756881186253</v>
      </c>
      <c r="X282" s="4" t="n">
        <v>0.04587984369405129</v>
      </c>
      <c r="Y282" s="4" t="n">
        <v>-0.0009087434927701477</v>
      </c>
      <c r="Z282" s="4" t="n">
        <v>0.01539357431883848</v>
      </c>
      <c r="AA282" s="4" t="n">
        <v>0.03</v>
      </c>
      <c r="AB282" s="4" t="n">
        <v>0.05</v>
      </c>
      <c r="AC282" s="4">
        <f>(AB282+2*參數!$B$7)/(AA282+AB282)</f>
        <v/>
      </c>
    </row>
    <row r="283">
      <c r="A283" s="2" t="n">
        <v>282</v>
      </c>
      <c r="B283" s="2" t="inlineStr">
        <is>
          <t>CROSS_USDT_PERP</t>
        </is>
      </c>
      <c r="C283" s="2" t="inlineStr">
        <is>
          <t>做空</t>
        </is>
      </c>
      <c r="D283" s="7" t="n">
        <v>46283.75</v>
      </c>
      <c r="E283" s="20" t="n">
        <v>0.16706</v>
      </c>
      <c r="F283" s="20" t="n">
        <v>0.1620482</v>
      </c>
      <c r="G283" s="20" t="n">
        <v>0.175413</v>
      </c>
      <c r="H283" s="7" t="n">
        <v>46283.79166666666</v>
      </c>
      <c r="I283" s="20" t="n">
        <v>0.1620482</v>
      </c>
      <c r="J283" s="2" t="inlineStr">
        <is>
          <t>止盈</t>
        </is>
      </c>
      <c r="K283" s="5">
        <f>(H283-D283)*24</f>
        <v/>
      </c>
      <c r="L283" s="4">
        <f>IF(C283="做多",I283/E283-1,1-I283/E283)-2*參數!$B$7</f>
        <v/>
      </c>
      <c r="M283" s="2" t="inlineStr"/>
      <c r="N283" s="4" t="n">
        <v>-0.06701664246621253</v>
      </c>
      <c r="O283" s="4" t="n">
        <v>0.06284378930434824</v>
      </c>
      <c r="P283" s="4" t="n">
        <v>-0.02822374237982239</v>
      </c>
      <c r="Q283" s="22" t="n">
        <v>-1096510</v>
      </c>
      <c r="R283" s="22" t="n">
        <v>1430240.56689</v>
      </c>
      <c r="S283" s="4" t="n">
        <v>0.03</v>
      </c>
      <c r="T283" s="4" t="n">
        <v>0</v>
      </c>
      <c r="U283" s="19" t="n">
        <v>1.982221659340295</v>
      </c>
      <c r="V283" s="19" t="n">
        <v>0.714085983921706</v>
      </c>
      <c r="W283" s="4" t="n">
        <v>-0.2270497408329335</v>
      </c>
      <c r="X283" s="4" t="n">
        <v>-0.2056870669745958</v>
      </c>
      <c r="Y283" s="4" t="n">
        <v>0.0009087434927701477</v>
      </c>
      <c r="Z283" s="4" t="n">
        <v>-0.01539357431883848</v>
      </c>
      <c r="AA283" s="4" t="n">
        <v>0.03</v>
      </c>
      <c r="AB283" s="4" t="n">
        <v>0.05</v>
      </c>
      <c r="AC283" s="4">
        <f>(AB283+2*參數!$B$7)/(AA283+AB283)</f>
        <v/>
      </c>
    </row>
    <row r="284">
      <c r="A284" s="2" t="n">
        <v>283</v>
      </c>
      <c r="B284" s="2" t="inlineStr">
        <is>
          <t>GENIUS_USDT_PERP</t>
        </is>
      </c>
      <c r="C284" s="2" t="inlineStr">
        <is>
          <t>做空</t>
        </is>
      </c>
      <c r="D284" s="7" t="n">
        <v>46283.95833333334</v>
      </c>
      <c r="E284" s="20" t="n">
        <v>0.3319</v>
      </c>
      <c r="F284" s="20" t="n">
        <v>0.321943</v>
      </c>
      <c r="G284" s="20" t="n">
        <v>0.348495</v>
      </c>
      <c r="H284" s="7" t="n">
        <v>46284</v>
      </c>
      <c r="I284" s="20" t="n">
        <v>0.348495</v>
      </c>
      <c r="J284" s="2" t="inlineStr">
        <is>
          <t>止損</t>
        </is>
      </c>
      <c r="K284" s="5">
        <f>(H284-D284)*24</f>
        <v/>
      </c>
      <c r="L284" s="4">
        <f>IF(C284="做多",I284/E284-1,1-I284/E284)-2*參數!$B$7</f>
        <v/>
      </c>
      <c r="M284" s="2" t="inlineStr"/>
      <c r="N284" s="4" t="n">
        <v>-0.02439741328630229</v>
      </c>
      <c r="O284" s="4" t="n">
        <v>0.05686437884455056</v>
      </c>
      <c r="P284" s="4" t="n">
        <v>-0.05039840922421068</v>
      </c>
      <c r="Q284" s="22" t="n">
        <v>-1265886</v>
      </c>
      <c r="R284" s="22" t="n">
        <v>2572186.2981</v>
      </c>
      <c r="S284" s="4" t="n">
        <v>0</v>
      </c>
      <c r="T284" s="4" t="n">
        <v>0.05</v>
      </c>
      <c r="U284" s="19" t="n">
        <v>0.6165841720688747</v>
      </c>
      <c r="V284" s="19" t="n">
        <v>0.7622377622377647</v>
      </c>
      <c r="W284" s="4" t="n">
        <v>-0.04279578608704937</v>
      </c>
      <c r="X284" s="4" t="n">
        <v>0.0831491712707183</v>
      </c>
      <c r="Y284" s="4" t="n">
        <v>-0.01073499686432644</v>
      </c>
      <c r="Z284" s="4" t="n">
        <v>-0.04275257324577075</v>
      </c>
      <c r="AA284" s="4" t="n">
        <v>0.03</v>
      </c>
      <c r="AB284" s="4" t="n">
        <v>0.05</v>
      </c>
      <c r="AC284" s="4">
        <f>(AB284+2*參數!$B$7)/(AA284+AB284)</f>
        <v/>
      </c>
    </row>
    <row r="285">
      <c r="A285" s="2" t="n">
        <v>284</v>
      </c>
      <c r="B285" s="2" t="inlineStr">
        <is>
          <t>MARSCOIN_USDT_PERP</t>
        </is>
      </c>
      <c r="C285" s="2" t="inlineStr">
        <is>
          <t>做空</t>
        </is>
      </c>
      <c r="D285" s="7" t="n">
        <v>46284</v>
      </c>
      <c r="E285" s="20" t="n">
        <v>0.10782</v>
      </c>
      <c r="F285" s="20" t="n">
        <v>0.1045854</v>
      </c>
      <c r="G285" s="20" t="n">
        <v>0.113211</v>
      </c>
      <c r="H285" s="7" t="n">
        <v>46284.20833333334</v>
      </c>
      <c r="I285" s="20" t="n">
        <v>0.113211</v>
      </c>
      <c r="J285" s="2" t="inlineStr">
        <is>
          <t>止損</t>
        </is>
      </c>
      <c r="K285" s="5">
        <f>(H285-D285)*24</f>
        <v/>
      </c>
      <c r="L285" s="4">
        <f>IF(C285="做多",I285/E285-1,1-I285/E285)-2*參數!$B$7</f>
        <v/>
      </c>
      <c r="M285" s="2" t="inlineStr"/>
      <c r="N285" s="4" t="n">
        <v>-0.02053052325581395</v>
      </c>
      <c r="O285" s="4" t="n">
        <v>0.04478362618645387</v>
      </c>
      <c r="P285" s="4" t="n">
        <v>-0.05590410185237882</v>
      </c>
      <c r="Q285" s="22" t="n">
        <v>-2910824</v>
      </c>
      <c r="R285" s="22" t="n">
        <v>2049217.03548</v>
      </c>
      <c r="S285" s="4" t="n">
        <v>0.003431645334817213</v>
      </c>
      <c r="T285" s="4" t="n">
        <v>0.05</v>
      </c>
      <c r="U285" s="19" t="n">
        <v>0.9428429150884315</v>
      </c>
      <c r="V285" s="19" t="n">
        <v>0.6043689320388366</v>
      </c>
      <c r="W285" s="4" t="n">
        <v>-0.08053936773113812</v>
      </c>
      <c r="X285" s="4" t="n">
        <v>0.07916986933128367</v>
      </c>
      <c r="Y285" s="4" t="n">
        <v>0.002683364254028375</v>
      </c>
      <c r="Z285" s="4" t="n">
        <v>-0.03719536351738006</v>
      </c>
      <c r="AA285" s="4" t="n">
        <v>0.03</v>
      </c>
      <c r="AB285" s="4" t="n">
        <v>0.05</v>
      </c>
      <c r="AC285" s="4">
        <f>(AB285+2*參數!$B$7)/(AA285+AB285)</f>
        <v/>
      </c>
    </row>
    <row r="286">
      <c r="A286" s="2" t="n">
        <v>285</v>
      </c>
      <c r="B286" s="2" t="inlineStr">
        <is>
          <t>PONS_USDT_PERP</t>
        </is>
      </c>
      <c r="C286" s="2" t="inlineStr">
        <is>
          <t>做空</t>
        </is>
      </c>
      <c r="D286" s="7" t="n">
        <v>46284</v>
      </c>
      <c r="E286" s="20" t="n">
        <v>0.6825</v>
      </c>
      <c r="F286" s="20" t="n">
        <v>0.662025</v>
      </c>
      <c r="G286" s="20" t="n">
        <v>0.7166250000000001</v>
      </c>
      <c r="H286" s="7" t="n">
        <v>46284.29166666666</v>
      </c>
      <c r="I286" s="20" t="n">
        <v>0.662025</v>
      </c>
      <c r="J286" s="2" t="inlineStr">
        <is>
          <t>止盈</t>
        </is>
      </c>
      <c r="K286" s="5">
        <f>(H286-D286)*24</f>
        <v/>
      </c>
      <c r="L286" s="4">
        <f>IF(C286="做多",I286/E286-1,1-I286/E286)-2*參數!$B$7</f>
        <v/>
      </c>
      <c r="M286" s="2" t="inlineStr"/>
      <c r="N286" s="4" t="n">
        <v>-0.03164018161180471</v>
      </c>
      <c r="O286" s="4" t="n">
        <v>0.0373451839817223</v>
      </c>
      <c r="P286" s="4" t="n">
        <v>-0.03147527955951634</v>
      </c>
      <c r="Q286" s="22" t="n">
        <v>-862364</v>
      </c>
      <c r="R286" s="22" t="n">
        <v>3529906.1064</v>
      </c>
      <c r="S286" s="4" t="n">
        <v>0.03</v>
      </c>
      <c r="T286" s="4" t="n">
        <v>0.02666666666666662</v>
      </c>
      <c r="U286" s="19" t="n">
        <v>2.009920078570277</v>
      </c>
      <c r="V286" s="19" t="n">
        <v>0.8006134969325166</v>
      </c>
      <c r="W286" s="4" t="n">
        <v>-0.07385950613476666</v>
      </c>
      <c r="X286" s="4" t="n">
        <v>-0.02554470323065372</v>
      </c>
      <c r="Y286" s="4" t="n">
        <v>0.002683364254028375</v>
      </c>
      <c r="Z286" s="4" t="n">
        <v>-0.03719536351738006</v>
      </c>
      <c r="AA286" s="4" t="n">
        <v>0.03</v>
      </c>
      <c r="AB286" s="4" t="n">
        <v>0.05</v>
      </c>
      <c r="AC286" s="4">
        <f>(AB286+2*參數!$B$7)/(AA286+AB286)</f>
        <v/>
      </c>
    </row>
    <row r="287">
      <c r="A287" s="2" t="n">
        <v>286</v>
      </c>
      <c r="B287" s="2" t="inlineStr">
        <is>
          <t>UNI_USDT_PERP</t>
        </is>
      </c>
      <c r="C287" s="2" t="inlineStr">
        <is>
          <t>做多</t>
        </is>
      </c>
      <c r="D287" s="7" t="n">
        <v>46284.04166666666</v>
      </c>
      <c r="E287" s="20" t="n">
        <v>8.928000000000001</v>
      </c>
      <c r="F287" s="20" t="n">
        <v>9.19584</v>
      </c>
      <c r="G287" s="20" t="n">
        <v>8.4816</v>
      </c>
      <c r="H287" s="7" t="n">
        <v>46284.45833333334</v>
      </c>
      <c r="I287" s="20" t="n">
        <v>9.19584</v>
      </c>
      <c r="J287" s="2" t="inlineStr">
        <is>
          <t>止盈</t>
        </is>
      </c>
      <c r="K287" s="5">
        <f>(H287-D287)*24</f>
        <v/>
      </c>
      <c r="L287" s="4">
        <f>IF(C287="做多",I287/E287-1,1-I287/E287)-2*參數!$B$7</f>
        <v/>
      </c>
      <c r="M287" s="2" t="inlineStr"/>
      <c r="N287" s="4" t="n">
        <v>0.02045948108355233</v>
      </c>
      <c r="O287" s="4" t="n">
        <v>0.03165061048780206</v>
      </c>
      <c r="P287" s="4" t="n">
        <v>0.05503231981848922</v>
      </c>
      <c r="Q287" s="22" t="n">
        <v>455644</v>
      </c>
      <c r="R287" s="22" t="n">
        <v>16817554.359</v>
      </c>
      <c r="S287" s="4" t="n">
        <v>0.03</v>
      </c>
      <c r="T287" s="4" t="n">
        <v>0.02710573476702516</v>
      </c>
      <c r="U287" s="19" t="n">
        <v>0.8687950735155755</v>
      </c>
      <c r="V287" s="19" t="n">
        <v>0.6850649350649364</v>
      </c>
      <c r="W287" s="4" t="n">
        <v>0.2807657050882035</v>
      </c>
      <c r="X287" s="4" t="n">
        <v>0.1652310101801098</v>
      </c>
      <c r="Y287" s="4" t="n">
        <v>0.001500827872021882</v>
      </c>
      <c r="Z287" s="4" t="n">
        <v>0.03590264041411029</v>
      </c>
      <c r="AA287" s="4" t="n">
        <v>0.03</v>
      </c>
      <c r="AB287" s="4" t="n">
        <v>0.05</v>
      </c>
      <c r="AC287" s="4">
        <f>(AB287+2*參數!$B$7)/(AA287+AB287)</f>
        <v/>
      </c>
    </row>
    <row r="288">
      <c r="A288" s="2" t="n">
        <v>287</v>
      </c>
      <c r="B288" s="2" t="inlineStr">
        <is>
          <t>USELESS_USDT_PERP</t>
        </is>
      </c>
      <c r="C288" s="2" t="inlineStr">
        <is>
          <t>做多</t>
        </is>
      </c>
      <c r="D288" s="7" t="n">
        <v>46284.04166666666</v>
      </c>
      <c r="E288" s="20" t="n">
        <v>0.25987</v>
      </c>
      <c r="F288" s="20" t="n">
        <v>0.2676661</v>
      </c>
      <c r="G288" s="20" t="n">
        <v>0.2468765</v>
      </c>
      <c r="H288" s="7" t="n">
        <v>46284.08333333334</v>
      </c>
      <c r="I288" s="20" t="n">
        <v>0.2676661</v>
      </c>
      <c r="J288" s="2" t="inlineStr">
        <is>
          <t>止盈</t>
        </is>
      </c>
      <c r="K288" s="5">
        <f>(H288-D288)*24</f>
        <v/>
      </c>
      <c r="L288" s="4">
        <f>IF(C288="做多",I288/E288-1,1-I288/E288)-2*參數!$B$7</f>
        <v/>
      </c>
      <c r="M288" s="2" t="inlineStr"/>
      <c r="N288" s="4" t="n">
        <v>0.0314348084937488</v>
      </c>
      <c r="O288" s="4" t="n">
        <v>0.04000782753894071</v>
      </c>
      <c r="P288" s="4" t="n">
        <v>0.0009995743623618658</v>
      </c>
      <c r="Q288" s="22" t="n">
        <v>2540236</v>
      </c>
      <c r="R288" s="22" t="n">
        <v>2948243.7051</v>
      </c>
      <c r="S288" s="4" t="n">
        <v>0.03</v>
      </c>
      <c r="T288" s="4" t="n">
        <v>0</v>
      </c>
      <c r="U288" s="19" t="n">
        <v>0.8038386212986949</v>
      </c>
      <c r="V288" s="19" t="n">
        <v>0.476245654692932</v>
      </c>
      <c r="W288" s="4" t="n">
        <v>0.1100783167578383</v>
      </c>
      <c r="X288" s="4" t="n">
        <v>0.001966378778531785</v>
      </c>
      <c r="Y288" s="4" t="n">
        <v>0.001500827872021882</v>
      </c>
      <c r="Z288" s="4" t="n">
        <v>0.03590264041411029</v>
      </c>
      <c r="AA288" s="4" t="n">
        <v>0.03</v>
      </c>
      <c r="AB288" s="4" t="n">
        <v>0.05</v>
      </c>
      <c r="AC288" s="4">
        <f>(AB288+2*參數!$B$7)/(AA288+AB288)</f>
        <v/>
      </c>
    </row>
    <row r="289">
      <c r="A289" s="2" t="n">
        <v>288</v>
      </c>
      <c r="B289" s="2" t="inlineStr">
        <is>
          <t>WLD_USDT_PERP</t>
        </is>
      </c>
      <c r="C289" s="2" t="inlineStr">
        <is>
          <t>做空</t>
        </is>
      </c>
      <c r="D289" s="7" t="n">
        <v>46284.04166666666</v>
      </c>
      <c r="E289" s="20" t="n">
        <v>0.4166</v>
      </c>
      <c r="F289" s="20" t="n">
        <v>0.404102</v>
      </c>
      <c r="G289" s="20" t="n">
        <v>0.43743</v>
      </c>
      <c r="H289" s="7" t="n">
        <v>46285.04166666666</v>
      </c>
      <c r="I289" s="20" t="n">
        <v>0.43743</v>
      </c>
      <c r="J289" s="2" t="inlineStr">
        <is>
          <t>止損</t>
        </is>
      </c>
      <c r="K289" s="5">
        <f>(H289-D289)*24</f>
        <v/>
      </c>
      <c r="L289" s="4">
        <f>IF(C289="做多",I289/E289-1,1-I289/E289)-2*參數!$B$7</f>
        <v/>
      </c>
      <c r="M289" s="2" t="inlineStr"/>
      <c r="N289" s="4" t="n">
        <v>-0.03453070683661641</v>
      </c>
      <c r="O289" s="4" t="n">
        <v>0.02421161608727142</v>
      </c>
      <c r="P289" s="4" t="n">
        <v>-0.002717033526039359</v>
      </c>
      <c r="Q289" s="22" t="n">
        <v>-348446</v>
      </c>
      <c r="R289" s="22" t="n">
        <v>1585182.1316</v>
      </c>
      <c r="S289" s="4" t="n">
        <v>0.009841574651944462</v>
      </c>
      <c r="T289" s="4" t="n">
        <v>0.05</v>
      </c>
      <c r="U289" s="19" t="n">
        <v>1.441538591658209</v>
      </c>
      <c r="V289" s="19" t="n">
        <v>0.9012875536480676</v>
      </c>
      <c r="W289" s="4" t="n">
        <v>-0.0911872095886177</v>
      </c>
      <c r="X289" s="4" t="n">
        <v>-0.1000792183786641</v>
      </c>
      <c r="Y289" s="4" t="n">
        <v>-0.001500827872021882</v>
      </c>
      <c r="Z289" s="4" t="n">
        <v>-0.03590264041411029</v>
      </c>
      <c r="AA289" s="4" t="n">
        <v>0.03</v>
      </c>
      <c r="AB289" s="4" t="n">
        <v>0.05</v>
      </c>
      <c r="AC289" s="4">
        <f>(AB289+2*參數!$B$7)/(AA289+AB289)</f>
        <v/>
      </c>
    </row>
    <row r="290">
      <c r="A290" s="2" t="n">
        <v>289</v>
      </c>
      <c r="B290" s="2" t="inlineStr">
        <is>
          <t>DASH_USDT_PERP</t>
        </is>
      </c>
      <c r="C290" s="2" t="inlineStr">
        <is>
          <t>做多</t>
        </is>
      </c>
      <c r="D290" s="7" t="n">
        <v>46284.16666666666</v>
      </c>
      <c r="E290" s="20" t="n">
        <v>61.07</v>
      </c>
      <c r="F290" s="20" t="n">
        <v>62.9021</v>
      </c>
      <c r="G290" s="20" t="n">
        <v>58.0165</v>
      </c>
      <c r="H290" s="7" t="n">
        <v>46284.33333333334</v>
      </c>
      <c r="I290" s="20" t="n">
        <v>62.9021</v>
      </c>
      <c r="J290" s="2" t="inlineStr">
        <is>
          <t>止盈</t>
        </is>
      </c>
      <c r="K290" s="5">
        <f>(H290-D290)*24</f>
        <v/>
      </c>
      <c r="L290" s="4">
        <f>IF(C290="做多",I290/E290-1,1-I290/E290)-2*參數!$B$7</f>
        <v/>
      </c>
      <c r="M290" s="2" t="inlineStr"/>
      <c r="N290" s="4" t="n">
        <v>0.02586930959180234</v>
      </c>
      <c r="O290" s="4" t="n">
        <v>0.02306019626246079</v>
      </c>
      <c r="P290" s="4" t="n">
        <v>0.01768068123114874</v>
      </c>
      <c r="Q290" s="22" t="n">
        <v>1593.018999999998</v>
      </c>
      <c r="R290" s="22" t="n">
        <v>1310714.07542</v>
      </c>
      <c r="S290" s="4" t="n">
        <v>0.03</v>
      </c>
      <c r="T290" s="4" t="n">
        <v>0.01211724250859669</v>
      </c>
      <c r="U290" s="19" t="n">
        <v>4.269628882023691</v>
      </c>
      <c r="V290" s="19" t="n">
        <v>0.7363636363636367</v>
      </c>
      <c r="W290" s="4" t="n">
        <v>0.09137763417493483</v>
      </c>
      <c r="X290" s="4" t="n">
        <v>-0.006507239303725321</v>
      </c>
      <c r="Y290" s="4" t="n">
        <v>0.003383385684953222</v>
      </c>
      <c r="Z290" s="4" t="n">
        <v>0.03132217525641234</v>
      </c>
      <c r="AA290" s="4" t="n">
        <v>0.03</v>
      </c>
      <c r="AB290" s="4" t="n">
        <v>0.05</v>
      </c>
      <c r="AC290" s="4">
        <f>(AB290+2*參數!$B$7)/(AA290+AB290)</f>
        <v/>
      </c>
    </row>
    <row r="291">
      <c r="A291" s="2" t="n">
        <v>290</v>
      </c>
      <c r="B291" s="2" t="inlineStr">
        <is>
          <t>ZEC_USDT_PERP</t>
        </is>
      </c>
      <c r="C291" s="2" t="inlineStr">
        <is>
          <t>做多</t>
        </is>
      </c>
      <c r="D291" s="7" t="n">
        <v>46284.20833333334</v>
      </c>
      <c r="E291" s="20" t="n">
        <v>1501.55</v>
      </c>
      <c r="F291" s="20" t="n">
        <v>1546.5965</v>
      </c>
      <c r="G291" s="20" t="n">
        <v>1426.4725</v>
      </c>
      <c r="H291" s="7" t="n">
        <v>46284.29166666666</v>
      </c>
      <c r="I291" s="20" t="n">
        <v>1546.5965</v>
      </c>
      <c r="J291" s="2" t="inlineStr">
        <is>
          <t>止盈</t>
        </is>
      </c>
      <c r="K291" s="5">
        <f>(H291-D291)*24</f>
        <v/>
      </c>
      <c r="L291" s="4">
        <f>IF(C291="做多",I291/E291-1,1-I291/E291)-2*參數!$B$7</f>
        <v/>
      </c>
      <c r="M291" s="2" t="inlineStr"/>
      <c r="N291" s="4" t="n">
        <v>0.02118471164309033</v>
      </c>
      <c r="O291" s="4" t="n">
        <v>0.02065996307974201</v>
      </c>
      <c r="P291" s="4" t="n">
        <v>0.01475004798192092</v>
      </c>
      <c r="Q291" s="22" t="n">
        <v>6452.520000000033</v>
      </c>
      <c r="R291" s="22" t="n">
        <v>40640925.82572</v>
      </c>
      <c r="S291" s="4" t="n">
        <v>0.03</v>
      </c>
      <c r="T291" s="4" t="n">
        <v>0.009623389164529983</v>
      </c>
      <c r="U291" s="19" t="n">
        <v>0.5969469013907327</v>
      </c>
      <c r="V291" s="19" t="n">
        <v>0.8837375178316665</v>
      </c>
      <c r="W291" s="4" t="n">
        <v>0.157934991383446</v>
      </c>
      <c r="X291" s="4" t="n">
        <v>0.0138894515793595</v>
      </c>
      <c r="Y291" s="4" t="n">
        <v>-0.001041037834641267</v>
      </c>
      <c r="Z291" s="4" t="n">
        <v>0.0272915879712452</v>
      </c>
      <c r="AA291" s="4" t="n">
        <v>0.03</v>
      </c>
      <c r="AB291" s="4" t="n">
        <v>0.05</v>
      </c>
      <c r="AC291" s="4">
        <f>(AB291+2*參數!$B$7)/(AA291+AB291)</f>
        <v/>
      </c>
    </row>
    <row r="292">
      <c r="A292" s="2" t="n">
        <v>291</v>
      </c>
      <c r="B292" s="2" t="inlineStr">
        <is>
          <t>MARSCOIN_USDT_PERP</t>
        </is>
      </c>
      <c r="C292" s="2" t="inlineStr">
        <is>
          <t>做空</t>
        </is>
      </c>
      <c r="D292" s="7" t="n">
        <v>46284.25</v>
      </c>
      <c r="E292" s="20" t="n">
        <v>0.11236</v>
      </c>
      <c r="F292" s="20" t="n">
        <v>0.1089892</v>
      </c>
      <c r="G292" s="20" t="n">
        <v>0.117978</v>
      </c>
      <c r="H292" s="7" t="n">
        <v>46284.375</v>
      </c>
      <c r="I292" s="20" t="n">
        <v>0.117978</v>
      </c>
      <c r="J292" s="2" t="inlineStr">
        <is>
          <t>止損</t>
        </is>
      </c>
      <c r="K292" s="5">
        <f>(H292-D292)*24</f>
        <v/>
      </c>
      <c r="L292" s="4">
        <f>IF(C292="做多",I292/E292-1,1-I292/E292)-2*參數!$B$7</f>
        <v/>
      </c>
      <c r="M292" s="2" t="inlineStr"/>
      <c r="N292" s="4" t="n">
        <v>-0.02802768166089964</v>
      </c>
      <c r="O292" s="4" t="n">
        <v>0.03998372790296353</v>
      </c>
      <c r="P292" s="4" t="n">
        <v>-0.001900971805212537</v>
      </c>
      <c r="Q292" s="22" t="n">
        <v>-1976776</v>
      </c>
      <c r="R292" s="22" t="n">
        <v>1767340.97459</v>
      </c>
      <c r="S292" s="4" t="n">
        <v>0.01415094339622647</v>
      </c>
      <c r="T292" s="4" t="n">
        <v>0.05</v>
      </c>
      <c r="U292" s="19" t="n">
        <v>0.6925962967250479</v>
      </c>
      <c r="V292" s="19" t="n">
        <v>0.8802816901408459</v>
      </c>
      <c r="W292" s="4" t="n">
        <v>-0.1123882389397266</v>
      </c>
      <c r="X292" s="4" t="n">
        <v>0.03495662629906382</v>
      </c>
      <c r="Y292" s="4" t="n">
        <v>-0.001456505250695406</v>
      </c>
      <c r="Z292" s="4" t="n">
        <v>-0.02586499316217195</v>
      </c>
      <c r="AA292" s="4" t="n">
        <v>0.03</v>
      </c>
      <c r="AB292" s="4" t="n">
        <v>0.05</v>
      </c>
      <c r="AC292" s="4">
        <f>(AB292+2*參數!$B$7)/(AA292+AB292)</f>
        <v/>
      </c>
    </row>
    <row r="293">
      <c r="A293" s="2" t="n">
        <v>292</v>
      </c>
      <c r="B293" s="2" t="inlineStr">
        <is>
          <t>NEAR_USDT_PERP</t>
        </is>
      </c>
      <c r="C293" s="2" t="inlineStr">
        <is>
          <t>做多</t>
        </is>
      </c>
      <c r="D293" s="7" t="n">
        <v>46284.25</v>
      </c>
      <c r="E293" s="20" t="n">
        <v>3.761</v>
      </c>
      <c r="F293" s="20" t="n">
        <v>3.87383</v>
      </c>
      <c r="G293" s="20" t="n">
        <v>3.57295</v>
      </c>
      <c r="H293" s="7" t="n">
        <v>46284.41666666666</v>
      </c>
      <c r="I293" s="20" t="n">
        <v>3.87383</v>
      </c>
      <c r="J293" s="2" t="inlineStr">
        <is>
          <t>止盈</t>
        </is>
      </c>
      <c r="K293" s="5">
        <f>(H293-D293)*24</f>
        <v/>
      </c>
      <c r="L293" s="4">
        <f>IF(C293="做多",I293/E293-1,1-I293/E293)-2*參數!$B$7</f>
        <v/>
      </c>
      <c r="M293" s="2" t="inlineStr"/>
      <c r="N293" s="4" t="n">
        <v>0.03352569387194304</v>
      </c>
      <c r="O293" s="4" t="n">
        <v>0.03326947369298692</v>
      </c>
      <c r="P293" s="4" t="n">
        <v>0.04878626901465388</v>
      </c>
      <c r="Q293" s="22" t="n">
        <v>291925</v>
      </c>
      <c r="R293" s="22" t="n">
        <v>14891925.109</v>
      </c>
      <c r="S293" s="4" t="n">
        <v>0.03</v>
      </c>
      <c r="T293" s="4" t="n">
        <v>0.01914384472214836</v>
      </c>
      <c r="U293" s="19" t="n">
        <v>0.5570490368922781</v>
      </c>
      <c r="V293" s="19" t="n">
        <v>0.883561643835617</v>
      </c>
      <c r="W293" s="4" t="n">
        <v>0.3562634778908496</v>
      </c>
      <c r="X293" s="4" t="n">
        <v>0.2449520026481298</v>
      </c>
      <c r="Y293" s="4" t="n">
        <v>0.001456505250695406</v>
      </c>
      <c r="Z293" s="4" t="n">
        <v>0.02586499316217195</v>
      </c>
      <c r="AA293" s="4" t="n">
        <v>0.03</v>
      </c>
      <c r="AB293" s="4" t="n">
        <v>0.05</v>
      </c>
      <c r="AC293" s="4">
        <f>(AB293+2*參數!$B$7)/(AA293+AB293)</f>
        <v/>
      </c>
    </row>
    <row r="294">
      <c r="A294" s="2" t="n">
        <v>293</v>
      </c>
      <c r="B294" s="2" t="inlineStr">
        <is>
          <t>ENA_USDT_PERP</t>
        </is>
      </c>
      <c r="C294" s="2" t="inlineStr">
        <is>
          <t>做多</t>
        </is>
      </c>
      <c r="D294" s="7" t="n">
        <v>46284.375</v>
      </c>
      <c r="E294" s="20" t="n">
        <v>0.1747</v>
      </c>
      <c r="F294" s="20" t="n">
        <v>0.179941</v>
      </c>
      <c r="G294" s="20" t="n">
        <v>0.165965</v>
      </c>
      <c r="H294" s="7" t="n">
        <v>46284.5</v>
      </c>
      <c r="I294" s="20" t="n">
        <v>0.179941</v>
      </c>
      <c r="J294" s="2" t="inlineStr">
        <is>
          <t>止盈</t>
        </is>
      </c>
      <c r="K294" s="5">
        <f>(H294-D294)*24</f>
        <v/>
      </c>
      <c r="L294" s="4">
        <f>IF(C294="做多",I294/E294-1,1-I294/E294)-2*參數!$B$7</f>
        <v/>
      </c>
      <c r="M294" s="2" t="inlineStr"/>
      <c r="N294" s="4" t="n">
        <v>0.03802733214497911</v>
      </c>
      <c r="O294" s="4" t="n">
        <v>0.02087630903760114</v>
      </c>
      <c r="P294" s="4" t="n">
        <v>0.04736211031175053</v>
      </c>
      <c r="Q294" s="22" t="n">
        <v>28820526</v>
      </c>
      <c r="R294" s="22" t="n">
        <v>12290207.9252</v>
      </c>
      <c r="S294" s="4" t="n">
        <v>0.03</v>
      </c>
      <c r="T294" s="4" t="n">
        <v>0.02976531196336563</v>
      </c>
      <c r="U294" s="19" t="n">
        <v>5.102275589594872</v>
      </c>
      <c r="V294" s="19" t="n">
        <v>0.9487179487179472</v>
      </c>
      <c r="W294" s="4" t="n">
        <v>0.1593106514569356</v>
      </c>
      <c r="X294" s="4" t="n">
        <v>0.1205901218729954</v>
      </c>
      <c r="Y294" s="4" t="n">
        <v>0.009615015996171206</v>
      </c>
      <c r="Z294" s="4" t="n">
        <v>0.02378707391791179</v>
      </c>
      <c r="AA294" s="4" t="n">
        <v>0.03</v>
      </c>
      <c r="AB294" s="4" t="n">
        <v>0.05</v>
      </c>
      <c r="AC294" s="4">
        <f>(AB294+2*參數!$B$7)/(AA294+AB294)</f>
        <v/>
      </c>
    </row>
    <row r="295">
      <c r="A295" s="2" t="n">
        <v>294</v>
      </c>
      <c r="B295" s="2" t="inlineStr">
        <is>
          <t>牛来_USDT_PERP</t>
        </is>
      </c>
      <c r="C295" s="2" t="inlineStr">
        <is>
          <t>做多</t>
        </is>
      </c>
      <c r="D295" s="7" t="n">
        <v>46284.375</v>
      </c>
      <c r="E295" s="20" t="n">
        <v>0.12644</v>
      </c>
      <c r="F295" s="20" t="n">
        <v>0.1302332</v>
      </c>
      <c r="G295" s="20" t="n">
        <v>0.120118</v>
      </c>
      <c r="H295" s="7" t="n">
        <v>46284.45833333334</v>
      </c>
      <c r="I295" s="20" t="n">
        <v>0.120118</v>
      </c>
      <c r="J295" s="2" t="inlineStr">
        <is>
          <t>止損</t>
        </is>
      </c>
      <c r="K295" s="5">
        <f>(H295-D295)*24</f>
        <v/>
      </c>
      <c r="L295" s="4">
        <f>IF(C295="做多",I295/E295-1,1-I295/E295)-2*參數!$B$7</f>
        <v/>
      </c>
      <c r="M295" s="2" t="inlineStr"/>
      <c r="N295" s="4" t="n">
        <v>0.0546334139627993</v>
      </c>
      <c r="O295" s="4" t="n">
        <v>0.03554385996779154</v>
      </c>
      <c r="P295" s="4" t="n">
        <v>0.05825242718446599</v>
      </c>
      <c r="Q295" s="22" t="n">
        <v>1909768</v>
      </c>
      <c r="R295" s="22" t="n">
        <v>1223027.59974</v>
      </c>
      <c r="S295" s="4" t="n">
        <v>0.01225877886744708</v>
      </c>
      <c r="T295" s="4" t="n">
        <v>0.05</v>
      </c>
      <c r="U295" s="19" t="n">
        <v>1.198550313103168</v>
      </c>
      <c r="V295" s="19" t="n">
        <v>0.9021739130434784</v>
      </c>
      <c r="W295" s="4" t="n">
        <v>0.1245088500376201</v>
      </c>
      <c r="X295" s="4" t="n">
        <v>0.1997343201442261</v>
      </c>
      <c r="Y295" s="4" t="n">
        <v>0.009615015996171206</v>
      </c>
      <c r="Z295" s="4" t="n">
        <v>0.02378707391791179</v>
      </c>
      <c r="AA295" s="4" t="n">
        <v>0.03</v>
      </c>
      <c r="AB295" s="4" t="n">
        <v>0.05</v>
      </c>
      <c r="AC295" s="4">
        <f>(AB295+2*參數!$B$7)/(AA295+AB295)</f>
        <v/>
      </c>
    </row>
    <row r="296">
      <c r="A296" s="2" t="n">
        <v>295</v>
      </c>
      <c r="B296" s="2" t="inlineStr">
        <is>
          <t>MARSCOIN_USDT_PERP</t>
        </is>
      </c>
      <c r="C296" s="2" t="inlineStr">
        <is>
          <t>做空</t>
        </is>
      </c>
      <c r="D296" s="7" t="n">
        <v>46284.54166666666</v>
      </c>
      <c r="E296" s="20" t="n">
        <v>0.10742</v>
      </c>
      <c r="F296" s="20" t="n">
        <v>0.1041974</v>
      </c>
      <c r="G296" s="20" t="n">
        <v>0.112791</v>
      </c>
      <c r="H296" s="7" t="n">
        <v>46284.70833333334</v>
      </c>
      <c r="I296" s="20" t="n">
        <v>0.1041974</v>
      </c>
      <c r="J296" s="2" t="inlineStr">
        <is>
          <t>止盈</t>
        </is>
      </c>
      <c r="K296" s="5">
        <f>(H296-D296)*24</f>
        <v/>
      </c>
      <c r="L296" s="4">
        <f>IF(C296="做多",I296/E296-1,1-I296/E296)-2*參數!$B$7</f>
        <v/>
      </c>
      <c r="M296" s="2" t="inlineStr"/>
      <c r="N296" s="4" t="n">
        <v>-0.03762766529295825</v>
      </c>
      <c r="O296" s="4" t="n">
        <v>0.0406275196558227</v>
      </c>
      <c r="P296" s="4" t="n">
        <v>-0.0316633989137538</v>
      </c>
      <c r="Q296" s="22" t="n">
        <v>-70700</v>
      </c>
      <c r="R296" s="22" t="n">
        <v>1531191.2916</v>
      </c>
      <c r="S296" s="4" t="n">
        <v>0.03</v>
      </c>
      <c r="T296" s="4" t="n">
        <v>0.01452243530068875</v>
      </c>
      <c r="U296" s="19" t="n">
        <v>1.294498053985689</v>
      </c>
      <c r="V296" s="19" t="n">
        <v>0.8086816720257237</v>
      </c>
      <c r="W296" s="4" t="n">
        <v>-0.0486742207917088</v>
      </c>
      <c r="X296" s="4" t="n">
        <v>0.1062484399700474</v>
      </c>
      <c r="Y296" s="4" t="n">
        <v>0.00127373612823678</v>
      </c>
      <c r="Z296" s="4" t="n">
        <v>-0.007137664044230219</v>
      </c>
      <c r="AA296" s="4" t="n">
        <v>0.03</v>
      </c>
      <c r="AB296" s="4" t="n">
        <v>0.05</v>
      </c>
      <c r="AC296" s="4">
        <f>(AB296+2*參數!$B$7)/(AA296+AB296)</f>
        <v/>
      </c>
    </row>
    <row r="297">
      <c r="A297" s="2" t="n">
        <v>296</v>
      </c>
      <c r="B297" s="2" t="inlineStr">
        <is>
          <t>NEAR_USDT_PERP</t>
        </is>
      </c>
      <c r="C297" s="2" t="inlineStr">
        <is>
          <t>做空</t>
        </is>
      </c>
      <c r="D297" s="7" t="n">
        <v>46284.54166666666</v>
      </c>
      <c r="E297" s="20" t="n">
        <v>3.674</v>
      </c>
      <c r="F297" s="20" t="n">
        <v>3.56378</v>
      </c>
      <c r="G297" s="20" t="n">
        <v>3.8577</v>
      </c>
      <c r="H297" s="7" t="n">
        <v>46284.91666666666</v>
      </c>
      <c r="I297" s="20" t="n">
        <v>3.56378</v>
      </c>
      <c r="J297" s="2" t="inlineStr">
        <is>
          <t>止盈</t>
        </is>
      </c>
      <c r="K297" s="5">
        <f>(H297-D297)*24</f>
        <v/>
      </c>
      <c r="L297" s="4">
        <f>IF(C297="做多",I297/E297-1,1-I297/E297)-2*參數!$B$7</f>
        <v/>
      </c>
      <c r="M297" s="2" t="inlineStr"/>
      <c r="N297" s="4" t="n">
        <v>-0.02209209475645468</v>
      </c>
      <c r="O297" s="4" t="n">
        <v>0.03219042463650423</v>
      </c>
      <c r="P297" s="4" t="n">
        <v>-0.003971642741924519</v>
      </c>
      <c r="Q297" s="22" t="n">
        <v>-256539</v>
      </c>
      <c r="R297" s="22" t="n">
        <v>14306936.362</v>
      </c>
      <c r="S297" s="4" t="n">
        <v>0.03</v>
      </c>
      <c r="T297" s="4" t="n">
        <v>0.020141535111595</v>
      </c>
      <c r="U297" s="19" t="n">
        <v>0.6040743979419585</v>
      </c>
      <c r="V297" s="19" t="n">
        <v>0.8581560283687942</v>
      </c>
      <c r="W297" s="4" t="n">
        <v>-0.2842920663329511</v>
      </c>
      <c r="X297" s="4" t="n">
        <v>-0.03843979649519502</v>
      </c>
      <c r="Y297" s="4" t="n">
        <v>0.00127373612823678</v>
      </c>
      <c r="Z297" s="4" t="n">
        <v>-0.007137664044230219</v>
      </c>
      <c r="AA297" s="4" t="n">
        <v>0.03</v>
      </c>
      <c r="AB297" s="4" t="n">
        <v>0.05</v>
      </c>
      <c r="AC297" s="4">
        <f>(AB297+2*參數!$B$7)/(AA297+AB297)</f>
        <v/>
      </c>
    </row>
    <row r="298">
      <c r="A298" s="2" t="n">
        <v>297</v>
      </c>
      <c r="B298" s="2" t="inlineStr">
        <is>
          <t>PONS_USDT_PERP</t>
        </is>
      </c>
      <c r="C298" s="2" t="inlineStr">
        <is>
          <t>做空</t>
        </is>
      </c>
      <c r="D298" s="7" t="n">
        <v>46284.54166666666</v>
      </c>
      <c r="E298" s="20" t="n">
        <v>0.6696</v>
      </c>
      <c r="F298" s="20" t="n">
        <v>0.649512</v>
      </c>
      <c r="G298" s="20" t="n">
        <v>0.70308</v>
      </c>
      <c r="H298" s="7" t="n">
        <v>46284.79166666666</v>
      </c>
      <c r="I298" s="20" t="n">
        <v>0.649512</v>
      </c>
      <c r="J298" s="2" t="inlineStr">
        <is>
          <t>止盈</t>
        </is>
      </c>
      <c r="K298" s="5">
        <f>(H298-D298)*24</f>
        <v/>
      </c>
      <c r="L298" s="4">
        <f>IF(C298="做多",I298/E298-1,1-I298/E298)-2*參數!$B$7</f>
        <v/>
      </c>
      <c r="M298" s="2" t="inlineStr"/>
      <c r="N298" s="4" t="n">
        <v>-0.03515850144092214</v>
      </c>
      <c r="O298" s="4" t="n">
        <v>0.0328296717039101</v>
      </c>
      <c r="P298" s="4" t="n">
        <v>-0.02621341574259217</v>
      </c>
      <c r="Q298" s="22" t="n">
        <v>-1000991</v>
      </c>
      <c r="R298" s="22" t="n">
        <v>3480607.0117</v>
      </c>
      <c r="S298" s="4" t="n">
        <v>0.03</v>
      </c>
      <c r="T298" s="4" t="n">
        <v>0.02822580645161299</v>
      </c>
      <c r="U298" s="19" t="n">
        <v>1.064759508995371</v>
      </c>
      <c r="V298" s="19" t="n">
        <v>0.9219653179190772</v>
      </c>
      <c r="W298" s="4" t="n">
        <v>-0.04019250396519025</v>
      </c>
      <c r="X298" s="4" t="n">
        <v>0.09781729991915922</v>
      </c>
      <c r="Y298" s="4" t="n">
        <v>0.00127373612823678</v>
      </c>
      <c r="Z298" s="4" t="n">
        <v>-0.007137664044230219</v>
      </c>
      <c r="AA298" s="4" t="n">
        <v>0.03</v>
      </c>
      <c r="AB298" s="4" t="n">
        <v>0.05</v>
      </c>
      <c r="AC298" s="4">
        <f>(AB298+2*參數!$B$7)/(AA298+AB298)</f>
        <v/>
      </c>
    </row>
    <row r="299">
      <c r="A299" s="2" t="n">
        <v>298</v>
      </c>
      <c r="B299" s="2" t="inlineStr">
        <is>
          <t>PUMP_USDT_PERP</t>
        </is>
      </c>
      <c r="C299" s="2" t="inlineStr">
        <is>
          <t>做空</t>
        </is>
      </c>
      <c r="D299" s="7" t="n">
        <v>46284.54166666666</v>
      </c>
      <c r="E299" s="20" t="n">
        <v>0.004132</v>
      </c>
      <c r="F299" s="20" t="n">
        <v>0.00400804</v>
      </c>
      <c r="G299" s="20" t="n">
        <v>0.004338600000000001</v>
      </c>
      <c r="H299" s="7" t="n">
        <v>46285.45833333334</v>
      </c>
      <c r="I299" s="20" t="n">
        <v>0.00400804</v>
      </c>
      <c r="J299" s="2" t="inlineStr">
        <is>
          <t>止盈</t>
        </is>
      </c>
      <c r="K299" s="5">
        <f>(H299-D299)*24</f>
        <v/>
      </c>
      <c r="L299" s="4">
        <f>IF(C299="做多",I299/E299-1,1-I299/E299)-2*參數!$B$7</f>
        <v/>
      </c>
      <c r="M299" s="2" t="inlineStr"/>
      <c r="N299" s="4" t="n">
        <v>-0.03186504217432051</v>
      </c>
      <c r="O299" s="4" t="n">
        <v>0.02099946611564436</v>
      </c>
      <c r="P299" s="4" t="n">
        <v>-0.03419582544468602</v>
      </c>
      <c r="Q299" s="22" t="n">
        <v>-88223731</v>
      </c>
      <c r="R299" s="22" t="n">
        <v>4554302.518848</v>
      </c>
      <c r="S299" s="4" t="n">
        <v>0.03</v>
      </c>
      <c r="T299" s="4" t="n">
        <v>0.03484995159728954</v>
      </c>
      <c r="U299" s="19" t="n">
        <v>0.8594910443194812</v>
      </c>
      <c r="V299" s="19" t="n">
        <v>0.8588235294117613</v>
      </c>
      <c r="W299" s="4" t="n">
        <v>-0.07235266180664968</v>
      </c>
      <c r="X299" s="4" t="n">
        <v>0.03027458343111944</v>
      </c>
      <c r="Y299" s="4" t="n">
        <v>0.00127373612823678</v>
      </c>
      <c r="Z299" s="4" t="n">
        <v>-0.007137664044230219</v>
      </c>
      <c r="AA299" s="4" t="n">
        <v>0.03</v>
      </c>
      <c r="AB299" s="4" t="n">
        <v>0.05</v>
      </c>
      <c r="AC299" s="4">
        <f>(AB299+2*參數!$B$7)/(AA299+AB299)</f>
        <v/>
      </c>
    </row>
    <row r="300">
      <c r="A300" s="2" t="n">
        <v>299</v>
      </c>
      <c r="B300" s="2" t="inlineStr">
        <is>
          <t>VVV_USDT_PERP</t>
        </is>
      </c>
      <c r="C300" s="2" t="inlineStr">
        <is>
          <t>做多</t>
        </is>
      </c>
      <c r="D300" s="7" t="n">
        <v>46284.58333333334</v>
      </c>
      <c r="E300" s="20" t="n">
        <v>28.046</v>
      </c>
      <c r="F300" s="20" t="n">
        <v>28.88738</v>
      </c>
      <c r="G300" s="20" t="n">
        <v>26.6437</v>
      </c>
      <c r="H300" s="7" t="n">
        <v>46284.70833333334</v>
      </c>
      <c r="I300" s="20" t="n">
        <v>28.88738</v>
      </c>
      <c r="J300" s="2" t="inlineStr">
        <is>
          <t>止盈</t>
        </is>
      </c>
      <c r="K300" s="5">
        <f>(H300-D300)*24</f>
        <v/>
      </c>
      <c r="L300" s="4">
        <f>IF(C300="做多",I300/E300-1,1-I300/E300)-2*參數!$B$7</f>
        <v/>
      </c>
      <c r="M300" s="2" t="inlineStr"/>
      <c r="N300" s="4" t="n">
        <v>0.0201513167466898</v>
      </c>
      <c r="O300" s="4" t="n">
        <v>0.02875959297517392</v>
      </c>
      <c r="P300" s="4" t="n">
        <v>0.02651006342943529</v>
      </c>
      <c r="Q300" s="22" t="n">
        <v>28516.25999999998</v>
      </c>
      <c r="R300" s="22" t="n">
        <v>1829067.95403</v>
      </c>
      <c r="S300" s="4" t="n">
        <v>0.03</v>
      </c>
      <c r="T300" s="4" t="n">
        <v>0.00527704485488123</v>
      </c>
      <c r="U300" s="19" t="n">
        <v>1.665435982347986</v>
      </c>
      <c r="V300" s="19" t="n">
        <v>0.7124518613607186</v>
      </c>
      <c r="W300" s="4" t="n">
        <v>0.1565961777807836</v>
      </c>
      <c r="X300" s="4" t="n">
        <v>0.1170589875333572</v>
      </c>
      <c r="Y300" s="4" t="n">
        <v>0.0002345774580940763</v>
      </c>
      <c r="Z300" s="4" t="n">
        <v>0.005594053448634062</v>
      </c>
      <c r="AA300" s="4" t="n">
        <v>0.03</v>
      </c>
      <c r="AB300" s="4" t="n">
        <v>0.05</v>
      </c>
      <c r="AC300" s="4">
        <f>(AB300+2*參數!$B$7)/(AA300+AB300)</f>
        <v/>
      </c>
    </row>
    <row r="301">
      <c r="A301" s="2" t="n">
        <v>300</v>
      </c>
      <c r="B301" s="2" t="inlineStr">
        <is>
          <t>ENA_USDT_PERP</t>
        </is>
      </c>
      <c r="C301" s="2" t="inlineStr">
        <is>
          <t>做多</t>
        </is>
      </c>
      <c r="D301" s="7" t="n">
        <v>46284.625</v>
      </c>
      <c r="E301" s="20" t="n">
        <v>0.179</v>
      </c>
      <c r="F301" s="20" t="n">
        <v>0.18437</v>
      </c>
      <c r="G301" s="20" t="n">
        <v>0.17005</v>
      </c>
      <c r="H301" s="7" t="n">
        <v>46284.70833333334</v>
      </c>
      <c r="I301" s="20" t="n">
        <v>0.18437</v>
      </c>
      <c r="J301" s="2" t="inlineStr">
        <is>
          <t>止盈</t>
        </is>
      </c>
      <c r="K301" s="5">
        <f>(H301-D301)*24</f>
        <v/>
      </c>
      <c r="L301" s="4">
        <f>IF(C301="做多",I301/E301-1,1-I301/E301)-2*參數!$B$7</f>
        <v/>
      </c>
      <c r="M301" s="2" t="inlineStr"/>
      <c r="N301" s="4" t="n">
        <v>0.02110667427267532</v>
      </c>
      <c r="O301" s="4" t="n">
        <v>0.02740330987673762</v>
      </c>
      <c r="P301" s="4" t="n">
        <v>0.05483367217655211</v>
      </c>
      <c r="Q301" s="22" t="n">
        <v>21946048</v>
      </c>
      <c r="R301" s="22" t="n">
        <v>11795313.8317</v>
      </c>
      <c r="S301" s="4" t="n">
        <v>0.03</v>
      </c>
      <c r="T301" s="4" t="n">
        <v>0.003910614525139744</v>
      </c>
      <c r="U301" s="19" t="n">
        <v>1.23164954763526</v>
      </c>
      <c r="V301" s="19" t="n">
        <v>0.8307692307692283</v>
      </c>
      <c r="W301" s="4" t="n">
        <v>0.172609416250139</v>
      </c>
      <c r="X301" s="4" t="n">
        <v>0.0724985020970641</v>
      </c>
      <c r="Y301" s="4" t="n">
        <v>0.0001431821239588071</v>
      </c>
      <c r="Z301" s="4" t="n">
        <v>0.004005561803694269</v>
      </c>
      <c r="AA301" s="4" t="n">
        <v>0.03</v>
      </c>
      <c r="AB301" s="4" t="n">
        <v>0.05</v>
      </c>
      <c r="AC301" s="4">
        <f>(AB301+2*參數!$B$7)/(AA301+AB301)</f>
        <v/>
      </c>
    </row>
    <row r="302">
      <c r="A302" s="2" t="n">
        <v>301</v>
      </c>
      <c r="B302" s="2" t="inlineStr">
        <is>
          <t>UNI_USDT_PERP</t>
        </is>
      </c>
      <c r="C302" s="2" t="inlineStr">
        <is>
          <t>做多</t>
        </is>
      </c>
      <c r="D302" s="7" t="n">
        <v>46284.625</v>
      </c>
      <c r="E302" s="20" t="n">
        <v>9.178000000000001</v>
      </c>
      <c r="F302" s="20" t="n">
        <v>9.453340000000001</v>
      </c>
      <c r="G302" s="20" t="n">
        <v>8.719100000000001</v>
      </c>
      <c r="H302" s="7" t="n">
        <v>46284.70833333334</v>
      </c>
      <c r="I302" s="20" t="n">
        <v>9.453340000000001</v>
      </c>
      <c r="J302" s="2" t="inlineStr">
        <is>
          <t>止盈</t>
        </is>
      </c>
      <c r="K302" s="5">
        <f>(H302-D302)*24</f>
        <v/>
      </c>
      <c r="L302" s="4">
        <f>IF(C302="做多",I302/E302-1,1-I302/E302)-2*參數!$B$7</f>
        <v/>
      </c>
      <c r="M302" s="2" t="inlineStr"/>
      <c r="N302" s="4" t="n">
        <v>0.02182142061901593</v>
      </c>
      <c r="O302" s="4" t="n">
        <v>0.02605397979934574</v>
      </c>
      <c r="P302" s="4" t="n">
        <v>0.0323843376339974</v>
      </c>
      <c r="Q302" s="22" t="n">
        <v>338581</v>
      </c>
      <c r="R302" s="22" t="n">
        <v>13234916.642</v>
      </c>
      <c r="S302" s="4" t="n">
        <v>0.03</v>
      </c>
      <c r="T302" s="4" t="n">
        <v>0.009043364567443923</v>
      </c>
      <c r="U302" s="19" t="n">
        <v>0.7869632359196778</v>
      </c>
      <c r="V302" s="19" t="n">
        <v>0.7526881720430141</v>
      </c>
      <c r="W302" s="4" t="n">
        <v>0.2555455083946994</v>
      </c>
      <c r="X302" s="4" t="n">
        <v>0.06325301204819289</v>
      </c>
      <c r="Y302" s="4" t="n">
        <v>0.0001431821239588071</v>
      </c>
      <c r="Z302" s="4" t="n">
        <v>0.004005561803694269</v>
      </c>
      <c r="AA302" s="4" t="n">
        <v>0.03</v>
      </c>
      <c r="AB302" s="4" t="n">
        <v>0.05</v>
      </c>
      <c r="AC302" s="4">
        <f>(AB302+2*參數!$B$7)/(AA302+AB302)</f>
        <v/>
      </c>
    </row>
    <row r="303">
      <c r="A303" s="2" t="n">
        <v>302</v>
      </c>
      <c r="B303" s="2" t="inlineStr">
        <is>
          <t>ARB_USDT_PERP</t>
        </is>
      </c>
      <c r="C303" s="2" t="inlineStr">
        <is>
          <t>做空</t>
        </is>
      </c>
      <c r="D303" s="7" t="n">
        <v>46284.66666666666</v>
      </c>
      <c r="E303" s="20" t="n">
        <v>0.2116</v>
      </c>
      <c r="F303" s="20" t="n">
        <v>0.205252</v>
      </c>
      <c r="G303" s="20" t="n">
        <v>0.22218</v>
      </c>
      <c r="H303" s="7" t="n">
        <v>46285.125</v>
      </c>
      <c r="I303" s="20" t="n">
        <v>0.205252</v>
      </c>
      <c r="J303" s="2" t="inlineStr">
        <is>
          <t>止盈</t>
        </is>
      </c>
      <c r="K303" s="5">
        <f>(H303-D303)*24</f>
        <v/>
      </c>
      <c r="L303" s="4">
        <f>IF(C303="做多",I303/E303-1,1-I303/E303)-2*參數!$B$7</f>
        <v/>
      </c>
      <c r="M303" s="2" t="inlineStr"/>
      <c r="N303" s="4" t="n">
        <v>-0.02127659574468077</v>
      </c>
      <c r="O303" s="4" t="n">
        <v>0.03545305584409945</v>
      </c>
      <c r="P303" s="4" t="n">
        <v>-0.01991662806855032</v>
      </c>
      <c r="Q303" s="22" t="n">
        <v>-1781923.6</v>
      </c>
      <c r="R303" s="22" t="n">
        <v>6227912.85001</v>
      </c>
      <c r="S303" s="4" t="n">
        <v>0.03</v>
      </c>
      <c r="T303" s="4" t="n">
        <v>0.01890359168241962</v>
      </c>
      <c r="U303" s="19" t="n">
        <v>0.4009213643595311</v>
      </c>
      <c r="V303" s="19" t="n">
        <v>0.968749999999999</v>
      </c>
      <c r="W303" s="4" t="n">
        <v>-0.2089079835917591</v>
      </c>
      <c r="X303" s="4" t="n">
        <v>-0</v>
      </c>
      <c r="Y303" s="4" t="n">
        <v>-0.0004751484993328337</v>
      </c>
      <c r="Z303" s="4" t="n">
        <v>-0.002597526274406681</v>
      </c>
      <c r="AA303" s="4" t="n">
        <v>0.03</v>
      </c>
      <c r="AB303" s="4" t="n">
        <v>0.05</v>
      </c>
      <c r="AC303" s="4">
        <f>(AB303+2*參數!$B$7)/(AA303+AB303)</f>
        <v/>
      </c>
    </row>
    <row r="304">
      <c r="A304" s="2" t="n">
        <v>303</v>
      </c>
      <c r="B304" s="2" t="inlineStr">
        <is>
          <t>LSK_USDT_PERP</t>
        </is>
      </c>
      <c r="C304" s="2" t="inlineStr">
        <is>
          <t>做空</t>
        </is>
      </c>
      <c r="D304" s="7" t="n">
        <v>46284.66666666666</v>
      </c>
      <c r="E304" s="20" t="n">
        <v>0.4301</v>
      </c>
      <c r="F304" s="20" t="n">
        <v>0.417197</v>
      </c>
      <c r="G304" s="20" t="n">
        <v>0.451605</v>
      </c>
      <c r="H304" s="7" t="n">
        <v>46284.91666666666</v>
      </c>
      <c r="I304" s="20" t="n">
        <v>0.451605</v>
      </c>
      <c r="J304" s="2" t="inlineStr">
        <is>
          <t>止損</t>
        </is>
      </c>
      <c r="K304" s="5">
        <f>(H304-D304)*24</f>
        <v/>
      </c>
      <c r="L304" s="4">
        <f>IF(C304="做多",I304/E304-1,1-I304/E304)-2*參數!$B$7</f>
        <v/>
      </c>
      <c r="M304" s="2" t="inlineStr"/>
      <c r="N304" s="4" t="n">
        <v>-0.02427404718693293</v>
      </c>
      <c r="O304" s="4" t="n">
        <v>0.04705009613077482</v>
      </c>
      <c r="P304" s="4" t="n">
        <v>-0.01905554731956527</v>
      </c>
      <c r="Q304" s="22" t="n">
        <v>-1935113</v>
      </c>
      <c r="R304" s="22" t="n">
        <v>2960360.9647</v>
      </c>
      <c r="S304" s="4" t="n">
        <v>0.008835154615205676</v>
      </c>
      <c r="T304" s="4" t="n">
        <v>0.05</v>
      </c>
      <c r="U304" s="19" t="n">
        <v>2.270815114185626</v>
      </c>
      <c r="V304" s="19" t="n">
        <v>0.5944444444444463</v>
      </c>
      <c r="W304" s="4" t="n">
        <v>0.08703616831138827</v>
      </c>
      <c r="X304" s="4" t="n">
        <v>-0.003499766682221184</v>
      </c>
      <c r="Y304" s="4" t="n">
        <v>-0.0004751484993328337</v>
      </c>
      <c r="Z304" s="4" t="n">
        <v>-0.002597526274406681</v>
      </c>
      <c r="AA304" s="4" t="n">
        <v>0.03</v>
      </c>
      <c r="AB304" s="4" t="n">
        <v>0.05</v>
      </c>
      <c r="AC304" s="4">
        <f>(AB304+2*參數!$B$7)/(AA304+AB304)</f>
        <v/>
      </c>
    </row>
    <row r="305">
      <c r="A305" s="2" t="n">
        <v>304</v>
      </c>
      <c r="B305" s="2" t="inlineStr">
        <is>
          <t>PIEVERSE_USDT_PERP</t>
        </is>
      </c>
      <c r="C305" s="2" t="inlineStr">
        <is>
          <t>做空</t>
        </is>
      </c>
      <c r="D305" s="7" t="n">
        <v>46284.875</v>
      </c>
      <c r="E305" s="20" t="n">
        <v>1.5721</v>
      </c>
      <c r="F305" s="20" t="n">
        <v>1.524937</v>
      </c>
      <c r="G305" s="20" t="n">
        <v>1.650705</v>
      </c>
      <c r="H305" s="7" t="n">
        <v>46284.95833333334</v>
      </c>
      <c r="I305" s="20" t="n">
        <v>1.524937</v>
      </c>
      <c r="J305" s="2" t="inlineStr">
        <is>
          <t>止盈</t>
        </is>
      </c>
      <c r="K305" s="5">
        <f>(H305-D305)*24</f>
        <v/>
      </c>
      <c r="L305" s="4">
        <f>IF(C305="做多",I305/E305-1,1-I305/E305)-2*參數!$B$7</f>
        <v/>
      </c>
      <c r="M305" s="2" t="inlineStr"/>
      <c r="N305" s="4" t="n">
        <v>-0.03498864403658453</v>
      </c>
      <c r="O305" s="4" t="n">
        <v>0.05117345385007317</v>
      </c>
      <c r="P305" s="4" t="n">
        <v>-0.0334460498001844</v>
      </c>
      <c r="Q305" s="22" t="n">
        <v>-292939</v>
      </c>
      <c r="R305" s="22" t="n">
        <v>2971303.2312</v>
      </c>
      <c r="S305" s="4" t="n">
        <v>0.03</v>
      </c>
      <c r="T305" s="4" t="n">
        <v>0.003562114369314973</v>
      </c>
      <c r="U305" s="19" t="n">
        <v>0.4561863381253892</v>
      </c>
      <c r="V305" s="19" t="n">
        <v>0.9329359165424747</v>
      </c>
      <c r="W305" s="4" t="n">
        <v>-0.2276813604218206</v>
      </c>
      <c r="X305" s="4" t="n">
        <v>-0.28934634626425</v>
      </c>
      <c r="Y305" s="4" t="n">
        <v>-0.000391265189209955</v>
      </c>
      <c r="Z305" s="4" t="n">
        <v>-0.001917104559061578</v>
      </c>
      <c r="AA305" s="4" t="n">
        <v>0.03</v>
      </c>
      <c r="AB305" s="4" t="n">
        <v>0.05</v>
      </c>
      <c r="AC305" s="4">
        <f>(AB305+2*參數!$B$7)/(AA305+AB305)</f>
        <v/>
      </c>
    </row>
    <row r="306">
      <c r="A306" s="2" t="n">
        <v>305</v>
      </c>
      <c r="B306" s="2" t="inlineStr">
        <is>
          <t>PONS_USDT_PERP</t>
        </is>
      </c>
      <c r="C306" s="2" t="inlineStr">
        <is>
          <t>做空</t>
        </is>
      </c>
      <c r="D306" s="7" t="n">
        <v>46284.875</v>
      </c>
      <c r="E306" s="20" t="n">
        <v>0.6329</v>
      </c>
      <c r="F306" s="20" t="n">
        <v>0.613913</v>
      </c>
      <c r="G306" s="20" t="n">
        <v>0.6645450000000001</v>
      </c>
      <c r="H306" s="7" t="n">
        <v>46285</v>
      </c>
      <c r="I306" s="20" t="n">
        <v>0.613913</v>
      </c>
      <c r="J306" s="2" t="inlineStr">
        <is>
          <t>止盈</t>
        </is>
      </c>
      <c r="K306" s="5">
        <f>(H306-D306)*24</f>
        <v/>
      </c>
      <c r="L306" s="4">
        <f>IF(C306="做多",I306/E306-1,1-I306/E306)-2*參數!$B$7</f>
        <v/>
      </c>
      <c r="M306" s="2" t="inlineStr"/>
      <c r="N306" s="4" t="n">
        <v>-0.04193157735392061</v>
      </c>
      <c r="O306" s="4" t="n">
        <v>0.03444894547579929</v>
      </c>
      <c r="P306" s="4" t="n">
        <v>-0.05926245224965432</v>
      </c>
      <c r="Q306" s="22" t="n">
        <v>-476291</v>
      </c>
      <c r="R306" s="22" t="n">
        <v>3116771.0536</v>
      </c>
      <c r="S306" s="4" t="n">
        <v>0.03</v>
      </c>
      <c r="T306" s="4" t="n">
        <v>0.003002054036972623</v>
      </c>
      <c r="U306" s="19" t="n">
        <v>3.123007159420375</v>
      </c>
      <c r="V306" s="19" t="n">
        <v>0.9693877551020404</v>
      </c>
      <c r="W306" s="4" t="n">
        <v>0.02245465975120386</v>
      </c>
      <c r="X306" s="4" t="n">
        <v>0.1215822345593338</v>
      </c>
      <c r="Y306" s="4" t="n">
        <v>-0.000391265189209955</v>
      </c>
      <c r="Z306" s="4" t="n">
        <v>-0.001917104559061578</v>
      </c>
      <c r="AA306" s="4" t="n">
        <v>0.03</v>
      </c>
      <c r="AB306" s="4" t="n">
        <v>0.05</v>
      </c>
      <c r="AC306" s="4">
        <f>(AB306+2*參數!$B$7)/(AA306+AB306)</f>
        <v/>
      </c>
    </row>
    <row r="307">
      <c r="A307" s="2" t="n">
        <v>306</v>
      </c>
      <c r="B307" s="2" t="inlineStr">
        <is>
          <t>LSK_USDT_PERP</t>
        </is>
      </c>
      <c r="C307" s="2" t="inlineStr">
        <is>
          <t>做空</t>
        </is>
      </c>
      <c r="D307" s="7" t="n">
        <v>46285</v>
      </c>
      <c r="E307" s="20" t="n">
        <v>0.4197</v>
      </c>
      <c r="F307" s="20" t="n">
        <v>0.407109</v>
      </c>
      <c r="G307" s="20" t="n">
        <v>0.440685</v>
      </c>
      <c r="H307" s="7" t="n">
        <v>46285.16666666666</v>
      </c>
      <c r="I307" s="20" t="n">
        <v>0.407109</v>
      </c>
      <c r="J307" s="2" t="inlineStr">
        <is>
          <t>止盈</t>
        </is>
      </c>
      <c r="K307" s="5">
        <f>(H307-D307)*24</f>
        <v/>
      </c>
      <c r="L307" s="4">
        <f>IF(C307="做多",I307/E307-1,1-I307/E307)-2*參數!$B$7</f>
        <v/>
      </c>
      <c r="M307" s="2" t="inlineStr"/>
      <c r="N307" s="4" t="n">
        <v>-0.06337871010935059</v>
      </c>
      <c r="O307" s="4" t="n">
        <v>0.04619008973846948</v>
      </c>
      <c r="P307" s="4" t="n">
        <v>-0.03043603811723927</v>
      </c>
      <c r="Q307" s="22" t="n">
        <v>-953181</v>
      </c>
      <c r="R307" s="22" t="n">
        <v>2523431.2446</v>
      </c>
      <c r="S307" s="4" t="n">
        <v>0.03</v>
      </c>
      <c r="T307" s="4" t="n">
        <v>0.01191327138432219</v>
      </c>
      <c r="U307" s="19" t="n">
        <v>1.632577735459896</v>
      </c>
      <c r="V307" s="19" t="n">
        <v>0.8091168091168082</v>
      </c>
      <c r="W307" s="4" t="n">
        <v>0.1148893453513237</v>
      </c>
      <c r="X307" s="4" t="n">
        <v>0.05854643337819643</v>
      </c>
      <c r="Y307" s="4" t="n">
        <v>-0.0007615240290876901</v>
      </c>
      <c r="Z307" s="4" t="n">
        <v>-0.004757661869524865</v>
      </c>
      <c r="AA307" s="4" t="n">
        <v>0.03</v>
      </c>
      <c r="AB307" s="4" t="n">
        <v>0.05</v>
      </c>
      <c r="AC307" s="4">
        <f>(AB307+2*參數!$B$7)/(AA307+AB307)</f>
        <v/>
      </c>
    </row>
    <row r="308">
      <c r="A308" s="2" t="n">
        <v>307</v>
      </c>
      <c r="B308" s="2" t="inlineStr">
        <is>
          <t>LIT_USDT_PERP</t>
        </is>
      </c>
      <c r="C308" s="2" t="inlineStr">
        <is>
          <t>做空</t>
        </is>
      </c>
      <c r="D308" s="7" t="n">
        <v>46285.08333333334</v>
      </c>
      <c r="E308" s="20" t="n">
        <v>4.951</v>
      </c>
      <c r="F308" s="20" t="n">
        <v>4.80247</v>
      </c>
      <c r="G308" s="20" t="n">
        <v>5.19855</v>
      </c>
      <c r="H308" s="7" t="n">
        <v>46285.25</v>
      </c>
      <c r="I308" s="20" t="n">
        <v>4.80247</v>
      </c>
      <c r="J308" s="2" t="inlineStr">
        <is>
          <t>止盈</t>
        </is>
      </c>
      <c r="K308" s="5">
        <f>(H308-D308)*24</f>
        <v/>
      </c>
      <c r="L308" s="4">
        <f>IF(C308="做多",I308/E308-1,1-I308/E308)-2*參數!$B$7</f>
        <v/>
      </c>
      <c r="M308" s="2" t="inlineStr"/>
      <c r="N308" s="4" t="n">
        <v>-0.03470462078377845</v>
      </c>
      <c r="O308" s="4" t="n">
        <v>0.0279426058412653</v>
      </c>
      <c r="P308" s="4" t="n">
        <v>-0.00772614764858548</v>
      </c>
      <c r="Q308" s="22" t="n">
        <v>-47265.59999999986</v>
      </c>
      <c r="R308" s="22" t="n">
        <v>7112866.944200001</v>
      </c>
      <c r="S308" s="4" t="n">
        <v>0.03</v>
      </c>
      <c r="T308" s="4" t="n">
        <v>0.007675217127852907</v>
      </c>
      <c r="U308" s="19" t="n">
        <v>1.018624076505776</v>
      </c>
      <c r="V308" s="19" t="n">
        <v>0.8860759493670914</v>
      </c>
      <c r="W308" s="4" t="n">
        <v>-0.0603188880679324</v>
      </c>
      <c r="X308" s="4" t="n">
        <v>-0.05049862083598544</v>
      </c>
      <c r="Y308" s="4" t="n">
        <v>0.004511278195488688</v>
      </c>
      <c r="Z308" s="4" t="n">
        <v>-0.001927356021546256</v>
      </c>
      <c r="AA308" s="4" t="n">
        <v>0.03</v>
      </c>
      <c r="AB308" s="4" t="n">
        <v>0.05</v>
      </c>
      <c r="AC308" s="4">
        <f>(AB308+2*參數!$B$7)/(AA308+AB308)</f>
        <v/>
      </c>
    </row>
    <row r="309">
      <c r="A309" s="2" t="n">
        <v>308</v>
      </c>
      <c r="B309" s="2" t="inlineStr">
        <is>
          <t>XMR_USDT_PERP</t>
        </is>
      </c>
      <c r="C309" s="2" t="inlineStr">
        <is>
          <t>做空</t>
        </is>
      </c>
      <c r="D309" s="7" t="n">
        <v>46285.08333333334</v>
      </c>
      <c r="E309" s="20" t="n">
        <v>554</v>
      </c>
      <c r="F309" s="20" t="n">
        <v>537.38</v>
      </c>
      <c r="G309" s="20" t="n">
        <v>581.7</v>
      </c>
      <c r="H309" s="7" t="n">
        <v>46285.25</v>
      </c>
      <c r="I309" s="20" t="n">
        <v>537.38</v>
      </c>
      <c r="J309" s="2" t="inlineStr">
        <is>
          <t>止盈</t>
        </is>
      </c>
      <c r="K309" s="5">
        <f>(H309-D309)*24</f>
        <v/>
      </c>
      <c r="L309" s="4">
        <f>IF(C309="做多",I309/E309-1,1-I309/E309)-2*參數!$B$7</f>
        <v/>
      </c>
      <c r="M309" s="2" t="inlineStr"/>
      <c r="N309" s="4" t="n">
        <v>-0.03077380639969218</v>
      </c>
      <c r="O309" s="4" t="n">
        <v>0.02003529986679843</v>
      </c>
      <c r="P309" s="4" t="n">
        <v>-0.03667838360197095</v>
      </c>
      <c r="Q309" s="22" t="n">
        <v>-381.871000000001</v>
      </c>
      <c r="R309" s="22" t="n">
        <v>1344189.54581</v>
      </c>
      <c r="S309" s="4" t="n">
        <v>0.03</v>
      </c>
      <c r="T309" s="4" t="n">
        <v>0.004693140794223893</v>
      </c>
      <c r="U309" s="19" t="n">
        <v>1.980456873494268</v>
      </c>
      <c r="V309" s="19" t="n">
        <v>0.7919855920756418</v>
      </c>
      <c r="W309" s="4" t="n">
        <v>-0.05237263489223154</v>
      </c>
      <c r="X309" s="4" t="n">
        <v>0.01131455901773926</v>
      </c>
      <c r="Y309" s="4" t="n">
        <v>0.004511278195488688</v>
      </c>
      <c r="Z309" s="4" t="n">
        <v>-0.001927356021546256</v>
      </c>
      <c r="AA309" s="4" t="n">
        <v>0.03</v>
      </c>
      <c r="AB309" s="4" t="n">
        <v>0.05</v>
      </c>
      <c r="AC309" s="4">
        <f>(AB309+2*參數!$B$7)/(AA309+AB309)</f>
        <v/>
      </c>
    </row>
    <row r="310">
      <c r="A310" s="2" t="n">
        <v>309</v>
      </c>
      <c r="B310" s="2" t="inlineStr">
        <is>
          <t>MYX_USDT_PERP</t>
        </is>
      </c>
      <c r="C310" s="2" t="inlineStr">
        <is>
          <t>做多</t>
        </is>
      </c>
      <c r="D310" s="7" t="n">
        <v>46285.125</v>
      </c>
      <c r="E310" s="20" t="n">
        <v>0.08934</v>
      </c>
      <c r="F310" s="20" t="n">
        <v>0.09202020000000001</v>
      </c>
      <c r="G310" s="20" t="n">
        <v>0.084873</v>
      </c>
      <c r="H310" s="7" t="n">
        <v>46285.41666666666</v>
      </c>
      <c r="I310" s="20" t="n">
        <v>0.084873</v>
      </c>
      <c r="J310" s="2" t="inlineStr">
        <is>
          <t>止損</t>
        </is>
      </c>
      <c r="K310" s="5">
        <f>(H310-D310)*24</f>
        <v/>
      </c>
      <c r="L310" s="4">
        <f>IF(C310="做多",I310/E310-1,1-I310/E310)-2*參數!$B$7</f>
        <v/>
      </c>
      <c r="M310" s="2" t="inlineStr"/>
      <c r="N310" s="4" t="n">
        <v>0.03654716324399576</v>
      </c>
      <c r="O310" s="4" t="n">
        <v>0.07525834058527245</v>
      </c>
      <c r="P310" s="4" t="n">
        <v>0.01090221948142323</v>
      </c>
      <c r="Q310" s="22" t="n">
        <v>4340743</v>
      </c>
      <c r="R310" s="22" t="n">
        <v>3068795.40256</v>
      </c>
      <c r="S310" s="4" t="n">
        <v>0.0135437653906425</v>
      </c>
      <c r="T310" s="4" t="n">
        <v>0.05</v>
      </c>
      <c r="U310" s="19" t="n">
        <v>0.5424330647628367</v>
      </c>
      <c r="V310" s="19" t="n">
        <v>0.7824074074074084</v>
      </c>
      <c r="W310" s="4" t="n">
        <v>0.3228422006503158</v>
      </c>
      <c r="X310" s="4" t="n">
        <v>0.1032353667572241</v>
      </c>
      <c r="Y310" s="4" t="n">
        <v>-0.0003549234888118313</v>
      </c>
      <c r="Z310" s="4" t="n">
        <v>0.001391109753730913</v>
      </c>
      <c r="AA310" s="4" t="n">
        <v>0.03</v>
      </c>
      <c r="AB310" s="4" t="n">
        <v>0.05</v>
      </c>
      <c r="AC310" s="4">
        <f>(AB310+2*參數!$B$7)/(AA310+AB310)</f>
        <v/>
      </c>
    </row>
    <row r="311">
      <c r="A311" s="2" t="n">
        <v>310</v>
      </c>
      <c r="B311" s="2" t="inlineStr">
        <is>
          <t>NEAR_USDT_PERP</t>
        </is>
      </c>
      <c r="C311" s="2" t="inlineStr">
        <is>
          <t>做空</t>
        </is>
      </c>
      <c r="D311" s="7" t="n">
        <v>46285.125</v>
      </c>
      <c r="E311" s="20" t="n">
        <v>3.57</v>
      </c>
      <c r="F311" s="20" t="n">
        <v>3.4629</v>
      </c>
      <c r="G311" s="20" t="n">
        <v>3.7485</v>
      </c>
      <c r="H311" s="7" t="n">
        <v>46285.16666666666</v>
      </c>
      <c r="I311" s="20" t="n">
        <v>3.4629</v>
      </c>
      <c r="J311" s="2" t="inlineStr">
        <is>
          <t>止盈</t>
        </is>
      </c>
      <c r="K311" s="5">
        <f>(H311-D311)*24</f>
        <v/>
      </c>
      <c r="L311" s="4">
        <f>IF(C311="做多",I311/E311-1,1-I311/E311)-2*參數!$B$7</f>
        <v/>
      </c>
      <c r="M311" s="2" t="inlineStr"/>
      <c r="N311" s="4" t="n">
        <v>-0.02272105119080214</v>
      </c>
      <c r="O311" s="4" t="n">
        <v>0.02515222662370712</v>
      </c>
      <c r="P311" s="4" t="n">
        <v>-0.03066835009978408</v>
      </c>
      <c r="Q311" s="22" t="n">
        <v>-132261</v>
      </c>
      <c r="R311" s="22" t="n">
        <v>9795962.280999999</v>
      </c>
      <c r="S311" s="4" t="n">
        <v>0.03</v>
      </c>
      <c r="T311" s="4" t="n">
        <v>0</v>
      </c>
      <c r="U311" s="19" t="n">
        <v>0.7271113402286415</v>
      </c>
      <c r="V311" s="19" t="n">
        <v>0.9607843137254903</v>
      </c>
      <c r="W311" s="4" t="n">
        <v>-0.1759048208803804</v>
      </c>
      <c r="X311" s="4" t="n">
        <v>0.04647435897435903</v>
      </c>
      <c r="Y311" s="4" t="n">
        <v>0.0003549234888118313</v>
      </c>
      <c r="Z311" s="4" t="n">
        <v>-0.001391109753730913</v>
      </c>
      <c r="AA311" s="4" t="n">
        <v>0.03</v>
      </c>
      <c r="AB311" s="4" t="n">
        <v>0.05</v>
      </c>
      <c r="AC311" s="4">
        <f>(AB311+2*參數!$B$7)/(AA311+AB311)</f>
        <v/>
      </c>
    </row>
    <row r="312">
      <c r="A312" s="2" t="n">
        <v>311</v>
      </c>
      <c r="B312" s="2" t="inlineStr">
        <is>
          <t>INJ_USDT_PERP</t>
        </is>
      </c>
      <c r="C312" s="2" t="inlineStr">
        <is>
          <t>做多</t>
        </is>
      </c>
      <c r="D312" s="7" t="n">
        <v>46285.25</v>
      </c>
      <c r="E312" s="20" t="n">
        <v>7.864</v>
      </c>
      <c r="F312" s="20" t="n">
        <v>8.099920000000001</v>
      </c>
      <c r="G312" s="20" t="n">
        <v>7.4708</v>
      </c>
      <c r="H312" s="7" t="n">
        <v>46285.29166666666</v>
      </c>
      <c r="I312" s="20" t="n">
        <v>8.099920000000001</v>
      </c>
      <c r="J312" s="2" t="inlineStr">
        <is>
          <t>止盈</t>
        </is>
      </c>
      <c r="K312" s="5">
        <f>(H312-D312)*24</f>
        <v/>
      </c>
      <c r="L312" s="4">
        <f>IF(C312="做多",I312/E312-1,1-I312/E312)-2*參數!$B$7</f>
        <v/>
      </c>
      <c r="M312" s="2" t="inlineStr"/>
      <c r="N312" s="4" t="n">
        <v>0.02302588786262505</v>
      </c>
      <c r="O312" s="4" t="n">
        <v>0.0276427089687035</v>
      </c>
      <c r="P312" s="4" t="n">
        <v>0.05281478010576324</v>
      </c>
      <c r="Q312" s="22" t="n">
        <v>78788.40000000001</v>
      </c>
      <c r="R312" s="22" t="n">
        <v>4686492.1699</v>
      </c>
      <c r="S312" s="4" t="n">
        <v>0.03</v>
      </c>
      <c r="T312" s="4" t="n">
        <v>0</v>
      </c>
      <c r="U312" s="19" t="n">
        <v>0.7093044439591327</v>
      </c>
      <c r="V312" s="19" t="n">
        <v>0.5552238805970148</v>
      </c>
      <c r="W312" s="4" t="n">
        <v>0.2857383430913636</v>
      </c>
      <c r="X312" s="4" t="n">
        <v>0.1845157403223376</v>
      </c>
      <c r="Y312" s="4" t="n">
        <v>-0.0007506378572924577</v>
      </c>
      <c r="Z312" s="4" t="n">
        <v>-0.00249216695236143</v>
      </c>
      <c r="AA312" s="4" t="n">
        <v>0.03</v>
      </c>
      <c r="AB312" s="4" t="n">
        <v>0.05</v>
      </c>
      <c r="AC312" s="4">
        <f>(AB312+2*參數!$B$7)/(AA312+AB312)</f>
        <v/>
      </c>
    </row>
    <row r="313">
      <c r="A313" s="2" t="n">
        <v>312</v>
      </c>
      <c r="B313" s="2" t="inlineStr">
        <is>
          <t>AR_USDT_PERP</t>
        </is>
      </c>
      <c r="C313" s="2" t="inlineStr">
        <is>
          <t>做多</t>
        </is>
      </c>
      <c r="D313" s="7" t="n">
        <v>46285.33333333334</v>
      </c>
      <c r="E313" s="20" t="n">
        <v>4.413</v>
      </c>
      <c r="F313" s="20" t="n">
        <v>4.54539</v>
      </c>
      <c r="G313" s="20" t="n">
        <v>4.19235</v>
      </c>
      <c r="H313" s="7" t="n">
        <v>46285.375</v>
      </c>
      <c r="I313" s="20" t="n">
        <v>4.54539</v>
      </c>
      <c r="J313" s="2" t="inlineStr">
        <is>
          <t>止盈</t>
        </is>
      </c>
      <c r="K313" s="5">
        <f>(H313-D313)*24</f>
        <v/>
      </c>
      <c r="L313" s="4">
        <f>IF(C313="做多",I313/E313-1,1-I313/E313)-2*參數!$B$7</f>
        <v/>
      </c>
      <c r="M313" s="2" t="inlineStr"/>
      <c r="N313" s="4" t="n">
        <v>0.02819198508853682</v>
      </c>
      <c r="O313" s="4" t="n">
        <v>0.04999482014679841</v>
      </c>
      <c r="P313" s="4" t="n">
        <v>0.005559859636330433</v>
      </c>
      <c r="Q313" s="22" t="n">
        <v>96265.09999999998</v>
      </c>
      <c r="R313" s="22" t="n">
        <v>2123500.032</v>
      </c>
      <c r="S313" s="4" t="n">
        <v>0.03</v>
      </c>
      <c r="T313" s="4" t="n">
        <v>0</v>
      </c>
      <c r="U313" s="19" t="n">
        <v>0.4301638254730788</v>
      </c>
      <c r="V313" s="19" t="n">
        <v>0.8653846153846165</v>
      </c>
      <c r="W313" s="4" t="n">
        <v>0.42381937207404</v>
      </c>
      <c r="X313" s="4" t="n">
        <v>0.2093724308029599</v>
      </c>
      <c r="Y313" s="4" t="n">
        <v>-7.016999604825269e-05</v>
      </c>
      <c r="Z313" s="4" t="n">
        <v>-0.0006358480500331387</v>
      </c>
      <c r="AA313" s="4" t="n">
        <v>0.03</v>
      </c>
      <c r="AB313" s="4" t="n">
        <v>0.05</v>
      </c>
      <c r="AC313" s="4">
        <f>(AB313+2*參數!$B$7)/(AA313+AB313)</f>
        <v/>
      </c>
    </row>
    <row r="314">
      <c r="A314" s="2" t="n">
        <v>313</v>
      </c>
      <c r="B314" s="2" t="inlineStr">
        <is>
          <t>NEAR_USDT_PERP</t>
        </is>
      </c>
      <c r="C314" s="2" t="inlineStr">
        <is>
          <t>做空</t>
        </is>
      </c>
      <c r="D314" s="7" t="n">
        <v>46285.45833333334</v>
      </c>
      <c r="E314" s="20" t="n">
        <v>3.486</v>
      </c>
      <c r="F314" s="20" t="n">
        <v>3.38142</v>
      </c>
      <c r="G314" s="20" t="n">
        <v>3.6603</v>
      </c>
      <c r="H314" s="7" t="n">
        <v>46285.83333333334</v>
      </c>
      <c r="I314" s="20" t="n">
        <v>3.6603</v>
      </c>
      <c r="J314" s="2" t="inlineStr">
        <is>
          <t>止損</t>
        </is>
      </c>
      <c r="K314" s="5">
        <f>(H314-D314)*24</f>
        <v/>
      </c>
      <c r="L314" s="4">
        <f>IF(C314="做多",I314/E314-1,1-I314/E314)-2*參數!$B$7</f>
        <v/>
      </c>
      <c r="M314" s="2" t="inlineStr"/>
      <c r="N314" s="4" t="n">
        <v>-0.02078651685393251</v>
      </c>
      <c r="O314" s="4" t="n">
        <v>0.02467236423379743</v>
      </c>
      <c r="P314" s="4" t="n">
        <v>-0.03259376430920347</v>
      </c>
      <c r="Q314" s="22" t="n">
        <v>-472360</v>
      </c>
      <c r="R314" s="22" t="n">
        <v>8926976.131000001</v>
      </c>
      <c r="S314" s="4" t="n">
        <v>0.01721170395869187</v>
      </c>
      <c r="T314" s="4" t="n">
        <v>0.05</v>
      </c>
      <c r="U314" s="19" t="n">
        <v>0.8925540003538655</v>
      </c>
      <c r="V314" s="19" t="n">
        <v>0.8870967741935466</v>
      </c>
      <c r="W314" s="4" t="n">
        <v>-0.1131298875055482</v>
      </c>
      <c r="X314" s="4" t="n">
        <v>0.08910373660830928</v>
      </c>
      <c r="Y314" s="4" t="n">
        <v>0.00932695664402261</v>
      </c>
      <c r="Z314" s="4" t="n">
        <v>0.01165863764939423</v>
      </c>
      <c r="AA314" s="4" t="n">
        <v>0.03</v>
      </c>
      <c r="AB314" s="4" t="n">
        <v>0.05</v>
      </c>
      <c r="AC314" s="4">
        <f>(AB314+2*參數!$B$7)/(AA314+AB314)</f>
        <v/>
      </c>
    </row>
    <row r="315">
      <c r="A315" s="2" t="n">
        <v>314</v>
      </c>
      <c r="B315" s="2" t="inlineStr">
        <is>
          <t>ONDO_USDT_PERP</t>
        </is>
      </c>
      <c r="C315" s="2" t="inlineStr">
        <is>
          <t>做空</t>
        </is>
      </c>
      <c r="D315" s="7" t="n">
        <v>46285.45833333334</v>
      </c>
      <c r="E315" s="20" t="n">
        <v>0.4017</v>
      </c>
      <c r="F315" s="20" t="n">
        <v>0.389649</v>
      </c>
      <c r="G315" s="20" t="n">
        <v>0.421785</v>
      </c>
      <c r="H315" s="7" t="n">
        <v>46286.04166666666</v>
      </c>
      <c r="I315" s="20" t="n">
        <v>0.421785</v>
      </c>
      <c r="J315" s="2" t="inlineStr">
        <is>
          <t>止損</t>
        </is>
      </c>
      <c r="K315" s="5">
        <f>(H315-D315)*24</f>
        <v/>
      </c>
      <c r="L315" s="4">
        <f>IF(C315="做多",I315/E315-1,1-I315/E315)-2*參數!$B$7</f>
        <v/>
      </c>
      <c r="M315" s="2" t="inlineStr"/>
      <c r="N315" s="4" t="n">
        <v>-0.02830188679245282</v>
      </c>
      <c r="O315" s="4" t="n">
        <v>0.02225534078883738</v>
      </c>
      <c r="P315" s="4" t="n">
        <v>-0.04124301875984537</v>
      </c>
      <c r="Q315" s="22" t="n">
        <v>-388749.2</v>
      </c>
      <c r="R315" s="22" t="n">
        <v>4643277.59162</v>
      </c>
      <c r="S315" s="4" t="n">
        <v>0.0002489419965148176</v>
      </c>
      <c r="T315" s="4" t="n">
        <v>0.05</v>
      </c>
      <c r="U315" s="19" t="n">
        <v>0.8408845244590804</v>
      </c>
      <c r="V315" s="19" t="n">
        <v>0.9805194805194791</v>
      </c>
      <c r="W315" s="4" t="n">
        <v>-0.06955431243127252</v>
      </c>
      <c r="X315" s="4" t="n">
        <v>0.01592356687898089</v>
      </c>
      <c r="Y315" s="4" t="n">
        <v>0.00932695664402261</v>
      </c>
      <c r="Z315" s="4" t="n">
        <v>0.01165863764939423</v>
      </c>
      <c r="AA315" s="4" t="n">
        <v>0.03</v>
      </c>
      <c r="AB315" s="4" t="n">
        <v>0.05</v>
      </c>
      <c r="AC315" s="4">
        <f>(AB315+2*參數!$B$7)/(AA315+AB315)</f>
        <v/>
      </c>
    </row>
    <row r="316">
      <c r="A316" s="2" t="n">
        <v>315</v>
      </c>
      <c r="B316" s="2" t="inlineStr">
        <is>
          <t>PEPE_USDT_PERP</t>
        </is>
      </c>
      <c r="C316" s="2" t="inlineStr">
        <is>
          <t>做空</t>
        </is>
      </c>
      <c r="D316" s="7" t="n">
        <v>46285.45833333334</v>
      </c>
      <c r="E316" s="20" t="n">
        <v>3.935e-06</v>
      </c>
      <c r="F316" s="20" t="n">
        <v>3.816949999999999e-06</v>
      </c>
      <c r="G316" s="20" t="n">
        <v>4.13175e-06</v>
      </c>
      <c r="H316" s="7" t="n">
        <v>46286.70833333334</v>
      </c>
      <c r="I316" s="20" t="n">
        <v>4.13175e-06</v>
      </c>
      <c r="J316" s="2" t="inlineStr">
        <is>
          <t>止損</t>
        </is>
      </c>
      <c r="K316" s="5">
        <f>(H316-D316)*24</f>
        <v/>
      </c>
      <c r="L316" s="4">
        <f>IF(C316="做多",I316/E316-1,1-I316/E316)-2*參數!$B$7</f>
        <v/>
      </c>
      <c r="M316" s="2" t="inlineStr"/>
      <c r="N316" s="4" t="n">
        <v>-0.03302698186464859</v>
      </c>
      <c r="O316" s="4" t="n">
        <v>0.02292039101294388</v>
      </c>
      <c r="P316" s="4" t="n">
        <v>-0.01149405075167897</v>
      </c>
      <c r="Q316" s="22" t="n">
        <v>-6611615200</v>
      </c>
      <c r="R316" s="22" t="n">
        <v>3988155.013442955</v>
      </c>
      <c r="S316" s="4" t="n">
        <v>0.0163405336721727</v>
      </c>
      <c r="T316" s="4" t="n">
        <v>0.05</v>
      </c>
      <c r="U316" s="19" t="n">
        <v>4.71282320140095</v>
      </c>
      <c r="V316" s="19" t="n">
        <v>0.9395846444304603</v>
      </c>
      <c r="W316" s="4" t="n">
        <v>-0.07827391774592241</v>
      </c>
      <c r="X316" s="4" t="n">
        <v>-0.04540261948407309</v>
      </c>
      <c r="Y316" s="4" t="n">
        <v>0.00932695664402261</v>
      </c>
      <c r="Z316" s="4" t="n">
        <v>0.01165863764939423</v>
      </c>
      <c r="AA316" s="4" t="n">
        <v>0.03</v>
      </c>
      <c r="AB316" s="4" t="n">
        <v>0.05</v>
      </c>
      <c r="AC316" s="4">
        <f>(AB316+2*參數!$B$7)/(AA316+AB316)</f>
        <v/>
      </c>
    </row>
    <row r="317">
      <c r="A317" s="2" t="n">
        <v>316</v>
      </c>
      <c r="B317" s="2" t="inlineStr">
        <is>
          <t>PONS_USDT_PERP</t>
        </is>
      </c>
      <c r="C317" s="2" t="inlineStr">
        <is>
          <t>做空</t>
        </is>
      </c>
      <c r="D317" s="7" t="n">
        <v>46285.45833333334</v>
      </c>
      <c r="E317" s="20" t="n">
        <v>0.5768</v>
      </c>
      <c r="F317" s="20" t="n">
        <v>0.559496</v>
      </c>
      <c r="G317" s="20" t="n">
        <v>0.60564</v>
      </c>
      <c r="H317" s="7" t="n">
        <v>46285.58333333334</v>
      </c>
      <c r="I317" s="20" t="n">
        <v>0.60564</v>
      </c>
      <c r="J317" s="2" t="inlineStr">
        <is>
          <t>止損</t>
        </is>
      </c>
      <c r="K317" s="5">
        <f>(H317-D317)*24</f>
        <v/>
      </c>
      <c r="L317" s="4">
        <f>IF(C317="做多",I317/E317-1,1-I317/E317)-2*參數!$B$7</f>
        <v/>
      </c>
      <c r="M317" s="2" t="inlineStr"/>
      <c r="N317" s="4" t="n">
        <v>-0.03866666666666663</v>
      </c>
      <c r="O317" s="4" t="n">
        <v>0.03195300586677255</v>
      </c>
      <c r="P317" s="4" t="n">
        <v>-0.05998924398233407</v>
      </c>
      <c r="Q317" s="22" t="n">
        <v>-1546071</v>
      </c>
      <c r="R317" s="22" t="n">
        <v>2283461.6848</v>
      </c>
      <c r="S317" s="4" t="n">
        <v>0.001560332871012537</v>
      </c>
      <c r="T317" s="4" t="n">
        <v>0.05</v>
      </c>
      <c r="U317" s="19" t="n">
        <v>1.774713329144311</v>
      </c>
      <c r="V317" s="19" t="n">
        <v>0.9318181818181822</v>
      </c>
      <c r="W317" s="4" t="n">
        <v>0.09818213656411767</v>
      </c>
      <c r="X317" s="4" t="n">
        <v>0.1638155987242679</v>
      </c>
      <c r="Y317" s="4" t="n">
        <v>0.00932695664402261</v>
      </c>
      <c r="Z317" s="4" t="n">
        <v>0.01165863764939423</v>
      </c>
      <c r="AA317" s="4" t="n">
        <v>0.03</v>
      </c>
      <c r="AB317" s="4" t="n">
        <v>0.05</v>
      </c>
      <c r="AC317" s="4">
        <f>(AB317+2*參數!$B$7)/(AA317+AB317)</f>
        <v/>
      </c>
    </row>
    <row r="318">
      <c r="A318" s="2" t="n">
        <v>317</v>
      </c>
      <c r="B318" s="2" t="inlineStr">
        <is>
          <t>SUI_USDT_PERP</t>
        </is>
      </c>
      <c r="C318" s="2" t="inlineStr">
        <is>
          <t>做空</t>
        </is>
      </c>
      <c r="D318" s="7" t="n">
        <v>46285.45833333334</v>
      </c>
      <c r="E318" s="20" t="n">
        <v>0.8198</v>
      </c>
      <c r="F318" s="20" t="n">
        <v>0.795206</v>
      </c>
      <c r="G318" s="20" t="n">
        <v>0.8607900000000001</v>
      </c>
      <c r="H318" s="7" t="n">
        <v>46286.04166666666</v>
      </c>
      <c r="I318" s="20" t="n">
        <v>0.8607900000000001</v>
      </c>
      <c r="J318" s="2" t="inlineStr">
        <is>
          <t>止損</t>
        </is>
      </c>
      <c r="K318" s="5">
        <f>(H318-D318)*24</f>
        <v/>
      </c>
      <c r="L318" s="4">
        <f>IF(C318="做多",I318/E318-1,1-I318/E318)-2*參數!$B$7</f>
        <v/>
      </c>
      <c r="M318" s="2" t="inlineStr"/>
      <c r="N318" s="4" t="n">
        <v>-0.04674418604651165</v>
      </c>
      <c r="O318" s="4" t="n">
        <v>0.02166469134828462</v>
      </c>
      <c r="P318" s="4" t="n">
        <v>-0.03694566813509548</v>
      </c>
      <c r="Q318" s="22" t="n">
        <v>-2488226.3</v>
      </c>
      <c r="R318" s="22" t="n">
        <v>7961224.33964</v>
      </c>
      <c r="S318" s="4" t="n">
        <v>0.01366186874847519</v>
      </c>
      <c r="T318" s="4" t="n">
        <v>0.05</v>
      </c>
      <c r="U318" s="19" t="n">
        <v>1.116063614868705</v>
      </c>
      <c r="V318" s="19" t="n">
        <v>0.9383429672447018</v>
      </c>
      <c r="W318" s="4" t="n">
        <v>-0.07074240142521826</v>
      </c>
      <c r="X318" s="4" t="n">
        <v>0.01038145823273784</v>
      </c>
      <c r="Y318" s="4" t="n">
        <v>0.00932695664402261</v>
      </c>
      <c r="Z318" s="4" t="n">
        <v>0.01165863764939423</v>
      </c>
      <c r="AA318" s="4" t="n">
        <v>0.03</v>
      </c>
      <c r="AB318" s="4" t="n">
        <v>0.05</v>
      </c>
      <c r="AC318" s="4">
        <f>(AB318+2*參數!$B$7)/(AA318+AB318)</f>
        <v/>
      </c>
    </row>
    <row r="319">
      <c r="A319" s="2" t="n">
        <v>318</v>
      </c>
      <c r="B319" s="2" t="inlineStr">
        <is>
          <t>UNI_USDT_PERP</t>
        </is>
      </c>
      <c r="C319" s="2" t="inlineStr">
        <is>
          <t>做空</t>
        </is>
      </c>
      <c r="D319" s="7" t="n">
        <v>46285.45833333334</v>
      </c>
      <c r="E319" s="20" t="n">
        <v>8.545</v>
      </c>
      <c r="F319" s="20" t="n">
        <v>8.288650000000001</v>
      </c>
      <c r="G319" s="20" t="n">
        <v>8.972250000000001</v>
      </c>
      <c r="H319" s="7" t="n">
        <v>46286.04166666666</v>
      </c>
      <c r="I319" s="20" t="n">
        <v>8.972250000000001</v>
      </c>
      <c r="J319" s="2" t="inlineStr">
        <is>
          <t>止損</t>
        </is>
      </c>
      <c r="K319" s="5">
        <f>(H319-D319)*24</f>
        <v/>
      </c>
      <c r="L319" s="4">
        <f>IF(C319="做多",I319/E319-1,1-I319/E319)-2*參數!$B$7</f>
        <v/>
      </c>
      <c r="M319" s="2" t="inlineStr"/>
      <c r="N319" s="4" t="n">
        <v>-0.03073956442831227</v>
      </c>
      <c r="O319" s="4" t="n">
        <v>0.02207124265375107</v>
      </c>
      <c r="P319" s="4" t="n">
        <v>-0.03548773054608678</v>
      </c>
      <c r="Q319" s="22" t="n">
        <v>-309603</v>
      </c>
      <c r="R319" s="22" t="n">
        <v>9435821.475</v>
      </c>
      <c r="S319" s="4" t="n">
        <v>0.001404330017554134</v>
      </c>
      <c r="T319" s="4" t="n">
        <v>0.05</v>
      </c>
      <c r="U319" s="19" t="n">
        <v>1.164922919343472</v>
      </c>
      <c r="V319" s="19" t="n">
        <v>0.8412698412698401</v>
      </c>
      <c r="W319" s="4" t="n">
        <v>-0.09817236872374258</v>
      </c>
      <c r="X319" s="4" t="n">
        <v>0.05507022005971463</v>
      </c>
      <c r="Y319" s="4" t="n">
        <v>0.00932695664402261</v>
      </c>
      <c r="Z319" s="4" t="n">
        <v>0.01165863764939423</v>
      </c>
      <c r="AA319" s="4" t="n">
        <v>0.03</v>
      </c>
      <c r="AB319" s="4" t="n">
        <v>0.05</v>
      </c>
      <c r="AC319" s="4">
        <f>(AB319+2*參數!$B$7)/(AA319+AB319)</f>
        <v/>
      </c>
    </row>
    <row r="320">
      <c r="A320" s="2" t="n">
        <v>319</v>
      </c>
      <c r="B320" s="2" t="inlineStr">
        <is>
          <t>AKE_USDT_PERP</t>
        </is>
      </c>
      <c r="C320" s="2" t="inlineStr">
        <is>
          <t>做多</t>
        </is>
      </c>
      <c r="D320" s="7" t="n">
        <v>46285.5</v>
      </c>
      <c r="E320" s="20" t="n">
        <v>0.06488480000000001</v>
      </c>
      <c r="F320" s="20" t="n">
        <v>0.06683134400000001</v>
      </c>
      <c r="G320" s="20" t="n">
        <v>0.06164056</v>
      </c>
      <c r="H320" s="7" t="n">
        <v>46285.58333333334</v>
      </c>
      <c r="I320" s="20" t="n">
        <v>0.06164056</v>
      </c>
      <c r="J320" s="2" t="inlineStr">
        <is>
          <t>止損</t>
        </is>
      </c>
      <c r="K320" s="5">
        <f>(H320-D320)*24</f>
        <v/>
      </c>
      <c r="L320" s="4">
        <f>IF(C320="做多",I320/E320-1,1-I320/E320)-2*參數!$B$7</f>
        <v/>
      </c>
      <c r="M320" s="2" t="inlineStr"/>
      <c r="N320" s="4" t="n">
        <v>0.05817751865291321</v>
      </c>
      <c r="O320" s="4" t="n">
        <v>0.09594498331462774</v>
      </c>
      <c r="P320" s="4" t="n">
        <v>0.02297487086055328</v>
      </c>
      <c r="Q320" s="22" t="n">
        <v>57002626</v>
      </c>
      <c r="R320" s="22" t="n">
        <v>24385917.2544333</v>
      </c>
      <c r="S320" s="4" t="n">
        <v>0.006761213720316572</v>
      </c>
      <c r="T320" s="4" t="n">
        <v>0.05</v>
      </c>
      <c r="U320" s="19" t="n">
        <v>0.865719328558089</v>
      </c>
      <c r="V320" s="19" t="n">
        <v>0.9330681441492645</v>
      </c>
      <c r="W320" s="4" t="n">
        <v>0.8691193567386533</v>
      </c>
      <c r="X320" s="4" t="n">
        <v>0.5461278177572322</v>
      </c>
      <c r="Y320" s="4" t="n">
        <v>0.001966131241439406</v>
      </c>
      <c r="Z320" s="4" t="n">
        <v>-0.009350963907462151</v>
      </c>
      <c r="AA320" s="4" t="n">
        <v>0.03</v>
      </c>
      <c r="AB320" s="4" t="n">
        <v>0.05</v>
      </c>
      <c r="AC320" s="4">
        <f>(AB320+2*參數!$B$7)/(AA320+AB320)</f>
        <v/>
      </c>
    </row>
    <row r="321">
      <c r="A321" s="2" t="n">
        <v>320</v>
      </c>
      <c r="B321" s="2" t="inlineStr">
        <is>
          <t>INJ_USDT_PERP</t>
        </is>
      </c>
      <c r="C321" s="2" t="inlineStr">
        <is>
          <t>做空</t>
        </is>
      </c>
      <c r="D321" s="7" t="n">
        <v>46285.5</v>
      </c>
      <c r="E321" s="20" t="n">
        <v>7.584</v>
      </c>
      <c r="F321" s="20" t="n">
        <v>7.356479999999999</v>
      </c>
      <c r="G321" s="20" t="n">
        <v>7.9632</v>
      </c>
      <c r="H321" s="7" t="n">
        <v>46286</v>
      </c>
      <c r="I321" s="20" t="n">
        <v>7.9632</v>
      </c>
      <c r="J321" s="2" t="inlineStr">
        <is>
          <t>止損</t>
        </is>
      </c>
      <c r="K321" s="5">
        <f>(H321-D321)*24</f>
        <v/>
      </c>
      <c r="L321" s="4">
        <f>IF(C321="做多",I321/E321-1,1-I321/E321)-2*參數!$B$7</f>
        <v/>
      </c>
      <c r="M321" s="2" t="inlineStr"/>
      <c r="N321" s="4" t="n">
        <v>-0.0220502901353965</v>
      </c>
      <c r="O321" s="4" t="n">
        <v>0.03806047574788332</v>
      </c>
      <c r="P321" s="4" t="n">
        <v>-0.01750840442276691</v>
      </c>
      <c r="Q321" s="22" t="n">
        <v>-159658.6</v>
      </c>
      <c r="R321" s="22" t="n">
        <v>5291842.3935</v>
      </c>
      <c r="S321" s="4" t="n">
        <v>0.01068037974683533</v>
      </c>
      <c r="T321" s="4" t="n">
        <v>0.05</v>
      </c>
      <c r="U321" s="19" t="n">
        <v>1.270388029223202</v>
      </c>
      <c r="V321" s="19" t="n">
        <v>0.6573705179282873</v>
      </c>
      <c r="W321" s="4" t="n">
        <v>-0.2104632288276669</v>
      </c>
      <c r="X321" s="4" t="n">
        <v>-0.1063457330415754</v>
      </c>
      <c r="Y321" s="4" t="n">
        <v>-0.001966131241439406</v>
      </c>
      <c r="Z321" s="4" t="n">
        <v>0.009350963907462151</v>
      </c>
      <c r="AA321" s="4" t="n">
        <v>0.03</v>
      </c>
      <c r="AB321" s="4" t="n">
        <v>0.05</v>
      </c>
      <c r="AC321" s="4">
        <f>(AB321+2*參數!$B$7)/(AA321+AB321)</f>
        <v/>
      </c>
    </row>
    <row r="322">
      <c r="A322" s="2" t="n">
        <v>321</v>
      </c>
      <c r="B322" s="2" t="inlineStr">
        <is>
          <t>ZAMA_USDT_PERP</t>
        </is>
      </c>
      <c r="C322" s="2" t="inlineStr">
        <is>
          <t>做多</t>
        </is>
      </c>
      <c r="D322" s="7" t="n">
        <v>46285.5</v>
      </c>
      <c r="E322" s="20" t="n">
        <v>0.08441</v>
      </c>
      <c r="F322" s="20" t="n">
        <v>0.0869423</v>
      </c>
      <c r="G322" s="20" t="n">
        <v>0.0801895</v>
      </c>
      <c r="H322" s="7" t="n">
        <v>46285.58333333334</v>
      </c>
      <c r="I322" s="20" t="n">
        <v>0.0801895</v>
      </c>
      <c r="J322" s="2" t="inlineStr">
        <is>
          <t>止損</t>
        </is>
      </c>
      <c r="K322" s="5">
        <f>(H322-D322)*24</f>
        <v/>
      </c>
      <c r="L322" s="4">
        <f>IF(C322="做多",I322/E322-1,1-I322/E322)-2*參數!$B$7</f>
        <v/>
      </c>
      <c r="M322" s="2" t="inlineStr"/>
      <c r="N322" s="4" t="n">
        <v>0.07364538285423561</v>
      </c>
      <c r="O322" s="4" t="n">
        <v>0.06331255197959598</v>
      </c>
      <c r="P322" s="4" t="n">
        <v>0.03268349676101234</v>
      </c>
      <c r="Q322" s="22" t="n">
        <v>6241286</v>
      </c>
      <c r="R322" s="22" t="n">
        <v>4310871.417950001</v>
      </c>
      <c r="S322" s="4" t="n">
        <v>0.01848122260395701</v>
      </c>
      <c r="T322" s="4" t="n">
        <v>0.05</v>
      </c>
      <c r="U322" s="19" t="n">
        <v>0.6935429439564278</v>
      </c>
      <c r="V322" s="19" t="n">
        <v>0.9673105497771177</v>
      </c>
      <c r="W322" s="4" t="n">
        <v>0.4595826503157443</v>
      </c>
      <c r="X322" s="4" t="n">
        <v>0.3828636959370906</v>
      </c>
      <c r="Y322" s="4" t="n">
        <v>0.001966131241439406</v>
      </c>
      <c r="Z322" s="4" t="n">
        <v>-0.009350963907462151</v>
      </c>
      <c r="AA322" s="4" t="n">
        <v>0.03</v>
      </c>
      <c r="AB322" s="4" t="n">
        <v>0.05</v>
      </c>
      <c r="AC322" s="4">
        <f>(AB322+2*參數!$B$7)/(AA322+AB322)</f>
        <v/>
      </c>
    </row>
    <row r="323">
      <c r="A323" s="2" t="n">
        <v>322</v>
      </c>
      <c r="B323" s="2" t="inlineStr">
        <is>
          <t>ARB_USDT_PERP</t>
        </is>
      </c>
      <c r="C323" s="2" t="inlineStr">
        <is>
          <t>做空</t>
        </is>
      </c>
      <c r="D323" s="7" t="n">
        <v>46285.625</v>
      </c>
      <c r="E323" s="20" t="n">
        <v>0.2083</v>
      </c>
      <c r="F323" s="20" t="n">
        <v>0.202051</v>
      </c>
      <c r="G323" s="20" t="n">
        <v>0.218715</v>
      </c>
      <c r="H323" s="7" t="n">
        <v>46285.95833333334</v>
      </c>
      <c r="I323" s="20" t="n">
        <v>0.202051</v>
      </c>
      <c r="J323" s="2" t="inlineStr">
        <is>
          <t>止盈</t>
        </is>
      </c>
      <c r="K323" s="5">
        <f>(H323-D323)*24</f>
        <v/>
      </c>
      <c r="L323" s="4">
        <f>IF(C323="做多",I323/E323-1,1-I323/E323)-2*參數!$B$7</f>
        <v/>
      </c>
      <c r="M323" s="2" t="inlineStr"/>
      <c r="N323" s="4" t="n">
        <v>-0.0211466165413533</v>
      </c>
      <c r="O323" s="4" t="n">
        <v>0.02899066069391039</v>
      </c>
      <c r="P323" s="4" t="n">
        <v>-2.400326444396139e-05</v>
      </c>
      <c r="Q323" s="22" t="n">
        <v>-2286668.599999998</v>
      </c>
      <c r="R323" s="22" t="n">
        <v>4062539.48437</v>
      </c>
      <c r="S323" s="4" t="n">
        <v>0.03</v>
      </c>
      <c r="T323" s="4" t="n">
        <v>0.03696591454632725</v>
      </c>
      <c r="U323" s="19" t="n">
        <v>0.9005744624372483</v>
      </c>
      <c r="V323" s="19" t="n">
        <v>0.7313432835820864</v>
      </c>
      <c r="W323" s="4" t="n">
        <v>-0.09439771348110937</v>
      </c>
      <c r="X323" s="4" t="n">
        <v>0.03654024051803884</v>
      </c>
      <c r="Y323" s="4" t="n">
        <v>0.002237136465324419</v>
      </c>
      <c r="Z323" s="4" t="n">
        <v>0.01005970716116</v>
      </c>
      <c r="AA323" s="4" t="n">
        <v>0.03</v>
      </c>
      <c r="AB323" s="4" t="n">
        <v>0.05</v>
      </c>
      <c r="AC323" s="4">
        <f>(AB323+2*參數!$B$7)/(AA323+AB323)</f>
        <v/>
      </c>
    </row>
    <row r="324">
      <c r="A324" s="2" t="n">
        <v>323</v>
      </c>
      <c r="B324" s="2" t="inlineStr">
        <is>
          <t>USELESS_USDT_PERP</t>
        </is>
      </c>
      <c r="C324" s="2" t="inlineStr">
        <is>
          <t>做空</t>
        </is>
      </c>
      <c r="D324" s="7" t="n">
        <v>46285.625</v>
      </c>
      <c r="E324" s="20" t="n">
        <v>0.25481</v>
      </c>
      <c r="F324" s="20" t="n">
        <v>0.2471657</v>
      </c>
      <c r="G324" s="20" t="n">
        <v>0.2675505</v>
      </c>
      <c r="H324" s="7" t="n">
        <v>46285.875</v>
      </c>
      <c r="I324" s="20" t="n">
        <v>0.2675505</v>
      </c>
      <c r="J324" s="2" t="inlineStr">
        <is>
          <t>止損</t>
        </is>
      </c>
      <c r="K324" s="5">
        <f>(H324-D324)*24</f>
        <v/>
      </c>
      <c r="L324" s="4">
        <f>IF(C324="做多",I324/E324-1,1-I324/E324)-2*參數!$B$7</f>
        <v/>
      </c>
      <c r="M324" s="2" t="inlineStr"/>
      <c r="N324" s="4" t="n">
        <v>-0.02379128036165812</v>
      </c>
      <c r="O324" s="4" t="n">
        <v>0.03242348093315787</v>
      </c>
      <c r="P324" s="4" t="n">
        <v>-0.02532785834912776</v>
      </c>
      <c r="Q324" s="22" t="n">
        <v>-1138784</v>
      </c>
      <c r="R324" s="22" t="n">
        <v>1846337.48975</v>
      </c>
      <c r="S324" s="4" t="n">
        <v>0.009654252187904611</v>
      </c>
      <c r="T324" s="4" t="n">
        <v>0.05</v>
      </c>
      <c r="U324" s="19" t="n">
        <v>0.3842141907161856</v>
      </c>
      <c r="V324" s="19" t="n">
        <v>0.8920765027322461</v>
      </c>
      <c r="W324" s="4" t="n">
        <v>0.01603286043236496</v>
      </c>
      <c r="X324" s="4" t="n">
        <v>0.07297995416014846</v>
      </c>
      <c r="Y324" s="4" t="n">
        <v>0.002237136465324419</v>
      </c>
      <c r="Z324" s="4" t="n">
        <v>0.01005970716116</v>
      </c>
      <c r="AA324" s="4" t="n">
        <v>0.03</v>
      </c>
      <c r="AB324" s="4" t="n">
        <v>0.05</v>
      </c>
      <c r="AC324" s="4">
        <f>(AB324+2*參數!$B$7)/(AA324+AB324)</f>
        <v/>
      </c>
    </row>
    <row r="325">
      <c r="A325" s="2" t="n">
        <v>324</v>
      </c>
      <c r="B325" s="2" t="inlineStr">
        <is>
          <t>ZAMA_USDT_PERP</t>
        </is>
      </c>
      <c r="C325" s="2" t="inlineStr">
        <is>
          <t>做多</t>
        </is>
      </c>
      <c r="D325" s="7" t="n">
        <v>46285.625</v>
      </c>
      <c r="E325" s="20" t="n">
        <v>0.08699999999999999</v>
      </c>
      <c r="F325" s="20" t="n">
        <v>0.08961</v>
      </c>
      <c r="G325" s="20" t="n">
        <v>0.08264999999999999</v>
      </c>
      <c r="H325" s="7" t="n">
        <v>46285.66666666666</v>
      </c>
      <c r="I325" s="20" t="n">
        <v>0.08264999999999999</v>
      </c>
      <c r="J325" s="2" t="inlineStr">
        <is>
          <t>止損</t>
        </is>
      </c>
      <c r="K325" s="5">
        <f>(H325-D325)*24</f>
        <v/>
      </c>
      <c r="L325" s="4">
        <f>IF(C325="做多",I325/E325-1,1-I325/E325)-2*參數!$B$7</f>
        <v/>
      </c>
      <c r="M325" s="2" t="inlineStr"/>
      <c r="N325" s="4" t="n">
        <v>0.07699925724189138</v>
      </c>
      <c r="O325" s="4" t="n">
        <v>0.06266166888750856</v>
      </c>
      <c r="P325" s="4" t="n">
        <v>0.05583164946389241</v>
      </c>
      <c r="Q325" s="22" t="n">
        <v>1483125</v>
      </c>
      <c r="R325" s="22" t="n">
        <v>4556566.44495</v>
      </c>
      <c r="S325" s="4" t="n">
        <v>0</v>
      </c>
      <c r="T325" s="4" t="n">
        <v>0.05</v>
      </c>
      <c r="U325" s="19" t="n">
        <v>0.8203015509621326</v>
      </c>
      <c r="V325" s="19" t="n">
        <v>0.9313304721030031</v>
      </c>
      <c r="W325" s="4" t="n">
        <v>0.4764255567566833</v>
      </c>
      <c r="X325" s="4" t="n">
        <v>0.3940073706136835</v>
      </c>
      <c r="Y325" s="4" t="n">
        <v>-0.002237136465324419</v>
      </c>
      <c r="Z325" s="4" t="n">
        <v>-0.01005970716116</v>
      </c>
      <c r="AA325" s="4" t="n">
        <v>0.03</v>
      </c>
      <c r="AB325" s="4" t="n">
        <v>0.05</v>
      </c>
      <c r="AC325" s="4">
        <f>(AB325+2*參數!$B$7)/(AA325+AB325)</f>
        <v/>
      </c>
    </row>
    <row r="326">
      <c r="A326" s="2" t="n">
        <v>325</v>
      </c>
      <c r="B326" s="2" t="inlineStr">
        <is>
          <t>BANK_USDT_PERP</t>
        </is>
      </c>
      <c r="C326" s="2" t="inlineStr">
        <is>
          <t>做空</t>
        </is>
      </c>
      <c r="D326" s="7" t="n">
        <v>46285.66666666666</v>
      </c>
      <c r="E326" s="20" t="n">
        <v>0.03392</v>
      </c>
      <c r="F326" s="20" t="n">
        <v>0.0329024</v>
      </c>
      <c r="G326" s="20" t="n">
        <v>0.035616</v>
      </c>
      <c r="H326" s="7" t="n">
        <v>46285.70833333334</v>
      </c>
      <c r="I326" s="20" t="n">
        <v>0.0329024</v>
      </c>
      <c r="J326" s="2" t="inlineStr">
        <is>
          <t>止盈</t>
        </is>
      </c>
      <c r="K326" s="5">
        <f>(H326-D326)*24</f>
        <v/>
      </c>
      <c r="L326" s="4">
        <f>IF(C326="做多",I326/E326-1,1-I326/E326)-2*參數!$B$7</f>
        <v/>
      </c>
      <c r="M326" s="2" t="inlineStr"/>
      <c r="N326" s="4" t="n">
        <v>-0.03745743473325769</v>
      </c>
      <c r="O326" s="4" t="n">
        <v>0.0559622198880997</v>
      </c>
      <c r="P326" s="4" t="n">
        <v>-0.047311435352273</v>
      </c>
      <c r="Q326" s="22" t="n">
        <v>-4149962</v>
      </c>
      <c r="R326" s="22" t="n">
        <v>1706310.90223</v>
      </c>
      <c r="S326" s="4" t="n">
        <v>0.03</v>
      </c>
      <c r="T326" s="4" t="n">
        <v>0</v>
      </c>
      <c r="U326" s="19" t="n">
        <v>0.6692326250213286</v>
      </c>
      <c r="V326" s="19" t="n">
        <v>0.7751196172248814</v>
      </c>
      <c r="W326" s="4" t="n">
        <v>-0.1407969435251701</v>
      </c>
      <c r="X326" s="4" t="n">
        <v>-0.1537414965986394</v>
      </c>
      <c r="Y326" s="4" t="n">
        <v>-7.847533632299175e-05</v>
      </c>
      <c r="Z326" s="4" t="n">
        <v>0.009378272624778083</v>
      </c>
      <c r="AA326" s="4" t="n">
        <v>0.03</v>
      </c>
      <c r="AB326" s="4" t="n">
        <v>0.05</v>
      </c>
      <c r="AC326" s="4">
        <f>(AB326+2*參數!$B$7)/(AA326+AB326)</f>
        <v/>
      </c>
    </row>
    <row r="327">
      <c r="A327" s="2" t="n">
        <v>326</v>
      </c>
      <c r="B327" s="2" t="inlineStr">
        <is>
          <t>BR_USDT_PERP</t>
        </is>
      </c>
      <c r="C327" s="2" t="inlineStr">
        <is>
          <t>做多</t>
        </is>
      </c>
      <c r="D327" s="7" t="n">
        <v>46285.66666666666</v>
      </c>
      <c r="E327" s="20" t="n">
        <v>1.14032</v>
      </c>
      <c r="F327" s="20" t="n">
        <v>1.1745296</v>
      </c>
      <c r="G327" s="20" t="n">
        <v>1.083304</v>
      </c>
      <c r="H327" s="7" t="n">
        <v>46285.70833333334</v>
      </c>
      <c r="I327" s="20" t="n">
        <v>1.1745296</v>
      </c>
      <c r="J327" s="2" t="inlineStr">
        <is>
          <t>止盈</t>
        </is>
      </c>
      <c r="K327" s="5">
        <f>(H327-D327)*24</f>
        <v/>
      </c>
      <c r="L327" s="4">
        <f>IF(C327="做多",I327/E327-1,1-I327/E327)-2*參數!$B$7</f>
        <v/>
      </c>
      <c r="M327" s="2" t="inlineStr"/>
      <c r="N327" s="4" t="n">
        <v>0.02075855092961443</v>
      </c>
      <c r="O327" s="4" t="n">
        <v>0.06216060754036434</v>
      </c>
      <c r="P327" s="4" t="n">
        <v>0.02002717520133168</v>
      </c>
      <c r="Q327" s="22" t="n">
        <v>312357</v>
      </c>
      <c r="R327" s="22" t="n">
        <v>7524274.64162</v>
      </c>
      <c r="S327" s="4" t="n">
        <v>0.03</v>
      </c>
      <c r="T327" s="4" t="n">
        <v>0</v>
      </c>
      <c r="U327" s="19" t="n">
        <v>0.7135849849603227</v>
      </c>
      <c r="V327" s="19" t="n">
        <v>0.8091762252346193</v>
      </c>
      <c r="W327" s="4" t="n">
        <v>0.4835244894985533</v>
      </c>
      <c r="X327" s="4" t="n">
        <v>0.1833341981009702</v>
      </c>
      <c r="Y327" s="4" t="n">
        <v>7.847533632299175e-05</v>
      </c>
      <c r="Z327" s="4" t="n">
        <v>-0.009378272624778083</v>
      </c>
      <c r="AA327" s="4" t="n">
        <v>0.03</v>
      </c>
      <c r="AB327" s="4" t="n">
        <v>0.05</v>
      </c>
      <c r="AC327" s="4">
        <f>(AB327+2*參數!$B$7)/(AA327+AB327)</f>
        <v/>
      </c>
    </row>
    <row r="328">
      <c r="A328" s="2" t="n">
        <v>327</v>
      </c>
      <c r="B328" s="2" t="inlineStr">
        <is>
          <t>LSK_USDT_PERP</t>
        </is>
      </c>
      <c r="C328" s="2" t="inlineStr">
        <is>
          <t>做空</t>
        </is>
      </c>
      <c r="D328" s="7" t="n">
        <v>46285.66666666666</v>
      </c>
      <c r="E328" s="20" t="n">
        <v>0.3845</v>
      </c>
      <c r="F328" s="20" t="n">
        <v>0.372965</v>
      </c>
      <c r="G328" s="20" t="n">
        <v>0.403725</v>
      </c>
      <c r="H328" s="7" t="n">
        <v>46285.70833333334</v>
      </c>
      <c r="I328" s="20" t="n">
        <v>0.372965</v>
      </c>
      <c r="J328" s="2" t="inlineStr">
        <is>
          <t>止盈</t>
        </is>
      </c>
      <c r="K328" s="5">
        <f>(H328-D328)*24</f>
        <v/>
      </c>
      <c r="L328" s="4">
        <f>IF(C328="做多",I328/E328-1,1-I328/E328)-2*參數!$B$7</f>
        <v/>
      </c>
      <c r="M328" s="2" t="inlineStr"/>
      <c r="N328" s="4" t="n">
        <v>-0.04090795709653272</v>
      </c>
      <c r="O328" s="4" t="n">
        <v>0.03831018224424745</v>
      </c>
      <c r="P328" s="4" t="n">
        <v>-0.05706648355690713</v>
      </c>
      <c r="Q328" s="22" t="n">
        <v>-273788</v>
      </c>
      <c r="R328" s="22" t="n">
        <v>3033554.0943</v>
      </c>
      <c r="S328" s="4" t="n">
        <v>0.03</v>
      </c>
      <c r="T328" s="4" t="n">
        <v>0</v>
      </c>
      <c r="U328" s="19" t="n">
        <v>1.792074181186946</v>
      </c>
      <c r="V328" s="19" t="n">
        <v>0.7991071428571425</v>
      </c>
      <c r="W328" s="4" t="n">
        <v>0.1904990483889983</v>
      </c>
      <c r="X328" s="4" t="n">
        <v>0.1060218553824691</v>
      </c>
      <c r="Y328" s="4" t="n">
        <v>-7.847533632299175e-05</v>
      </c>
      <c r="Z328" s="4" t="n">
        <v>0.009378272624778083</v>
      </c>
      <c r="AA328" s="4" t="n">
        <v>0.03</v>
      </c>
      <c r="AB328" s="4" t="n">
        <v>0.05</v>
      </c>
      <c r="AC328" s="4">
        <f>(AB328+2*參數!$B$7)/(AA328+AB328)</f>
        <v/>
      </c>
    </row>
    <row r="329">
      <c r="A329" s="2" t="n">
        <v>328</v>
      </c>
      <c r="B329" s="2" t="inlineStr">
        <is>
          <t>ENA_USDT_PERP</t>
        </is>
      </c>
      <c r="C329" s="2" t="inlineStr">
        <is>
          <t>做多</t>
        </is>
      </c>
      <c r="D329" s="7" t="n">
        <v>46285.70833333334</v>
      </c>
      <c r="E329" s="20" t="n">
        <v>0.2019</v>
      </c>
      <c r="F329" s="20" t="n">
        <v>0.207957</v>
      </c>
      <c r="G329" s="20" t="n">
        <v>0.191805</v>
      </c>
      <c r="H329" s="7" t="n">
        <v>46285.83333333334</v>
      </c>
      <c r="I329" s="20" t="n">
        <v>0.207957</v>
      </c>
      <c r="J329" s="2" t="inlineStr">
        <is>
          <t>止盈</t>
        </is>
      </c>
      <c r="K329" s="5">
        <f>(H329-D329)*24</f>
        <v/>
      </c>
      <c r="L329" s="4">
        <f>IF(C329="做多",I329/E329-1,1-I329/E329)-2*參數!$B$7</f>
        <v/>
      </c>
      <c r="M329" s="2" t="inlineStr"/>
      <c r="N329" s="4" t="n">
        <v>0.03379416282642089</v>
      </c>
      <c r="O329" s="4" t="n">
        <v>0.03469435008698523</v>
      </c>
      <c r="P329" s="4" t="n">
        <v>0.004552578550637953</v>
      </c>
      <c r="Q329" s="22" t="n">
        <v>5843646</v>
      </c>
      <c r="R329" s="22" t="n">
        <v>10674965.2642</v>
      </c>
      <c r="S329" s="4" t="n">
        <v>0.03</v>
      </c>
      <c r="T329" s="4" t="n">
        <v>0.004952947003467045</v>
      </c>
      <c r="U329" s="19" t="n">
        <v>0.8449480259583912</v>
      </c>
      <c r="V329" s="19" t="n">
        <v>0.9705882352941168</v>
      </c>
      <c r="W329" s="4" t="n">
        <v>0.2050421973666934</v>
      </c>
      <c r="X329" s="4" t="n">
        <v>0.04233350542075365</v>
      </c>
      <c r="Y329" s="4" t="n">
        <v>-0.0006364722250247201</v>
      </c>
      <c r="Z329" s="4" t="n">
        <v>-0.009353979035545357</v>
      </c>
      <c r="AA329" s="4" t="n">
        <v>0.03</v>
      </c>
      <c r="AB329" s="4" t="n">
        <v>0.05</v>
      </c>
      <c r="AC329" s="4">
        <f>(AB329+2*參數!$B$7)/(AA329+AB329)</f>
        <v/>
      </c>
    </row>
    <row r="330">
      <c r="A330" s="2" t="n">
        <v>329</v>
      </c>
      <c r="B330" s="2" t="inlineStr">
        <is>
          <t>NEAR_USDT_PERP</t>
        </is>
      </c>
      <c r="C330" s="2" t="inlineStr">
        <is>
          <t>做多</t>
        </is>
      </c>
      <c r="D330" s="7" t="n">
        <v>46285.875</v>
      </c>
      <c r="E330" s="20" t="n">
        <v>3.72</v>
      </c>
      <c r="F330" s="20" t="n">
        <v>3.8316</v>
      </c>
      <c r="G330" s="20" t="n">
        <v>3.534</v>
      </c>
      <c r="H330" s="7" t="n">
        <v>46286</v>
      </c>
      <c r="I330" s="20" t="n">
        <v>3.8316</v>
      </c>
      <c r="J330" s="2" t="inlineStr">
        <is>
          <t>止盈</t>
        </is>
      </c>
      <c r="K330" s="5">
        <f>(H330-D330)*24</f>
        <v/>
      </c>
      <c r="L330" s="4">
        <f>IF(C330="做多",I330/E330-1,1-I330/E330)-2*參數!$B$7</f>
        <v/>
      </c>
      <c r="M330" s="2" t="inlineStr"/>
      <c r="N330" s="4" t="n">
        <v>0.02904564315352687</v>
      </c>
      <c r="O330" s="4" t="n">
        <v>0.0231372082718098</v>
      </c>
      <c r="P330" s="4" t="n">
        <v>0.04847801578353983</v>
      </c>
      <c r="Q330" s="22" t="n">
        <v>409865</v>
      </c>
      <c r="R330" s="22" t="n">
        <v>9131125.117000001</v>
      </c>
      <c r="S330" s="4" t="n">
        <v>0.03</v>
      </c>
      <c r="T330" s="4" t="n">
        <v>0.01908602150537642</v>
      </c>
      <c r="U330" s="19" t="n">
        <v>1.965058299754358</v>
      </c>
      <c r="V330" s="19" t="n">
        <v>0.8651685393258428</v>
      </c>
      <c r="W330" s="4" t="n">
        <v>0.1441647597254005</v>
      </c>
      <c r="X330" s="4" t="n">
        <v>0.02592388306674032</v>
      </c>
      <c r="Y330" s="4" t="n">
        <v>0.00010814398812653</v>
      </c>
      <c r="Z330" s="4" t="n">
        <v>-0.003760924166923418</v>
      </c>
      <c r="AA330" s="4" t="n">
        <v>0.03</v>
      </c>
      <c r="AB330" s="4" t="n">
        <v>0.05</v>
      </c>
      <c r="AC330" s="4">
        <f>(AB330+2*參數!$B$7)/(AA330+AB330)</f>
        <v/>
      </c>
    </row>
    <row r="331">
      <c r="A331" s="2" t="n">
        <v>330</v>
      </c>
      <c r="B331" s="2" t="inlineStr">
        <is>
          <t>FIL_USDT_PERP</t>
        </is>
      </c>
      <c r="C331" s="2" t="inlineStr">
        <is>
          <t>做空</t>
        </is>
      </c>
      <c r="D331" s="7" t="n">
        <v>46285.91666666666</v>
      </c>
      <c r="E331" s="20" t="n">
        <v>0.918</v>
      </c>
      <c r="F331" s="20" t="n">
        <v>0.89046</v>
      </c>
      <c r="G331" s="20" t="n">
        <v>0.9639000000000001</v>
      </c>
      <c r="H331" s="7" t="n">
        <v>46286.41666666666</v>
      </c>
      <c r="I331" s="20" t="n">
        <v>0.9639000000000001</v>
      </c>
      <c r="J331" s="2" t="inlineStr">
        <is>
          <t>止損</t>
        </is>
      </c>
      <c r="K331" s="5">
        <f>(H331-D331)*24</f>
        <v/>
      </c>
      <c r="L331" s="4">
        <f>IF(C331="做多",I331/E331-1,1-I331/E331)-2*參數!$B$7</f>
        <v/>
      </c>
      <c r="M331" s="2" t="inlineStr"/>
      <c r="N331" s="4" t="n">
        <v>-0.03266596417281342</v>
      </c>
      <c r="O331" s="4" t="n">
        <v>0.0234005501070688</v>
      </c>
      <c r="P331" s="4" t="n">
        <v>-0.05263157894736836</v>
      </c>
      <c r="Q331" s="22" t="n">
        <v>-1299717.3</v>
      </c>
      <c r="R331" s="22" t="n">
        <v>1914018.6799</v>
      </c>
      <c r="S331" s="4" t="n">
        <v>0.006535947712418277</v>
      </c>
      <c r="T331" s="4" t="n">
        <v>0.05</v>
      </c>
      <c r="U331" s="19" t="n">
        <v>0.8811009686630438</v>
      </c>
      <c r="V331" s="19" t="n">
        <v>1</v>
      </c>
      <c r="W331" s="4" t="n">
        <v>-0.0325280064786071</v>
      </c>
      <c r="X331" s="4" t="n">
        <v>0.07178968655207274</v>
      </c>
      <c r="Y331" s="4" t="n">
        <v>-0.0009421181500677278</v>
      </c>
      <c r="Z331" s="4" t="n">
        <v>0.002270613381535114</v>
      </c>
      <c r="AA331" s="4" t="n">
        <v>0.03</v>
      </c>
      <c r="AB331" s="4" t="n">
        <v>0.05</v>
      </c>
      <c r="AC331" s="4">
        <f>(AB331+2*參數!$B$7)/(AA331+AB331)</f>
        <v/>
      </c>
    </row>
    <row r="332">
      <c r="A332" s="2" t="n">
        <v>331</v>
      </c>
      <c r="B332" s="2" t="inlineStr">
        <is>
          <t>PONS_USDT_PERP</t>
        </is>
      </c>
      <c r="C332" s="2" t="inlineStr">
        <is>
          <t>做空</t>
        </is>
      </c>
      <c r="D332" s="7" t="n">
        <v>46285.91666666666</v>
      </c>
      <c r="E332" s="20" t="n">
        <v>0.5613</v>
      </c>
      <c r="F332" s="20" t="n">
        <v>0.544461</v>
      </c>
      <c r="G332" s="20" t="n">
        <v>0.589365</v>
      </c>
      <c r="H332" s="7" t="n">
        <v>46286.08333333334</v>
      </c>
      <c r="I332" s="20" t="n">
        <v>0.589365</v>
      </c>
      <c r="J332" s="2" t="inlineStr">
        <is>
          <t>止損</t>
        </is>
      </c>
      <c r="K332" s="5">
        <f>(H332-D332)*24</f>
        <v/>
      </c>
      <c r="L332" s="4">
        <f>IF(C332="做多",I332/E332-1,1-I332/E332)-2*參數!$B$7</f>
        <v/>
      </c>
      <c r="M332" s="2" t="inlineStr"/>
      <c r="N332" s="4" t="n">
        <v>-0.02178459393516896</v>
      </c>
      <c r="O332" s="4" t="n">
        <v>0.02785429382034712</v>
      </c>
      <c r="P332" s="4" t="n">
        <v>-0.03799681217543305</v>
      </c>
      <c r="Q332" s="22" t="n">
        <v>-173925</v>
      </c>
      <c r="R332" s="22" t="n">
        <v>1788829.3388</v>
      </c>
      <c r="S332" s="4" t="n">
        <v>0.006948156066274747</v>
      </c>
      <c r="T332" s="4" t="n">
        <v>0.05</v>
      </c>
      <c r="U332" s="19" t="n">
        <v>1.625773986823902</v>
      </c>
      <c r="V332" s="19" t="n">
        <v>0.8118811881188106</v>
      </c>
      <c r="W332" s="4" t="n">
        <v>0.1199076788956589</v>
      </c>
      <c r="X332" s="4" t="n">
        <v>0.1118670886075949</v>
      </c>
      <c r="Y332" s="4" t="n">
        <v>-0.0009421181500677278</v>
      </c>
      <c r="Z332" s="4" t="n">
        <v>0.002270613381535114</v>
      </c>
      <c r="AA332" s="4" t="n">
        <v>0.03</v>
      </c>
      <c r="AB332" s="4" t="n">
        <v>0.05</v>
      </c>
      <c r="AC332" s="4">
        <f>(AB332+2*參數!$B$7)/(AA332+AB332)</f>
        <v/>
      </c>
    </row>
    <row r="333">
      <c r="A333" s="2" t="n">
        <v>332</v>
      </c>
      <c r="B333" s="2" t="inlineStr">
        <is>
          <t>LSK_USDT_PERP</t>
        </is>
      </c>
      <c r="C333" s="2" t="inlineStr">
        <is>
          <t>做空</t>
        </is>
      </c>
      <c r="D333" s="7" t="n">
        <v>46285.95833333334</v>
      </c>
      <c r="E333" s="20" t="n">
        <v>0.3804</v>
      </c>
      <c r="F333" s="20" t="n">
        <v>0.368988</v>
      </c>
      <c r="G333" s="20" t="n">
        <v>0.3994200000000001</v>
      </c>
      <c r="H333" s="7" t="n">
        <v>46286</v>
      </c>
      <c r="I333" s="20" t="n">
        <v>0.3994200000000001</v>
      </c>
      <c r="J333" s="2" t="inlineStr">
        <is>
          <t>止損</t>
        </is>
      </c>
      <c r="K333" s="5">
        <f>(H333-D333)*24</f>
        <v/>
      </c>
      <c r="L333" s="4">
        <f>IF(C333="做多",I333/E333-1,1-I333/E333)-2*參數!$B$7</f>
        <v/>
      </c>
      <c r="M333" s="2" t="inlineStr"/>
      <c r="N333" s="4" t="n">
        <v>-0.04757135703555326</v>
      </c>
      <c r="O333" s="4" t="n">
        <v>0.03951846546188689</v>
      </c>
      <c r="P333" s="4" t="n">
        <v>-0.02396469441165894</v>
      </c>
      <c r="Q333" s="22" t="n">
        <v>-160179</v>
      </c>
      <c r="R333" s="22" t="n">
        <v>2692470.4941</v>
      </c>
      <c r="S333" s="4" t="n">
        <v>0</v>
      </c>
      <c r="T333" s="4" t="n">
        <v>0.05</v>
      </c>
      <c r="U333" s="19" t="n">
        <v>0.9524499343604004</v>
      </c>
      <c r="V333" s="19" t="n">
        <v>0.9499999999999998</v>
      </c>
      <c r="W333" s="4" t="n">
        <v>0.1806421318812922</v>
      </c>
      <c r="X333" s="4" t="n">
        <v>0.1510823476902476</v>
      </c>
      <c r="Y333" s="4" t="n">
        <v>-0.001418055748713565</v>
      </c>
      <c r="Z333" s="4" t="n">
        <v>0.0003913058944896575</v>
      </c>
      <c r="AA333" s="4" t="n">
        <v>0.03</v>
      </c>
      <c r="AB333" s="4" t="n">
        <v>0.05</v>
      </c>
      <c r="AC333" s="4">
        <f>(AB333+2*參數!$B$7)/(AA333+AB333)</f>
        <v/>
      </c>
    </row>
    <row r="334">
      <c r="A334" s="2" t="n">
        <v>333</v>
      </c>
      <c r="B334" s="2" t="inlineStr">
        <is>
          <t>PIEVERSE_USDT_PERP</t>
        </is>
      </c>
      <c r="C334" s="2" t="inlineStr">
        <is>
          <t>做空</t>
        </is>
      </c>
      <c r="D334" s="7" t="n">
        <v>46286</v>
      </c>
      <c r="E334" s="20" t="n">
        <v>1.5856</v>
      </c>
      <c r="F334" s="20" t="n">
        <v>1.538032</v>
      </c>
      <c r="G334" s="20" t="n">
        <v>1.66488</v>
      </c>
      <c r="H334" s="7" t="n">
        <v>46286.375</v>
      </c>
      <c r="I334" s="20" t="n">
        <v>1.66488</v>
      </c>
      <c r="J334" s="2" t="inlineStr">
        <is>
          <t>止損</t>
        </is>
      </c>
      <c r="K334" s="5">
        <f>(H334-D334)*24</f>
        <v/>
      </c>
      <c r="L334" s="4">
        <f>IF(C334="做多",I334/E334-1,1-I334/E334)-2*參數!$B$7</f>
        <v/>
      </c>
      <c r="M334" s="2" t="inlineStr"/>
      <c r="N334" s="4" t="n">
        <v>-0.03340648622287257</v>
      </c>
      <c r="O334" s="4" t="n">
        <v>0.05627434594714689</v>
      </c>
      <c r="P334" s="4" t="n">
        <v>-0.05652743067951904</v>
      </c>
      <c r="Q334" s="22" t="n">
        <v>-26377</v>
      </c>
      <c r="R334" s="22" t="n">
        <v>1498850.5614</v>
      </c>
      <c r="S334" s="4" t="n">
        <v>0.0158930373360241</v>
      </c>
      <c r="T334" s="4" t="n">
        <v>0.05</v>
      </c>
      <c r="U334" s="19" t="n">
        <v>0.4135051887990531</v>
      </c>
      <c r="V334" s="19" t="n">
        <v>0.7927135678391968</v>
      </c>
      <c r="W334" s="4" t="n">
        <v>-0.1209686028401735</v>
      </c>
      <c r="X334" s="4" t="n">
        <v>-0.04522083058668414</v>
      </c>
      <c r="Y334" s="4" t="n">
        <v>-0.002783736530806991</v>
      </c>
      <c r="Z334" s="4" t="n">
        <v>-0.00267494877922525</v>
      </c>
      <c r="AA334" s="4" t="n">
        <v>0.03</v>
      </c>
      <c r="AB334" s="4" t="n">
        <v>0.05</v>
      </c>
      <c r="AC334" s="4">
        <f>(AB334+2*參數!$B$7)/(AA334+AB334)</f>
        <v/>
      </c>
    </row>
    <row r="335">
      <c r="A335" s="2" t="n">
        <v>334</v>
      </c>
      <c r="B335" s="2" t="inlineStr">
        <is>
          <t>ARB_USDT_PERP</t>
        </is>
      </c>
      <c r="C335" s="2" t="inlineStr">
        <is>
          <t>做多</t>
        </is>
      </c>
      <c r="D335" s="7" t="n">
        <v>46286.04166666666</v>
      </c>
      <c r="E335" s="20" t="n">
        <v>0.2115</v>
      </c>
      <c r="F335" s="20" t="n">
        <v>0.217845</v>
      </c>
      <c r="G335" s="20" t="n">
        <v>0.200925</v>
      </c>
      <c r="H335" s="7" t="n">
        <v>46286.29166666666</v>
      </c>
      <c r="I335" s="20" t="n">
        <v>0.217845</v>
      </c>
      <c r="J335" s="2" t="inlineStr">
        <is>
          <t>止盈</t>
        </is>
      </c>
      <c r="K335" s="5">
        <f>(H335-D335)*24</f>
        <v/>
      </c>
      <c r="L335" s="4">
        <f>IF(C335="做多",I335/E335-1,1-I335/E335)-2*參數!$B$7</f>
        <v/>
      </c>
      <c r="M335" s="2" t="inlineStr"/>
      <c r="N335" s="4" t="n">
        <v>0.03778213935230612</v>
      </c>
      <c r="O335" s="4" t="n">
        <v>0.02950572109205349</v>
      </c>
      <c r="P335" s="4" t="n">
        <v>0.01361065848749154</v>
      </c>
      <c r="Q335" s="22" t="n">
        <v>2174080.6</v>
      </c>
      <c r="R335" s="22" t="n">
        <v>5657292.184909999</v>
      </c>
      <c r="S335" s="4" t="n">
        <v>0.03</v>
      </c>
      <c r="T335" s="4" t="n">
        <v>0.01702127659574459</v>
      </c>
      <c r="U335" s="19" t="n">
        <v>3.632198830660399</v>
      </c>
      <c r="V335" s="19" t="n">
        <v>0.8829787234042537</v>
      </c>
      <c r="W335" s="4" t="n">
        <v>0.08147080028839215</v>
      </c>
      <c r="X335" s="4" t="n">
        <v>0.01536245799327873</v>
      </c>
      <c r="Y335" s="4" t="n">
        <v>0.005271325497857804</v>
      </c>
      <c r="Z335" s="4" t="n">
        <v>0.007856160033541615</v>
      </c>
      <c r="AA335" s="4" t="n">
        <v>0.03</v>
      </c>
      <c r="AB335" s="4" t="n">
        <v>0.05</v>
      </c>
      <c r="AC335" s="4">
        <f>(AB335+2*參數!$B$7)/(AA335+AB335)</f>
        <v/>
      </c>
    </row>
    <row r="336">
      <c r="A336" s="2" t="n">
        <v>335</v>
      </c>
      <c r="B336" s="2" t="inlineStr">
        <is>
          <t>LIT_USDT_PERP</t>
        </is>
      </c>
      <c r="C336" s="2" t="inlineStr">
        <is>
          <t>做空</t>
        </is>
      </c>
      <c r="D336" s="7" t="n">
        <v>46286.125</v>
      </c>
      <c r="E336" s="20" t="n">
        <v>4.649</v>
      </c>
      <c r="F336" s="20" t="n">
        <v>4.50953</v>
      </c>
      <c r="G336" s="20" t="n">
        <v>4.88145</v>
      </c>
      <c r="H336" s="7" t="n">
        <v>46286.375</v>
      </c>
      <c r="I336" s="20" t="n">
        <v>4.88145</v>
      </c>
      <c r="J336" s="2" t="inlineStr">
        <is>
          <t>止損</t>
        </is>
      </c>
      <c r="K336" s="5">
        <f>(H336-D336)*24</f>
        <v/>
      </c>
      <c r="L336" s="4">
        <f>IF(C336="做多",I336/E336-1,1-I336/E336)-2*參數!$B$7</f>
        <v/>
      </c>
      <c r="M336" s="2" t="inlineStr"/>
      <c r="N336" s="4" t="n">
        <v>-0.0261834939254294</v>
      </c>
      <c r="O336" s="4" t="n">
        <v>0.02248474149595795</v>
      </c>
      <c r="P336" s="4" t="n">
        <v>-0.01038784111711866</v>
      </c>
      <c r="Q336" s="22" t="n">
        <v>-36980.10000000009</v>
      </c>
      <c r="R336" s="22" t="n">
        <v>3564146.829</v>
      </c>
      <c r="S336" s="4" t="n">
        <v>0.0004302000430199682</v>
      </c>
      <c r="T336" s="4" t="n">
        <v>0.05</v>
      </c>
      <c r="U336" s="19" t="n">
        <v>1.061555040030121</v>
      </c>
      <c r="V336" s="19" t="n">
        <v>0.9632352941176479</v>
      </c>
      <c r="W336" s="4" t="n">
        <v>0.03341365695644849</v>
      </c>
      <c r="X336" s="4" t="n">
        <v>0.05966828478964403</v>
      </c>
      <c r="Y336" s="4" t="n">
        <v>0.00144238948461084</v>
      </c>
      <c r="Z336" s="4" t="n">
        <v>-0.004261251450783154</v>
      </c>
      <c r="AA336" s="4" t="n">
        <v>0.03</v>
      </c>
      <c r="AB336" s="4" t="n">
        <v>0.05</v>
      </c>
      <c r="AC336" s="4">
        <f>(AB336+2*參數!$B$7)/(AA336+AB336)</f>
        <v/>
      </c>
    </row>
    <row r="337">
      <c r="A337" s="2" t="n">
        <v>336</v>
      </c>
      <c r="B337" s="2" t="inlineStr">
        <is>
          <t>LSK_USDT_PERP</t>
        </is>
      </c>
      <c r="C337" s="2" t="inlineStr">
        <is>
          <t>做空</t>
        </is>
      </c>
      <c r="D337" s="7" t="n">
        <v>46286.125</v>
      </c>
      <c r="E337" s="20" t="n">
        <v>0.3786</v>
      </c>
      <c r="F337" s="20" t="n">
        <v>0.367242</v>
      </c>
      <c r="G337" s="20" t="n">
        <v>0.39753</v>
      </c>
      <c r="H337" s="7" t="n">
        <v>46286.25</v>
      </c>
      <c r="I337" s="20" t="n">
        <v>0.367242</v>
      </c>
      <c r="J337" s="2" t="inlineStr">
        <is>
          <t>止盈</t>
        </is>
      </c>
      <c r="K337" s="5">
        <f>(H337-D337)*24</f>
        <v/>
      </c>
      <c r="L337" s="4">
        <f>IF(C337="做多",I337/E337-1,1-I337/E337)-2*參數!$B$7</f>
        <v/>
      </c>
      <c r="M337" s="2" t="inlineStr"/>
      <c r="N337" s="4" t="n">
        <v>-0.03072196620583723</v>
      </c>
      <c r="O337" s="4" t="n">
        <v>0.04352298138745898</v>
      </c>
      <c r="P337" s="4" t="n">
        <v>-0.02661010412649445</v>
      </c>
      <c r="Q337" s="22" t="n">
        <v>-57658</v>
      </c>
      <c r="R337" s="22" t="n">
        <v>2671328.4409</v>
      </c>
      <c r="S337" s="4" t="n">
        <v>0.03</v>
      </c>
      <c r="T337" s="4" t="n">
        <v>0.01003697834125727</v>
      </c>
      <c r="U337" s="19" t="n">
        <v>0.6466636387343243</v>
      </c>
      <c r="V337" s="19" t="n">
        <v>0.8957055214723938</v>
      </c>
      <c r="W337" s="4" t="n">
        <v>0.16847679268365</v>
      </c>
      <c r="X337" s="4" t="n">
        <v>0.08084486525855794</v>
      </c>
      <c r="Y337" s="4" t="n">
        <v>0.00144238948461084</v>
      </c>
      <c r="Z337" s="4" t="n">
        <v>-0.004261251450783154</v>
      </c>
      <c r="AA337" s="4" t="n">
        <v>0.03</v>
      </c>
      <c r="AB337" s="4" t="n">
        <v>0.05</v>
      </c>
      <c r="AC337" s="4">
        <f>(AB337+2*參數!$B$7)/(AA337+AB337)</f>
        <v/>
      </c>
    </row>
    <row r="338">
      <c r="A338" s="2" t="n">
        <v>337</v>
      </c>
      <c r="B338" s="2" t="inlineStr">
        <is>
          <t>PONS_USDT_PERP</t>
        </is>
      </c>
      <c r="C338" s="2" t="inlineStr">
        <is>
          <t>做空</t>
        </is>
      </c>
      <c r="D338" s="7" t="n">
        <v>46286.125</v>
      </c>
      <c r="E338" s="20" t="n">
        <v>0.5704</v>
      </c>
      <c r="F338" s="20" t="n">
        <v>0.553288</v>
      </c>
      <c r="G338" s="20" t="n">
        <v>0.59892</v>
      </c>
      <c r="H338" s="7" t="n">
        <v>46286.33333333334</v>
      </c>
      <c r="I338" s="20" t="n">
        <v>0.59892</v>
      </c>
      <c r="J338" s="2" t="inlineStr">
        <is>
          <t>止損</t>
        </is>
      </c>
      <c r="K338" s="5">
        <f>(H338-D338)*24</f>
        <v/>
      </c>
      <c r="L338" s="4">
        <f>IF(C338="做多",I338/E338-1,1-I338/E338)-2*參數!$B$7</f>
        <v/>
      </c>
      <c r="M338" s="2" t="inlineStr"/>
      <c r="N338" s="4" t="n">
        <v>-0.02194787379972574</v>
      </c>
      <c r="O338" s="4" t="n">
        <v>0.02721994046102876</v>
      </c>
      <c r="P338" s="4" t="n">
        <v>-0.02127659574468077</v>
      </c>
      <c r="Q338" s="22" t="n">
        <v>-293486</v>
      </c>
      <c r="R338" s="22" t="n">
        <v>1624550.4044</v>
      </c>
      <c r="S338" s="4" t="n">
        <v>0.00859046283309961</v>
      </c>
      <c r="T338" s="4" t="n">
        <v>0.05</v>
      </c>
      <c r="U338" s="19" t="n">
        <v>0.8559616213700126</v>
      </c>
      <c r="V338" s="19" t="n">
        <v>0.8251366120218588</v>
      </c>
      <c r="W338" s="4" t="n">
        <v>0.1054878259151342</v>
      </c>
      <c r="X338" s="4" t="n">
        <v>0.01891984864121088</v>
      </c>
      <c r="Y338" s="4" t="n">
        <v>0.00144238948461084</v>
      </c>
      <c r="Z338" s="4" t="n">
        <v>-0.004261251450783154</v>
      </c>
      <c r="AA338" s="4" t="n">
        <v>0.03</v>
      </c>
      <c r="AB338" s="4" t="n">
        <v>0.05</v>
      </c>
      <c r="AC338" s="4">
        <f>(AB338+2*參數!$B$7)/(AA338+AB338)</f>
        <v/>
      </c>
    </row>
    <row r="339">
      <c r="A339" s="2" t="n">
        <v>338</v>
      </c>
      <c r="B339" s="2" t="inlineStr">
        <is>
          <t>ONDO_USDT_PERP</t>
        </is>
      </c>
      <c r="C339" s="2" t="inlineStr">
        <is>
          <t>做多</t>
        </is>
      </c>
      <c r="D339" s="7" t="n">
        <v>46286.16666666666</v>
      </c>
      <c r="E339" s="20" t="n">
        <v>0.4278</v>
      </c>
      <c r="F339" s="20" t="n">
        <v>0.440634</v>
      </c>
      <c r="G339" s="20" t="n">
        <v>0.40641</v>
      </c>
      <c r="H339" s="7" t="n">
        <v>46286.375</v>
      </c>
      <c r="I339" s="20" t="n">
        <v>0.440634</v>
      </c>
      <c r="J339" s="2" t="inlineStr">
        <is>
          <t>止盈</t>
        </is>
      </c>
      <c r="K339" s="5">
        <f>(H339-D339)*24</f>
        <v/>
      </c>
      <c r="L339" s="4">
        <f>IF(C339="做多",I339/E339-1,1-I339/E339)-2*參數!$B$7</f>
        <v/>
      </c>
      <c r="M339" s="2" t="inlineStr"/>
      <c r="N339" s="4" t="n">
        <v>0.02344497607655516</v>
      </c>
      <c r="O339" s="4" t="n">
        <v>0.02073221339057469</v>
      </c>
      <c r="P339" s="4" t="n">
        <v>0.03608621942358914</v>
      </c>
      <c r="Q339" s="22" t="n">
        <v>658615.5000000002</v>
      </c>
      <c r="R339" s="22" t="n">
        <v>2521886.68248</v>
      </c>
      <c r="S339" s="4" t="n">
        <v>0.03</v>
      </c>
      <c r="T339" s="4" t="n">
        <v>0.01706404862085098</v>
      </c>
      <c r="U339" s="19" t="n">
        <v>1.235029664999695</v>
      </c>
      <c r="V339" s="19" t="n">
        <v>0.6024096385542173</v>
      </c>
      <c r="W339" s="4" t="n">
        <v>0.09650696658703883</v>
      </c>
      <c r="X339" s="4" t="n">
        <v>0.006825135325959186</v>
      </c>
      <c r="Y339" s="4" t="n">
        <v>0.001796331779393201</v>
      </c>
      <c r="Z339" s="4" t="n">
        <v>0.006116195627746235</v>
      </c>
      <c r="AA339" s="4" t="n">
        <v>0.03</v>
      </c>
      <c r="AB339" s="4" t="n">
        <v>0.05</v>
      </c>
      <c r="AC339" s="4">
        <f>(AB339+2*參數!$B$7)/(AA339+AB339)</f>
        <v/>
      </c>
    </row>
    <row r="340">
      <c r="A340" s="2" t="n">
        <v>339</v>
      </c>
      <c r="B340" s="2" t="inlineStr">
        <is>
          <t>AKE_USDT_PERP</t>
        </is>
      </c>
      <c r="C340" s="2" t="inlineStr">
        <is>
          <t>做空</t>
        </is>
      </c>
      <c r="D340" s="7" t="n">
        <v>46286.20833333334</v>
      </c>
      <c r="E340" s="20" t="n">
        <v>0.058871</v>
      </c>
      <c r="F340" s="20" t="n">
        <v>0.05710487</v>
      </c>
      <c r="G340" s="20" t="n">
        <v>0.06181455</v>
      </c>
      <c r="H340" s="7" t="n">
        <v>46286.25</v>
      </c>
      <c r="I340" s="20" t="n">
        <v>0.06181455</v>
      </c>
      <c r="J340" s="2" t="inlineStr">
        <is>
          <t>止損</t>
        </is>
      </c>
      <c r="K340" s="5">
        <f>(H340-D340)*24</f>
        <v/>
      </c>
      <c r="L340" s="4">
        <f>IF(C340="做多",I340/E340-1,1-I340/E340)-2*參數!$B$7</f>
        <v/>
      </c>
      <c r="M340" s="2" t="inlineStr"/>
      <c r="N340" s="4" t="n">
        <v>-0.04359395916457642</v>
      </c>
      <c r="O340" s="4" t="n">
        <v>0.2011116411779258</v>
      </c>
      <c r="P340" s="4" t="n">
        <v>-0.05662115866490847</v>
      </c>
      <c r="Q340" s="22" t="n">
        <v>-22181628</v>
      </c>
      <c r="R340" s="22" t="n">
        <v>23715826.2674167</v>
      </c>
      <c r="S340" s="4" t="n">
        <v>0</v>
      </c>
      <c r="T340" s="4" t="n">
        <v>0.05</v>
      </c>
      <c r="U340" s="19" t="n">
        <v>0.4312390661198016</v>
      </c>
      <c r="V340" s="19" t="n">
        <v>0.7832386405129477</v>
      </c>
      <c r="W340" s="4" t="n">
        <v>-0.4497437159159334</v>
      </c>
      <c r="X340" s="4" t="n">
        <v>0.07866649138621795</v>
      </c>
      <c r="Y340" s="4" t="n">
        <v>0.001158435815877712</v>
      </c>
      <c r="Z340" s="4" t="n">
        <v>-0.005084705617705021</v>
      </c>
      <c r="AA340" s="4" t="n">
        <v>0.03</v>
      </c>
      <c r="AB340" s="4" t="n">
        <v>0.05</v>
      </c>
      <c r="AC340" s="4">
        <f>(AB340+2*參數!$B$7)/(AA340+AB340)</f>
        <v/>
      </c>
    </row>
    <row r="341">
      <c r="A341" s="2" t="n">
        <v>340</v>
      </c>
      <c r="B341" s="2" t="inlineStr">
        <is>
          <t>VVV_USDT_PERP</t>
        </is>
      </c>
      <c r="C341" s="2" t="inlineStr">
        <is>
          <t>做多</t>
        </is>
      </c>
      <c r="D341" s="7" t="n">
        <v>46286.29166666666</v>
      </c>
      <c r="E341" s="20" t="n">
        <v>28.767</v>
      </c>
      <c r="F341" s="20" t="n">
        <v>29.63001</v>
      </c>
      <c r="G341" s="20" t="n">
        <v>27.32865</v>
      </c>
      <c r="H341" s="7" t="n">
        <v>46286.375</v>
      </c>
      <c r="I341" s="20" t="n">
        <v>29.63001</v>
      </c>
      <c r="J341" s="2" t="inlineStr">
        <is>
          <t>止盈</t>
        </is>
      </c>
      <c r="K341" s="5">
        <f>(H341-D341)*24</f>
        <v/>
      </c>
      <c r="L341" s="4">
        <f>IF(C341="做多",I341/E341-1,1-I341/E341)-2*參數!$B$7</f>
        <v/>
      </c>
      <c r="M341" s="2" t="inlineStr"/>
      <c r="N341" s="4" t="n">
        <v>0.02151912219026308</v>
      </c>
      <c r="O341" s="4" t="n">
        <v>0.0283197350579498</v>
      </c>
      <c r="P341" s="4" t="n">
        <v>0.02046825115289108</v>
      </c>
      <c r="Q341" s="22" t="n">
        <v>14150.73000000001</v>
      </c>
      <c r="R341" s="22" t="n">
        <v>1765507.280460001</v>
      </c>
      <c r="S341" s="4" t="n">
        <v>0.03</v>
      </c>
      <c r="T341" s="4" t="n">
        <v>0.004727639308930387</v>
      </c>
      <c r="U341" s="19" t="n">
        <v>2.282808170069471</v>
      </c>
      <c r="V341" s="19" t="n">
        <v>0.8834080717488797</v>
      </c>
      <c r="W341" s="4" t="n">
        <v>0.08413697352914884</v>
      </c>
      <c r="X341" s="4" t="n">
        <v>0.1254694835680752</v>
      </c>
      <c r="Y341" s="4" t="n">
        <v>0.003506906888346428</v>
      </c>
      <c r="Z341" s="4" t="n">
        <v>0.006274558413386977</v>
      </c>
      <c r="AA341" s="4" t="n">
        <v>0.03</v>
      </c>
      <c r="AB341" s="4" t="n">
        <v>0.05</v>
      </c>
      <c r="AC341" s="4">
        <f>(AB341+2*參數!$B$7)/(AA341+AB341)</f>
        <v/>
      </c>
    </row>
    <row r="342">
      <c r="A342" s="2" t="n">
        <v>341</v>
      </c>
      <c r="B342" s="2" t="inlineStr">
        <is>
          <t>BR_USDT_PERP</t>
        </is>
      </c>
      <c r="C342" s="2" t="inlineStr">
        <is>
          <t>做多</t>
        </is>
      </c>
      <c r="D342" s="7" t="n">
        <v>46286.33333333334</v>
      </c>
      <c r="E342" s="20" t="n">
        <v>1.19252</v>
      </c>
      <c r="F342" s="20" t="n">
        <v>1.2282956</v>
      </c>
      <c r="G342" s="20" t="n">
        <v>1.132894</v>
      </c>
      <c r="H342" s="7" t="n">
        <v>46286.41666666666</v>
      </c>
      <c r="I342" s="20" t="n">
        <v>1.2282956</v>
      </c>
      <c r="J342" s="2" t="inlineStr">
        <is>
          <t>止盈</t>
        </is>
      </c>
      <c r="K342" s="5">
        <f>(H342-D342)*24</f>
        <v/>
      </c>
      <c r="L342" s="4">
        <f>IF(C342="做多",I342/E342-1,1-I342/E342)-2*參數!$B$7</f>
        <v/>
      </c>
      <c r="M342" s="2" t="inlineStr"/>
      <c r="N342" s="4" t="n">
        <v>0.03420404481909323</v>
      </c>
      <c r="O342" s="4" t="n">
        <v>0.06504935756316703</v>
      </c>
      <c r="P342" s="4" t="n">
        <v>0.02826362598906718</v>
      </c>
      <c r="Q342" s="22" t="n">
        <v>1013858</v>
      </c>
      <c r="R342" s="22" t="n">
        <v>5324102.1918</v>
      </c>
      <c r="S342" s="4" t="n">
        <v>0.03</v>
      </c>
      <c r="T342" s="4" t="n">
        <v>0.0203518599268776</v>
      </c>
      <c r="U342" s="19" t="n">
        <v>0.4971371408585398</v>
      </c>
      <c r="V342" s="19" t="n">
        <v>0.7021943573667732</v>
      </c>
      <c r="W342" s="4" t="n">
        <v>0.3499562134753822</v>
      </c>
      <c r="X342" s="4" t="n">
        <v>0.08371501272264625</v>
      </c>
      <c r="Y342" s="4" t="n">
        <v>-0.0004582341724438388</v>
      </c>
      <c r="Z342" s="4" t="n">
        <v>0.005392162602332995</v>
      </c>
      <c r="AA342" s="4" t="n">
        <v>0.03</v>
      </c>
      <c r="AB342" s="4" t="n">
        <v>0.05</v>
      </c>
      <c r="AC342" s="4">
        <f>(AB342+2*參數!$B$7)/(AA342+AB342)</f>
        <v/>
      </c>
    </row>
    <row r="343">
      <c r="A343" s="2" t="n">
        <v>342</v>
      </c>
      <c r="B343" s="2" t="inlineStr">
        <is>
          <t>ZAMA_USDT_PERP</t>
        </is>
      </c>
      <c r="C343" s="2" t="inlineStr">
        <is>
          <t>做空</t>
        </is>
      </c>
      <c r="D343" s="7" t="n">
        <v>46286.33333333334</v>
      </c>
      <c r="E343" s="20" t="n">
        <v>0.08348</v>
      </c>
      <c r="F343" s="20" t="n">
        <v>0.08097559999999999</v>
      </c>
      <c r="G343" s="20" t="n">
        <v>0.087654</v>
      </c>
      <c r="H343" s="7" t="n">
        <v>46286.41666666666</v>
      </c>
      <c r="I343" s="20" t="n">
        <v>0.087654</v>
      </c>
      <c r="J343" s="2" t="inlineStr">
        <is>
          <t>止損</t>
        </is>
      </c>
      <c r="K343" s="5">
        <f>(H343-D343)*24</f>
        <v/>
      </c>
      <c r="L343" s="4">
        <f>IF(C343="做多",I343/E343-1,1-I343/E343)-2*參數!$B$7</f>
        <v/>
      </c>
      <c r="M343" s="2" t="inlineStr"/>
      <c r="N343" s="4" t="n">
        <v>-0.0273797040661774</v>
      </c>
      <c r="O343" s="4" t="n">
        <v>0.05918451293592571</v>
      </c>
      <c r="P343" s="4" t="n">
        <v>-0.0305310710843234</v>
      </c>
      <c r="Q343" s="22" t="n">
        <v>-12078685</v>
      </c>
      <c r="R343" s="22" t="n">
        <v>3630093.83383</v>
      </c>
      <c r="S343" s="4" t="n">
        <v>0.0001197891710589261</v>
      </c>
      <c r="T343" s="4" t="n">
        <v>0.05</v>
      </c>
      <c r="U343" s="19" t="n">
        <v>0.3528424142205874</v>
      </c>
      <c r="V343" s="19" t="n">
        <v>0.9746835443037968</v>
      </c>
      <c r="W343" s="4" t="n">
        <v>-0.2699629720906318</v>
      </c>
      <c r="X343" s="4" t="n">
        <v>-0.01495440729483266</v>
      </c>
      <c r="Y343" s="4" t="n">
        <v>0.0004582341724438388</v>
      </c>
      <c r="Z343" s="4" t="n">
        <v>-0.005392162602332995</v>
      </c>
      <c r="AA343" s="4" t="n">
        <v>0.03</v>
      </c>
      <c r="AB343" s="4" t="n">
        <v>0.05</v>
      </c>
      <c r="AC343" s="4">
        <f>(AB343+2*參數!$B$7)/(AA343+AB343)</f>
        <v/>
      </c>
    </row>
    <row r="344">
      <c r="A344" s="2" t="n">
        <v>343</v>
      </c>
      <c r="B344" s="2" t="inlineStr">
        <is>
          <t>ENA_USDT_PERP</t>
        </is>
      </c>
      <c r="C344" s="2" t="inlineStr">
        <is>
          <t>做空</t>
        </is>
      </c>
      <c r="D344" s="7" t="n">
        <v>46286.41666666666</v>
      </c>
      <c r="E344" s="20" t="n">
        <v>0.21</v>
      </c>
      <c r="F344" s="20" t="n">
        <v>0.2037</v>
      </c>
      <c r="G344" s="20" t="n">
        <v>0.2205</v>
      </c>
      <c r="H344" s="7" t="n">
        <v>46286.70833333334</v>
      </c>
      <c r="I344" s="20" t="n">
        <v>0.2205</v>
      </c>
      <c r="J344" s="2" t="inlineStr">
        <is>
          <t>止損</t>
        </is>
      </c>
      <c r="K344" s="5">
        <f>(H344-D344)*24</f>
        <v/>
      </c>
      <c r="L344" s="4">
        <f>IF(C344="做多",I344/E344-1,1-I344/E344)-2*參數!$B$7</f>
        <v/>
      </c>
      <c r="M344" s="2" t="inlineStr"/>
      <c r="N344" s="4" t="n">
        <v>-0.05234657039711188</v>
      </c>
      <c r="O344" s="4" t="n">
        <v>0.03835542294400505</v>
      </c>
      <c r="P344" s="4" t="n">
        <v>-0.004361843352929995</v>
      </c>
      <c r="Q344" s="22" t="n">
        <v>-1466550</v>
      </c>
      <c r="R344" s="22" t="n">
        <v>14229694.2075</v>
      </c>
      <c r="S344" s="4" t="n">
        <v>0.003809523809523818</v>
      </c>
      <c r="T344" s="4" t="n">
        <v>0.05</v>
      </c>
      <c r="U344" s="19" t="n">
        <v>1.135540180472172</v>
      </c>
      <c r="V344" s="19" t="n">
        <v>0.9866666666666662</v>
      </c>
      <c r="W344" s="4" t="n">
        <v>-0.1703598020419992</v>
      </c>
      <c r="X344" s="4" t="n">
        <v>0.01454716095729713</v>
      </c>
      <c r="Y344" s="4" t="n">
        <v>0.007541110205382395</v>
      </c>
      <c r="Z344" s="4" t="n">
        <v>-0.00212432637762805</v>
      </c>
      <c r="AA344" s="4" t="n">
        <v>0.03</v>
      </c>
      <c r="AB344" s="4" t="n">
        <v>0.05</v>
      </c>
      <c r="AC344" s="4">
        <f>(AB344+2*參數!$B$7)/(AA344+AB344)</f>
        <v/>
      </c>
    </row>
    <row r="345">
      <c r="A345" s="2" t="n">
        <v>344</v>
      </c>
      <c r="B345" s="2" t="inlineStr">
        <is>
          <t>UNI_USDT_PERP</t>
        </is>
      </c>
      <c r="C345" s="2" t="inlineStr">
        <is>
          <t>做空</t>
        </is>
      </c>
      <c r="D345" s="7" t="n">
        <v>46286.41666666666</v>
      </c>
      <c r="E345" s="20" t="n">
        <v>8.573</v>
      </c>
      <c r="F345" s="20" t="n">
        <v>8.315810000000001</v>
      </c>
      <c r="G345" s="20" t="n">
        <v>9.001650000000001</v>
      </c>
      <c r="H345" s="7" t="n">
        <v>46286.75</v>
      </c>
      <c r="I345" s="20" t="n">
        <v>9.001650000000001</v>
      </c>
      <c r="J345" s="2" t="inlineStr">
        <is>
          <t>止損</t>
        </is>
      </c>
      <c r="K345" s="5">
        <f>(H345-D345)*24</f>
        <v/>
      </c>
      <c r="L345" s="4">
        <f>IF(C345="做多",I345/E345-1,1-I345/E345)-2*參數!$B$7</f>
        <v/>
      </c>
      <c r="M345" s="2" t="inlineStr"/>
      <c r="N345" s="4" t="n">
        <v>-0.03489812000450287</v>
      </c>
      <c r="O345" s="4" t="n">
        <v>0.0218056376316302</v>
      </c>
      <c r="P345" s="4" t="n">
        <v>-0.01737615478073495</v>
      </c>
      <c r="Q345" s="22" t="n">
        <v>-83860</v>
      </c>
      <c r="R345" s="22" t="n">
        <v>6964767.191</v>
      </c>
      <c r="S345" s="4" t="n">
        <v>0.007465298028694778</v>
      </c>
      <c r="T345" s="4" t="n">
        <v>0.05</v>
      </c>
      <c r="U345" s="19" t="n">
        <v>2.052370612826911</v>
      </c>
      <c r="V345" s="19" t="n">
        <v>0.938596491228068</v>
      </c>
      <c r="W345" s="4" t="n">
        <v>-0.02778853427740091</v>
      </c>
      <c r="X345" s="4" t="n">
        <v>0.02756352087114344</v>
      </c>
      <c r="Y345" s="4" t="n">
        <v>0.007541110205382395</v>
      </c>
      <c r="Z345" s="4" t="n">
        <v>-0.00212432637762805</v>
      </c>
      <c r="AA345" s="4" t="n">
        <v>0.03</v>
      </c>
      <c r="AB345" s="4" t="n">
        <v>0.05</v>
      </c>
      <c r="AC345" s="4">
        <f>(AB345+2*參數!$B$7)/(AA345+AB345)</f>
        <v/>
      </c>
    </row>
    <row r="346">
      <c r="A346" s="2" t="n">
        <v>345</v>
      </c>
      <c r="B346" s="2" t="inlineStr">
        <is>
          <t>USELESS_USDT_PERP</t>
        </is>
      </c>
      <c r="C346" s="2" t="inlineStr">
        <is>
          <t>做空</t>
        </is>
      </c>
      <c r="D346" s="7" t="n">
        <v>46286.41666666666</v>
      </c>
      <c r="E346" s="20" t="n">
        <v>0.2375</v>
      </c>
      <c r="F346" s="20" t="n">
        <v>0.230375</v>
      </c>
      <c r="G346" s="20" t="n">
        <v>0.249375</v>
      </c>
      <c r="H346" s="7" t="n">
        <v>46286.5</v>
      </c>
      <c r="I346" s="20" t="n">
        <v>0.249375</v>
      </c>
      <c r="J346" s="2" t="inlineStr">
        <is>
          <t>止損</t>
        </is>
      </c>
      <c r="K346" s="5">
        <f>(H346-D346)*24</f>
        <v/>
      </c>
      <c r="L346" s="4">
        <f>IF(C346="做多",I346/E346-1,1-I346/E346)-2*參數!$B$7</f>
        <v/>
      </c>
      <c r="M346" s="2" t="inlineStr"/>
      <c r="N346" s="4" t="n">
        <v>-0.03053310474324444</v>
      </c>
      <c r="O346" s="4" t="n">
        <v>0.03121677033927517</v>
      </c>
      <c r="P346" s="4" t="n">
        <v>-0.04945058243664846</v>
      </c>
      <c r="Q346" s="22" t="n">
        <v>-1048496</v>
      </c>
      <c r="R346" s="22" t="n">
        <v>1521862.35832</v>
      </c>
      <c r="S346" s="4" t="n">
        <v>0.005852631578947332</v>
      </c>
      <c r="T346" s="4" t="n">
        <v>0.05</v>
      </c>
      <c r="U346" s="19" t="n">
        <v>1.974821905464613</v>
      </c>
      <c r="V346" s="19" t="n">
        <v>0.8964601769911523</v>
      </c>
      <c r="W346" s="4" t="n">
        <v>0.09423433435376571</v>
      </c>
      <c r="X346" s="4" t="n">
        <v>0.06789638932496089</v>
      </c>
      <c r="Y346" s="4" t="n">
        <v>0.007541110205382395</v>
      </c>
      <c r="Z346" s="4" t="n">
        <v>-0.00212432637762805</v>
      </c>
      <c r="AA346" s="4" t="n">
        <v>0.03</v>
      </c>
      <c r="AB346" s="4" t="n">
        <v>0.05</v>
      </c>
      <c r="AC346" s="4">
        <f>(AB346+2*參數!$B$7)/(AA346+AB346)</f>
        <v/>
      </c>
    </row>
    <row r="347">
      <c r="A347" s="2" t="n">
        <v>346</v>
      </c>
      <c r="B347" s="2" t="inlineStr">
        <is>
          <t>ARB_USDT_PERP</t>
        </is>
      </c>
      <c r="C347" s="2" t="inlineStr">
        <is>
          <t>做多</t>
        </is>
      </c>
      <c r="D347" s="7" t="n">
        <v>46286.45833333334</v>
      </c>
      <c r="E347" s="20" t="n">
        <v>0.2174</v>
      </c>
      <c r="F347" s="20" t="n">
        <v>0.223922</v>
      </c>
      <c r="G347" s="20" t="n">
        <v>0.20653</v>
      </c>
      <c r="H347" s="7" t="n">
        <v>46286.5</v>
      </c>
      <c r="I347" s="20" t="n">
        <v>0.223922</v>
      </c>
      <c r="J347" s="2" t="inlineStr">
        <is>
          <t>止盈</t>
        </is>
      </c>
      <c r="K347" s="5">
        <f>(H347-D347)*24</f>
        <v/>
      </c>
      <c r="L347" s="4">
        <f>IF(C347="做多",I347/E347-1,1-I347/E347)-2*參數!$B$7</f>
        <v/>
      </c>
      <c r="M347" s="2" t="inlineStr"/>
      <c r="N347" s="4" t="n">
        <v>0.02017832003754094</v>
      </c>
      <c r="O347" s="4" t="n">
        <v>0.02912220411397167</v>
      </c>
      <c r="P347" s="4" t="n">
        <v>0.02443276865443078</v>
      </c>
      <c r="Q347" s="22" t="n">
        <v>2185741.499999998</v>
      </c>
      <c r="R347" s="22" t="n">
        <v>6093329.02143</v>
      </c>
      <c r="S347" s="4" t="n">
        <v>0.03</v>
      </c>
      <c r="T347" s="4" t="n">
        <v>0</v>
      </c>
      <c r="U347" s="19" t="n">
        <v>0.6323685978255483</v>
      </c>
      <c r="V347" s="19" t="n">
        <v>0.8387096774193548</v>
      </c>
      <c r="W347" s="4" t="n">
        <v>0.0817857924802452</v>
      </c>
      <c r="X347" s="4" t="n">
        <v>0.06988188976377963</v>
      </c>
      <c r="Y347" s="4" t="n">
        <v>0.003898014310010689</v>
      </c>
      <c r="Z347" s="4" t="n">
        <v>0.005408468412069212</v>
      </c>
      <c r="AA347" s="4" t="n">
        <v>0.03</v>
      </c>
      <c r="AB347" s="4" t="n">
        <v>0.05</v>
      </c>
      <c r="AC347" s="4">
        <f>(AB347+2*參數!$B$7)/(AA347+AB347)</f>
        <v/>
      </c>
    </row>
    <row r="348">
      <c r="A348" s="2" t="n">
        <v>347</v>
      </c>
      <c r="B348" s="2" t="inlineStr">
        <is>
          <t>PUMP_USDT_PERP</t>
        </is>
      </c>
      <c r="C348" s="2" t="inlineStr">
        <is>
          <t>做多</t>
        </is>
      </c>
      <c r="D348" s="7" t="n">
        <v>46286.5</v>
      </c>
      <c r="E348" s="20" t="n">
        <v>0.004403</v>
      </c>
      <c r="F348" s="20" t="n">
        <v>0.00453509</v>
      </c>
      <c r="G348" s="20" t="n">
        <v>0.004182849999999999</v>
      </c>
      <c r="H348" s="7" t="n">
        <v>46287.08333333334</v>
      </c>
      <c r="I348" s="20" t="n">
        <v>0.004182849999999999</v>
      </c>
      <c r="J348" s="2" t="inlineStr">
        <is>
          <t>止損</t>
        </is>
      </c>
      <c r="K348" s="5">
        <f>(H348-D348)*24</f>
        <v/>
      </c>
      <c r="L348" s="4">
        <f>IF(C348="做多",I348/E348-1,1-I348/E348)-2*參數!$B$7</f>
        <v/>
      </c>
      <c r="M348" s="2" t="inlineStr"/>
      <c r="N348" s="4" t="n">
        <v>0.02323960027887506</v>
      </c>
      <c r="O348" s="4" t="n">
        <v>0.02117582706809487</v>
      </c>
      <c r="P348" s="4" t="n">
        <v>0.05771425139631248</v>
      </c>
      <c r="Q348" s="22" t="n">
        <v>240005306</v>
      </c>
      <c r="R348" s="22" t="n">
        <v>3016987.803792</v>
      </c>
      <c r="S348" s="4" t="n">
        <v>0.02634567340449689</v>
      </c>
      <c r="T348" s="4" t="n">
        <v>0.05</v>
      </c>
      <c r="U348" s="19" t="n">
        <v>0.9237780406812103</v>
      </c>
      <c r="V348" s="19" t="n">
        <v>0.9363636363636357</v>
      </c>
      <c r="W348" s="4" t="n">
        <v>0.07088046658575675</v>
      </c>
      <c r="X348" s="4" t="n">
        <v>0.1085095669687814</v>
      </c>
      <c r="Y348" s="4" t="n">
        <v>0.001523131795191812</v>
      </c>
      <c r="Z348" s="4" t="n">
        <v>0.006244427046793843</v>
      </c>
      <c r="AA348" s="4" t="n">
        <v>0.03</v>
      </c>
      <c r="AB348" s="4" t="n">
        <v>0.05</v>
      </c>
      <c r="AC348" s="4">
        <f>(AB348+2*參數!$B$7)/(AA348+AB348)</f>
        <v/>
      </c>
    </row>
    <row r="349">
      <c r="A349" s="2" t="n">
        <v>348</v>
      </c>
      <c r="B349" s="2" t="inlineStr">
        <is>
          <t>AVAX_USDT_PERP</t>
        </is>
      </c>
      <c r="C349" s="2" t="inlineStr">
        <is>
          <t>做多</t>
        </is>
      </c>
      <c r="D349" s="7" t="n">
        <v>46286.54166666666</v>
      </c>
      <c r="E349" s="20" t="n">
        <v>11.534</v>
      </c>
      <c r="F349" s="20" t="n">
        <v>11.88002</v>
      </c>
      <c r="G349" s="20" t="n">
        <v>10.9573</v>
      </c>
      <c r="H349" s="7" t="n">
        <v>46286.66666666666</v>
      </c>
      <c r="I349" s="20" t="n">
        <v>10.9573</v>
      </c>
      <c r="J349" s="2" t="inlineStr">
        <is>
          <t>止損</t>
        </is>
      </c>
      <c r="K349" s="5">
        <f>(H349-D349)*24</f>
        <v/>
      </c>
      <c r="L349" s="4">
        <f>IF(C349="做多",I349/E349-1,1-I349/E349)-2*參數!$B$7</f>
        <v/>
      </c>
      <c r="M349" s="2" t="inlineStr"/>
      <c r="N349" s="4" t="n">
        <v>0.02306191236473309</v>
      </c>
      <c r="O349" s="4" t="n">
        <v>0.0295591655812117</v>
      </c>
      <c r="P349" s="4" t="n">
        <v>0.05217066073106436</v>
      </c>
      <c r="Q349" s="22" t="n">
        <v>182063.1000000001</v>
      </c>
      <c r="R349" s="22" t="n">
        <v>8660520.2928</v>
      </c>
      <c r="S349" s="4" t="n">
        <v>0.005375411825905951</v>
      </c>
      <c r="T349" s="4" t="n">
        <v>0.05</v>
      </c>
      <c r="U349" s="19" t="n">
        <v>0.7095283442228764</v>
      </c>
      <c r="V349" s="19" t="n">
        <v>0.8418491484184926</v>
      </c>
      <c r="W349" s="4" t="n">
        <v>0.291582541351582</v>
      </c>
      <c r="X349" s="4" t="n">
        <v>0.2000832379565081</v>
      </c>
      <c r="Y349" s="4" t="n">
        <v>-0.0004471541219870367</v>
      </c>
      <c r="Z349" s="4" t="n">
        <v>0.005091214714717518</v>
      </c>
      <c r="AA349" s="4" t="n">
        <v>0.03</v>
      </c>
      <c r="AB349" s="4" t="n">
        <v>0.05</v>
      </c>
      <c r="AC349" s="4">
        <f>(AB349+2*參數!$B$7)/(AA349+AB349)</f>
        <v/>
      </c>
    </row>
    <row r="350">
      <c r="A350" s="2" t="n">
        <v>349</v>
      </c>
      <c r="B350" s="2" t="inlineStr">
        <is>
          <t>PONS_USDT_PERP</t>
        </is>
      </c>
      <c r="C350" s="2" t="inlineStr">
        <is>
          <t>做多</t>
        </is>
      </c>
      <c r="D350" s="7" t="n">
        <v>46286.58333333334</v>
      </c>
      <c r="E350" s="20" t="n">
        <v>0.5992</v>
      </c>
      <c r="F350" s="20" t="n">
        <v>0.6171759999999999</v>
      </c>
      <c r="G350" s="20" t="n">
        <v>0.56924</v>
      </c>
      <c r="H350" s="7" t="n">
        <v>46286.70833333334</v>
      </c>
      <c r="I350" s="20" t="n">
        <v>0.6171759999999999</v>
      </c>
      <c r="J350" s="2" t="inlineStr">
        <is>
          <t>止盈</t>
        </is>
      </c>
      <c r="K350" s="5">
        <f>(H350-D350)*24</f>
        <v/>
      </c>
      <c r="L350" s="4">
        <f>IF(C350="做多",I350/E350-1,1-I350/E350)-2*參數!$B$7</f>
        <v/>
      </c>
      <c r="M350" s="2" t="inlineStr"/>
      <c r="N350" s="4" t="n">
        <v>0.02252559726962455</v>
      </c>
      <c r="O350" s="4" t="n">
        <v>0.02483810079448764</v>
      </c>
      <c r="P350" s="4" t="n">
        <v>0.02616796821482392</v>
      </c>
      <c r="Q350" s="22" t="n">
        <v>689639</v>
      </c>
      <c r="R350" s="22" t="n">
        <v>1860639.4774</v>
      </c>
      <c r="S350" s="4" t="n">
        <v>0.03</v>
      </c>
      <c r="T350" s="4" t="n">
        <v>0.01051401869158874</v>
      </c>
      <c r="U350" s="19" t="n">
        <v>0.7006421493383228</v>
      </c>
      <c r="V350" s="19" t="n">
        <v>0.8895348837209295</v>
      </c>
      <c r="W350" s="4" t="n">
        <v>-0.06250195572856376</v>
      </c>
      <c r="X350" s="4" t="n">
        <v>-0.008111239860950192</v>
      </c>
      <c r="Y350" s="4" t="n">
        <v>0.001876675273727813</v>
      </c>
      <c r="Z350" s="4" t="n">
        <v>0.006304525006550321</v>
      </c>
      <c r="AA350" s="4" t="n">
        <v>0.03</v>
      </c>
      <c r="AB350" s="4" t="n">
        <v>0.05</v>
      </c>
      <c r="AC350" s="4">
        <f>(AB350+2*參數!$B$7)/(AA350+AB350)</f>
        <v/>
      </c>
    </row>
    <row r="351">
      <c r="A351" s="2" t="n">
        <v>350</v>
      </c>
      <c r="B351" s="2" t="inlineStr">
        <is>
          <t>USELESS_USDT_PERP</t>
        </is>
      </c>
      <c r="C351" s="2" t="inlineStr">
        <is>
          <t>做空</t>
        </is>
      </c>
      <c r="D351" s="7" t="n">
        <v>46286.58333333334</v>
      </c>
      <c r="E351" s="20" t="n">
        <v>0.24482</v>
      </c>
      <c r="F351" s="20" t="n">
        <v>0.2374754</v>
      </c>
      <c r="G351" s="20" t="n">
        <v>0.257061</v>
      </c>
      <c r="H351" s="7" t="n">
        <v>46286.70833333334</v>
      </c>
      <c r="I351" s="20" t="n">
        <v>0.257061</v>
      </c>
      <c r="J351" s="2" t="inlineStr">
        <is>
          <t>止損</t>
        </is>
      </c>
      <c r="K351" s="5">
        <f>(H351-D351)*24</f>
        <v/>
      </c>
      <c r="L351" s="4">
        <f>IF(C351="做多",I351/E351-1,1-I351/E351)-2*參數!$B$7</f>
        <v/>
      </c>
      <c r="M351" s="2" t="inlineStr"/>
      <c r="N351" s="4" t="n">
        <v>-0.02208907529458759</v>
      </c>
      <c r="O351" s="4" t="n">
        <v>0.0329209599828755</v>
      </c>
      <c r="P351" s="4" t="n">
        <v>-0.01125374333872498</v>
      </c>
      <c r="Q351" s="22" t="n">
        <v>-505897</v>
      </c>
      <c r="R351" s="22" t="n">
        <v>1525239.82914</v>
      </c>
      <c r="S351" s="4" t="n">
        <v>0.02234294583775831</v>
      </c>
      <c r="T351" s="4" t="n">
        <v>0.05</v>
      </c>
      <c r="U351" s="19" t="n">
        <v>0.8260621227388463</v>
      </c>
      <c r="V351" s="19" t="n">
        <v>0.8540706605222722</v>
      </c>
      <c r="W351" s="4" t="n">
        <v>0.06837663429844376</v>
      </c>
      <c r="X351" s="4" t="n">
        <v>0.06206420963910797</v>
      </c>
      <c r="Y351" s="4" t="n">
        <v>-0.001876675273727813</v>
      </c>
      <c r="Z351" s="4" t="n">
        <v>-0.006304525006550321</v>
      </c>
      <c r="AA351" s="4" t="n">
        <v>0.03</v>
      </c>
      <c r="AB351" s="4" t="n">
        <v>0.05</v>
      </c>
      <c r="AC351" s="4">
        <f>(AB351+2*參數!$B$7)/(AA351+AB351)</f>
        <v/>
      </c>
    </row>
    <row r="352">
      <c r="A352" s="2" t="n">
        <v>351</v>
      </c>
      <c r="B352" s="2" t="inlineStr">
        <is>
          <t>LIT_USDT_PERP</t>
        </is>
      </c>
      <c r="C352" s="2" t="inlineStr">
        <is>
          <t>做多</t>
        </is>
      </c>
      <c r="D352" s="7" t="n">
        <v>46286.625</v>
      </c>
      <c r="E352" s="20" t="n">
        <v>5.064</v>
      </c>
      <c r="F352" s="20" t="n">
        <v>5.215920000000001</v>
      </c>
      <c r="G352" s="20" t="n">
        <v>4.8108</v>
      </c>
      <c r="H352" s="7" t="n">
        <v>46287.08333333334</v>
      </c>
      <c r="I352" s="20" t="n">
        <v>4.8108</v>
      </c>
      <c r="J352" s="2" t="inlineStr">
        <is>
          <t>止損</t>
        </is>
      </c>
      <c r="K352" s="5">
        <f>(H352-D352)*24</f>
        <v/>
      </c>
      <c r="L352" s="4">
        <f>IF(C352="做多",I352/E352-1,1-I352/E352)-2*參數!$B$7</f>
        <v/>
      </c>
      <c r="M352" s="2" t="inlineStr"/>
      <c r="N352" s="4" t="n">
        <v>0.02261712439418417</v>
      </c>
      <c r="O352" s="4" t="n">
        <v>0.02130754193893491</v>
      </c>
      <c r="P352" s="4" t="n">
        <v>0.05679434873796141</v>
      </c>
      <c r="Q352" s="22" t="n">
        <v>310580.4</v>
      </c>
      <c r="R352" s="22" t="n">
        <v>4549757.5727</v>
      </c>
      <c r="S352" s="4" t="n">
        <v>0.01500789889415466</v>
      </c>
      <c r="T352" s="4" t="n">
        <v>0.05</v>
      </c>
      <c r="U352" s="19" t="n">
        <v>1.067225806316966</v>
      </c>
      <c r="V352" s="19" t="n">
        <v>0.8854961832061087</v>
      </c>
      <c r="W352" s="4" t="n">
        <v>0.04455230084096384</v>
      </c>
      <c r="X352" s="4" t="n">
        <v>0.08066581306017939</v>
      </c>
      <c r="Y352" s="4" t="n">
        <v>0.001092983316977492</v>
      </c>
      <c r="Z352" s="4" t="n">
        <v>0.006582450847467003</v>
      </c>
      <c r="AA352" s="4" t="n">
        <v>0.03</v>
      </c>
      <c r="AB352" s="4" t="n">
        <v>0.05</v>
      </c>
      <c r="AC352" s="4">
        <f>(AB352+2*參數!$B$7)/(AA352+AB352)</f>
        <v/>
      </c>
    </row>
    <row r="353">
      <c r="A353" s="2" t="n">
        <v>352</v>
      </c>
      <c r="B353" s="2" t="inlineStr">
        <is>
          <t>ONDO_USDT_PERP</t>
        </is>
      </c>
      <c r="C353" s="2" t="inlineStr">
        <is>
          <t>做多</t>
        </is>
      </c>
      <c r="D353" s="7" t="n">
        <v>46286.70833333334</v>
      </c>
      <c r="E353" s="20" t="n">
        <v>0.4409</v>
      </c>
      <c r="F353" s="20" t="n">
        <v>0.454127</v>
      </c>
      <c r="G353" s="20" t="n">
        <v>0.418855</v>
      </c>
      <c r="H353" s="7" t="n">
        <v>46286.79166666666</v>
      </c>
      <c r="I353" s="20" t="n">
        <v>0.454127</v>
      </c>
      <c r="J353" s="2" t="inlineStr">
        <is>
          <t>止盈</t>
        </is>
      </c>
      <c r="K353" s="5">
        <f>(H353-D353)*24</f>
        <v/>
      </c>
      <c r="L353" s="4">
        <f>IF(C353="做多",I353/E353-1,1-I353/E353)-2*參數!$B$7</f>
        <v/>
      </c>
      <c r="M353" s="2" t="inlineStr"/>
      <c r="N353" s="4" t="n">
        <v>0.02036565609812557</v>
      </c>
      <c r="O353" s="4" t="n">
        <v>0.02095025444343261</v>
      </c>
      <c r="P353" s="4" t="n">
        <v>0.03255269320843102</v>
      </c>
      <c r="Q353" s="22" t="n">
        <v>1975334.799999999</v>
      </c>
      <c r="R353" s="22" t="n">
        <v>2773938.78335</v>
      </c>
      <c r="S353" s="4" t="n">
        <v>0.03</v>
      </c>
      <c r="T353" s="4" t="n">
        <v>0.01474257201179408</v>
      </c>
      <c r="U353" s="19" t="n">
        <v>1.463352585949397</v>
      </c>
      <c r="V353" s="19" t="n">
        <v>0.8932038834951469</v>
      </c>
      <c r="W353" s="4" t="n">
        <v>0.09760438942177241</v>
      </c>
      <c r="X353" s="4" t="n">
        <v>0.0835586139100517</v>
      </c>
      <c r="Y353" s="4" t="n">
        <v>0.0248244964409654</v>
      </c>
      <c r="Z353" s="4" t="n">
        <v>0.02977322148054662</v>
      </c>
      <c r="AA353" s="4" t="n">
        <v>0.03</v>
      </c>
      <c r="AB353" s="4" t="n">
        <v>0.05</v>
      </c>
      <c r="AC353" s="4">
        <f>(AB353+2*參數!$B$7)/(AA353+AB353)</f>
        <v/>
      </c>
    </row>
    <row r="354">
      <c r="A354" s="2" t="n">
        <v>353</v>
      </c>
      <c r="B354" s="2" t="inlineStr">
        <is>
          <t>ENA_USDT_PERP</t>
        </is>
      </c>
      <c r="C354" s="2" t="inlineStr">
        <is>
          <t>做多</t>
        </is>
      </c>
      <c r="D354" s="7" t="n">
        <v>46286.79166666666</v>
      </c>
      <c r="E354" s="20" t="n">
        <v>0.227</v>
      </c>
      <c r="F354" s="20" t="n">
        <v>0.23381</v>
      </c>
      <c r="G354" s="20" t="n">
        <v>0.21565</v>
      </c>
      <c r="H354" s="7" t="n">
        <v>46287</v>
      </c>
      <c r="I354" s="20" t="n">
        <v>0.21565</v>
      </c>
      <c r="J354" s="2" t="inlineStr">
        <is>
          <t>止損</t>
        </is>
      </c>
      <c r="K354" s="5">
        <f>(H354-D354)*24</f>
        <v/>
      </c>
      <c r="L354" s="4">
        <f>IF(C354="做多",I354/E354-1,1-I354/E354)-2*參數!$B$7</f>
        <v/>
      </c>
      <c r="M354" s="2" t="inlineStr"/>
      <c r="N354" s="4" t="n">
        <v>0.0389016018306636</v>
      </c>
      <c r="O354" s="4" t="n">
        <v>0.03038849499990817</v>
      </c>
      <c r="P354" s="4" t="n">
        <v>0.04264749787566302</v>
      </c>
      <c r="Q354" s="22" t="n">
        <v>7846591</v>
      </c>
      <c r="R354" s="22" t="n">
        <v>12554969.585</v>
      </c>
      <c r="S354" s="4" t="n">
        <v>0.008810572687224738</v>
      </c>
      <c r="T354" s="4" t="n">
        <v>0.05</v>
      </c>
      <c r="U354" s="19" t="n">
        <v>2.137333916972771</v>
      </c>
      <c r="V354" s="19" t="n">
        <v>0.958333333333335</v>
      </c>
      <c r="W354" s="4" t="n">
        <v>0.2241816318826513</v>
      </c>
      <c r="X354" s="4" t="n">
        <v>0.1193293885601578</v>
      </c>
      <c r="Y354" s="4" t="n">
        <v>-0.002668213868330938</v>
      </c>
      <c r="Z354" s="4" t="n">
        <v>0.03313469587806672</v>
      </c>
      <c r="AA354" s="4" t="n">
        <v>0.03</v>
      </c>
      <c r="AB354" s="4" t="n">
        <v>0.05</v>
      </c>
      <c r="AC354" s="4">
        <f>(AB354+2*參數!$B$7)/(AA354+AB354)</f>
        <v/>
      </c>
    </row>
    <row r="355">
      <c r="A355" s="2" t="n">
        <v>354</v>
      </c>
      <c r="B355" s="2" t="inlineStr">
        <is>
          <t>PONS_USDT_PERP</t>
        </is>
      </c>
      <c r="C355" s="2" t="inlineStr">
        <is>
          <t>做多</t>
        </is>
      </c>
      <c r="D355" s="7" t="n">
        <v>46286.79166666666</v>
      </c>
      <c r="E355" s="20" t="n">
        <v>0.6218</v>
      </c>
      <c r="F355" s="20" t="n">
        <v>0.6404540000000001</v>
      </c>
      <c r="G355" s="20" t="n">
        <v>0.59071</v>
      </c>
      <c r="H355" s="7" t="n">
        <v>46286.875</v>
      </c>
      <c r="I355" s="20" t="n">
        <v>0.6404540000000001</v>
      </c>
      <c r="J355" s="2" t="inlineStr">
        <is>
          <t>止盈</t>
        </is>
      </c>
      <c r="K355" s="5">
        <f>(H355-D355)*24</f>
        <v/>
      </c>
      <c r="L355" s="4">
        <f>IF(C355="做多",I355/E355-1,1-I355/E355)-2*參數!$B$7</f>
        <v/>
      </c>
      <c r="M355" s="2" t="inlineStr"/>
      <c r="N355" s="4" t="n">
        <v>0.02981119576018543</v>
      </c>
      <c r="O355" s="4" t="n">
        <v>0.02659412408765577</v>
      </c>
      <c r="P355" s="4" t="n">
        <v>0.04719801271525403</v>
      </c>
      <c r="Q355" s="22" t="n">
        <v>1444291</v>
      </c>
      <c r="R355" s="22" t="n">
        <v>2290832.8843</v>
      </c>
      <c r="S355" s="4" t="n">
        <v>0.03</v>
      </c>
      <c r="T355" s="4" t="n">
        <v>0.009166934705693186</v>
      </c>
      <c r="U355" s="19" t="n">
        <v>1.989757988688353</v>
      </c>
      <c r="V355" s="19" t="n">
        <v>0.6269113149847105</v>
      </c>
      <c r="W355" s="4" t="n">
        <v>-0.02498380983891368</v>
      </c>
      <c r="X355" s="4" t="n">
        <v>0.08157940511393291</v>
      </c>
      <c r="Y355" s="4" t="n">
        <v>-0.002668213868330938</v>
      </c>
      <c r="Z355" s="4" t="n">
        <v>0.03313469587806672</v>
      </c>
      <c r="AA355" s="4" t="n">
        <v>0.03</v>
      </c>
      <c r="AB355" s="4" t="n">
        <v>0.05</v>
      </c>
      <c r="AC355" s="4">
        <f>(AB355+2*參數!$B$7)/(AA355+AB355)</f>
        <v/>
      </c>
    </row>
    <row r="356">
      <c r="A356" s="2" t="n">
        <v>355</v>
      </c>
      <c r="B356" s="2" t="inlineStr">
        <is>
          <t>XMR_USDT_PERP</t>
        </is>
      </c>
      <c r="C356" s="2" t="inlineStr">
        <is>
          <t>做多</t>
        </is>
      </c>
      <c r="D356" s="7" t="n">
        <v>46286.79166666666</v>
      </c>
      <c r="E356" s="20" t="n">
        <v>580.71</v>
      </c>
      <c r="F356" s="20" t="n">
        <v>598.1313</v>
      </c>
      <c r="G356" s="20" t="n">
        <v>551.6745</v>
      </c>
      <c r="H356" s="7" t="n">
        <v>46287.08333333334</v>
      </c>
      <c r="I356" s="20" t="n">
        <v>551.6745</v>
      </c>
      <c r="J356" s="2" t="inlineStr">
        <is>
          <t>止損</t>
        </is>
      </c>
      <c r="K356" s="5">
        <f>(H356-D356)*24</f>
        <v/>
      </c>
      <c r="L356" s="4">
        <f>IF(C356="做多",I356/E356-1,1-I356/E356)-2*參數!$B$7</f>
        <v/>
      </c>
      <c r="M356" s="2" t="inlineStr"/>
      <c r="N356" s="4" t="n">
        <v>0.02410764672686239</v>
      </c>
      <c r="O356" s="4" t="n">
        <v>0.02632899404122385</v>
      </c>
      <c r="P356" s="4" t="n">
        <v>0.01667051828819943</v>
      </c>
      <c r="Q356" s="22" t="n">
        <v>320.3699999999999</v>
      </c>
      <c r="R356" s="22" t="n">
        <v>2336139.41397</v>
      </c>
      <c r="S356" s="4" t="n">
        <v>0.01072824645692338</v>
      </c>
      <c r="T356" s="4" t="n">
        <v>0.05</v>
      </c>
      <c r="U356" s="19" t="n">
        <v>0.9764569827239324</v>
      </c>
      <c r="V356" s="19" t="n">
        <v>0.9764285714285766</v>
      </c>
      <c r="W356" s="4" t="n">
        <v>0.06115525967248203</v>
      </c>
      <c r="X356" s="4" t="n">
        <v>0.1105352737564782</v>
      </c>
      <c r="Y356" s="4" t="n">
        <v>-0.002668213868330938</v>
      </c>
      <c r="Z356" s="4" t="n">
        <v>0.03313469587806672</v>
      </c>
      <c r="AA356" s="4" t="n">
        <v>0.03</v>
      </c>
      <c r="AB356" s="4" t="n">
        <v>0.05</v>
      </c>
      <c r="AC356" s="4">
        <f>(AB356+2*參數!$B$7)/(AA356+AB356)</f>
        <v/>
      </c>
    </row>
    <row r="357">
      <c r="A357" s="2" t="n">
        <v>356</v>
      </c>
      <c r="B357" s="2" t="inlineStr">
        <is>
          <t>BR_USDT_PERP</t>
        </is>
      </c>
      <c r="C357" s="2" t="inlineStr">
        <is>
          <t>做多</t>
        </is>
      </c>
      <c r="D357" s="7" t="n">
        <v>46286.83333333334</v>
      </c>
      <c r="E357" s="20" t="n">
        <v>1.19281</v>
      </c>
      <c r="F357" s="20" t="n">
        <v>1.2285943</v>
      </c>
      <c r="G357" s="20" t="n">
        <v>1.1331695</v>
      </c>
      <c r="H357" s="7" t="n">
        <v>46286.91666666666</v>
      </c>
      <c r="I357" s="20" t="n">
        <v>1.2285943</v>
      </c>
      <c r="J357" s="2" t="inlineStr">
        <is>
          <t>止盈</t>
        </is>
      </c>
      <c r="K357" s="5">
        <f>(H357-D357)*24</f>
        <v/>
      </c>
      <c r="L357" s="4">
        <f>IF(C357="做多",I357/E357-1,1-I357/E357)-2*參數!$B$7</f>
        <v/>
      </c>
      <c r="M357" s="2" t="inlineStr"/>
      <c r="N357" s="4" t="n">
        <v>0.06493286193843284</v>
      </c>
      <c r="O357" s="4" t="n">
        <v>0.06929706969260301</v>
      </c>
      <c r="P357" s="4" t="n">
        <v>0.02231670897000826</v>
      </c>
      <c r="Q357" s="22" t="n">
        <v>673589</v>
      </c>
      <c r="R357" s="22" t="n">
        <v>4725931.26612</v>
      </c>
      <c r="S357" s="4" t="n">
        <v>0.03</v>
      </c>
      <c r="T357" s="4" t="n">
        <v>0.02970297029702962</v>
      </c>
      <c r="U357" s="19" t="n">
        <v>1.234318646456844</v>
      </c>
      <c r="V357" s="19" t="n">
        <v>0.6795555555555545</v>
      </c>
      <c r="W357" s="4" t="n">
        <v>0.2577517475305966</v>
      </c>
      <c r="X357" s="4" t="n">
        <v>0.004192519131525518</v>
      </c>
      <c r="Y357" s="4" t="n">
        <v>0.005329377571827276</v>
      </c>
      <c r="Z357" s="4" t="n">
        <v>0.03611775196007816</v>
      </c>
      <c r="AA357" s="4" t="n">
        <v>0.03</v>
      </c>
      <c r="AB357" s="4" t="n">
        <v>0.05</v>
      </c>
      <c r="AC357" s="4">
        <f>(AB357+2*參數!$B$7)/(AA357+AB357)</f>
        <v/>
      </c>
    </row>
    <row r="358">
      <c r="A358" s="2" t="n">
        <v>357</v>
      </c>
      <c r="B358" s="2" t="inlineStr">
        <is>
          <t>AKE_USDT_PERP</t>
        </is>
      </c>
      <c r="C358" s="2" t="inlineStr">
        <is>
          <t>做多</t>
        </is>
      </c>
      <c r="D358" s="7" t="n">
        <v>46286.875</v>
      </c>
      <c r="E358" s="20" t="n">
        <v>0.0533389</v>
      </c>
      <c r="F358" s="20" t="n">
        <v>0.054939067</v>
      </c>
      <c r="G358" s="20" t="n">
        <v>0.050671955</v>
      </c>
      <c r="H358" s="7" t="n">
        <v>46286.87847222222</v>
      </c>
      <c r="I358" s="20" t="n">
        <v>0.054939067</v>
      </c>
      <c r="J358" s="2" t="inlineStr">
        <is>
          <t>止盈</t>
        </is>
      </c>
      <c r="K358" s="5">
        <f>(H358-D358)*24</f>
        <v/>
      </c>
      <c r="L358" s="4">
        <f>IF(C358="做多",I358/E358-1,1-I358/E358)-2*參數!$B$7</f>
        <v/>
      </c>
      <c r="M358" s="2" t="inlineStr">
        <is>
          <t>同1h觸發；5分K判定先止盈</t>
        </is>
      </c>
      <c r="N358" s="4" t="n">
        <v>0.04417168306171382</v>
      </c>
      <c r="O358" s="4" t="n">
        <v>0.1590855174717467</v>
      </c>
      <c r="P358" s="4" t="n">
        <v>0.04569624093463731</v>
      </c>
      <c r="Q358" s="22" t="n">
        <v>95285374</v>
      </c>
      <c r="R358" s="22" t="n">
        <v>16235371.2138047</v>
      </c>
      <c r="S358" s="4" t="n">
        <v>0.03</v>
      </c>
      <c r="T358" s="4" t="n">
        <v>0</v>
      </c>
      <c r="U358" s="19" t="n">
        <v>2.597065116249317</v>
      </c>
      <c r="V358" s="19" t="n">
        <v>0.978710350890045</v>
      </c>
      <c r="W358" s="4" t="n">
        <v>0.1816403420243657</v>
      </c>
      <c r="X358" s="4" t="n">
        <v>0.0005984204701070528</v>
      </c>
      <c r="Y358" s="4" t="n">
        <v>0.005043023032437421</v>
      </c>
      <c r="Z358" s="4" t="n">
        <v>0.03881856190570621</v>
      </c>
      <c r="AA358" s="4" t="n">
        <v>0.03</v>
      </c>
      <c r="AB358" s="4" t="n">
        <v>0.05</v>
      </c>
      <c r="AC358" s="4">
        <f>(AB358+2*參數!$B$7)/(AA358+AB358)</f>
        <v/>
      </c>
    </row>
    <row r="359">
      <c r="A359" s="2" t="n">
        <v>358</v>
      </c>
      <c r="B359" s="2" t="inlineStr">
        <is>
          <t>BR_USDT_PERP</t>
        </is>
      </c>
      <c r="C359" s="2" t="inlineStr">
        <is>
          <t>做多</t>
        </is>
      </c>
      <c r="D359" s="7" t="n">
        <v>46286.95833333334</v>
      </c>
      <c r="E359" s="20" t="n">
        <v>1.21805</v>
      </c>
      <c r="F359" s="20" t="n">
        <v>1.2545915</v>
      </c>
      <c r="G359" s="20" t="n">
        <v>1.1571475</v>
      </c>
      <c r="H359" s="7" t="n">
        <v>46287.16666666666</v>
      </c>
      <c r="I359" s="20" t="n">
        <v>1.1571475</v>
      </c>
      <c r="J359" s="2" t="inlineStr">
        <is>
          <t>止損</t>
        </is>
      </c>
      <c r="K359" s="5">
        <f>(H359-D359)*24</f>
        <v/>
      </c>
      <c r="L359" s="4">
        <f>IF(C359="做多",I359/E359-1,1-I359/E359)-2*參數!$B$7</f>
        <v/>
      </c>
      <c r="M359" s="2" t="inlineStr"/>
      <c r="N359" s="4" t="n">
        <v>0.0237606952545848</v>
      </c>
      <c r="O359" s="4" t="n">
        <v>0.06388595361192256</v>
      </c>
      <c r="P359" s="4" t="n">
        <v>0.04188273654920893</v>
      </c>
      <c r="Q359" s="22" t="n">
        <v>930525</v>
      </c>
      <c r="R359" s="22" t="n">
        <v>4255805.284949999</v>
      </c>
      <c r="S359" s="4" t="n">
        <v>0.02150979023849597</v>
      </c>
      <c r="T359" s="4" t="n">
        <v>0.05</v>
      </c>
      <c r="U359" s="19" t="n">
        <v>0.6993832711720965</v>
      </c>
      <c r="V359" s="19" t="n">
        <v>0.8053375196232357</v>
      </c>
      <c r="W359" s="4" t="n">
        <v>0.261017924768564</v>
      </c>
      <c r="X359" s="4" t="n">
        <v>0.02101460208888684</v>
      </c>
      <c r="Y359" s="4" t="n">
        <v>0.004495186989243116</v>
      </c>
      <c r="Z359" s="4" t="n">
        <v>0.03951173584251011</v>
      </c>
      <c r="AA359" s="4" t="n">
        <v>0.03</v>
      </c>
      <c r="AB359" s="4" t="n">
        <v>0.05</v>
      </c>
      <c r="AC359" s="4">
        <f>(AB359+2*參數!$B$7)/(AA359+AB359)</f>
        <v/>
      </c>
    </row>
    <row r="360">
      <c r="A360" s="2" t="n">
        <v>359</v>
      </c>
      <c r="B360" s="2" t="inlineStr">
        <is>
          <t>LSK_USDT_PERP</t>
        </is>
      </c>
      <c r="C360" s="2" t="inlineStr">
        <is>
          <t>做空</t>
        </is>
      </c>
      <c r="D360" s="7" t="n">
        <v>46287</v>
      </c>
      <c r="E360" s="20" t="n">
        <v>0.3723</v>
      </c>
      <c r="F360" s="20" t="n">
        <v>0.361131</v>
      </c>
      <c r="G360" s="20" t="n">
        <v>0.390915</v>
      </c>
      <c r="H360" s="7" t="n">
        <v>46287.33333333334</v>
      </c>
      <c r="I360" s="20" t="n">
        <v>0.361131</v>
      </c>
      <c r="J360" s="2" t="inlineStr">
        <is>
          <t>止盈</t>
        </is>
      </c>
      <c r="K360" s="5">
        <f>(H360-D360)*24</f>
        <v/>
      </c>
      <c r="L360" s="4">
        <f>IF(C360="做多",I360/E360-1,1-I360/E360)-2*參數!$B$7</f>
        <v/>
      </c>
      <c r="M360" s="2" t="inlineStr"/>
      <c r="N360" s="4" t="n">
        <v>-0.02895148669796554</v>
      </c>
      <c r="O360" s="4" t="n">
        <v>0.03291289676748195</v>
      </c>
      <c r="P360" s="4" t="n">
        <v>-0.008997018739352658</v>
      </c>
      <c r="Q360" s="22" t="n">
        <v>-696935</v>
      </c>
      <c r="R360" s="22" t="n">
        <v>1652837.599</v>
      </c>
      <c r="S360" s="4" t="n">
        <v>0.03</v>
      </c>
      <c r="T360" s="4" t="n">
        <v>0.01181842600053717</v>
      </c>
      <c r="U360" s="19" t="n">
        <v>0.7239335839522216</v>
      </c>
      <c r="V360" s="19" t="n">
        <v>0.9384615384615368</v>
      </c>
      <c r="W360" s="4" t="n">
        <v>0.1009179186116994</v>
      </c>
      <c r="X360" s="4" t="n">
        <v>0.08074074074074078</v>
      </c>
      <c r="Y360" s="4" t="n">
        <v>-0.0008017835021389974</v>
      </c>
      <c r="Z360" s="4" t="n">
        <v>-0.03737083825579401</v>
      </c>
      <c r="AA360" s="4" t="n">
        <v>0.03</v>
      </c>
      <c r="AB360" s="4" t="n">
        <v>0.05</v>
      </c>
      <c r="AC360" s="4">
        <f>(AB360+2*參數!$B$7)/(AA360+AB360)</f>
        <v/>
      </c>
    </row>
    <row r="361">
      <c r="A361" s="2" t="n">
        <v>360</v>
      </c>
      <c r="B361" s="2" t="inlineStr">
        <is>
          <t>VVV_USDT_PERP</t>
        </is>
      </c>
      <c r="C361" s="2" t="inlineStr">
        <is>
          <t>做空</t>
        </is>
      </c>
      <c r="D361" s="7" t="n">
        <v>46287</v>
      </c>
      <c r="E361" s="20" t="n">
        <v>31.09</v>
      </c>
      <c r="F361" s="20" t="n">
        <v>30.1573</v>
      </c>
      <c r="G361" s="20" t="n">
        <v>32.6445</v>
      </c>
      <c r="H361" s="7" t="n">
        <v>46287.25</v>
      </c>
      <c r="I361" s="20" t="n">
        <v>32.6445</v>
      </c>
      <c r="J361" s="2" t="inlineStr">
        <is>
          <t>止損</t>
        </is>
      </c>
      <c r="K361" s="5">
        <f>(H361-D361)*24</f>
        <v/>
      </c>
      <c r="L361" s="4">
        <f>IF(C361="做多",I361/E361-1,1-I361/E361)-2*參數!$B$7</f>
        <v/>
      </c>
      <c r="M361" s="2" t="inlineStr"/>
      <c r="N361" s="4" t="n">
        <v>-0.02429073562641226</v>
      </c>
      <c r="O361" s="4" t="n">
        <v>0.03364252808733426</v>
      </c>
      <c r="P361" s="4" t="n">
        <v>-0.02317638908307706</v>
      </c>
      <c r="Q361" s="22" t="n">
        <v>-3473.03999999995</v>
      </c>
      <c r="R361" s="22" t="n">
        <v>3962286.427000001</v>
      </c>
      <c r="S361" s="4" t="n">
        <v>0.02508845287873918</v>
      </c>
      <c r="T361" s="4" t="n">
        <v>0.05</v>
      </c>
      <c r="U361" s="19" t="n">
        <v>1.174064701905602</v>
      </c>
      <c r="V361" s="19" t="n">
        <v>0.9271613342409806</v>
      </c>
      <c r="W361" s="4" t="n">
        <v>-0.1140438321961177</v>
      </c>
      <c r="X361" s="4" t="n">
        <v>-0.06699155741643215</v>
      </c>
      <c r="Y361" s="4" t="n">
        <v>-0.0008017835021389974</v>
      </c>
      <c r="Z361" s="4" t="n">
        <v>-0.03737083825579401</v>
      </c>
      <c r="AA361" s="4" t="n">
        <v>0.03</v>
      </c>
      <c r="AB361" s="4" t="n">
        <v>0.05</v>
      </c>
      <c r="AC361" s="4">
        <f>(AB361+2*參數!$B$7)/(AA361+AB361)</f>
        <v/>
      </c>
    </row>
    <row r="362">
      <c r="A362" s="2" t="n">
        <v>361</v>
      </c>
      <c r="B362" s="2" t="inlineStr">
        <is>
          <t>PONS_USDT_PERP</t>
        </is>
      </c>
      <c r="C362" s="2" t="inlineStr">
        <is>
          <t>做空</t>
        </is>
      </c>
      <c r="D362" s="7" t="n">
        <v>46287.04166666666</v>
      </c>
      <c r="E362" s="20" t="n">
        <v>0.5881</v>
      </c>
      <c r="F362" s="20" t="n">
        <v>0.570457</v>
      </c>
      <c r="G362" s="20" t="n">
        <v>0.617505</v>
      </c>
      <c r="H362" s="7" t="n">
        <v>46287.66666666666</v>
      </c>
      <c r="I362" s="20" t="n">
        <v>0.617505</v>
      </c>
      <c r="J362" s="2" t="inlineStr">
        <is>
          <t>止損</t>
        </is>
      </c>
      <c r="K362" s="5">
        <f>(H362-D362)*24</f>
        <v/>
      </c>
      <c r="L362" s="4">
        <f>IF(C362="做多",I362/E362-1,1-I362/E362)-2*參數!$B$7</f>
        <v/>
      </c>
      <c r="M362" s="2" t="inlineStr"/>
      <c r="N362" s="4" t="n">
        <v>-0.05601926163723925</v>
      </c>
      <c r="O362" s="4" t="n">
        <v>0.03295821581205697</v>
      </c>
      <c r="P362" s="4" t="n">
        <v>-0.03148776390764474</v>
      </c>
      <c r="Q362" s="22" t="n">
        <v>-249765</v>
      </c>
      <c r="R362" s="22" t="n">
        <v>3253914.2628</v>
      </c>
      <c r="S362" s="4" t="n">
        <v>0.0180241455534772</v>
      </c>
      <c r="T362" s="4" t="n">
        <v>0.05</v>
      </c>
      <c r="U362" s="19" t="n">
        <v>1.641989696032749</v>
      </c>
      <c r="V362" s="19" t="n">
        <v>1</v>
      </c>
      <c r="W362" s="4" t="n">
        <v>0.07619469499187892</v>
      </c>
      <c r="X362" s="4" t="n">
        <v>-0.003241214602524467</v>
      </c>
      <c r="Y362" s="4" t="n">
        <v>-0.0003807749410498218</v>
      </c>
      <c r="Z362" s="4" t="n">
        <v>-0.03472835854295986</v>
      </c>
      <c r="AA362" s="4" t="n">
        <v>0.03</v>
      </c>
      <c r="AB362" s="4" t="n">
        <v>0.05</v>
      </c>
      <c r="AC362" s="4">
        <f>(AB362+2*參數!$B$7)/(AA362+AB362)</f>
        <v/>
      </c>
    </row>
    <row r="363">
      <c r="A363" s="2" t="n">
        <v>362</v>
      </c>
      <c r="B363" s="2" t="inlineStr">
        <is>
          <t>牛来_USDT_PERP</t>
        </is>
      </c>
      <c r="C363" s="2" t="inlineStr">
        <is>
          <t>做空</t>
        </is>
      </c>
      <c r="D363" s="7" t="n">
        <v>46287.04166666666</v>
      </c>
      <c r="E363" s="20" t="n">
        <v>0.10672</v>
      </c>
      <c r="F363" s="20" t="n">
        <v>0.1035184</v>
      </c>
      <c r="G363" s="20" t="n">
        <v>0.112056</v>
      </c>
      <c r="H363" s="7" t="n">
        <v>46287.08333333334</v>
      </c>
      <c r="I363" s="20" t="n">
        <v>0.1035184</v>
      </c>
      <c r="J363" s="2" t="inlineStr">
        <is>
          <t>止盈</t>
        </is>
      </c>
      <c r="K363" s="5">
        <f>(H363-D363)*24</f>
        <v/>
      </c>
      <c r="L363" s="4">
        <f>IF(C363="做多",I363/E363-1,1-I363/E363)-2*參數!$B$7</f>
        <v/>
      </c>
      <c r="M363" s="2" t="inlineStr"/>
      <c r="N363" s="4" t="n">
        <v>-0.04441260744985676</v>
      </c>
      <c r="O363" s="4" t="n">
        <v>0.04272645438793091</v>
      </c>
      <c r="P363" s="4" t="n">
        <v>-0.005382231645658209</v>
      </c>
      <c r="Q363" s="22" t="n">
        <v>-1298855</v>
      </c>
      <c r="R363" s="22" t="n">
        <v>1554786.1907</v>
      </c>
      <c r="S363" s="4" t="n">
        <v>0.03</v>
      </c>
      <c r="T363" s="4" t="n">
        <v>0</v>
      </c>
      <c r="U363" s="19" t="n">
        <v>0.6990115831913072</v>
      </c>
      <c r="V363" s="19" t="n">
        <v>0.8032564450474908</v>
      </c>
      <c r="W363" s="4" t="n">
        <v>0.02680925297214387</v>
      </c>
      <c r="X363" s="4" t="n">
        <v>-0.06687993601919429</v>
      </c>
      <c r="Y363" s="4" t="n">
        <v>-0.0003807749410498218</v>
      </c>
      <c r="Z363" s="4" t="n">
        <v>-0.03472835854295986</v>
      </c>
      <c r="AA363" s="4" t="n">
        <v>0.03</v>
      </c>
      <c r="AB363" s="4" t="n">
        <v>0.05</v>
      </c>
      <c r="AC363" s="4">
        <f>(AB363+2*參數!$B$7)/(AA363+AB363)</f>
        <v/>
      </c>
    </row>
    <row r="364">
      <c r="A364" s="2" t="n">
        <v>363</v>
      </c>
      <c r="B364" s="2" t="inlineStr">
        <is>
          <t>NIL_USDT_PERP</t>
        </is>
      </c>
      <c r="C364" s="2" t="inlineStr">
        <is>
          <t>做空</t>
        </is>
      </c>
      <c r="D364" s="7" t="n">
        <v>46287.08333333334</v>
      </c>
      <c r="E364" s="20" t="n">
        <v>0.06272</v>
      </c>
      <c r="F364" s="20" t="n">
        <v>0.06083839999999999</v>
      </c>
      <c r="G364" s="20" t="n">
        <v>0.065856</v>
      </c>
      <c r="H364" s="7" t="n">
        <v>46287.16666666666</v>
      </c>
      <c r="I364" s="20" t="n">
        <v>0.065856</v>
      </c>
      <c r="J364" s="2" t="inlineStr">
        <is>
          <t>止損</t>
        </is>
      </c>
      <c r="K364" s="5">
        <f>(H364-D364)*24</f>
        <v/>
      </c>
      <c r="L364" s="4">
        <f>IF(C364="做多",I364/E364-1,1-I364/E364)-2*參數!$B$7</f>
        <v/>
      </c>
      <c r="M364" s="2" t="inlineStr"/>
      <c r="N364" s="4" t="n">
        <v>-0.03492845053085103</v>
      </c>
      <c r="O364" s="4" t="n">
        <v>0.05465666103147829</v>
      </c>
      <c r="P364" s="4" t="n">
        <v>-0.03307613446284996</v>
      </c>
      <c r="Q364" s="22" t="n">
        <v>-4877091.999999993</v>
      </c>
      <c r="R364" s="22" t="n">
        <v>1417465.190666</v>
      </c>
      <c r="S364" s="4" t="n">
        <v>0.002551020408163129</v>
      </c>
      <c r="T364" s="4" t="n">
        <v>0.05</v>
      </c>
      <c r="U364" s="19" t="n">
        <v>0.712467636221309</v>
      </c>
      <c r="V364" s="19" t="n">
        <v>0.6417525773195889</v>
      </c>
      <c r="W364" s="4" t="n">
        <v>-0.2357281476884276</v>
      </c>
      <c r="X364" s="4" t="n">
        <v>-0.1087148665370337</v>
      </c>
      <c r="Y364" s="4" t="n">
        <v>0.0006518434365185843</v>
      </c>
      <c r="Z364" s="4" t="n">
        <v>-0.03097641359045045</v>
      </c>
      <c r="AA364" s="4" t="n">
        <v>0.03</v>
      </c>
      <c r="AB364" s="4" t="n">
        <v>0.05</v>
      </c>
      <c r="AC364" s="4">
        <f>(AB364+2*參數!$B$7)/(AA364+AB364)</f>
        <v/>
      </c>
    </row>
    <row r="365">
      <c r="A365" s="2" t="n">
        <v>364</v>
      </c>
      <c r="B365" s="2" t="inlineStr">
        <is>
          <t>SUI_USDT_PERP</t>
        </is>
      </c>
      <c r="C365" s="2" t="inlineStr">
        <is>
          <t>做多</t>
        </is>
      </c>
      <c r="D365" s="7" t="n">
        <v>46287.16666666666</v>
      </c>
      <c r="E365" s="20" t="n">
        <v>1.0362</v>
      </c>
      <c r="F365" s="20" t="n">
        <v>1.067286</v>
      </c>
      <c r="G365" s="20" t="n">
        <v>0.98439</v>
      </c>
      <c r="H365" s="7" t="n">
        <v>46287.375</v>
      </c>
      <c r="I365" s="20" t="n">
        <v>1.067286</v>
      </c>
      <c r="J365" s="2" t="inlineStr">
        <is>
          <t>止盈</t>
        </is>
      </c>
      <c r="K365" s="5">
        <f>(H365-D365)*24</f>
        <v/>
      </c>
      <c r="L365" s="4">
        <f>IF(C365="做多",I365/E365-1,1-I365/E365)-2*參數!$B$7</f>
        <v/>
      </c>
      <c r="M365" s="2" t="inlineStr"/>
      <c r="N365" s="4" t="n">
        <v>0.02340740740740754</v>
      </c>
      <c r="O365" s="4" t="n">
        <v>0.02741591452109523</v>
      </c>
      <c r="P365" s="4" t="n">
        <v>0.05154199774713075</v>
      </c>
      <c r="Q365" s="22" t="n">
        <v>4258526.500000002</v>
      </c>
      <c r="R365" s="22" t="n">
        <v>19490838.69494</v>
      </c>
      <c r="S365" s="4" t="n">
        <v>0.03</v>
      </c>
      <c r="T365" s="4" t="n">
        <v>0.0235475776877051</v>
      </c>
      <c r="U365" s="19" t="n">
        <v>0.7975622426801154</v>
      </c>
      <c r="V365" s="19" t="n">
        <v>0.9636963696369606</v>
      </c>
      <c r="W365" s="4" t="n">
        <v>0.2155266460989831</v>
      </c>
      <c r="X365" s="4" t="n">
        <v>0.1770987163466999</v>
      </c>
      <c r="Y365" s="4" t="n">
        <v>0.005051068687559113</v>
      </c>
      <c r="Z365" s="4" t="n">
        <v>0.03191182906213252</v>
      </c>
      <c r="AA365" s="4" t="n">
        <v>0.03</v>
      </c>
      <c r="AB365" s="4" t="n">
        <v>0.05</v>
      </c>
      <c r="AC365" s="4">
        <f>(AB365+2*參數!$B$7)/(AA365+AB365)</f>
        <v/>
      </c>
    </row>
    <row r="366">
      <c r="A366" s="2" t="n">
        <v>365</v>
      </c>
      <c r="B366" s="2" t="inlineStr">
        <is>
          <t>ZAMA_USDT_PERP</t>
        </is>
      </c>
      <c r="C366" s="2" t="inlineStr">
        <is>
          <t>做空</t>
        </is>
      </c>
      <c r="D366" s="7" t="n">
        <v>46287.16666666666</v>
      </c>
      <c r="E366" s="20" t="n">
        <v>0.09168</v>
      </c>
      <c r="F366" s="20" t="n">
        <v>0.0889296</v>
      </c>
      <c r="G366" s="20" t="n">
        <v>0.096264</v>
      </c>
      <c r="H366" s="7" t="n">
        <v>46287.33333333334</v>
      </c>
      <c r="I366" s="20" t="n">
        <v>0.096264</v>
      </c>
      <c r="J366" s="2" t="inlineStr">
        <is>
          <t>止損</t>
        </is>
      </c>
      <c r="K366" s="5">
        <f>(H366-D366)*24</f>
        <v/>
      </c>
      <c r="L366" s="4">
        <f>IF(C366="做多",I366/E366-1,1-I366/E366)-2*參數!$B$7</f>
        <v/>
      </c>
      <c r="M366" s="2" t="inlineStr"/>
      <c r="N366" s="4" t="n">
        <v>-0.05338151781104805</v>
      </c>
      <c r="O366" s="4" t="n">
        <v>0.05919869197099165</v>
      </c>
      <c r="P366" s="4" t="n">
        <v>-0.03683314773180935</v>
      </c>
      <c r="Q366" s="22" t="n">
        <v>-1876717</v>
      </c>
      <c r="R366" s="22" t="n">
        <v>2507592.54838</v>
      </c>
      <c r="S366" s="4" t="n">
        <v>0.02737783595113441</v>
      </c>
      <c r="T366" s="4" t="n">
        <v>0.05</v>
      </c>
      <c r="U366" s="19" t="n">
        <v>0.6899219716200672</v>
      </c>
      <c r="V366" s="19" t="n">
        <v>0.8655063291139236</v>
      </c>
      <c r="W366" s="4" t="n">
        <v>-0.2235713656540528</v>
      </c>
      <c r="X366" s="4" t="n">
        <v>-0.03417935702199659</v>
      </c>
      <c r="Y366" s="4" t="n">
        <v>-0.005051068687559113</v>
      </c>
      <c r="Z366" s="4" t="n">
        <v>-0.03191182906213252</v>
      </c>
      <c r="AA366" s="4" t="n">
        <v>0.03</v>
      </c>
      <c r="AB366" s="4" t="n">
        <v>0.05</v>
      </c>
      <c r="AC366" s="4">
        <f>(AB366+2*參數!$B$7)/(AA366+AB366)</f>
        <v/>
      </c>
    </row>
    <row r="367">
      <c r="A367" s="2" t="n">
        <v>366</v>
      </c>
      <c r="B367" s="2" t="inlineStr">
        <is>
          <t>ARB_USDT_PERP</t>
        </is>
      </c>
      <c r="C367" s="2" t="inlineStr">
        <is>
          <t>做空</t>
        </is>
      </c>
      <c r="D367" s="7" t="n">
        <v>46287.20833333334</v>
      </c>
      <c r="E367" s="20" t="n">
        <v>0.2221</v>
      </c>
      <c r="F367" s="20" t="n">
        <v>0.215437</v>
      </c>
      <c r="G367" s="20" t="n">
        <v>0.233205</v>
      </c>
      <c r="H367" s="7" t="n">
        <v>46287.79166666666</v>
      </c>
      <c r="I367" s="20" t="n">
        <v>0.215437</v>
      </c>
      <c r="J367" s="2" t="inlineStr">
        <is>
          <t>止盈</t>
        </is>
      </c>
      <c r="K367" s="5">
        <f>(H367-D367)*24</f>
        <v/>
      </c>
      <c r="L367" s="4">
        <f>IF(C367="做多",I367/E367-1,1-I367/E367)-2*參數!$B$7</f>
        <v/>
      </c>
      <c r="M367" s="2" t="inlineStr"/>
      <c r="N367" s="4" t="n">
        <v>-0.02502194907813882</v>
      </c>
      <c r="O367" s="4" t="n">
        <v>0.03288604543108994</v>
      </c>
      <c r="P367" s="4" t="n">
        <v>-0.008924587237840398</v>
      </c>
      <c r="Q367" s="22" t="n">
        <v>-4450142.200000002</v>
      </c>
      <c r="R367" s="22" t="n">
        <v>4543852.456110001</v>
      </c>
      <c r="S367" s="4" t="n">
        <v>0.03</v>
      </c>
      <c r="T367" s="4" t="n">
        <v>0.03601981089599282</v>
      </c>
      <c r="U367" s="19" t="n">
        <v>1.066578519240596</v>
      </c>
      <c r="V367" s="19" t="n">
        <v>0.8656716417910468</v>
      </c>
      <c r="W367" s="4" t="n">
        <v>-0.04965665215768023</v>
      </c>
      <c r="X367" s="4" t="n">
        <v>-0.04419370004701451</v>
      </c>
      <c r="Y367" s="4" t="n">
        <v>-0.005922094385692578</v>
      </c>
      <c r="Z367" s="4" t="n">
        <v>-0.0346956202835933</v>
      </c>
      <c r="AA367" s="4" t="n">
        <v>0.03</v>
      </c>
      <c r="AB367" s="4" t="n">
        <v>0.05</v>
      </c>
      <c r="AC367" s="4">
        <f>(AB367+2*參數!$B$7)/(AA367+AB367)</f>
        <v/>
      </c>
    </row>
    <row r="368">
      <c r="A368" s="2" t="n">
        <v>367</v>
      </c>
      <c r="B368" s="2" t="inlineStr">
        <is>
          <t>NEAR_USDT_PERP</t>
        </is>
      </c>
      <c r="C368" s="2" t="inlineStr">
        <is>
          <t>做空</t>
        </is>
      </c>
      <c r="D368" s="7" t="n">
        <v>46287.20833333334</v>
      </c>
      <c r="E368" s="20" t="n">
        <v>4.073</v>
      </c>
      <c r="F368" s="20" t="n">
        <v>3.95081</v>
      </c>
      <c r="G368" s="20" t="n">
        <v>4.276650000000001</v>
      </c>
      <c r="H368" s="7" t="n">
        <v>46287.29166666666</v>
      </c>
      <c r="I368" s="20" t="n">
        <v>4.276650000000001</v>
      </c>
      <c r="J368" s="2" t="inlineStr">
        <is>
          <t>止損</t>
        </is>
      </c>
      <c r="K368" s="5">
        <f>(H368-D368)*24</f>
        <v/>
      </c>
      <c r="L368" s="4">
        <f>IF(C368="做多",I368/E368-1,1-I368/E368)-2*參數!$B$7</f>
        <v/>
      </c>
      <c r="M368" s="2" t="inlineStr"/>
      <c r="N368" s="4" t="n">
        <v>-0.02091346153846152</v>
      </c>
      <c r="O368" s="4" t="n">
        <v>0.03149065056335883</v>
      </c>
      <c r="P368" s="4" t="n">
        <v>-0.02738973660959476</v>
      </c>
      <c r="Q368" s="22" t="n">
        <v>-939130</v>
      </c>
      <c r="R368" s="22" t="n">
        <v>20743561.938</v>
      </c>
      <c r="S368" s="4" t="n">
        <v>0.001473115639577749</v>
      </c>
      <c r="T368" s="4" t="n">
        <v>0.05</v>
      </c>
      <c r="U368" s="19" t="n">
        <v>2.312375663256627</v>
      </c>
      <c r="V368" s="19" t="n">
        <v>0.6312056737588618</v>
      </c>
      <c r="W368" s="4" t="n">
        <v>-0.09188392198914297</v>
      </c>
      <c r="X368" s="4" t="n">
        <v>0.02255819534437231</v>
      </c>
      <c r="Y368" s="4" t="n">
        <v>-0.005922094385692578</v>
      </c>
      <c r="Z368" s="4" t="n">
        <v>-0.0346956202835933</v>
      </c>
      <c r="AA368" s="4" t="n">
        <v>0.03</v>
      </c>
      <c r="AB368" s="4" t="n">
        <v>0.05</v>
      </c>
      <c r="AC368" s="4">
        <f>(AB368+2*參數!$B$7)/(AA368+AB368)</f>
        <v/>
      </c>
    </row>
    <row r="369">
      <c r="A369" s="2" t="n">
        <v>368</v>
      </c>
      <c r="B369" s="2" t="inlineStr">
        <is>
          <t>WLD_USDT_PERP</t>
        </is>
      </c>
      <c r="C369" s="2" t="inlineStr">
        <is>
          <t>做多</t>
        </is>
      </c>
      <c r="D369" s="7" t="n">
        <v>46287.20833333334</v>
      </c>
      <c r="E369" s="20" t="n">
        <v>0.4636</v>
      </c>
      <c r="F369" s="20" t="n">
        <v>0.477508</v>
      </c>
      <c r="G369" s="20" t="n">
        <v>0.44042</v>
      </c>
      <c r="H369" s="7" t="n">
        <v>46288.375</v>
      </c>
      <c r="I369" s="20" t="n">
        <v>0.477508</v>
      </c>
      <c r="J369" s="2" t="inlineStr">
        <is>
          <t>止盈</t>
        </is>
      </c>
      <c r="K369" s="5">
        <f>(H369-D369)*24</f>
        <v/>
      </c>
      <c r="L369" s="4">
        <f>IF(C369="做多",I369/E369-1,1-I369/E369)-2*參數!$B$7</f>
        <v/>
      </c>
      <c r="M369" s="2" t="inlineStr"/>
      <c r="N369" s="4" t="n">
        <v>0.05555555555555558</v>
      </c>
      <c r="O369" s="4" t="n">
        <v>0.0227403084554762</v>
      </c>
      <c r="P369" s="4" t="n">
        <v>0.04432054964239462</v>
      </c>
      <c r="Q369" s="22" t="n">
        <v>136211</v>
      </c>
      <c r="R369" s="22" t="n">
        <v>1329302.4681</v>
      </c>
      <c r="S369" s="4" t="n">
        <v>0.03</v>
      </c>
      <c r="T369" s="4" t="n">
        <v>0.04874892148403798</v>
      </c>
      <c r="U369" s="19" t="n">
        <v>4.103757976426004</v>
      </c>
      <c r="V369" s="19" t="n">
        <v>0.8880866425992783</v>
      </c>
      <c r="W369" s="4" t="n">
        <v>0.08527966552036537</v>
      </c>
      <c r="X369" s="4" t="n">
        <v>0.05748175182481741</v>
      </c>
      <c r="Y369" s="4" t="n">
        <v>0.005922094385692578</v>
      </c>
      <c r="Z369" s="4" t="n">
        <v>0.0346956202835933</v>
      </c>
      <c r="AA369" s="4" t="n">
        <v>0.03</v>
      </c>
      <c r="AB369" s="4" t="n">
        <v>0.05</v>
      </c>
      <c r="AC369" s="4">
        <f>(AB369+2*參數!$B$7)/(AA369+AB369)</f>
        <v/>
      </c>
    </row>
    <row r="370">
      <c r="A370" s="2" t="n">
        <v>369</v>
      </c>
      <c r="B370" s="2" t="inlineStr">
        <is>
          <t>BTW_USDT_PERP</t>
        </is>
      </c>
      <c r="C370" s="2" t="inlineStr">
        <is>
          <t>做多</t>
        </is>
      </c>
      <c r="D370" s="7" t="n">
        <v>46287.25</v>
      </c>
      <c r="E370" s="20" t="n">
        <v>0.873247</v>
      </c>
      <c r="F370" s="20" t="n">
        <v>0.89944441</v>
      </c>
      <c r="G370" s="20" t="n">
        <v>0.8295846499999999</v>
      </c>
      <c r="H370" s="7" t="n">
        <v>46287.29166666666</v>
      </c>
      <c r="I370" s="20" t="n">
        <v>0.8295846499999999</v>
      </c>
      <c r="J370" s="2" t="inlineStr">
        <is>
          <t>止損</t>
        </is>
      </c>
      <c r="K370" s="5">
        <f>(H370-D370)*24</f>
        <v/>
      </c>
      <c r="L370" s="4">
        <f>IF(C370="做多",I370/E370-1,1-I370/E370)-2*參數!$B$7</f>
        <v/>
      </c>
      <c r="M370" s="2" t="inlineStr"/>
      <c r="N370" s="4" t="n">
        <v>0.04367868569536792</v>
      </c>
      <c r="O370" s="4" t="n">
        <v>0.07077276412537001</v>
      </c>
      <c r="P370" s="4" t="n">
        <v>0.03219355684424419</v>
      </c>
      <c r="Q370" s="22" t="n">
        <v>485310</v>
      </c>
      <c r="R370" s="22" t="n">
        <v>1339641.419603</v>
      </c>
      <c r="S370" s="4" t="n">
        <v>0</v>
      </c>
      <c r="T370" s="4" t="n">
        <v>0.05</v>
      </c>
      <c r="U370" s="19" t="n">
        <v>1.184475538267371</v>
      </c>
      <c r="V370" s="19" t="n">
        <v>0.5353871865070204</v>
      </c>
      <c r="W370" s="4" t="n">
        <v>0.2568842626625243</v>
      </c>
      <c r="X370" s="4" t="n">
        <v>0.1472701904481628</v>
      </c>
      <c r="Y370" s="4" t="n">
        <v>-0.004873062359790126</v>
      </c>
      <c r="Z370" s="4" t="n">
        <v>0.02624709528852898</v>
      </c>
      <c r="AA370" s="4" t="n">
        <v>0.03</v>
      </c>
      <c r="AB370" s="4" t="n">
        <v>0.05</v>
      </c>
      <c r="AC370" s="4">
        <f>(AB370+2*參數!$B$7)/(AA370+AB370)</f>
        <v/>
      </c>
    </row>
    <row r="371">
      <c r="A371" s="2" t="n">
        <v>370</v>
      </c>
      <c r="B371" s="2" t="inlineStr">
        <is>
          <t>FET_USDT_PERP</t>
        </is>
      </c>
      <c r="C371" s="2" t="inlineStr">
        <is>
          <t>做多</t>
        </is>
      </c>
      <c r="D371" s="7" t="n">
        <v>46287.29166666666</v>
      </c>
      <c r="E371" s="20" t="n">
        <v>0.2047</v>
      </c>
      <c r="F371" s="20" t="n">
        <v>0.210841</v>
      </c>
      <c r="G371" s="20" t="n">
        <v>0.194465</v>
      </c>
      <c r="H371" s="7" t="n">
        <v>46287.70833333334</v>
      </c>
      <c r="I371" s="20" t="n">
        <v>0.210841</v>
      </c>
      <c r="J371" s="2" t="inlineStr">
        <is>
          <t>止盈</t>
        </is>
      </c>
      <c r="K371" s="5">
        <f>(H371-D371)*24</f>
        <v/>
      </c>
      <c r="L371" s="4">
        <f>IF(C371="做多",I371/E371-1,1-I371/E371)-2*參數!$B$7</f>
        <v/>
      </c>
      <c r="M371" s="2" t="inlineStr"/>
      <c r="N371" s="4" t="n">
        <v>0.02298850574712641</v>
      </c>
      <c r="O371" s="4" t="n">
        <v>0.02530770452140044</v>
      </c>
      <c r="P371" s="4" t="n">
        <v>0.04979742550900035</v>
      </c>
      <c r="Q371" s="22" t="n">
        <v>1988063</v>
      </c>
      <c r="R371" s="22" t="n">
        <v>1359088.6019</v>
      </c>
      <c r="S371" s="4" t="n">
        <v>0.03</v>
      </c>
      <c r="T371" s="4" t="n">
        <v>0.03810454323400103</v>
      </c>
      <c r="U371" s="19" t="n">
        <v>0.463675185018346</v>
      </c>
      <c r="V371" s="19" t="n">
        <v>1</v>
      </c>
      <c r="W371" s="4" t="n">
        <v>0.1275565568487904</v>
      </c>
      <c r="X371" s="4" t="n">
        <v>0.16837899543379</v>
      </c>
      <c r="Y371" s="4" t="n">
        <v>-0.001444350336995859</v>
      </c>
      <c r="Z371" s="4" t="n">
        <v>0.02165180781467746</v>
      </c>
      <c r="AA371" s="4" t="n">
        <v>0.03</v>
      </c>
      <c r="AB371" s="4" t="n">
        <v>0.05</v>
      </c>
      <c r="AC371" s="4">
        <f>(AB371+2*參數!$B$7)/(AA371+AB371)</f>
        <v/>
      </c>
    </row>
    <row r="372">
      <c r="A372" s="2" t="n">
        <v>371</v>
      </c>
      <c r="B372" s="2" t="inlineStr">
        <is>
          <t>INJ_USDT_PERP</t>
        </is>
      </c>
      <c r="C372" s="2" t="inlineStr">
        <is>
          <t>做多</t>
        </is>
      </c>
      <c r="D372" s="7" t="n">
        <v>46287.29166666666</v>
      </c>
      <c r="E372" s="20" t="n">
        <v>7.909</v>
      </c>
      <c r="F372" s="20" t="n">
        <v>8.146269999999999</v>
      </c>
      <c r="G372" s="20" t="n">
        <v>7.51355</v>
      </c>
      <c r="H372" s="7" t="n">
        <v>46287.5</v>
      </c>
      <c r="I372" s="20" t="n">
        <v>7.51355</v>
      </c>
      <c r="J372" s="2" t="inlineStr">
        <is>
          <t>止損</t>
        </is>
      </c>
      <c r="K372" s="5">
        <f>(H372-D372)*24</f>
        <v/>
      </c>
      <c r="L372" s="4">
        <f>IF(C372="做多",I372/E372-1,1-I372/E372)-2*參數!$B$7</f>
        <v/>
      </c>
      <c r="M372" s="2" t="inlineStr"/>
      <c r="N372" s="4" t="n">
        <v>0.0203844665204489</v>
      </c>
      <c r="O372" s="4" t="n">
        <v>0.02113909501071897</v>
      </c>
      <c r="P372" s="4" t="n">
        <v>0.01372742537074312</v>
      </c>
      <c r="Q372" s="22" t="n">
        <v>21564.60000000001</v>
      </c>
      <c r="R372" s="22" t="n">
        <v>2962068.1704</v>
      </c>
      <c r="S372" s="4" t="n">
        <v>0.01100012643823489</v>
      </c>
      <c r="T372" s="4" t="n">
        <v>0.05</v>
      </c>
      <c r="U372" s="19" t="n">
        <v>0.8409540073790945</v>
      </c>
      <c r="V372" s="19" t="n">
        <v>0.9813664596273285</v>
      </c>
      <c r="W372" s="4" t="n">
        <v>0.08904442513628541</v>
      </c>
      <c r="X372" s="4" t="n">
        <v>0.01319497822188054</v>
      </c>
      <c r="Y372" s="4" t="n">
        <v>-0.001444350336995859</v>
      </c>
      <c r="Z372" s="4" t="n">
        <v>0.02165180781467746</v>
      </c>
      <c r="AA372" s="4" t="n">
        <v>0.03</v>
      </c>
      <c r="AB372" s="4" t="n">
        <v>0.05</v>
      </c>
      <c r="AC372" s="4">
        <f>(AB372+2*參數!$B$7)/(AA372+AB372)</f>
        <v/>
      </c>
    </row>
    <row r="373">
      <c r="A373" s="2" t="n">
        <v>372</v>
      </c>
      <c r="B373" s="2" t="inlineStr">
        <is>
          <t>UNI_USDT_PERP</t>
        </is>
      </c>
      <c r="C373" s="2" t="inlineStr">
        <is>
          <t>做多</t>
        </is>
      </c>
      <c r="D373" s="7" t="n">
        <v>46287.29166666666</v>
      </c>
      <c r="E373" s="20" t="n">
        <v>8.986000000000001</v>
      </c>
      <c r="F373" s="20" t="n">
        <v>9.25558</v>
      </c>
      <c r="G373" s="20" t="n">
        <v>8.5367</v>
      </c>
      <c r="H373" s="7" t="n">
        <v>46287.375</v>
      </c>
      <c r="I373" s="20" t="n">
        <v>9.25558</v>
      </c>
      <c r="J373" s="2" t="inlineStr">
        <is>
          <t>止盈</t>
        </is>
      </c>
      <c r="K373" s="5">
        <f>(H373-D373)*24</f>
        <v/>
      </c>
      <c r="L373" s="4">
        <f>IF(C373="做多",I373/E373-1,1-I373/E373)-2*參數!$B$7</f>
        <v/>
      </c>
      <c r="M373" s="2" t="inlineStr"/>
      <c r="N373" s="4" t="n">
        <v>0.02404558404558399</v>
      </c>
      <c r="O373" s="4" t="n">
        <v>0.02201492730196068</v>
      </c>
      <c r="P373" s="4" t="n">
        <v>0.01781112841568722</v>
      </c>
      <c r="Q373" s="22" t="n">
        <v>118017</v>
      </c>
      <c r="R373" s="22" t="n">
        <v>11486925.886</v>
      </c>
      <c r="S373" s="4" t="n">
        <v>0.03</v>
      </c>
      <c r="T373" s="4" t="n">
        <v>0.004896505675495266</v>
      </c>
      <c r="U373" s="19" t="n">
        <v>0.6772175127970085</v>
      </c>
      <c r="V373" s="19" t="n">
        <v>0.987234042553191</v>
      </c>
      <c r="W373" s="4" t="n">
        <v>0.02892108704264773</v>
      </c>
      <c r="X373" s="4" t="n">
        <v>0.02626770214709917</v>
      </c>
      <c r="Y373" s="4" t="n">
        <v>-0.001444350336995859</v>
      </c>
      <c r="Z373" s="4" t="n">
        <v>0.02165180781467746</v>
      </c>
      <c r="AA373" s="4" t="n">
        <v>0.03</v>
      </c>
      <c r="AB373" s="4" t="n">
        <v>0.05</v>
      </c>
      <c r="AC373" s="4">
        <f>(AB373+2*參數!$B$7)/(AA373+AB373)</f>
        <v/>
      </c>
    </row>
    <row r="374">
      <c r="A374" s="2" t="n">
        <v>373</v>
      </c>
      <c r="B374" s="2" t="inlineStr">
        <is>
          <t>PHA_USDT_PERP</t>
        </is>
      </c>
      <c r="C374" s="2" t="inlineStr">
        <is>
          <t>做多</t>
        </is>
      </c>
      <c r="D374" s="7" t="n">
        <v>46287.375</v>
      </c>
      <c r="E374" s="20" t="n">
        <v>0.05167</v>
      </c>
      <c r="F374" s="20" t="n">
        <v>0.0532201</v>
      </c>
      <c r="G374" s="20" t="n">
        <v>0.0490865</v>
      </c>
      <c r="H374" s="7" t="n">
        <v>46287.45833333334</v>
      </c>
      <c r="I374" s="20" t="n">
        <v>0.0532201</v>
      </c>
      <c r="J374" s="2" t="inlineStr">
        <is>
          <t>止盈</t>
        </is>
      </c>
      <c r="K374" s="5">
        <f>(H374-D374)*24</f>
        <v/>
      </c>
      <c r="L374" s="4">
        <f>IF(C374="做多",I374/E374-1,1-I374/E374)-2*參數!$B$7</f>
        <v/>
      </c>
      <c r="M374" s="2" t="inlineStr"/>
      <c r="N374" s="4" t="n">
        <v>0.04131398629584848</v>
      </c>
      <c r="O374" s="4" t="n">
        <v>0.06187834528910463</v>
      </c>
      <c r="P374" s="4" t="n">
        <v>0.01551675003193775</v>
      </c>
      <c r="Q374" s="22" t="n">
        <v>838756</v>
      </c>
      <c r="R374" s="22" t="n">
        <v>2538255.94101</v>
      </c>
      <c r="S374" s="4" t="n">
        <v>0.03</v>
      </c>
      <c r="T374" s="4" t="n">
        <v>0.0493516547319528</v>
      </c>
      <c r="U374" s="19" t="n">
        <v>0.7620828070956549</v>
      </c>
      <c r="V374" s="19" t="n">
        <v>0.6810631229235878</v>
      </c>
      <c r="W374" s="4" t="n">
        <v>0.3832299101047796</v>
      </c>
      <c r="X374" s="4" t="n">
        <v>0.3644045418537101</v>
      </c>
      <c r="Y374" s="4" t="n">
        <v>-0.008256062685091492</v>
      </c>
      <c r="Z374" s="4" t="n">
        <v>0.009319074612958111</v>
      </c>
      <c r="AA374" s="4" t="n">
        <v>0.03</v>
      </c>
      <c r="AB374" s="4" t="n">
        <v>0.05</v>
      </c>
      <c r="AC374" s="4">
        <f>(AB374+2*參數!$B$7)/(AA374+AB374)</f>
        <v/>
      </c>
    </row>
    <row r="375">
      <c r="A375" s="2" t="n">
        <v>374</v>
      </c>
      <c r="B375" s="2" t="inlineStr">
        <is>
          <t>USELESS_USDT_PERP</t>
        </is>
      </c>
      <c r="C375" s="2" t="inlineStr">
        <is>
          <t>做多</t>
        </is>
      </c>
      <c r="D375" s="7" t="n">
        <v>46287.375</v>
      </c>
      <c r="E375" s="20" t="n">
        <v>0.28673</v>
      </c>
      <c r="F375" s="20" t="n">
        <v>0.2953319</v>
      </c>
      <c r="G375" s="20" t="n">
        <v>0.2723935</v>
      </c>
      <c r="H375" s="7" t="n">
        <v>46287.45833333334</v>
      </c>
      <c r="I375" s="20" t="n">
        <v>0.2723935</v>
      </c>
      <c r="J375" s="2" t="inlineStr">
        <is>
          <t>止損</t>
        </is>
      </c>
      <c r="K375" s="5">
        <f>(H375-D375)*24</f>
        <v/>
      </c>
      <c r="L375" s="4">
        <f>IF(C375="做多",I375/E375-1,1-I375/E375)-2*參數!$B$7</f>
        <v/>
      </c>
      <c r="M375" s="2" t="inlineStr"/>
      <c r="N375" s="4" t="n">
        <v>0.0229397074562967</v>
      </c>
      <c r="O375" s="4" t="n">
        <v>0.0471918127858418</v>
      </c>
      <c r="P375" s="4" t="n">
        <v>0.03620745109518575</v>
      </c>
      <c r="Q375" s="22" t="n">
        <v>1965080</v>
      </c>
      <c r="R375" s="22" t="n">
        <v>3675413.45788</v>
      </c>
      <c r="S375" s="4" t="n">
        <v>0.00226694102465741</v>
      </c>
      <c r="T375" s="4" t="n">
        <v>0.05</v>
      </c>
      <c r="U375" s="19" t="n">
        <v>0.523931245481619</v>
      </c>
      <c r="V375" s="19" t="n">
        <v>0.5488817891373794</v>
      </c>
      <c r="W375" s="4" t="n">
        <v>0.07867118003384266</v>
      </c>
      <c r="X375" s="4" t="n">
        <v>0.1704220752714507</v>
      </c>
      <c r="Y375" s="4" t="n">
        <v>-0.008256062685091492</v>
      </c>
      <c r="Z375" s="4" t="n">
        <v>0.009319074612958111</v>
      </c>
      <c r="AA375" s="4" t="n">
        <v>0.03</v>
      </c>
      <c r="AB375" s="4" t="n">
        <v>0.05</v>
      </c>
      <c r="AC375" s="4">
        <f>(AB375+2*參數!$B$7)/(AA375+AB375)</f>
        <v/>
      </c>
    </row>
    <row r="376">
      <c r="A376" s="2" t="n">
        <v>375</v>
      </c>
      <c r="B376" s="2" t="inlineStr">
        <is>
          <t>牛来_USDT_PERP</t>
        </is>
      </c>
      <c r="C376" s="2" t="inlineStr">
        <is>
          <t>做空</t>
        </is>
      </c>
      <c r="D376" s="7" t="n">
        <v>46287.41666666666</v>
      </c>
      <c r="E376" s="20" t="n">
        <v>0.10653</v>
      </c>
      <c r="F376" s="20" t="n">
        <v>0.1033341</v>
      </c>
      <c r="G376" s="20" t="n">
        <v>0.1118565</v>
      </c>
      <c r="H376" s="7" t="n">
        <v>46287.45833333334</v>
      </c>
      <c r="I376" s="20" t="n">
        <v>0.1033341</v>
      </c>
      <c r="J376" s="2" t="inlineStr">
        <is>
          <t>止盈</t>
        </is>
      </c>
      <c r="K376" s="5">
        <f>(H376-D376)*24</f>
        <v/>
      </c>
      <c r="L376" s="4">
        <f>IF(C376="做多",I376/E376-1,1-I376/E376)-2*參數!$B$7</f>
        <v/>
      </c>
      <c r="M376" s="2" t="inlineStr"/>
      <c r="N376" s="4" t="n">
        <v>-0.02032370792716576</v>
      </c>
      <c r="O376" s="4" t="n">
        <v>0.03533964284544862</v>
      </c>
      <c r="P376" s="4" t="n">
        <v>-0.02216714856120061</v>
      </c>
      <c r="Q376" s="22" t="n">
        <v>-2913343</v>
      </c>
      <c r="R376" s="22" t="n">
        <v>1439526.21043</v>
      </c>
      <c r="S376" s="4" t="n">
        <v>0.03</v>
      </c>
      <c r="T376" s="4" t="n">
        <v>0</v>
      </c>
      <c r="U376" s="19" t="n">
        <v>0.7079722623216933</v>
      </c>
      <c r="V376" s="19" t="n">
        <v>0.6705202312138727</v>
      </c>
      <c r="W376" s="4" t="n">
        <v>0.02742971392574944</v>
      </c>
      <c r="X376" s="4" t="n">
        <v>-0.02600404507367804</v>
      </c>
      <c r="Y376" s="4" t="n">
        <v>0.00321089164259758</v>
      </c>
      <c r="Z376" s="4" t="n">
        <v>-0.003678350759188431</v>
      </c>
      <c r="AA376" s="4" t="n">
        <v>0.03</v>
      </c>
      <c r="AB376" s="4" t="n">
        <v>0.05</v>
      </c>
      <c r="AC376" s="4">
        <f>(AB376+2*參數!$B$7)/(AA376+AB376)</f>
        <v/>
      </c>
    </row>
    <row r="377">
      <c r="A377" s="2" t="n">
        <v>376</v>
      </c>
      <c r="B377" s="2" t="inlineStr">
        <is>
          <t>DOGE_USDT_PERP</t>
        </is>
      </c>
      <c r="C377" s="2" t="inlineStr">
        <is>
          <t>做多</t>
        </is>
      </c>
      <c r="D377" s="7" t="n">
        <v>46287.5</v>
      </c>
      <c r="E377" s="20" t="n">
        <v>0.10204</v>
      </c>
      <c r="F377" s="20" t="n">
        <v>0.1051012</v>
      </c>
      <c r="G377" s="20" t="n">
        <v>0.096938</v>
      </c>
      <c r="H377" s="7" t="n">
        <v>46287.54166666666</v>
      </c>
      <c r="I377" s="20" t="n">
        <v>0.1051012</v>
      </c>
      <c r="J377" s="2" t="inlineStr">
        <is>
          <t>止盈</t>
        </is>
      </c>
      <c r="K377" s="5">
        <f>(H377-D377)*24</f>
        <v/>
      </c>
      <c r="L377" s="4">
        <f>IF(C377="做多",I377/E377-1,1-I377/E377)-2*參數!$B$7</f>
        <v/>
      </c>
      <c r="M377" s="2" t="inlineStr"/>
      <c r="N377" s="4" t="n">
        <v>0.03133212047705691</v>
      </c>
      <c r="O377" s="4" t="n">
        <v>0.02182100598079026</v>
      </c>
      <c r="P377" s="4" t="n">
        <v>0.05118933564092254</v>
      </c>
      <c r="Q377" s="22" t="n">
        <v>39393900</v>
      </c>
      <c r="R377" s="22" t="n">
        <v>11700447.98905</v>
      </c>
      <c r="S377" s="4" t="n">
        <v>0.03</v>
      </c>
      <c r="T377" s="4" t="n">
        <v>0</v>
      </c>
      <c r="U377" s="19" t="n">
        <v>1.33752346813162</v>
      </c>
      <c r="V377" s="19" t="n">
        <v>0.9388297872340441</v>
      </c>
      <c r="W377" s="4" t="n">
        <v>0.1474567370351669</v>
      </c>
      <c r="X377" s="4" t="n">
        <v>0.1536461277557943</v>
      </c>
      <c r="Y377" s="4" t="n">
        <v>-0.0003151128103860978</v>
      </c>
      <c r="Z377" s="4" t="n">
        <v>-0.0002323857496062676</v>
      </c>
      <c r="AA377" s="4" t="n">
        <v>0.03</v>
      </c>
      <c r="AB377" s="4" t="n">
        <v>0.05</v>
      </c>
      <c r="AC377" s="4">
        <f>(AB377+2*參數!$B$7)/(AA377+AB377)</f>
        <v/>
      </c>
    </row>
    <row r="378">
      <c r="A378" s="2" t="n">
        <v>377</v>
      </c>
      <c r="B378" s="2" t="inlineStr">
        <is>
          <t>PENGU_USDT_PERP</t>
        </is>
      </c>
      <c r="C378" s="2" t="inlineStr">
        <is>
          <t>做多</t>
        </is>
      </c>
      <c r="D378" s="7" t="n">
        <v>46287.5</v>
      </c>
      <c r="E378" s="20" t="n">
        <v>0.008932000000000001</v>
      </c>
      <c r="F378" s="20" t="n">
        <v>0.009199960000000002</v>
      </c>
      <c r="G378" s="20" t="n">
        <v>0.008485400000000001</v>
      </c>
      <c r="H378" s="7" t="n">
        <v>46287.66666666666</v>
      </c>
      <c r="I378" s="20" t="n">
        <v>0.009199960000000002</v>
      </c>
      <c r="J378" s="2" t="inlineStr">
        <is>
          <t>止盈</t>
        </is>
      </c>
      <c r="K378" s="5">
        <f>(H378-D378)*24</f>
        <v/>
      </c>
      <c r="L378" s="4">
        <f>IF(C378="做多",I378/E378-1,1-I378/E378)-2*參數!$B$7</f>
        <v/>
      </c>
      <c r="M378" s="2" t="inlineStr"/>
      <c r="N378" s="4" t="n">
        <v>0.02243589743589736</v>
      </c>
      <c r="O378" s="4" t="n">
        <v>0.02417911045122258</v>
      </c>
      <c r="P378" s="4" t="n">
        <v>0.036158834379314</v>
      </c>
      <c r="Q378" s="22" t="n">
        <v>14651423</v>
      </c>
      <c r="R378" s="22" t="n">
        <v>1407445.062984</v>
      </c>
      <c r="S378" s="4" t="n">
        <v>0.03</v>
      </c>
      <c r="T378" s="4" t="n">
        <v>0.02362292879534267</v>
      </c>
      <c r="U378" s="19" t="n">
        <v>1.071231659569092</v>
      </c>
      <c r="V378" s="19" t="n">
        <v>0.9115646258503405</v>
      </c>
      <c r="W378" s="4" t="n">
        <v>0.120643579635703</v>
      </c>
      <c r="X378" s="4" t="n">
        <v>0.1046252782587189</v>
      </c>
      <c r="Y378" s="4" t="n">
        <v>-0.0003151128103860978</v>
      </c>
      <c r="Z378" s="4" t="n">
        <v>-0.0002323857496062676</v>
      </c>
      <c r="AA378" s="4" t="n">
        <v>0.03</v>
      </c>
      <c r="AB378" s="4" t="n">
        <v>0.05</v>
      </c>
      <c r="AC378" s="4">
        <f>(AB378+2*參數!$B$7)/(AA378+AB378)</f>
        <v/>
      </c>
    </row>
    <row r="379">
      <c r="A379" s="2" t="n">
        <v>378</v>
      </c>
      <c r="B379" s="2" t="inlineStr">
        <is>
          <t>PHA_USDT_PERP</t>
        </is>
      </c>
      <c r="C379" s="2" t="inlineStr">
        <is>
          <t>做多</t>
        </is>
      </c>
      <c r="D379" s="7" t="n">
        <v>46287.5</v>
      </c>
      <c r="E379" s="20" t="n">
        <v>0.05505</v>
      </c>
      <c r="F379" s="20" t="n">
        <v>0.0567015</v>
      </c>
      <c r="G379" s="20" t="n">
        <v>0.0522975</v>
      </c>
      <c r="H379" s="7" t="n">
        <v>46287.54166666666</v>
      </c>
      <c r="I379" s="20" t="n">
        <v>0.0522975</v>
      </c>
      <c r="J379" s="2" t="inlineStr">
        <is>
          <t>止損</t>
        </is>
      </c>
      <c r="K379" s="5">
        <f>(H379-D379)*24</f>
        <v/>
      </c>
      <c r="L379" s="4">
        <f>IF(C379="做多",I379/E379-1,1-I379/E379)-2*參數!$B$7</f>
        <v/>
      </c>
      <c r="M379" s="2" t="inlineStr"/>
      <c r="N379" s="4" t="n">
        <v>0.04123321354265186</v>
      </c>
      <c r="O379" s="4" t="n">
        <v>0.05985591722930397</v>
      </c>
      <c r="P379" s="4" t="n">
        <v>0.04403732362312263</v>
      </c>
      <c r="Q379" s="22" t="n">
        <v>1659623</v>
      </c>
      <c r="R379" s="22" t="n">
        <v>2688742.84655</v>
      </c>
      <c r="S379" s="4" t="n">
        <v>0</v>
      </c>
      <c r="T379" s="4" t="n">
        <v>0.05</v>
      </c>
      <c r="U379" s="19" t="n">
        <v>0.5599891682477155</v>
      </c>
      <c r="V379" s="19" t="n">
        <v>0.7943262411347525</v>
      </c>
      <c r="W379" s="4" t="n">
        <v>0.4479259545658982</v>
      </c>
      <c r="X379" s="4" t="n">
        <v>0.4075683968294554</v>
      </c>
      <c r="Y379" s="4" t="n">
        <v>-0.0003151128103860978</v>
      </c>
      <c r="Z379" s="4" t="n">
        <v>-0.0002323857496062676</v>
      </c>
      <c r="AA379" s="4" t="n">
        <v>0.03</v>
      </c>
      <c r="AB379" s="4" t="n">
        <v>0.05</v>
      </c>
      <c r="AC379" s="4">
        <f>(AB379+2*參數!$B$7)/(AA379+AB379)</f>
        <v/>
      </c>
    </row>
    <row r="380">
      <c r="A380" s="2" t="n">
        <v>379</v>
      </c>
      <c r="B380" s="2" t="inlineStr">
        <is>
          <t>ZETA_USDT_PERP</t>
        </is>
      </c>
      <c r="C380" s="2" t="inlineStr">
        <is>
          <t>做空</t>
        </is>
      </c>
      <c r="D380" s="7" t="n">
        <v>46287.5</v>
      </c>
      <c r="E380" s="20" t="n">
        <v>0.06036</v>
      </c>
      <c r="F380" s="20" t="n">
        <v>0.0585492</v>
      </c>
      <c r="G380" s="20" t="n">
        <v>0.063378</v>
      </c>
      <c r="H380" s="7" t="n">
        <v>46287.54166666666</v>
      </c>
      <c r="I380" s="20" t="n">
        <v>0.0585492</v>
      </c>
      <c r="J380" s="2" t="inlineStr">
        <is>
          <t>止盈</t>
        </is>
      </c>
      <c r="K380" s="5">
        <f>(H380-D380)*24</f>
        <v/>
      </c>
      <c r="L380" s="4">
        <f>IF(C380="做多",I380/E380-1,1-I380/E380)-2*參數!$B$7</f>
        <v/>
      </c>
      <c r="M380" s="2" t="inlineStr"/>
      <c r="N380" s="4" t="n">
        <v>-0.05805243445692887</v>
      </c>
      <c r="O380" s="4" t="n">
        <v>0.0754149188925184</v>
      </c>
      <c r="P380" s="4" t="n">
        <v>-0.01961262029479838</v>
      </c>
      <c r="Q380" s="22" t="n">
        <v>-25948188</v>
      </c>
      <c r="R380" s="22" t="n">
        <v>5902693.420750001</v>
      </c>
      <c r="S380" s="4" t="n">
        <v>0.03</v>
      </c>
      <c r="T380" s="4" t="n">
        <v>0</v>
      </c>
      <c r="U380" s="19" t="n">
        <v>1.093489964160838</v>
      </c>
      <c r="V380" s="19" t="n">
        <v>0.9851301115241642</v>
      </c>
      <c r="W380" s="4" t="n">
        <v>-0.3712977120047618</v>
      </c>
      <c r="X380" s="4" t="n">
        <v>-0.01139410187667567</v>
      </c>
      <c r="Y380" s="4" t="n">
        <v>0.0003151128103860978</v>
      </c>
      <c r="Z380" s="4" t="n">
        <v>0.0002323857496062676</v>
      </c>
      <c r="AA380" s="4" t="n">
        <v>0.03</v>
      </c>
      <c r="AB380" s="4" t="n">
        <v>0.05</v>
      </c>
      <c r="AC380" s="4">
        <f>(AB380+2*參數!$B$7)/(AA380+AB380)</f>
        <v/>
      </c>
    </row>
    <row r="381">
      <c r="A381" s="2" t="n">
        <v>380</v>
      </c>
      <c r="B381" s="2" t="inlineStr">
        <is>
          <t>AVAX_USDT_PERP</t>
        </is>
      </c>
      <c r="C381" s="2" t="inlineStr">
        <is>
          <t>做空</t>
        </is>
      </c>
      <c r="D381" s="7" t="n">
        <v>46287.54166666666</v>
      </c>
      <c r="E381" s="20" t="n">
        <v>10.767</v>
      </c>
      <c r="F381" s="20" t="n">
        <v>10.44399</v>
      </c>
      <c r="G381" s="20" t="n">
        <v>11.30535</v>
      </c>
      <c r="H381" s="7" t="n">
        <v>46288.33333333334</v>
      </c>
      <c r="I381" s="20" t="n">
        <v>11.30535</v>
      </c>
      <c r="J381" s="2" t="inlineStr">
        <is>
          <t>止損</t>
        </is>
      </c>
      <c r="K381" s="5">
        <f>(H381-D381)*24</f>
        <v/>
      </c>
      <c r="L381" s="4">
        <f>IF(C381="做多",I381/E381-1,1-I381/E381)-2*參數!$B$7</f>
        <v/>
      </c>
      <c r="M381" s="2" t="inlineStr"/>
      <c r="N381" s="4" t="n">
        <v>-0.02109282662060197</v>
      </c>
      <c r="O381" s="4" t="n">
        <v>0.02106813413425579</v>
      </c>
      <c r="P381" s="4" t="n">
        <v>-0.03409855478106416</v>
      </c>
      <c r="Q381" s="22" t="n">
        <v>-156607.9</v>
      </c>
      <c r="R381" s="22" t="n">
        <v>5683531.63</v>
      </c>
      <c r="S381" s="4" t="n">
        <v>0.0224760843317543</v>
      </c>
      <c r="T381" s="4" t="n">
        <v>0.05</v>
      </c>
      <c r="U381" s="19" t="n">
        <v>2.102180055943828</v>
      </c>
      <c r="V381" s="19" t="n">
        <v>0.9119718309859202</v>
      </c>
      <c r="W381" s="4" t="n">
        <v>-0.1001137203093438</v>
      </c>
      <c r="X381" s="4" t="n">
        <v>0.06649904629790193</v>
      </c>
      <c r="Y381" s="4" t="n">
        <v>0.002706154575362607</v>
      </c>
      <c r="Z381" s="4" t="n">
        <v>0.003928036620087005</v>
      </c>
      <c r="AA381" s="4" t="n">
        <v>0.03</v>
      </c>
      <c r="AB381" s="4" t="n">
        <v>0.05</v>
      </c>
      <c r="AC381" s="4">
        <f>(AB381+2*參數!$B$7)/(AA381+AB381)</f>
        <v/>
      </c>
    </row>
    <row r="382">
      <c r="A382" s="2" t="n">
        <v>381</v>
      </c>
      <c r="B382" s="2" t="inlineStr">
        <is>
          <t>NEAR_USDT_PERP</t>
        </is>
      </c>
      <c r="C382" s="2" t="inlineStr">
        <is>
          <t>做多</t>
        </is>
      </c>
      <c r="D382" s="7" t="n">
        <v>46287.58333333334</v>
      </c>
      <c r="E382" s="20" t="n">
        <v>4.41</v>
      </c>
      <c r="F382" s="20" t="n">
        <v>4.5423</v>
      </c>
      <c r="G382" s="20" t="n">
        <v>4.1895</v>
      </c>
      <c r="H382" s="7" t="n">
        <v>46287.70833333334</v>
      </c>
      <c r="I382" s="20" t="n">
        <v>4.5423</v>
      </c>
      <c r="J382" s="2" t="inlineStr">
        <is>
          <t>止盈</t>
        </is>
      </c>
      <c r="K382" s="5">
        <f>(H382-D382)*24</f>
        <v/>
      </c>
      <c r="L382" s="4">
        <f>IF(C382="做多",I382/E382-1,1-I382/E382)-2*參數!$B$7</f>
        <v/>
      </c>
      <c r="M382" s="2" t="inlineStr"/>
      <c r="N382" s="4" t="n">
        <v>0.02797202797202791</v>
      </c>
      <c r="O382" s="4" t="n">
        <v>0.03300632296397954</v>
      </c>
      <c r="P382" s="4" t="n">
        <v>0.04776725786716418</v>
      </c>
      <c r="Q382" s="22" t="n">
        <v>275117</v>
      </c>
      <c r="R382" s="22" t="n">
        <v>23178350.507</v>
      </c>
      <c r="S382" s="4" t="n">
        <v>0.03</v>
      </c>
      <c r="T382" s="4" t="n">
        <v>0.02494331065759647</v>
      </c>
      <c r="U382" s="19" t="n">
        <v>0.6684465049691198</v>
      </c>
      <c r="V382" s="19" t="n">
        <v>0.7801047120418856</v>
      </c>
      <c r="W382" s="4" t="n">
        <v>0.1477769304644982</v>
      </c>
      <c r="X382" s="4" t="n">
        <v>0.029652113004903</v>
      </c>
      <c r="Y382" s="4" t="n">
        <v>-0.0005572152349201387</v>
      </c>
      <c r="Z382" s="4" t="n">
        <v>-0.00491892468977595</v>
      </c>
      <c r="AA382" s="4" t="n">
        <v>0.03</v>
      </c>
      <c r="AB382" s="4" t="n">
        <v>0.05</v>
      </c>
      <c r="AC382" s="4">
        <f>(AB382+2*參數!$B$7)/(AA382+AB382)</f>
        <v/>
      </c>
    </row>
    <row r="383">
      <c r="A383" s="2" t="n">
        <v>382</v>
      </c>
      <c r="B383" s="2" t="inlineStr">
        <is>
          <t>ENA_USDT_PERP</t>
        </is>
      </c>
      <c r="C383" s="2" t="inlineStr">
        <is>
          <t>做空</t>
        </is>
      </c>
      <c r="D383" s="7" t="n">
        <v>46287.625</v>
      </c>
      <c r="E383" s="20" t="n">
        <v>0.2105</v>
      </c>
      <c r="F383" s="20" t="n">
        <v>0.204185</v>
      </c>
      <c r="G383" s="20" t="n">
        <v>0.221025</v>
      </c>
      <c r="H383" s="7" t="n">
        <v>46287.95833333334</v>
      </c>
      <c r="I383" s="20" t="n">
        <v>0.204185</v>
      </c>
      <c r="J383" s="2" t="inlineStr">
        <is>
          <t>止盈</t>
        </is>
      </c>
      <c r="K383" s="5">
        <f>(H383-D383)*24</f>
        <v/>
      </c>
      <c r="L383" s="4">
        <f>IF(C383="做多",I383/E383-1,1-I383/E383)-2*參數!$B$7</f>
        <v/>
      </c>
      <c r="M383" s="2" t="inlineStr"/>
      <c r="N383" s="4" t="n">
        <v>-0.03040073698756329</v>
      </c>
      <c r="O383" s="4" t="n">
        <v>0.02875281179181191</v>
      </c>
      <c r="P383" s="4" t="n">
        <v>-0.01725063610261668</v>
      </c>
      <c r="Q383" s="22" t="n">
        <v>-8450685</v>
      </c>
      <c r="R383" s="22" t="n">
        <v>12360568.8824</v>
      </c>
      <c r="S383" s="4" t="n">
        <v>0.03</v>
      </c>
      <c r="T383" s="4" t="n">
        <v>0.03562945368171033</v>
      </c>
      <c r="U383" s="19" t="n">
        <v>0.6502632838758671</v>
      </c>
      <c r="V383" s="19" t="n">
        <v>0.931818181818183</v>
      </c>
      <c r="W383" s="4" t="n">
        <v>-0.06603869138053264</v>
      </c>
      <c r="X383" s="4" t="n">
        <v>0.03218390804597704</v>
      </c>
      <c r="Y383" s="4" t="n">
        <v>0.0003197574996604002</v>
      </c>
      <c r="Z383" s="4" t="n">
        <v>0.00578740739455097</v>
      </c>
      <c r="AA383" s="4" t="n">
        <v>0.03</v>
      </c>
      <c r="AB383" s="4" t="n">
        <v>0.05</v>
      </c>
      <c r="AC383" s="4">
        <f>(AB383+2*參數!$B$7)/(AA383+AB383)</f>
        <v/>
      </c>
    </row>
    <row r="384">
      <c r="A384" s="2" t="n">
        <v>383</v>
      </c>
      <c r="B384" s="2" t="inlineStr">
        <is>
          <t>USELESS_USDT_PERP</t>
        </is>
      </c>
      <c r="C384" s="2" t="inlineStr">
        <is>
          <t>做多</t>
        </is>
      </c>
      <c r="D384" s="7" t="n">
        <v>46287.625</v>
      </c>
      <c r="E384" s="20" t="n">
        <v>0.28361</v>
      </c>
      <c r="F384" s="20" t="n">
        <v>0.2921183</v>
      </c>
      <c r="G384" s="20" t="n">
        <v>0.2694295</v>
      </c>
      <c r="H384" s="7" t="n">
        <v>46287.66666666666</v>
      </c>
      <c r="I384" s="20" t="n">
        <v>0.2921183</v>
      </c>
      <c r="J384" s="2" t="inlineStr">
        <is>
          <t>止盈</t>
        </is>
      </c>
      <c r="K384" s="5">
        <f>(H384-D384)*24</f>
        <v/>
      </c>
      <c r="L384" s="4">
        <f>IF(C384="做多",I384/E384-1,1-I384/E384)-2*參數!$B$7</f>
        <v/>
      </c>
      <c r="M384" s="2" t="inlineStr"/>
      <c r="N384" s="4" t="n">
        <v>0.02887719934699784</v>
      </c>
      <c r="O384" s="4" t="n">
        <v>0.04771905921672744</v>
      </c>
      <c r="P384" s="4" t="n">
        <v>0.01301586621232542</v>
      </c>
      <c r="Q384" s="22" t="n">
        <v>370042</v>
      </c>
      <c r="R384" s="22" t="n">
        <v>3846701.55256</v>
      </c>
      <c r="S384" s="4" t="n">
        <v>0.03</v>
      </c>
      <c r="T384" s="4" t="n">
        <v>0</v>
      </c>
      <c r="U384" s="19" t="n">
        <v>0.6875463138679535</v>
      </c>
      <c r="V384" s="19" t="n">
        <v>0.7828124999999992</v>
      </c>
      <c r="W384" s="4" t="n">
        <v>0.06522508283748518</v>
      </c>
      <c r="X384" s="4" t="n">
        <v>0.1623360655737704</v>
      </c>
      <c r="Y384" s="4" t="n">
        <v>-0.0003197574996604002</v>
      </c>
      <c r="Z384" s="4" t="n">
        <v>-0.00578740739455097</v>
      </c>
      <c r="AA384" s="4" t="n">
        <v>0.03</v>
      </c>
      <c r="AB384" s="4" t="n">
        <v>0.05</v>
      </c>
      <c r="AC384" s="4">
        <f>(AB384+2*參數!$B$7)/(AA384+AB384)</f>
        <v/>
      </c>
    </row>
    <row r="385">
      <c r="A385" s="2" t="n">
        <v>384</v>
      </c>
      <c r="B385" s="2" t="inlineStr">
        <is>
          <t>ZAMA_USDT_PERP</t>
        </is>
      </c>
      <c r="C385" s="2" t="inlineStr">
        <is>
          <t>做空</t>
        </is>
      </c>
      <c r="D385" s="7" t="n">
        <v>46287.625</v>
      </c>
      <c r="E385" s="20" t="n">
        <v>0.09397999999999999</v>
      </c>
      <c r="F385" s="20" t="n">
        <v>0.09116059999999999</v>
      </c>
      <c r="G385" s="20" t="n">
        <v>0.098679</v>
      </c>
      <c r="H385" s="7" t="n">
        <v>46287.70833333334</v>
      </c>
      <c r="I385" s="20" t="n">
        <v>0.09116059999999999</v>
      </c>
      <c r="J385" s="2" t="inlineStr">
        <is>
          <t>止盈</t>
        </is>
      </c>
      <c r="K385" s="5">
        <f>(H385-D385)*24</f>
        <v/>
      </c>
      <c r="L385" s="4">
        <f>IF(C385="做多",I385/E385-1,1-I385/E385)-2*參數!$B$7</f>
        <v/>
      </c>
      <c r="M385" s="2" t="inlineStr"/>
      <c r="N385" s="4" t="n">
        <v>-0.04394710071210584</v>
      </c>
      <c r="O385" s="4" t="n">
        <v>0.05034633009623191</v>
      </c>
      <c r="P385" s="4" t="n">
        <v>-0.02632083339808644</v>
      </c>
      <c r="Q385" s="22" t="n">
        <v>-2776118</v>
      </c>
      <c r="R385" s="22" t="n">
        <v>1725379.86531</v>
      </c>
      <c r="S385" s="4" t="n">
        <v>0.03</v>
      </c>
      <c r="T385" s="4" t="n">
        <v>0.01617365396892967</v>
      </c>
      <c r="U385" s="19" t="n">
        <v>0.5422414321199198</v>
      </c>
      <c r="V385" s="19" t="n">
        <v>0.8653465346534657</v>
      </c>
      <c r="W385" s="4" t="n">
        <v>-0.1764735337269099</v>
      </c>
      <c r="X385" s="4" t="n">
        <v>-0.02196607220530655</v>
      </c>
      <c r="Y385" s="4" t="n">
        <v>0.0003197574996604002</v>
      </c>
      <c r="Z385" s="4" t="n">
        <v>0.00578740739455097</v>
      </c>
      <c r="AA385" s="4" t="n">
        <v>0.03</v>
      </c>
      <c r="AB385" s="4" t="n">
        <v>0.05</v>
      </c>
      <c r="AC385" s="4">
        <f>(AB385+2*參數!$B$7)/(AA385+AB385)</f>
        <v/>
      </c>
    </row>
    <row r="386">
      <c r="A386" s="2" t="n">
        <v>385</v>
      </c>
      <c r="B386" s="2" t="inlineStr">
        <is>
          <t>WIF_USDT_PERP</t>
        </is>
      </c>
      <c r="C386" s="2" t="inlineStr">
        <is>
          <t>做多</t>
        </is>
      </c>
      <c r="D386" s="7" t="n">
        <v>46287.70833333334</v>
      </c>
      <c r="E386" s="20" t="n">
        <v>0.2576</v>
      </c>
      <c r="F386" s="20" t="n">
        <v>0.265328</v>
      </c>
      <c r="G386" s="20" t="n">
        <v>0.24472</v>
      </c>
      <c r="H386" s="7" t="n">
        <v>46287.875</v>
      </c>
      <c r="I386" s="20" t="n">
        <v>0.265328</v>
      </c>
      <c r="J386" s="2" t="inlineStr">
        <is>
          <t>止盈</t>
        </is>
      </c>
      <c r="K386" s="5">
        <f>(H386-D386)*24</f>
        <v/>
      </c>
      <c r="L386" s="4">
        <f>IF(C386="做多",I386/E386-1,1-I386/E386)-2*參數!$B$7</f>
        <v/>
      </c>
      <c r="M386" s="2" t="inlineStr"/>
      <c r="N386" s="4" t="n">
        <v>0.03620273531777962</v>
      </c>
      <c r="O386" s="4" t="n">
        <v>0.03360314118684069</v>
      </c>
      <c r="P386" s="4" t="n">
        <v>0.05537005551344798</v>
      </c>
      <c r="Q386" s="22" t="n">
        <v>1330940.6</v>
      </c>
      <c r="R386" s="22" t="n">
        <v>1398742.7753</v>
      </c>
      <c r="S386" s="4" t="n">
        <v>0.03</v>
      </c>
      <c r="T386" s="4" t="n">
        <v>0.03260869565217384</v>
      </c>
      <c r="U386" s="19" t="n">
        <v>1.829039749029788</v>
      </c>
      <c r="V386" s="19" t="n">
        <v>0.6380368098159501</v>
      </c>
      <c r="W386" s="4" t="n">
        <v>0.2098668019312782</v>
      </c>
      <c r="X386" s="4" t="n">
        <v>0.2366778684589534</v>
      </c>
      <c r="Y386" s="4" t="n">
        <v>0.01001586881157368</v>
      </c>
      <c r="Z386" s="4" t="n">
        <v>0.003068886203176024</v>
      </c>
      <c r="AA386" s="4" t="n">
        <v>0.03</v>
      </c>
      <c r="AB386" s="4" t="n">
        <v>0.05</v>
      </c>
      <c r="AC386" s="4">
        <f>(AB386+2*參數!$B$7)/(AA386+AB386)</f>
        <v/>
      </c>
    </row>
    <row r="387">
      <c r="A387" s="2" t="n">
        <v>386</v>
      </c>
      <c r="B387" s="2" t="inlineStr">
        <is>
          <t>BR_USDT_PERP</t>
        </is>
      </c>
      <c r="C387" s="2" t="inlineStr">
        <is>
          <t>做空</t>
        </is>
      </c>
      <c r="D387" s="7" t="n">
        <v>46287.83333333334</v>
      </c>
      <c r="E387" s="20" t="n">
        <v>1.13431</v>
      </c>
      <c r="F387" s="20" t="n">
        <v>1.1002807</v>
      </c>
      <c r="G387" s="20" t="n">
        <v>1.1910255</v>
      </c>
      <c r="H387" s="7" t="n">
        <v>46287.875</v>
      </c>
      <c r="I387" s="20" t="n">
        <v>1.1002807</v>
      </c>
      <c r="J387" s="2" t="inlineStr">
        <is>
          <t>止盈</t>
        </is>
      </c>
      <c r="K387" s="5">
        <f>(H387-D387)*24</f>
        <v/>
      </c>
      <c r="L387" s="4">
        <f>IF(C387="做多",I387/E387-1,1-I387/E387)-2*參數!$B$7</f>
        <v/>
      </c>
      <c r="M387" s="2" t="inlineStr"/>
      <c r="N387" s="4" t="n">
        <v>-0.02119305875551192</v>
      </c>
      <c r="O387" s="4" t="n">
        <v>0.04933745516528181</v>
      </c>
      <c r="P387" s="4" t="n">
        <v>-0.009233706719865675</v>
      </c>
      <c r="Q387" s="22" t="n">
        <v>-648919</v>
      </c>
      <c r="R387" s="22" t="n">
        <v>2549049.57942</v>
      </c>
      <c r="S387" s="4" t="n">
        <v>0.03</v>
      </c>
      <c r="T387" s="4" t="n">
        <v>0</v>
      </c>
      <c r="U387" s="19" t="n">
        <v>2.623357987877371</v>
      </c>
      <c r="V387" s="19" t="n">
        <v>0.3457271364317854</v>
      </c>
      <c r="W387" s="4" t="n">
        <v>-0.0626992660666148</v>
      </c>
      <c r="X387" s="4" t="n">
        <v>0.04904385442777981</v>
      </c>
      <c r="Y387" s="4" t="n">
        <v>-0.001093689215222682</v>
      </c>
      <c r="Z387" s="4" t="n">
        <v>0.0001254058823034754</v>
      </c>
      <c r="AA387" s="4" t="n">
        <v>0.03</v>
      </c>
      <c r="AB387" s="4" t="n">
        <v>0.05</v>
      </c>
      <c r="AC387" s="4">
        <f>(AB387+2*參數!$B$7)/(AA387+AB387)</f>
        <v/>
      </c>
    </row>
    <row r="388">
      <c r="A388" s="2" t="n">
        <v>387</v>
      </c>
      <c r="B388" s="2" t="inlineStr">
        <is>
          <t>FET_USDT_PERP</t>
        </is>
      </c>
      <c r="C388" s="2" t="inlineStr">
        <is>
          <t>做多</t>
        </is>
      </c>
      <c r="D388" s="7" t="n">
        <v>46287.83333333334</v>
      </c>
      <c r="E388" s="20" t="n">
        <v>0.2109</v>
      </c>
      <c r="F388" s="20" t="n">
        <v>0.217227</v>
      </c>
      <c r="G388" s="20" t="n">
        <v>0.200355</v>
      </c>
      <c r="H388" s="7" t="n">
        <v>46288.95833333334</v>
      </c>
      <c r="I388" s="20" t="n">
        <v>0.200355</v>
      </c>
      <c r="J388" s="2" t="inlineStr">
        <is>
          <t>止損</t>
        </is>
      </c>
      <c r="K388" s="5">
        <f>(H388-D388)*24</f>
        <v/>
      </c>
      <c r="L388" s="4">
        <f>IF(C388="做多",I388/E388-1,1-I388/E388)-2*參數!$B$7</f>
        <v/>
      </c>
      <c r="M388" s="2" t="inlineStr"/>
      <c r="N388" s="4" t="n">
        <v>0.02677702044790653</v>
      </c>
      <c r="O388" s="4" t="n">
        <v>0.02625368556572483</v>
      </c>
      <c r="P388" s="4" t="n">
        <v>0.03623633460262865</v>
      </c>
      <c r="Q388" s="22" t="n">
        <v>421232</v>
      </c>
      <c r="R388" s="22" t="n">
        <v>1563088.6436</v>
      </c>
      <c r="S388" s="4" t="n">
        <v>0.02418207681365581</v>
      </c>
      <c r="T388" s="4" t="n">
        <v>0.05</v>
      </c>
      <c r="U388" s="19" t="n">
        <v>1.069216534152337</v>
      </c>
      <c r="V388" s="19" t="n">
        <v>0.9156626506024089</v>
      </c>
      <c r="W388" s="4" t="n">
        <v>0.1385783157246896</v>
      </c>
      <c r="X388" s="4" t="n">
        <v>0.079324462640737</v>
      </c>
      <c r="Y388" s="4" t="n">
        <v>0.001093689215222682</v>
      </c>
      <c r="Z388" s="4" t="n">
        <v>-0.0001254058823034754</v>
      </c>
      <c r="AA388" s="4" t="n">
        <v>0.03</v>
      </c>
      <c r="AB388" s="4" t="n">
        <v>0.05</v>
      </c>
      <c r="AC388" s="4">
        <f>(AB388+2*參數!$B$7)/(AA388+AB388)</f>
        <v/>
      </c>
    </row>
    <row r="389">
      <c r="A389" s="2" t="n">
        <v>388</v>
      </c>
      <c r="B389" s="2" t="inlineStr">
        <is>
          <t>DOGE_USDT_PERP</t>
        </is>
      </c>
      <c r="C389" s="2" t="inlineStr">
        <is>
          <t>做多</t>
        </is>
      </c>
      <c r="D389" s="7" t="n">
        <v>46287.875</v>
      </c>
      <c r="E389" s="20" t="n">
        <v>0.09988</v>
      </c>
      <c r="F389" s="20" t="n">
        <v>0.1028764</v>
      </c>
      <c r="G389" s="20" t="n">
        <v>0.094886</v>
      </c>
      <c r="H389" s="7" t="n">
        <v>46288.45833333334</v>
      </c>
      <c r="I389" s="20" t="n">
        <v>0.1028764</v>
      </c>
      <c r="J389" s="2" t="inlineStr">
        <is>
          <t>止盈</t>
        </is>
      </c>
      <c r="K389" s="5">
        <f>(H389-D389)*24</f>
        <v/>
      </c>
      <c r="L389" s="4">
        <f>IF(C389="做多",I389/E389-1,1-I389/E389)-2*參數!$B$7</f>
        <v/>
      </c>
      <c r="M389" s="2" t="inlineStr"/>
      <c r="N389" s="4" t="n">
        <v>0.02022471910112356</v>
      </c>
      <c r="O389" s="4" t="n">
        <v>0.02091291547642258</v>
      </c>
      <c r="P389" s="4" t="n">
        <v>0.00481381065678077</v>
      </c>
      <c r="Q389" s="22" t="n">
        <v>20292240</v>
      </c>
      <c r="R389" s="22" t="n">
        <v>13637464.38295</v>
      </c>
      <c r="S389" s="4" t="n">
        <v>0.03</v>
      </c>
      <c r="T389" s="4" t="n">
        <v>0.01421706047256699</v>
      </c>
      <c r="U389" s="19" t="n">
        <v>3.817765007097983</v>
      </c>
      <c r="V389" s="19" t="n">
        <v>1</v>
      </c>
      <c r="W389" s="4" t="n">
        <v>0.1058948580539441</v>
      </c>
      <c r="X389" s="4" t="n">
        <v>0.06869248876524714</v>
      </c>
      <c r="Y389" s="4" t="n">
        <v>0.0005061076136037013</v>
      </c>
      <c r="Z389" s="4" t="n">
        <v>0.0003321117128414208</v>
      </c>
      <c r="AA389" s="4" t="n">
        <v>0.03</v>
      </c>
      <c r="AB389" s="4" t="n">
        <v>0.05</v>
      </c>
      <c r="AC389" s="4">
        <f>(AB389+2*參數!$B$7)/(AA389+AB389)</f>
        <v/>
      </c>
    </row>
    <row r="390">
      <c r="A390" s="2" t="n">
        <v>389</v>
      </c>
      <c r="B390" s="2" t="inlineStr">
        <is>
          <t>ZAMA_USDT_PERP</t>
        </is>
      </c>
      <c r="C390" s="2" t="inlineStr">
        <is>
          <t>做空</t>
        </is>
      </c>
      <c r="D390" s="7" t="n">
        <v>46287.91666666666</v>
      </c>
      <c r="E390" s="20" t="n">
        <v>0.09107</v>
      </c>
      <c r="F390" s="20" t="n">
        <v>0.0883379</v>
      </c>
      <c r="G390" s="20" t="n">
        <v>0.0956235</v>
      </c>
      <c r="H390" s="7" t="n">
        <v>46287.95833333334</v>
      </c>
      <c r="I390" s="20" t="n">
        <v>0.0883379</v>
      </c>
      <c r="J390" s="2" t="inlineStr">
        <is>
          <t>止盈</t>
        </is>
      </c>
      <c r="K390" s="5">
        <f>(H390-D390)*24</f>
        <v/>
      </c>
      <c r="L390" s="4">
        <f>IF(C390="做多",I390/E390-1,1-I390/E390)-2*參數!$B$7</f>
        <v/>
      </c>
      <c r="M390" s="2" t="inlineStr"/>
      <c r="N390" s="4" t="n">
        <v>-0.02306372023170988</v>
      </c>
      <c r="O390" s="4" t="n">
        <v>0.0450871130650653</v>
      </c>
      <c r="P390" s="4" t="n">
        <v>-0.03343239227340267</v>
      </c>
      <c r="Q390" s="22" t="n">
        <v>-1277321</v>
      </c>
      <c r="R390" s="22" t="n">
        <v>1237406.76512</v>
      </c>
      <c r="S390" s="4" t="n">
        <v>0.03</v>
      </c>
      <c r="T390" s="4" t="n">
        <v>0</v>
      </c>
      <c r="U390" s="19" t="n">
        <v>2.434638348545614</v>
      </c>
      <c r="V390" s="19" t="n">
        <v>0.8266253869969031</v>
      </c>
      <c r="W390" s="4" t="n">
        <v>-0.1013570140611375</v>
      </c>
      <c r="X390" s="4" t="n">
        <v>0.09138980345206027</v>
      </c>
      <c r="Y390" s="4" t="n">
        <v>-0.003609570944814511</v>
      </c>
      <c r="Z390" s="4" t="n">
        <v>-0.00368030065751368</v>
      </c>
      <c r="AA390" s="4" t="n">
        <v>0.03</v>
      </c>
      <c r="AB390" s="4" t="n">
        <v>0.05</v>
      </c>
      <c r="AC390" s="4">
        <f>(AB390+2*參數!$B$7)/(AA390+AB390)</f>
        <v/>
      </c>
    </row>
    <row r="391">
      <c r="A391" s="2" t="n">
        <v>390</v>
      </c>
      <c r="B391" s="2" t="inlineStr">
        <is>
          <t>ETHFI_USDT_PERP</t>
        </is>
      </c>
      <c r="C391" s="2" t="inlineStr">
        <is>
          <t>做空</t>
        </is>
      </c>
      <c r="D391" s="7" t="n">
        <v>46287.95833333334</v>
      </c>
      <c r="E391" s="20" t="n">
        <v>0.6907</v>
      </c>
      <c r="F391" s="20" t="n">
        <v>0.669979</v>
      </c>
      <c r="G391" s="20" t="n">
        <v>0.725235</v>
      </c>
      <c r="H391" s="7" t="n">
        <v>46288.45833333334</v>
      </c>
      <c r="I391" s="20" t="n">
        <v>0.725235</v>
      </c>
      <c r="J391" s="2" t="inlineStr">
        <is>
          <t>止損</t>
        </is>
      </c>
      <c r="K391" s="5">
        <f>(H391-D391)*24</f>
        <v/>
      </c>
      <c r="L391" s="4">
        <f>IF(C391="做多",I391/E391-1,1-I391/E391)-2*參數!$B$7</f>
        <v/>
      </c>
      <c r="M391" s="2" t="inlineStr"/>
      <c r="N391" s="4" t="n">
        <v>-0.02732009576116035</v>
      </c>
      <c r="O391" s="4" t="n">
        <v>0.02127772873900835</v>
      </c>
      <c r="P391" s="4" t="n">
        <v>-0.02190690626902869</v>
      </c>
      <c r="Q391" s="22" t="n">
        <v>-397613.9999999998</v>
      </c>
      <c r="R391" s="22" t="n">
        <v>1218707.62709</v>
      </c>
      <c r="S391" s="4" t="n">
        <v>0.01969016939336898</v>
      </c>
      <c r="T391" s="4" t="n">
        <v>0.05</v>
      </c>
      <c r="U391" s="19" t="n">
        <v>3.201954346709819</v>
      </c>
      <c r="V391" s="19" t="n">
        <v>0.6793103448275873</v>
      </c>
      <c r="W391" s="4" t="n">
        <v>0.04591672525799761</v>
      </c>
      <c r="X391" s="4" t="n">
        <v>0.06636928899702632</v>
      </c>
      <c r="Y391" s="4" t="n">
        <v>0.0009999536522061758</v>
      </c>
      <c r="Z391" s="4" t="n">
        <v>-0.002562229966258878</v>
      </c>
      <c r="AA391" s="4" t="n">
        <v>0.03</v>
      </c>
      <c r="AB391" s="4" t="n">
        <v>0.05</v>
      </c>
      <c r="AC391" s="4">
        <f>(AB391+2*參數!$B$7)/(AA391+AB391)</f>
        <v/>
      </c>
    </row>
    <row r="392">
      <c r="A392" s="2" t="n">
        <v>391</v>
      </c>
      <c r="B392" s="2" t="inlineStr">
        <is>
          <t>INJ_USDT_PERP</t>
        </is>
      </c>
      <c r="C392" s="2" t="inlineStr">
        <is>
          <t>做空</t>
        </is>
      </c>
      <c r="D392" s="7" t="n">
        <v>46287.95833333334</v>
      </c>
      <c r="E392" s="20" t="n">
        <v>7.683</v>
      </c>
      <c r="F392" s="20" t="n">
        <v>7.452509999999999</v>
      </c>
      <c r="G392" s="20" t="n">
        <v>8.06715</v>
      </c>
      <c r="H392" s="7" t="n">
        <v>46288.33333333334</v>
      </c>
      <c r="I392" s="20" t="n">
        <v>8.06715</v>
      </c>
      <c r="J392" s="2" t="inlineStr">
        <is>
          <t>止損</t>
        </is>
      </c>
      <c r="K392" s="5">
        <f>(H392-D392)*24</f>
        <v/>
      </c>
      <c r="L392" s="4">
        <f>IF(C392="做多",I392/E392-1,1-I392/E392)-2*參數!$B$7</f>
        <v/>
      </c>
      <c r="M392" s="2" t="inlineStr"/>
      <c r="N392" s="4" t="n">
        <v>-0.02002551020408161</v>
      </c>
      <c r="O392" s="4" t="n">
        <v>0.02169664677948336</v>
      </c>
      <c r="P392" s="4" t="n">
        <v>-0.009233229309055124</v>
      </c>
      <c r="Q392" s="22" t="n">
        <v>-19408.30000000002</v>
      </c>
      <c r="R392" s="22" t="n">
        <v>2749145.8025</v>
      </c>
      <c r="S392" s="4" t="n">
        <v>0.009111024339450657</v>
      </c>
      <c r="T392" s="4" t="n">
        <v>0.05</v>
      </c>
      <c r="U392" s="19" t="n">
        <v>2.252360457120158</v>
      </c>
      <c r="V392" s="19" t="n">
        <v>0.6015325670498083</v>
      </c>
      <c r="W392" s="4" t="n">
        <v>-0.01775474005062927</v>
      </c>
      <c r="X392" s="4" t="n">
        <v>0.02002551020408161</v>
      </c>
      <c r="Y392" s="4" t="n">
        <v>0.0009999536522061758</v>
      </c>
      <c r="Z392" s="4" t="n">
        <v>-0.002562229966258878</v>
      </c>
      <c r="AA392" s="4" t="n">
        <v>0.03</v>
      </c>
      <c r="AB392" s="4" t="n">
        <v>0.05</v>
      </c>
      <c r="AC392" s="4">
        <f>(AB392+2*參數!$B$7)/(AA392+AB392)</f>
        <v/>
      </c>
    </row>
    <row r="393">
      <c r="A393" s="2" t="n">
        <v>392</v>
      </c>
      <c r="B393" s="2" t="inlineStr">
        <is>
          <t>HBAR_USDT_PERP</t>
        </is>
      </c>
      <c r="C393" s="2" t="inlineStr">
        <is>
          <t>做多</t>
        </is>
      </c>
      <c r="D393" s="7" t="n">
        <v>46288</v>
      </c>
      <c r="E393" s="20" t="n">
        <v>0.09859</v>
      </c>
      <c r="F393" s="20" t="n">
        <v>0.1015477</v>
      </c>
      <c r="G393" s="20" t="n">
        <v>0.09366049999999999</v>
      </c>
      <c r="H393" s="7" t="n">
        <v>46288.95833333334</v>
      </c>
      <c r="I393" s="20" t="n">
        <v>0.09366049999999999</v>
      </c>
      <c r="J393" s="2" t="inlineStr">
        <is>
          <t>止損</t>
        </is>
      </c>
      <c r="K393" s="5">
        <f>(H393-D393)*24</f>
        <v/>
      </c>
      <c r="L393" s="4">
        <f>IF(C393="做多",I393/E393-1,1-I393/E393)-2*參數!$B$7</f>
        <v/>
      </c>
      <c r="M393" s="2" t="inlineStr"/>
      <c r="N393" s="4" t="n">
        <v>0.02197574375453515</v>
      </c>
      <c r="O393" s="4" t="n">
        <v>0.02088716198292042</v>
      </c>
      <c r="P393" s="4" t="n">
        <v>0.04907531549937216</v>
      </c>
      <c r="Q393" s="22" t="n">
        <v>3031266</v>
      </c>
      <c r="R393" s="22" t="n">
        <v>1845837.41995</v>
      </c>
      <c r="S393" s="4" t="n">
        <v>0.02789329546607155</v>
      </c>
      <c r="T393" s="4" t="n">
        <v>0.05</v>
      </c>
      <c r="U393" s="19" t="n">
        <v>2.488813162679719</v>
      </c>
      <c r="V393" s="19" t="n">
        <v>0.8697318007662809</v>
      </c>
      <c r="W393" s="4" t="n">
        <v>0.1553628453402867</v>
      </c>
      <c r="X393" s="4" t="n">
        <v>0.06583783783783792</v>
      </c>
      <c r="Y393" s="4" t="n">
        <v>0.001736302406582402</v>
      </c>
      <c r="Z393" s="4" t="n">
        <v>0.004354660319168202</v>
      </c>
      <c r="AA393" s="4" t="n">
        <v>0.03</v>
      </c>
      <c r="AB393" s="4" t="n">
        <v>0.05</v>
      </c>
      <c r="AC393" s="4">
        <f>(AB393+2*參數!$B$7)/(AA393+AB393)</f>
        <v/>
      </c>
    </row>
    <row r="394">
      <c r="A394" s="2" t="n">
        <v>393</v>
      </c>
      <c r="B394" s="2" t="inlineStr">
        <is>
          <t>LSK_USDT_PERP</t>
        </is>
      </c>
      <c r="C394" s="2" t="inlineStr">
        <is>
          <t>做空</t>
        </is>
      </c>
      <c r="D394" s="7" t="n">
        <v>46288</v>
      </c>
      <c r="E394" s="20" t="n">
        <v>0.3326</v>
      </c>
      <c r="F394" s="20" t="n">
        <v>0.322622</v>
      </c>
      <c r="G394" s="20" t="n">
        <v>0.34923</v>
      </c>
      <c r="H394" s="7" t="n">
        <v>46288.08333333334</v>
      </c>
      <c r="I394" s="20" t="n">
        <v>0.322622</v>
      </c>
      <c r="J394" s="2" t="inlineStr">
        <is>
          <t>止盈</t>
        </is>
      </c>
      <c r="K394" s="5">
        <f>(H394-D394)*24</f>
        <v/>
      </c>
      <c r="L394" s="4">
        <f>IF(C394="做多",I394/E394-1,1-I394/E394)-2*參數!$B$7</f>
        <v/>
      </c>
      <c r="M394" s="2" t="inlineStr"/>
      <c r="N394" s="4" t="n">
        <v>-0.02434731592842465</v>
      </c>
      <c r="O394" s="4" t="n">
        <v>0.02680673789715203</v>
      </c>
      <c r="P394" s="4" t="n">
        <v>-0.0432906658996115</v>
      </c>
      <c r="Q394" s="22" t="n">
        <v>-1760920</v>
      </c>
      <c r="R394" s="22" t="n">
        <v>1812429.6241</v>
      </c>
      <c r="S394" s="4" t="n">
        <v>0.03</v>
      </c>
      <c r="T394" s="4" t="n">
        <v>0.0003006614552014675</v>
      </c>
      <c r="U394" s="19" t="n">
        <v>4.8144348103343</v>
      </c>
      <c r="V394" s="19" t="n">
        <v>0.5810810810810816</v>
      </c>
      <c r="W394" s="4" t="n">
        <v>0.1520908379412581</v>
      </c>
      <c r="X394" s="4" t="n">
        <v>0.1066344345957562</v>
      </c>
      <c r="Y394" s="4" t="n">
        <v>-0.001736302406582402</v>
      </c>
      <c r="Z394" s="4" t="n">
        <v>-0.004354660319168202</v>
      </c>
      <c r="AA394" s="4" t="n">
        <v>0.03</v>
      </c>
      <c r="AB394" s="4" t="n">
        <v>0.05</v>
      </c>
      <c r="AC394" s="4">
        <f>(AB394+2*參數!$B$7)/(AA394+AB394)</f>
        <v/>
      </c>
    </row>
    <row r="395">
      <c r="A395" s="2" t="n">
        <v>394</v>
      </c>
      <c r="B395" s="2" t="inlineStr">
        <is>
          <t>UNI_USDT_PERP</t>
        </is>
      </c>
      <c r="C395" s="2" t="inlineStr">
        <is>
          <t>做多</t>
        </is>
      </c>
      <c r="D395" s="7" t="n">
        <v>46288</v>
      </c>
      <c r="E395" s="20" t="n">
        <v>9.182</v>
      </c>
      <c r="F395" s="20" t="n">
        <v>9.457460000000001</v>
      </c>
      <c r="G395" s="20" t="n">
        <v>8.722899999999999</v>
      </c>
      <c r="H395" s="7" t="n">
        <v>46288.20833333334</v>
      </c>
      <c r="I395" s="20" t="n">
        <v>9.457460000000001</v>
      </c>
      <c r="J395" s="2" t="inlineStr">
        <is>
          <t>止盈</t>
        </is>
      </c>
      <c r="K395" s="5">
        <f>(H395-D395)*24</f>
        <v/>
      </c>
      <c r="L395" s="4">
        <f>IF(C395="做多",I395/E395-1,1-I395/E395)-2*參數!$B$7</f>
        <v/>
      </c>
      <c r="M395" s="2" t="inlineStr"/>
      <c r="N395" s="4" t="n">
        <v>0.02363433667781489</v>
      </c>
      <c r="O395" s="4" t="n">
        <v>0.0330329357964036</v>
      </c>
      <c r="P395" s="4" t="n">
        <v>0.02119803367662421</v>
      </c>
      <c r="Q395" s="22" t="n">
        <v>32372</v>
      </c>
      <c r="R395" s="22" t="n">
        <v>14867853.11</v>
      </c>
      <c r="S395" s="4" t="n">
        <v>0.03</v>
      </c>
      <c r="T395" s="4" t="n">
        <v>0.01012851230668699</v>
      </c>
      <c r="U395" s="19" t="n">
        <v>2.278289316063617</v>
      </c>
      <c r="V395" s="19" t="n">
        <v>0.5281385281385279</v>
      </c>
      <c r="W395" s="4" t="n">
        <v>0.03661572399965252</v>
      </c>
      <c r="X395" s="4" t="n">
        <v>0.0393932533393706</v>
      </c>
      <c r="Y395" s="4" t="n">
        <v>0.001736302406582402</v>
      </c>
      <c r="Z395" s="4" t="n">
        <v>0.004354660319168202</v>
      </c>
      <c r="AA395" s="4" t="n">
        <v>0.03</v>
      </c>
      <c r="AB395" s="4" t="n">
        <v>0.05</v>
      </c>
      <c r="AC395" s="4">
        <f>(AB395+2*參數!$B$7)/(AA395+AB395)</f>
        <v/>
      </c>
    </row>
    <row r="396">
      <c r="A396" s="2" t="n">
        <v>395</v>
      </c>
      <c r="B396" s="2" t="inlineStr">
        <is>
          <t>WIF_USDT_PERP</t>
        </is>
      </c>
      <c r="C396" s="2" t="inlineStr">
        <is>
          <t>做多</t>
        </is>
      </c>
      <c r="D396" s="7" t="n">
        <v>46288</v>
      </c>
      <c r="E396" s="20" t="n">
        <v>0.2649</v>
      </c>
      <c r="F396" s="20" t="n">
        <v>0.272847</v>
      </c>
      <c r="G396" s="20" t="n">
        <v>0.251655</v>
      </c>
      <c r="H396" s="7" t="n">
        <v>46288.20833333334</v>
      </c>
      <c r="I396" s="20" t="n">
        <v>0.251655</v>
      </c>
      <c r="J396" s="2" t="inlineStr">
        <is>
          <t>止損</t>
        </is>
      </c>
      <c r="K396" s="5">
        <f>(H396-D396)*24</f>
        <v/>
      </c>
      <c r="L396" s="4">
        <f>IF(C396="做多",I396/E396-1,1-I396/E396)-2*參數!$B$7</f>
        <v/>
      </c>
      <c r="M396" s="2" t="inlineStr"/>
      <c r="N396" s="4" t="n">
        <v>0.02002310358105519</v>
      </c>
      <c r="O396" s="4" t="n">
        <v>0.04007020725917866</v>
      </c>
      <c r="P396" s="4" t="n">
        <v>0.05500019913178567</v>
      </c>
      <c r="Q396" s="22" t="n">
        <v>1323043.4</v>
      </c>
      <c r="R396" s="22" t="n">
        <v>1670232.75943</v>
      </c>
      <c r="S396" s="4" t="n">
        <v>0</v>
      </c>
      <c r="T396" s="4" t="n">
        <v>0.05</v>
      </c>
      <c r="U396" s="19" t="n">
        <v>0.5722087589859502</v>
      </c>
      <c r="V396" s="19" t="n">
        <v>0.9390243902439027</v>
      </c>
      <c r="W396" s="4" t="n">
        <v>0.2174552473745892</v>
      </c>
      <c r="X396" s="4" t="n">
        <v>0.07290400972053468</v>
      </c>
      <c r="Y396" s="4" t="n">
        <v>0.001736302406582402</v>
      </c>
      <c r="Z396" s="4" t="n">
        <v>0.004354660319168202</v>
      </c>
      <c r="AA396" s="4" t="n">
        <v>0.03</v>
      </c>
      <c r="AB396" s="4" t="n">
        <v>0.05</v>
      </c>
      <c r="AC396" s="4">
        <f>(AB396+2*參數!$B$7)/(AA396+AB396)</f>
        <v/>
      </c>
    </row>
    <row r="397">
      <c r="A397" s="2" t="n">
        <v>396</v>
      </c>
      <c r="B397" s="2" t="inlineStr">
        <is>
          <t>LIT_USDT_PERP</t>
        </is>
      </c>
      <c r="C397" s="2" t="inlineStr">
        <is>
          <t>做多</t>
        </is>
      </c>
      <c r="D397" s="7" t="n">
        <v>46288.08333333334</v>
      </c>
      <c r="E397" s="20" t="n">
        <v>4.911</v>
      </c>
      <c r="F397" s="20" t="n">
        <v>5.05833</v>
      </c>
      <c r="G397" s="20" t="n">
        <v>4.665449999999999</v>
      </c>
      <c r="H397" s="7" t="n">
        <v>46288.33333333334</v>
      </c>
      <c r="I397" s="20" t="n">
        <v>5.05833</v>
      </c>
      <c r="J397" s="2" t="inlineStr">
        <is>
          <t>止盈</t>
        </is>
      </c>
      <c r="K397" s="5">
        <f>(H397-D397)*24</f>
        <v/>
      </c>
      <c r="L397" s="4">
        <f>IF(C397="做多",I397/E397-1,1-I397/E397)-2*參數!$B$7</f>
        <v/>
      </c>
      <c r="M397" s="2" t="inlineStr"/>
      <c r="N397" s="4" t="n">
        <v>0.02762084118016306</v>
      </c>
      <c r="O397" s="4" t="n">
        <v>0.02008029426746189</v>
      </c>
      <c r="P397" s="4" t="n">
        <v>0.03248186691895283</v>
      </c>
      <c r="Q397" s="22" t="n">
        <v>224568.7</v>
      </c>
      <c r="R397" s="22" t="n">
        <v>5485197.4379</v>
      </c>
      <c r="S397" s="4" t="n">
        <v>0.03</v>
      </c>
      <c r="T397" s="4" t="n">
        <v>0.02219507228670337</v>
      </c>
      <c r="U397" s="19" t="n">
        <v>1.93989948080737</v>
      </c>
      <c r="V397" s="19" t="n">
        <v>0.8986486486486452</v>
      </c>
      <c r="W397" s="4" t="n">
        <v>0.01546878844710387</v>
      </c>
      <c r="X397" s="4" t="n">
        <v>0.02999161073825496</v>
      </c>
      <c r="Y397" s="4" t="n">
        <v>0.001721503160526883</v>
      </c>
      <c r="Z397" s="4" t="n">
        <v>0.00656256592622606</v>
      </c>
      <c r="AA397" s="4" t="n">
        <v>0.03</v>
      </c>
      <c r="AB397" s="4" t="n">
        <v>0.05</v>
      </c>
      <c r="AC397" s="4">
        <f>(AB397+2*參數!$B$7)/(AA397+AB397)</f>
        <v/>
      </c>
    </row>
    <row r="398">
      <c r="A398" s="2" t="n">
        <v>397</v>
      </c>
      <c r="B398" s="2" t="inlineStr">
        <is>
          <t>PENGU_USDT_PERP</t>
        </is>
      </c>
      <c r="C398" s="2" t="inlineStr">
        <is>
          <t>做多</t>
        </is>
      </c>
      <c r="D398" s="7" t="n">
        <v>46288.08333333334</v>
      </c>
      <c r="E398" s="20" t="n">
        <v>0.00949</v>
      </c>
      <c r="F398" s="20" t="n">
        <v>0.009774700000000001</v>
      </c>
      <c r="G398" s="20" t="n">
        <v>0.009015499999999999</v>
      </c>
      <c r="H398" s="7" t="n">
        <v>46288.125</v>
      </c>
      <c r="I398" s="20" t="n">
        <v>0.009774700000000001</v>
      </c>
      <c r="J398" s="2" t="inlineStr">
        <is>
          <t>止盈</t>
        </is>
      </c>
      <c r="K398" s="5">
        <f>(H398-D398)*24</f>
        <v/>
      </c>
      <c r="L398" s="4">
        <f>IF(C398="做多",I398/E398-1,1-I398/E398)-2*參數!$B$7</f>
        <v/>
      </c>
      <c r="M398" s="2" t="inlineStr"/>
      <c r="N398" s="4" t="n">
        <v>0.03174603174603186</v>
      </c>
      <c r="O398" s="4" t="n">
        <v>0.02832079776560582</v>
      </c>
      <c r="P398" s="4" t="n">
        <v>0.05306376084688957</v>
      </c>
      <c r="Q398" s="22" t="n">
        <v>106374519</v>
      </c>
      <c r="R398" s="22" t="n">
        <v>2229453.992316</v>
      </c>
      <c r="S398" s="4" t="n">
        <v>0.03</v>
      </c>
      <c r="T398" s="4" t="n">
        <v>0</v>
      </c>
      <c r="U398" s="19" t="n">
        <v>6.496578155843504</v>
      </c>
      <c r="V398" s="19" t="n">
        <v>0.797560975609757</v>
      </c>
      <c r="W398" s="4" t="n">
        <v>0.1592156422042441</v>
      </c>
      <c r="X398" s="4" t="n">
        <v>0.1037450569899978</v>
      </c>
      <c r="Y398" s="4" t="n">
        <v>0.001721503160526883</v>
      </c>
      <c r="Z398" s="4" t="n">
        <v>0.00656256592622606</v>
      </c>
      <c r="AA398" s="4" t="n">
        <v>0.03</v>
      </c>
      <c r="AB398" s="4" t="n">
        <v>0.05</v>
      </c>
      <c r="AC398" s="4">
        <f>(AB398+2*參數!$B$7)/(AA398+AB398)</f>
        <v/>
      </c>
    </row>
    <row r="399">
      <c r="A399" s="2" t="n">
        <v>398</v>
      </c>
      <c r="B399" s="2" t="inlineStr">
        <is>
          <t>VVV_USDT_PERP</t>
        </is>
      </c>
      <c r="C399" s="2" t="inlineStr">
        <is>
          <t>做多</t>
        </is>
      </c>
      <c r="D399" s="7" t="n">
        <v>46288.08333333334</v>
      </c>
      <c r="E399" s="20" t="n">
        <v>32.63</v>
      </c>
      <c r="F399" s="20" t="n">
        <v>33.60890000000001</v>
      </c>
      <c r="G399" s="20" t="n">
        <v>30.9985</v>
      </c>
      <c r="H399" s="7" t="n">
        <v>46288.79166666666</v>
      </c>
      <c r="I399" s="20" t="n">
        <v>30.9985</v>
      </c>
      <c r="J399" s="2" t="inlineStr">
        <is>
          <t>止損</t>
        </is>
      </c>
      <c r="K399" s="5">
        <f>(H399-D399)*24</f>
        <v/>
      </c>
      <c r="L399" s="4">
        <f>IF(C399="做多",I399/E399-1,1-I399/E399)-2*參數!$B$7</f>
        <v/>
      </c>
      <c r="M399" s="2" t="inlineStr"/>
      <c r="N399" s="4" t="n">
        <v>0.04086254744967954</v>
      </c>
      <c r="O399" s="4" t="n">
        <v>0.02587387374623399</v>
      </c>
      <c r="P399" s="4" t="n">
        <v>0.03279593971611572</v>
      </c>
      <c r="Q399" s="22" t="n">
        <v>1767.340000000026</v>
      </c>
      <c r="R399" s="22" t="n">
        <v>1577807.804630001</v>
      </c>
      <c r="S399" s="4" t="n">
        <v>0.02893043211768287</v>
      </c>
      <c r="T399" s="4" t="n">
        <v>0.05</v>
      </c>
      <c r="U399" s="19" t="n">
        <v>4.698717309025497</v>
      </c>
      <c r="V399" s="19" t="n">
        <v>0.981103552532125</v>
      </c>
      <c r="W399" s="4" t="n">
        <v>0.1064816494613237</v>
      </c>
      <c r="X399" s="4" t="n">
        <v>0.04590037822937365</v>
      </c>
      <c r="Y399" s="4" t="n">
        <v>0.001721503160526883</v>
      </c>
      <c r="Z399" s="4" t="n">
        <v>0.00656256592622606</v>
      </c>
      <c r="AA399" s="4" t="n">
        <v>0.03</v>
      </c>
      <c r="AB399" s="4" t="n">
        <v>0.05</v>
      </c>
      <c r="AC399" s="4">
        <f>(AB399+2*參數!$B$7)/(AA399+AB399)</f>
        <v/>
      </c>
    </row>
    <row r="400">
      <c r="A400" s="2" t="n">
        <v>399</v>
      </c>
      <c r="B400" s="2" t="inlineStr">
        <is>
          <t>ARB_USDT_PERP</t>
        </is>
      </c>
      <c r="C400" s="2" t="inlineStr">
        <is>
          <t>做多</t>
        </is>
      </c>
      <c r="D400" s="7" t="n">
        <v>46288.29166666666</v>
      </c>
      <c r="E400" s="20" t="n">
        <v>0.2255</v>
      </c>
      <c r="F400" s="20" t="n">
        <v>0.232265</v>
      </c>
      <c r="G400" s="20" t="n">
        <v>0.214225</v>
      </c>
      <c r="H400" s="7" t="n">
        <v>46288.33333333334</v>
      </c>
      <c r="I400" s="20" t="n">
        <v>0.232265</v>
      </c>
      <c r="J400" s="2" t="inlineStr">
        <is>
          <t>止盈</t>
        </is>
      </c>
      <c r="K400" s="5">
        <f>(H400-D400)*24</f>
        <v/>
      </c>
      <c r="L400" s="4">
        <f>IF(C400="做多",I400/E400-1,1-I400/E400)-2*參數!$B$7</f>
        <v/>
      </c>
      <c r="M400" s="2" t="inlineStr"/>
      <c r="N400" s="4" t="n">
        <v>0.03298213467705002</v>
      </c>
      <c r="O400" s="4" t="n">
        <v>0.02021990320656622</v>
      </c>
      <c r="P400" s="4" t="n">
        <v>0.03255643573423694</v>
      </c>
      <c r="Q400" s="22" t="n">
        <v>4624164.199999996</v>
      </c>
      <c r="R400" s="22" t="n">
        <v>3591851.17385</v>
      </c>
      <c r="S400" s="4" t="n">
        <v>0.03</v>
      </c>
      <c r="T400" s="4" t="n">
        <v>0</v>
      </c>
      <c r="U400" s="19" t="n">
        <v>1.398278802717839</v>
      </c>
      <c r="V400" s="19" t="n">
        <v>0.9670329670329676</v>
      </c>
      <c r="W400" s="4" t="n">
        <v>0.04252387865114526</v>
      </c>
      <c r="X400" s="4" t="n">
        <v>-0.0008861320336730483</v>
      </c>
      <c r="Y400" s="4" t="n">
        <v>-0.0007266969418362468</v>
      </c>
      <c r="Z400" s="4" t="n">
        <v>0.000870116090474049</v>
      </c>
      <c r="AA400" s="4" t="n">
        <v>0.03</v>
      </c>
      <c r="AB400" s="4" t="n">
        <v>0.05</v>
      </c>
      <c r="AC400" s="4">
        <f>(AB400+2*參數!$B$7)/(AA400+AB400)</f>
        <v/>
      </c>
    </row>
    <row r="401">
      <c r="A401" s="2" t="n">
        <v>400</v>
      </c>
      <c r="B401" s="2" t="inlineStr">
        <is>
          <t>ENA_USDT_PERP</t>
        </is>
      </c>
      <c r="C401" s="2" t="inlineStr">
        <is>
          <t>做多</t>
        </is>
      </c>
      <c r="D401" s="7" t="n">
        <v>46288.29166666666</v>
      </c>
      <c r="E401" s="20" t="n">
        <v>0.2161</v>
      </c>
      <c r="F401" s="20" t="n">
        <v>0.222583</v>
      </c>
      <c r="G401" s="20" t="n">
        <v>0.205295</v>
      </c>
      <c r="H401" s="7" t="n">
        <v>46288.95833333334</v>
      </c>
      <c r="I401" s="20" t="n">
        <v>0.205295</v>
      </c>
      <c r="J401" s="2" t="inlineStr">
        <is>
          <t>止損</t>
        </is>
      </c>
      <c r="K401" s="5">
        <f>(H401-D401)*24</f>
        <v/>
      </c>
      <c r="L401" s="4">
        <f>IF(C401="做多",I401/E401-1,1-I401/E401)-2*參數!$B$7</f>
        <v/>
      </c>
      <c r="M401" s="2" t="inlineStr"/>
      <c r="N401" s="4" t="n">
        <v>0.035457594633445</v>
      </c>
      <c r="O401" s="4" t="n">
        <v>0.0238436372338268</v>
      </c>
      <c r="P401" s="4" t="n">
        <v>0.02894962384534794</v>
      </c>
      <c r="Q401" s="22" t="n">
        <v>3295216</v>
      </c>
      <c r="R401" s="22" t="n">
        <v>7724857.3886</v>
      </c>
      <c r="S401" s="4" t="n">
        <v>0.02360018509949113</v>
      </c>
      <c r="T401" s="4" t="n">
        <v>0.05</v>
      </c>
      <c r="U401" s="19" t="n">
        <v>1.180247017240044</v>
      </c>
      <c r="V401" s="19" t="n">
        <v>0.8749999999999992</v>
      </c>
      <c r="W401" s="4" t="n">
        <v>0.05668237917343077</v>
      </c>
      <c r="X401" s="4" t="n">
        <v>0.01933962264150946</v>
      </c>
      <c r="Y401" s="4" t="n">
        <v>-0.0007266969418362468</v>
      </c>
      <c r="Z401" s="4" t="n">
        <v>0.000870116090474049</v>
      </c>
      <c r="AA401" s="4" t="n">
        <v>0.03</v>
      </c>
      <c r="AB401" s="4" t="n">
        <v>0.05</v>
      </c>
      <c r="AC401" s="4">
        <f>(AB401+2*參數!$B$7)/(AA401+AB401)</f>
        <v/>
      </c>
    </row>
    <row r="402">
      <c r="A402" s="2" t="n">
        <v>401</v>
      </c>
      <c r="B402" s="2" t="inlineStr">
        <is>
          <t>INJ_USDT_PERP</t>
        </is>
      </c>
      <c r="C402" s="2" t="inlineStr">
        <is>
          <t>做多</t>
        </is>
      </c>
      <c r="D402" s="7" t="n">
        <v>46288.375</v>
      </c>
      <c r="E402" s="20" t="n">
        <v>8.077999999999999</v>
      </c>
      <c r="F402" s="20" t="n">
        <v>8.32034</v>
      </c>
      <c r="G402" s="20" t="n">
        <v>7.674099999999999</v>
      </c>
      <c r="H402" s="7" t="n">
        <v>46288.41666666666</v>
      </c>
      <c r="I402" s="20" t="n">
        <v>7.674099999999999</v>
      </c>
      <c r="J402" s="2" t="inlineStr">
        <is>
          <t>止損</t>
        </is>
      </c>
      <c r="K402" s="5">
        <f>(H402-D402)*24</f>
        <v/>
      </c>
      <c r="L402" s="4">
        <f>IF(C402="做多",I402/E402-1,1-I402/E402)-2*參數!$B$7</f>
        <v/>
      </c>
      <c r="M402" s="2" t="inlineStr"/>
      <c r="N402" s="4" t="n">
        <v>0.02201417004048567</v>
      </c>
      <c r="O402" s="4" t="n">
        <v>0.02260106671540502</v>
      </c>
      <c r="P402" s="4" t="n">
        <v>0.0372567525055052</v>
      </c>
      <c r="Q402" s="22" t="n">
        <v>30095.89999999994</v>
      </c>
      <c r="R402" s="22" t="n">
        <v>2984294.8518</v>
      </c>
      <c r="S402" s="4" t="n">
        <v>0</v>
      </c>
      <c r="T402" s="4" t="n">
        <v>0.05</v>
      </c>
      <c r="U402" s="19" t="n">
        <v>2.029989792638738</v>
      </c>
      <c r="V402" s="19" t="n">
        <v>0.4266666666666649</v>
      </c>
      <c r="W402" s="4" t="n">
        <v>0.05310776298687325</v>
      </c>
      <c r="X402" s="4" t="n">
        <v>0.0373699756003596</v>
      </c>
      <c r="Y402" s="4" t="n">
        <v>0.003072241192405567</v>
      </c>
      <c r="Z402" s="4" t="n">
        <v>0.003978936531600086</v>
      </c>
      <c r="AA402" s="4" t="n">
        <v>0.03</v>
      </c>
      <c r="AB402" s="4" t="n">
        <v>0.05</v>
      </c>
      <c r="AC402" s="4">
        <f>(AB402+2*參數!$B$7)/(AA402+AB402)</f>
        <v/>
      </c>
    </row>
    <row r="403">
      <c r="A403" s="2" t="n">
        <v>402</v>
      </c>
      <c r="B403" s="2" t="inlineStr">
        <is>
          <t>ZETA_USDT_PERP</t>
        </is>
      </c>
      <c r="C403" s="2" t="inlineStr">
        <is>
          <t>做空</t>
        </is>
      </c>
      <c r="D403" s="7" t="n">
        <v>46288.375</v>
      </c>
      <c r="E403" s="20" t="n">
        <v>0.05288</v>
      </c>
      <c r="F403" s="20" t="n">
        <v>0.0512936</v>
      </c>
      <c r="G403" s="20" t="n">
        <v>0.055524</v>
      </c>
      <c r="H403" s="7" t="n">
        <v>46288.66666666666</v>
      </c>
      <c r="I403" s="20" t="n">
        <v>0.0512936</v>
      </c>
      <c r="J403" s="2" t="inlineStr">
        <is>
          <t>止盈</t>
        </is>
      </c>
      <c r="K403" s="5">
        <f>(H403-D403)*24</f>
        <v/>
      </c>
      <c r="L403" s="4">
        <f>IF(C403="做多",I403/E403-1,1-I403/E403)-2*參數!$B$7</f>
        <v/>
      </c>
      <c r="M403" s="2" t="inlineStr"/>
      <c r="N403" s="4" t="n">
        <v>-0.04909188994785108</v>
      </c>
      <c r="O403" s="4" t="n">
        <v>0.04065839839863637</v>
      </c>
      <c r="P403" s="4" t="n">
        <v>-0.05521658730938617</v>
      </c>
      <c r="Q403" s="22" t="n">
        <v>-4260565</v>
      </c>
      <c r="R403" s="22" t="n">
        <v>1225805.74798</v>
      </c>
      <c r="S403" s="4" t="n">
        <v>0.03</v>
      </c>
      <c r="T403" s="4" t="n">
        <v>0.01380484114977287</v>
      </c>
      <c r="U403" s="19" t="n">
        <v>0.9118699082930263</v>
      </c>
      <c r="V403" s="19" t="n">
        <v>0.842105263157894</v>
      </c>
      <c r="W403" s="4" t="n">
        <v>-0.09649713952760219</v>
      </c>
      <c r="X403" s="4" t="n">
        <v>0.08002783576896311</v>
      </c>
      <c r="Y403" s="4" t="n">
        <v>-0.003072241192405567</v>
      </c>
      <c r="Z403" s="4" t="n">
        <v>-0.003978936531600086</v>
      </c>
      <c r="AA403" s="4" t="n">
        <v>0.03</v>
      </c>
      <c r="AB403" s="4" t="n">
        <v>0.05</v>
      </c>
      <c r="AC403" s="4">
        <f>(AB403+2*參數!$B$7)/(AA403+AB403)</f>
        <v/>
      </c>
    </row>
    <row r="404">
      <c r="A404" s="2" t="n">
        <v>403</v>
      </c>
      <c r="B404" s="2" t="inlineStr">
        <is>
          <t>INJ_USDT_PERP</t>
        </is>
      </c>
      <c r="C404" s="2" t="inlineStr">
        <is>
          <t>做多</t>
        </is>
      </c>
      <c r="D404" s="7" t="n">
        <v>46288.45833333334</v>
      </c>
      <c r="E404" s="20" t="n">
        <v>7.877</v>
      </c>
      <c r="F404" s="20" t="n">
        <v>8.11331</v>
      </c>
      <c r="G404" s="20" t="n">
        <v>7.483149999999999</v>
      </c>
      <c r="H404" s="7" t="n">
        <v>46288.70833333334</v>
      </c>
      <c r="I404" s="20" t="n">
        <v>8.11331</v>
      </c>
      <c r="J404" s="2" t="inlineStr">
        <is>
          <t>止盈</t>
        </is>
      </c>
      <c r="K404" s="5">
        <f>(H404-D404)*24</f>
        <v/>
      </c>
      <c r="L404" s="4">
        <f>IF(C404="做多",I404/E404-1,1-I404/E404)-2*參數!$B$7</f>
        <v/>
      </c>
      <c r="M404" s="2" t="inlineStr"/>
      <c r="N404" s="4" t="n">
        <v>0.02046897266485281</v>
      </c>
      <c r="O404" s="4" t="n">
        <v>0.02655209655900157</v>
      </c>
      <c r="P404" s="4" t="n">
        <v>0.009477063455956225</v>
      </c>
      <c r="Q404" s="22" t="n">
        <v>16257.99999999991</v>
      </c>
      <c r="R404" s="22" t="n">
        <v>3142049.5121</v>
      </c>
      <c r="S404" s="4" t="n">
        <v>0.03</v>
      </c>
      <c r="T404" s="4" t="n">
        <v>0.004189412212771249</v>
      </c>
      <c r="U404" s="19" t="n">
        <v>0.9421826567096736</v>
      </c>
      <c r="V404" s="19" t="n">
        <v>0.9275362318840554</v>
      </c>
      <c r="W404" s="4" t="n">
        <v>0.02370759677591239</v>
      </c>
      <c r="X404" s="4" t="n">
        <v>0.01651826042069948</v>
      </c>
      <c r="Y404" s="4" t="n">
        <v>0.002051364023870406</v>
      </c>
      <c r="Z404" s="4" t="n">
        <v>0.003751512561643855</v>
      </c>
      <c r="AA404" s="4" t="n">
        <v>0.03</v>
      </c>
      <c r="AB404" s="4" t="n">
        <v>0.05</v>
      </c>
      <c r="AC404" s="4">
        <f>(AB404+2*參數!$B$7)/(AA404+AB404)</f>
        <v/>
      </c>
    </row>
    <row r="405">
      <c r="A405" s="2" t="n">
        <v>404</v>
      </c>
      <c r="B405" s="2" t="inlineStr">
        <is>
          <t>牛来_USDT_PERP</t>
        </is>
      </c>
      <c r="C405" s="2" t="inlineStr">
        <is>
          <t>做多</t>
        </is>
      </c>
      <c r="D405" s="7" t="n">
        <v>46288.45833333334</v>
      </c>
      <c r="E405" s="20" t="n">
        <v>0.11678</v>
      </c>
      <c r="F405" s="20" t="n">
        <v>0.1202834</v>
      </c>
      <c r="G405" s="20" t="n">
        <v>0.110941</v>
      </c>
      <c r="H405" s="7" t="n">
        <v>46288.5</v>
      </c>
      <c r="I405" s="20" t="n">
        <v>0.1202834</v>
      </c>
      <c r="J405" s="2" t="inlineStr">
        <is>
          <t>止盈</t>
        </is>
      </c>
      <c r="K405" s="5">
        <f>(H405-D405)*24</f>
        <v/>
      </c>
      <c r="L405" s="4">
        <f>IF(C405="做多",I405/E405-1,1-I405/E405)-2*參數!$B$7</f>
        <v/>
      </c>
      <c r="M405" s="2" t="inlineStr"/>
      <c r="N405" s="4" t="n">
        <v>0.05065227170490316</v>
      </c>
      <c r="O405" s="4" t="n">
        <v>0.03676709761320058</v>
      </c>
      <c r="P405" s="4" t="n">
        <v>0.0595702017429649</v>
      </c>
      <c r="Q405" s="22" t="n">
        <v>3171082</v>
      </c>
      <c r="R405" s="22" t="n">
        <v>1308319.02201</v>
      </c>
      <c r="S405" s="4" t="n">
        <v>0.03</v>
      </c>
      <c r="T405" s="4" t="n">
        <v>0</v>
      </c>
      <c r="U405" s="19" t="n">
        <v>2.119761309020585</v>
      </c>
      <c r="V405" s="19" t="n">
        <v>0.7178276269185353</v>
      </c>
      <c r="W405" s="4" t="n">
        <v>0.08504169949603813</v>
      </c>
      <c r="X405" s="4" t="n">
        <v>0.1408753419304414</v>
      </c>
      <c r="Y405" s="4" t="n">
        <v>0.002051364023870406</v>
      </c>
      <c r="Z405" s="4" t="n">
        <v>0.003751512561643855</v>
      </c>
      <c r="AA405" s="4" t="n">
        <v>0.03</v>
      </c>
      <c r="AB405" s="4" t="n">
        <v>0.05</v>
      </c>
      <c r="AC405" s="4">
        <f>(AB405+2*參數!$B$7)/(AA405+AB405)</f>
        <v/>
      </c>
    </row>
    <row r="406">
      <c r="A406" s="2" t="n">
        <v>405</v>
      </c>
      <c r="B406" s="2" t="inlineStr">
        <is>
          <t>BR_USDT_PERP</t>
        </is>
      </c>
      <c r="C406" s="2" t="inlineStr">
        <is>
          <t>做空</t>
        </is>
      </c>
      <c r="D406" s="7" t="n">
        <v>46288.625</v>
      </c>
      <c r="E406" s="20" t="n">
        <v>1.10674</v>
      </c>
      <c r="F406" s="20" t="n">
        <v>1.0735378</v>
      </c>
      <c r="G406" s="20" t="n">
        <v>1.162077</v>
      </c>
      <c r="H406" s="7" t="n">
        <v>46288.63194444445</v>
      </c>
      <c r="I406" s="20" t="n">
        <v>1.0735378</v>
      </c>
      <c r="J406" s="2" t="inlineStr">
        <is>
          <t>止盈</t>
        </is>
      </c>
      <c r="K406" s="5">
        <f>(H406-D406)*24</f>
        <v/>
      </c>
      <c r="L406" s="4">
        <f>IF(C406="做多",I406/E406-1,1-I406/E406)-2*參數!$B$7</f>
        <v/>
      </c>
      <c r="M406" s="2" t="inlineStr">
        <is>
          <t>同1h觸發；5分K判定先止盈</t>
        </is>
      </c>
      <c r="N406" s="4" t="n">
        <v>-0.02104322751275944</v>
      </c>
      <c r="O406" s="4" t="n">
        <v>0.04207266992085704</v>
      </c>
      <c r="P406" s="4" t="n">
        <v>-0.02491500142288361</v>
      </c>
      <c r="Q406" s="22" t="n">
        <v>-326660</v>
      </c>
      <c r="R406" s="22" t="n">
        <v>2899154.85768</v>
      </c>
      <c r="S406" s="4" t="n">
        <v>0.03</v>
      </c>
      <c r="T406" s="4" t="n">
        <v>0</v>
      </c>
      <c r="U406" s="19" t="n">
        <v>1.359421927389442</v>
      </c>
      <c r="V406" s="19" t="n">
        <v>0.7160556257901378</v>
      </c>
      <c r="W406" s="4" t="n">
        <v>0.01729234802345436</v>
      </c>
      <c r="X406" s="4" t="n">
        <v>0.04312565924849987</v>
      </c>
      <c r="Y406" s="4" t="n">
        <v>0.0002822489690392782</v>
      </c>
      <c r="Z406" s="4" t="n">
        <v>-0.0009673898975077755</v>
      </c>
      <c r="AA406" s="4" t="n">
        <v>0.03</v>
      </c>
      <c r="AB406" s="4" t="n">
        <v>0.05</v>
      </c>
      <c r="AC406" s="4">
        <f>(AB406+2*參數!$B$7)/(AA406+AB406)</f>
        <v/>
      </c>
    </row>
    <row r="407">
      <c r="A407" s="2" t="n">
        <v>406</v>
      </c>
      <c r="B407" s="2" t="inlineStr">
        <is>
          <t>KITE_USDT_PERP</t>
        </is>
      </c>
      <c r="C407" s="2" t="inlineStr">
        <is>
          <t>做空</t>
        </is>
      </c>
      <c r="D407" s="7" t="n">
        <v>46288.625</v>
      </c>
      <c r="E407" s="20" t="n">
        <v>0.13436</v>
      </c>
      <c r="F407" s="20" t="n">
        <v>0.1303292</v>
      </c>
      <c r="G407" s="20" t="n">
        <v>0.141078</v>
      </c>
      <c r="H407" s="7" t="n">
        <v>46289.16666666666</v>
      </c>
      <c r="I407" s="20" t="n">
        <v>0.1303292</v>
      </c>
      <c r="J407" s="2" t="inlineStr">
        <is>
          <t>止盈</t>
        </is>
      </c>
      <c r="K407" s="5">
        <f>(H407-D407)*24</f>
        <v/>
      </c>
      <c r="L407" s="4">
        <f>IF(C407="做多",I407/E407-1,1-I407/E407)-2*參數!$B$7</f>
        <v/>
      </c>
      <c r="M407" s="2" t="inlineStr"/>
      <c r="N407" s="4" t="n">
        <v>-0.02041411490230383</v>
      </c>
      <c r="O407" s="4" t="n">
        <v>0.02175589151302483</v>
      </c>
      <c r="P407" s="4" t="n">
        <v>-0.02168372919366801</v>
      </c>
      <c r="Q407" s="22" t="n">
        <v>-1223875</v>
      </c>
      <c r="R407" s="22" t="n">
        <v>2647436.73668</v>
      </c>
      <c r="S407" s="4" t="n">
        <v>0.03</v>
      </c>
      <c r="T407" s="4" t="n">
        <v>0.03274784161952948</v>
      </c>
      <c r="U407" s="19" t="n">
        <v>0.6855387431135106</v>
      </c>
      <c r="V407" s="19" t="n">
        <v>0.9549071618037126</v>
      </c>
      <c r="W407" s="4" t="n">
        <v>-0.1099499795539878</v>
      </c>
      <c r="X407" s="4" t="n">
        <v>-0.06957490845406777</v>
      </c>
      <c r="Y407" s="4" t="n">
        <v>0.0002822489690392782</v>
      </c>
      <c r="Z407" s="4" t="n">
        <v>-0.0009673898975077755</v>
      </c>
      <c r="AA407" s="4" t="n">
        <v>0.03</v>
      </c>
      <c r="AB407" s="4" t="n">
        <v>0.05</v>
      </c>
      <c r="AC407" s="4">
        <f>(AB407+2*參數!$B$7)/(AA407+AB407)</f>
        <v/>
      </c>
    </row>
    <row r="408">
      <c r="A408" s="2" t="n">
        <v>407</v>
      </c>
      <c r="B408" s="2" t="inlineStr">
        <is>
          <t>MARSCOIN_USDT_PERP</t>
        </is>
      </c>
      <c r="C408" s="2" t="inlineStr">
        <is>
          <t>做空</t>
        </is>
      </c>
      <c r="D408" s="7" t="n">
        <v>46288.70833333334</v>
      </c>
      <c r="E408" s="20" t="n">
        <v>0.12836</v>
      </c>
      <c r="F408" s="20" t="n">
        <v>0.1245092</v>
      </c>
      <c r="G408" s="20" t="n">
        <v>0.134778</v>
      </c>
      <c r="H408" s="7" t="n">
        <v>46288.91666666666</v>
      </c>
      <c r="I408" s="20" t="n">
        <v>0.1245092</v>
      </c>
      <c r="J408" s="2" t="inlineStr">
        <is>
          <t>止盈</t>
        </is>
      </c>
      <c r="K408" s="5">
        <f>(H408-D408)*24</f>
        <v/>
      </c>
      <c r="L408" s="4">
        <f>IF(C408="做多",I408/E408-1,1-I408/E408)-2*參數!$B$7</f>
        <v/>
      </c>
      <c r="M408" s="2" t="inlineStr"/>
      <c r="N408" s="4" t="n">
        <v>-0.02558263113945203</v>
      </c>
      <c r="O408" s="4" t="n">
        <v>0.05158529567201749</v>
      </c>
      <c r="P408" s="4" t="n">
        <v>-0.0351411282745141</v>
      </c>
      <c r="Q408" s="22" t="n">
        <v>-880904</v>
      </c>
      <c r="R408" s="22" t="n">
        <v>3937928.61327</v>
      </c>
      <c r="S408" s="4" t="n">
        <v>0.03</v>
      </c>
      <c r="T408" s="4" t="n">
        <v>0.04043315674665005</v>
      </c>
      <c r="U408" s="19" t="n">
        <v>0.9446475423124127</v>
      </c>
      <c r="V408" s="19" t="n">
        <v>0.8413547237076646</v>
      </c>
      <c r="W408" s="4" t="n">
        <v>-0.192502359735115</v>
      </c>
      <c r="X408" s="4" t="n">
        <v>-0.07693598456246331</v>
      </c>
      <c r="Y408" s="4" t="n">
        <v>0.002578397212543604</v>
      </c>
      <c r="Z408" s="4" t="n">
        <v>0.005377318577026502</v>
      </c>
      <c r="AA408" s="4" t="n">
        <v>0.03</v>
      </c>
      <c r="AB408" s="4" t="n">
        <v>0.05</v>
      </c>
      <c r="AC408" s="4">
        <f>(AB408+2*參數!$B$7)/(AA408+AB408)</f>
        <v/>
      </c>
    </row>
    <row r="409">
      <c r="A409" s="2" t="n">
        <v>408</v>
      </c>
      <c r="B409" s="2" t="inlineStr">
        <is>
          <t>NEAR_USDT_PERP</t>
        </is>
      </c>
      <c r="C409" s="2" t="inlineStr">
        <is>
          <t>做多</t>
        </is>
      </c>
      <c r="D409" s="7" t="n">
        <v>46288.70833333334</v>
      </c>
      <c r="E409" s="20" t="n">
        <v>4.543</v>
      </c>
      <c r="F409" s="20" t="n">
        <v>4.67929</v>
      </c>
      <c r="G409" s="20" t="n">
        <v>4.31585</v>
      </c>
      <c r="H409" s="7" t="n">
        <v>46288.79166666666</v>
      </c>
      <c r="I409" s="20" t="n">
        <v>4.67929</v>
      </c>
      <c r="J409" s="2" t="inlineStr">
        <is>
          <t>止盈</t>
        </is>
      </c>
      <c r="K409" s="5">
        <f>(H409-D409)*24</f>
        <v/>
      </c>
      <c r="L409" s="4">
        <f>IF(C409="做多",I409/E409-1,1-I409/E409)-2*參數!$B$7</f>
        <v/>
      </c>
      <c r="M409" s="2" t="inlineStr"/>
      <c r="N409" s="4" t="n">
        <v>0.03109396277803</v>
      </c>
      <c r="O409" s="4" t="n">
        <v>0.02682101773279537</v>
      </c>
      <c r="P409" s="4" t="n">
        <v>0.03375695447874105</v>
      </c>
      <c r="Q409" s="22" t="n">
        <v>139406</v>
      </c>
      <c r="R409" s="22" t="n">
        <v>17396836.948</v>
      </c>
      <c r="S409" s="4" t="n">
        <v>0.03</v>
      </c>
      <c r="T409" s="4" t="n">
        <v>0.001540832049306773</v>
      </c>
      <c r="U409" s="19" t="n">
        <v>2.196471674936539</v>
      </c>
      <c r="V409" s="19" t="n">
        <v>0.772321428571428</v>
      </c>
      <c r="W409" s="4" t="n">
        <v>0.120422618577855</v>
      </c>
      <c r="X409" s="4" t="n">
        <v>-0.001977152899824142</v>
      </c>
      <c r="Y409" s="4" t="n">
        <v>-0.002578397212543604</v>
      </c>
      <c r="Z409" s="4" t="n">
        <v>-0.005377318577026502</v>
      </c>
      <c r="AA409" s="4" t="n">
        <v>0.03</v>
      </c>
      <c r="AB409" s="4" t="n">
        <v>0.05</v>
      </c>
      <c r="AC409" s="4">
        <f>(AB409+2*參數!$B$7)/(AA409+AB409)</f>
        <v/>
      </c>
    </row>
    <row r="410">
      <c r="A410" s="2" t="n">
        <v>409</v>
      </c>
      <c r="B410" s="2" t="inlineStr">
        <is>
          <t>PONS_USDT_PERP</t>
        </is>
      </c>
      <c r="C410" s="2" t="inlineStr">
        <is>
          <t>做多</t>
        </is>
      </c>
      <c r="D410" s="7" t="n">
        <v>46288.79166666666</v>
      </c>
      <c r="E410" s="20" t="n">
        <v>0.7004</v>
      </c>
      <c r="F410" s="20" t="n">
        <v>0.7214120000000001</v>
      </c>
      <c r="G410" s="20" t="n">
        <v>0.66538</v>
      </c>
      <c r="H410" s="7" t="n">
        <v>46288.95833333334</v>
      </c>
      <c r="I410" s="20" t="n">
        <v>0.66538</v>
      </c>
      <c r="J410" s="2" t="inlineStr">
        <is>
          <t>止損</t>
        </is>
      </c>
      <c r="K410" s="5">
        <f>(H410-D410)*24</f>
        <v/>
      </c>
      <c r="L410" s="4">
        <f>IF(C410="做多",I410/E410-1,1-I410/E410)-2*參數!$B$7</f>
        <v/>
      </c>
      <c r="M410" s="2" t="inlineStr"/>
      <c r="N410" s="4" t="n">
        <v>0.03655468403137485</v>
      </c>
      <c r="O410" s="4" t="n">
        <v>0.03196055771482127</v>
      </c>
      <c r="P410" s="4" t="n">
        <v>0.02066392702048891</v>
      </c>
      <c r="Q410" s="22" t="n">
        <v>2038333</v>
      </c>
      <c r="R410" s="22" t="n">
        <v>4320729.2681</v>
      </c>
      <c r="S410" s="4" t="n">
        <v>0.01442033123929187</v>
      </c>
      <c r="T410" s="4" t="n">
        <v>0.05</v>
      </c>
      <c r="U410" s="19" t="n">
        <v>0.7680631075264338</v>
      </c>
      <c r="V410" s="19" t="n">
        <v>0.86984126984127</v>
      </c>
      <c r="W410" s="4" t="n">
        <v>0.1303009079201753</v>
      </c>
      <c r="X410" s="4" t="n">
        <v>0.1043834752444024</v>
      </c>
      <c r="Y410" s="4" t="n">
        <v>0.000699144247441108</v>
      </c>
      <c r="Z410" s="4" t="n">
        <v>-0.004888986093750214</v>
      </c>
      <c r="AA410" s="4" t="n">
        <v>0.03</v>
      </c>
      <c r="AB410" s="4" t="n">
        <v>0.05</v>
      </c>
      <c r="AC410" s="4">
        <f>(AB410+2*參數!$B$7)/(AA410+AB410)</f>
        <v/>
      </c>
    </row>
    <row r="411">
      <c r="A411" s="2" t="n">
        <v>410</v>
      </c>
      <c r="B411" s="2" t="inlineStr">
        <is>
          <t>LSK_USDT_PERP</t>
        </is>
      </c>
      <c r="C411" s="2" t="inlineStr">
        <is>
          <t>做空</t>
        </is>
      </c>
      <c r="D411" s="7" t="n">
        <v>46288.83333333334</v>
      </c>
      <c r="E411" s="20" t="n">
        <v>0.3145</v>
      </c>
      <c r="F411" s="20" t="n">
        <v>0.305065</v>
      </c>
      <c r="G411" s="20" t="n">
        <v>0.330225</v>
      </c>
      <c r="H411" s="7" t="n">
        <v>46288.95833333334</v>
      </c>
      <c r="I411" s="20" t="n">
        <v>0.305065</v>
      </c>
      <c r="J411" s="2" t="inlineStr">
        <is>
          <t>止盈</t>
        </is>
      </c>
      <c r="K411" s="5">
        <f>(H411-D411)*24</f>
        <v/>
      </c>
      <c r="L411" s="4">
        <f>IF(C411="做多",I411/E411-1,1-I411/E411)-2*參數!$B$7</f>
        <v/>
      </c>
      <c r="M411" s="2" t="inlineStr"/>
      <c r="N411" s="4" t="n">
        <v>-0.03379416282642089</v>
      </c>
      <c r="O411" s="4" t="n">
        <v>0.02763092034993518</v>
      </c>
      <c r="P411" s="4" t="n">
        <v>-0.007338436045135399</v>
      </c>
      <c r="Q411" s="22" t="n">
        <v>-2137486</v>
      </c>
      <c r="R411" s="22" t="n">
        <v>1849637.9122</v>
      </c>
      <c r="S411" s="4" t="n">
        <v>0.03</v>
      </c>
      <c r="T411" s="4" t="n">
        <v>0.01971383147853722</v>
      </c>
      <c r="U411" s="19" t="n">
        <v>0.8517419368319359</v>
      </c>
      <c r="V411" s="19" t="n">
        <v>0.7654320987654313</v>
      </c>
      <c r="W411" s="4" t="n">
        <v>0.1452248099518119</v>
      </c>
      <c r="X411" s="4" t="n">
        <v>0.06648857227663985</v>
      </c>
      <c r="Y411" s="4" t="n">
        <v>0.002985589059981808</v>
      </c>
      <c r="Z411" s="4" t="n">
        <v>0.007431788235390924</v>
      </c>
      <c r="AA411" s="4" t="n">
        <v>0.03</v>
      </c>
      <c r="AB411" s="4" t="n">
        <v>0.05</v>
      </c>
      <c r="AC411" s="4">
        <f>(AB411+2*參數!$B$7)/(AA411+AB411)</f>
        <v/>
      </c>
    </row>
    <row r="412">
      <c r="A412" s="2" t="n">
        <v>411</v>
      </c>
      <c r="B412" s="2" t="inlineStr">
        <is>
          <t>PEPE_USDT_PERP</t>
        </is>
      </c>
      <c r="C412" s="2" t="inlineStr">
        <is>
          <t>做空</t>
        </is>
      </c>
      <c r="D412" s="7" t="n">
        <v>46288.83333333334</v>
      </c>
      <c r="E412" s="20" t="n">
        <v>4.7347e-06</v>
      </c>
      <c r="F412" s="20" t="n">
        <v>4.592659e-06</v>
      </c>
      <c r="G412" s="20" t="n">
        <v>4.971435e-06</v>
      </c>
      <c r="H412" s="7" t="n">
        <v>46288.95833333334</v>
      </c>
      <c r="I412" s="20" t="n">
        <v>4.592659e-06</v>
      </c>
      <c r="J412" s="2" t="inlineStr">
        <is>
          <t>止盈</t>
        </is>
      </c>
      <c r="K412" s="5">
        <f>(H412-D412)*24</f>
        <v/>
      </c>
      <c r="L412" s="4">
        <f>IF(C412="做多",I412/E412-1,1-I412/E412)-2*參數!$B$7</f>
        <v/>
      </c>
      <c r="M412" s="2" t="inlineStr"/>
      <c r="N412" s="4" t="n">
        <v>-0.02232179730734285</v>
      </c>
      <c r="O412" s="4" t="n">
        <v>0.02304117947423719</v>
      </c>
      <c r="P412" s="4" t="n">
        <v>-0.03566925942446064</v>
      </c>
      <c r="Q412" s="22" t="n">
        <v>-26884590962</v>
      </c>
      <c r="R412" s="22" t="n">
        <v>4727222.683181318</v>
      </c>
      <c r="S412" s="4" t="n">
        <v>0.03</v>
      </c>
      <c r="T412" s="4" t="n">
        <v>0.01172196760090416</v>
      </c>
      <c r="U412" s="19" t="n">
        <v>2.322852029374475</v>
      </c>
      <c r="V412" s="19" t="n">
        <v>0.5818181818181845</v>
      </c>
      <c r="W412" s="4" t="n">
        <v>-0.06508833144859616</v>
      </c>
      <c r="X412" s="4" t="n">
        <v>0.04000405515004068</v>
      </c>
      <c r="Y412" s="4" t="n">
        <v>0.002985589059981808</v>
      </c>
      <c r="Z412" s="4" t="n">
        <v>0.007431788235390924</v>
      </c>
      <c r="AA412" s="4" t="n">
        <v>0.03</v>
      </c>
      <c r="AB412" s="4" t="n">
        <v>0.05</v>
      </c>
      <c r="AC412" s="4">
        <f>(AB412+2*參數!$B$7)/(AA412+AB412)</f>
        <v/>
      </c>
    </row>
    <row r="413">
      <c r="A413" s="2" t="n">
        <v>412</v>
      </c>
      <c r="B413" s="2" t="inlineStr">
        <is>
          <t>PUMP_USDT_PERP</t>
        </is>
      </c>
      <c r="C413" s="2" t="inlineStr">
        <is>
          <t>做空</t>
        </is>
      </c>
      <c r="D413" s="7" t="n">
        <v>46288.83333333334</v>
      </c>
      <c r="E413" s="20" t="n">
        <v>0.004206</v>
      </c>
      <c r="F413" s="20" t="n">
        <v>0.00407982</v>
      </c>
      <c r="G413" s="20" t="n">
        <v>0.0044163</v>
      </c>
      <c r="H413" s="7" t="n">
        <v>46288.95833333334</v>
      </c>
      <c r="I413" s="20" t="n">
        <v>0.00407982</v>
      </c>
      <c r="J413" s="2" t="inlineStr">
        <is>
          <t>止盈</t>
        </is>
      </c>
      <c r="K413" s="5">
        <f>(H413-D413)*24</f>
        <v/>
      </c>
      <c r="L413" s="4">
        <f>IF(C413="做多",I413/E413-1,1-I413/E413)-2*參數!$B$7</f>
        <v/>
      </c>
      <c r="M413" s="2" t="inlineStr"/>
      <c r="N413" s="4" t="n">
        <v>-0.02231520223152039</v>
      </c>
      <c r="O413" s="4" t="n">
        <v>0.0215158886811023</v>
      </c>
      <c r="P413" s="4" t="n">
        <v>-0.04647472228519622</v>
      </c>
      <c r="Q413" s="22" t="n">
        <v>-245089824</v>
      </c>
      <c r="R413" s="22" t="n">
        <v>3779519.135224</v>
      </c>
      <c r="S413" s="4" t="n">
        <v>0.03</v>
      </c>
      <c r="T413" s="4" t="n">
        <v>0.004755111745126106</v>
      </c>
      <c r="U413" s="19" t="n">
        <v>1.655926985730141</v>
      </c>
      <c r="V413" s="19" t="n">
        <v>0.8717948717948769</v>
      </c>
      <c r="W413" s="4" t="n">
        <v>0.02122539973610771</v>
      </c>
      <c r="X413" s="4" t="n">
        <v>0.09059459459459462</v>
      </c>
      <c r="Y413" s="4" t="n">
        <v>0.002985589059981808</v>
      </c>
      <c r="Z413" s="4" t="n">
        <v>0.007431788235390924</v>
      </c>
      <c r="AA413" s="4" t="n">
        <v>0.03</v>
      </c>
      <c r="AB413" s="4" t="n">
        <v>0.05</v>
      </c>
      <c r="AC413" s="4">
        <f>(AB413+2*參數!$B$7)/(AA413+AB413)</f>
        <v/>
      </c>
    </row>
    <row r="414">
      <c r="A414" s="2" t="n">
        <v>413</v>
      </c>
      <c r="B414" s="2" t="inlineStr">
        <is>
          <t>BCH_USDT_PERP</t>
        </is>
      </c>
      <c r="C414" s="2" t="inlineStr">
        <is>
          <t>做多</t>
        </is>
      </c>
      <c r="D414" s="7" t="n">
        <v>46288.875</v>
      </c>
      <c r="E414" s="20" t="n">
        <v>358.92</v>
      </c>
      <c r="F414" s="20" t="n">
        <v>369.6876</v>
      </c>
      <c r="G414" s="20" t="n">
        <v>340.974</v>
      </c>
      <c r="H414" s="7" t="n">
        <v>46288.95833333334</v>
      </c>
      <c r="I414" s="20" t="n">
        <v>340.974</v>
      </c>
      <c r="J414" s="2" t="inlineStr">
        <is>
          <t>止損</t>
        </is>
      </c>
      <c r="K414" s="5">
        <f>(H414-D414)*24</f>
        <v/>
      </c>
      <c r="L414" s="4">
        <f>IF(C414="做多",I414/E414-1,1-I414/E414)-2*參數!$B$7</f>
        <v/>
      </c>
      <c r="M414" s="2" t="inlineStr"/>
      <c r="N414" s="4" t="n">
        <v>0.03322010478438608</v>
      </c>
      <c r="O414" s="4" t="n">
        <v>0.03186018821752078</v>
      </c>
      <c r="P414" s="4" t="n">
        <v>0.04060571532945123</v>
      </c>
      <c r="Q414" s="22" t="n">
        <v>974.648000000001</v>
      </c>
      <c r="R414" s="22" t="n">
        <v>6298687.118910001</v>
      </c>
      <c r="S414" s="4" t="n">
        <v>0.003621977042237878</v>
      </c>
      <c r="T414" s="4" t="n">
        <v>0.05</v>
      </c>
      <c r="U414" s="19" t="n">
        <v>1.23125554612034</v>
      </c>
      <c r="V414" s="19" t="n">
        <v>0.9585661080074495</v>
      </c>
      <c r="W414" s="4" t="n">
        <v>0.2932613990009763</v>
      </c>
      <c r="X414" s="4" t="n">
        <v>0.1593397719564587</v>
      </c>
      <c r="Y414" s="4" t="n">
        <v>-0.001842967060175615</v>
      </c>
      <c r="Z414" s="4" t="n">
        <v>-0.008736491910732003</v>
      </c>
      <c r="AA414" s="4" t="n">
        <v>0.03</v>
      </c>
      <c r="AB414" s="4" t="n">
        <v>0.05</v>
      </c>
      <c r="AC414" s="4">
        <f>(AB414+2*參數!$B$7)/(AA414+AB414)</f>
        <v/>
      </c>
    </row>
    <row r="415">
      <c r="A415" s="2" t="n">
        <v>414</v>
      </c>
      <c r="B415" s="2" t="inlineStr">
        <is>
          <t>NIL_USDT_PERP</t>
        </is>
      </c>
      <c r="C415" s="2" t="inlineStr">
        <is>
          <t>做空</t>
        </is>
      </c>
      <c r="D415" s="7" t="n">
        <v>46288.91666666666</v>
      </c>
      <c r="E415" s="20" t="n">
        <v>0.0902</v>
      </c>
      <c r="F415" s="20" t="n">
        <v>0.087494</v>
      </c>
      <c r="G415" s="20" t="n">
        <v>0.09471</v>
      </c>
      <c r="H415" s="7" t="n">
        <v>46288.95833333334</v>
      </c>
      <c r="I415" s="20" t="n">
        <v>0.087494</v>
      </c>
      <c r="J415" s="2" t="inlineStr">
        <is>
          <t>止盈</t>
        </is>
      </c>
      <c r="K415" s="5">
        <f>(H415-D415)*24</f>
        <v/>
      </c>
      <c r="L415" s="4">
        <f>IF(C415="做多",I415/E415-1,1-I415/E415)-2*參數!$B$7</f>
        <v/>
      </c>
      <c r="M415" s="2" t="inlineStr"/>
      <c r="N415" s="4" t="n">
        <v>-0.03837953091684432</v>
      </c>
      <c r="O415" s="4" t="n">
        <v>0.07064332360489838</v>
      </c>
      <c r="P415" s="4" t="n">
        <v>-0.01867989599312414</v>
      </c>
      <c r="Q415" s="22" t="n">
        <v>-1979391.399999999</v>
      </c>
      <c r="R415" s="22" t="n">
        <v>2416924.322484</v>
      </c>
      <c r="S415" s="4" t="n">
        <v>0.03</v>
      </c>
      <c r="T415" s="4" t="n">
        <v>0</v>
      </c>
      <c r="U415" s="19" t="n">
        <v>0.5184398809524856</v>
      </c>
      <c r="V415" s="19" t="n">
        <v>0.6928327645051195</v>
      </c>
      <c r="W415" s="4" t="n">
        <v>-0.3327501935590635</v>
      </c>
      <c r="X415" s="4" t="n">
        <v>-0.0905573691210253</v>
      </c>
      <c r="Y415" s="4" t="n">
        <v>-0.003393201895512732</v>
      </c>
      <c r="Z415" s="4" t="n">
        <v>0.004927612849714214</v>
      </c>
      <c r="AA415" s="4" t="n">
        <v>0.03</v>
      </c>
      <c r="AB415" s="4" t="n">
        <v>0.05</v>
      </c>
      <c r="AC415" s="4">
        <f>(AB415+2*參數!$B$7)/(AA415+AB415)</f>
        <v/>
      </c>
    </row>
    <row r="416">
      <c r="A416" s="2" t="n">
        <v>415</v>
      </c>
      <c r="B416" s="2" t="inlineStr">
        <is>
          <t>ZAMA_USDT_PERP</t>
        </is>
      </c>
      <c r="C416" s="2" t="inlineStr">
        <is>
          <t>做空</t>
        </is>
      </c>
      <c r="D416" s="7" t="n">
        <v>46288.91666666666</v>
      </c>
      <c r="E416" s="20" t="n">
        <v>0.09616</v>
      </c>
      <c r="F416" s="20" t="n">
        <v>0.09327519999999999</v>
      </c>
      <c r="G416" s="20" t="n">
        <v>0.100968</v>
      </c>
      <c r="H416" s="7" t="n">
        <v>46288.95833333334</v>
      </c>
      <c r="I416" s="20" t="n">
        <v>0.09327519999999999</v>
      </c>
      <c r="J416" s="2" t="inlineStr">
        <is>
          <t>止盈</t>
        </is>
      </c>
      <c r="K416" s="5">
        <f>(H416-D416)*24</f>
        <v/>
      </c>
      <c r="L416" s="4">
        <f>IF(C416="做多",I416/E416-1,1-I416/E416)-2*參數!$B$7</f>
        <v/>
      </c>
      <c r="M416" s="2" t="inlineStr"/>
      <c r="N416" s="4" t="n">
        <v>-0.0304496874369834</v>
      </c>
      <c r="O416" s="4" t="n">
        <v>0.03958943754447151</v>
      </c>
      <c r="P416" s="4" t="n">
        <v>-0.01215797664969931</v>
      </c>
      <c r="Q416" s="22" t="n">
        <v>-1056509</v>
      </c>
      <c r="R416" s="22" t="n">
        <v>1334522.0799</v>
      </c>
      <c r="S416" s="4" t="n">
        <v>0.03</v>
      </c>
      <c r="T416" s="4" t="n">
        <v>0</v>
      </c>
      <c r="U416" s="19" t="n">
        <v>1.733454547470302</v>
      </c>
      <c r="V416" s="19" t="n">
        <v>0.8881431767337807</v>
      </c>
      <c r="W416" s="4" t="n">
        <v>-0.05583658249766388</v>
      </c>
      <c r="X416" s="4" t="n">
        <v>-0.05589107280114192</v>
      </c>
      <c r="Y416" s="4" t="n">
        <v>-0.003393201895512732</v>
      </c>
      <c r="Z416" s="4" t="n">
        <v>0.004927612849714214</v>
      </c>
      <c r="AA416" s="4" t="n">
        <v>0.03</v>
      </c>
      <c r="AB416" s="4" t="n">
        <v>0.05</v>
      </c>
      <c r="AC416" s="4">
        <f>(AB416+2*參數!$B$7)/(AA416+AB416)</f>
        <v/>
      </c>
    </row>
    <row r="417">
      <c r="A417" s="2" t="n">
        <v>416</v>
      </c>
      <c r="B417" s="2" t="inlineStr">
        <is>
          <t>ADA_USDT_PERP</t>
        </is>
      </c>
      <c r="C417" s="2" t="inlineStr">
        <is>
          <t>做空</t>
        </is>
      </c>
      <c r="D417" s="7" t="n">
        <v>46288.95833333334</v>
      </c>
      <c r="E417" s="20" t="n">
        <v>0.24</v>
      </c>
      <c r="F417" s="20" t="n">
        <v>0.2328</v>
      </c>
      <c r="G417" s="20" t="n">
        <v>0.252</v>
      </c>
      <c r="H417" s="7" t="n">
        <v>46290.41666666666</v>
      </c>
      <c r="I417" s="20" t="n">
        <v>0.252</v>
      </c>
      <c r="J417" s="2" t="inlineStr">
        <is>
          <t>止損</t>
        </is>
      </c>
      <c r="K417" s="5">
        <f>(H417-D417)*24</f>
        <v/>
      </c>
      <c r="L417" s="4">
        <f>IF(C417="做多",I417/E417-1,1-I417/E417)-2*參數!$B$7</f>
        <v/>
      </c>
      <c r="M417" s="2" t="inlineStr"/>
      <c r="N417" s="4" t="n">
        <v>-0.03420523138832998</v>
      </c>
      <c r="O417" s="4" t="n">
        <v>0.02020642656200471</v>
      </c>
      <c r="P417" s="4" t="n">
        <v>-0.05278737049827342</v>
      </c>
      <c r="Q417" s="22" t="n">
        <v>-18346460</v>
      </c>
      <c r="R417" s="22" t="n">
        <v>27834831.4495</v>
      </c>
      <c r="S417" s="4" t="n">
        <v>0.02999999999999992</v>
      </c>
      <c r="T417" s="4" t="n">
        <v>0.05</v>
      </c>
      <c r="U417" s="19" t="n">
        <v>3.518571749670129</v>
      </c>
      <c r="V417" s="19" t="n">
        <v>0.7000000000000011</v>
      </c>
      <c r="W417" s="4" t="n">
        <v>-0.005808544343584243</v>
      </c>
      <c r="X417" s="4" t="n">
        <v>0.04268049461507772</v>
      </c>
      <c r="Y417" s="4" t="n">
        <v>0.01483761879773771</v>
      </c>
      <c r="Z417" s="4" t="n">
        <v>0.01859859890907245</v>
      </c>
      <c r="AA417" s="4" t="n">
        <v>0.03</v>
      </c>
      <c r="AB417" s="4" t="n">
        <v>0.05</v>
      </c>
      <c r="AC417" s="4">
        <f>(AB417+2*參數!$B$7)/(AA417+AB417)</f>
        <v/>
      </c>
    </row>
    <row r="418">
      <c r="A418" s="2" t="n">
        <v>417</v>
      </c>
      <c r="B418" s="2" t="inlineStr">
        <is>
          <t>AKE_USDT_PERP</t>
        </is>
      </c>
      <c r="C418" s="2" t="inlineStr">
        <is>
          <t>做空</t>
        </is>
      </c>
      <c r="D418" s="7" t="n">
        <v>46288.95833333334</v>
      </c>
      <c r="E418" s="20" t="n">
        <v>0.0471572</v>
      </c>
      <c r="F418" s="20" t="n">
        <v>0.045742484</v>
      </c>
      <c r="G418" s="20" t="n">
        <v>0.04951506000000001</v>
      </c>
      <c r="H418" s="7" t="n">
        <v>46289.04166666666</v>
      </c>
      <c r="I418" s="20" t="n">
        <v>0.045742484</v>
      </c>
      <c r="J418" s="2" t="inlineStr">
        <is>
          <t>止盈</t>
        </is>
      </c>
      <c r="K418" s="5">
        <f>(H418-D418)*24</f>
        <v/>
      </c>
      <c r="L418" s="4">
        <f>IF(C418="做多",I418/E418-1,1-I418/E418)-2*參數!$B$7</f>
        <v/>
      </c>
      <c r="M418" s="2" t="inlineStr"/>
      <c r="N418" s="4" t="n">
        <v>-0.06899628839927341</v>
      </c>
      <c r="O418" s="4" t="n">
        <v>0.08244794674234937</v>
      </c>
      <c r="P418" s="4" t="n">
        <v>-0.02242482475261154</v>
      </c>
      <c r="Q418" s="22" t="n">
        <v>-21275740</v>
      </c>
      <c r="R418" s="22" t="n">
        <v>6047373.6952406</v>
      </c>
      <c r="S418" s="4" t="n">
        <v>0.03</v>
      </c>
      <c r="T418" s="4" t="n">
        <v>0.00422841050783318</v>
      </c>
      <c r="U418" s="19" t="n">
        <v>0.7574674541425677</v>
      </c>
      <c r="V418" s="19" t="n">
        <v>0.8561237430926703</v>
      </c>
      <c r="W418" s="4" t="n">
        <v>0.1432628584014104</v>
      </c>
      <c r="X418" s="4" t="n">
        <v>0.08230371790256197</v>
      </c>
      <c r="Y418" s="4" t="n">
        <v>0.01483761879773771</v>
      </c>
      <c r="Z418" s="4" t="n">
        <v>0.01859859890907245</v>
      </c>
      <c r="AA418" s="4" t="n">
        <v>0.03</v>
      </c>
      <c r="AB418" s="4" t="n">
        <v>0.05</v>
      </c>
      <c r="AC418" s="4">
        <f>(AB418+2*參數!$B$7)/(AA418+AB418)</f>
        <v/>
      </c>
    </row>
    <row r="419">
      <c r="A419" s="2" t="n">
        <v>418</v>
      </c>
      <c r="B419" s="2" t="inlineStr">
        <is>
          <t>AVAX_USDT_PERP</t>
        </is>
      </c>
      <c r="C419" s="2" t="inlineStr">
        <is>
          <t>做空</t>
        </is>
      </c>
      <c r="D419" s="7" t="n">
        <v>46288.95833333334</v>
      </c>
      <c r="E419" s="20" t="n">
        <v>10.444</v>
      </c>
      <c r="F419" s="20" t="n">
        <v>10.13068</v>
      </c>
      <c r="G419" s="20" t="n">
        <v>10.9662</v>
      </c>
      <c r="H419" s="7" t="n">
        <v>46289.04166666666</v>
      </c>
      <c r="I419" s="20" t="n">
        <v>10.13068</v>
      </c>
      <c r="J419" s="2" t="inlineStr">
        <is>
          <t>止盈</t>
        </is>
      </c>
      <c r="K419" s="5">
        <f>(H419-D419)*24</f>
        <v/>
      </c>
      <c r="L419" s="4">
        <f>IF(C419="做多",I419/E419-1,1-I419/E419)-2*參數!$B$7</f>
        <v/>
      </c>
      <c r="M419" s="2" t="inlineStr"/>
      <c r="N419" s="4" t="n">
        <v>-0.02963857660503566</v>
      </c>
      <c r="O419" s="4" t="n">
        <v>0.02233273096238163</v>
      </c>
      <c r="P419" s="4" t="n">
        <v>-0.0563233294329718</v>
      </c>
      <c r="Q419" s="22" t="n">
        <v>-80147.09999999986</v>
      </c>
      <c r="R419" s="22" t="n">
        <v>5307630.4325</v>
      </c>
      <c r="S419" s="4" t="n">
        <v>0.03</v>
      </c>
      <c r="T419" s="4" t="n">
        <v>0.00536193029490617</v>
      </c>
      <c r="U419" s="19" t="n">
        <v>3.3005118815235</v>
      </c>
      <c r="V419" s="19" t="n">
        <v>0.5131761442441043</v>
      </c>
      <c r="W419" s="4" t="n">
        <v>0.02676761793826432</v>
      </c>
      <c r="X419" s="4" t="n">
        <v>0.05295611171563286</v>
      </c>
      <c r="Y419" s="4" t="n">
        <v>0.01483761879773771</v>
      </c>
      <c r="Z419" s="4" t="n">
        <v>0.01859859890907245</v>
      </c>
      <c r="AA419" s="4" t="n">
        <v>0.03</v>
      </c>
      <c r="AB419" s="4" t="n">
        <v>0.05</v>
      </c>
      <c r="AC419" s="4">
        <f>(AB419+2*參數!$B$7)/(AA419+AB419)</f>
        <v/>
      </c>
    </row>
    <row r="420">
      <c r="A420" s="2" t="n">
        <v>419</v>
      </c>
      <c r="B420" s="2" t="inlineStr">
        <is>
          <t>BR_USDT_PERP</t>
        </is>
      </c>
      <c r="C420" s="2" t="inlineStr">
        <is>
          <t>做空</t>
        </is>
      </c>
      <c r="D420" s="7" t="n">
        <v>46288.95833333334</v>
      </c>
      <c r="E420" s="20" t="n">
        <v>1.06596</v>
      </c>
      <c r="F420" s="20" t="n">
        <v>1.0339812</v>
      </c>
      <c r="G420" s="20" t="n">
        <v>1.119258</v>
      </c>
      <c r="H420" s="7" t="n">
        <v>46289</v>
      </c>
      <c r="I420" s="20" t="n">
        <v>1.119258</v>
      </c>
      <c r="J420" s="2" t="inlineStr">
        <is>
          <t>止損</t>
        </is>
      </c>
      <c r="K420" s="5">
        <f>(H420-D420)*24</f>
        <v/>
      </c>
      <c r="L420" s="4">
        <f>IF(C420="做多",I420/E420-1,1-I420/E420)-2*參數!$B$7</f>
        <v/>
      </c>
      <c r="M420" s="2" t="inlineStr"/>
      <c r="N420" s="4" t="n">
        <v>-0.02133676092544978</v>
      </c>
      <c r="O420" s="4" t="n">
        <v>0.05309833856864712</v>
      </c>
      <c r="P420" s="4" t="n">
        <v>-0.05211854120371229</v>
      </c>
      <c r="Q420" s="22" t="n">
        <v>-437390</v>
      </c>
      <c r="R420" s="22" t="n">
        <v>3388916.69355</v>
      </c>
      <c r="S420" s="4" t="n">
        <v>0</v>
      </c>
      <c r="T420" s="4" t="n">
        <v>0.05</v>
      </c>
      <c r="U420" s="19" t="n">
        <v>1.108488653211939</v>
      </c>
      <c r="V420" s="19" t="n">
        <v>0.499540441176471</v>
      </c>
      <c r="W420" s="4" t="n">
        <v>0.06529312797187226</v>
      </c>
      <c r="X420" s="4" t="n">
        <v>0.01590671996602633</v>
      </c>
      <c r="Y420" s="4" t="n">
        <v>0.01483761879773771</v>
      </c>
      <c r="Z420" s="4" t="n">
        <v>0.01859859890907245</v>
      </c>
      <c r="AA420" s="4" t="n">
        <v>0.03</v>
      </c>
      <c r="AB420" s="4" t="n">
        <v>0.05</v>
      </c>
      <c r="AC420" s="4">
        <f>(AB420+2*參數!$B$7)/(AA420+AB420)</f>
        <v/>
      </c>
    </row>
    <row r="421">
      <c r="A421" s="2" t="n">
        <v>420</v>
      </c>
      <c r="B421" s="2" t="inlineStr">
        <is>
          <t>DOGE_USDT_PERP</t>
        </is>
      </c>
      <c r="C421" s="2" t="inlineStr">
        <is>
          <t>做空</t>
        </is>
      </c>
      <c r="D421" s="7" t="n">
        <v>46288.95833333334</v>
      </c>
      <c r="E421" s="20" t="n">
        <v>0.09482</v>
      </c>
      <c r="F421" s="20" t="n">
        <v>0.0919754</v>
      </c>
      <c r="G421" s="20" t="n">
        <v>0.09956100000000001</v>
      </c>
      <c r="H421" s="7" t="n">
        <v>46289.04166666666</v>
      </c>
      <c r="I421" s="20" t="n">
        <v>0.0919754</v>
      </c>
      <c r="J421" s="2" t="inlineStr">
        <is>
          <t>止盈</t>
        </is>
      </c>
      <c r="K421" s="5">
        <f>(H421-D421)*24</f>
        <v/>
      </c>
      <c r="L421" s="4">
        <f>IF(C421="做多",I421/E421-1,1-I421/E421)-2*參數!$B$7</f>
        <v/>
      </c>
      <c r="M421" s="2" t="inlineStr"/>
      <c r="N421" s="4" t="n">
        <v>-0.04598048093369556</v>
      </c>
      <c r="O421" s="4" t="n">
        <v>0.0205932895557131</v>
      </c>
      <c r="P421" s="4" t="n">
        <v>-0.05687401778432044</v>
      </c>
      <c r="Q421" s="22" t="n">
        <v>-15320272</v>
      </c>
      <c r="R421" s="22" t="n">
        <v>7579270.80965</v>
      </c>
      <c r="S421" s="4" t="n">
        <v>0.03</v>
      </c>
      <c r="T421" s="4" t="n">
        <v>0.003796667369753148</v>
      </c>
      <c r="U421" s="19" t="n">
        <v>5.496605481336085</v>
      </c>
      <c r="V421" s="19" t="n">
        <v>0.7415565345080766</v>
      </c>
      <c r="W421" s="4" t="n">
        <v>-0.01179430761662803</v>
      </c>
      <c r="X421" s="4" t="n">
        <v>0.05161032206441285</v>
      </c>
      <c r="Y421" s="4" t="n">
        <v>0.01483761879773771</v>
      </c>
      <c r="Z421" s="4" t="n">
        <v>0.01859859890907245</v>
      </c>
      <c r="AA421" s="4" t="n">
        <v>0.03</v>
      </c>
      <c r="AB421" s="4" t="n">
        <v>0.05</v>
      </c>
      <c r="AC421" s="4">
        <f>(AB421+2*參數!$B$7)/(AA421+AB421)</f>
        <v/>
      </c>
    </row>
    <row r="422">
      <c r="A422" s="2" t="n">
        <v>421</v>
      </c>
      <c r="B422" s="2" t="inlineStr">
        <is>
          <t>LTC_USDT_PERP</t>
        </is>
      </c>
      <c r="C422" s="2" t="inlineStr">
        <is>
          <t>做空</t>
        </is>
      </c>
      <c r="D422" s="7" t="n">
        <v>46288.95833333334</v>
      </c>
      <c r="E422" s="20" t="n">
        <v>60.67</v>
      </c>
      <c r="F422" s="20" t="n">
        <v>58.8499</v>
      </c>
      <c r="G422" s="20" t="n">
        <v>63.70350000000001</v>
      </c>
      <c r="H422" s="7" t="n">
        <v>46289.45833333334</v>
      </c>
      <c r="I422" s="20" t="n">
        <v>63.70350000000001</v>
      </c>
      <c r="J422" s="2" t="inlineStr">
        <is>
          <t>止損</t>
        </is>
      </c>
      <c r="K422" s="5">
        <f>(H422-D422)*24</f>
        <v/>
      </c>
      <c r="L422" s="4">
        <f>IF(C422="做多",I422/E422-1,1-I422/E422)-2*參數!$B$7</f>
        <v/>
      </c>
      <c r="M422" s="2" t="inlineStr"/>
      <c r="N422" s="4" t="n">
        <v>-0.03160415003990413</v>
      </c>
      <c r="O422" s="4" t="n">
        <v>0.02013238125611912</v>
      </c>
      <c r="P422" s="4" t="n">
        <v>-0.03517699818708042</v>
      </c>
      <c r="Q422" s="22" t="n">
        <v>-28791.00500000006</v>
      </c>
      <c r="R422" s="22" t="n">
        <v>17016992.23233</v>
      </c>
      <c r="S422" s="4" t="n">
        <v>0.02867974287127084</v>
      </c>
      <c r="T422" s="4" t="n">
        <v>0.05</v>
      </c>
      <c r="U422" s="19" t="n">
        <v>3.57737360921</v>
      </c>
      <c r="V422" s="19" t="n">
        <v>0.5568720379146914</v>
      </c>
      <c r="W422" s="4" t="n">
        <v>-0.009529546252493803</v>
      </c>
      <c r="X422" s="4" t="n">
        <v>0.01188925081433223</v>
      </c>
      <c r="Y422" s="4" t="n">
        <v>0.01483761879773771</v>
      </c>
      <c r="Z422" s="4" t="n">
        <v>0.01859859890907245</v>
      </c>
      <c r="AA422" s="4" t="n">
        <v>0.03</v>
      </c>
      <c r="AB422" s="4" t="n">
        <v>0.05</v>
      </c>
      <c r="AC422" s="4">
        <f>(AB422+2*參數!$B$7)/(AA422+AB422)</f>
        <v/>
      </c>
    </row>
    <row r="423">
      <c r="A423" s="2" t="n">
        <v>422</v>
      </c>
      <c r="B423" s="2" t="inlineStr">
        <is>
          <t>PENGU_USDT_PERP</t>
        </is>
      </c>
      <c r="C423" s="2" t="inlineStr">
        <is>
          <t>做空</t>
        </is>
      </c>
      <c r="D423" s="7" t="n">
        <v>46288.95833333334</v>
      </c>
      <c r="E423" s="20" t="n">
        <v>0.009868999999999999</v>
      </c>
      <c r="F423" s="20" t="n">
        <v>0.009572929999999999</v>
      </c>
      <c r="G423" s="20" t="n">
        <v>0.01036245</v>
      </c>
      <c r="H423" s="7" t="n">
        <v>46289.04166666666</v>
      </c>
      <c r="I423" s="20" t="n">
        <v>0.009572929999999999</v>
      </c>
      <c r="J423" s="2" t="inlineStr">
        <is>
          <t>止盈</t>
        </is>
      </c>
      <c r="K423" s="5">
        <f>(H423-D423)*24</f>
        <v/>
      </c>
      <c r="L423" s="4">
        <f>IF(C423="做多",I423/E423-1,1-I423/E423)-2*參數!$B$7</f>
        <v/>
      </c>
      <c r="M423" s="2" t="inlineStr"/>
      <c r="N423" s="4" t="n">
        <v>-0.04091350826044715</v>
      </c>
      <c r="O423" s="4" t="n">
        <v>0.03816697542695859</v>
      </c>
      <c r="P423" s="4" t="n">
        <v>-0.04379420598779193</v>
      </c>
      <c r="Q423" s="22" t="n">
        <v>-15538195</v>
      </c>
      <c r="R423" s="22" t="n">
        <v>4556507.339564</v>
      </c>
      <c r="S423" s="4" t="n">
        <v>0.03</v>
      </c>
      <c r="T423" s="4" t="n">
        <v>0.01175397710001036</v>
      </c>
      <c r="U423" s="19" t="n">
        <v>3.33352152753814</v>
      </c>
      <c r="V423" s="19" t="n">
        <v>0.6170921198668151</v>
      </c>
      <c r="W423" s="4" t="n">
        <v>-0.1345256064349178</v>
      </c>
      <c r="X423" s="4" t="n">
        <v>-0.09485245174173507</v>
      </c>
      <c r="Y423" s="4" t="n">
        <v>0.01483761879773771</v>
      </c>
      <c r="Z423" s="4" t="n">
        <v>0.01859859890907245</v>
      </c>
      <c r="AA423" s="4" t="n">
        <v>0.03</v>
      </c>
      <c r="AB423" s="4" t="n">
        <v>0.05</v>
      </c>
      <c r="AC423" s="4">
        <f>(AB423+2*參數!$B$7)/(AA423+AB423)</f>
        <v/>
      </c>
    </row>
    <row r="424">
      <c r="A424" s="2" t="n">
        <v>423</v>
      </c>
      <c r="B424" s="2" t="inlineStr">
        <is>
          <t>PYTH_USDT_PERP</t>
        </is>
      </c>
      <c r="C424" s="2" t="inlineStr">
        <is>
          <t>做空</t>
        </is>
      </c>
      <c r="D424" s="7" t="n">
        <v>46288.95833333334</v>
      </c>
      <c r="E424" s="20" t="n">
        <v>0.06324</v>
      </c>
      <c r="F424" s="20" t="n">
        <v>0.0613428</v>
      </c>
      <c r="G424" s="20" t="n">
        <v>0.066402</v>
      </c>
      <c r="H424" s="7" t="n">
        <v>46289.04166666666</v>
      </c>
      <c r="I424" s="20" t="n">
        <v>0.0613428</v>
      </c>
      <c r="J424" s="2" t="inlineStr">
        <is>
          <t>止盈</t>
        </is>
      </c>
      <c r="K424" s="5">
        <f>(H424-D424)*24</f>
        <v/>
      </c>
      <c r="L424" s="4">
        <f>IF(C424="做多",I424/E424-1,1-I424/E424)-2*參數!$B$7</f>
        <v/>
      </c>
      <c r="M424" s="2" t="inlineStr"/>
      <c r="N424" s="4" t="n">
        <v>-0.04413542926239411</v>
      </c>
      <c r="O424" s="4" t="n">
        <v>0.02794887133352802</v>
      </c>
      <c r="P424" s="4" t="n">
        <v>-0.04756167354438379</v>
      </c>
      <c r="Q424" s="22" t="n">
        <v>-9476393</v>
      </c>
      <c r="R424" s="22" t="n">
        <v>2331480.00762</v>
      </c>
      <c r="S424" s="4" t="n">
        <v>0.03</v>
      </c>
      <c r="T424" s="4" t="n">
        <v>0.01122707147375079</v>
      </c>
      <c r="U424" s="19" t="n">
        <v>4.23953647101361</v>
      </c>
      <c r="V424" s="19" t="n">
        <v>0.6757812499999991</v>
      </c>
      <c r="W424" s="4" t="n">
        <v>-0.007174766481657047</v>
      </c>
      <c r="X424" s="4" t="n">
        <v>0.04167298075465964</v>
      </c>
      <c r="Y424" s="4" t="n">
        <v>0.01483761879773771</v>
      </c>
      <c r="Z424" s="4" t="n">
        <v>0.01859859890907245</v>
      </c>
      <c r="AA424" s="4" t="n">
        <v>0.03</v>
      </c>
      <c r="AB424" s="4" t="n">
        <v>0.05</v>
      </c>
      <c r="AC424" s="4">
        <f>(AB424+2*參數!$B$7)/(AA424+AB424)</f>
        <v/>
      </c>
    </row>
    <row r="425">
      <c r="A425" s="2" t="n">
        <v>424</v>
      </c>
      <c r="B425" s="2" t="inlineStr">
        <is>
          <t>SUI_USDT_PERP</t>
        </is>
      </c>
      <c r="C425" s="2" t="inlineStr">
        <is>
          <t>做空</t>
        </is>
      </c>
      <c r="D425" s="7" t="n">
        <v>46288.95833333334</v>
      </c>
      <c r="E425" s="20" t="n">
        <v>0.9802</v>
      </c>
      <c r="F425" s="20" t="n">
        <v>0.9507939999999999</v>
      </c>
      <c r="G425" s="20" t="n">
        <v>1.02921</v>
      </c>
      <c r="H425" s="7" t="n">
        <v>46289.04166666666</v>
      </c>
      <c r="I425" s="20" t="n">
        <v>0.9507939999999999</v>
      </c>
      <c r="J425" s="2" t="inlineStr">
        <is>
          <t>止盈</t>
        </is>
      </c>
      <c r="K425" s="5">
        <f>(H425-D425)*24</f>
        <v/>
      </c>
      <c r="L425" s="4">
        <f>IF(C425="做多",I425/E425-1,1-I425/E425)-2*參數!$B$7</f>
        <v/>
      </c>
      <c r="M425" s="2" t="inlineStr"/>
      <c r="N425" s="4" t="n">
        <v>-0.02622690244387038</v>
      </c>
      <c r="O425" s="4" t="n">
        <v>0.02100745273937323</v>
      </c>
      <c r="P425" s="4" t="n">
        <v>-0.03503201957107061</v>
      </c>
      <c r="Q425" s="22" t="n">
        <v>-6640704.9</v>
      </c>
      <c r="R425" s="22" t="n">
        <v>13460491.64611</v>
      </c>
      <c r="S425" s="4" t="n">
        <v>0.03</v>
      </c>
      <c r="T425" s="4" t="n">
        <v>0.00714139971434391</v>
      </c>
      <c r="U425" s="19" t="n">
        <v>3.33459341003093</v>
      </c>
      <c r="V425" s="19" t="n">
        <v>0.4785185185185185</v>
      </c>
      <c r="W425" s="4" t="n">
        <v>-0.03142358973711423</v>
      </c>
      <c r="X425" s="4" t="n">
        <v>0.02068138675192321</v>
      </c>
      <c r="Y425" s="4" t="n">
        <v>0.01483761879773771</v>
      </c>
      <c r="Z425" s="4" t="n">
        <v>0.01859859890907245</v>
      </c>
      <c r="AA425" s="4" t="n">
        <v>0.03</v>
      </c>
      <c r="AB425" s="4" t="n">
        <v>0.05</v>
      </c>
      <c r="AC425" s="4">
        <f>(AB425+2*參數!$B$7)/(AA425+AB425)</f>
        <v/>
      </c>
    </row>
    <row r="426">
      <c r="A426" s="2" t="n">
        <v>425</v>
      </c>
      <c r="B426" s="2" t="inlineStr">
        <is>
          <t>TAO_USDT_PERP</t>
        </is>
      </c>
      <c r="C426" s="2" t="inlineStr">
        <is>
          <t>做空</t>
        </is>
      </c>
      <c r="D426" s="7" t="n">
        <v>46288.95833333334</v>
      </c>
      <c r="E426" s="20" t="n">
        <v>302.65</v>
      </c>
      <c r="F426" s="20" t="n">
        <v>293.5705</v>
      </c>
      <c r="G426" s="20" t="n">
        <v>317.7825</v>
      </c>
      <c r="H426" s="7" t="n">
        <v>46289</v>
      </c>
      <c r="I426" s="20" t="n">
        <v>293.5705</v>
      </c>
      <c r="J426" s="2" t="inlineStr">
        <is>
          <t>止盈</t>
        </is>
      </c>
      <c r="K426" s="5">
        <f>(H426-D426)*24</f>
        <v/>
      </c>
      <c r="L426" s="4">
        <f>IF(C426="做多",I426/E426-1,1-I426/E426)-2*參數!$B$7</f>
        <v/>
      </c>
      <c r="M426" s="2" t="inlineStr"/>
      <c r="N426" s="4" t="n">
        <v>-0.02772423541506042</v>
      </c>
      <c r="O426" s="4" t="n">
        <v>0.02423542630629544</v>
      </c>
      <c r="P426" s="4" t="n">
        <v>-0.02715386655309027</v>
      </c>
      <c r="Q426" s="22" t="n">
        <v>-3283.490999999991</v>
      </c>
      <c r="R426" s="22" t="n">
        <v>8616429.93644</v>
      </c>
      <c r="S426" s="4" t="n">
        <v>0.03</v>
      </c>
      <c r="T426" s="4" t="n">
        <v>0</v>
      </c>
      <c r="U426" s="19" t="n">
        <v>3.702491124852876</v>
      </c>
      <c r="V426" s="19" t="n">
        <v>0.6077825818406444</v>
      </c>
      <c r="W426" s="4" t="n">
        <v>-0.05520649308493697</v>
      </c>
      <c r="X426" s="4" t="n">
        <v>0.04599041734964071</v>
      </c>
      <c r="Y426" s="4" t="n">
        <v>0.01483761879773771</v>
      </c>
      <c r="Z426" s="4" t="n">
        <v>0.01859859890907245</v>
      </c>
      <c r="AA426" s="4" t="n">
        <v>0.03</v>
      </c>
      <c r="AB426" s="4" t="n">
        <v>0.05</v>
      </c>
      <c r="AC426" s="4">
        <f>(AB426+2*參數!$B$7)/(AA426+AB426)</f>
        <v/>
      </c>
    </row>
    <row r="427">
      <c r="A427" s="2" t="n">
        <v>426</v>
      </c>
      <c r="B427" s="2" t="inlineStr">
        <is>
          <t>TIA_USDT_PERP</t>
        </is>
      </c>
      <c r="C427" s="2" t="inlineStr">
        <is>
          <t>做空</t>
        </is>
      </c>
      <c r="D427" s="7" t="n">
        <v>46288.95833333334</v>
      </c>
      <c r="E427" s="20" t="n">
        <v>0.4855</v>
      </c>
      <c r="F427" s="20" t="n">
        <v>0.470935</v>
      </c>
      <c r="G427" s="20" t="n">
        <v>0.509775</v>
      </c>
      <c r="H427" s="7" t="n">
        <v>46289</v>
      </c>
      <c r="I427" s="20" t="n">
        <v>0.470935</v>
      </c>
      <c r="J427" s="2" t="inlineStr">
        <is>
          <t>止盈</t>
        </is>
      </c>
      <c r="K427" s="5">
        <f>(H427-D427)*24</f>
        <v/>
      </c>
      <c r="L427" s="4">
        <f>IF(C427="做多",I427/E427-1,1-I427/E427)-2*參數!$B$7</f>
        <v/>
      </c>
      <c r="M427" s="2" t="inlineStr"/>
      <c r="N427" s="4" t="n">
        <v>-0.02861144457783116</v>
      </c>
      <c r="O427" s="4" t="n">
        <v>0.0322234384251673</v>
      </c>
      <c r="P427" s="4" t="n">
        <v>-0.04354764038967329</v>
      </c>
      <c r="Q427" s="22" t="n">
        <v>-730816.7999999996</v>
      </c>
      <c r="R427" s="22" t="n">
        <v>1372391.54337</v>
      </c>
      <c r="S427" s="4" t="n">
        <v>0.03</v>
      </c>
      <c r="T427" s="4" t="n">
        <v>0</v>
      </c>
      <c r="U427" s="19" t="n">
        <v>8.304861646675626</v>
      </c>
      <c r="V427" s="19" t="n">
        <v>0.621908127208481</v>
      </c>
      <c r="W427" s="4" t="n">
        <v>-0.09336996666966946</v>
      </c>
      <c r="X427" s="4" t="n">
        <v>-0.09519512745319192</v>
      </c>
      <c r="Y427" s="4" t="n">
        <v>0.01483761879773771</v>
      </c>
      <c r="Z427" s="4" t="n">
        <v>0.01859859890907245</v>
      </c>
      <c r="AA427" s="4" t="n">
        <v>0.03</v>
      </c>
      <c r="AB427" s="4" t="n">
        <v>0.05</v>
      </c>
      <c r="AC427" s="4">
        <f>(AB427+2*參數!$B$7)/(AA427+AB427)</f>
        <v/>
      </c>
    </row>
    <row r="428">
      <c r="A428" s="2" t="n">
        <v>427</v>
      </c>
      <c r="B428" s="2" t="inlineStr">
        <is>
          <t>USELESS_USDT_PERP</t>
        </is>
      </c>
      <c r="C428" s="2" t="inlineStr">
        <is>
          <t>做空</t>
        </is>
      </c>
      <c r="D428" s="7" t="n">
        <v>46288.95833333334</v>
      </c>
      <c r="E428" s="20" t="n">
        <v>0.31904</v>
      </c>
      <c r="F428" s="20" t="n">
        <v>0.3094688</v>
      </c>
      <c r="G428" s="20" t="n">
        <v>0.334992</v>
      </c>
      <c r="H428" s="7" t="n">
        <v>46289</v>
      </c>
      <c r="I428" s="20" t="n">
        <v>0.3094688</v>
      </c>
      <c r="J428" s="2" t="inlineStr">
        <is>
          <t>止盈</t>
        </is>
      </c>
      <c r="K428" s="5">
        <f>(H428-D428)*24</f>
        <v/>
      </c>
      <c r="L428" s="4">
        <f>IF(C428="做多",I428/E428-1,1-I428/E428)-2*參數!$B$7</f>
        <v/>
      </c>
      <c r="M428" s="2" t="inlineStr"/>
      <c r="N428" s="4" t="n">
        <v>-0.03473314776715475</v>
      </c>
      <c r="O428" s="4" t="n">
        <v>0.04172138921132431</v>
      </c>
      <c r="P428" s="4" t="n">
        <v>-0.05182508217476312</v>
      </c>
      <c r="Q428" s="22" t="n">
        <v>-1117422</v>
      </c>
      <c r="R428" s="22" t="n">
        <v>3958376.42324</v>
      </c>
      <c r="S428" s="4" t="n">
        <v>0.03</v>
      </c>
      <c r="T428" s="4" t="n">
        <v>0</v>
      </c>
      <c r="U428" s="19" t="n">
        <v>1.354170345468486</v>
      </c>
      <c r="V428" s="19" t="n">
        <v>0.5887465690759377</v>
      </c>
      <c r="W428" s="4" t="n">
        <v>-0.1274267114329706</v>
      </c>
      <c r="X428" s="4" t="n">
        <v>-0.03312716557106321</v>
      </c>
      <c r="Y428" s="4" t="n">
        <v>0.01483761879773771</v>
      </c>
      <c r="Z428" s="4" t="n">
        <v>0.01859859890907245</v>
      </c>
      <c r="AA428" s="4" t="n">
        <v>0.03</v>
      </c>
      <c r="AB428" s="4" t="n">
        <v>0.05</v>
      </c>
      <c r="AC428" s="4">
        <f>(AB428+2*參數!$B$7)/(AA428+AB428)</f>
        <v/>
      </c>
    </row>
    <row r="429">
      <c r="A429" s="2" t="n">
        <v>428</v>
      </c>
      <c r="B429" s="2" t="inlineStr">
        <is>
          <t>ENA_USDT_PERP</t>
        </is>
      </c>
      <c r="C429" s="2" t="inlineStr">
        <is>
          <t>做空</t>
        </is>
      </c>
      <c r="D429" s="7" t="n">
        <v>46289</v>
      </c>
      <c r="E429" s="20" t="n">
        <v>0.2019</v>
      </c>
      <c r="F429" s="20" t="n">
        <v>0.195843</v>
      </c>
      <c r="G429" s="20" t="n">
        <v>0.211995</v>
      </c>
      <c r="H429" s="7" t="n">
        <v>46289.08333333334</v>
      </c>
      <c r="I429" s="20" t="n">
        <v>0.211995</v>
      </c>
      <c r="J429" s="2" t="inlineStr">
        <is>
          <t>止損</t>
        </is>
      </c>
      <c r="K429" s="5">
        <f>(H429-D429)*24</f>
        <v/>
      </c>
      <c r="L429" s="4">
        <f>IF(C429="做多",I429/E429-1,1-I429/E429)-2*參數!$B$7</f>
        <v/>
      </c>
      <c r="M429" s="2" t="inlineStr"/>
      <c r="N429" s="4" t="n">
        <v>-0.02037845705967978</v>
      </c>
      <c r="O429" s="4" t="n">
        <v>0.02674279256312706</v>
      </c>
      <c r="P429" s="4" t="n">
        <v>-0.05375638562122143</v>
      </c>
      <c r="Q429" s="22" t="n">
        <v>-6462653</v>
      </c>
      <c r="R429" s="22" t="n">
        <v>8273291.3193</v>
      </c>
      <c r="S429" s="4" t="n">
        <v>0.01783060921248136</v>
      </c>
      <c r="T429" s="4" t="n">
        <v>0.05</v>
      </c>
      <c r="U429" s="19" t="n">
        <v>1.853042767408735</v>
      </c>
      <c r="V429" s="19" t="n">
        <v>0.9333333333333333</v>
      </c>
      <c r="W429" s="4" t="n">
        <v>0.04150169481869714</v>
      </c>
      <c r="X429" s="4" t="n">
        <v>0.02132816286960748</v>
      </c>
      <c r="Y429" s="4" t="n">
        <v>0.006117235975218627</v>
      </c>
      <c r="Z429" s="4" t="n">
        <v>0.02336816424565891</v>
      </c>
      <c r="AA429" s="4" t="n">
        <v>0.03</v>
      </c>
      <c r="AB429" s="4" t="n">
        <v>0.05</v>
      </c>
      <c r="AC429" s="4">
        <f>(AB429+2*參數!$B$7)/(AA429+AB429)</f>
        <v/>
      </c>
    </row>
    <row r="430">
      <c r="A430" s="2" t="n">
        <v>429</v>
      </c>
      <c r="B430" s="2" t="inlineStr">
        <is>
          <t>ICP_USDT_PERP</t>
        </is>
      </c>
      <c r="C430" s="2" t="inlineStr">
        <is>
          <t>做空</t>
        </is>
      </c>
      <c r="D430" s="7" t="n">
        <v>46289</v>
      </c>
      <c r="E430" s="20" t="n">
        <v>2.858</v>
      </c>
      <c r="F430" s="20" t="n">
        <v>2.77226</v>
      </c>
      <c r="G430" s="20" t="n">
        <v>3.0009</v>
      </c>
      <c r="H430" s="7" t="n">
        <v>46289.58333333334</v>
      </c>
      <c r="I430" s="20" t="n">
        <v>3.0009</v>
      </c>
      <c r="J430" s="2" t="inlineStr">
        <is>
          <t>止損</t>
        </is>
      </c>
      <c r="K430" s="5">
        <f>(H430-D430)*24</f>
        <v/>
      </c>
      <c r="L430" s="4">
        <f>IF(C430="做多",I430/E430-1,1-I430/E430)-2*參數!$B$7</f>
        <v/>
      </c>
      <c r="M430" s="2" t="inlineStr"/>
      <c r="N430" s="4" t="n">
        <v>-0.02987101154107263</v>
      </c>
      <c r="O430" s="4" t="n">
        <v>0.02735939401468456</v>
      </c>
      <c r="P430" s="4" t="n">
        <v>-0.05337595018465469</v>
      </c>
      <c r="Q430" s="22" t="n">
        <v>-183872</v>
      </c>
      <c r="R430" s="22" t="n">
        <v>7338431.59</v>
      </c>
      <c r="S430" s="4" t="n">
        <v>0.01049685094471664</v>
      </c>
      <c r="T430" s="4" t="n">
        <v>0.05</v>
      </c>
      <c r="U430" s="19" t="n">
        <v>1.127572943502486</v>
      </c>
      <c r="V430" s="19" t="n">
        <v>0.9909090909090918</v>
      </c>
      <c r="W430" s="4" t="n">
        <v>0.02407709039750594</v>
      </c>
      <c r="X430" s="4" t="n">
        <v>0.0334798782549881</v>
      </c>
      <c r="Y430" s="4" t="n">
        <v>0.006117235975218627</v>
      </c>
      <c r="Z430" s="4" t="n">
        <v>0.02336816424565891</v>
      </c>
      <c r="AA430" s="4" t="n">
        <v>0.03</v>
      </c>
      <c r="AB430" s="4" t="n">
        <v>0.05</v>
      </c>
      <c r="AC430" s="4">
        <f>(AB430+2*參數!$B$7)/(AA430+AB430)</f>
        <v/>
      </c>
    </row>
    <row r="431">
      <c r="A431" s="2" t="n">
        <v>430</v>
      </c>
      <c r="B431" s="2" t="inlineStr">
        <is>
          <t>INJ_USDT_PERP</t>
        </is>
      </c>
      <c r="C431" s="2" t="inlineStr">
        <is>
          <t>做空</t>
        </is>
      </c>
      <c r="D431" s="7" t="n">
        <v>46289</v>
      </c>
      <c r="E431" s="20" t="n">
        <v>7.655</v>
      </c>
      <c r="F431" s="20" t="n">
        <v>7.42535</v>
      </c>
      <c r="G431" s="20" t="n">
        <v>8.037750000000001</v>
      </c>
      <c r="H431" s="7" t="n">
        <v>46289.45833333334</v>
      </c>
      <c r="I431" s="20" t="n">
        <v>8.037750000000001</v>
      </c>
      <c r="J431" s="2" t="inlineStr">
        <is>
          <t>止損</t>
        </is>
      </c>
      <c r="K431" s="5">
        <f>(H431-D431)*24</f>
        <v/>
      </c>
      <c r="L431" s="4">
        <f>IF(C431="做多",I431/E431-1,1-I431/E431)-2*參數!$B$7</f>
        <v/>
      </c>
      <c r="M431" s="2" t="inlineStr"/>
      <c r="N431" s="4" t="n">
        <v>-0.04610591900311523</v>
      </c>
      <c r="O431" s="4" t="n">
        <v>0.03126428162942384</v>
      </c>
      <c r="P431" s="4" t="n">
        <v>-0.0408770555990603</v>
      </c>
      <c r="Q431" s="22" t="n">
        <v>-97052.2000000001</v>
      </c>
      <c r="R431" s="22" t="n">
        <v>3363473.6638</v>
      </c>
      <c r="S431" s="4" t="n">
        <v>0.02455911169170488</v>
      </c>
      <c r="T431" s="4" t="n">
        <v>0.05</v>
      </c>
      <c r="U431" s="19" t="n">
        <v>1.265198935275597</v>
      </c>
      <c r="V431" s="19" t="n">
        <v>0.8439560439560426</v>
      </c>
      <c r="W431" s="4" t="n">
        <v>0.01973840909498359</v>
      </c>
      <c r="X431" s="4" t="n">
        <v>0.008548115529076528</v>
      </c>
      <c r="Y431" s="4" t="n">
        <v>0.006117235975218627</v>
      </c>
      <c r="Z431" s="4" t="n">
        <v>0.02336816424565891</v>
      </c>
      <c r="AA431" s="4" t="n">
        <v>0.03</v>
      </c>
      <c r="AB431" s="4" t="n">
        <v>0.05</v>
      </c>
      <c r="AC431" s="4">
        <f>(AB431+2*參數!$B$7)/(AA431+AB431)</f>
        <v/>
      </c>
    </row>
    <row r="432">
      <c r="A432" s="2" t="n">
        <v>431</v>
      </c>
      <c r="B432" s="2" t="inlineStr">
        <is>
          <t>LSK_USDT_PERP</t>
        </is>
      </c>
      <c r="C432" s="2" t="inlineStr">
        <is>
          <t>做空</t>
        </is>
      </c>
      <c r="D432" s="7" t="n">
        <v>46289</v>
      </c>
      <c r="E432" s="20" t="n">
        <v>0.3011</v>
      </c>
      <c r="F432" s="20" t="n">
        <v>0.292067</v>
      </c>
      <c r="G432" s="20" t="n">
        <v>0.316155</v>
      </c>
      <c r="H432" s="7" t="n">
        <v>46289.16666666666</v>
      </c>
      <c r="I432" s="20" t="n">
        <v>0.316155</v>
      </c>
      <c r="J432" s="2" t="inlineStr">
        <is>
          <t>止損</t>
        </is>
      </c>
      <c r="K432" s="5">
        <f>(H432-D432)*24</f>
        <v/>
      </c>
      <c r="L432" s="4">
        <f>IF(C432="做多",I432/E432-1,1-I432/E432)-2*參數!$B$7</f>
        <v/>
      </c>
      <c r="M432" s="2" t="inlineStr"/>
      <c r="N432" s="4" t="n">
        <v>-0.02113133940182055</v>
      </c>
      <c r="O432" s="4" t="n">
        <v>0.03294207960181764</v>
      </c>
      <c r="P432" s="4" t="n">
        <v>-0.04002805630390094</v>
      </c>
      <c r="Q432" s="22" t="n">
        <v>-707854</v>
      </c>
      <c r="R432" s="22" t="n">
        <v>1506010.2269</v>
      </c>
      <c r="S432" s="4" t="n">
        <v>0.01760212553968776</v>
      </c>
      <c r="T432" s="4" t="n">
        <v>0.05</v>
      </c>
      <c r="U432" s="19" t="n">
        <v>0.5921501246519622</v>
      </c>
      <c r="V432" s="19" t="n">
        <v>0.6791044776119417</v>
      </c>
      <c r="W432" s="4" t="n">
        <v>0.1699014137315012</v>
      </c>
      <c r="X432" s="4" t="n">
        <v>0.09470835838845471</v>
      </c>
      <c r="Y432" s="4" t="n">
        <v>0.006117235975218627</v>
      </c>
      <c r="Z432" s="4" t="n">
        <v>0.02336816424565891</v>
      </c>
      <c r="AA432" s="4" t="n">
        <v>0.03</v>
      </c>
      <c r="AB432" s="4" t="n">
        <v>0.05</v>
      </c>
      <c r="AC432" s="4">
        <f>(AB432+2*參數!$B$7)/(AA432+AB432)</f>
        <v/>
      </c>
    </row>
    <row r="433">
      <c r="A433" s="2" t="n">
        <v>432</v>
      </c>
      <c r="B433" s="2" t="inlineStr">
        <is>
          <t>MARSCOIN_USDT_PERP</t>
        </is>
      </c>
      <c r="C433" s="2" t="inlineStr">
        <is>
          <t>做空</t>
        </is>
      </c>
      <c r="D433" s="7" t="n">
        <v>46289</v>
      </c>
      <c r="E433" s="20" t="n">
        <v>0.12647</v>
      </c>
      <c r="F433" s="20" t="n">
        <v>0.1226759</v>
      </c>
      <c r="G433" s="20" t="n">
        <v>0.1327935</v>
      </c>
      <c r="H433" s="7" t="n">
        <v>46289.04166666666</v>
      </c>
      <c r="I433" s="20" t="n">
        <v>0.1327935</v>
      </c>
      <c r="J433" s="2" t="inlineStr">
        <is>
          <t>止損</t>
        </is>
      </c>
      <c r="K433" s="5">
        <f>(H433-D433)*24</f>
        <v/>
      </c>
      <c r="L433" s="4">
        <f>IF(C433="做多",I433/E433-1,1-I433/E433)-2*參數!$B$7</f>
        <v/>
      </c>
      <c r="M433" s="2" t="inlineStr"/>
      <c r="N433" s="4" t="n">
        <v>-0.03934675275351307</v>
      </c>
      <c r="O433" s="4" t="n">
        <v>0.04984519826826096</v>
      </c>
      <c r="P433" s="4" t="n">
        <v>-0.05027953937018215</v>
      </c>
      <c r="Q433" s="22" t="n">
        <v>-3382177</v>
      </c>
      <c r="R433" s="22" t="n">
        <v>3037257.74583</v>
      </c>
      <c r="S433" s="4" t="n">
        <v>0</v>
      </c>
      <c r="T433" s="4" t="n">
        <v>0.05</v>
      </c>
      <c r="U433" s="19" t="n">
        <v>1.174973460931874</v>
      </c>
      <c r="V433" s="19" t="n">
        <v>0.9178674351585033</v>
      </c>
      <c r="W433" s="4" t="n">
        <v>-0.1574855829116433</v>
      </c>
      <c r="X433" s="4" t="n">
        <v>-0.03893863468331538</v>
      </c>
      <c r="Y433" s="4" t="n">
        <v>0.006117235975218627</v>
      </c>
      <c r="Z433" s="4" t="n">
        <v>0.02336816424565891</v>
      </c>
      <c r="AA433" s="4" t="n">
        <v>0.03</v>
      </c>
      <c r="AB433" s="4" t="n">
        <v>0.05</v>
      </c>
      <c r="AC433" s="4">
        <f>(AB433+2*參數!$B$7)/(AA433+AB433)</f>
        <v/>
      </c>
    </row>
    <row r="434">
      <c r="A434" s="2" t="n">
        <v>433</v>
      </c>
      <c r="B434" s="2" t="inlineStr">
        <is>
          <t>NIL_USDT_PERP</t>
        </is>
      </c>
      <c r="C434" s="2" t="inlineStr">
        <is>
          <t>做多</t>
        </is>
      </c>
      <c r="D434" s="7" t="n">
        <v>46289</v>
      </c>
      <c r="E434" s="20" t="n">
        <v>0.09558</v>
      </c>
      <c r="F434" s="20" t="n">
        <v>0.0984474</v>
      </c>
      <c r="G434" s="20" t="n">
        <v>0.09080099999999999</v>
      </c>
      <c r="H434" s="7" t="n">
        <v>46289.00347222222</v>
      </c>
      <c r="I434" s="20" t="n">
        <v>0.09080099999999999</v>
      </c>
      <c r="J434" s="2" t="inlineStr">
        <is>
          <t>止損</t>
        </is>
      </c>
      <c r="K434" s="5">
        <f>(H434-D434)*24</f>
        <v/>
      </c>
      <c r="L434" s="4">
        <f>IF(C434="做多",I434/E434-1,1-I434/E434)-2*參數!$B$7</f>
        <v/>
      </c>
      <c r="M434" s="2" t="inlineStr">
        <is>
          <t>同1h觸發；5分K判定先止損</t>
        </is>
      </c>
      <c r="N434" s="4" t="n">
        <v>0.05102265229821867</v>
      </c>
      <c r="O434" s="4" t="n">
        <v>0.06778287535435376</v>
      </c>
      <c r="P434" s="4" t="n">
        <v>0.02592725770008952</v>
      </c>
      <c r="Q434" s="22" t="n">
        <v>1427131.100000005</v>
      </c>
      <c r="R434" s="22" t="n">
        <v>2397127.716886</v>
      </c>
      <c r="S434" s="4" t="n">
        <v>0</v>
      </c>
      <c r="T434" s="4" t="n">
        <v>0.05</v>
      </c>
      <c r="U434" s="19" t="n">
        <v>1.035602191154303</v>
      </c>
      <c r="V434" s="19" t="n">
        <v>0.7023121387283232</v>
      </c>
      <c r="W434" s="4" t="n">
        <v>0.3937739513885243</v>
      </c>
      <c r="X434" s="4" t="n">
        <v>0.141799068211683</v>
      </c>
      <c r="Y434" s="4" t="n">
        <v>-0.006117235975218627</v>
      </c>
      <c r="Z434" s="4" t="n">
        <v>-0.02336816424565891</v>
      </c>
      <c r="AA434" s="4" t="n">
        <v>0.03</v>
      </c>
      <c r="AB434" s="4" t="n">
        <v>0.05</v>
      </c>
      <c r="AC434" s="4">
        <f>(AB434+2*參數!$B$7)/(AA434+AB434)</f>
        <v/>
      </c>
    </row>
    <row r="435">
      <c r="A435" s="2" t="n">
        <v>434</v>
      </c>
      <c r="B435" s="2" t="inlineStr">
        <is>
          <t>ONDO_USDT_PERP</t>
        </is>
      </c>
      <c r="C435" s="2" t="inlineStr">
        <is>
          <t>做空</t>
        </is>
      </c>
      <c r="D435" s="7" t="n">
        <v>46289</v>
      </c>
      <c r="E435" s="20" t="n">
        <v>0.4109</v>
      </c>
      <c r="F435" s="20" t="n">
        <v>0.398573</v>
      </c>
      <c r="G435" s="20" t="n">
        <v>0.431445</v>
      </c>
      <c r="H435" s="7" t="n">
        <v>46289.58333333334</v>
      </c>
      <c r="I435" s="20" t="n">
        <v>0.431445</v>
      </c>
      <c r="J435" s="2" t="inlineStr">
        <is>
          <t>止損</t>
        </is>
      </c>
      <c r="K435" s="5">
        <f>(H435-D435)*24</f>
        <v/>
      </c>
      <c r="L435" s="4">
        <f>IF(C435="做多",I435/E435-1,1-I435/E435)-2*參數!$B$7</f>
        <v/>
      </c>
      <c r="M435" s="2" t="inlineStr"/>
      <c r="N435" s="4" t="n">
        <v>-0.02189954772673175</v>
      </c>
      <c r="O435" s="4" t="n">
        <v>0.02058660767656548</v>
      </c>
      <c r="P435" s="4" t="n">
        <v>-0.05628093384320343</v>
      </c>
      <c r="Q435" s="22" t="n">
        <v>-477789.3000000017</v>
      </c>
      <c r="R435" s="22" t="n">
        <v>5699948.57945</v>
      </c>
      <c r="S435" s="4" t="n">
        <v>0.01508882939888045</v>
      </c>
      <c r="T435" s="4" t="n">
        <v>0.05</v>
      </c>
      <c r="U435" s="19" t="n">
        <v>0.669898843544379</v>
      </c>
      <c r="V435" s="19" t="n">
        <v>0.9814814814814835</v>
      </c>
      <c r="W435" s="4" t="n">
        <v>0.04710886010194471</v>
      </c>
      <c r="X435" s="4" t="n">
        <v>0.04352886405959033</v>
      </c>
      <c r="Y435" s="4" t="n">
        <v>0.006117235975218627</v>
      </c>
      <c r="Z435" s="4" t="n">
        <v>0.02336816424565891</v>
      </c>
      <c r="AA435" s="4" t="n">
        <v>0.03</v>
      </c>
      <c r="AB435" s="4" t="n">
        <v>0.05</v>
      </c>
      <c r="AC435" s="4">
        <f>(AB435+2*參數!$B$7)/(AA435+AB435)</f>
        <v/>
      </c>
    </row>
    <row r="436">
      <c r="A436" s="2" t="n">
        <v>435</v>
      </c>
      <c r="B436" s="2" t="inlineStr">
        <is>
          <t>PONS_USDT_PERP</t>
        </is>
      </c>
      <c r="C436" s="2" t="inlineStr">
        <is>
          <t>做空</t>
        </is>
      </c>
      <c r="D436" s="7" t="n">
        <v>46289</v>
      </c>
      <c r="E436" s="20" t="n">
        <v>0.6631</v>
      </c>
      <c r="F436" s="20" t="n">
        <v>0.643207</v>
      </c>
      <c r="G436" s="20" t="n">
        <v>0.6962550000000001</v>
      </c>
      <c r="H436" s="7" t="n">
        <v>46289.20833333334</v>
      </c>
      <c r="I436" s="20" t="n">
        <v>0.643207</v>
      </c>
      <c r="J436" s="2" t="inlineStr">
        <is>
          <t>止盈</t>
        </is>
      </c>
      <c r="K436" s="5">
        <f>(H436-D436)*24</f>
        <v/>
      </c>
      <c r="L436" s="4">
        <f>IF(C436="做多",I436/E436-1,1-I436/E436)-2*參數!$B$7</f>
        <v/>
      </c>
      <c r="M436" s="2" t="inlineStr"/>
      <c r="N436" s="4" t="n">
        <v>-0.02125461254612537</v>
      </c>
      <c r="O436" s="4" t="n">
        <v>0.03616590124640753</v>
      </c>
      <c r="P436" s="4" t="n">
        <v>-0.04682502605383243</v>
      </c>
      <c r="Q436" s="22" t="n">
        <v>-760348</v>
      </c>
      <c r="R436" s="22" t="n">
        <v>4664900.1479</v>
      </c>
      <c r="S436" s="4" t="n">
        <v>0.03</v>
      </c>
      <c r="T436" s="4" t="n">
        <v>0.01854923842557676</v>
      </c>
      <c r="U436" s="19" t="n">
        <v>1.462941554709758</v>
      </c>
      <c r="V436" s="19" t="n">
        <v>0.9324894514767914</v>
      </c>
      <c r="W436" s="4" t="n">
        <v>-0.0683943150015065</v>
      </c>
      <c r="X436" s="4" t="n">
        <v>-0.06436597110754416</v>
      </c>
      <c r="Y436" s="4" t="n">
        <v>0.006117235975218627</v>
      </c>
      <c r="Z436" s="4" t="n">
        <v>0.02336816424565891</v>
      </c>
      <c r="AA436" s="4" t="n">
        <v>0.03</v>
      </c>
      <c r="AB436" s="4" t="n">
        <v>0.05</v>
      </c>
      <c r="AC436" s="4">
        <f>(AB436+2*參數!$B$7)/(AA436+AB436)</f>
        <v/>
      </c>
    </row>
    <row r="437">
      <c r="A437" s="2" t="n">
        <v>436</v>
      </c>
      <c r="B437" s="2" t="inlineStr">
        <is>
          <t>MET_USDT_PERP</t>
        </is>
      </c>
      <c r="C437" s="2" t="inlineStr">
        <is>
          <t>做空</t>
        </is>
      </c>
      <c r="D437" s="7" t="n">
        <v>46289.04166666666</v>
      </c>
      <c r="E437" s="20" t="n">
        <v>0.3528</v>
      </c>
      <c r="F437" s="20" t="n">
        <v>0.342216</v>
      </c>
      <c r="G437" s="20" t="n">
        <v>0.37044</v>
      </c>
      <c r="H437" s="7" t="n">
        <v>46289.20833333334</v>
      </c>
      <c r="I437" s="20" t="n">
        <v>0.342216</v>
      </c>
      <c r="J437" s="2" t="inlineStr">
        <is>
          <t>止盈</t>
        </is>
      </c>
      <c r="K437" s="5">
        <f>(H437-D437)*24</f>
        <v/>
      </c>
      <c r="L437" s="4">
        <f>IF(C437="做多",I437/E437-1,1-I437/E437)-2*參數!$B$7</f>
        <v/>
      </c>
      <c r="M437" s="2" t="inlineStr"/>
      <c r="N437" s="4" t="n">
        <v>-0.02622136351090254</v>
      </c>
      <c r="O437" s="4" t="n">
        <v>0.04377815487237101</v>
      </c>
      <c r="P437" s="4" t="n">
        <v>-0.01474530831099197</v>
      </c>
      <c r="Q437" s="22" t="n">
        <v>-388486</v>
      </c>
      <c r="R437" s="22" t="n">
        <v>1305741.4847</v>
      </c>
      <c r="S437" s="4" t="n">
        <v>0.03</v>
      </c>
      <c r="T437" s="4" t="n">
        <v>0.01785714285714279</v>
      </c>
      <c r="U437" s="19" t="n">
        <v>1.20508212751025</v>
      </c>
      <c r="V437" s="19" t="n">
        <v>0.6645569620253156</v>
      </c>
      <c r="W437" s="4" t="n">
        <v>-0.2341187664409246</v>
      </c>
      <c r="X437" s="4" t="n">
        <v>-0.172093023255814</v>
      </c>
      <c r="Y437" s="4" t="n">
        <v>-0.0004585200164828329</v>
      </c>
      <c r="Z437" s="4" t="n">
        <v>0.02165405489951822</v>
      </c>
      <c r="AA437" s="4" t="n">
        <v>0.03</v>
      </c>
      <c r="AB437" s="4" t="n">
        <v>0.05</v>
      </c>
      <c r="AC437" s="4">
        <f>(AB437+2*參數!$B$7)/(AA437+AB437)</f>
        <v/>
      </c>
    </row>
    <row r="438">
      <c r="A438" s="2" t="n">
        <v>437</v>
      </c>
      <c r="B438" s="2" t="inlineStr">
        <is>
          <t>ZRO_USDT_PERP</t>
        </is>
      </c>
      <c r="C438" s="2" t="inlineStr">
        <is>
          <t>做多</t>
        </is>
      </c>
      <c r="D438" s="7" t="n">
        <v>46289.04166666666</v>
      </c>
      <c r="E438" s="20" t="n">
        <v>1.4611</v>
      </c>
      <c r="F438" s="20" t="n">
        <v>1.504933</v>
      </c>
      <c r="G438" s="20" t="n">
        <v>1.388045</v>
      </c>
      <c r="H438" s="7" t="n">
        <v>46289.08333333334</v>
      </c>
      <c r="I438" s="20" t="n">
        <v>1.504933</v>
      </c>
      <c r="J438" s="2" t="inlineStr">
        <is>
          <t>止盈</t>
        </is>
      </c>
      <c r="K438" s="5">
        <f>(H438-D438)*24</f>
        <v/>
      </c>
      <c r="L438" s="4">
        <f>IF(C438="做多",I438/E438-1,1-I438/E438)-2*參數!$B$7</f>
        <v/>
      </c>
      <c r="M438" s="2" t="inlineStr"/>
      <c r="N438" s="4" t="n">
        <v>0.02074891714405491</v>
      </c>
      <c r="O438" s="4" t="n">
        <v>0.04371371140095691</v>
      </c>
      <c r="P438" s="4" t="n">
        <v>0.01839751028957193</v>
      </c>
      <c r="Q438" s="22" t="n">
        <v>262113.2999999998</v>
      </c>
      <c r="R438" s="22" t="n">
        <v>2036642.10852</v>
      </c>
      <c r="S438" s="4" t="n">
        <v>0.03</v>
      </c>
      <c r="T438" s="4" t="n">
        <v>0</v>
      </c>
      <c r="U438" s="19" t="n">
        <v>3.336493247534907</v>
      </c>
      <c r="V438" s="19" t="n">
        <v>0.5246511627906981</v>
      </c>
      <c r="W438" s="4" t="n">
        <v>0.1978409185933836</v>
      </c>
      <c r="X438" s="4" t="n">
        <v>0.05410865016954047</v>
      </c>
      <c r="Y438" s="4" t="n">
        <v>0.0004585200164828329</v>
      </c>
      <c r="Z438" s="4" t="n">
        <v>-0.02165405489951822</v>
      </c>
      <c r="AA438" s="4" t="n">
        <v>0.03</v>
      </c>
      <c r="AB438" s="4" t="n">
        <v>0.05</v>
      </c>
      <c r="AC438" s="4">
        <f>(AB438+2*參數!$B$7)/(AA438+AB438)</f>
        <v/>
      </c>
    </row>
    <row r="439">
      <c r="A439" s="2" t="n">
        <v>438</v>
      </c>
      <c r="B439" s="2" t="inlineStr">
        <is>
          <t>LIT_USDT_PERP</t>
        </is>
      </c>
      <c r="C439" s="2" t="inlineStr">
        <is>
          <t>做多</t>
        </is>
      </c>
      <c r="D439" s="7" t="n">
        <v>46289.08333333334</v>
      </c>
      <c r="E439" s="20" t="n">
        <v>5.424</v>
      </c>
      <c r="F439" s="20" t="n">
        <v>5.586720000000001</v>
      </c>
      <c r="G439" s="20" t="n">
        <v>5.1528</v>
      </c>
      <c r="H439" s="7" t="n">
        <v>46289.54166666666</v>
      </c>
      <c r="I439" s="20" t="n">
        <v>5.1528</v>
      </c>
      <c r="J439" s="2" t="inlineStr">
        <is>
          <t>止損</t>
        </is>
      </c>
      <c r="K439" s="5">
        <f>(H439-D439)*24</f>
        <v/>
      </c>
      <c r="L439" s="4">
        <f>IF(C439="做多",I439/E439-1,1-I439/E439)-2*參數!$B$7</f>
        <v/>
      </c>
      <c r="M439" s="2" t="inlineStr"/>
      <c r="N439" s="4" t="n">
        <v>0.0214689265536725</v>
      </c>
      <c r="O439" s="4" t="n">
        <v>0.02870811567499218</v>
      </c>
      <c r="P439" s="4" t="n">
        <v>0.04321735618256306</v>
      </c>
      <c r="Q439" s="22" t="n">
        <v>370852.8999999998</v>
      </c>
      <c r="R439" s="22" t="n">
        <v>8938456.6841</v>
      </c>
      <c r="S439" s="4" t="n">
        <v>0.0252581120943951</v>
      </c>
      <c r="T439" s="4" t="n">
        <v>0.05</v>
      </c>
      <c r="U439" s="19" t="n">
        <v>1.132367439316593</v>
      </c>
      <c r="V439" s="19" t="n">
        <v>0.8768472906403963</v>
      </c>
      <c r="W439" s="4" t="n">
        <v>0.1089371254730465</v>
      </c>
      <c r="X439" s="4" t="n">
        <v>0.1044593769089801</v>
      </c>
      <c r="Y439" s="4" t="n">
        <v>0.003280784436034745</v>
      </c>
      <c r="Z439" s="4" t="n">
        <v>-0.01737813369945806</v>
      </c>
      <c r="AA439" s="4" t="n">
        <v>0.03</v>
      </c>
      <c r="AB439" s="4" t="n">
        <v>0.05</v>
      </c>
      <c r="AC439" s="4">
        <f>(AB439+2*參數!$B$7)/(AA439+AB439)</f>
        <v/>
      </c>
    </row>
    <row r="440">
      <c r="A440" s="2" t="n">
        <v>439</v>
      </c>
      <c r="B440" s="2" t="inlineStr">
        <is>
          <t>AR_USDT_PERP</t>
        </is>
      </c>
      <c r="C440" s="2" t="inlineStr">
        <is>
          <t>做空</t>
        </is>
      </c>
      <c r="D440" s="7" t="n">
        <v>46289.125</v>
      </c>
      <c r="E440" s="20" t="n">
        <v>4.405</v>
      </c>
      <c r="F440" s="20" t="n">
        <v>4.27285</v>
      </c>
      <c r="G440" s="20" t="n">
        <v>4.62525</v>
      </c>
      <c r="H440" s="7" t="n">
        <v>46289.33333333334</v>
      </c>
      <c r="I440" s="20" t="n">
        <v>4.27285</v>
      </c>
      <c r="J440" s="2" t="inlineStr">
        <is>
          <t>止盈</t>
        </is>
      </c>
      <c r="K440" s="5">
        <f>(H440-D440)*24</f>
        <v/>
      </c>
      <c r="L440" s="4">
        <f>IF(C440="做多",I440/E440-1,1-I440/E440)-2*參數!$B$7</f>
        <v/>
      </c>
      <c r="M440" s="2" t="inlineStr"/>
      <c r="N440" s="4" t="n">
        <v>-0.02802294792586046</v>
      </c>
      <c r="O440" s="4" t="n">
        <v>0.03280725079346426</v>
      </c>
      <c r="P440" s="4" t="n">
        <v>-0.02697090852863859</v>
      </c>
      <c r="Q440" s="22" t="n">
        <v>-139304.0000000001</v>
      </c>
      <c r="R440" s="22" t="n">
        <v>1850177.4343</v>
      </c>
      <c r="S440" s="4" t="n">
        <v>0.03</v>
      </c>
      <c r="T440" s="4" t="n">
        <v>0.0108967082860385</v>
      </c>
      <c r="U440" s="19" t="n">
        <v>1.23244951514631</v>
      </c>
      <c r="V440" s="19" t="n">
        <v>0.8124999999999987</v>
      </c>
      <c r="W440" s="4" t="n">
        <v>0.01970384151470783</v>
      </c>
      <c r="X440" s="4" t="n">
        <v>-0.01450944265315535</v>
      </c>
      <c r="Y440" s="4" t="n">
        <v>-1.423827033497638e-05</v>
      </c>
      <c r="Z440" s="4" t="n">
        <v>0.01633225453809717</v>
      </c>
      <c r="AA440" s="4" t="n">
        <v>0.03</v>
      </c>
      <c r="AB440" s="4" t="n">
        <v>0.05</v>
      </c>
      <c r="AC440" s="4">
        <f>(AB440+2*參數!$B$7)/(AA440+AB440)</f>
        <v/>
      </c>
    </row>
    <row r="441">
      <c r="A441" s="2" t="n">
        <v>440</v>
      </c>
      <c r="B441" s="2" t="inlineStr">
        <is>
          <t>AKE_USDT_PERP</t>
        </is>
      </c>
      <c r="C441" s="2" t="inlineStr">
        <is>
          <t>做空</t>
        </is>
      </c>
      <c r="D441" s="7" t="n">
        <v>46289.16666666666</v>
      </c>
      <c r="E441" s="20" t="n">
        <v>0.0457845</v>
      </c>
      <c r="F441" s="20" t="n">
        <v>0.044410965</v>
      </c>
      <c r="G441" s="20" t="n">
        <v>0.048073725</v>
      </c>
      <c r="H441" s="7" t="n">
        <v>46289.20833333334</v>
      </c>
      <c r="I441" s="20" t="n">
        <v>0.044410965</v>
      </c>
      <c r="J441" s="2" t="inlineStr">
        <is>
          <t>止盈</t>
        </is>
      </c>
      <c r="K441" s="5">
        <f>(H441-D441)*24</f>
        <v/>
      </c>
      <c r="L441" s="4">
        <f>IF(C441="做多",I441/E441-1,1-I441/E441)-2*參數!$B$7</f>
        <v/>
      </c>
      <c r="M441" s="2" t="inlineStr"/>
      <c r="N441" s="4" t="n">
        <v>-0.04891044683105183</v>
      </c>
      <c r="O441" s="4" t="n">
        <v>0.07418933946172623</v>
      </c>
      <c r="P441" s="4" t="n">
        <v>-0.0295653556241473</v>
      </c>
      <c r="Q441" s="22" t="n">
        <v>-21763762</v>
      </c>
      <c r="R441" s="22" t="n">
        <v>5858648.9970189</v>
      </c>
      <c r="S441" s="4" t="n">
        <v>0.03</v>
      </c>
      <c r="T441" s="4" t="n">
        <v>0</v>
      </c>
      <c r="U441" s="19" t="n">
        <v>0.4465892725822677</v>
      </c>
      <c r="V441" s="19" t="n">
        <v>0.9022238559088418</v>
      </c>
      <c r="W441" s="4" t="n">
        <v>0.1560941350270397</v>
      </c>
      <c r="X441" s="4" t="n">
        <v>0.09852624117664432</v>
      </c>
      <c r="Y441" s="4" t="n">
        <v>-0.002178424344247976</v>
      </c>
      <c r="Z441" s="4" t="n">
        <v>0.01321397228087018</v>
      </c>
      <c r="AA441" s="4" t="n">
        <v>0.03</v>
      </c>
      <c r="AB441" s="4" t="n">
        <v>0.05</v>
      </c>
      <c r="AC441" s="4">
        <f>(AB441+2*參數!$B$7)/(AA441+AB441)</f>
        <v/>
      </c>
    </row>
    <row r="442">
      <c r="A442" s="2" t="n">
        <v>441</v>
      </c>
      <c r="B442" s="2" t="inlineStr">
        <is>
          <t>BCH_USDT_PERP</t>
        </is>
      </c>
      <c r="C442" s="2" t="inlineStr">
        <is>
          <t>做空</t>
        </is>
      </c>
      <c r="D442" s="7" t="n">
        <v>46289.20833333334</v>
      </c>
      <c r="E442" s="20" t="n">
        <v>338.14</v>
      </c>
      <c r="F442" s="20" t="n">
        <v>327.9958</v>
      </c>
      <c r="G442" s="20" t="n">
        <v>355.047</v>
      </c>
      <c r="H442" s="7" t="n">
        <v>46289.75</v>
      </c>
      <c r="I442" s="20" t="n">
        <v>327.9958</v>
      </c>
      <c r="J442" s="2" t="inlineStr">
        <is>
          <t>止盈</t>
        </is>
      </c>
      <c r="K442" s="5">
        <f>(H442-D442)*24</f>
        <v/>
      </c>
      <c r="L442" s="4">
        <f>IF(C442="做多",I442/E442-1,1-I442/E442)-2*參數!$B$7</f>
        <v/>
      </c>
      <c r="M442" s="2" t="inlineStr"/>
      <c r="N442" s="4" t="n">
        <v>-0.02181208053691286</v>
      </c>
      <c r="O442" s="4" t="n">
        <v>0.03330948227031632</v>
      </c>
      <c r="P442" s="4" t="n">
        <v>-0.02766275592362555</v>
      </c>
      <c r="Q442" s="22" t="n">
        <v>-77.79899999999975</v>
      </c>
      <c r="R442" s="22" t="n">
        <v>3702483.45958</v>
      </c>
      <c r="S442" s="4" t="n">
        <v>0.03</v>
      </c>
      <c r="T442" s="4" t="n">
        <v>0.02425031052226889</v>
      </c>
      <c r="U442" s="19" t="n">
        <v>0.7920157884546282</v>
      </c>
      <c r="V442" s="19" t="n">
        <v>0.8395061728395063</v>
      </c>
      <c r="W442" s="4" t="n">
        <v>-0.1862908921108182</v>
      </c>
      <c r="X442" s="4" t="n">
        <v>0.00763045137054652</v>
      </c>
      <c r="Y442" s="4" t="n">
        <v>0.003153980301830117</v>
      </c>
      <c r="Z442" s="4" t="n">
        <v>0.01504611771185205</v>
      </c>
      <c r="AA442" s="4" t="n">
        <v>0.03</v>
      </c>
      <c r="AB442" s="4" t="n">
        <v>0.05</v>
      </c>
      <c r="AC442" s="4">
        <f>(AB442+2*參數!$B$7)/(AA442+AB442)</f>
        <v/>
      </c>
    </row>
    <row r="443">
      <c r="A443" s="2" t="n">
        <v>442</v>
      </c>
      <c r="B443" s="2" t="inlineStr">
        <is>
          <t>NIL_USDT_PERP</t>
        </is>
      </c>
      <c r="C443" s="2" t="inlineStr">
        <is>
          <t>做多</t>
        </is>
      </c>
      <c r="D443" s="7" t="n">
        <v>46289.25</v>
      </c>
      <c r="E443" s="20" t="n">
        <v>0.09933</v>
      </c>
      <c r="F443" s="20" t="n">
        <v>0.1023099</v>
      </c>
      <c r="G443" s="20" t="n">
        <v>0.0943635</v>
      </c>
      <c r="H443" s="7" t="n">
        <v>46289.29166666666</v>
      </c>
      <c r="I443" s="20" t="n">
        <v>0.1023099</v>
      </c>
      <c r="J443" s="2" t="inlineStr">
        <is>
          <t>止盈</t>
        </is>
      </c>
      <c r="K443" s="5">
        <f>(H443-D443)*24</f>
        <v/>
      </c>
      <c r="L443" s="4">
        <f>IF(C443="做多",I443/E443-1,1-I443/E443)-2*參數!$B$7</f>
        <v/>
      </c>
      <c r="M443" s="2" t="inlineStr"/>
      <c r="N443" s="4" t="n">
        <v>0.03404122423485312</v>
      </c>
      <c r="O443" s="4" t="n">
        <v>0.06117925487277764</v>
      </c>
      <c r="P443" s="4" t="n">
        <v>0.01370589976221326</v>
      </c>
      <c r="Q443" s="22" t="n">
        <v>1260683.500000007</v>
      </c>
      <c r="R443" s="22" t="n">
        <v>2589349.464466</v>
      </c>
      <c r="S443" s="4" t="n">
        <v>0.03</v>
      </c>
      <c r="T443" s="4" t="n">
        <v>0</v>
      </c>
      <c r="U443" s="19" t="n">
        <v>0.8958639075505965</v>
      </c>
      <c r="V443" s="19" t="n">
        <v>0.8901960784313717</v>
      </c>
      <c r="W443" s="4" t="n">
        <v>0.3888015033115637</v>
      </c>
      <c r="X443" s="4" t="n">
        <v>0.2674492790608651</v>
      </c>
      <c r="Y443" s="4" t="n">
        <v>0.002072488399409433</v>
      </c>
      <c r="Z443" s="4" t="n">
        <v>-0.01187201584887365</v>
      </c>
      <c r="AA443" s="4" t="n">
        <v>0.03</v>
      </c>
      <c r="AB443" s="4" t="n">
        <v>0.05</v>
      </c>
      <c r="AC443" s="4">
        <f>(AB443+2*參數!$B$7)/(AA443+AB443)</f>
        <v/>
      </c>
    </row>
    <row r="444">
      <c r="A444" s="2" t="n">
        <v>443</v>
      </c>
      <c r="B444" s="2" t="inlineStr">
        <is>
          <t>BR_USDT_PERP</t>
        </is>
      </c>
      <c r="C444" s="2" t="inlineStr">
        <is>
          <t>做空</t>
        </is>
      </c>
      <c r="D444" s="7" t="n">
        <v>46289.33333333334</v>
      </c>
      <c r="E444" s="20" t="n">
        <v>1.07648</v>
      </c>
      <c r="F444" s="20" t="n">
        <v>1.0441856</v>
      </c>
      <c r="G444" s="20" t="n">
        <v>1.130304</v>
      </c>
      <c r="H444" s="7" t="n">
        <v>46289.70833333334</v>
      </c>
      <c r="I444" s="20" t="n">
        <v>1.0441856</v>
      </c>
      <c r="J444" s="2" t="inlineStr">
        <is>
          <t>止盈</t>
        </is>
      </c>
      <c r="K444" s="5">
        <f>(H444-D444)*24</f>
        <v/>
      </c>
      <c r="L444" s="4">
        <f>IF(C444="做多",I444/E444-1,1-I444/E444)-2*參數!$B$7</f>
        <v/>
      </c>
      <c r="M444" s="2" t="inlineStr"/>
      <c r="N444" s="4" t="n">
        <v>-0.03059993155989404</v>
      </c>
      <c r="O444" s="4" t="n">
        <v>0.05483017616994453</v>
      </c>
      <c r="P444" s="4" t="n">
        <v>-0.01642459815652708</v>
      </c>
      <c r="Q444" s="22" t="n">
        <v>-226431</v>
      </c>
      <c r="R444" s="22" t="n">
        <v>3656956.56804</v>
      </c>
      <c r="S444" s="4" t="n">
        <v>0.03</v>
      </c>
      <c r="T444" s="4" t="n">
        <v>0.0167118757431628</v>
      </c>
      <c r="U444" s="19" t="n">
        <v>0.5741019631375132</v>
      </c>
      <c r="V444" s="19" t="n">
        <v>0.7714107105646978</v>
      </c>
      <c r="W444" s="4" t="n">
        <v>0.05508695248776552</v>
      </c>
      <c r="X444" s="4" t="n">
        <v>0.06358844099584193</v>
      </c>
      <c r="Y444" s="4" t="n">
        <v>0.001998249018030362</v>
      </c>
      <c r="Z444" s="4" t="n">
        <v>0.009588563817062523</v>
      </c>
      <c r="AA444" s="4" t="n">
        <v>0.03</v>
      </c>
      <c r="AB444" s="4" t="n">
        <v>0.05</v>
      </c>
      <c r="AC444" s="4">
        <f>(AB444+2*參數!$B$7)/(AA444+AB444)</f>
        <v/>
      </c>
    </row>
    <row r="445">
      <c r="A445" s="2" t="n">
        <v>444</v>
      </c>
      <c r="B445" s="2" t="inlineStr">
        <is>
          <t>MARSCOIN_USDT_PERP</t>
        </is>
      </c>
      <c r="C445" s="2" t="inlineStr">
        <is>
          <t>做空</t>
        </is>
      </c>
      <c r="D445" s="7" t="n">
        <v>46289.41666666666</v>
      </c>
      <c r="E445" s="20" t="n">
        <v>0.12601</v>
      </c>
      <c r="F445" s="20" t="n">
        <v>0.1222297</v>
      </c>
      <c r="G445" s="20" t="n">
        <v>0.1323105</v>
      </c>
      <c r="H445" s="7" t="n">
        <v>46289.625</v>
      </c>
      <c r="I445" s="20" t="n">
        <v>0.1222297</v>
      </c>
      <c r="J445" s="2" t="inlineStr">
        <is>
          <t>止盈</t>
        </is>
      </c>
      <c r="K445" s="5">
        <f>(H445-D445)*24</f>
        <v/>
      </c>
      <c r="L445" s="4">
        <f>IF(C445="做多",I445/E445-1,1-I445/E445)-2*參數!$B$7</f>
        <v/>
      </c>
      <c r="M445" s="2" t="inlineStr"/>
      <c r="N445" s="4" t="n">
        <v>-0.07291053560918193</v>
      </c>
      <c r="O445" s="4" t="n">
        <v>0.05134792312992966</v>
      </c>
      <c r="P445" s="4" t="n">
        <v>-0.05485884011880826</v>
      </c>
      <c r="Q445" s="22" t="n">
        <v>-1649031</v>
      </c>
      <c r="R445" s="22" t="n">
        <v>2345587.318070001</v>
      </c>
      <c r="S445" s="4" t="n">
        <v>0.03</v>
      </c>
      <c r="T445" s="4" t="n">
        <v>0.03348940560272995</v>
      </c>
      <c r="U445" s="19" t="n">
        <v>0.8980951234640033</v>
      </c>
      <c r="V445" s="19" t="n">
        <v>0.9570200573065897</v>
      </c>
      <c r="W445" s="4" t="n">
        <v>-0.1164596507176228</v>
      </c>
      <c r="X445" s="4" t="n">
        <v>0.06256509447998815</v>
      </c>
      <c r="Y445" s="4" t="n">
        <v>0.00246445115237115</v>
      </c>
      <c r="Z445" s="4" t="n">
        <v>0.009896827326949853</v>
      </c>
      <c r="AA445" s="4" t="n">
        <v>0.03</v>
      </c>
      <c r="AB445" s="4" t="n">
        <v>0.05</v>
      </c>
      <c r="AC445" s="4">
        <f>(AB445+2*參數!$B$7)/(AA445+AB445)</f>
        <v/>
      </c>
    </row>
    <row r="446">
      <c r="A446" s="2" t="n">
        <v>445</v>
      </c>
      <c r="B446" s="2" t="inlineStr">
        <is>
          <t>NEAR_USDT_PERP</t>
        </is>
      </c>
      <c r="C446" s="2" t="inlineStr">
        <is>
          <t>做多</t>
        </is>
      </c>
      <c r="D446" s="7" t="n">
        <v>46289.54166666666</v>
      </c>
      <c r="E446" s="20" t="n">
        <v>4.494</v>
      </c>
      <c r="F446" s="20" t="n">
        <v>4.62882</v>
      </c>
      <c r="G446" s="20" t="n">
        <v>4.269299999999999</v>
      </c>
      <c r="H446" s="7" t="n">
        <v>46289.625</v>
      </c>
      <c r="I446" s="20" t="n">
        <v>4.269299999999999</v>
      </c>
      <c r="J446" s="2" t="inlineStr">
        <is>
          <t>止損</t>
        </is>
      </c>
      <c r="K446" s="5">
        <f>(H446-D446)*24</f>
        <v/>
      </c>
      <c r="L446" s="4">
        <f>IF(C446="做多",I446/E446-1,1-I446/E446)-2*參數!$B$7</f>
        <v/>
      </c>
      <c r="M446" s="2" t="inlineStr"/>
      <c r="N446" s="4" t="n">
        <v>0.02908174948477216</v>
      </c>
      <c r="O446" s="4" t="n">
        <v>0.03610447918243338</v>
      </c>
      <c r="P446" s="4" t="n">
        <v>0.01080758892925004</v>
      </c>
      <c r="Q446" s="22" t="n">
        <v>839181</v>
      </c>
      <c r="R446" s="22" t="n">
        <v>30136162.013</v>
      </c>
      <c r="S446" s="4" t="n">
        <v>0.01223854027592353</v>
      </c>
      <c r="T446" s="4" t="n">
        <v>0.05</v>
      </c>
      <c r="U446" s="19" t="n">
        <v>0.3980010779409541</v>
      </c>
      <c r="V446" s="19" t="n">
        <v>0.8316831683168326</v>
      </c>
      <c r="W446" s="4" t="n">
        <v>0.06503238466296479</v>
      </c>
      <c r="X446" s="4" t="n">
        <v>0.02673063742289239</v>
      </c>
      <c r="Y446" s="4" t="n">
        <v>0.001187094990244608</v>
      </c>
      <c r="Z446" s="4" t="n">
        <v>-0.007099491758728149</v>
      </c>
      <c r="AA446" s="4" t="n">
        <v>0.03</v>
      </c>
      <c r="AB446" s="4" t="n">
        <v>0.05</v>
      </c>
      <c r="AC446" s="4">
        <f>(AB446+2*參數!$B$7)/(AA446+AB446)</f>
        <v/>
      </c>
    </row>
    <row r="447">
      <c r="A447" s="2" t="n">
        <v>446</v>
      </c>
      <c r="B447" s="2" t="inlineStr">
        <is>
          <t>RAY_USDT_PERP</t>
        </is>
      </c>
      <c r="C447" s="2" t="inlineStr">
        <is>
          <t>做多</t>
        </is>
      </c>
      <c r="D447" s="7" t="n">
        <v>46289.54166666666</v>
      </c>
      <c r="E447" s="20" t="n">
        <v>2.046</v>
      </c>
      <c r="F447" s="20" t="n">
        <v>2.10738</v>
      </c>
      <c r="G447" s="20" t="n">
        <v>1.9437</v>
      </c>
      <c r="H447" s="7" t="n">
        <v>46289.58333333334</v>
      </c>
      <c r="I447" s="20" t="n">
        <v>2.10738</v>
      </c>
      <c r="J447" s="2" t="inlineStr">
        <is>
          <t>止盈</t>
        </is>
      </c>
      <c r="K447" s="5">
        <f>(H447-D447)*24</f>
        <v/>
      </c>
      <c r="L447" s="4">
        <f>IF(C447="做多",I447/E447-1,1-I447/E447)-2*參數!$B$7</f>
        <v/>
      </c>
      <c r="M447" s="2" t="inlineStr"/>
      <c r="N447" s="4" t="n">
        <v>0.03963414634146334</v>
      </c>
      <c r="O447" s="4" t="n">
        <v>0.03165247204284181</v>
      </c>
      <c r="P447" s="4" t="n">
        <v>0.02502442323589094</v>
      </c>
      <c r="Q447" s="22" t="n">
        <v>230938.6999999997</v>
      </c>
      <c r="R447" s="22" t="n">
        <v>1636298.1658</v>
      </c>
      <c r="S447" s="4" t="n">
        <v>0.03</v>
      </c>
      <c r="T447" s="4" t="n">
        <v>0</v>
      </c>
      <c r="U447" s="19" t="n">
        <v>0.5933321061864697</v>
      </c>
      <c r="V447" s="19" t="n">
        <v>0.9473684210526281</v>
      </c>
      <c r="W447" s="4" t="n">
        <v>0.1434958781612405</v>
      </c>
      <c r="X447" s="4" t="n">
        <v>0.124175824175824</v>
      </c>
      <c r="Y447" s="4" t="n">
        <v>0.001187094990244608</v>
      </c>
      <c r="Z447" s="4" t="n">
        <v>-0.007099491758728149</v>
      </c>
      <c r="AA447" s="4" t="n">
        <v>0.03</v>
      </c>
      <c r="AB447" s="4" t="n">
        <v>0.05</v>
      </c>
      <c r="AC447" s="4">
        <f>(AB447+2*參數!$B$7)/(AA447+AB447)</f>
        <v/>
      </c>
    </row>
    <row r="448">
      <c r="A448" s="2" t="n">
        <v>447</v>
      </c>
      <c r="B448" s="2" t="inlineStr">
        <is>
          <t>LIT_USDT_PERP</t>
        </is>
      </c>
      <c r="C448" s="2" t="inlineStr">
        <is>
          <t>做多</t>
        </is>
      </c>
      <c r="D448" s="7" t="n">
        <v>46289.66666666666</v>
      </c>
      <c r="E448" s="20" t="n">
        <v>5.48</v>
      </c>
      <c r="F448" s="20" t="n">
        <v>5.644400000000001</v>
      </c>
      <c r="G448" s="20" t="n">
        <v>5.206</v>
      </c>
      <c r="H448" s="7" t="n">
        <v>46289.75</v>
      </c>
      <c r="I448" s="20" t="n">
        <v>5.206</v>
      </c>
      <c r="J448" s="2" t="inlineStr">
        <is>
          <t>止損</t>
        </is>
      </c>
      <c r="K448" s="5">
        <f>(H448-D448)*24</f>
        <v/>
      </c>
      <c r="L448" s="4">
        <f>IF(C448="做多",I448/E448-1,1-I448/E448)-2*參數!$B$7</f>
        <v/>
      </c>
      <c r="M448" s="2" t="inlineStr"/>
      <c r="N448" s="4" t="n">
        <v>0.04680038204393511</v>
      </c>
      <c r="O448" s="4" t="n">
        <v>0.02906907074769146</v>
      </c>
      <c r="P448" s="4" t="n">
        <v>0.02753532152667759</v>
      </c>
      <c r="Q448" s="22" t="n">
        <v>156787.2000000001</v>
      </c>
      <c r="R448" s="22" t="n">
        <v>9420537.3901</v>
      </c>
      <c r="S448" s="4" t="n">
        <v>0.001459854014598472</v>
      </c>
      <c r="T448" s="4" t="n">
        <v>0.05</v>
      </c>
      <c r="U448" s="19" t="n">
        <v>0.8668231548558555</v>
      </c>
      <c r="V448" s="19" t="n">
        <v>0.8950819672131175</v>
      </c>
      <c r="W448" s="4" t="n">
        <v>0.1059245670648399</v>
      </c>
      <c r="X448" s="4" t="n">
        <v>0.06078203639179258</v>
      </c>
      <c r="Y448" s="4" t="n">
        <v>0.004729369671132799</v>
      </c>
      <c r="Z448" s="4" t="n">
        <v>0.001276785558703031</v>
      </c>
      <c r="AA448" s="4" t="n">
        <v>0.03</v>
      </c>
      <c r="AB448" s="4" t="n">
        <v>0.05</v>
      </c>
      <c r="AC448" s="4">
        <f>(AB448+2*參數!$B$7)/(AA448+AB448)</f>
        <v/>
      </c>
    </row>
    <row r="449">
      <c r="A449" s="2" t="n">
        <v>448</v>
      </c>
      <c r="B449" s="2" t="inlineStr">
        <is>
          <t>ENA_USDT_PERP</t>
        </is>
      </c>
      <c r="C449" s="2" t="inlineStr">
        <is>
          <t>做空</t>
        </is>
      </c>
      <c r="D449" s="7" t="n">
        <v>46289.70833333334</v>
      </c>
      <c r="E449" s="20" t="n">
        <v>0.203</v>
      </c>
      <c r="F449" s="20" t="n">
        <v>0.19691</v>
      </c>
      <c r="G449" s="20" t="n">
        <v>0.21315</v>
      </c>
      <c r="H449" s="7" t="n">
        <v>46289.91666666666</v>
      </c>
      <c r="I449" s="20" t="n">
        <v>0.21315</v>
      </c>
      <c r="J449" s="2" t="inlineStr">
        <is>
          <t>止損</t>
        </is>
      </c>
      <c r="K449" s="5">
        <f>(H449-D449)*24</f>
        <v/>
      </c>
      <c r="L449" s="4">
        <f>IF(C449="做多",I449/E449-1,1-I449/E449)-2*參數!$B$7</f>
        <v/>
      </c>
      <c r="M449" s="2" t="inlineStr"/>
      <c r="N449" s="4" t="n">
        <v>-0.02262879152623964</v>
      </c>
      <c r="O449" s="4" t="n">
        <v>0.02454909929844816</v>
      </c>
      <c r="P449" s="4" t="n">
        <v>-0.01799535603715174</v>
      </c>
      <c r="Q449" s="22" t="n">
        <v>-2896187</v>
      </c>
      <c r="R449" s="22" t="n">
        <v>9234602.8069</v>
      </c>
      <c r="S449" s="4" t="n">
        <v>0.01871921182266023</v>
      </c>
      <c r="T449" s="4" t="n">
        <v>0.05</v>
      </c>
      <c r="U449" s="19" t="n">
        <v>0.9629617681623367</v>
      </c>
      <c r="V449" s="19" t="n">
        <v>0.7428571428571397</v>
      </c>
      <c r="W449" s="4" t="n">
        <v>0.0402118153235147</v>
      </c>
      <c r="X449" s="4" t="n">
        <v>0.04650070455612965</v>
      </c>
      <c r="Y449" s="4" t="n">
        <v>0.01009731495951127</v>
      </c>
      <c r="Z449" s="4" t="n">
        <v>0.007745485686435627</v>
      </c>
      <c r="AA449" s="4" t="n">
        <v>0.03</v>
      </c>
      <c r="AB449" s="4" t="n">
        <v>0.05</v>
      </c>
      <c r="AC449" s="4">
        <f>(AB449+2*參數!$B$7)/(AA449+AB449)</f>
        <v/>
      </c>
    </row>
    <row r="450">
      <c r="A450" s="2" t="n">
        <v>449</v>
      </c>
      <c r="B450" s="2" t="inlineStr">
        <is>
          <t>ICP_USDT_PERP</t>
        </is>
      </c>
      <c r="C450" s="2" t="inlineStr">
        <is>
          <t>做空</t>
        </is>
      </c>
      <c r="D450" s="7" t="n">
        <v>46289.70833333334</v>
      </c>
      <c r="E450" s="20" t="n">
        <v>2.912</v>
      </c>
      <c r="F450" s="20" t="n">
        <v>2.82464</v>
      </c>
      <c r="G450" s="20" t="n">
        <v>3.0576</v>
      </c>
      <c r="H450" s="7" t="n">
        <v>46289.91666666666</v>
      </c>
      <c r="I450" s="20" t="n">
        <v>3.0576</v>
      </c>
      <c r="J450" s="2" t="inlineStr">
        <is>
          <t>止損</t>
        </is>
      </c>
      <c r="K450" s="5">
        <f>(H450-D450)*24</f>
        <v/>
      </c>
      <c r="L450" s="4">
        <f>IF(C450="做多",I450/E450-1,1-I450/E450)-2*參數!$B$7</f>
        <v/>
      </c>
      <c r="M450" s="2" t="inlineStr"/>
      <c r="N450" s="4" t="n">
        <v>-0.02576112412177989</v>
      </c>
      <c r="O450" s="4" t="n">
        <v>0.02169080560793245</v>
      </c>
      <c r="P450" s="4" t="n">
        <v>-0.007193754048617551</v>
      </c>
      <c r="Q450" s="22" t="n">
        <v>-460933</v>
      </c>
      <c r="R450" s="22" t="n">
        <v>6954686.802</v>
      </c>
      <c r="S450" s="4" t="n">
        <v>0.01201923076923084</v>
      </c>
      <c r="T450" s="4" t="n">
        <v>0.05</v>
      </c>
      <c r="U450" s="19" t="n">
        <v>0.9886130612976611</v>
      </c>
      <c r="V450" s="19" t="n">
        <v>0.828828828828828</v>
      </c>
      <c r="W450" s="4" t="n">
        <v>0.009338481688751399</v>
      </c>
      <c r="X450" s="4" t="n">
        <v>0.03799141063759504</v>
      </c>
      <c r="Y450" s="4" t="n">
        <v>0.01009731495951127</v>
      </c>
      <c r="Z450" s="4" t="n">
        <v>0.007745485686435627</v>
      </c>
      <c r="AA450" s="4" t="n">
        <v>0.03</v>
      </c>
      <c r="AB450" s="4" t="n">
        <v>0.05</v>
      </c>
      <c r="AC450" s="4">
        <f>(AB450+2*參數!$B$7)/(AA450+AB450)</f>
        <v/>
      </c>
    </row>
    <row r="451">
      <c r="A451" s="2" t="n">
        <v>450</v>
      </c>
      <c r="B451" s="2" t="inlineStr">
        <is>
          <t>MET_USDT_PERP</t>
        </is>
      </c>
      <c r="C451" s="2" t="inlineStr">
        <is>
          <t>做空</t>
        </is>
      </c>
      <c r="D451" s="7" t="n">
        <v>46289.70833333334</v>
      </c>
      <c r="E451" s="20" t="n">
        <v>0.3454</v>
      </c>
      <c r="F451" s="20" t="n">
        <v>0.335038</v>
      </c>
      <c r="G451" s="20" t="n">
        <v>0.36267</v>
      </c>
      <c r="H451" s="7" t="n">
        <v>46289.75</v>
      </c>
      <c r="I451" s="20" t="n">
        <v>0.335038</v>
      </c>
      <c r="J451" s="2" t="inlineStr">
        <is>
          <t>止盈</t>
        </is>
      </c>
      <c r="K451" s="5">
        <f>(H451-D451)*24</f>
        <v/>
      </c>
      <c r="L451" s="4">
        <f>IF(C451="做多",I451/E451-1,1-I451/E451)-2*參數!$B$7</f>
        <v/>
      </c>
      <c r="M451" s="2" t="inlineStr"/>
      <c r="N451" s="4" t="n">
        <v>-0.02208380520951314</v>
      </c>
      <c r="O451" s="4" t="n">
        <v>0.03551245303501312</v>
      </c>
      <c r="P451" s="4" t="n">
        <v>-0.0122680088078011</v>
      </c>
      <c r="Q451" s="22" t="n">
        <v>-1010415</v>
      </c>
      <c r="R451" s="22" t="n">
        <v>1522278.7512</v>
      </c>
      <c r="S451" s="4" t="n">
        <v>0.03</v>
      </c>
      <c r="T451" s="4" t="n">
        <v>0</v>
      </c>
      <c r="U451" s="19" t="n">
        <v>0.7252294784419661</v>
      </c>
      <c r="V451" s="19" t="n">
        <v>0.7657657657657665</v>
      </c>
      <c r="W451" s="4" t="n">
        <v>-0.1522243868591708</v>
      </c>
      <c r="X451" s="4" t="n">
        <v>0.06724277612746432</v>
      </c>
      <c r="Y451" s="4" t="n">
        <v>0.01009731495951127</v>
      </c>
      <c r="Z451" s="4" t="n">
        <v>0.007745485686435627</v>
      </c>
      <c r="AA451" s="4" t="n">
        <v>0.03</v>
      </c>
      <c r="AB451" s="4" t="n">
        <v>0.05</v>
      </c>
      <c r="AC451" s="4">
        <f>(AB451+2*參數!$B$7)/(AA451+AB451)</f>
        <v/>
      </c>
    </row>
    <row r="452">
      <c r="A452" s="2" t="n">
        <v>451</v>
      </c>
      <c r="B452" s="2" t="inlineStr">
        <is>
          <t>NEAR_USDT_PERP</t>
        </is>
      </c>
      <c r="C452" s="2" t="inlineStr">
        <is>
          <t>做空</t>
        </is>
      </c>
      <c r="D452" s="7" t="n">
        <v>46289.70833333334</v>
      </c>
      <c r="E452" s="20" t="n">
        <v>4.25</v>
      </c>
      <c r="F452" s="20" t="n">
        <v>4.1225</v>
      </c>
      <c r="G452" s="20" t="n">
        <v>4.4625</v>
      </c>
      <c r="H452" s="7" t="n">
        <v>46289.75</v>
      </c>
      <c r="I452" s="20" t="n">
        <v>4.1225</v>
      </c>
      <c r="J452" s="2" t="inlineStr">
        <is>
          <t>止盈</t>
        </is>
      </c>
      <c r="K452" s="5">
        <f>(H452-D452)*24</f>
        <v/>
      </c>
      <c r="L452" s="4">
        <f>IF(C452="做多",I452/E452-1,1-I452/E452)-2*參數!$B$7</f>
        <v/>
      </c>
      <c r="M452" s="2" t="inlineStr"/>
      <c r="N452" s="4" t="n">
        <v>-0.02455818223548323</v>
      </c>
      <c r="O452" s="4" t="n">
        <v>0.0380818044840574</v>
      </c>
      <c r="P452" s="4" t="n">
        <v>-0.02960282214332188</v>
      </c>
      <c r="Q452" s="22" t="n">
        <v>-612988</v>
      </c>
      <c r="R452" s="22" t="n">
        <v>28681142.649</v>
      </c>
      <c r="S452" s="4" t="n">
        <v>0.03</v>
      </c>
      <c r="T452" s="4" t="n">
        <v>0</v>
      </c>
      <c r="U452" s="19" t="n">
        <v>0.5949278209534832</v>
      </c>
      <c r="V452" s="19" t="n">
        <v>0.623655913978493</v>
      </c>
      <c r="W452" s="4" t="n">
        <v>0.0003880846259688431</v>
      </c>
      <c r="X452" s="4" t="n">
        <v>0.06449482720669164</v>
      </c>
      <c r="Y452" s="4" t="n">
        <v>0.01009731495951127</v>
      </c>
      <c r="Z452" s="4" t="n">
        <v>0.007745485686435627</v>
      </c>
      <c r="AA452" s="4" t="n">
        <v>0.03</v>
      </c>
      <c r="AB452" s="4" t="n">
        <v>0.05</v>
      </c>
      <c r="AC452" s="4">
        <f>(AB452+2*參數!$B$7)/(AA452+AB452)</f>
        <v/>
      </c>
    </row>
    <row r="453">
      <c r="A453" s="2" t="n">
        <v>452</v>
      </c>
      <c r="B453" s="2" t="inlineStr">
        <is>
          <t>PONS_USDT_PERP</t>
        </is>
      </c>
      <c r="C453" s="2" t="inlineStr">
        <is>
          <t>做空</t>
        </is>
      </c>
      <c r="D453" s="7" t="n">
        <v>46289.70833333334</v>
      </c>
      <c r="E453" s="20" t="n">
        <v>0.623</v>
      </c>
      <c r="F453" s="20" t="n">
        <v>0.60431</v>
      </c>
      <c r="G453" s="20" t="n">
        <v>0.65415</v>
      </c>
      <c r="H453" s="7" t="n">
        <v>46289.83333333334</v>
      </c>
      <c r="I453" s="20" t="n">
        <v>0.60431</v>
      </c>
      <c r="J453" s="2" t="inlineStr">
        <is>
          <t>止盈</t>
        </is>
      </c>
      <c r="K453" s="5">
        <f>(H453-D453)*24</f>
        <v/>
      </c>
      <c r="L453" s="4">
        <f>IF(C453="做多",I453/E453-1,1-I453/E453)-2*參數!$B$7</f>
        <v/>
      </c>
      <c r="M453" s="2" t="inlineStr"/>
      <c r="N453" s="4" t="n">
        <v>-0.02412280701754377</v>
      </c>
      <c r="O453" s="4" t="n">
        <v>0.03108626100796166</v>
      </c>
      <c r="P453" s="4" t="n">
        <v>-0.03737696812373503</v>
      </c>
      <c r="Q453" s="22" t="n">
        <v>-430778</v>
      </c>
      <c r="R453" s="22" t="n">
        <v>2685002.5939</v>
      </c>
      <c r="S453" s="4" t="n">
        <v>0.03</v>
      </c>
      <c r="T453" s="4" t="n">
        <v>0.002407704654895815</v>
      </c>
      <c r="U453" s="19" t="n">
        <v>0.7699089250781871</v>
      </c>
      <c r="V453" s="19" t="n">
        <v>0.6296296296296297</v>
      </c>
      <c r="W453" s="4" t="n">
        <v>0.008586941991992281</v>
      </c>
      <c r="X453" s="4" t="n">
        <v>0.07388137356919866</v>
      </c>
      <c r="Y453" s="4" t="n">
        <v>0.01009731495951127</v>
      </c>
      <c r="Z453" s="4" t="n">
        <v>0.007745485686435627</v>
      </c>
      <c r="AA453" s="4" t="n">
        <v>0.03</v>
      </c>
      <c r="AB453" s="4" t="n">
        <v>0.05</v>
      </c>
      <c r="AC453" s="4">
        <f>(AB453+2*參數!$B$7)/(AA453+AB453)</f>
        <v/>
      </c>
    </row>
    <row r="454">
      <c r="A454" s="2" t="n">
        <v>453</v>
      </c>
      <c r="B454" s="2" t="inlineStr">
        <is>
          <t>PYTH_USDT_PERP</t>
        </is>
      </c>
      <c r="C454" s="2" t="inlineStr">
        <is>
          <t>做空</t>
        </is>
      </c>
      <c r="D454" s="7" t="n">
        <v>46289.70833333334</v>
      </c>
      <c r="E454" s="20" t="n">
        <v>0.06320000000000001</v>
      </c>
      <c r="F454" s="20" t="n">
        <v>0.061304</v>
      </c>
      <c r="G454" s="20" t="n">
        <v>0.06636000000000002</v>
      </c>
      <c r="H454" s="7" t="n">
        <v>46289.91666666666</v>
      </c>
      <c r="I454" s="20" t="n">
        <v>0.06636000000000002</v>
      </c>
      <c r="J454" s="2" t="inlineStr">
        <is>
          <t>止損</t>
        </is>
      </c>
      <c r="K454" s="5">
        <f>(H454-D454)*24</f>
        <v/>
      </c>
      <c r="L454" s="4">
        <f>IF(C454="做多",I454/E454-1,1-I454/E454)-2*參數!$B$7</f>
        <v/>
      </c>
      <c r="M454" s="2" t="inlineStr"/>
      <c r="N454" s="4" t="n">
        <v>-0.02604407458776381</v>
      </c>
      <c r="O454" s="4" t="n">
        <v>0.02445770905152173</v>
      </c>
      <c r="P454" s="4" t="n">
        <v>-0.001666521866188431</v>
      </c>
      <c r="Q454" s="22" t="n">
        <v>-9968676</v>
      </c>
      <c r="R454" s="22" t="n">
        <v>1998110.33657</v>
      </c>
      <c r="S454" s="4" t="n">
        <v>0.02151898734177227</v>
      </c>
      <c r="T454" s="4" t="n">
        <v>0.05</v>
      </c>
      <c r="U454" s="19" t="n">
        <v>0.5182355812408136</v>
      </c>
      <c r="V454" s="19" t="n">
        <v>0.7469879518072273</v>
      </c>
      <c r="W454" s="4" t="n">
        <v>0.001502485974427481</v>
      </c>
      <c r="X454" s="4" t="n">
        <v>0.04502870957993343</v>
      </c>
      <c r="Y454" s="4" t="n">
        <v>0.01009731495951127</v>
      </c>
      <c r="Z454" s="4" t="n">
        <v>0.007745485686435627</v>
      </c>
      <c r="AA454" s="4" t="n">
        <v>0.03</v>
      </c>
      <c r="AB454" s="4" t="n">
        <v>0.05</v>
      </c>
      <c r="AC454" s="4">
        <f>(AB454+2*參數!$B$7)/(AA454+AB454)</f>
        <v/>
      </c>
    </row>
    <row r="455">
      <c r="A455" s="2" t="n">
        <v>454</v>
      </c>
      <c r="B455" s="2" t="inlineStr">
        <is>
          <t>PEPE_USDT_PERP</t>
        </is>
      </c>
      <c r="C455" s="2" t="inlineStr">
        <is>
          <t>做空</t>
        </is>
      </c>
      <c r="D455" s="7" t="n">
        <v>46289.75</v>
      </c>
      <c r="E455" s="20" t="n">
        <v>4.2443e-06</v>
      </c>
      <c r="F455" s="20" t="n">
        <v>4.116971e-06</v>
      </c>
      <c r="G455" s="20" t="n">
        <v>4.456515000000001e-06</v>
      </c>
      <c r="H455" s="7" t="n">
        <v>46289.95833333334</v>
      </c>
      <c r="I455" s="20" t="n">
        <v>4.456515000000001e-06</v>
      </c>
      <c r="J455" s="2" t="inlineStr">
        <is>
          <t>止損</t>
        </is>
      </c>
      <c r="K455" s="5">
        <f>(H455-D455)*24</f>
        <v/>
      </c>
      <c r="L455" s="4">
        <f>IF(C455="做多",I455/E455-1,1-I455/E455)-2*參數!$B$7</f>
        <v/>
      </c>
      <c r="M455" s="2" t="inlineStr"/>
      <c r="N455" s="4" t="n">
        <v>-0.02180276106847356</v>
      </c>
      <c r="O455" s="4" t="n">
        <v>0.0205113815962869</v>
      </c>
      <c r="P455" s="4" t="n">
        <v>-0.02872207258439152</v>
      </c>
      <c r="Q455" s="22" t="n">
        <v>-249876285634</v>
      </c>
      <c r="R455" s="22" t="n">
        <v>3110959.089022235</v>
      </c>
      <c r="S455" s="4" t="n">
        <v>0.001837758876610973</v>
      </c>
      <c r="T455" s="4" t="n">
        <v>0.05</v>
      </c>
      <c r="U455" s="19" t="n">
        <v>2.085507974836852</v>
      </c>
      <c r="V455" s="19" t="n">
        <v>0.7568978374347479</v>
      </c>
      <c r="W455" s="4" t="n">
        <v>0.06404220068612931</v>
      </c>
      <c r="X455" s="4" t="n">
        <v>0.1290349059120477</v>
      </c>
      <c r="Y455" s="4" t="n">
        <v>0.004588884065198862</v>
      </c>
      <c r="Z455" s="4" t="n">
        <v>0.0108176554490903</v>
      </c>
      <c r="AA455" s="4" t="n">
        <v>0.03</v>
      </c>
      <c r="AB455" s="4" t="n">
        <v>0.05</v>
      </c>
      <c r="AC455" s="4">
        <f>(AB455+2*參數!$B$7)/(AA455+AB455)</f>
        <v/>
      </c>
    </row>
    <row r="456">
      <c r="A456" s="2" t="n">
        <v>455</v>
      </c>
      <c r="B456" s="2" t="inlineStr">
        <is>
          <t>PUMP_USDT_PERP</t>
        </is>
      </c>
      <c r="C456" s="2" t="inlineStr">
        <is>
          <t>做空</t>
        </is>
      </c>
      <c r="D456" s="7" t="n">
        <v>46289.75</v>
      </c>
      <c r="E456" s="20" t="n">
        <v>0.003843</v>
      </c>
      <c r="F456" s="20" t="n">
        <v>0.00372771</v>
      </c>
      <c r="G456" s="20" t="n">
        <v>0.00403515</v>
      </c>
      <c r="H456" s="7" t="n">
        <v>46290.75</v>
      </c>
      <c r="I456" s="20" t="n">
        <v>0.00403515</v>
      </c>
      <c r="J456" s="2" t="inlineStr">
        <is>
          <t>止損</t>
        </is>
      </c>
      <c r="K456" s="5">
        <f>(H456-D456)*24</f>
        <v/>
      </c>
      <c r="L456" s="4">
        <f>IF(C456="做多",I456/E456-1,1-I456/E456)-2*參數!$B$7</f>
        <v/>
      </c>
      <c r="M456" s="2" t="inlineStr"/>
      <c r="N456" s="4" t="n">
        <v>-0.0248667850799289</v>
      </c>
      <c r="O456" s="4" t="n">
        <v>0.02116882880371626</v>
      </c>
      <c r="P456" s="4" t="n">
        <v>-0.03627449751106537</v>
      </c>
      <c r="Q456" s="22" t="n">
        <v>-317022069</v>
      </c>
      <c r="R456" s="22" t="n">
        <v>3008930.065168</v>
      </c>
      <c r="S456" s="4" t="n">
        <v>0.02419984387197505</v>
      </c>
      <c r="T456" s="4" t="n">
        <v>0.05</v>
      </c>
      <c r="U456" s="19" t="n">
        <v>1.99873050845173</v>
      </c>
      <c r="V456" s="19" t="n">
        <v>0.8503937007874016</v>
      </c>
      <c r="W456" s="4" t="n">
        <v>0.1001538378684673</v>
      </c>
      <c r="X456" s="4" t="n">
        <v>0.1114450867052023</v>
      </c>
      <c r="Y456" s="4" t="n">
        <v>0.004588884065198862</v>
      </c>
      <c r="Z456" s="4" t="n">
        <v>0.0108176554490903</v>
      </c>
      <c r="AA456" s="4" t="n">
        <v>0.03</v>
      </c>
      <c r="AB456" s="4" t="n">
        <v>0.05</v>
      </c>
      <c r="AC456" s="4">
        <f>(AB456+2*參數!$B$7)/(AA456+AB456)</f>
        <v/>
      </c>
    </row>
    <row r="457">
      <c r="A457" s="2" t="n">
        <v>456</v>
      </c>
      <c r="B457" s="2" t="inlineStr">
        <is>
          <t>TAO_USDT_PERP</t>
        </is>
      </c>
      <c r="C457" s="2" t="inlineStr">
        <is>
          <t>做空</t>
        </is>
      </c>
      <c r="D457" s="7" t="n">
        <v>46289.75</v>
      </c>
      <c r="E457" s="20" t="n">
        <v>280.61</v>
      </c>
      <c r="F457" s="20" t="n">
        <v>272.1917</v>
      </c>
      <c r="G457" s="20" t="n">
        <v>294.6405</v>
      </c>
      <c r="H457" s="7" t="n">
        <v>46289.95833333334</v>
      </c>
      <c r="I457" s="20" t="n">
        <v>294.6405</v>
      </c>
      <c r="J457" s="2" t="inlineStr">
        <is>
          <t>止損</t>
        </is>
      </c>
      <c r="K457" s="5">
        <f>(H457-D457)*24</f>
        <v/>
      </c>
      <c r="L457" s="4">
        <f>IF(C457="做多",I457/E457-1,1-I457/E457)-2*參數!$B$7</f>
        <v/>
      </c>
      <c r="M457" s="2" t="inlineStr"/>
      <c r="N457" s="4" t="n">
        <v>-0.02345571602575258</v>
      </c>
      <c r="O457" s="4" t="n">
        <v>0.02273791706292787</v>
      </c>
      <c r="P457" s="4" t="n">
        <v>-0.02889001169720151</v>
      </c>
      <c r="Q457" s="22" t="n">
        <v>-9379.708999999995</v>
      </c>
      <c r="R457" s="22" t="n">
        <v>7655338.57987</v>
      </c>
      <c r="S457" s="4" t="n">
        <v>0.008053882612879093</v>
      </c>
      <c r="T457" s="4" t="n">
        <v>0.05</v>
      </c>
      <c r="U457" s="19" t="n">
        <v>1.446875126044874</v>
      </c>
      <c r="V457" s="19" t="n">
        <v>0.7971491228070151</v>
      </c>
      <c r="W457" s="4" t="n">
        <v>0.03741792959611401</v>
      </c>
      <c r="X457" s="4" t="n">
        <v>0.09492323571152106</v>
      </c>
      <c r="Y457" s="4" t="n">
        <v>0.004588884065198862</v>
      </c>
      <c r="Z457" s="4" t="n">
        <v>0.0108176554490903</v>
      </c>
      <c r="AA457" s="4" t="n">
        <v>0.03</v>
      </c>
      <c r="AB457" s="4" t="n">
        <v>0.05</v>
      </c>
      <c r="AC457" s="4">
        <f>(AB457+2*參數!$B$7)/(AA457+AB457)</f>
        <v/>
      </c>
    </row>
    <row r="458">
      <c r="A458" s="2" t="n">
        <v>457</v>
      </c>
      <c r="B458" s="2" t="inlineStr">
        <is>
          <t>UNI_USDT_PERP</t>
        </is>
      </c>
      <c r="C458" s="2" t="inlineStr">
        <is>
          <t>做空</t>
        </is>
      </c>
      <c r="D458" s="7" t="n">
        <v>46289.75</v>
      </c>
      <c r="E458" s="20" t="n">
        <v>8.867000000000001</v>
      </c>
      <c r="F458" s="20" t="n">
        <v>8.600990000000001</v>
      </c>
      <c r="G458" s="20" t="n">
        <v>9.310350000000001</v>
      </c>
      <c r="H458" s="7" t="n">
        <v>46289.95833333334</v>
      </c>
      <c r="I458" s="20" t="n">
        <v>9.310350000000001</v>
      </c>
      <c r="J458" s="2" t="inlineStr">
        <is>
          <t>止損</t>
        </is>
      </c>
      <c r="K458" s="5">
        <f>(H458-D458)*24</f>
        <v/>
      </c>
      <c r="L458" s="4">
        <f>IF(C458="做多",I458/E458-1,1-I458/E458)-2*參數!$B$7</f>
        <v/>
      </c>
      <c r="M458" s="2" t="inlineStr"/>
      <c r="N458" s="4" t="n">
        <v>-0.03018702832768239</v>
      </c>
      <c r="O458" s="4" t="n">
        <v>0.02470598535016387</v>
      </c>
      <c r="P458" s="4" t="n">
        <v>-0.03782716263726715</v>
      </c>
      <c r="Q458" s="22" t="n">
        <v>-288451</v>
      </c>
      <c r="R458" s="22" t="n">
        <v>13090495.049</v>
      </c>
      <c r="S458" s="4" t="n">
        <v>0.001240554866358545</v>
      </c>
      <c r="T458" s="4" t="n">
        <v>0.05</v>
      </c>
      <c r="U458" s="19" t="n">
        <v>2.132380401856325</v>
      </c>
      <c r="V458" s="19" t="n">
        <v>0.8035264483627176</v>
      </c>
      <c r="W458" s="4" t="n">
        <v>0.03284741196424579</v>
      </c>
      <c r="X458" s="4" t="n">
        <v>0.122774040364068</v>
      </c>
      <c r="Y458" s="4" t="n">
        <v>0.004588884065198862</v>
      </c>
      <c r="Z458" s="4" t="n">
        <v>0.0108176554490903</v>
      </c>
      <c r="AA458" s="4" t="n">
        <v>0.03</v>
      </c>
      <c r="AB458" s="4" t="n">
        <v>0.05</v>
      </c>
      <c r="AC458" s="4">
        <f>(AB458+2*參數!$B$7)/(AA458+AB458)</f>
        <v/>
      </c>
    </row>
    <row r="459">
      <c r="A459" s="2" t="n">
        <v>458</v>
      </c>
      <c r="B459" s="2" t="inlineStr">
        <is>
          <t>VVV_USDT_PERP</t>
        </is>
      </c>
      <c r="C459" s="2" t="inlineStr">
        <is>
          <t>做空</t>
        </is>
      </c>
      <c r="D459" s="7" t="n">
        <v>46289.75</v>
      </c>
      <c r="E459" s="20" t="n">
        <v>28.736</v>
      </c>
      <c r="F459" s="20" t="n">
        <v>27.87392</v>
      </c>
      <c r="G459" s="20" t="n">
        <v>30.1728</v>
      </c>
      <c r="H459" s="7" t="n">
        <v>46289.95833333334</v>
      </c>
      <c r="I459" s="20" t="n">
        <v>30.1728</v>
      </c>
      <c r="J459" s="2" t="inlineStr">
        <is>
          <t>止損</t>
        </is>
      </c>
      <c r="K459" s="5">
        <f>(H459-D459)*24</f>
        <v/>
      </c>
      <c r="L459" s="4">
        <f>IF(C459="做多",I459/E459-1,1-I459/E459)-2*參數!$B$7</f>
        <v/>
      </c>
      <c r="M459" s="2" t="inlineStr"/>
      <c r="N459" s="4" t="n">
        <v>-0.04433137117962016</v>
      </c>
      <c r="O459" s="4" t="n">
        <v>0.02930031790035145</v>
      </c>
      <c r="P459" s="4" t="n">
        <v>-0.05041372564570268</v>
      </c>
      <c r="Q459" s="22" t="n">
        <v>-2532.169999999984</v>
      </c>
      <c r="R459" s="22" t="n">
        <v>1635166.545910001</v>
      </c>
      <c r="S459" s="4" t="n">
        <v>0.009291481069042318</v>
      </c>
      <c r="T459" s="4" t="n">
        <v>0.05</v>
      </c>
      <c r="U459" s="19" t="n">
        <v>2.686446981569443</v>
      </c>
      <c r="V459" s="19" t="n">
        <v>0.9491322561340509</v>
      </c>
      <c r="W459" s="4" t="n">
        <v>0.07414626916645461</v>
      </c>
      <c r="X459" s="4" t="n">
        <v>0.08942265035807084</v>
      </c>
      <c r="Y459" s="4" t="n">
        <v>0.004588884065198862</v>
      </c>
      <c r="Z459" s="4" t="n">
        <v>0.0108176554490903</v>
      </c>
      <c r="AA459" s="4" t="n">
        <v>0.03</v>
      </c>
      <c r="AB459" s="4" t="n">
        <v>0.05</v>
      </c>
      <c r="AC459" s="4">
        <f>(AB459+2*參數!$B$7)/(AA459+AB459)</f>
        <v/>
      </c>
    </row>
    <row r="460">
      <c r="A460" s="2" t="n">
        <v>459</v>
      </c>
      <c r="B460" s="2" t="inlineStr">
        <is>
          <t>ZEC_USDT_PERP</t>
        </is>
      </c>
      <c r="C460" s="2" t="inlineStr">
        <is>
          <t>做空</t>
        </is>
      </c>
      <c r="D460" s="7" t="n">
        <v>46289.75</v>
      </c>
      <c r="E460" s="20" t="n">
        <v>1478.57</v>
      </c>
      <c r="F460" s="20" t="n">
        <v>1434.2129</v>
      </c>
      <c r="G460" s="20" t="n">
        <v>1552.4985</v>
      </c>
      <c r="H460" s="7" t="n">
        <v>46290.08333333334</v>
      </c>
      <c r="I460" s="20" t="n">
        <v>1552.4985</v>
      </c>
      <c r="J460" s="2" t="inlineStr">
        <is>
          <t>止損</t>
        </is>
      </c>
      <c r="K460" s="5">
        <f>(H460-D460)*24</f>
        <v/>
      </c>
      <c r="L460" s="4">
        <f>IF(C460="做多",I460/E460-1,1-I460/E460)-2*參數!$B$7</f>
        <v/>
      </c>
      <c r="M460" s="2" t="inlineStr"/>
      <c r="N460" s="4" t="n">
        <v>-0.02429093692671158</v>
      </c>
      <c r="O460" s="4" t="n">
        <v>0.02120403209693533</v>
      </c>
      <c r="P460" s="4" t="n">
        <v>-0.02607312965162278</v>
      </c>
      <c r="Q460" s="22" t="n">
        <v>-11418.07800000002</v>
      </c>
      <c r="R460" s="22" t="n">
        <v>35819211.76315</v>
      </c>
      <c r="S460" s="4" t="n">
        <v>0.01188310326869879</v>
      </c>
      <c r="T460" s="4" t="n">
        <v>0.05</v>
      </c>
      <c r="U460" s="19" t="n">
        <v>1.394552863178783</v>
      </c>
      <c r="V460" s="19" t="n">
        <v>0.63577799801784</v>
      </c>
      <c r="W460" s="4" t="n">
        <v>0.02593678737737104</v>
      </c>
      <c r="X460" s="4" t="n">
        <v>0.09051933592909034</v>
      </c>
      <c r="Y460" s="4" t="n">
        <v>0.004588884065198862</v>
      </c>
      <c r="Z460" s="4" t="n">
        <v>0.0108176554490903</v>
      </c>
      <c r="AA460" s="4" t="n">
        <v>0.03</v>
      </c>
      <c r="AB460" s="4" t="n">
        <v>0.05</v>
      </c>
      <c r="AC460" s="4">
        <f>(AB460+2*參數!$B$7)/(AA460+AB460)</f>
        <v/>
      </c>
    </row>
    <row r="461">
      <c r="A461" s="2" t="n">
        <v>460</v>
      </c>
      <c r="B461" s="2" t="inlineStr">
        <is>
          <t>AKE_USDT_PERP</t>
        </is>
      </c>
      <c r="C461" s="2" t="inlineStr">
        <is>
          <t>做空</t>
        </is>
      </c>
      <c r="D461" s="7" t="n">
        <v>46289.79166666666</v>
      </c>
      <c r="E461" s="20" t="n">
        <v>0.0416545</v>
      </c>
      <c r="F461" s="20" t="n">
        <v>0.040404865</v>
      </c>
      <c r="G461" s="20" t="n">
        <v>0.043737225</v>
      </c>
      <c r="H461" s="7" t="n">
        <v>46289.83333333334</v>
      </c>
      <c r="I461" s="20" t="n">
        <v>0.040404865</v>
      </c>
      <c r="J461" s="2" t="inlineStr">
        <is>
          <t>止盈</t>
        </is>
      </c>
      <c r="K461" s="5">
        <f>(H461-D461)*24</f>
        <v/>
      </c>
      <c r="L461" s="4">
        <f>IF(C461="做多",I461/E461-1,1-I461/E461)-2*參數!$B$7</f>
        <v/>
      </c>
      <c r="M461" s="2" t="inlineStr"/>
      <c r="N461" s="4" t="n">
        <v>-0.06905668642332896</v>
      </c>
      <c r="O461" s="4" t="n">
        <v>0.07395234453436214</v>
      </c>
      <c r="P461" s="4" t="n">
        <v>-0.05485245662462679</v>
      </c>
      <c r="Q461" s="22" t="n">
        <v>-5637755</v>
      </c>
      <c r="R461" s="22" t="n">
        <v>4411045.3959551</v>
      </c>
      <c r="S461" s="4" t="n">
        <v>0.03</v>
      </c>
      <c r="T461" s="4" t="n">
        <v>0</v>
      </c>
      <c r="U461" s="19" t="n">
        <v>3.25239333410554</v>
      </c>
      <c r="V461" s="19" t="n">
        <v>0.6875828997041125</v>
      </c>
      <c r="W461" s="4" t="n">
        <v>0.1851251262186002</v>
      </c>
      <c r="X461" s="4" t="n">
        <v>0.1215651953858159</v>
      </c>
      <c r="Y461" s="4" t="n">
        <v>-0.002909959462414458</v>
      </c>
      <c r="Z461" s="4" t="n">
        <v>0.007343993866656406</v>
      </c>
      <c r="AA461" s="4" t="n">
        <v>0.03</v>
      </c>
      <c r="AB461" s="4" t="n">
        <v>0.05</v>
      </c>
      <c r="AC461" s="4">
        <f>(AB461+2*參數!$B$7)/(AA461+AB461)</f>
        <v/>
      </c>
    </row>
    <row r="462">
      <c r="A462" s="2" t="n">
        <v>461</v>
      </c>
      <c r="B462" s="2" t="inlineStr">
        <is>
          <t>BR_USDT_PERP</t>
        </is>
      </c>
      <c r="C462" s="2" t="inlineStr">
        <is>
          <t>做多</t>
        </is>
      </c>
      <c r="D462" s="7" t="n">
        <v>46289.83333333334</v>
      </c>
      <c r="E462" s="20" t="n">
        <v>1.08909</v>
      </c>
      <c r="F462" s="20" t="n">
        <v>1.1217627</v>
      </c>
      <c r="G462" s="20" t="n">
        <v>1.0346355</v>
      </c>
      <c r="H462" s="7" t="n">
        <v>46289.95833333334</v>
      </c>
      <c r="I462" s="20" t="n">
        <v>1.0346355</v>
      </c>
      <c r="J462" s="2" t="inlineStr">
        <is>
          <t>止損</t>
        </is>
      </c>
      <c r="K462" s="5">
        <f>(H462-D462)*24</f>
        <v/>
      </c>
      <c r="L462" s="4">
        <f>IF(C462="做多",I462/E462-1,1-I462/E462)-2*參數!$B$7</f>
        <v/>
      </c>
      <c r="M462" s="2" t="inlineStr"/>
      <c r="N462" s="4" t="n">
        <v>0.05270839777296632</v>
      </c>
      <c r="O462" s="4" t="n">
        <v>0.04364444251008415</v>
      </c>
      <c r="P462" s="4" t="n">
        <v>0.01181420761473584</v>
      </c>
      <c r="Q462" s="22" t="n">
        <v>258554</v>
      </c>
      <c r="R462" s="22" t="n">
        <v>2503346.69662</v>
      </c>
      <c r="S462" s="4" t="n">
        <v>0.002525043843943031</v>
      </c>
      <c r="T462" s="4" t="n">
        <v>0.05</v>
      </c>
      <c r="U462" s="19" t="n">
        <v>1.133758796772193</v>
      </c>
      <c r="V462" s="19" t="n">
        <v>0.7201076125946575</v>
      </c>
      <c r="W462" s="4" t="n">
        <v>-0.03888072480584182</v>
      </c>
      <c r="X462" s="4" t="n">
        <v>0.04146385778355777</v>
      </c>
      <c r="Y462" s="4" t="n">
        <v>-0.0002707442832226015</v>
      </c>
      <c r="Z462" s="4" t="n">
        <v>-0.007308890664622258</v>
      </c>
      <c r="AA462" s="4" t="n">
        <v>0.03</v>
      </c>
      <c r="AB462" s="4" t="n">
        <v>0.05</v>
      </c>
      <c r="AC462" s="4">
        <f>(AB462+2*參數!$B$7)/(AA462+AB462)</f>
        <v/>
      </c>
    </row>
    <row r="463">
      <c r="A463" s="2" t="n">
        <v>462</v>
      </c>
      <c r="B463" s="2" t="inlineStr">
        <is>
          <t>NEAR_USDT_PERP</t>
        </is>
      </c>
      <c r="C463" s="2" t="inlineStr">
        <is>
          <t>做多</t>
        </is>
      </c>
      <c r="D463" s="7" t="n">
        <v>46289.875</v>
      </c>
      <c r="E463" s="20" t="n">
        <v>4.413</v>
      </c>
      <c r="F463" s="20" t="n">
        <v>4.54539</v>
      </c>
      <c r="G463" s="20" t="n">
        <v>4.19235</v>
      </c>
      <c r="H463" s="7" t="n">
        <v>46289.95833333334</v>
      </c>
      <c r="I463" s="20" t="n">
        <v>4.54539</v>
      </c>
      <c r="J463" s="2" t="inlineStr">
        <is>
          <t>止盈</t>
        </is>
      </c>
      <c r="K463" s="5">
        <f>(H463-D463)*24</f>
        <v/>
      </c>
      <c r="L463" s="4">
        <f>IF(C463="做多",I463/E463-1,1-I463/E463)-2*參數!$B$7</f>
        <v/>
      </c>
      <c r="M463" s="2" t="inlineStr"/>
      <c r="N463" s="4" t="n">
        <v>0.0205827937095282</v>
      </c>
      <c r="O463" s="4" t="n">
        <v>0.03424419778699887</v>
      </c>
      <c r="P463" s="4" t="n">
        <v>0.01692571810441179</v>
      </c>
      <c r="Q463" s="22" t="n">
        <v>123578</v>
      </c>
      <c r="R463" s="22" t="n">
        <v>24892309.174</v>
      </c>
      <c r="S463" s="4" t="n">
        <v>0.03</v>
      </c>
      <c r="T463" s="4" t="n">
        <v>0.003852254702016888</v>
      </c>
      <c r="U463" s="19" t="n">
        <v>1.027297050563328</v>
      </c>
      <c r="V463" s="19" t="n">
        <v>0.828125000000004</v>
      </c>
      <c r="W463" s="4" t="n">
        <v>0.03017456708390331</v>
      </c>
      <c r="X463" s="4" t="n">
        <v>-0.06682173821103821</v>
      </c>
      <c r="Y463" s="4" t="n">
        <v>0.001319337096020501</v>
      </c>
      <c r="Z463" s="4" t="n">
        <v>-0.005737104573459662</v>
      </c>
      <c r="AA463" s="4" t="n">
        <v>0.03</v>
      </c>
      <c r="AB463" s="4" t="n">
        <v>0.05</v>
      </c>
      <c r="AC463" s="4">
        <f>(AB463+2*參數!$B$7)/(AA463+AB463)</f>
        <v/>
      </c>
    </row>
    <row r="464">
      <c r="A464" s="2" t="n">
        <v>463</v>
      </c>
      <c r="B464" s="2" t="inlineStr">
        <is>
          <t>ZRO_USDT_PERP</t>
        </is>
      </c>
      <c r="C464" s="2" t="inlineStr">
        <is>
          <t>做空</t>
        </is>
      </c>
      <c r="D464" s="7" t="n">
        <v>46289.875</v>
      </c>
      <c r="E464" s="20" t="n">
        <v>1.4433</v>
      </c>
      <c r="F464" s="20" t="n">
        <v>1.400001</v>
      </c>
      <c r="G464" s="20" t="n">
        <v>1.515465</v>
      </c>
      <c r="H464" s="7" t="n">
        <v>46290.58333333334</v>
      </c>
      <c r="I464" s="20" t="n">
        <v>1.515465</v>
      </c>
      <c r="J464" s="2" t="inlineStr">
        <is>
          <t>止損</t>
        </is>
      </c>
      <c r="K464" s="5">
        <f>(H464-D464)*24</f>
        <v/>
      </c>
      <c r="L464" s="4">
        <f>IF(C464="做多",I464/E464-1,1-I464/E464)-2*參數!$B$7</f>
        <v/>
      </c>
      <c r="M464" s="2" t="inlineStr"/>
      <c r="N464" s="4" t="n">
        <v>-0.02479729729729729</v>
      </c>
      <c r="O464" s="4" t="n">
        <v>0.03932315584493124</v>
      </c>
      <c r="P464" s="4" t="n">
        <v>-0.04837885506123596</v>
      </c>
      <c r="Q464" s="22" t="n">
        <v>-192954.6999999998</v>
      </c>
      <c r="R464" s="22" t="n">
        <v>2209209.26148</v>
      </c>
      <c r="S464" s="4" t="n">
        <v>0.01392641862398669</v>
      </c>
      <c r="T464" s="4" t="n">
        <v>0.05</v>
      </c>
      <c r="U464" s="19" t="n">
        <v>0.5040044134934606</v>
      </c>
      <c r="V464" s="19" t="n">
        <v>0.943127962085309</v>
      </c>
      <c r="W464" s="4" t="n">
        <v>-0.109202623721858</v>
      </c>
      <c r="X464" s="4" t="n">
        <v>0.01742800735244066</v>
      </c>
      <c r="Y464" s="4" t="n">
        <v>-0.001319337096020501</v>
      </c>
      <c r="Z464" s="4" t="n">
        <v>0.005737104573459662</v>
      </c>
      <c r="AA464" s="4" t="n">
        <v>0.03</v>
      </c>
      <c r="AB464" s="4" t="n">
        <v>0.05</v>
      </c>
      <c r="AC464" s="4">
        <f>(AB464+2*參數!$B$7)/(AA464+AB464)</f>
        <v/>
      </c>
    </row>
    <row r="465">
      <c r="A465" s="2" t="n">
        <v>464</v>
      </c>
      <c r="B465" s="2" t="inlineStr">
        <is>
          <t>AKE_USDT_PERP</t>
        </is>
      </c>
      <c r="C465" s="2" t="inlineStr">
        <is>
          <t>做多</t>
        </is>
      </c>
      <c r="D465" s="7" t="n">
        <v>46289.91666666666</v>
      </c>
      <c r="E465" s="20" t="n">
        <v>0.0435322</v>
      </c>
      <c r="F465" s="20" t="n">
        <v>0.044838166</v>
      </c>
      <c r="G465" s="20" t="n">
        <v>0.04135559</v>
      </c>
      <c r="H465" s="7" t="n">
        <v>46289.95833333334</v>
      </c>
      <c r="I465" s="20" t="n">
        <v>0.044838166</v>
      </c>
      <c r="J465" s="2" t="inlineStr">
        <is>
          <t>止盈</t>
        </is>
      </c>
      <c r="K465" s="5">
        <f>(H465-D465)*24</f>
        <v/>
      </c>
      <c r="L465" s="4">
        <f>IF(C465="做多",I465/E465-1,1-I465/E465)-2*參數!$B$7</f>
        <v/>
      </c>
      <c r="M465" s="2" t="inlineStr"/>
      <c r="N465" s="4" t="n">
        <v>0.06929822406720554</v>
      </c>
      <c r="O465" s="4" t="n">
        <v>0.06717465129234079</v>
      </c>
      <c r="P465" s="4" t="n">
        <v>0.005611202492440626</v>
      </c>
      <c r="Q465" s="22" t="n">
        <v>17114666</v>
      </c>
      <c r="R465" s="22" t="n">
        <v>4453000.0568312</v>
      </c>
      <c r="S465" s="4" t="n">
        <v>0.03</v>
      </c>
      <c r="T465" s="4" t="n">
        <v>0</v>
      </c>
      <c r="U465" s="19" t="n">
        <v>2.897780437222638</v>
      </c>
      <c r="V465" s="19" t="n">
        <v>0.8866136673893833</v>
      </c>
      <c r="W465" s="4" t="n">
        <v>-0.1311484927904638</v>
      </c>
      <c r="X465" s="4" t="n">
        <v>-0.1405630577272369</v>
      </c>
      <c r="Y465" s="4" t="n">
        <v>0.007848149437956087</v>
      </c>
      <c r="Z465" s="4" t="n">
        <v>0.002103578749267365</v>
      </c>
      <c r="AA465" s="4" t="n">
        <v>0.03</v>
      </c>
      <c r="AB465" s="4" t="n">
        <v>0.05</v>
      </c>
      <c r="AC465" s="4">
        <f>(AB465+2*參數!$B$7)/(AA465+AB465)</f>
        <v/>
      </c>
    </row>
    <row r="466">
      <c r="A466" s="2" t="n">
        <v>465</v>
      </c>
      <c r="B466" s="2" t="inlineStr">
        <is>
          <t>BTW_USDT_PERP</t>
        </is>
      </c>
      <c r="C466" s="2" t="inlineStr">
        <is>
          <t>做多</t>
        </is>
      </c>
      <c r="D466" s="7" t="n">
        <v>46289.91666666666</v>
      </c>
      <c r="E466" s="20" t="n">
        <v>1.04655</v>
      </c>
      <c r="F466" s="20" t="n">
        <v>1.0779465</v>
      </c>
      <c r="G466" s="20" t="n">
        <v>0.9942225</v>
      </c>
      <c r="H466" s="7" t="n">
        <v>46290.04166666666</v>
      </c>
      <c r="I466" s="20" t="n">
        <v>1.0779465</v>
      </c>
      <c r="J466" s="2" t="inlineStr">
        <is>
          <t>止盈</t>
        </is>
      </c>
      <c r="K466" s="5">
        <f>(H466-D466)*24</f>
        <v/>
      </c>
      <c r="L466" s="4">
        <f>IF(C466="做多",I466/E466-1,1-I466/E466)-2*參數!$B$7</f>
        <v/>
      </c>
      <c r="M466" s="2" t="inlineStr"/>
      <c r="N466" s="4" t="n">
        <v>0.02207438470936496</v>
      </c>
      <c r="O466" s="4" t="n">
        <v>0.0398799549072307</v>
      </c>
      <c r="P466" s="4" t="n">
        <v>0.01046839658830434</v>
      </c>
      <c r="Q466" s="22" t="n">
        <v>174713</v>
      </c>
      <c r="R466" s="22" t="n">
        <v>1317818.61912</v>
      </c>
      <c r="S466" s="4" t="n">
        <v>0.03</v>
      </c>
      <c r="T466" s="4" t="n">
        <v>0.02183459939802224</v>
      </c>
      <c r="U466" s="19" t="n">
        <v>2.406160832314274</v>
      </c>
      <c r="V466" s="19" t="n">
        <v>0.693454128568637</v>
      </c>
      <c r="W466" s="4" t="n">
        <v>0.1880310494818025</v>
      </c>
      <c r="X466" s="4" t="n">
        <v>0.09078231359874267</v>
      </c>
      <c r="Y466" s="4" t="n">
        <v>0.007848149437956087</v>
      </c>
      <c r="Z466" s="4" t="n">
        <v>0.002103578749267365</v>
      </c>
      <c r="AA466" s="4" t="n">
        <v>0.03</v>
      </c>
      <c r="AB466" s="4" t="n">
        <v>0.05</v>
      </c>
      <c r="AC466" s="4">
        <f>(AB466+2*參數!$B$7)/(AA466+AB466)</f>
        <v/>
      </c>
    </row>
    <row r="467">
      <c r="A467" s="2" t="n">
        <v>466</v>
      </c>
      <c r="B467" s="2" t="inlineStr">
        <is>
          <t>FET_USDT_PERP</t>
        </is>
      </c>
      <c r="C467" s="2" t="inlineStr">
        <is>
          <t>做多</t>
        </is>
      </c>
      <c r="D467" s="7" t="n">
        <v>46289.91666666666</v>
      </c>
      <c r="E467" s="20" t="n">
        <v>0.2057</v>
      </c>
      <c r="F467" s="20" t="n">
        <v>0.211871</v>
      </c>
      <c r="G467" s="20" t="n">
        <v>0.195415</v>
      </c>
      <c r="H467" s="7" t="n">
        <v>46289.95833333334</v>
      </c>
      <c r="I467" s="20" t="n">
        <v>0.211871</v>
      </c>
      <c r="J467" s="2" t="inlineStr">
        <is>
          <t>止盈</t>
        </is>
      </c>
      <c r="K467" s="5">
        <f>(H467-D467)*24</f>
        <v/>
      </c>
      <c r="L467" s="4">
        <f>IF(C467="做多",I467/E467-1,1-I467/E467)-2*參數!$B$7</f>
        <v/>
      </c>
      <c r="M467" s="2" t="inlineStr"/>
      <c r="N467" s="4" t="n">
        <v>0.02695956065901139</v>
      </c>
      <c r="O467" s="4" t="n">
        <v>0.02050156468391708</v>
      </c>
      <c r="P467" s="4" t="n">
        <v>0.04445403539059134</v>
      </c>
      <c r="Q467" s="22" t="n">
        <v>863529</v>
      </c>
      <c r="R467" s="22" t="n">
        <v>2547213.1606</v>
      </c>
      <c r="S467" s="4" t="n">
        <v>0.03</v>
      </c>
      <c r="T467" s="4" t="n">
        <v>0</v>
      </c>
      <c r="U467" s="19" t="n">
        <v>2.455057982955989</v>
      </c>
      <c r="V467" s="19" t="n">
        <v>0.7941176470588217</v>
      </c>
      <c r="W467" s="4" t="n">
        <v>0.04631880932276666</v>
      </c>
      <c r="X467" s="4" t="n">
        <v>0.006852667645619093</v>
      </c>
      <c r="Y467" s="4" t="n">
        <v>0.007848149437956087</v>
      </c>
      <c r="Z467" s="4" t="n">
        <v>0.002103578749267365</v>
      </c>
      <c r="AA467" s="4" t="n">
        <v>0.03</v>
      </c>
      <c r="AB467" s="4" t="n">
        <v>0.05</v>
      </c>
      <c r="AC467" s="4">
        <f>(AB467+2*參數!$B$7)/(AA467+AB467)</f>
        <v/>
      </c>
    </row>
    <row r="468">
      <c r="A468" s="2" t="n">
        <v>467</v>
      </c>
      <c r="B468" s="2" t="inlineStr">
        <is>
          <t>RAY_USDT_PERP</t>
        </is>
      </c>
      <c r="C468" s="2" t="inlineStr">
        <is>
          <t>做多</t>
        </is>
      </c>
      <c r="D468" s="7" t="n">
        <v>46289.91666666666</v>
      </c>
      <c r="E468" s="20" t="n">
        <v>2.08</v>
      </c>
      <c r="F468" s="20" t="n">
        <v>2.1424</v>
      </c>
      <c r="G468" s="20" t="n">
        <v>1.976</v>
      </c>
      <c r="H468" s="7" t="n">
        <v>46290.125</v>
      </c>
      <c r="I468" s="20" t="n">
        <v>2.1424</v>
      </c>
      <c r="J468" s="2" t="inlineStr">
        <is>
          <t>止盈</t>
        </is>
      </c>
      <c r="K468" s="5">
        <f>(H468-D468)*24</f>
        <v/>
      </c>
      <c r="L468" s="4">
        <f>IF(C468="做多",I468/E468-1,1-I468/E468)-2*參數!$B$7</f>
        <v/>
      </c>
      <c r="M468" s="2" t="inlineStr"/>
      <c r="N468" s="4" t="n">
        <v>0.03328365623447604</v>
      </c>
      <c r="O468" s="4" t="n">
        <v>0.0318429980169869</v>
      </c>
      <c r="P468" s="4" t="n">
        <v>0.02228884574742596</v>
      </c>
      <c r="Q468" s="22" t="n">
        <v>53020.70000000019</v>
      </c>
      <c r="R468" s="22" t="n">
        <v>2538526.6319</v>
      </c>
      <c r="S468" s="4" t="n">
        <v>0.03</v>
      </c>
      <c r="T468" s="4" t="n">
        <v>0.03125</v>
      </c>
      <c r="U468" s="19" t="n">
        <v>1.734208095402272</v>
      </c>
      <c r="V468" s="19" t="n">
        <v>0.8831168831168844</v>
      </c>
      <c r="W468" s="4" t="n">
        <v>0.1397447629276101</v>
      </c>
      <c r="X468" s="4" t="n">
        <v>0.05852417302798973</v>
      </c>
      <c r="Y468" s="4" t="n">
        <v>0.007848149437956087</v>
      </c>
      <c r="Z468" s="4" t="n">
        <v>0.002103578749267365</v>
      </c>
      <c r="AA468" s="4" t="n">
        <v>0.03</v>
      </c>
      <c r="AB468" s="4" t="n">
        <v>0.05</v>
      </c>
      <c r="AC468" s="4">
        <f>(AB468+2*參數!$B$7)/(AA468+AB468)</f>
        <v/>
      </c>
    </row>
    <row r="469">
      <c r="A469" s="2" t="n">
        <v>468</v>
      </c>
      <c r="B469" s="2" t="inlineStr">
        <is>
          <t>ARB_USDT_PERP</t>
        </is>
      </c>
      <c r="C469" s="2" t="inlineStr">
        <is>
          <t>做空</t>
        </is>
      </c>
      <c r="D469" s="7" t="n">
        <v>46289.95833333334</v>
      </c>
      <c r="E469" s="20" t="n">
        <v>0.2135</v>
      </c>
      <c r="F469" s="20" t="n">
        <v>0.207095</v>
      </c>
      <c r="G469" s="20" t="n">
        <v>0.224175</v>
      </c>
      <c r="H469" s="7" t="n">
        <v>46290.83333333334</v>
      </c>
      <c r="I469" s="20" t="n">
        <v>0.224175</v>
      </c>
      <c r="J469" s="2" t="inlineStr">
        <is>
          <t>止損</t>
        </is>
      </c>
      <c r="K469" s="5">
        <f>(H469-D469)*24</f>
        <v/>
      </c>
      <c r="L469" s="4">
        <f>IF(C469="做多",I469/E469-1,1-I469/E469)-2*參數!$B$7</f>
        <v/>
      </c>
      <c r="M469" s="2" t="inlineStr"/>
      <c r="N469" s="4" t="n">
        <v>-0.0246687985381453</v>
      </c>
      <c r="O469" s="4" t="n">
        <v>0.02285155998277313</v>
      </c>
      <c r="P469" s="4" t="n">
        <v>-0.01305905466312274</v>
      </c>
      <c r="Q469" s="22" t="n">
        <v>-1877563.399999999</v>
      </c>
      <c r="R469" s="22" t="n">
        <v>2380631.63238</v>
      </c>
      <c r="S469" s="4" t="n">
        <v>0.003747072599531553</v>
      </c>
      <c r="T469" s="4" t="n">
        <v>0.05</v>
      </c>
      <c r="U469" s="19" t="n">
        <v>5.594306313809234</v>
      </c>
      <c r="V469" s="19" t="n">
        <v>0.8695652173913043</v>
      </c>
      <c r="W469" s="4" t="n">
        <v>0.03880352423700817</v>
      </c>
      <c r="X469" s="4" t="n">
        <v>0.05572755417956654</v>
      </c>
      <c r="Y469" s="4" t="n">
        <v>0.006905977303842681</v>
      </c>
      <c r="Z469" s="4" t="n">
        <v>0.004434408342318008</v>
      </c>
      <c r="AA469" s="4" t="n">
        <v>0.03</v>
      </c>
      <c r="AB469" s="4" t="n">
        <v>0.05</v>
      </c>
      <c r="AC469" s="4">
        <f>(AB469+2*參數!$B$7)/(AA469+AB469)</f>
        <v/>
      </c>
    </row>
    <row r="470">
      <c r="A470" s="2" t="n">
        <v>469</v>
      </c>
      <c r="B470" s="2" t="inlineStr">
        <is>
          <t>NOM_USDT_PERP</t>
        </is>
      </c>
      <c r="C470" s="2" t="inlineStr">
        <is>
          <t>做空</t>
        </is>
      </c>
      <c r="D470" s="7" t="n">
        <v>46289.95833333334</v>
      </c>
      <c r="E470" s="20" t="n">
        <v>0.00231</v>
      </c>
      <c r="F470" s="20" t="n">
        <v>0.0022407</v>
      </c>
      <c r="G470" s="20" t="n">
        <v>0.0024255</v>
      </c>
      <c r="H470" s="7" t="n">
        <v>46290.04166666666</v>
      </c>
      <c r="I470" s="20" t="n">
        <v>0.0024255</v>
      </c>
      <c r="J470" s="2" t="inlineStr">
        <is>
          <t>止損</t>
        </is>
      </c>
      <c r="K470" s="5">
        <f>(H470-D470)*24</f>
        <v/>
      </c>
      <c r="L470" s="4">
        <f>IF(C470="做多",I470/E470-1,1-I470/E470)-2*參數!$B$7</f>
        <v/>
      </c>
      <c r="M470" s="2" t="inlineStr"/>
      <c r="N470" s="4" t="n">
        <v>-0.08514851485148511</v>
      </c>
      <c r="O470" s="4" t="n">
        <v>0.07525866608251626</v>
      </c>
      <c r="P470" s="4" t="n">
        <v>-0.02533701820636691</v>
      </c>
      <c r="Q470" s="22" t="n">
        <v>-281997417</v>
      </c>
      <c r="R470" s="22" t="n">
        <v>2969493.322377</v>
      </c>
      <c r="S470" s="4" t="n">
        <v>0.02813852813852813</v>
      </c>
      <c r="T470" s="4" t="n">
        <v>0.05</v>
      </c>
      <c r="U470" s="19" t="n">
        <v>1.411860717339981</v>
      </c>
      <c r="V470" s="19" t="n">
        <v>0.8519855595667877</v>
      </c>
      <c r="W470" s="4" t="n">
        <v>-0.2378558835665254</v>
      </c>
      <c r="X470" s="4" t="n">
        <v>-0.3445867287543656</v>
      </c>
      <c r="Y470" s="4" t="n">
        <v>0.006905977303842681</v>
      </c>
      <c r="Z470" s="4" t="n">
        <v>0.004434408342318008</v>
      </c>
      <c r="AA470" s="4" t="n">
        <v>0.03</v>
      </c>
      <c r="AB470" s="4" t="n">
        <v>0.05</v>
      </c>
      <c r="AC470" s="4">
        <f>(AB470+2*參數!$B$7)/(AA470+AB470)</f>
        <v/>
      </c>
    </row>
    <row r="471">
      <c r="A471" s="2" t="n">
        <v>470</v>
      </c>
      <c r="B471" s="2" t="inlineStr">
        <is>
          <t>PONS_USDT_PERP</t>
        </is>
      </c>
      <c r="C471" s="2" t="inlineStr">
        <is>
          <t>做多</t>
        </is>
      </c>
      <c r="D471" s="7" t="n">
        <v>46290</v>
      </c>
      <c r="E471" s="20" t="n">
        <v>0.6308</v>
      </c>
      <c r="F471" s="20" t="n">
        <v>0.6497240000000001</v>
      </c>
      <c r="G471" s="20" t="n">
        <v>0.59926</v>
      </c>
      <c r="H471" s="7" t="n">
        <v>46290.70833333334</v>
      </c>
      <c r="I471" s="20" t="n">
        <v>0.6497240000000001</v>
      </c>
      <c r="J471" s="2" t="inlineStr">
        <is>
          <t>止盈</t>
        </is>
      </c>
      <c r="K471" s="5">
        <f>(H471-D471)*24</f>
        <v/>
      </c>
      <c r="L471" s="4">
        <f>IF(C471="做多",I471/E471-1,1-I471/E471)-2*參數!$B$7</f>
        <v/>
      </c>
      <c r="M471" s="2" t="inlineStr"/>
      <c r="N471" s="4" t="n">
        <v>0.02402597402597406</v>
      </c>
      <c r="O471" s="4" t="n">
        <v>0.02899680939445867</v>
      </c>
      <c r="P471" s="4" t="n">
        <v>0.004818605392059361</v>
      </c>
      <c r="Q471" s="22" t="n">
        <v>189491</v>
      </c>
      <c r="R471" s="22" t="n">
        <v>2095102.2901</v>
      </c>
      <c r="S471" s="4" t="n">
        <v>0.03</v>
      </c>
      <c r="T471" s="4" t="n">
        <v>0.04153455928979077</v>
      </c>
      <c r="U471" s="19" t="n">
        <v>1.192010011000049</v>
      </c>
      <c r="V471" s="19" t="n">
        <v>0.7916666666666686</v>
      </c>
      <c r="W471" s="4" t="n">
        <v>0.0002283336716055739</v>
      </c>
      <c r="X471" s="4" t="n">
        <v>-0.04871060171919772</v>
      </c>
      <c r="Y471" s="4" t="n">
        <v>0.008835981935857218</v>
      </c>
      <c r="Z471" s="4" t="n">
        <v>0.004416433377234297</v>
      </c>
      <c r="AA471" s="4" t="n">
        <v>0.03</v>
      </c>
      <c r="AB471" s="4" t="n">
        <v>0.05</v>
      </c>
      <c r="AC471" s="4">
        <f>(AB471+2*參數!$B$7)/(AA471+AB471)</f>
        <v/>
      </c>
    </row>
    <row r="472">
      <c r="A472" s="2" t="n">
        <v>471</v>
      </c>
      <c r="B472" s="2" t="inlineStr">
        <is>
          <t>USELESS_USDT_PERP</t>
        </is>
      </c>
      <c r="C472" s="2" t="inlineStr">
        <is>
          <t>做多</t>
        </is>
      </c>
      <c r="D472" s="7" t="n">
        <v>46290</v>
      </c>
      <c r="E472" s="20" t="n">
        <v>0.29391</v>
      </c>
      <c r="F472" s="20" t="n">
        <v>0.3027273</v>
      </c>
      <c r="G472" s="20" t="n">
        <v>0.2792145</v>
      </c>
      <c r="H472" s="7" t="n">
        <v>46290.04166666666</v>
      </c>
      <c r="I472" s="20" t="n">
        <v>0.3027273</v>
      </c>
      <c r="J472" s="2" t="inlineStr">
        <is>
          <t>止盈</t>
        </is>
      </c>
      <c r="K472" s="5">
        <f>(H472-D472)*24</f>
        <v/>
      </c>
      <c r="L472" s="4">
        <f>IF(C472="做多",I472/E472-1,1-I472/E472)-2*參數!$B$7</f>
        <v/>
      </c>
      <c r="M472" s="2" t="inlineStr"/>
      <c r="N472" s="4" t="n">
        <v>0.05563537102219662</v>
      </c>
      <c r="O472" s="4" t="n">
        <v>0.0422680886464745</v>
      </c>
      <c r="P472" s="4" t="n">
        <v>0.008335034419111986</v>
      </c>
      <c r="Q472" s="22" t="n">
        <v>178371</v>
      </c>
      <c r="R472" s="22" t="n">
        <v>2769002.43398</v>
      </c>
      <c r="S472" s="4" t="n">
        <v>0.03</v>
      </c>
      <c r="T472" s="4" t="n">
        <v>0</v>
      </c>
      <c r="U472" s="19" t="n">
        <v>1.327586493956245</v>
      </c>
      <c r="V472" s="19" t="n">
        <v>0.9048404840484044</v>
      </c>
      <c r="W472" s="4" t="n">
        <v>0.01004755206688435</v>
      </c>
      <c r="X472" s="4" t="n">
        <v>0.006989413094870889</v>
      </c>
      <c r="Y472" s="4" t="n">
        <v>0.008835981935857218</v>
      </c>
      <c r="Z472" s="4" t="n">
        <v>0.004416433377234297</v>
      </c>
      <c r="AA472" s="4" t="n">
        <v>0.03</v>
      </c>
      <c r="AB472" s="4" t="n">
        <v>0.05</v>
      </c>
      <c r="AC472" s="4">
        <f>(AB472+2*參數!$B$7)/(AA472+AB472)</f>
        <v/>
      </c>
    </row>
    <row r="473">
      <c r="A473" s="2" t="n">
        <v>472</v>
      </c>
      <c r="B473" s="2" t="inlineStr">
        <is>
          <t>LSK_USDT_PERP</t>
        </is>
      </c>
      <c r="C473" s="2" t="inlineStr">
        <is>
          <t>做多</t>
        </is>
      </c>
      <c r="D473" s="7" t="n">
        <v>46290.04166666666</v>
      </c>
      <c r="E473" s="20" t="n">
        <v>0.3986</v>
      </c>
      <c r="F473" s="20" t="n">
        <v>0.410558</v>
      </c>
      <c r="G473" s="20" t="n">
        <v>0.37867</v>
      </c>
      <c r="H473" s="7" t="n">
        <v>46290.125</v>
      </c>
      <c r="I473" s="20" t="n">
        <v>0.410558</v>
      </c>
      <c r="J473" s="2" t="inlineStr">
        <is>
          <t>止盈</t>
        </is>
      </c>
      <c r="K473" s="5">
        <f>(H473-D473)*24</f>
        <v/>
      </c>
      <c r="L473" s="4">
        <f>IF(C473="做多",I473/E473-1,1-I473/E473)-2*參數!$B$7</f>
        <v/>
      </c>
      <c r="M473" s="2" t="inlineStr"/>
      <c r="N473" s="4" t="n">
        <v>0.02494214451015675</v>
      </c>
      <c r="O473" s="4" t="n">
        <v>0.0595446166525628</v>
      </c>
      <c r="P473" s="4" t="n">
        <v>0.05585208534760211</v>
      </c>
      <c r="Q473" s="22" t="n">
        <v>1041316</v>
      </c>
      <c r="R473" s="22" t="n">
        <v>3556266.2393</v>
      </c>
      <c r="S473" s="4" t="n">
        <v>0.03</v>
      </c>
      <c r="T473" s="4" t="n">
        <v>0.01053687907676881</v>
      </c>
      <c r="U473" s="19" t="n">
        <v>0.4397389108666577</v>
      </c>
      <c r="V473" s="19" t="n">
        <v>0.8101265822784813</v>
      </c>
      <c r="W473" s="4" t="n">
        <v>0.1272751954207627</v>
      </c>
      <c r="X473" s="4" t="n">
        <v>0.3357908847184987</v>
      </c>
      <c r="Y473" s="4" t="n">
        <v>0.0008260809274862613</v>
      </c>
      <c r="Z473" s="4" t="n">
        <v>0.005099172665454121</v>
      </c>
      <c r="AA473" s="4" t="n">
        <v>0.03</v>
      </c>
      <c r="AB473" s="4" t="n">
        <v>0.05</v>
      </c>
      <c r="AC473" s="4">
        <f>(AB473+2*參數!$B$7)/(AA473+AB473)</f>
        <v/>
      </c>
    </row>
    <row r="474">
      <c r="A474" s="2" t="n">
        <v>473</v>
      </c>
      <c r="B474" s="2" t="inlineStr">
        <is>
          <t>LIT_USDT_PERP</t>
        </is>
      </c>
      <c r="C474" s="2" t="inlineStr">
        <is>
          <t>做多</t>
        </is>
      </c>
      <c r="D474" s="7" t="n">
        <v>46290.125</v>
      </c>
      <c r="E474" s="20" t="n">
        <v>5.401</v>
      </c>
      <c r="F474" s="20" t="n">
        <v>5.56303</v>
      </c>
      <c r="G474" s="20" t="n">
        <v>5.130949999999999</v>
      </c>
      <c r="H474" s="7" t="n">
        <v>46290.25</v>
      </c>
      <c r="I474" s="20" t="n">
        <v>5.130949999999999</v>
      </c>
      <c r="J474" s="2" t="inlineStr">
        <is>
          <t>止損</t>
        </is>
      </c>
      <c r="K474" s="5">
        <f>(H474-D474)*24</f>
        <v/>
      </c>
      <c r="L474" s="4">
        <f>IF(C474="做多",I474/E474-1,1-I474/E474)-2*參數!$B$7</f>
        <v/>
      </c>
      <c r="M474" s="2" t="inlineStr"/>
      <c r="N474" s="4" t="n">
        <v>0.02194891201513705</v>
      </c>
      <c r="O474" s="4" t="n">
        <v>0.0319402837590255</v>
      </c>
      <c r="P474" s="4" t="n">
        <v>0.02925202477370159</v>
      </c>
      <c r="Q474" s="22" t="n">
        <v>96931.70000000019</v>
      </c>
      <c r="R474" s="22" t="n">
        <v>8411378.3731</v>
      </c>
      <c r="S474" s="4" t="n">
        <v>0.01851508979818561</v>
      </c>
      <c r="T474" s="4" t="n">
        <v>0.05</v>
      </c>
      <c r="U474" s="19" t="n">
        <v>1.176937493109911</v>
      </c>
      <c r="V474" s="19" t="n">
        <v>0.9239130434782596</v>
      </c>
      <c r="W474" s="4" t="n">
        <v>0.07778360914828952</v>
      </c>
      <c r="X474" s="4" t="n">
        <v>0.0003704389701795208</v>
      </c>
      <c r="Y474" s="4" t="n">
        <v>0.004318793830226708</v>
      </c>
      <c r="Z474" s="4" t="n">
        <v>0.005252073765828813</v>
      </c>
      <c r="AA474" s="4" t="n">
        <v>0.03</v>
      </c>
      <c r="AB474" s="4" t="n">
        <v>0.05</v>
      </c>
      <c r="AC474" s="4">
        <f>(AB474+2*參數!$B$7)/(AA474+AB474)</f>
        <v/>
      </c>
    </row>
    <row r="475">
      <c r="A475" s="2" t="n">
        <v>474</v>
      </c>
      <c r="B475" s="2" t="inlineStr">
        <is>
          <t>BR_USDT_PERP</t>
        </is>
      </c>
      <c r="C475" s="2" t="inlineStr">
        <is>
          <t>做空</t>
        </is>
      </c>
      <c r="D475" s="7" t="n">
        <v>46290.20833333334</v>
      </c>
      <c r="E475" s="20" t="n">
        <v>0.9938900000000001</v>
      </c>
      <c r="F475" s="20" t="n">
        <v>0.9640733</v>
      </c>
      <c r="G475" s="20" t="n">
        <v>1.0435845</v>
      </c>
      <c r="H475" s="7" t="n">
        <v>46290.29166666666</v>
      </c>
      <c r="I475" s="20" t="n">
        <v>1.0435845</v>
      </c>
      <c r="J475" s="2" t="inlineStr">
        <is>
          <t>止損</t>
        </is>
      </c>
      <c r="K475" s="5">
        <f>(H475-D475)*24</f>
        <v/>
      </c>
      <c r="L475" s="4">
        <f>IF(C475="做多",I475/E475-1,1-I475/E475)-2*參數!$B$7</f>
        <v/>
      </c>
      <c r="M475" s="2" t="inlineStr"/>
      <c r="N475" s="4" t="n">
        <v>-0.03897698704312513</v>
      </c>
      <c r="O475" s="4" t="n">
        <v>0.04357520576966527</v>
      </c>
      <c r="P475" s="4" t="n">
        <v>-0.05290050352390496</v>
      </c>
      <c r="Q475" s="22" t="n">
        <v>-193441</v>
      </c>
      <c r="R475" s="22" t="n">
        <v>1515788.63546</v>
      </c>
      <c r="S475" s="4" t="n">
        <v>0.009659016591373359</v>
      </c>
      <c r="T475" s="4" t="n">
        <v>0.05</v>
      </c>
      <c r="U475" s="19" t="n">
        <v>1.755483444191534</v>
      </c>
      <c r="V475" s="19" t="n">
        <v>0.6123360312587216</v>
      </c>
      <c r="W475" s="4" t="n">
        <v>0.1117944675829423</v>
      </c>
      <c r="X475" s="4" t="n">
        <v>0.1162751409314815</v>
      </c>
      <c r="Y475" s="4" t="n">
        <v>0.0007217281656491936</v>
      </c>
      <c r="Z475" s="4" t="n">
        <v>-0.003811858624979791</v>
      </c>
      <c r="AA475" s="4" t="n">
        <v>0.03</v>
      </c>
      <c r="AB475" s="4" t="n">
        <v>0.05</v>
      </c>
      <c r="AC475" s="4">
        <f>(AB475+2*參數!$B$7)/(AA475+AB475)</f>
        <v/>
      </c>
    </row>
    <row r="476">
      <c r="A476" s="2" t="n">
        <v>475</v>
      </c>
      <c r="B476" s="2" t="inlineStr">
        <is>
          <t>AKE_USDT_PERP</t>
        </is>
      </c>
      <c r="C476" s="2" t="inlineStr">
        <is>
          <t>做空</t>
        </is>
      </c>
      <c r="D476" s="7" t="n">
        <v>46290.54166666666</v>
      </c>
      <c r="E476" s="20" t="n">
        <v>0.0379</v>
      </c>
      <c r="F476" s="20" t="n">
        <v>0.036763</v>
      </c>
      <c r="G476" s="20" t="n">
        <v>0.039795</v>
      </c>
      <c r="H476" s="7" t="n">
        <v>46290.55555555555</v>
      </c>
      <c r="I476" s="20" t="n">
        <v>0.036763</v>
      </c>
      <c r="J476" s="2" t="inlineStr">
        <is>
          <t>止盈</t>
        </is>
      </c>
      <c r="K476" s="5">
        <f>(H476-D476)*24</f>
        <v/>
      </c>
      <c r="L476" s="4">
        <f>IF(C476="做多",I476/E476-1,1-I476/E476)-2*參數!$B$7</f>
        <v/>
      </c>
      <c r="M476" s="2" t="inlineStr">
        <is>
          <t>同1h觸發；5分K判定先止盈</t>
        </is>
      </c>
      <c r="N476" s="4" t="n">
        <v>-0.02660776659132924</v>
      </c>
      <c r="O476" s="4" t="n">
        <v>0.063000383806915</v>
      </c>
      <c r="P476" s="4" t="n">
        <v>-0.03568610234118363</v>
      </c>
      <c r="Q476" s="22" t="n">
        <v>-16460456</v>
      </c>
      <c r="R476" s="22" t="n">
        <v>7609879.650048</v>
      </c>
      <c r="S476" s="4" t="n">
        <v>0.03</v>
      </c>
      <c r="T476" s="4" t="n">
        <v>0</v>
      </c>
      <c r="U476" s="19" t="n">
        <v>1.203433244084989</v>
      </c>
      <c r="V476" s="19" t="n">
        <v>0.5926286978365998</v>
      </c>
      <c r="W476" s="4" t="n">
        <v>0.1964968790369935</v>
      </c>
      <c r="X476" s="4" t="n">
        <v>0.07809440410600699</v>
      </c>
      <c r="Y476" s="4" t="n">
        <v>0.0003515393504360809</v>
      </c>
      <c r="Z476" s="4" t="n">
        <v>-0.0007319587156975338</v>
      </c>
      <c r="AA476" s="4" t="n">
        <v>0.03</v>
      </c>
      <c r="AB476" s="4" t="n">
        <v>0.05</v>
      </c>
      <c r="AC476" s="4">
        <f>(AB476+2*參數!$B$7)/(AA476+AB476)</f>
        <v/>
      </c>
    </row>
    <row r="477">
      <c r="A477" s="2" t="n">
        <v>476</v>
      </c>
      <c r="B477" s="2" t="inlineStr">
        <is>
          <t>BR_USDT_PERP</t>
        </is>
      </c>
      <c r="C477" s="2" t="inlineStr">
        <is>
          <t>做多</t>
        </is>
      </c>
      <c r="D477" s="7" t="n">
        <v>46290.625</v>
      </c>
      <c r="E477" s="20" t="n">
        <v>1.02364</v>
      </c>
      <c r="F477" s="20" t="n">
        <v>1.0543492</v>
      </c>
      <c r="G477" s="20" t="n">
        <v>0.972458</v>
      </c>
      <c r="H477" s="7" t="n">
        <v>46290.70833333334</v>
      </c>
      <c r="I477" s="20" t="n">
        <v>0.972458</v>
      </c>
      <c r="J477" s="2" t="inlineStr">
        <is>
          <t>止損</t>
        </is>
      </c>
      <c r="K477" s="5">
        <f>(H477-D477)*24</f>
        <v/>
      </c>
      <c r="L477" s="4">
        <f>IF(C477="做多",I477/E477-1,1-I477/E477)-2*參數!$B$7</f>
        <v/>
      </c>
      <c r="M477" s="2" t="inlineStr"/>
      <c r="N477" s="4" t="n">
        <v>0.04158653601554807</v>
      </c>
      <c r="O477" s="4" t="n">
        <v>0.05290948103258551</v>
      </c>
      <c r="P477" s="4" t="n">
        <v>0.01389545082214849</v>
      </c>
      <c r="Q477" s="22" t="n">
        <v>577884</v>
      </c>
      <c r="R477" s="22" t="n">
        <v>2055202.94727</v>
      </c>
      <c r="S477" s="4" t="n">
        <v>0.004269078973076379</v>
      </c>
      <c r="T477" s="4" t="n">
        <v>0.05</v>
      </c>
      <c r="U477" s="19" t="n">
        <v>2.294172520615029</v>
      </c>
      <c r="V477" s="19" t="n">
        <v>0.8054358013120927</v>
      </c>
      <c r="W477" s="4" t="n">
        <v>-0.06984605263397003</v>
      </c>
      <c r="X477" s="4" t="n">
        <v>-0.026328805691892</v>
      </c>
      <c r="Y477" s="4" t="n">
        <v>-0.001816948121318496</v>
      </c>
      <c r="Z477" s="4" t="n">
        <v>-0.00217444888916607</v>
      </c>
      <c r="AA477" s="4" t="n">
        <v>0.03</v>
      </c>
      <c r="AB477" s="4" t="n">
        <v>0.05</v>
      </c>
      <c r="AC477" s="4">
        <f>(AB477+2*參數!$B$7)/(AA477+AB477)</f>
        <v/>
      </c>
    </row>
    <row r="478">
      <c r="A478" s="2" t="n">
        <v>477</v>
      </c>
      <c r="B478" s="2" t="inlineStr">
        <is>
          <t>BROCCOLI_USDT_PERP</t>
        </is>
      </c>
      <c r="C478" s="2" t="inlineStr">
        <is>
          <t>做多</t>
        </is>
      </c>
      <c r="D478" s="7" t="n">
        <v>46290.66666666666</v>
      </c>
      <c r="E478" s="20" t="n">
        <v>0.03165</v>
      </c>
      <c r="F478" s="20" t="n">
        <v>0.0325995</v>
      </c>
      <c r="G478" s="20" t="n">
        <v>0.0300675</v>
      </c>
      <c r="H478" s="7" t="n">
        <v>46290.70833333334</v>
      </c>
      <c r="I478" s="20" t="n">
        <v>0.0325995</v>
      </c>
      <c r="J478" s="2" t="inlineStr">
        <is>
          <t>止盈</t>
        </is>
      </c>
      <c r="K478" s="5">
        <f>(H478-D478)*24</f>
        <v/>
      </c>
      <c r="L478" s="4">
        <f>IF(C478="做多",I478/E478-1,1-I478/E478)-2*參數!$B$7</f>
        <v/>
      </c>
      <c r="M478" s="2" t="inlineStr"/>
      <c r="N478" s="4" t="n">
        <v>0.08390410958904093</v>
      </c>
      <c r="O478" s="4" t="n">
        <v>0.04535571370866524</v>
      </c>
      <c r="P478" s="4" t="n">
        <v>0.05081425654476335</v>
      </c>
      <c r="Q478" s="22" t="n">
        <v>15519801</v>
      </c>
      <c r="R478" s="22" t="n">
        <v>1617523.05954</v>
      </c>
      <c r="S478" s="4" t="n">
        <v>0.03</v>
      </c>
      <c r="T478" s="4" t="n">
        <v>0</v>
      </c>
      <c r="U478" s="19" t="n">
        <v>1.243166835409191</v>
      </c>
      <c r="V478" s="19" t="n">
        <v>0.8025889967637539</v>
      </c>
      <c r="W478" s="4" t="n">
        <v>0.2945579483403888</v>
      </c>
      <c r="X478" s="4" t="n">
        <v>0.2554541848472827</v>
      </c>
      <c r="Y478" s="4" t="n">
        <v>-5.476242630875205e-05</v>
      </c>
      <c r="Z478" s="4" t="n">
        <v>-0.002551139462646734</v>
      </c>
      <c r="AA478" s="4" t="n">
        <v>0.03</v>
      </c>
      <c r="AB478" s="4" t="n">
        <v>0.05</v>
      </c>
      <c r="AC478" s="4">
        <f>(AB478+2*參數!$B$7)/(AA478+AB478)</f>
        <v/>
      </c>
    </row>
    <row r="479">
      <c r="A479" s="2" t="n">
        <v>478</v>
      </c>
      <c r="B479" s="2" t="inlineStr">
        <is>
          <t>ENA_USDT_PERP</t>
        </is>
      </c>
      <c r="C479" s="2" t="inlineStr">
        <is>
          <t>做多</t>
        </is>
      </c>
      <c r="D479" s="7" t="n">
        <v>46290.79166666666</v>
      </c>
      <c r="E479" s="20" t="n">
        <v>0.2287</v>
      </c>
      <c r="F479" s="20" t="n">
        <v>0.235561</v>
      </c>
      <c r="G479" s="20" t="n">
        <v>0.217265</v>
      </c>
      <c r="H479" s="7" t="n">
        <v>46290.83333333334</v>
      </c>
      <c r="I479" s="20" t="n">
        <v>0.235561</v>
      </c>
      <c r="J479" s="2" t="inlineStr">
        <is>
          <t>止盈</t>
        </is>
      </c>
      <c r="K479" s="5">
        <f>(H479-D479)*24</f>
        <v/>
      </c>
      <c r="L479" s="4">
        <f>IF(C479="做多",I479/E479-1,1-I479/E479)-2*參數!$B$7</f>
        <v/>
      </c>
      <c r="M479" s="2" t="inlineStr"/>
      <c r="N479" s="4" t="n">
        <v>0.02143814202769101</v>
      </c>
      <c r="O479" s="4" t="n">
        <v>0.02406050556280026</v>
      </c>
      <c r="P479" s="4" t="n">
        <v>0.02539960095949056</v>
      </c>
      <c r="Q479" s="22" t="n">
        <v>10106584</v>
      </c>
      <c r="R479" s="22" t="n">
        <v>10870741.7587</v>
      </c>
      <c r="S479" s="4" t="n">
        <v>0.03</v>
      </c>
      <c r="T479" s="4" t="n">
        <v>0</v>
      </c>
      <c r="U479" s="19" t="n">
        <v>0.7396802618828543</v>
      </c>
      <c r="V479" s="19" t="n">
        <v>0.9014084507042244</v>
      </c>
      <c r="W479" s="4" t="n">
        <v>0.06997155475709249</v>
      </c>
      <c r="X479" s="4" t="n">
        <v>0.1271562345983241</v>
      </c>
      <c r="Y479" s="4" t="n">
        <v>0.001717668324398014</v>
      </c>
      <c r="Z479" s="4" t="n">
        <v>0.004272448798245065</v>
      </c>
      <c r="AA479" s="4" t="n">
        <v>0.03</v>
      </c>
      <c r="AB479" s="4" t="n">
        <v>0.05</v>
      </c>
      <c r="AC479" s="4">
        <f>(AB479+2*參數!$B$7)/(AA479+AB479)</f>
        <v/>
      </c>
    </row>
    <row r="480">
      <c r="A480" s="2" t="n">
        <v>479</v>
      </c>
      <c r="B480" s="2" t="inlineStr">
        <is>
          <t>INJ_USDT_PERP</t>
        </is>
      </c>
      <c r="C480" s="2" t="inlineStr">
        <is>
          <t>做多</t>
        </is>
      </c>
      <c r="D480" s="7" t="n">
        <v>46290.83333333334</v>
      </c>
      <c r="E480" s="20" t="n">
        <v>8.26</v>
      </c>
      <c r="F480" s="20" t="n">
        <v>8.5078</v>
      </c>
      <c r="G480" s="20" t="n">
        <v>7.847</v>
      </c>
      <c r="H480" s="7" t="n">
        <v>46291.25</v>
      </c>
      <c r="I480" s="20" t="n">
        <v>7.847</v>
      </c>
      <c r="J480" s="2" t="inlineStr">
        <is>
          <t>止損</t>
        </is>
      </c>
      <c r="K480" s="5">
        <f>(H480-D480)*24</f>
        <v/>
      </c>
      <c r="L480" s="4">
        <f>IF(C480="做多",I480/E480-1,1-I480/E480)-2*參數!$B$7</f>
        <v/>
      </c>
      <c r="M480" s="2" t="inlineStr"/>
      <c r="N480" s="4" t="n">
        <v>0.02545003103662324</v>
      </c>
      <c r="O480" s="4" t="n">
        <v>0.02219678513995091</v>
      </c>
      <c r="P480" s="4" t="n">
        <v>0.02263793541038606</v>
      </c>
      <c r="Q480" s="22" t="n">
        <v>63669.59999999999</v>
      </c>
      <c r="R480" s="22" t="n">
        <v>2958524.9841</v>
      </c>
      <c r="S480" s="4" t="n">
        <v>0.01864406779661021</v>
      </c>
      <c r="T480" s="4" t="n">
        <v>0.05</v>
      </c>
      <c r="U480" s="19" t="n">
        <v>1.760937650676016</v>
      </c>
      <c r="V480" s="19" t="n">
        <v>0.8680000000000021</v>
      </c>
      <c r="W480" s="4" t="n">
        <v>0.04513833531985534</v>
      </c>
      <c r="X480" s="4" t="n">
        <v>0.04888888888888876</v>
      </c>
      <c r="Y480" s="4" t="n">
        <v>-0.001711180182903727</v>
      </c>
      <c r="Z480" s="4" t="n">
        <v>0.00245932117233183</v>
      </c>
      <c r="AA480" s="4" t="n">
        <v>0.03</v>
      </c>
      <c r="AB480" s="4" t="n">
        <v>0.05</v>
      </c>
      <c r="AC480" s="4">
        <f>(AB480+2*參數!$B$7)/(AA480+AB480)</f>
        <v/>
      </c>
    </row>
    <row r="481">
      <c r="A481" s="2" t="n">
        <v>480</v>
      </c>
      <c r="B481" s="2" t="inlineStr">
        <is>
          <t>XPL_USDT_PERP</t>
        </is>
      </c>
      <c r="C481" s="2" t="inlineStr">
        <is>
          <t>做多</t>
        </is>
      </c>
      <c r="D481" s="7" t="n">
        <v>46290.875</v>
      </c>
      <c r="E481" s="20" t="n">
        <v>0.1142</v>
      </c>
      <c r="F481" s="20" t="n">
        <v>0.117626</v>
      </c>
      <c r="G481" s="20" t="n">
        <v>0.10849</v>
      </c>
      <c r="H481" s="7" t="n">
        <v>46290.95833333334</v>
      </c>
      <c r="I481" s="20" t="n">
        <v>0.10849</v>
      </c>
      <c r="J481" s="2" t="inlineStr">
        <is>
          <t>止損</t>
        </is>
      </c>
      <c r="K481" s="5">
        <f>(H481-D481)*24</f>
        <v/>
      </c>
      <c r="L481" s="4">
        <f>IF(C481="做多",I481/E481-1,1-I481/E481)-2*參數!$B$7</f>
        <v/>
      </c>
      <c r="M481" s="2" t="inlineStr"/>
      <c r="N481" s="4" t="n">
        <v>0.02882882882882876</v>
      </c>
      <c r="O481" s="4" t="n">
        <v>0.04394487928255666</v>
      </c>
      <c r="P481" s="4" t="n">
        <v>0.01362446190032407</v>
      </c>
      <c r="Q481" s="22" t="n">
        <v>5555226</v>
      </c>
      <c r="R481" s="22" t="n">
        <v>3705571.857</v>
      </c>
      <c r="S481" s="4" t="n">
        <v>0.01050788091068311</v>
      </c>
      <c r="T481" s="4" t="n">
        <v>0.05</v>
      </c>
      <c r="U481" s="19" t="n">
        <v>0.6664775239439329</v>
      </c>
      <c r="V481" s="19" t="n">
        <v>0.9285714285714267</v>
      </c>
      <c r="W481" s="4" t="n">
        <v>0.1650921259360527</v>
      </c>
      <c r="X481" s="4" t="n">
        <v>0.2831460674157305</v>
      </c>
      <c r="Y481" s="4" t="n">
        <v>-0.001278782967699232</v>
      </c>
      <c r="Z481" s="4" t="n">
        <v>0.001188434985348596</v>
      </c>
      <c r="AA481" s="4" t="n">
        <v>0.03</v>
      </c>
      <c r="AB481" s="4" t="n">
        <v>0.05</v>
      </c>
      <c r="AC481" s="4">
        <f>(AB481+2*參數!$B$7)/(AA481+AB481)</f>
        <v/>
      </c>
    </row>
    <row r="482">
      <c r="A482" s="2" t="n">
        <v>481</v>
      </c>
      <c r="B482" s="2" t="inlineStr">
        <is>
          <t>RAY_USDT_PERP</t>
        </is>
      </c>
      <c r="C482" s="2" t="inlineStr">
        <is>
          <t>做空</t>
        </is>
      </c>
      <c r="D482" s="7" t="n">
        <v>46290.91666666666</v>
      </c>
      <c r="E482" s="20" t="n">
        <v>2.056</v>
      </c>
      <c r="F482" s="20" t="n">
        <v>1.99432</v>
      </c>
      <c r="G482" s="20" t="n">
        <v>2.1588</v>
      </c>
      <c r="H482" s="7" t="n">
        <v>46291.45833333334</v>
      </c>
      <c r="I482" s="20" t="n">
        <v>1.99432</v>
      </c>
      <c r="J482" s="2" t="inlineStr">
        <is>
          <t>止盈</t>
        </is>
      </c>
      <c r="K482" s="5">
        <f>(H482-D482)*24</f>
        <v/>
      </c>
      <c r="L482" s="4">
        <f>IF(C482="做多",I482/E482-1,1-I482/E482)-2*參數!$B$7</f>
        <v/>
      </c>
      <c r="M482" s="2" t="inlineStr"/>
      <c r="N482" s="4" t="n">
        <v>-0.02281368821292773</v>
      </c>
      <c r="O482" s="4" t="n">
        <v>0.02604428196174639</v>
      </c>
      <c r="P482" s="4" t="n">
        <v>-0.01428708409243451</v>
      </c>
      <c r="Q482" s="22" t="n">
        <v>-44169.39999999967</v>
      </c>
      <c r="R482" s="22" t="n">
        <v>1394724.4474</v>
      </c>
      <c r="S482" s="4" t="n">
        <v>0.03</v>
      </c>
      <c r="T482" s="4" t="n">
        <v>0.0325875486381324</v>
      </c>
      <c r="U482" s="19" t="n">
        <v>0.8223103764505041</v>
      </c>
      <c r="V482" s="19" t="n">
        <v>0.8666666666666639</v>
      </c>
      <c r="W482" s="4" t="n">
        <v>-0.06795208759700411</v>
      </c>
      <c r="X482" s="4" t="n">
        <v>0.0115384615384615</v>
      </c>
      <c r="Y482" s="4" t="n">
        <v>0.006367751885096085</v>
      </c>
      <c r="Z482" s="4" t="n">
        <v>0.00507680317064918</v>
      </c>
      <c r="AA482" s="4" t="n">
        <v>0.03</v>
      </c>
      <c r="AB482" s="4" t="n">
        <v>0.05</v>
      </c>
      <c r="AC482" s="4">
        <f>(AB482+2*參數!$B$7)/(AA482+AB482)</f>
        <v/>
      </c>
    </row>
    <row r="483">
      <c r="A483" s="2" t="n">
        <v>482</v>
      </c>
      <c r="B483" s="2" t="inlineStr">
        <is>
          <t>ONDO_USDT_PERP</t>
        </is>
      </c>
      <c r="C483" s="2" t="inlineStr">
        <is>
          <t>做空</t>
        </is>
      </c>
      <c r="D483" s="7" t="n">
        <v>46291</v>
      </c>
      <c r="E483" s="20" t="n">
        <v>0.5331</v>
      </c>
      <c r="F483" s="20" t="n">
        <v>0.517107</v>
      </c>
      <c r="G483" s="20" t="n">
        <v>0.559755</v>
      </c>
      <c r="H483" s="7" t="n">
        <v>46291.79166666666</v>
      </c>
      <c r="I483" s="20" t="n">
        <v>0.559755</v>
      </c>
      <c r="J483" s="2" t="inlineStr">
        <is>
          <t>止損</t>
        </is>
      </c>
      <c r="K483" s="5">
        <f>(H483-D483)*24</f>
        <v/>
      </c>
      <c r="L483" s="4">
        <f>IF(C483="做多",I483/E483-1,1-I483/E483)-2*參數!$B$7</f>
        <v/>
      </c>
      <c r="M483" s="2" t="inlineStr"/>
      <c r="N483" s="4" t="n">
        <v>-0.02039691289966927</v>
      </c>
      <c r="O483" s="4" t="n">
        <v>0.02915199436452103</v>
      </c>
      <c r="P483" s="4" t="n">
        <v>-0.00826907514719688</v>
      </c>
      <c r="Q483" s="22" t="n">
        <v>-3819633.400000002</v>
      </c>
      <c r="R483" s="22" t="n">
        <v>12172895.80578</v>
      </c>
      <c r="S483" s="4" t="n">
        <v>0</v>
      </c>
      <c r="T483" s="4" t="n">
        <v>0.05</v>
      </c>
      <c r="U483" s="19" t="n">
        <v>1.237840237035774</v>
      </c>
      <c r="V483" s="19" t="n">
        <v>0.7115384615384588</v>
      </c>
      <c r="W483" s="4" t="n">
        <v>-0.1604291694148225</v>
      </c>
      <c r="X483" s="4" t="n">
        <v>-0.03897875657766514</v>
      </c>
      <c r="Y483" s="4" t="n">
        <v>0.002459109123711611</v>
      </c>
      <c r="Z483" s="4" t="n">
        <v>0.005874121259811571</v>
      </c>
      <c r="AA483" s="4" t="n">
        <v>0.03</v>
      </c>
      <c r="AB483" s="4" t="n">
        <v>0.05</v>
      </c>
      <c r="AC483" s="4">
        <f>(AB483+2*參數!$B$7)/(AA483+AB483)</f>
        <v/>
      </c>
    </row>
    <row r="484">
      <c r="A484" s="2" t="n">
        <v>483</v>
      </c>
      <c r="B484" s="2" t="inlineStr">
        <is>
          <t>AKE_USDT_PERP</t>
        </is>
      </c>
      <c r="C484" s="2" t="inlineStr">
        <is>
          <t>做空</t>
        </is>
      </c>
      <c r="D484" s="7" t="n">
        <v>46291.04166666666</v>
      </c>
      <c r="E484" s="20" t="n">
        <v>0.0360825</v>
      </c>
      <c r="F484" s="20" t="n">
        <v>0.035000025</v>
      </c>
      <c r="G484" s="20" t="n">
        <v>0.03788662500000001</v>
      </c>
      <c r="H484" s="7" t="n">
        <v>46291.08333333334</v>
      </c>
      <c r="I484" s="20" t="n">
        <v>0.035000025</v>
      </c>
      <c r="J484" s="2" t="inlineStr">
        <is>
          <t>止盈</t>
        </is>
      </c>
      <c r="K484" s="5">
        <f>(H484-D484)*24</f>
        <v/>
      </c>
      <c r="L484" s="4">
        <f>IF(C484="做多",I484/E484-1,1-I484/E484)-2*參數!$B$7</f>
        <v/>
      </c>
      <c r="M484" s="2" t="inlineStr"/>
      <c r="N484" s="4" t="n">
        <v>-0.02767485414785953</v>
      </c>
      <c r="O484" s="4" t="n">
        <v>0.05722180691044247</v>
      </c>
      <c r="P484" s="4" t="n">
        <v>-0.002160085241924792</v>
      </c>
      <c r="Q484" s="22" t="n">
        <v>-9967712</v>
      </c>
      <c r="R484" s="22" t="n">
        <v>6005861.9962034</v>
      </c>
      <c r="S484" s="4" t="n">
        <v>0.03</v>
      </c>
      <c r="T484" s="4" t="n">
        <v>0</v>
      </c>
      <c r="U484" s="19" t="n">
        <v>1.325462817880993</v>
      </c>
      <c r="V484" s="19" t="n">
        <v>0.9577177293934663</v>
      </c>
      <c r="W484" s="4" t="n">
        <v>0.2165651807456267</v>
      </c>
      <c r="X484" s="4" t="n">
        <v>0.1431268478609339</v>
      </c>
      <c r="Y484" s="4" t="n">
        <v>0.0006100254276744099</v>
      </c>
      <c r="Z484" s="4" t="n">
        <v>0.006124352255945098</v>
      </c>
      <c r="AA484" s="4" t="n">
        <v>0.03</v>
      </c>
      <c r="AB484" s="4" t="n">
        <v>0.05</v>
      </c>
      <c r="AC484" s="4">
        <f>(AB484+2*參數!$B$7)/(AA484+AB484)</f>
        <v/>
      </c>
    </row>
    <row r="485">
      <c r="A485" s="2" t="n">
        <v>484</v>
      </c>
      <c r="B485" s="2" t="inlineStr">
        <is>
          <t>QNT_USDT_PERP</t>
        </is>
      </c>
      <c r="C485" s="2" t="inlineStr">
        <is>
          <t>做多</t>
        </is>
      </c>
      <c r="D485" s="7" t="n">
        <v>46291.04166666666</v>
      </c>
      <c r="E485" s="20" t="n">
        <v>97.95999999999999</v>
      </c>
      <c r="F485" s="20" t="n">
        <v>100.8988</v>
      </c>
      <c r="G485" s="20" t="n">
        <v>93.06199999999998</v>
      </c>
      <c r="H485" s="7" t="n">
        <v>46291.5</v>
      </c>
      <c r="I485" s="20" t="n">
        <v>100.8988</v>
      </c>
      <c r="J485" s="2" t="inlineStr">
        <is>
          <t>止盈</t>
        </is>
      </c>
      <c r="K485" s="5">
        <f>(H485-D485)*24</f>
        <v/>
      </c>
      <c r="L485" s="4">
        <f>IF(C485="做多",I485/E485-1,1-I485/E485)-2*參數!$B$7</f>
        <v/>
      </c>
      <c r="M485" s="2" t="inlineStr"/>
      <c r="N485" s="4" t="n">
        <v>0.02608149156803186</v>
      </c>
      <c r="O485" s="4" t="n">
        <v>0.03429944685470611</v>
      </c>
      <c r="P485" s="4" t="n">
        <v>0.03253823532511868</v>
      </c>
      <c r="Q485" s="22" t="n">
        <v>23845.29999999999</v>
      </c>
      <c r="R485" s="22" t="n">
        <v>7018131.49</v>
      </c>
      <c r="S485" s="4" t="n">
        <v>0.03</v>
      </c>
      <c r="T485" s="4" t="n">
        <v>0.01469987750102075</v>
      </c>
      <c r="U485" s="19" t="n">
        <v>0.7800733501806887</v>
      </c>
      <c r="V485" s="19" t="n">
        <v>0.7285714285714276</v>
      </c>
      <c r="W485" s="4" t="n">
        <v>0.2766212542582276</v>
      </c>
      <c r="X485" s="4" t="n">
        <v>0.1486866791744839</v>
      </c>
      <c r="Y485" s="4" t="n">
        <v>-0.0006100254276744099</v>
      </c>
      <c r="Z485" s="4" t="n">
        <v>-0.006124352255945098</v>
      </c>
      <c r="AA485" s="4" t="n">
        <v>0.03</v>
      </c>
      <c r="AB485" s="4" t="n">
        <v>0.05</v>
      </c>
      <c r="AC485" s="4">
        <f>(AB485+2*參數!$B$7)/(AA485+AB485)</f>
        <v/>
      </c>
    </row>
    <row r="486">
      <c r="A486" s="2" t="n">
        <v>485</v>
      </c>
      <c r="B486" s="2" t="inlineStr">
        <is>
          <t>PONS_USDT_PERP</t>
        </is>
      </c>
      <c r="C486" s="2" t="inlineStr">
        <is>
          <t>做多</t>
        </is>
      </c>
      <c r="D486" s="7" t="n">
        <v>46291.125</v>
      </c>
      <c r="E486" s="20" t="n">
        <v>0.6466</v>
      </c>
      <c r="F486" s="20" t="n">
        <v>0.665998</v>
      </c>
      <c r="G486" s="20" t="n">
        <v>0.6142699999999999</v>
      </c>
      <c r="H486" s="7" t="n">
        <v>46291.375</v>
      </c>
      <c r="I486" s="20" t="n">
        <v>0.665998</v>
      </c>
      <c r="J486" s="2" t="inlineStr">
        <is>
          <t>止盈</t>
        </is>
      </c>
      <c r="K486" s="5">
        <f>(H486-D486)*24</f>
        <v/>
      </c>
      <c r="L486" s="4">
        <f>IF(C486="做多",I486/E486-1,1-I486/E486)-2*參數!$B$7</f>
        <v/>
      </c>
      <c r="M486" s="2" t="inlineStr"/>
      <c r="N486" s="4" t="n">
        <v>0.02586070125337137</v>
      </c>
      <c r="O486" s="4" t="n">
        <v>0.02379896793648727</v>
      </c>
      <c r="P486" s="4" t="n">
        <v>0.025453968757434</v>
      </c>
      <c r="Q486" s="22" t="n">
        <v>1294521</v>
      </c>
      <c r="R486" s="22" t="n">
        <v>3089939.1094</v>
      </c>
      <c r="S486" s="4" t="n">
        <v>0.03</v>
      </c>
      <c r="T486" s="4" t="n">
        <v>0.02814723167336841</v>
      </c>
      <c r="U486" s="19" t="n">
        <v>0.3822498884388906</v>
      </c>
      <c r="V486" s="19" t="n">
        <v>0.9289617486338754</v>
      </c>
      <c r="W486" s="4" t="n">
        <v>0.01123208918109886</v>
      </c>
      <c r="X486" s="4" t="n">
        <v>0.02634920634920634</v>
      </c>
      <c r="Y486" s="4" t="n">
        <v>0.00216715900379949</v>
      </c>
      <c r="Z486" s="4" t="n">
        <v>-0.003054856944595619</v>
      </c>
      <c r="AA486" s="4" t="n">
        <v>0.03</v>
      </c>
      <c r="AB486" s="4" t="n">
        <v>0.05</v>
      </c>
      <c r="AC486" s="4">
        <f>(AB486+2*參數!$B$7)/(AA486+AB486)</f>
        <v/>
      </c>
    </row>
    <row r="487">
      <c r="A487" s="2" t="n">
        <v>486</v>
      </c>
      <c r="B487" s="2" t="inlineStr">
        <is>
          <t>XPL_USDT_PERP</t>
        </is>
      </c>
      <c r="C487" s="2" t="inlineStr">
        <is>
          <t>做多</t>
        </is>
      </c>
      <c r="D487" s="7" t="n">
        <v>46291.125</v>
      </c>
      <c r="E487" s="20" t="n">
        <v>0.1141</v>
      </c>
      <c r="F487" s="20" t="n">
        <v>0.117523</v>
      </c>
      <c r="G487" s="20" t="n">
        <v>0.108395</v>
      </c>
      <c r="H487" s="7" t="n">
        <v>46291.70833333334</v>
      </c>
      <c r="I487" s="20" t="n">
        <v>0.117523</v>
      </c>
      <c r="J487" s="2" t="inlineStr">
        <is>
          <t>止盈</t>
        </is>
      </c>
      <c r="K487" s="5">
        <f>(H487-D487)*24</f>
        <v/>
      </c>
      <c r="L487" s="4">
        <f>IF(C487="做多",I487/E487-1,1-I487/E487)-2*參數!$B$7</f>
        <v/>
      </c>
      <c r="M487" s="2" t="inlineStr"/>
      <c r="N487" s="4" t="n">
        <v>0.02515723270440251</v>
      </c>
      <c r="O487" s="4" t="n">
        <v>0.04189406918790371</v>
      </c>
      <c r="P487" s="4" t="n">
        <v>0.004445618205026758</v>
      </c>
      <c r="Q487" s="22" t="n">
        <v>4456018</v>
      </c>
      <c r="R487" s="22" t="n">
        <v>3824323.4029</v>
      </c>
      <c r="S487" s="4" t="n">
        <v>0.03</v>
      </c>
      <c r="T487" s="4" t="n">
        <v>0.03856266432953537</v>
      </c>
      <c r="U487" s="19" t="n">
        <v>0.4989795624645668</v>
      </c>
      <c r="V487" s="19" t="n">
        <v>0.953488372093022</v>
      </c>
      <c r="W487" s="4" t="n">
        <v>0.1569544011924437</v>
      </c>
      <c r="X487" s="4" t="n">
        <v>0.09186602870813387</v>
      </c>
      <c r="Y487" s="4" t="n">
        <v>0.00216715900379949</v>
      </c>
      <c r="Z487" s="4" t="n">
        <v>-0.003054856944595619</v>
      </c>
      <c r="AA487" s="4" t="n">
        <v>0.03</v>
      </c>
      <c r="AB487" s="4" t="n">
        <v>0.05</v>
      </c>
      <c r="AC487" s="4">
        <f>(AB487+2*參數!$B$7)/(AA487+AB487)</f>
        <v/>
      </c>
    </row>
    <row r="488">
      <c r="A488" s="2" t="n">
        <v>487</v>
      </c>
      <c r="B488" s="2" t="inlineStr">
        <is>
          <t>BR_USDT_PERP</t>
        </is>
      </c>
      <c r="C488" s="2" t="inlineStr">
        <is>
          <t>做多</t>
        </is>
      </c>
      <c r="D488" s="7" t="n">
        <v>46291.25</v>
      </c>
      <c r="E488" s="20" t="n">
        <v>0.93702</v>
      </c>
      <c r="F488" s="20" t="n">
        <v>0.9651305999999999</v>
      </c>
      <c r="G488" s="20" t="n">
        <v>0.8901689999999999</v>
      </c>
      <c r="H488" s="7" t="n">
        <v>46291.375</v>
      </c>
      <c r="I488" s="20" t="n">
        <v>0.9651305999999999</v>
      </c>
      <c r="J488" s="2" t="inlineStr">
        <is>
          <t>止盈</t>
        </is>
      </c>
      <c r="K488" s="5">
        <f>(H488-D488)*24</f>
        <v/>
      </c>
      <c r="L488" s="4">
        <f>IF(C488="做多",I488/E488-1,1-I488/E488)-2*參數!$B$7</f>
        <v/>
      </c>
      <c r="M488" s="2" t="inlineStr"/>
      <c r="N488" s="4" t="n">
        <v>0.02250109122653865</v>
      </c>
      <c r="O488" s="4" t="n">
        <v>0.08391143006310035</v>
      </c>
      <c r="P488" s="4" t="n">
        <v>0.003526726762747456</v>
      </c>
      <c r="Q488" s="22" t="n">
        <v>828198</v>
      </c>
      <c r="R488" s="22" t="n">
        <v>3766150.10639</v>
      </c>
      <c r="S488" s="4" t="n">
        <v>0.03</v>
      </c>
      <c r="T488" s="4" t="n">
        <v>0.032720753025549</v>
      </c>
      <c r="U488" s="19" t="n">
        <v>0.4067614262616053</v>
      </c>
      <c r="V488" s="19" t="n">
        <v>0.8142076502732239</v>
      </c>
      <c r="W488" s="4" t="n">
        <v>-0.1182826356670117</v>
      </c>
      <c r="X488" s="4" t="n">
        <v>-0.09622099191728239</v>
      </c>
      <c r="Y488" s="4" t="n">
        <v>-0.001102103180235514</v>
      </c>
      <c r="Z488" s="4" t="n">
        <v>-0.004090140418303911</v>
      </c>
      <c r="AA488" s="4" t="n">
        <v>0.03</v>
      </c>
      <c r="AB488" s="4" t="n">
        <v>0.05</v>
      </c>
      <c r="AC488" s="4">
        <f>(AB488+2*參數!$B$7)/(AA488+AB488)</f>
        <v/>
      </c>
    </row>
    <row r="489">
      <c r="A489" s="2" t="n">
        <v>488</v>
      </c>
      <c r="B489" s="2" t="inlineStr">
        <is>
          <t>ARB_USDT_PERP</t>
        </is>
      </c>
      <c r="C489" s="2" t="inlineStr">
        <is>
          <t>做多</t>
        </is>
      </c>
      <c r="D489" s="7" t="n">
        <v>46291.29166666666</v>
      </c>
      <c r="E489" s="20" t="n">
        <v>0.2287</v>
      </c>
      <c r="F489" s="20" t="n">
        <v>0.235561</v>
      </c>
      <c r="G489" s="20" t="n">
        <v>0.217265</v>
      </c>
      <c r="H489" s="7" t="n">
        <v>46291.75</v>
      </c>
      <c r="I489" s="20" t="n">
        <v>0.217265</v>
      </c>
      <c r="J489" s="2" t="inlineStr">
        <is>
          <t>止損</t>
        </is>
      </c>
      <c r="K489" s="5">
        <f>(H489-D489)*24</f>
        <v/>
      </c>
      <c r="L489" s="4">
        <f>IF(C489="做多",I489/E489-1,1-I489/E489)-2*參數!$B$7</f>
        <v/>
      </c>
      <c r="M489" s="2" t="inlineStr"/>
      <c r="N489" s="4" t="n">
        <v>0.03577898550724634</v>
      </c>
      <c r="O489" s="4" t="n">
        <v>0.02189176279024573</v>
      </c>
      <c r="P489" s="4" t="n">
        <v>0.03269213401968729</v>
      </c>
      <c r="Q489" s="22" t="n">
        <v>1689718.099999996</v>
      </c>
      <c r="R489" s="22" t="n">
        <v>3217414.12221</v>
      </c>
      <c r="S489" s="4" t="n">
        <v>0.004809794490599151</v>
      </c>
      <c r="T489" s="4" t="n">
        <v>0.05</v>
      </c>
      <c r="U489" s="19" t="n">
        <v>1.040648891688508</v>
      </c>
      <c r="V489" s="19" t="n">
        <v>0.7964601769911483</v>
      </c>
      <c r="W489" s="4" t="n">
        <v>0.02735264654486946</v>
      </c>
      <c r="X489" s="4" t="n">
        <v>0.04764086120018329</v>
      </c>
      <c r="Y489" s="4" t="n">
        <v>0.003460410066951525</v>
      </c>
      <c r="Z489" s="4" t="n">
        <v>-0.0005594396279725578</v>
      </c>
      <c r="AA489" s="4" t="n">
        <v>0.03</v>
      </c>
      <c r="AB489" s="4" t="n">
        <v>0.05</v>
      </c>
      <c r="AC489" s="4">
        <f>(AB489+2*參數!$B$7)/(AA489+AB489)</f>
        <v/>
      </c>
    </row>
    <row r="490">
      <c r="A490" s="2" t="n">
        <v>489</v>
      </c>
      <c r="B490" s="2" t="inlineStr">
        <is>
          <t>PENGU_USDT_PERP</t>
        </is>
      </c>
      <c r="C490" s="2" t="inlineStr">
        <is>
          <t>做多</t>
        </is>
      </c>
      <c r="D490" s="7" t="n">
        <v>46291.29166666666</v>
      </c>
      <c r="E490" s="20" t="n">
        <v>0.010271</v>
      </c>
      <c r="F490" s="20" t="n">
        <v>0.01057913</v>
      </c>
      <c r="G490" s="20" t="n">
        <v>0.009757450000000001</v>
      </c>
      <c r="H490" s="7" t="n">
        <v>46292.20833333334</v>
      </c>
      <c r="I490" s="20" t="n">
        <v>0.009757450000000001</v>
      </c>
      <c r="J490" s="2" t="inlineStr">
        <is>
          <t>止損</t>
        </is>
      </c>
      <c r="K490" s="5">
        <f>(H490-D490)*24</f>
        <v/>
      </c>
      <c r="L490" s="4">
        <f>IF(C490="做多",I490/E490-1,1-I490/E490)-2*參數!$B$7</f>
        <v/>
      </c>
      <c r="M490" s="2" t="inlineStr"/>
      <c r="N490" s="4" t="n">
        <v>0.02884904337373539</v>
      </c>
      <c r="O490" s="4" t="n">
        <v>0.0228009807849537</v>
      </c>
      <c r="P490" s="4" t="n">
        <v>0.04255059989037546</v>
      </c>
      <c r="Q490" s="22" t="n">
        <v>122215086</v>
      </c>
      <c r="R490" s="22" t="n">
        <v>2772925.220735</v>
      </c>
      <c r="S490" s="4" t="n">
        <v>0.01947230065232186</v>
      </c>
      <c r="T490" s="4" t="n">
        <v>0.05</v>
      </c>
      <c r="U490" s="19" t="n">
        <v>4.204265378171247</v>
      </c>
      <c r="V490" s="19" t="n">
        <v>0.7684478371501292</v>
      </c>
      <c r="W490" s="4" t="n">
        <v>0.05674160193425615</v>
      </c>
      <c r="X490" s="4" t="n">
        <v>0.05755766062602974</v>
      </c>
      <c r="Y490" s="4" t="n">
        <v>0.003460410066951525</v>
      </c>
      <c r="Z490" s="4" t="n">
        <v>-0.0005594396279725578</v>
      </c>
      <c r="AA490" s="4" t="n">
        <v>0.03</v>
      </c>
      <c r="AB490" s="4" t="n">
        <v>0.05</v>
      </c>
      <c r="AC490" s="4">
        <f>(AB490+2*參數!$B$7)/(AA490+AB490)</f>
        <v/>
      </c>
    </row>
    <row r="491">
      <c r="A491" s="2" t="n">
        <v>490</v>
      </c>
      <c r="B491" s="2" t="inlineStr">
        <is>
          <t>PUMP_USDT_PERP</t>
        </is>
      </c>
      <c r="C491" s="2" t="inlineStr">
        <is>
          <t>做多</t>
        </is>
      </c>
      <c r="D491" s="7" t="n">
        <v>46291.29166666666</v>
      </c>
      <c r="E491" s="20" t="n">
        <v>0.004187</v>
      </c>
      <c r="F491" s="20" t="n">
        <v>0.00431261</v>
      </c>
      <c r="G491" s="20" t="n">
        <v>0.003977649999999999</v>
      </c>
      <c r="H491" s="7" t="n">
        <v>46291.45833333334</v>
      </c>
      <c r="I491" s="20" t="n">
        <v>0.00431261</v>
      </c>
      <c r="J491" s="2" t="inlineStr">
        <is>
          <t>止盈</t>
        </is>
      </c>
      <c r="K491" s="5">
        <f>(H491-D491)*24</f>
        <v/>
      </c>
      <c r="L491" s="4">
        <f>IF(C491="做多",I491/E491-1,1-I491/E491)-2*參數!$B$7</f>
        <v/>
      </c>
      <c r="M491" s="2" t="inlineStr"/>
      <c r="N491" s="4" t="n">
        <v>0.02849422746253993</v>
      </c>
      <c r="O491" s="4" t="n">
        <v>0.0216883177267738</v>
      </c>
      <c r="P491" s="4" t="n">
        <v>0.02998696219035191</v>
      </c>
      <c r="Q491" s="22" t="n">
        <v>100978210</v>
      </c>
      <c r="R491" s="22" t="n">
        <v>6143652.359474</v>
      </c>
      <c r="S491" s="4" t="n">
        <v>0.03</v>
      </c>
      <c r="T491" s="4" t="n">
        <v>0.009792213995700849</v>
      </c>
      <c r="U491" s="19" t="n">
        <v>0.3552138487272078</v>
      </c>
      <c r="V491" s="19" t="n">
        <v>0.9015151515151517</v>
      </c>
      <c r="W491" s="4" t="n">
        <v>0.003751782995912611</v>
      </c>
      <c r="X491" s="4" t="n">
        <v>0.09150156412930133</v>
      </c>
      <c r="Y491" s="4" t="n">
        <v>0.003460410066951525</v>
      </c>
      <c r="Z491" s="4" t="n">
        <v>-0.0005594396279725578</v>
      </c>
      <c r="AA491" s="4" t="n">
        <v>0.03</v>
      </c>
      <c r="AB491" s="4" t="n">
        <v>0.05</v>
      </c>
      <c r="AC491" s="4">
        <f>(AB491+2*參數!$B$7)/(AA491+AB491)</f>
        <v/>
      </c>
    </row>
    <row r="492">
      <c r="A492" s="2" t="n">
        <v>491</v>
      </c>
      <c r="B492" s="2" t="inlineStr">
        <is>
          <t>AERO_USDT_PERP</t>
        </is>
      </c>
      <c r="C492" s="2" t="inlineStr">
        <is>
          <t>做多</t>
        </is>
      </c>
      <c r="D492" s="7" t="n">
        <v>46291.41666666666</v>
      </c>
      <c r="E492" s="20" t="n">
        <v>0.8534</v>
      </c>
      <c r="F492" s="20" t="n">
        <v>0.8790020000000001</v>
      </c>
      <c r="G492" s="20" t="n">
        <v>0.8107300000000001</v>
      </c>
      <c r="H492" s="7" t="n">
        <v>46291.45833333334</v>
      </c>
      <c r="I492" s="20" t="n">
        <v>0.8790020000000001</v>
      </c>
      <c r="J492" s="2" t="inlineStr">
        <is>
          <t>止盈</t>
        </is>
      </c>
      <c r="K492" s="5">
        <f>(H492-D492)*24</f>
        <v/>
      </c>
      <c r="L492" s="4">
        <f>IF(C492="做多",I492/E492-1,1-I492/E492)-2*參數!$B$7</f>
        <v/>
      </c>
      <c r="M492" s="2" t="inlineStr"/>
      <c r="N492" s="4" t="n">
        <v>0.03192261185006062</v>
      </c>
      <c r="O492" s="4" t="n">
        <v>0.0264237348643766</v>
      </c>
      <c r="P492" s="4" t="n">
        <v>0.05699918254105873</v>
      </c>
      <c r="Q492" s="22" t="n">
        <v>536971.8000000003</v>
      </c>
      <c r="R492" s="22" t="n">
        <v>1509375.48743</v>
      </c>
      <c r="S492" s="4" t="n">
        <v>0.03</v>
      </c>
      <c r="T492" s="4" t="n">
        <v>0</v>
      </c>
      <c r="U492" s="19" t="n">
        <v>0.6177384752996335</v>
      </c>
      <c r="V492" s="19" t="n">
        <v>0.9781021897810243</v>
      </c>
      <c r="W492" s="4" t="n">
        <v>0.1925756783874657</v>
      </c>
      <c r="X492" s="4" t="n">
        <v>0.2252692031586505</v>
      </c>
      <c r="Y492" s="4" t="n">
        <v>0.002054394353098399</v>
      </c>
      <c r="Z492" s="4" t="n">
        <v>-0.0001775002492379052</v>
      </c>
      <c r="AA492" s="4" t="n">
        <v>0.03</v>
      </c>
      <c r="AB492" s="4" t="n">
        <v>0.05</v>
      </c>
      <c r="AC492" s="4">
        <f>(AB492+2*參數!$B$7)/(AA492+AB492)</f>
        <v/>
      </c>
    </row>
    <row r="493">
      <c r="A493" s="2" t="n">
        <v>492</v>
      </c>
      <c r="B493" s="2" t="inlineStr">
        <is>
          <t>LYN_USDT_PERP</t>
        </is>
      </c>
      <c r="C493" s="2" t="inlineStr">
        <is>
          <t>做空</t>
        </is>
      </c>
      <c r="D493" s="7" t="n">
        <v>46291.41666666666</v>
      </c>
      <c r="E493" s="20" t="n">
        <v>0.04466</v>
      </c>
      <c r="F493" s="20" t="n">
        <v>0.0433202</v>
      </c>
      <c r="G493" s="20" t="n">
        <v>0.046893</v>
      </c>
      <c r="H493" s="7" t="n">
        <v>46291.45833333334</v>
      </c>
      <c r="I493" s="20" t="n">
        <v>0.0433202</v>
      </c>
      <c r="J493" s="2" t="inlineStr">
        <is>
          <t>止盈</t>
        </is>
      </c>
      <c r="K493" s="5">
        <f>(H493-D493)*24</f>
        <v/>
      </c>
      <c r="L493" s="4">
        <f>IF(C493="做多",I493/E493-1,1-I493/E493)-2*參數!$B$7</f>
        <v/>
      </c>
      <c r="M493" s="2" t="inlineStr"/>
      <c r="N493" s="4" t="n">
        <v>-0.08577277379733883</v>
      </c>
      <c r="O493" s="4" t="n">
        <v>0.1043489340342936</v>
      </c>
      <c r="P493" s="4" t="n">
        <v>-0.04156919973388862</v>
      </c>
      <c r="Q493" s="22" t="n">
        <v>-20200839</v>
      </c>
      <c r="R493" s="22" t="n">
        <v>2273438.35389</v>
      </c>
      <c r="S493" s="4" t="n">
        <v>0.03</v>
      </c>
      <c r="T493" s="4" t="n">
        <v>0</v>
      </c>
      <c r="U493" s="19" t="n">
        <v>2.030562396801389</v>
      </c>
      <c r="V493" s="19" t="n">
        <v>0.9286775631500741</v>
      </c>
      <c r="W493" s="4" t="n">
        <v>-0.08071483018548298</v>
      </c>
      <c r="X493" s="4" t="n">
        <v>-0.1419074405522884</v>
      </c>
      <c r="Y493" s="4" t="n">
        <v>-0.002054394353098399</v>
      </c>
      <c r="Z493" s="4" t="n">
        <v>0.0001775002492379052</v>
      </c>
      <c r="AA493" s="4" t="n">
        <v>0.03</v>
      </c>
      <c r="AB493" s="4" t="n">
        <v>0.05</v>
      </c>
      <c r="AC493" s="4">
        <f>(AB493+2*參數!$B$7)/(AA493+AB493)</f>
        <v/>
      </c>
    </row>
    <row r="494">
      <c r="A494" s="2" t="n">
        <v>493</v>
      </c>
      <c r="B494" s="2" t="inlineStr">
        <is>
          <t>FET_USDT_PERP</t>
        </is>
      </c>
      <c r="C494" s="2" t="inlineStr">
        <is>
          <t>做多</t>
        </is>
      </c>
      <c r="D494" s="7" t="n">
        <v>46291.54166666666</v>
      </c>
      <c r="E494" s="20" t="n">
        <v>0.2468</v>
      </c>
      <c r="F494" s="20" t="n">
        <v>0.254204</v>
      </c>
      <c r="G494" s="20" t="n">
        <v>0.23446</v>
      </c>
      <c r="H494" s="7" t="n">
        <v>46292</v>
      </c>
      <c r="I494" s="20" t="n">
        <v>0.254204</v>
      </c>
      <c r="J494" s="2" t="inlineStr">
        <is>
          <t>止盈</t>
        </is>
      </c>
      <c r="K494" s="5">
        <f>(H494-D494)*24</f>
        <v/>
      </c>
      <c r="L494" s="4">
        <f>IF(C494="做多",I494/E494-1,1-I494/E494)-2*參數!$B$7</f>
        <v/>
      </c>
      <c r="M494" s="2" t="inlineStr"/>
      <c r="N494" s="4" t="n">
        <v>0.02025630425795777</v>
      </c>
      <c r="O494" s="4" t="n">
        <v>0.02015143846387749</v>
      </c>
      <c r="P494" s="4" t="n">
        <v>0.02515109348065381</v>
      </c>
      <c r="Q494" s="22" t="n">
        <v>3914876</v>
      </c>
      <c r="R494" s="22" t="n">
        <v>3487444.9208</v>
      </c>
      <c r="S494" s="4" t="n">
        <v>0.03</v>
      </c>
      <c r="T494" s="4" t="n">
        <v>0.03727714748784439</v>
      </c>
      <c r="U494" s="19" t="n">
        <v>0.4044272584723388</v>
      </c>
      <c r="V494" s="19" t="n">
        <v>0.8983050847457601</v>
      </c>
      <c r="W494" s="4" t="n">
        <v>0.1481419453283461</v>
      </c>
      <c r="X494" s="4" t="n">
        <v>0.08103372755146743</v>
      </c>
      <c r="Y494" s="4" t="n">
        <v>0.000467175554323962</v>
      </c>
      <c r="Z494" s="4" t="n">
        <v>-0.0009745971047463442</v>
      </c>
      <c r="AA494" s="4" t="n">
        <v>0.03</v>
      </c>
      <c r="AB494" s="4" t="n">
        <v>0.05</v>
      </c>
      <c r="AC494" s="4">
        <f>(AB494+2*參數!$B$7)/(AA494+AB494)</f>
        <v/>
      </c>
    </row>
    <row r="495">
      <c r="A495" s="2" t="n">
        <v>494</v>
      </c>
      <c r="B495" s="2" t="inlineStr">
        <is>
          <t>QNT_USDT_PERP</t>
        </is>
      </c>
      <c r="C495" s="2" t="inlineStr">
        <is>
          <t>做多</t>
        </is>
      </c>
      <c r="D495" s="7" t="n">
        <v>46291.58333333334</v>
      </c>
      <c r="E495" s="20" t="n">
        <v>100.72</v>
      </c>
      <c r="F495" s="20" t="n">
        <v>103.7416</v>
      </c>
      <c r="G495" s="20" t="n">
        <v>95.684</v>
      </c>
      <c r="H495" s="7" t="n">
        <v>46291.625</v>
      </c>
      <c r="I495" s="20" t="n">
        <v>103.7416</v>
      </c>
      <c r="J495" s="2" t="inlineStr">
        <is>
          <t>止盈</t>
        </is>
      </c>
      <c r="K495" s="5">
        <f>(H495-D495)*24</f>
        <v/>
      </c>
      <c r="L495" s="4">
        <f>IF(C495="做多",I495/E495-1,1-I495/E495)-2*參數!$B$7</f>
        <v/>
      </c>
      <c r="M495" s="2" t="inlineStr"/>
      <c r="N495" s="4" t="n">
        <v>0.02119030720876003</v>
      </c>
      <c r="O495" s="4" t="n">
        <v>0.02532472971226432</v>
      </c>
      <c r="P495" s="4" t="n">
        <v>0.03071578053285728</v>
      </c>
      <c r="Q495" s="22" t="n">
        <v>8304.399999999998</v>
      </c>
      <c r="R495" s="22" t="n">
        <v>6282037.247</v>
      </c>
      <c r="S495" s="4" t="n">
        <v>0.03</v>
      </c>
      <c r="T495" s="4" t="n">
        <v>0</v>
      </c>
      <c r="U495" s="19" t="n">
        <v>0.6492928044213357</v>
      </c>
      <c r="V495" s="19" t="n">
        <v>0.8168498168498172</v>
      </c>
      <c r="W495" s="4" t="n">
        <v>0.2457714642638484</v>
      </c>
      <c r="X495" s="4" t="n">
        <v>0.03366174055829219</v>
      </c>
      <c r="Y495" s="4" t="n">
        <v>-0.0006349191222631001</v>
      </c>
      <c r="Z495" s="4" t="n">
        <v>-0.001229260507332075</v>
      </c>
      <c r="AA495" s="4" t="n">
        <v>0.03</v>
      </c>
      <c r="AB495" s="4" t="n">
        <v>0.05</v>
      </c>
      <c r="AC495" s="4">
        <f>(AB495+2*參數!$B$7)/(AA495+AB495)</f>
        <v/>
      </c>
    </row>
    <row r="496">
      <c r="A496" s="2" t="n">
        <v>495</v>
      </c>
      <c r="B496" s="2" t="inlineStr">
        <is>
          <t>MUBARAK_USDT_PERP</t>
        </is>
      </c>
      <c r="C496" s="2" t="inlineStr">
        <is>
          <t>做空</t>
        </is>
      </c>
      <c r="D496" s="7" t="n">
        <v>46291.625</v>
      </c>
      <c r="E496" s="20" t="n">
        <v>0.05304</v>
      </c>
      <c r="F496" s="20" t="n">
        <v>0.0514488</v>
      </c>
      <c r="G496" s="20" t="n">
        <v>0.055692</v>
      </c>
      <c r="H496" s="7" t="n">
        <v>46291.75</v>
      </c>
      <c r="I496" s="20" t="n">
        <v>0.055692</v>
      </c>
      <c r="J496" s="2" t="inlineStr">
        <is>
          <t>止損</t>
        </is>
      </c>
      <c r="K496" s="5">
        <f>(H496-D496)*24</f>
        <v/>
      </c>
      <c r="L496" s="4">
        <f>IF(C496="做多",I496/E496-1,1-I496/E496)-2*參數!$B$7</f>
        <v/>
      </c>
      <c r="M496" s="2" t="inlineStr"/>
      <c r="N496" s="4" t="n">
        <v>-0.0307017543859649</v>
      </c>
      <c r="O496" s="4" t="n">
        <v>0.05405359387261636</v>
      </c>
      <c r="P496" s="4" t="n">
        <v>-0.007057678267218481</v>
      </c>
      <c r="Q496" s="22" t="n">
        <v>-3552835</v>
      </c>
      <c r="R496" s="22" t="n">
        <v>1583241.60094</v>
      </c>
      <c r="S496" s="4" t="n">
        <v>0.01715686274509798</v>
      </c>
      <c r="T496" s="4" t="n">
        <v>0.05</v>
      </c>
      <c r="U496" s="19" t="n">
        <v>0.9170324134937781</v>
      </c>
      <c r="V496" s="19" t="n">
        <v>0.5200000000000011</v>
      </c>
      <c r="W496" s="4" t="n">
        <v>0.05583799718033067</v>
      </c>
      <c r="X496" s="4" t="n">
        <v>-0.2380952380952379</v>
      </c>
      <c r="Y496" s="4" t="n">
        <v>0.0003945436167370753</v>
      </c>
      <c r="Z496" s="4" t="n">
        <v>0.001137489756636745</v>
      </c>
      <c r="AA496" s="4" t="n">
        <v>0.03</v>
      </c>
      <c r="AB496" s="4" t="n">
        <v>0.05</v>
      </c>
      <c r="AC496" s="4">
        <f>(AB496+2*參數!$B$7)/(AA496+AB496)</f>
        <v/>
      </c>
    </row>
    <row r="497">
      <c r="A497" s="2" t="n">
        <v>496</v>
      </c>
      <c r="B497" s="2" t="inlineStr">
        <is>
          <t>AKE_USDT_PERP</t>
        </is>
      </c>
      <c r="C497" s="2" t="inlineStr">
        <is>
          <t>做多</t>
        </is>
      </c>
      <c r="D497" s="7" t="n">
        <v>46291.66666666666</v>
      </c>
      <c r="E497" s="20" t="n">
        <v>0.0360925</v>
      </c>
      <c r="F497" s="20" t="n">
        <v>0.037175275</v>
      </c>
      <c r="G497" s="20" t="n">
        <v>0.034287875</v>
      </c>
      <c r="H497" s="7" t="n">
        <v>46291.70833333334</v>
      </c>
      <c r="I497" s="20" t="n">
        <v>0.034287875</v>
      </c>
      <c r="J497" s="2" t="inlineStr">
        <is>
          <t>止損</t>
        </is>
      </c>
      <c r="K497" s="5">
        <f>(H497-D497)*24</f>
        <v/>
      </c>
      <c r="L497" s="4">
        <f>IF(C497="做多",I497/E497-1,1-I497/E497)-2*參數!$B$7</f>
        <v/>
      </c>
      <c r="M497" s="2" t="inlineStr"/>
      <c r="N497" s="4" t="n">
        <v>0.0371408045977013</v>
      </c>
      <c r="O497" s="4" t="n">
        <v>0.04376358834289845</v>
      </c>
      <c r="P497" s="4" t="n">
        <v>0.05753621092767403</v>
      </c>
      <c r="Q497" s="22" t="n">
        <v>38791</v>
      </c>
      <c r="R497" s="22" t="n">
        <v>3709484.1721084</v>
      </c>
      <c r="S497" s="4" t="n">
        <v>0</v>
      </c>
      <c r="T497" s="4" t="n">
        <v>0.05</v>
      </c>
      <c r="U497" s="19" t="n">
        <v>2.141688411708617</v>
      </c>
      <c r="V497" s="19" t="n">
        <v>0.4984609465178913</v>
      </c>
      <c r="W497" s="4" t="n">
        <v>-0.1562042698016067</v>
      </c>
      <c r="X497" s="4" t="n">
        <v>0.01558872771782704</v>
      </c>
      <c r="Y497" s="4" t="n">
        <v>0.00254825527388669</v>
      </c>
      <c r="Z497" s="4" t="n">
        <v>0.001681383112599022</v>
      </c>
      <c r="AA497" s="4" t="n">
        <v>0.03</v>
      </c>
      <c r="AB497" s="4" t="n">
        <v>0.05</v>
      </c>
      <c r="AC497" s="4">
        <f>(AB497+2*參數!$B$7)/(AA497+AB497)</f>
        <v/>
      </c>
    </row>
    <row r="498">
      <c r="A498" s="2" t="n">
        <v>497</v>
      </c>
      <c r="B498" s="2" t="inlineStr">
        <is>
          <t>ENA_USDT_PERP</t>
        </is>
      </c>
      <c r="C498" s="2" t="inlineStr">
        <is>
          <t>做多</t>
        </is>
      </c>
      <c r="D498" s="7" t="n">
        <v>46291.66666666666</v>
      </c>
      <c r="E498" s="20" t="n">
        <v>0.2716</v>
      </c>
      <c r="F498" s="20" t="n">
        <v>0.279748</v>
      </c>
      <c r="G498" s="20" t="n">
        <v>0.25802</v>
      </c>
      <c r="H498" s="7" t="n">
        <v>46291.75</v>
      </c>
      <c r="I498" s="20" t="n">
        <v>0.279748</v>
      </c>
      <c r="J498" s="2" t="inlineStr">
        <is>
          <t>止盈</t>
        </is>
      </c>
      <c r="K498" s="5">
        <f>(H498-D498)*24</f>
        <v/>
      </c>
      <c r="L498" s="4">
        <f>IF(C498="做多",I498/E498-1,1-I498/E498)-2*參數!$B$7</f>
        <v/>
      </c>
      <c r="M498" s="2" t="inlineStr"/>
      <c r="N498" s="4" t="n">
        <v>0.02143663031214738</v>
      </c>
      <c r="O498" s="4" t="n">
        <v>0.02705385502733253</v>
      </c>
      <c r="P498" s="4" t="n">
        <v>0.03474550441938451</v>
      </c>
      <c r="Q498" s="22" t="n">
        <v>21356433</v>
      </c>
      <c r="R498" s="22" t="n">
        <v>15550722.8349</v>
      </c>
      <c r="S498" s="4" t="n">
        <v>0.03</v>
      </c>
      <c r="T498" s="4" t="n">
        <v>0.0003681885125184081</v>
      </c>
      <c r="U498" s="19" t="n">
        <v>0.4511772202793475</v>
      </c>
      <c r="V498" s="19" t="n">
        <v>0.5943396226415122</v>
      </c>
      <c r="W498" s="4" t="n">
        <v>0.2158217988432682</v>
      </c>
      <c r="X498" s="4" t="n">
        <v>0.2328642759872901</v>
      </c>
      <c r="Y498" s="4" t="n">
        <v>0.00254825527388669</v>
      </c>
      <c r="Z498" s="4" t="n">
        <v>0.001681383112599022</v>
      </c>
      <c r="AA498" s="4" t="n">
        <v>0.03</v>
      </c>
      <c r="AB498" s="4" t="n">
        <v>0.05</v>
      </c>
      <c r="AC498" s="4">
        <f>(AB498+2*參數!$B$7)/(AA498+AB498)</f>
        <v/>
      </c>
    </row>
    <row r="499">
      <c r="A499" s="2" t="n">
        <v>498</v>
      </c>
      <c r="B499" s="2" t="inlineStr">
        <is>
          <t>SAGA_USDT_PERP</t>
        </is>
      </c>
      <c r="C499" s="2" t="inlineStr">
        <is>
          <t>做空</t>
        </is>
      </c>
      <c r="D499" s="7" t="n">
        <v>46291.66666666666</v>
      </c>
      <c r="E499" s="20" t="n">
        <v>0.03453</v>
      </c>
      <c r="F499" s="20" t="n">
        <v>0.0334941</v>
      </c>
      <c r="G499" s="20" t="n">
        <v>0.0362565</v>
      </c>
      <c r="H499" s="7" t="n">
        <v>46291.70833333334</v>
      </c>
      <c r="I499" s="20" t="n">
        <v>0.0334941</v>
      </c>
      <c r="J499" s="2" t="inlineStr">
        <is>
          <t>止盈</t>
        </is>
      </c>
      <c r="K499" s="5">
        <f>(H499-D499)*24</f>
        <v/>
      </c>
      <c r="L499" s="4">
        <f>IF(C499="做多",I499/E499-1,1-I499/E499)-2*參數!$B$7</f>
        <v/>
      </c>
      <c r="M499" s="2" t="inlineStr"/>
      <c r="N499" s="4" t="n">
        <v>-0.07202364955657081</v>
      </c>
      <c r="O499" s="4" t="n">
        <v>0.1068577638223083</v>
      </c>
      <c r="P499" s="4" t="n">
        <v>-0.05601574673993281</v>
      </c>
      <c r="Q499" s="22" t="n">
        <v>-7576045.099999987</v>
      </c>
      <c r="R499" s="22" t="n">
        <v>2243283.424849</v>
      </c>
      <c r="S499" s="4" t="n">
        <v>0.03</v>
      </c>
      <c r="T499" s="4" t="n">
        <v>0</v>
      </c>
      <c r="U499" s="19" t="n">
        <v>0.7568498560891384</v>
      </c>
      <c r="V499" s="19" t="n">
        <v>0.7253333333333341</v>
      </c>
      <c r="W499" s="4" t="n">
        <v>0.1916396862073083</v>
      </c>
      <c r="X499" s="4" t="n">
        <v>-0.004363001745200545</v>
      </c>
      <c r="Y499" s="4" t="n">
        <v>-0.00254825527388669</v>
      </c>
      <c r="Z499" s="4" t="n">
        <v>-0.001681383112599022</v>
      </c>
      <c r="AA499" s="4" t="n">
        <v>0.03</v>
      </c>
      <c r="AB499" s="4" t="n">
        <v>0.05</v>
      </c>
      <c r="AC499" s="4">
        <f>(AB499+2*參數!$B$7)/(AA499+AB499)</f>
        <v/>
      </c>
    </row>
    <row r="500">
      <c r="A500" s="2" t="n">
        <v>499</v>
      </c>
      <c r="B500" s="2" t="inlineStr">
        <is>
          <t>AERO_USDT_PERP</t>
        </is>
      </c>
      <c r="C500" s="2" t="inlineStr">
        <is>
          <t>做多</t>
        </is>
      </c>
      <c r="D500" s="7" t="n">
        <v>46291.70833333334</v>
      </c>
      <c r="E500" s="20" t="n">
        <v>0.9006999999999999</v>
      </c>
      <c r="F500" s="20" t="n">
        <v>0.927721</v>
      </c>
      <c r="G500" s="20" t="n">
        <v>0.8556649999999999</v>
      </c>
      <c r="H500" s="7" t="n">
        <v>46291.83333333334</v>
      </c>
      <c r="I500" s="20" t="n">
        <v>0.927721</v>
      </c>
      <c r="J500" s="2" t="inlineStr">
        <is>
          <t>止盈</t>
        </is>
      </c>
      <c r="K500" s="5">
        <f>(H500-D500)*24</f>
        <v/>
      </c>
      <c r="L500" s="4">
        <f>IF(C500="做多",I500/E500-1,1-I500/E500)-2*參數!$B$7</f>
        <v/>
      </c>
      <c r="M500" s="2" t="inlineStr"/>
      <c r="N500" s="4" t="n">
        <v>0.02760981175128352</v>
      </c>
      <c r="O500" s="4" t="n">
        <v>0.02784418497290705</v>
      </c>
      <c r="P500" s="4" t="n">
        <v>0.05456652948442509</v>
      </c>
      <c r="Q500" s="22" t="n">
        <v>587547.2000000007</v>
      </c>
      <c r="R500" s="22" t="n">
        <v>2254017.66845</v>
      </c>
      <c r="S500" s="4" t="n">
        <v>0.03</v>
      </c>
      <c r="T500" s="4" t="n">
        <v>0.0114355501276785</v>
      </c>
      <c r="U500" s="19" t="n">
        <v>0.7215711136420873</v>
      </c>
      <c r="V500" s="19" t="n">
        <v>0.816393442622949</v>
      </c>
      <c r="W500" s="4" t="n">
        <v>0.2342989012314212</v>
      </c>
      <c r="X500" s="4" t="n">
        <v>0.2012536676447052</v>
      </c>
      <c r="Y500" s="4" t="n">
        <v>0.001099018733273782</v>
      </c>
      <c r="Z500" s="4" t="n">
        <v>0.002936393434418427</v>
      </c>
      <c r="AA500" s="4" t="n">
        <v>0.03</v>
      </c>
      <c r="AB500" s="4" t="n">
        <v>0.05</v>
      </c>
      <c r="AC500" s="4">
        <f>(AB500+2*參數!$B$7)/(AA500+AB500)</f>
        <v/>
      </c>
    </row>
    <row r="501">
      <c r="A501" s="2" t="n">
        <v>500</v>
      </c>
      <c r="B501" s="2" t="inlineStr">
        <is>
          <t>USELESS_USDT_PERP</t>
        </is>
      </c>
      <c r="C501" s="2" t="inlineStr">
        <is>
          <t>做空</t>
        </is>
      </c>
      <c r="D501" s="7" t="n">
        <v>46291.70833333334</v>
      </c>
      <c r="E501" s="20" t="n">
        <v>0.28291</v>
      </c>
      <c r="F501" s="20" t="n">
        <v>0.2744227</v>
      </c>
      <c r="G501" s="20" t="n">
        <v>0.2970555</v>
      </c>
      <c r="H501" s="7" t="n">
        <v>46291.75</v>
      </c>
      <c r="I501" s="20" t="n">
        <v>0.2744227</v>
      </c>
      <c r="J501" s="2" t="inlineStr">
        <is>
          <t>止盈</t>
        </is>
      </c>
      <c r="K501" s="5">
        <f>(H501-D501)*24</f>
        <v/>
      </c>
      <c r="L501" s="4">
        <f>IF(C501="做多",I501/E501-1,1-I501/E501)-2*參數!$B$7</f>
        <v/>
      </c>
      <c r="M501" s="2" t="inlineStr"/>
      <c r="N501" s="4" t="n">
        <v>-0.02269586845377924</v>
      </c>
      <c r="O501" s="4" t="n">
        <v>0.02874113772822599</v>
      </c>
      <c r="P501" s="4" t="n">
        <v>-0.02420769258627575</v>
      </c>
      <c r="Q501" s="22" t="n">
        <v>-3295421</v>
      </c>
      <c r="R501" s="22" t="n">
        <v>2751817.14514</v>
      </c>
      <c r="S501" s="4" t="n">
        <v>0.03</v>
      </c>
      <c r="T501" s="4" t="n">
        <v>0</v>
      </c>
      <c r="U501" s="19" t="n">
        <v>1.360684736329517</v>
      </c>
      <c r="V501" s="19" t="n">
        <v>0.8853362734288877</v>
      </c>
      <c r="W501" s="4" t="n">
        <v>0.06058653986638152</v>
      </c>
      <c r="X501" s="4" t="n">
        <v>0.005518841394825724</v>
      </c>
      <c r="Y501" s="4" t="n">
        <v>-0.001099018733273782</v>
      </c>
      <c r="Z501" s="4" t="n">
        <v>-0.002936393434418427</v>
      </c>
      <c r="AA501" s="4" t="n">
        <v>0.03</v>
      </c>
      <c r="AB501" s="4" t="n">
        <v>0.05</v>
      </c>
      <c r="AC501" s="4">
        <f>(AB501+2*參數!$B$7)/(AA501+AB501)</f>
        <v/>
      </c>
    </row>
    <row r="502">
      <c r="A502" s="2" t="n">
        <v>501</v>
      </c>
      <c r="B502" s="2" t="inlineStr">
        <is>
          <t>USELESS_USDT_PERP</t>
        </is>
      </c>
      <c r="C502" s="2" t="inlineStr">
        <is>
          <t>做多</t>
        </is>
      </c>
      <c r="D502" s="7" t="n">
        <v>46291.95833333334</v>
      </c>
      <c r="E502" s="20" t="n">
        <v>0.29344</v>
      </c>
      <c r="F502" s="20" t="n">
        <v>0.3022432</v>
      </c>
      <c r="G502" s="20" t="n">
        <v>0.278768</v>
      </c>
      <c r="H502" s="7" t="n">
        <v>46292.20833333334</v>
      </c>
      <c r="I502" s="20" t="n">
        <v>0.278768</v>
      </c>
      <c r="J502" s="2" t="inlineStr">
        <is>
          <t>止損</t>
        </is>
      </c>
      <c r="K502" s="5">
        <f>(H502-D502)*24</f>
        <v/>
      </c>
      <c r="L502" s="4">
        <f>IF(C502="做多",I502/E502-1,1-I502/E502)-2*參數!$B$7</f>
        <v/>
      </c>
      <c r="M502" s="2" t="inlineStr"/>
      <c r="N502" s="4" t="n">
        <v>0.02773886242644985</v>
      </c>
      <c r="O502" s="4" t="n">
        <v>0.02714119131917923</v>
      </c>
      <c r="P502" s="4" t="n">
        <v>0.02590816681496122</v>
      </c>
      <c r="Q502" s="22" t="n">
        <v>1024608</v>
      </c>
      <c r="R502" s="22" t="n">
        <v>2323393.57515</v>
      </c>
      <c r="S502" s="4" t="n">
        <v>0.01277944383860419</v>
      </c>
      <c r="T502" s="4" t="n">
        <v>0.05</v>
      </c>
      <c r="U502" s="19" t="n">
        <v>4.33362944485502</v>
      </c>
      <c r="V502" s="19" t="n">
        <v>0.785028790786946</v>
      </c>
      <c r="W502" s="4" t="n">
        <v>-0.02411932455914279</v>
      </c>
      <c r="X502" s="4" t="n">
        <v>-0.02459779284669594</v>
      </c>
      <c r="Y502" s="4" t="n">
        <v>0.0008580887978890672</v>
      </c>
      <c r="Z502" s="4" t="n">
        <v>2.441134424913116e-05</v>
      </c>
      <c r="AA502" s="4" t="n">
        <v>0.03</v>
      </c>
      <c r="AB502" s="4" t="n">
        <v>0.05</v>
      </c>
      <c r="AC502" s="4">
        <f>(AB502+2*參數!$B$7)/(AA502+AB502)</f>
        <v/>
      </c>
    </row>
    <row r="503">
      <c r="A503" s="2" t="n">
        <v>502</v>
      </c>
      <c r="B503" s="2" t="inlineStr">
        <is>
          <t>WLD_USDT_PERP</t>
        </is>
      </c>
      <c r="C503" s="2" t="inlineStr">
        <is>
          <t>做多</t>
        </is>
      </c>
      <c r="D503" s="7" t="n">
        <v>46291.95833333334</v>
      </c>
      <c r="E503" s="20" t="n">
        <v>0.5108</v>
      </c>
      <c r="F503" s="20" t="n">
        <v>0.526124</v>
      </c>
      <c r="G503" s="20" t="n">
        <v>0.48526</v>
      </c>
      <c r="H503" s="7" t="n">
        <v>46292</v>
      </c>
      <c r="I503" s="20" t="n">
        <v>0.526124</v>
      </c>
      <c r="J503" s="2" t="inlineStr">
        <is>
          <t>止盈</t>
        </is>
      </c>
      <c r="K503" s="5">
        <f>(H503-D503)*24</f>
        <v/>
      </c>
      <c r="L503" s="4">
        <f>IF(C503="做多",I503/E503-1,1-I503/E503)-2*參數!$B$7</f>
        <v/>
      </c>
      <c r="M503" s="2" t="inlineStr"/>
      <c r="N503" s="4" t="n">
        <v>0.03715736040609152</v>
      </c>
      <c r="O503" s="4" t="n">
        <v>0.02012033948551095</v>
      </c>
      <c r="P503" s="4" t="n">
        <v>0.0546528193587017</v>
      </c>
      <c r="Q503" s="22" t="n">
        <v>162320</v>
      </c>
      <c r="R503" s="22" t="n">
        <v>1795819.3342</v>
      </c>
      <c r="S503" s="4" t="n">
        <v>0.03</v>
      </c>
      <c r="T503" s="4" t="n">
        <v>0</v>
      </c>
      <c r="U503" s="19" t="n">
        <v>2.192132916736635</v>
      </c>
      <c r="V503" s="19" t="n">
        <v>1</v>
      </c>
      <c r="W503" s="4" t="n">
        <v>0.1397257339717701</v>
      </c>
      <c r="X503" s="4" t="n">
        <v>0.1275938189845476</v>
      </c>
      <c r="Y503" s="4" t="n">
        <v>0.0008580887978890672</v>
      </c>
      <c r="Z503" s="4" t="n">
        <v>2.441134424913116e-05</v>
      </c>
      <c r="AA503" s="4" t="n">
        <v>0.03</v>
      </c>
      <c r="AB503" s="4" t="n">
        <v>0.05</v>
      </c>
      <c r="AC503" s="4">
        <f>(AB503+2*參數!$B$7)/(AA503+AB503)</f>
        <v/>
      </c>
    </row>
    <row r="504">
      <c r="A504" s="2" t="n">
        <v>503</v>
      </c>
      <c r="B504" s="2" t="inlineStr">
        <is>
          <t>AKE_USDT_PERP</t>
        </is>
      </c>
      <c r="C504" s="2" t="inlineStr">
        <is>
          <t>做多</t>
        </is>
      </c>
      <c r="D504" s="7" t="n">
        <v>46292</v>
      </c>
      <c r="E504" s="20" t="n">
        <v>0.0345245</v>
      </c>
      <c r="F504" s="20" t="n">
        <v>0.035560235</v>
      </c>
      <c r="G504" s="20" t="n">
        <v>0.03279827499999999</v>
      </c>
      <c r="H504" s="7" t="n">
        <v>46292.25</v>
      </c>
      <c r="I504" s="20" t="n">
        <v>0.0333705</v>
      </c>
      <c r="J504" s="2" t="inlineStr">
        <is>
          <t>未平倉</t>
        </is>
      </c>
      <c r="K504" s="5">
        <f>(H504-D504)*24</f>
        <v/>
      </c>
      <c r="L504" s="4">
        <f>IF(C504="做多",I504/E504-1,1-I504/E504)-2*參數!$B$7</f>
        <v/>
      </c>
      <c r="M504" s="2" t="inlineStr">
        <is>
          <t>持倉中（以最新收盤估值）</t>
        </is>
      </c>
      <c r="N504" s="4" t="n">
        <v>0.02057436776682398</v>
      </c>
      <c r="O504" s="4" t="n">
        <v>0.04367170854440915</v>
      </c>
      <c r="P504" s="4" t="n">
        <v>0.03007811998845944</v>
      </c>
      <c r="Q504" s="22" t="n">
        <v>19543508</v>
      </c>
      <c r="R504" s="22" t="n">
        <v>3502572.2021373</v>
      </c>
      <c r="S504" s="4" t="n">
        <v>0.01453750235340112</v>
      </c>
      <c r="T504" s="4" t="n">
        <v>0.0379440687048328</v>
      </c>
      <c r="U504" s="19" t="n">
        <v>0.857412711631919</v>
      </c>
      <c r="V504" s="19" t="n">
        <v>0.7702841492639491</v>
      </c>
      <c r="W504" s="4" t="n">
        <v>-0.1604778009486288</v>
      </c>
      <c r="X504" s="4" t="n">
        <v>-0.06965871272854651</v>
      </c>
      <c r="Y504" s="4" t="n">
        <v>0.001586103258656379</v>
      </c>
      <c r="Z504" s="4" t="n">
        <v>0.001523969689208649</v>
      </c>
      <c r="AA504" s="4" t="n">
        <v>0.03</v>
      </c>
      <c r="AB504" s="4" t="n">
        <v>0.05</v>
      </c>
      <c r="AC504" s="4">
        <f>(AB504+2*參數!$B$7)/(AA504+AB504)</f>
        <v/>
      </c>
    </row>
    <row r="505">
      <c r="A505" s="2" t="n">
        <v>504</v>
      </c>
      <c r="B505" s="2" t="inlineStr">
        <is>
          <t>BTW_USDT_PERP</t>
        </is>
      </c>
      <c r="C505" s="2" t="inlineStr">
        <is>
          <t>做多</t>
        </is>
      </c>
      <c r="D505" s="7" t="n">
        <v>46292</v>
      </c>
      <c r="E505" s="20" t="n">
        <v>1.057552</v>
      </c>
      <c r="F505" s="20" t="n">
        <v>1.08927856</v>
      </c>
      <c r="G505" s="20" t="n">
        <v>1.0046744</v>
      </c>
      <c r="H505" s="7" t="n">
        <v>46292.25</v>
      </c>
      <c r="I505" s="20" t="n">
        <v>1.043948</v>
      </c>
      <c r="J505" s="2" t="inlineStr">
        <is>
          <t>未平倉</t>
        </is>
      </c>
      <c r="K505" s="5">
        <f>(H505-D505)*24</f>
        <v/>
      </c>
      <c r="L505" s="4">
        <f>IF(C505="做多",I505/E505-1,1-I505/E505)-2*參數!$B$7</f>
        <v/>
      </c>
      <c r="M505" s="2" t="inlineStr">
        <is>
          <t>持倉中（以最新收盤估值）</t>
        </is>
      </c>
      <c r="N505" s="4" t="n">
        <v>0.06179919678714874</v>
      </c>
      <c r="O505" s="4" t="n">
        <v>0.06782500151658741</v>
      </c>
      <c r="P505" s="4" t="n">
        <v>0.03110342385066267</v>
      </c>
      <c r="Q505" s="22" t="n">
        <v>126898</v>
      </c>
      <c r="R505" s="22" t="n">
        <v>1903258.940872</v>
      </c>
      <c r="S505" s="4" t="n">
        <v>0.02744167662677577</v>
      </c>
      <c r="T505" s="4" t="n">
        <v>0.02283481095965023</v>
      </c>
      <c r="U505" s="19" t="n">
        <v>1.579798830415901</v>
      </c>
      <c r="V505" s="19" t="n">
        <v>0.9108931649815969</v>
      </c>
      <c r="W505" s="4" t="n">
        <v>0.05231673476769805</v>
      </c>
      <c r="X505" s="4" t="n">
        <v>-0.1433364574026267</v>
      </c>
      <c r="Y505" s="4" t="n">
        <v>0.001586103258656379</v>
      </c>
      <c r="Z505" s="4" t="n">
        <v>0.001523969689208649</v>
      </c>
      <c r="AA505" s="4" t="n">
        <v>0.03</v>
      </c>
      <c r="AB505" s="4" t="n">
        <v>0.05</v>
      </c>
      <c r="AC505" s="4">
        <f>(AB505+2*參數!$B$7)/(AA505+AB505)</f>
        <v/>
      </c>
    </row>
    <row r="506">
      <c r="A506" s="2" t="n">
        <v>505</v>
      </c>
      <c r="B506" s="2" t="inlineStr">
        <is>
          <t>LYN_USDT_PERP</t>
        </is>
      </c>
      <c r="C506" s="2" t="inlineStr">
        <is>
          <t>做空</t>
        </is>
      </c>
      <c r="D506" s="7" t="n">
        <v>46292</v>
      </c>
      <c r="E506" s="20" t="n">
        <v>0.04265</v>
      </c>
      <c r="F506" s="20" t="n">
        <v>0.0413705</v>
      </c>
      <c r="G506" s="20" t="n">
        <v>0.0447825</v>
      </c>
      <c r="H506" s="7" t="n">
        <v>46292.08333333334</v>
      </c>
      <c r="I506" s="20" t="n">
        <v>0.0413705</v>
      </c>
      <c r="J506" s="2" t="inlineStr">
        <is>
          <t>止盈</t>
        </is>
      </c>
      <c r="K506" s="5">
        <f>(H506-D506)*24</f>
        <v/>
      </c>
      <c r="L506" s="4">
        <f>IF(C506="做多",I506/E506-1,1-I506/E506)-2*參數!$B$7</f>
        <v/>
      </c>
      <c r="M506" s="2" t="inlineStr"/>
      <c r="N506" s="4" t="n">
        <v>-0.05662464056624639</v>
      </c>
      <c r="O506" s="4" t="n">
        <v>0.06448999931540912</v>
      </c>
      <c r="P506" s="4" t="n">
        <v>-0.05954730377834871</v>
      </c>
      <c r="Q506" s="22" t="n">
        <v>-4249878</v>
      </c>
      <c r="R506" s="22" t="n">
        <v>2519773.3679</v>
      </c>
      <c r="S506" s="4" t="n">
        <v>0.03</v>
      </c>
      <c r="T506" s="4" t="n">
        <v>0.02321219226260252</v>
      </c>
      <c r="U506" s="19" t="n">
        <v>0.8053979470157903</v>
      </c>
      <c r="V506" s="19" t="n">
        <v>0.833333333333333</v>
      </c>
      <c r="W506" s="4" t="n">
        <v>-0.01689500112061126</v>
      </c>
      <c r="X506" s="4" t="n">
        <v>0.04436477705579212</v>
      </c>
      <c r="Y506" s="4" t="n">
        <v>-0.001586103258656379</v>
      </c>
      <c r="Z506" s="4" t="n">
        <v>-0.001523969689208649</v>
      </c>
      <c r="AA506" s="4" t="n">
        <v>0.03</v>
      </c>
      <c r="AB506" s="4" t="n">
        <v>0.05</v>
      </c>
      <c r="AC506" s="4">
        <f>(AB506+2*參數!$B$7)/(AA506+AB506)</f>
        <v/>
      </c>
    </row>
    <row r="507">
      <c r="A507" s="2" t="n">
        <v>506</v>
      </c>
      <c r="B507" s="2" t="inlineStr">
        <is>
          <t>PHA_USDT_PERP</t>
        </is>
      </c>
      <c r="C507" s="2" t="inlineStr">
        <is>
          <t>做空</t>
        </is>
      </c>
      <c r="D507" s="7" t="n">
        <v>46292.04166666666</v>
      </c>
      <c r="E507" s="20" t="n">
        <v>0.07908999999999999</v>
      </c>
      <c r="F507" s="20" t="n">
        <v>0.07671729999999999</v>
      </c>
      <c r="G507" s="20" t="n">
        <v>0.08304449999999999</v>
      </c>
      <c r="H507" s="7" t="n">
        <v>46292.125</v>
      </c>
      <c r="I507" s="20" t="n">
        <v>0.08304449999999999</v>
      </c>
      <c r="J507" s="2" t="inlineStr">
        <is>
          <t>止損</t>
        </is>
      </c>
      <c r="K507" s="5">
        <f>(H507-D507)*24</f>
        <v/>
      </c>
      <c r="L507" s="4">
        <f>IF(C507="做多",I507/E507-1,1-I507/E507)-2*參數!$B$7</f>
        <v/>
      </c>
      <c r="M507" s="2" t="inlineStr"/>
      <c r="N507" s="4" t="n">
        <v>-0.04836963061003496</v>
      </c>
      <c r="O507" s="4" t="n">
        <v>0.06431794092008644</v>
      </c>
      <c r="P507" s="4" t="n">
        <v>-0.04866152245430666</v>
      </c>
      <c r="Q507" s="22" t="n">
        <v>-28818840</v>
      </c>
      <c r="R507" s="22" t="n">
        <v>8159570.02991</v>
      </c>
      <c r="S507" s="4" t="n">
        <v>0.0149197117208244</v>
      </c>
      <c r="T507" s="4" t="n">
        <v>0.05</v>
      </c>
      <c r="U507" s="19" t="n">
        <v>0.3945080474810943</v>
      </c>
      <c r="V507" s="19" t="n">
        <v>0.7750809061488688</v>
      </c>
      <c r="W507" s="4" t="n">
        <v>-0.3488668767822303</v>
      </c>
      <c r="X507" s="4" t="n">
        <v>0.01678269517652919</v>
      </c>
      <c r="Y507" s="4" t="n">
        <v>0.0005064639542708971</v>
      </c>
      <c r="Z507" s="4" t="n">
        <v>-0.0008795048581109466</v>
      </c>
      <c r="AA507" s="4" t="n">
        <v>0.03</v>
      </c>
      <c r="AB507" s="4" t="n">
        <v>0.05</v>
      </c>
      <c r="AC507" s="4">
        <f>(AB507+2*參數!$B$7)/(AA507+AB507)</f>
        <v/>
      </c>
    </row>
    <row r="508">
      <c r="A508" s="2" t="n">
        <v>507</v>
      </c>
      <c r="B508" s="2" t="inlineStr">
        <is>
          <t>NEAR_USDT_PERP</t>
        </is>
      </c>
      <c r="C508" s="2" t="inlineStr">
        <is>
          <t>做多</t>
        </is>
      </c>
      <c r="D508" s="7" t="n">
        <v>46292.25</v>
      </c>
      <c r="E508" s="20" t="n">
        <v>5.038</v>
      </c>
      <c r="F508" s="20" t="n">
        <v>5.18914</v>
      </c>
      <c r="G508" s="20" t="n">
        <v>4.7861</v>
      </c>
      <c r="H508" s="7" t="n">
        <v>46292.25</v>
      </c>
      <c r="I508" s="20" t="n">
        <v>5.038</v>
      </c>
      <c r="J508" s="2" t="inlineStr">
        <is>
          <t>未平倉</t>
        </is>
      </c>
      <c r="K508" s="5">
        <f>(H508-D508)*24</f>
        <v/>
      </c>
      <c r="L508" s="4">
        <f>IF(C508="做多",I508/E508-1,1-I508/E508)-2*參數!$B$7</f>
        <v/>
      </c>
      <c r="M508" s="2" t="inlineStr">
        <is>
          <t>持倉中（以最新收盤估值）</t>
        </is>
      </c>
      <c r="N508" s="4" t="n">
        <v>0.05221386800334171</v>
      </c>
      <c r="O508" s="4" t="n">
        <v>0.02135694382948518</v>
      </c>
      <c r="P508" s="4" t="n">
        <v>0.03510267815867607</v>
      </c>
      <c r="Q508" s="22" t="n">
        <v>46778</v>
      </c>
      <c r="R508" s="22" t="n">
        <v>13053531.872</v>
      </c>
      <c r="S508" s="4" t="n">
        <v>0</v>
      </c>
      <c r="T508" s="4" t="n">
        <v>0</v>
      </c>
      <c r="U508" s="19" t="n">
        <v>2.997510444700372</v>
      </c>
      <c r="V508" s="19" t="n">
        <v>0.9661654135338367</v>
      </c>
      <c r="W508" s="4" t="n">
        <v>0.08762059786750376</v>
      </c>
      <c r="X508" s="4" t="n">
        <v>0.02273650020300444</v>
      </c>
      <c r="Y508" s="4" t="n">
        <v>0.001464362418983844</v>
      </c>
      <c r="Z508" s="4" t="n">
        <v>0.001209874912145859</v>
      </c>
      <c r="AA508" s="4" t="n">
        <v>0.03</v>
      </c>
      <c r="AB508" s="4" t="n">
        <v>0.05</v>
      </c>
      <c r="AC508" s="4">
        <f>(AB508+2*參數!$B$7)/(AA508+AB508)</f>
        <v/>
      </c>
    </row>
    <row r="509">
      <c r="A509" s="2" t="n">
        <v>508</v>
      </c>
      <c r="B509" s="2" t="inlineStr">
        <is>
          <t>USELESS_USDT_PERP</t>
        </is>
      </c>
      <c r="C509" s="2" t="inlineStr">
        <is>
          <t>做多</t>
        </is>
      </c>
      <c r="D509" s="7" t="n">
        <v>46292.25</v>
      </c>
      <c r="E509" s="20" t="n">
        <v>0.2916</v>
      </c>
      <c r="F509" s="20" t="n">
        <v>0.3003480000000001</v>
      </c>
      <c r="G509" s="20" t="n">
        <v>0.27702</v>
      </c>
      <c r="H509" s="7" t="n">
        <v>46292.25</v>
      </c>
      <c r="I509" s="20" t="n">
        <v>0.2916</v>
      </c>
      <c r="J509" s="2" t="inlineStr">
        <is>
          <t>未平倉</t>
        </is>
      </c>
      <c r="K509" s="5">
        <f>(H509-D509)*24</f>
        <v/>
      </c>
      <c r="L509" s="4">
        <f>IF(C509="做多",I509/E509-1,1-I509/E509)-2*參數!$B$7</f>
        <v/>
      </c>
      <c r="M509" s="2" t="inlineStr">
        <is>
          <t>持倉中（以最新收盤估值）</t>
        </is>
      </c>
      <c r="N509" s="4" t="n">
        <v>0.05476379946466059</v>
      </c>
      <c r="O509" s="4" t="n">
        <v>0.02737878369491019</v>
      </c>
      <c r="P509" s="4" t="n">
        <v>0.02420545926798834</v>
      </c>
      <c r="Q509" s="22" t="n">
        <v>1799092</v>
      </c>
      <c r="R509" s="22" t="n">
        <v>2398403.33632</v>
      </c>
      <c r="S509" s="4" t="n">
        <v>0</v>
      </c>
      <c r="T509" s="4" t="n">
        <v>0</v>
      </c>
      <c r="U509" s="19" t="n">
        <v>3.734423153421144</v>
      </c>
      <c r="V509" s="19" t="n">
        <v>1</v>
      </c>
      <c r="W509" s="4" t="n">
        <v>-0.02445127893567478</v>
      </c>
      <c r="X509" s="4" t="n">
        <v>0.02090116584392399</v>
      </c>
      <c r="Y509" s="4" t="n">
        <v>0.001464362418983844</v>
      </c>
      <c r="Z509" s="4" t="n">
        <v>0.001209874912145859</v>
      </c>
      <c r="AA509" s="4" t="n">
        <v>0.03</v>
      </c>
      <c r="AB509" s="4" t="n">
        <v>0.05</v>
      </c>
      <c r="AC509" s="4">
        <f>(AB509+2*參數!$B$7)/(AA509+AB509)</f>
        <v/>
      </c>
    </row>
  </sheetData>
  <autoFilter ref="A1:AC509"/>
  <conditionalFormatting sqref="J2:J509">
    <cfRule type="cellIs" priority="1" operator="equal" dxfId="0">
      <formula>"止盈"</formula>
    </cfRule>
    <cfRule type="cellIs" priority="2" operator="equal" dxfId="1">
      <formula>"止損"</formula>
    </cfRule>
    <cfRule type="cellIs" priority="3" operator="equal" dxfId="2">
      <formula>"未平倉"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9" customWidth="1" min="8" max="8"/>
    <col width="12" customWidth="1" min="9" max="9"/>
    <col width="11" customWidth="1" min="10" max="10"/>
    <col width="11" customWidth="1" min="11" max="11"/>
    <col width="8" customWidth="1" min="12" max="12"/>
  </cols>
  <sheetData>
    <row r="1">
      <c r="A1" s="3" t="inlineStr">
        <is>
          <t>交易對</t>
        </is>
      </c>
      <c r="B1" s="3" t="inlineStr">
        <is>
          <t>總筆數</t>
        </is>
      </c>
      <c r="C1" s="3" t="inlineStr">
        <is>
          <t>做多</t>
        </is>
      </c>
      <c r="D1" s="3" t="inlineStr">
        <is>
          <t>做空</t>
        </is>
      </c>
      <c r="E1" s="3" t="inlineStr">
        <is>
          <t>已平倉</t>
        </is>
      </c>
      <c r="F1" s="3" t="inlineStr">
        <is>
          <t>止盈</t>
        </is>
      </c>
      <c r="G1" s="3" t="inlineStr">
        <is>
          <t>止損</t>
        </is>
      </c>
      <c r="H1" s="3" t="inlineStr">
        <is>
          <t>勝率</t>
        </is>
      </c>
      <c r="I1" s="3" t="inlineStr">
        <is>
          <t>平均報酬/筆</t>
        </is>
      </c>
      <c r="J1" s="3" t="inlineStr">
        <is>
          <t>累計報酬</t>
        </is>
      </c>
      <c r="K1" s="3" t="inlineStr">
        <is>
          <t>平均持倉h</t>
        </is>
      </c>
      <c r="L1" s="3" t="inlineStr">
        <is>
          <t>未平倉</t>
        </is>
      </c>
    </row>
    <row r="2">
      <c r="A2" s="2" t="inlineStr">
        <is>
          <t>PONS_USDT_PERP</t>
        </is>
      </c>
      <c r="B2" s="2">
        <f>COUNTIFS(交易明細!$B$2:$B$509,$A2)</f>
        <v/>
      </c>
      <c r="C2" s="2">
        <f>COUNTIFS(交易明細!$B$2:$B$509,$A2,交易明細!$C$2:$C$509,"做多")</f>
        <v/>
      </c>
      <c r="D2" s="2">
        <f>COUNTIFS(交易明細!$B$2:$B$509,$A2,交易明細!$C$2:$C$509,"做空")</f>
        <v/>
      </c>
      <c r="E2" s="2">
        <f>F2+G2+COUNTIFS(交易明細!$B$2:$B$509,$A2,交易明細!$J$2:$J$509,"時間出場")</f>
        <v/>
      </c>
      <c r="F2" s="2">
        <f>COUNTIFS(交易明細!$B$2:$B$509,$A2,交易明細!$J$2:$J$509,"止盈")</f>
        <v/>
      </c>
      <c r="G2" s="2">
        <f>COUNTIFS(交易明細!$B$2:$B$509,$A2,交易明細!$J$2:$J$509,"止損")</f>
        <v/>
      </c>
      <c r="H2" s="4">
        <f>IFERROR(F2/E2,0)</f>
        <v/>
      </c>
      <c r="I2" s="4">
        <f>IFERROR(AVERAGEIFS(交易明細!$L$2:$L$509,交易明細!$B$2:$B$509,$A2,交易明細!$J$2:$J$509,"&lt;&gt;未平倉"),0)</f>
        <v/>
      </c>
      <c r="J2" s="4">
        <f>SUMIFS(交易明細!$L$2:$L$509,交易明細!$B$2:$B$509,$A2,交易明細!$J$2:$J$509,"&lt;&gt;未平倉")</f>
        <v/>
      </c>
      <c r="K2" s="5">
        <f>IFERROR(AVERAGEIFS(交易明細!$K$2:$K$509,交易明細!$B$2:$B$509,$A2,交易明細!$J$2:$J$509,"&lt;&gt;未平倉"),0)</f>
        <v/>
      </c>
      <c r="L2" s="2">
        <f>COUNTIFS(交易明細!$B$2:$B$509,$A2,交易明細!$J$2:$J$509,"未平倉")</f>
        <v/>
      </c>
    </row>
    <row r="3">
      <c r="A3" s="2" t="inlineStr">
        <is>
          <t>USELESS_USDT_PERP</t>
        </is>
      </c>
      <c r="B3" s="2">
        <f>COUNTIFS(交易明細!$B$2:$B$509,$A3)</f>
        <v/>
      </c>
      <c r="C3" s="2">
        <f>COUNTIFS(交易明細!$B$2:$B$509,$A3,交易明細!$C$2:$C$509,"做多")</f>
        <v/>
      </c>
      <c r="D3" s="2">
        <f>COUNTIFS(交易明細!$B$2:$B$509,$A3,交易明細!$C$2:$C$509,"做空")</f>
        <v/>
      </c>
      <c r="E3" s="2">
        <f>F3+G3+COUNTIFS(交易明細!$B$2:$B$509,$A3,交易明細!$J$2:$J$509,"時間出場")</f>
        <v/>
      </c>
      <c r="F3" s="2">
        <f>COUNTIFS(交易明細!$B$2:$B$509,$A3,交易明細!$J$2:$J$509,"止盈")</f>
        <v/>
      </c>
      <c r="G3" s="2">
        <f>COUNTIFS(交易明細!$B$2:$B$509,$A3,交易明細!$J$2:$J$509,"止損")</f>
        <v/>
      </c>
      <c r="H3" s="4">
        <f>IFERROR(F3/E3,0)</f>
        <v/>
      </c>
      <c r="I3" s="4">
        <f>IFERROR(AVERAGEIFS(交易明細!$L$2:$L$509,交易明細!$B$2:$B$509,$A3,交易明細!$J$2:$J$509,"&lt;&gt;未平倉"),0)</f>
        <v/>
      </c>
      <c r="J3" s="4">
        <f>SUMIFS(交易明細!$L$2:$L$509,交易明細!$B$2:$B$509,$A3,交易明細!$J$2:$J$509,"&lt;&gt;未平倉")</f>
        <v/>
      </c>
      <c r="K3" s="5">
        <f>IFERROR(AVERAGEIFS(交易明細!$K$2:$K$509,交易明細!$B$2:$B$509,$A3,交易明細!$J$2:$J$509,"&lt;&gt;未平倉"),0)</f>
        <v/>
      </c>
      <c r="L3" s="2">
        <f>COUNTIFS(交易明細!$B$2:$B$509,$A3,交易明細!$J$2:$J$509,"未平倉")</f>
        <v/>
      </c>
    </row>
    <row r="4">
      <c r="A4" s="2" t="inlineStr">
        <is>
          <t>PUMP_USDT_PERP</t>
        </is>
      </c>
      <c r="B4" s="2">
        <f>COUNTIFS(交易明細!$B$2:$B$509,$A4)</f>
        <v/>
      </c>
      <c r="C4" s="2">
        <f>COUNTIFS(交易明細!$B$2:$B$509,$A4,交易明細!$C$2:$C$509,"做多")</f>
        <v/>
      </c>
      <c r="D4" s="2">
        <f>COUNTIFS(交易明細!$B$2:$B$509,$A4,交易明細!$C$2:$C$509,"做空")</f>
        <v/>
      </c>
      <c r="E4" s="2">
        <f>F4+G4+COUNTIFS(交易明細!$B$2:$B$509,$A4,交易明細!$J$2:$J$509,"時間出場")</f>
        <v/>
      </c>
      <c r="F4" s="2">
        <f>COUNTIFS(交易明細!$B$2:$B$509,$A4,交易明細!$J$2:$J$509,"止盈")</f>
        <v/>
      </c>
      <c r="G4" s="2">
        <f>COUNTIFS(交易明細!$B$2:$B$509,$A4,交易明細!$J$2:$J$509,"止損")</f>
        <v/>
      </c>
      <c r="H4" s="4">
        <f>IFERROR(F4/E4,0)</f>
        <v/>
      </c>
      <c r="I4" s="4">
        <f>IFERROR(AVERAGEIFS(交易明細!$L$2:$L$509,交易明細!$B$2:$B$509,$A4,交易明細!$J$2:$J$509,"&lt;&gt;未平倉"),0)</f>
        <v/>
      </c>
      <c r="J4" s="4">
        <f>SUMIFS(交易明細!$L$2:$L$509,交易明細!$B$2:$B$509,$A4,交易明細!$J$2:$J$509,"&lt;&gt;未平倉")</f>
        <v/>
      </c>
      <c r="K4" s="5">
        <f>IFERROR(AVERAGEIFS(交易明細!$K$2:$K$509,交易明細!$B$2:$B$509,$A4,交易明細!$J$2:$J$509,"&lt;&gt;未平倉"),0)</f>
        <v/>
      </c>
      <c r="L4" s="2">
        <f>COUNTIFS(交易明細!$B$2:$B$509,$A4,交易明細!$J$2:$J$509,"未平倉")</f>
        <v/>
      </c>
    </row>
    <row r="5">
      <c r="A5" s="2" t="inlineStr">
        <is>
          <t>AKE_USDT_PERP</t>
        </is>
      </c>
      <c r="B5" s="2">
        <f>COUNTIFS(交易明細!$B$2:$B$509,$A5)</f>
        <v/>
      </c>
      <c r="C5" s="2">
        <f>COUNTIFS(交易明細!$B$2:$B$509,$A5,交易明細!$C$2:$C$509,"做多")</f>
        <v/>
      </c>
      <c r="D5" s="2">
        <f>COUNTIFS(交易明細!$B$2:$B$509,$A5,交易明細!$C$2:$C$509,"做空")</f>
        <v/>
      </c>
      <c r="E5" s="2">
        <f>F5+G5+COUNTIFS(交易明細!$B$2:$B$509,$A5,交易明細!$J$2:$J$509,"時間出場")</f>
        <v/>
      </c>
      <c r="F5" s="2">
        <f>COUNTIFS(交易明細!$B$2:$B$509,$A5,交易明細!$J$2:$J$509,"止盈")</f>
        <v/>
      </c>
      <c r="G5" s="2">
        <f>COUNTIFS(交易明細!$B$2:$B$509,$A5,交易明細!$J$2:$J$509,"止損")</f>
        <v/>
      </c>
      <c r="H5" s="4">
        <f>IFERROR(F5/E5,0)</f>
        <v/>
      </c>
      <c r="I5" s="4">
        <f>IFERROR(AVERAGEIFS(交易明細!$L$2:$L$509,交易明細!$B$2:$B$509,$A5,交易明細!$J$2:$J$509,"&lt;&gt;未平倉"),0)</f>
        <v/>
      </c>
      <c r="J5" s="4">
        <f>SUMIFS(交易明細!$L$2:$L$509,交易明細!$B$2:$B$509,$A5,交易明細!$J$2:$J$509,"&lt;&gt;未平倉")</f>
        <v/>
      </c>
      <c r="K5" s="5">
        <f>IFERROR(AVERAGEIFS(交易明細!$K$2:$K$509,交易明細!$B$2:$B$509,$A5,交易明細!$J$2:$J$509,"&lt;&gt;未平倉"),0)</f>
        <v/>
      </c>
      <c r="L5" s="2">
        <f>COUNTIFS(交易明細!$B$2:$B$509,$A5,交易明細!$J$2:$J$509,"未平倉")</f>
        <v/>
      </c>
    </row>
    <row r="6">
      <c r="A6" s="2" t="inlineStr">
        <is>
          <t>LIT_USDT_PERP</t>
        </is>
      </c>
      <c r="B6" s="2">
        <f>COUNTIFS(交易明細!$B$2:$B$509,$A6)</f>
        <v/>
      </c>
      <c r="C6" s="2">
        <f>COUNTIFS(交易明細!$B$2:$B$509,$A6,交易明細!$C$2:$C$509,"做多")</f>
        <v/>
      </c>
      <c r="D6" s="2">
        <f>COUNTIFS(交易明細!$B$2:$B$509,$A6,交易明細!$C$2:$C$509,"做空")</f>
        <v/>
      </c>
      <c r="E6" s="2">
        <f>F6+G6+COUNTIFS(交易明細!$B$2:$B$509,$A6,交易明細!$J$2:$J$509,"時間出場")</f>
        <v/>
      </c>
      <c r="F6" s="2">
        <f>COUNTIFS(交易明細!$B$2:$B$509,$A6,交易明細!$J$2:$J$509,"止盈")</f>
        <v/>
      </c>
      <c r="G6" s="2">
        <f>COUNTIFS(交易明細!$B$2:$B$509,$A6,交易明細!$J$2:$J$509,"止損")</f>
        <v/>
      </c>
      <c r="H6" s="4">
        <f>IFERROR(F6/E6,0)</f>
        <v/>
      </c>
      <c r="I6" s="4">
        <f>IFERROR(AVERAGEIFS(交易明細!$L$2:$L$509,交易明細!$B$2:$B$509,$A6,交易明細!$J$2:$J$509,"&lt;&gt;未平倉"),0)</f>
        <v/>
      </c>
      <c r="J6" s="4">
        <f>SUMIFS(交易明細!$L$2:$L$509,交易明細!$B$2:$B$509,$A6,交易明細!$J$2:$J$509,"&lt;&gt;未平倉")</f>
        <v/>
      </c>
      <c r="K6" s="5">
        <f>IFERROR(AVERAGEIFS(交易明細!$K$2:$K$509,交易明細!$B$2:$B$509,$A6,交易明細!$J$2:$J$509,"&lt;&gt;未平倉"),0)</f>
        <v/>
      </c>
      <c r="L6" s="2">
        <f>COUNTIFS(交易明細!$B$2:$B$509,$A6,交易明細!$J$2:$J$509,"未平倉")</f>
        <v/>
      </c>
    </row>
    <row r="7">
      <c r="A7" s="2" t="inlineStr">
        <is>
          <t>NEAR_USDT_PERP</t>
        </is>
      </c>
      <c r="B7" s="2">
        <f>COUNTIFS(交易明細!$B$2:$B$509,$A7)</f>
        <v/>
      </c>
      <c r="C7" s="2">
        <f>COUNTIFS(交易明細!$B$2:$B$509,$A7,交易明細!$C$2:$C$509,"做多")</f>
        <v/>
      </c>
      <c r="D7" s="2">
        <f>COUNTIFS(交易明細!$B$2:$B$509,$A7,交易明細!$C$2:$C$509,"做空")</f>
        <v/>
      </c>
      <c r="E7" s="2">
        <f>F7+G7+COUNTIFS(交易明細!$B$2:$B$509,$A7,交易明細!$J$2:$J$509,"時間出場")</f>
        <v/>
      </c>
      <c r="F7" s="2">
        <f>COUNTIFS(交易明細!$B$2:$B$509,$A7,交易明細!$J$2:$J$509,"止盈")</f>
        <v/>
      </c>
      <c r="G7" s="2">
        <f>COUNTIFS(交易明細!$B$2:$B$509,$A7,交易明細!$J$2:$J$509,"止損")</f>
        <v/>
      </c>
      <c r="H7" s="4">
        <f>IFERROR(F7/E7,0)</f>
        <v/>
      </c>
      <c r="I7" s="4">
        <f>IFERROR(AVERAGEIFS(交易明細!$L$2:$L$509,交易明細!$B$2:$B$509,$A7,交易明細!$J$2:$J$509,"&lt;&gt;未平倉"),0)</f>
        <v/>
      </c>
      <c r="J7" s="4">
        <f>SUMIFS(交易明細!$L$2:$L$509,交易明細!$B$2:$B$509,$A7,交易明細!$J$2:$J$509,"&lt;&gt;未平倉")</f>
        <v/>
      </c>
      <c r="K7" s="5">
        <f>IFERROR(AVERAGEIFS(交易明細!$K$2:$K$509,交易明細!$B$2:$B$509,$A7,交易明細!$J$2:$J$509,"&lt;&gt;未平倉"),0)</f>
        <v/>
      </c>
      <c r="L7" s="2">
        <f>COUNTIFS(交易明細!$B$2:$B$509,$A7,交易明細!$J$2:$J$509,"未平倉")</f>
        <v/>
      </c>
    </row>
    <row r="8">
      <c r="A8" s="2" t="inlineStr">
        <is>
          <t>牛来_USDT_PERP</t>
        </is>
      </c>
      <c r="B8" s="2">
        <f>COUNTIFS(交易明細!$B$2:$B$509,$A8)</f>
        <v/>
      </c>
      <c r="C8" s="2">
        <f>COUNTIFS(交易明細!$B$2:$B$509,$A8,交易明細!$C$2:$C$509,"做多")</f>
        <v/>
      </c>
      <c r="D8" s="2">
        <f>COUNTIFS(交易明細!$B$2:$B$509,$A8,交易明細!$C$2:$C$509,"做空")</f>
        <v/>
      </c>
      <c r="E8" s="2">
        <f>F8+G8+COUNTIFS(交易明細!$B$2:$B$509,$A8,交易明細!$J$2:$J$509,"時間出場")</f>
        <v/>
      </c>
      <c r="F8" s="2">
        <f>COUNTIFS(交易明細!$B$2:$B$509,$A8,交易明細!$J$2:$J$509,"止盈")</f>
        <v/>
      </c>
      <c r="G8" s="2">
        <f>COUNTIFS(交易明細!$B$2:$B$509,$A8,交易明細!$J$2:$J$509,"止損")</f>
        <v/>
      </c>
      <c r="H8" s="4">
        <f>IFERROR(F8/E8,0)</f>
        <v/>
      </c>
      <c r="I8" s="4">
        <f>IFERROR(AVERAGEIFS(交易明細!$L$2:$L$509,交易明細!$B$2:$B$509,$A8,交易明細!$J$2:$J$509,"&lt;&gt;未平倉"),0)</f>
        <v/>
      </c>
      <c r="J8" s="4">
        <f>SUMIFS(交易明細!$L$2:$L$509,交易明細!$B$2:$B$509,$A8,交易明細!$J$2:$J$509,"&lt;&gt;未平倉")</f>
        <v/>
      </c>
      <c r="K8" s="5">
        <f>IFERROR(AVERAGEIFS(交易明細!$K$2:$K$509,交易明細!$B$2:$B$509,$A8,交易明細!$J$2:$J$509,"&lt;&gt;未平倉"),0)</f>
        <v/>
      </c>
      <c r="L8" s="2">
        <f>COUNTIFS(交易明細!$B$2:$B$509,$A8,交易明細!$J$2:$J$509,"未平倉")</f>
        <v/>
      </c>
    </row>
    <row r="9">
      <c r="A9" s="2" t="inlineStr">
        <is>
          <t>MARSCOIN_USDT_PERP</t>
        </is>
      </c>
      <c r="B9" s="2">
        <f>COUNTIFS(交易明細!$B$2:$B$509,$A9)</f>
        <v/>
      </c>
      <c r="C9" s="2">
        <f>COUNTIFS(交易明細!$B$2:$B$509,$A9,交易明細!$C$2:$C$509,"做多")</f>
        <v/>
      </c>
      <c r="D9" s="2">
        <f>COUNTIFS(交易明細!$B$2:$B$509,$A9,交易明細!$C$2:$C$509,"做空")</f>
        <v/>
      </c>
      <c r="E9" s="2">
        <f>F9+G9+COUNTIFS(交易明細!$B$2:$B$509,$A9,交易明細!$J$2:$J$509,"時間出場")</f>
        <v/>
      </c>
      <c r="F9" s="2">
        <f>COUNTIFS(交易明細!$B$2:$B$509,$A9,交易明細!$J$2:$J$509,"止盈")</f>
        <v/>
      </c>
      <c r="G9" s="2">
        <f>COUNTIFS(交易明細!$B$2:$B$509,$A9,交易明細!$J$2:$J$509,"止損")</f>
        <v/>
      </c>
      <c r="H9" s="4">
        <f>IFERROR(F9/E9,0)</f>
        <v/>
      </c>
      <c r="I9" s="4">
        <f>IFERROR(AVERAGEIFS(交易明細!$L$2:$L$509,交易明細!$B$2:$B$509,$A9,交易明細!$J$2:$J$509,"&lt;&gt;未平倉"),0)</f>
        <v/>
      </c>
      <c r="J9" s="4">
        <f>SUMIFS(交易明細!$L$2:$L$509,交易明細!$B$2:$B$509,$A9,交易明細!$J$2:$J$509,"&lt;&gt;未平倉")</f>
        <v/>
      </c>
      <c r="K9" s="5">
        <f>IFERROR(AVERAGEIFS(交易明細!$K$2:$K$509,交易明細!$B$2:$B$509,$A9,交易明細!$J$2:$J$509,"&lt;&gt;未平倉"),0)</f>
        <v/>
      </c>
      <c r="L9" s="2">
        <f>COUNTIFS(交易明細!$B$2:$B$509,$A9,交易明細!$J$2:$J$509,"未平倉")</f>
        <v/>
      </c>
    </row>
    <row r="10">
      <c r="A10" s="2" t="inlineStr">
        <is>
          <t>ARB_USDT_PERP</t>
        </is>
      </c>
      <c r="B10" s="2">
        <f>COUNTIFS(交易明細!$B$2:$B$509,$A10)</f>
        <v/>
      </c>
      <c r="C10" s="2">
        <f>COUNTIFS(交易明細!$B$2:$B$509,$A10,交易明細!$C$2:$C$509,"做多")</f>
        <v/>
      </c>
      <c r="D10" s="2">
        <f>COUNTIFS(交易明細!$B$2:$B$509,$A10,交易明細!$C$2:$C$509,"做空")</f>
        <v/>
      </c>
      <c r="E10" s="2">
        <f>F10+G10+COUNTIFS(交易明細!$B$2:$B$509,$A10,交易明細!$J$2:$J$509,"時間出場")</f>
        <v/>
      </c>
      <c r="F10" s="2">
        <f>COUNTIFS(交易明細!$B$2:$B$509,$A10,交易明細!$J$2:$J$509,"止盈")</f>
        <v/>
      </c>
      <c r="G10" s="2">
        <f>COUNTIFS(交易明細!$B$2:$B$509,$A10,交易明細!$J$2:$J$509,"止損")</f>
        <v/>
      </c>
      <c r="H10" s="4">
        <f>IFERROR(F10/E10,0)</f>
        <v/>
      </c>
      <c r="I10" s="4">
        <f>IFERROR(AVERAGEIFS(交易明細!$L$2:$L$509,交易明細!$B$2:$B$509,$A10,交易明細!$J$2:$J$509,"&lt;&gt;未平倉"),0)</f>
        <v/>
      </c>
      <c r="J10" s="4">
        <f>SUMIFS(交易明細!$L$2:$L$509,交易明細!$B$2:$B$509,$A10,交易明細!$J$2:$J$509,"&lt;&gt;未平倉")</f>
        <v/>
      </c>
      <c r="K10" s="5">
        <f>IFERROR(AVERAGEIFS(交易明細!$K$2:$K$509,交易明細!$B$2:$B$509,$A10,交易明細!$J$2:$J$509,"&lt;&gt;未平倉"),0)</f>
        <v/>
      </c>
      <c r="L10" s="2">
        <f>COUNTIFS(交易明細!$B$2:$B$509,$A10,交易明細!$J$2:$J$509,"未平倉")</f>
        <v/>
      </c>
    </row>
    <row r="11">
      <c r="A11" s="2" t="inlineStr">
        <is>
          <t>ENA_USDT_PERP</t>
        </is>
      </c>
      <c r="B11" s="2">
        <f>COUNTIFS(交易明細!$B$2:$B$509,$A11)</f>
        <v/>
      </c>
      <c r="C11" s="2">
        <f>COUNTIFS(交易明細!$B$2:$B$509,$A11,交易明細!$C$2:$C$509,"做多")</f>
        <v/>
      </c>
      <c r="D11" s="2">
        <f>COUNTIFS(交易明細!$B$2:$B$509,$A11,交易明細!$C$2:$C$509,"做空")</f>
        <v/>
      </c>
      <c r="E11" s="2">
        <f>F11+G11+COUNTIFS(交易明細!$B$2:$B$509,$A11,交易明細!$J$2:$J$509,"時間出場")</f>
        <v/>
      </c>
      <c r="F11" s="2">
        <f>COUNTIFS(交易明細!$B$2:$B$509,$A11,交易明細!$J$2:$J$509,"止盈")</f>
        <v/>
      </c>
      <c r="G11" s="2">
        <f>COUNTIFS(交易明細!$B$2:$B$509,$A11,交易明細!$J$2:$J$509,"止損")</f>
        <v/>
      </c>
      <c r="H11" s="4">
        <f>IFERROR(F11/E11,0)</f>
        <v/>
      </c>
      <c r="I11" s="4">
        <f>IFERROR(AVERAGEIFS(交易明細!$L$2:$L$509,交易明細!$B$2:$B$509,$A11,交易明細!$J$2:$J$509,"&lt;&gt;未平倉"),0)</f>
        <v/>
      </c>
      <c r="J11" s="4">
        <f>SUMIFS(交易明細!$L$2:$L$509,交易明細!$B$2:$B$509,$A11,交易明細!$J$2:$J$509,"&lt;&gt;未平倉")</f>
        <v/>
      </c>
      <c r="K11" s="5">
        <f>IFERROR(AVERAGEIFS(交易明細!$K$2:$K$509,交易明細!$B$2:$B$509,$A11,交易明細!$J$2:$J$509,"&lt;&gt;未平倉"),0)</f>
        <v/>
      </c>
      <c r="L11" s="2">
        <f>COUNTIFS(交易明細!$B$2:$B$509,$A11,交易明細!$J$2:$J$509,"未平倉")</f>
        <v/>
      </c>
    </row>
    <row r="12">
      <c r="A12" s="2" t="inlineStr">
        <is>
          <t>UNI_USDT_PERP</t>
        </is>
      </c>
      <c r="B12" s="2">
        <f>COUNTIFS(交易明細!$B$2:$B$509,$A12)</f>
        <v/>
      </c>
      <c r="C12" s="2">
        <f>COUNTIFS(交易明細!$B$2:$B$509,$A12,交易明細!$C$2:$C$509,"做多")</f>
        <v/>
      </c>
      <c r="D12" s="2">
        <f>COUNTIFS(交易明細!$B$2:$B$509,$A12,交易明細!$C$2:$C$509,"做空")</f>
        <v/>
      </c>
      <c r="E12" s="2">
        <f>F12+G12+COUNTIFS(交易明細!$B$2:$B$509,$A12,交易明細!$J$2:$J$509,"時間出場")</f>
        <v/>
      </c>
      <c r="F12" s="2">
        <f>COUNTIFS(交易明細!$B$2:$B$509,$A12,交易明細!$J$2:$J$509,"止盈")</f>
        <v/>
      </c>
      <c r="G12" s="2">
        <f>COUNTIFS(交易明細!$B$2:$B$509,$A12,交易明細!$J$2:$J$509,"止損")</f>
        <v/>
      </c>
      <c r="H12" s="4">
        <f>IFERROR(F12/E12,0)</f>
        <v/>
      </c>
      <c r="I12" s="4">
        <f>IFERROR(AVERAGEIFS(交易明細!$L$2:$L$509,交易明細!$B$2:$B$509,$A12,交易明細!$J$2:$J$509,"&lt;&gt;未平倉"),0)</f>
        <v/>
      </c>
      <c r="J12" s="4">
        <f>SUMIFS(交易明細!$L$2:$L$509,交易明細!$B$2:$B$509,$A12,交易明細!$J$2:$J$509,"&lt;&gt;未平倉")</f>
        <v/>
      </c>
      <c r="K12" s="5">
        <f>IFERROR(AVERAGEIFS(交易明細!$K$2:$K$509,交易明細!$B$2:$B$509,$A12,交易明細!$J$2:$J$509,"&lt;&gt;未平倉"),0)</f>
        <v/>
      </c>
      <c r="L12" s="2">
        <f>COUNTIFS(交易明細!$B$2:$B$509,$A12,交易明細!$J$2:$J$509,"未平倉")</f>
        <v/>
      </c>
    </row>
    <row r="13">
      <c r="A13" s="2" t="inlineStr">
        <is>
          <t>VVV_USDT_PERP</t>
        </is>
      </c>
      <c r="B13" s="2">
        <f>COUNTIFS(交易明細!$B$2:$B$509,$A13)</f>
        <v/>
      </c>
      <c r="C13" s="2">
        <f>COUNTIFS(交易明細!$B$2:$B$509,$A13,交易明細!$C$2:$C$509,"做多")</f>
        <v/>
      </c>
      <c r="D13" s="2">
        <f>COUNTIFS(交易明細!$B$2:$B$509,$A13,交易明細!$C$2:$C$509,"做空")</f>
        <v/>
      </c>
      <c r="E13" s="2">
        <f>F13+G13+COUNTIFS(交易明細!$B$2:$B$509,$A13,交易明細!$J$2:$J$509,"時間出場")</f>
        <v/>
      </c>
      <c r="F13" s="2">
        <f>COUNTIFS(交易明細!$B$2:$B$509,$A13,交易明細!$J$2:$J$509,"止盈")</f>
        <v/>
      </c>
      <c r="G13" s="2">
        <f>COUNTIFS(交易明細!$B$2:$B$509,$A13,交易明細!$J$2:$J$509,"止損")</f>
        <v/>
      </c>
      <c r="H13" s="4">
        <f>IFERROR(F13/E13,0)</f>
        <v/>
      </c>
      <c r="I13" s="4">
        <f>IFERROR(AVERAGEIFS(交易明細!$L$2:$L$509,交易明細!$B$2:$B$509,$A13,交易明細!$J$2:$J$509,"&lt;&gt;未平倉"),0)</f>
        <v/>
      </c>
      <c r="J13" s="4">
        <f>SUMIFS(交易明細!$L$2:$L$509,交易明細!$B$2:$B$509,$A13,交易明細!$J$2:$J$509,"&lt;&gt;未平倉")</f>
        <v/>
      </c>
      <c r="K13" s="5">
        <f>IFERROR(AVERAGEIFS(交易明細!$K$2:$K$509,交易明細!$B$2:$B$509,$A13,交易明細!$J$2:$J$509,"&lt;&gt;未平倉"),0)</f>
        <v/>
      </c>
      <c r="L13" s="2">
        <f>COUNTIFS(交易明細!$B$2:$B$509,$A13,交易明細!$J$2:$J$509,"未平倉")</f>
        <v/>
      </c>
    </row>
    <row r="14">
      <c r="A14" s="2" t="inlineStr">
        <is>
          <t>BR_USDT_PERP</t>
        </is>
      </c>
      <c r="B14" s="2">
        <f>COUNTIFS(交易明細!$B$2:$B$509,$A14)</f>
        <v/>
      </c>
      <c r="C14" s="2">
        <f>COUNTIFS(交易明細!$B$2:$B$509,$A14,交易明細!$C$2:$C$509,"做多")</f>
        <v/>
      </c>
      <c r="D14" s="2">
        <f>COUNTIFS(交易明細!$B$2:$B$509,$A14,交易明細!$C$2:$C$509,"做空")</f>
        <v/>
      </c>
      <c r="E14" s="2">
        <f>F14+G14+COUNTIFS(交易明細!$B$2:$B$509,$A14,交易明細!$J$2:$J$509,"時間出場")</f>
        <v/>
      </c>
      <c r="F14" s="2">
        <f>COUNTIFS(交易明細!$B$2:$B$509,$A14,交易明細!$J$2:$J$509,"止盈")</f>
        <v/>
      </c>
      <c r="G14" s="2">
        <f>COUNTIFS(交易明細!$B$2:$B$509,$A14,交易明細!$J$2:$J$509,"止損")</f>
        <v/>
      </c>
      <c r="H14" s="4">
        <f>IFERROR(F14/E14,0)</f>
        <v/>
      </c>
      <c r="I14" s="4">
        <f>IFERROR(AVERAGEIFS(交易明細!$L$2:$L$509,交易明細!$B$2:$B$509,$A14,交易明細!$J$2:$J$509,"&lt;&gt;未平倉"),0)</f>
        <v/>
      </c>
      <c r="J14" s="4">
        <f>SUMIFS(交易明細!$L$2:$L$509,交易明細!$B$2:$B$509,$A14,交易明細!$J$2:$J$509,"&lt;&gt;未平倉")</f>
        <v/>
      </c>
      <c r="K14" s="5">
        <f>IFERROR(AVERAGEIFS(交易明細!$K$2:$K$509,交易明細!$B$2:$B$509,$A14,交易明細!$J$2:$J$509,"&lt;&gt;未平倉"),0)</f>
        <v/>
      </c>
      <c r="L14" s="2">
        <f>COUNTIFS(交易明細!$B$2:$B$509,$A14,交易明細!$J$2:$J$509,"未平倉")</f>
        <v/>
      </c>
    </row>
    <row r="15">
      <c r="A15" s="2" t="inlineStr">
        <is>
          <t>LSK_USDT_PERP</t>
        </is>
      </c>
      <c r="B15" s="2">
        <f>COUNTIFS(交易明細!$B$2:$B$509,$A15)</f>
        <v/>
      </c>
      <c r="C15" s="2">
        <f>COUNTIFS(交易明細!$B$2:$B$509,$A15,交易明細!$C$2:$C$509,"做多")</f>
        <v/>
      </c>
      <c r="D15" s="2">
        <f>COUNTIFS(交易明細!$B$2:$B$509,$A15,交易明細!$C$2:$C$509,"做空")</f>
        <v/>
      </c>
      <c r="E15" s="2">
        <f>F15+G15+COUNTIFS(交易明細!$B$2:$B$509,$A15,交易明細!$J$2:$J$509,"時間出場")</f>
        <v/>
      </c>
      <c r="F15" s="2">
        <f>COUNTIFS(交易明細!$B$2:$B$509,$A15,交易明細!$J$2:$J$509,"止盈")</f>
        <v/>
      </c>
      <c r="G15" s="2">
        <f>COUNTIFS(交易明細!$B$2:$B$509,$A15,交易明細!$J$2:$J$509,"止損")</f>
        <v/>
      </c>
      <c r="H15" s="4">
        <f>IFERROR(F15/E15,0)</f>
        <v/>
      </c>
      <c r="I15" s="4">
        <f>IFERROR(AVERAGEIFS(交易明細!$L$2:$L$509,交易明細!$B$2:$B$509,$A15,交易明細!$J$2:$J$509,"&lt;&gt;未平倉"),0)</f>
        <v/>
      </c>
      <c r="J15" s="4">
        <f>SUMIFS(交易明細!$L$2:$L$509,交易明細!$B$2:$B$509,$A15,交易明細!$J$2:$J$509,"&lt;&gt;未平倉")</f>
        <v/>
      </c>
      <c r="K15" s="5">
        <f>IFERROR(AVERAGEIFS(交易明細!$K$2:$K$509,交易明細!$B$2:$B$509,$A15,交易明細!$J$2:$J$509,"&lt;&gt;未平倉"),0)</f>
        <v/>
      </c>
      <c r="L15" s="2">
        <f>COUNTIFS(交易明細!$B$2:$B$509,$A15,交易明細!$J$2:$J$509,"未平倉")</f>
        <v/>
      </c>
    </row>
    <row r="16">
      <c r="A16" s="2" t="inlineStr">
        <is>
          <t>UAI_USDT_PERP</t>
        </is>
      </c>
      <c r="B16" s="2">
        <f>COUNTIFS(交易明細!$B$2:$B$509,$A16)</f>
        <v/>
      </c>
      <c r="C16" s="2">
        <f>COUNTIFS(交易明細!$B$2:$B$509,$A16,交易明細!$C$2:$C$509,"做多")</f>
        <v/>
      </c>
      <c r="D16" s="2">
        <f>COUNTIFS(交易明細!$B$2:$B$509,$A16,交易明細!$C$2:$C$509,"做空")</f>
        <v/>
      </c>
      <c r="E16" s="2">
        <f>F16+G16+COUNTIFS(交易明細!$B$2:$B$509,$A16,交易明細!$J$2:$J$509,"時間出場")</f>
        <v/>
      </c>
      <c r="F16" s="2">
        <f>COUNTIFS(交易明細!$B$2:$B$509,$A16,交易明細!$J$2:$J$509,"止盈")</f>
        <v/>
      </c>
      <c r="G16" s="2">
        <f>COUNTIFS(交易明細!$B$2:$B$509,$A16,交易明細!$J$2:$J$509,"止損")</f>
        <v/>
      </c>
      <c r="H16" s="4">
        <f>IFERROR(F16/E16,0)</f>
        <v/>
      </c>
      <c r="I16" s="4">
        <f>IFERROR(AVERAGEIFS(交易明細!$L$2:$L$509,交易明細!$B$2:$B$509,$A16,交易明細!$J$2:$J$509,"&lt;&gt;未平倉"),0)</f>
        <v/>
      </c>
      <c r="J16" s="4">
        <f>SUMIFS(交易明細!$L$2:$L$509,交易明細!$B$2:$B$509,$A16,交易明細!$J$2:$J$509,"&lt;&gt;未平倉")</f>
        <v/>
      </c>
      <c r="K16" s="5">
        <f>IFERROR(AVERAGEIFS(交易明細!$K$2:$K$509,交易明細!$B$2:$B$509,$A16,交易明細!$J$2:$J$509,"&lt;&gt;未平倉"),0)</f>
        <v/>
      </c>
      <c r="L16" s="2">
        <f>COUNTIFS(交易明細!$B$2:$B$509,$A16,交易明細!$J$2:$J$509,"未平倉")</f>
        <v/>
      </c>
    </row>
    <row r="17">
      <c r="A17" s="2" t="inlineStr">
        <is>
          <t>BULLA_USDT_PERP</t>
        </is>
      </c>
      <c r="B17" s="2">
        <f>COUNTIFS(交易明細!$B$2:$B$509,$A17)</f>
        <v/>
      </c>
      <c r="C17" s="2">
        <f>COUNTIFS(交易明細!$B$2:$B$509,$A17,交易明細!$C$2:$C$509,"做多")</f>
        <v/>
      </c>
      <c r="D17" s="2">
        <f>COUNTIFS(交易明細!$B$2:$B$509,$A17,交易明細!$C$2:$C$509,"做空")</f>
        <v/>
      </c>
      <c r="E17" s="2">
        <f>F17+G17+COUNTIFS(交易明細!$B$2:$B$509,$A17,交易明細!$J$2:$J$509,"時間出場")</f>
        <v/>
      </c>
      <c r="F17" s="2">
        <f>COUNTIFS(交易明細!$B$2:$B$509,$A17,交易明細!$J$2:$J$509,"止盈")</f>
        <v/>
      </c>
      <c r="G17" s="2">
        <f>COUNTIFS(交易明細!$B$2:$B$509,$A17,交易明細!$J$2:$J$509,"止損")</f>
        <v/>
      </c>
      <c r="H17" s="4">
        <f>IFERROR(F17/E17,0)</f>
        <v/>
      </c>
      <c r="I17" s="4">
        <f>IFERROR(AVERAGEIFS(交易明細!$L$2:$L$509,交易明細!$B$2:$B$509,$A17,交易明細!$J$2:$J$509,"&lt;&gt;未平倉"),0)</f>
        <v/>
      </c>
      <c r="J17" s="4">
        <f>SUMIFS(交易明細!$L$2:$L$509,交易明細!$B$2:$B$509,$A17,交易明細!$J$2:$J$509,"&lt;&gt;未平倉")</f>
        <v/>
      </c>
      <c r="K17" s="5">
        <f>IFERROR(AVERAGEIFS(交易明細!$K$2:$K$509,交易明細!$B$2:$B$509,$A17,交易明細!$J$2:$J$509,"&lt;&gt;未平倉"),0)</f>
        <v/>
      </c>
      <c r="L17" s="2">
        <f>COUNTIFS(交易明細!$B$2:$B$509,$A17,交易明細!$J$2:$J$509,"未平倉")</f>
        <v/>
      </c>
    </row>
    <row r="18">
      <c r="A18" s="2" t="inlineStr">
        <is>
          <t>HEMI_USDT_PERP</t>
        </is>
      </c>
      <c r="B18" s="2">
        <f>COUNTIFS(交易明細!$B$2:$B$509,$A18)</f>
        <v/>
      </c>
      <c r="C18" s="2">
        <f>COUNTIFS(交易明細!$B$2:$B$509,$A18,交易明細!$C$2:$C$509,"做多")</f>
        <v/>
      </c>
      <c r="D18" s="2">
        <f>COUNTIFS(交易明細!$B$2:$B$509,$A18,交易明細!$C$2:$C$509,"做空")</f>
        <v/>
      </c>
      <c r="E18" s="2">
        <f>F18+G18+COUNTIFS(交易明細!$B$2:$B$509,$A18,交易明細!$J$2:$J$509,"時間出場")</f>
        <v/>
      </c>
      <c r="F18" s="2">
        <f>COUNTIFS(交易明細!$B$2:$B$509,$A18,交易明細!$J$2:$J$509,"止盈")</f>
        <v/>
      </c>
      <c r="G18" s="2">
        <f>COUNTIFS(交易明細!$B$2:$B$509,$A18,交易明細!$J$2:$J$509,"止損")</f>
        <v/>
      </c>
      <c r="H18" s="4">
        <f>IFERROR(F18/E18,0)</f>
        <v/>
      </c>
      <c r="I18" s="4">
        <f>IFERROR(AVERAGEIFS(交易明細!$L$2:$L$509,交易明細!$B$2:$B$509,$A18,交易明細!$J$2:$J$509,"&lt;&gt;未平倉"),0)</f>
        <v/>
      </c>
      <c r="J18" s="4">
        <f>SUMIFS(交易明細!$L$2:$L$509,交易明細!$B$2:$B$509,$A18,交易明細!$J$2:$J$509,"&lt;&gt;未平倉")</f>
        <v/>
      </c>
      <c r="K18" s="5">
        <f>IFERROR(AVERAGEIFS(交易明細!$K$2:$K$509,交易明細!$B$2:$B$509,$A18,交易明細!$J$2:$J$509,"&lt;&gt;未平倉"),0)</f>
        <v/>
      </c>
      <c r="L18" s="2">
        <f>COUNTIFS(交易明細!$B$2:$B$509,$A18,交易明細!$J$2:$J$509,"未平倉")</f>
        <v/>
      </c>
    </row>
    <row r="19">
      <c r="A19" s="2" t="inlineStr">
        <is>
          <t>RAY_USDT_PERP</t>
        </is>
      </c>
      <c r="B19" s="2">
        <f>COUNTIFS(交易明細!$B$2:$B$509,$A19)</f>
        <v/>
      </c>
      <c r="C19" s="2">
        <f>COUNTIFS(交易明細!$B$2:$B$509,$A19,交易明細!$C$2:$C$509,"做多")</f>
        <v/>
      </c>
      <c r="D19" s="2">
        <f>COUNTIFS(交易明細!$B$2:$B$509,$A19,交易明細!$C$2:$C$509,"做空")</f>
        <v/>
      </c>
      <c r="E19" s="2">
        <f>F19+G19+COUNTIFS(交易明細!$B$2:$B$509,$A19,交易明細!$J$2:$J$509,"時間出場")</f>
        <v/>
      </c>
      <c r="F19" s="2">
        <f>COUNTIFS(交易明細!$B$2:$B$509,$A19,交易明細!$J$2:$J$509,"止盈")</f>
        <v/>
      </c>
      <c r="G19" s="2">
        <f>COUNTIFS(交易明細!$B$2:$B$509,$A19,交易明細!$J$2:$J$509,"止損")</f>
        <v/>
      </c>
      <c r="H19" s="4">
        <f>IFERROR(F19/E19,0)</f>
        <v/>
      </c>
      <c r="I19" s="4">
        <f>IFERROR(AVERAGEIFS(交易明細!$L$2:$L$509,交易明細!$B$2:$B$509,$A19,交易明細!$J$2:$J$509,"&lt;&gt;未平倉"),0)</f>
        <v/>
      </c>
      <c r="J19" s="4">
        <f>SUMIFS(交易明細!$L$2:$L$509,交易明細!$B$2:$B$509,$A19,交易明細!$J$2:$J$509,"&lt;&gt;未平倉")</f>
        <v/>
      </c>
      <c r="K19" s="5">
        <f>IFERROR(AVERAGEIFS(交易明細!$K$2:$K$509,交易明細!$B$2:$B$509,$A19,交易明細!$J$2:$J$509,"&lt;&gt;未平倉"),0)</f>
        <v/>
      </c>
      <c r="L19" s="2">
        <f>COUNTIFS(交易明細!$B$2:$B$509,$A19,交易明細!$J$2:$J$509,"未平倉")</f>
        <v/>
      </c>
    </row>
    <row r="20">
      <c r="A20" s="2" t="inlineStr">
        <is>
          <t>INJ_USDT_PERP</t>
        </is>
      </c>
      <c r="B20" s="2">
        <f>COUNTIFS(交易明細!$B$2:$B$509,$A20)</f>
        <v/>
      </c>
      <c r="C20" s="2">
        <f>COUNTIFS(交易明細!$B$2:$B$509,$A20,交易明細!$C$2:$C$509,"做多")</f>
        <v/>
      </c>
      <c r="D20" s="2">
        <f>COUNTIFS(交易明細!$B$2:$B$509,$A20,交易明細!$C$2:$C$509,"做空")</f>
        <v/>
      </c>
      <c r="E20" s="2">
        <f>F20+G20+COUNTIFS(交易明細!$B$2:$B$509,$A20,交易明細!$J$2:$J$509,"時間出場")</f>
        <v/>
      </c>
      <c r="F20" s="2">
        <f>COUNTIFS(交易明細!$B$2:$B$509,$A20,交易明細!$J$2:$J$509,"止盈")</f>
        <v/>
      </c>
      <c r="G20" s="2">
        <f>COUNTIFS(交易明細!$B$2:$B$509,$A20,交易明細!$J$2:$J$509,"止損")</f>
        <v/>
      </c>
      <c r="H20" s="4">
        <f>IFERROR(F20/E20,0)</f>
        <v/>
      </c>
      <c r="I20" s="4">
        <f>IFERROR(AVERAGEIFS(交易明細!$L$2:$L$509,交易明細!$B$2:$B$509,$A20,交易明細!$J$2:$J$509,"&lt;&gt;未平倉"),0)</f>
        <v/>
      </c>
      <c r="J20" s="4">
        <f>SUMIFS(交易明細!$L$2:$L$509,交易明細!$B$2:$B$509,$A20,交易明細!$J$2:$J$509,"&lt;&gt;未平倉")</f>
        <v/>
      </c>
      <c r="K20" s="5">
        <f>IFERROR(AVERAGEIFS(交易明細!$K$2:$K$509,交易明細!$B$2:$B$509,$A20,交易明細!$J$2:$J$509,"&lt;&gt;未平倉"),0)</f>
        <v/>
      </c>
      <c r="L20" s="2">
        <f>COUNTIFS(交易明細!$B$2:$B$509,$A20,交易明細!$J$2:$J$509,"未平倉")</f>
        <v/>
      </c>
    </row>
    <row r="21">
      <c r="A21" s="2" t="inlineStr">
        <is>
          <t>DASH_USDT_PERP</t>
        </is>
      </c>
      <c r="B21" s="2">
        <f>COUNTIFS(交易明細!$B$2:$B$509,$A21)</f>
        <v/>
      </c>
      <c r="C21" s="2">
        <f>COUNTIFS(交易明細!$B$2:$B$509,$A21,交易明細!$C$2:$C$509,"做多")</f>
        <v/>
      </c>
      <c r="D21" s="2">
        <f>COUNTIFS(交易明細!$B$2:$B$509,$A21,交易明細!$C$2:$C$509,"做空")</f>
        <v/>
      </c>
      <c r="E21" s="2">
        <f>F21+G21+COUNTIFS(交易明細!$B$2:$B$509,$A21,交易明細!$J$2:$J$509,"時間出場")</f>
        <v/>
      </c>
      <c r="F21" s="2">
        <f>COUNTIFS(交易明細!$B$2:$B$509,$A21,交易明細!$J$2:$J$509,"止盈")</f>
        <v/>
      </c>
      <c r="G21" s="2">
        <f>COUNTIFS(交易明細!$B$2:$B$509,$A21,交易明細!$J$2:$J$509,"止損")</f>
        <v/>
      </c>
      <c r="H21" s="4">
        <f>IFERROR(F21/E21,0)</f>
        <v/>
      </c>
      <c r="I21" s="4">
        <f>IFERROR(AVERAGEIFS(交易明細!$L$2:$L$509,交易明細!$B$2:$B$509,$A21,交易明細!$J$2:$J$509,"&lt;&gt;未平倉"),0)</f>
        <v/>
      </c>
      <c r="J21" s="4">
        <f>SUMIFS(交易明細!$L$2:$L$509,交易明細!$B$2:$B$509,$A21,交易明細!$J$2:$J$509,"&lt;&gt;未平倉")</f>
        <v/>
      </c>
      <c r="K21" s="5">
        <f>IFERROR(AVERAGEIFS(交易明細!$K$2:$K$509,交易明細!$B$2:$B$509,$A21,交易明細!$J$2:$J$509,"&lt;&gt;未平倉"),0)</f>
        <v/>
      </c>
      <c r="L21" s="2">
        <f>COUNTIFS(交易明細!$B$2:$B$509,$A21,交易明細!$J$2:$J$509,"未平倉")</f>
        <v/>
      </c>
    </row>
    <row r="22">
      <c r="A22" s="2" t="inlineStr">
        <is>
          <t>ZEC_USDT_PERP</t>
        </is>
      </c>
      <c r="B22" s="2">
        <f>COUNTIFS(交易明細!$B$2:$B$509,$A22)</f>
        <v/>
      </c>
      <c r="C22" s="2">
        <f>COUNTIFS(交易明細!$B$2:$B$509,$A22,交易明細!$C$2:$C$509,"做多")</f>
        <v/>
      </c>
      <c r="D22" s="2">
        <f>COUNTIFS(交易明細!$B$2:$B$509,$A22,交易明細!$C$2:$C$509,"做空")</f>
        <v/>
      </c>
      <c r="E22" s="2">
        <f>F22+G22+COUNTIFS(交易明細!$B$2:$B$509,$A22,交易明細!$J$2:$J$509,"時間出場")</f>
        <v/>
      </c>
      <c r="F22" s="2">
        <f>COUNTIFS(交易明細!$B$2:$B$509,$A22,交易明細!$J$2:$J$509,"止盈")</f>
        <v/>
      </c>
      <c r="G22" s="2">
        <f>COUNTIFS(交易明細!$B$2:$B$509,$A22,交易明細!$J$2:$J$509,"止損")</f>
        <v/>
      </c>
      <c r="H22" s="4">
        <f>IFERROR(F22/E22,0)</f>
        <v/>
      </c>
      <c r="I22" s="4">
        <f>IFERROR(AVERAGEIFS(交易明細!$L$2:$L$509,交易明細!$B$2:$B$509,$A22,交易明細!$J$2:$J$509,"&lt;&gt;未平倉"),0)</f>
        <v/>
      </c>
      <c r="J22" s="4">
        <f>SUMIFS(交易明細!$L$2:$L$509,交易明細!$B$2:$B$509,$A22,交易明細!$J$2:$J$509,"&lt;&gt;未平倉")</f>
        <v/>
      </c>
      <c r="K22" s="5">
        <f>IFERROR(AVERAGEIFS(交易明細!$K$2:$K$509,交易明細!$B$2:$B$509,$A22,交易明細!$J$2:$J$509,"&lt;&gt;未平倉"),0)</f>
        <v/>
      </c>
      <c r="L22" s="2">
        <f>COUNTIFS(交易明細!$B$2:$B$509,$A22,交易明細!$J$2:$J$509,"未平倉")</f>
        <v/>
      </c>
    </row>
    <row r="23">
      <c r="A23" s="2" t="inlineStr">
        <is>
          <t>ZAMA_USDT_PERP</t>
        </is>
      </c>
      <c r="B23" s="2">
        <f>COUNTIFS(交易明細!$B$2:$B$509,$A23)</f>
        <v/>
      </c>
      <c r="C23" s="2">
        <f>COUNTIFS(交易明細!$B$2:$B$509,$A23,交易明細!$C$2:$C$509,"做多")</f>
        <v/>
      </c>
      <c r="D23" s="2">
        <f>COUNTIFS(交易明細!$B$2:$B$509,$A23,交易明細!$C$2:$C$509,"做空")</f>
        <v/>
      </c>
      <c r="E23" s="2">
        <f>F23+G23+COUNTIFS(交易明細!$B$2:$B$509,$A23,交易明細!$J$2:$J$509,"時間出場")</f>
        <v/>
      </c>
      <c r="F23" s="2">
        <f>COUNTIFS(交易明細!$B$2:$B$509,$A23,交易明細!$J$2:$J$509,"止盈")</f>
        <v/>
      </c>
      <c r="G23" s="2">
        <f>COUNTIFS(交易明細!$B$2:$B$509,$A23,交易明細!$J$2:$J$509,"止損")</f>
        <v/>
      </c>
      <c r="H23" s="4">
        <f>IFERROR(F23/E23,0)</f>
        <v/>
      </c>
      <c r="I23" s="4">
        <f>IFERROR(AVERAGEIFS(交易明細!$L$2:$L$509,交易明細!$B$2:$B$509,$A23,交易明細!$J$2:$J$509,"&lt;&gt;未平倉"),0)</f>
        <v/>
      </c>
      <c r="J23" s="4">
        <f>SUMIFS(交易明細!$L$2:$L$509,交易明細!$B$2:$B$509,$A23,交易明細!$J$2:$J$509,"&lt;&gt;未平倉")</f>
        <v/>
      </c>
      <c r="K23" s="5">
        <f>IFERROR(AVERAGEIFS(交易明細!$K$2:$K$509,交易明細!$B$2:$B$509,$A23,交易明細!$J$2:$J$509,"&lt;&gt;未平倉"),0)</f>
        <v/>
      </c>
      <c r="L23" s="2">
        <f>COUNTIFS(交易明細!$B$2:$B$509,$A23,交易明細!$J$2:$J$509,"未平倉")</f>
        <v/>
      </c>
    </row>
    <row r="24">
      <c r="A24" s="2" t="inlineStr">
        <is>
          <t>XPL_USDT_PERP</t>
        </is>
      </c>
      <c r="B24" s="2">
        <f>COUNTIFS(交易明細!$B$2:$B$509,$A24)</f>
        <v/>
      </c>
      <c r="C24" s="2">
        <f>COUNTIFS(交易明細!$B$2:$B$509,$A24,交易明細!$C$2:$C$509,"做多")</f>
        <v/>
      </c>
      <c r="D24" s="2">
        <f>COUNTIFS(交易明細!$B$2:$B$509,$A24,交易明細!$C$2:$C$509,"做空")</f>
        <v/>
      </c>
      <c r="E24" s="2">
        <f>F24+G24+COUNTIFS(交易明細!$B$2:$B$509,$A24,交易明細!$J$2:$J$509,"時間出場")</f>
        <v/>
      </c>
      <c r="F24" s="2">
        <f>COUNTIFS(交易明細!$B$2:$B$509,$A24,交易明細!$J$2:$J$509,"止盈")</f>
        <v/>
      </c>
      <c r="G24" s="2">
        <f>COUNTIFS(交易明細!$B$2:$B$509,$A24,交易明細!$J$2:$J$509,"止損")</f>
        <v/>
      </c>
      <c r="H24" s="4">
        <f>IFERROR(F24/E24,0)</f>
        <v/>
      </c>
      <c r="I24" s="4">
        <f>IFERROR(AVERAGEIFS(交易明細!$L$2:$L$509,交易明細!$B$2:$B$509,$A24,交易明細!$J$2:$J$509,"&lt;&gt;未平倉"),0)</f>
        <v/>
      </c>
      <c r="J24" s="4">
        <f>SUMIFS(交易明細!$L$2:$L$509,交易明細!$B$2:$B$509,$A24,交易明細!$J$2:$J$509,"&lt;&gt;未平倉")</f>
        <v/>
      </c>
      <c r="K24" s="5">
        <f>IFERROR(AVERAGEIFS(交易明細!$K$2:$K$509,交易明細!$B$2:$B$509,$A24,交易明細!$J$2:$J$509,"&lt;&gt;未平倉"),0)</f>
        <v/>
      </c>
      <c r="L24" s="2">
        <f>COUNTIFS(交易明細!$B$2:$B$509,$A24,交易明細!$J$2:$J$509,"未平倉")</f>
        <v/>
      </c>
    </row>
    <row r="25">
      <c r="A25" s="2" t="inlineStr">
        <is>
          <t>PENGU_USDT_PERP</t>
        </is>
      </c>
      <c r="B25" s="2">
        <f>COUNTIFS(交易明細!$B$2:$B$509,$A25)</f>
        <v/>
      </c>
      <c r="C25" s="2">
        <f>COUNTIFS(交易明細!$B$2:$B$509,$A25,交易明細!$C$2:$C$509,"做多")</f>
        <v/>
      </c>
      <c r="D25" s="2">
        <f>COUNTIFS(交易明細!$B$2:$B$509,$A25,交易明細!$C$2:$C$509,"做空")</f>
        <v/>
      </c>
      <c r="E25" s="2">
        <f>F25+G25+COUNTIFS(交易明細!$B$2:$B$509,$A25,交易明細!$J$2:$J$509,"時間出場")</f>
        <v/>
      </c>
      <c r="F25" s="2">
        <f>COUNTIFS(交易明細!$B$2:$B$509,$A25,交易明細!$J$2:$J$509,"止盈")</f>
        <v/>
      </c>
      <c r="G25" s="2">
        <f>COUNTIFS(交易明細!$B$2:$B$509,$A25,交易明細!$J$2:$J$509,"止損")</f>
        <v/>
      </c>
      <c r="H25" s="4">
        <f>IFERROR(F25/E25,0)</f>
        <v/>
      </c>
      <c r="I25" s="4">
        <f>IFERROR(AVERAGEIFS(交易明細!$L$2:$L$509,交易明細!$B$2:$B$509,$A25,交易明細!$J$2:$J$509,"&lt;&gt;未平倉"),0)</f>
        <v/>
      </c>
      <c r="J25" s="4">
        <f>SUMIFS(交易明細!$L$2:$L$509,交易明細!$B$2:$B$509,$A25,交易明細!$J$2:$J$509,"&lt;&gt;未平倉")</f>
        <v/>
      </c>
      <c r="K25" s="5">
        <f>IFERROR(AVERAGEIFS(交易明細!$K$2:$K$509,交易明細!$B$2:$B$509,$A25,交易明細!$J$2:$J$509,"&lt;&gt;未平倉"),0)</f>
        <v/>
      </c>
      <c r="L25" s="2">
        <f>COUNTIFS(交易明細!$B$2:$B$509,$A25,交易明細!$J$2:$J$509,"未平倉")</f>
        <v/>
      </c>
    </row>
    <row r="26">
      <c r="A26" s="2" t="inlineStr">
        <is>
          <t>WLD_USDT_PERP</t>
        </is>
      </c>
      <c r="B26" s="2">
        <f>COUNTIFS(交易明細!$B$2:$B$509,$A26)</f>
        <v/>
      </c>
      <c r="C26" s="2">
        <f>COUNTIFS(交易明細!$B$2:$B$509,$A26,交易明細!$C$2:$C$509,"做多")</f>
        <v/>
      </c>
      <c r="D26" s="2">
        <f>COUNTIFS(交易明細!$B$2:$B$509,$A26,交易明細!$C$2:$C$509,"做空")</f>
        <v/>
      </c>
      <c r="E26" s="2">
        <f>F26+G26+COUNTIFS(交易明細!$B$2:$B$509,$A26,交易明細!$J$2:$J$509,"時間出場")</f>
        <v/>
      </c>
      <c r="F26" s="2">
        <f>COUNTIFS(交易明細!$B$2:$B$509,$A26,交易明細!$J$2:$J$509,"止盈")</f>
        <v/>
      </c>
      <c r="G26" s="2">
        <f>COUNTIFS(交易明細!$B$2:$B$509,$A26,交易明細!$J$2:$J$509,"止損")</f>
        <v/>
      </c>
      <c r="H26" s="4">
        <f>IFERROR(F26/E26,0)</f>
        <v/>
      </c>
      <c r="I26" s="4">
        <f>IFERROR(AVERAGEIFS(交易明細!$L$2:$L$509,交易明細!$B$2:$B$509,$A26,交易明細!$J$2:$J$509,"&lt;&gt;未平倉"),0)</f>
        <v/>
      </c>
      <c r="J26" s="4">
        <f>SUMIFS(交易明細!$L$2:$L$509,交易明細!$B$2:$B$509,$A26,交易明細!$J$2:$J$509,"&lt;&gt;未平倉")</f>
        <v/>
      </c>
      <c r="K26" s="5">
        <f>IFERROR(AVERAGEIFS(交易明細!$K$2:$K$509,交易明細!$B$2:$B$509,$A26,交易明細!$J$2:$J$509,"&lt;&gt;未平倉"),0)</f>
        <v/>
      </c>
      <c r="L26" s="2">
        <f>COUNTIFS(交易明細!$B$2:$B$509,$A26,交易明細!$J$2:$J$509,"未平倉")</f>
        <v/>
      </c>
    </row>
    <row r="27">
      <c r="A27" s="2" t="inlineStr">
        <is>
          <t>ONDO_USDT_PERP</t>
        </is>
      </c>
      <c r="B27" s="2">
        <f>COUNTIFS(交易明細!$B$2:$B$509,$A27)</f>
        <v/>
      </c>
      <c r="C27" s="2">
        <f>COUNTIFS(交易明細!$B$2:$B$509,$A27,交易明細!$C$2:$C$509,"做多")</f>
        <v/>
      </c>
      <c r="D27" s="2">
        <f>COUNTIFS(交易明細!$B$2:$B$509,$A27,交易明細!$C$2:$C$509,"做空")</f>
        <v/>
      </c>
      <c r="E27" s="2">
        <f>F27+G27+COUNTIFS(交易明細!$B$2:$B$509,$A27,交易明細!$J$2:$J$509,"時間出場")</f>
        <v/>
      </c>
      <c r="F27" s="2">
        <f>COUNTIFS(交易明細!$B$2:$B$509,$A27,交易明細!$J$2:$J$509,"止盈")</f>
        <v/>
      </c>
      <c r="G27" s="2">
        <f>COUNTIFS(交易明細!$B$2:$B$509,$A27,交易明細!$J$2:$J$509,"止損")</f>
        <v/>
      </c>
      <c r="H27" s="4">
        <f>IFERROR(F27/E27,0)</f>
        <v/>
      </c>
      <c r="I27" s="4">
        <f>IFERROR(AVERAGEIFS(交易明細!$L$2:$L$509,交易明細!$B$2:$B$509,$A27,交易明細!$J$2:$J$509,"&lt;&gt;未平倉"),0)</f>
        <v/>
      </c>
      <c r="J27" s="4">
        <f>SUMIFS(交易明細!$L$2:$L$509,交易明細!$B$2:$B$509,$A27,交易明細!$J$2:$J$509,"&lt;&gt;未平倉")</f>
        <v/>
      </c>
      <c r="K27" s="5">
        <f>IFERROR(AVERAGEIFS(交易明細!$K$2:$K$509,交易明細!$B$2:$B$509,$A27,交易明細!$J$2:$J$509,"&lt;&gt;未平倉"),0)</f>
        <v/>
      </c>
      <c r="L27" s="2">
        <f>COUNTIFS(交易明細!$B$2:$B$509,$A27,交易明細!$J$2:$J$509,"未平倉")</f>
        <v/>
      </c>
    </row>
    <row r="28">
      <c r="A28" s="2" t="inlineStr">
        <is>
          <t>SKR_USDT_PERP</t>
        </is>
      </c>
      <c r="B28" s="2">
        <f>COUNTIFS(交易明細!$B$2:$B$509,$A28)</f>
        <v/>
      </c>
      <c r="C28" s="2">
        <f>COUNTIFS(交易明細!$B$2:$B$509,$A28,交易明細!$C$2:$C$509,"做多")</f>
        <v/>
      </c>
      <c r="D28" s="2">
        <f>COUNTIFS(交易明細!$B$2:$B$509,$A28,交易明細!$C$2:$C$509,"做空")</f>
        <v/>
      </c>
      <c r="E28" s="2">
        <f>F28+G28+COUNTIFS(交易明細!$B$2:$B$509,$A28,交易明細!$J$2:$J$509,"時間出場")</f>
        <v/>
      </c>
      <c r="F28" s="2">
        <f>COUNTIFS(交易明細!$B$2:$B$509,$A28,交易明細!$J$2:$J$509,"止盈")</f>
        <v/>
      </c>
      <c r="G28" s="2">
        <f>COUNTIFS(交易明細!$B$2:$B$509,$A28,交易明細!$J$2:$J$509,"止損")</f>
        <v/>
      </c>
      <c r="H28" s="4">
        <f>IFERROR(F28/E28,0)</f>
        <v/>
      </c>
      <c r="I28" s="4">
        <f>IFERROR(AVERAGEIFS(交易明細!$L$2:$L$509,交易明細!$B$2:$B$509,$A28,交易明細!$J$2:$J$509,"&lt;&gt;未平倉"),0)</f>
        <v/>
      </c>
      <c r="J28" s="4">
        <f>SUMIFS(交易明細!$L$2:$L$509,交易明細!$B$2:$B$509,$A28,交易明細!$J$2:$J$509,"&lt;&gt;未平倉")</f>
        <v/>
      </c>
      <c r="K28" s="5">
        <f>IFERROR(AVERAGEIFS(交易明細!$K$2:$K$509,交易明細!$B$2:$B$509,$A28,交易明細!$J$2:$J$509,"&lt;&gt;未平倉"),0)</f>
        <v/>
      </c>
      <c r="L28" s="2">
        <f>COUNTIFS(交易明細!$B$2:$B$509,$A28,交易明細!$J$2:$J$509,"未平倉")</f>
        <v/>
      </c>
    </row>
    <row r="29">
      <c r="A29" s="2" t="inlineStr">
        <is>
          <t>IOST_USDT_PERP</t>
        </is>
      </c>
      <c r="B29" s="2">
        <f>COUNTIFS(交易明細!$B$2:$B$509,$A29)</f>
        <v/>
      </c>
      <c r="C29" s="2">
        <f>COUNTIFS(交易明細!$B$2:$B$509,$A29,交易明細!$C$2:$C$509,"做多")</f>
        <v/>
      </c>
      <c r="D29" s="2">
        <f>COUNTIFS(交易明細!$B$2:$B$509,$A29,交易明細!$C$2:$C$509,"做空")</f>
        <v/>
      </c>
      <c r="E29" s="2">
        <f>F29+G29+COUNTIFS(交易明細!$B$2:$B$509,$A29,交易明細!$J$2:$J$509,"時間出場")</f>
        <v/>
      </c>
      <c r="F29" s="2">
        <f>COUNTIFS(交易明細!$B$2:$B$509,$A29,交易明細!$J$2:$J$509,"止盈")</f>
        <v/>
      </c>
      <c r="G29" s="2">
        <f>COUNTIFS(交易明細!$B$2:$B$509,$A29,交易明細!$J$2:$J$509,"止損")</f>
        <v/>
      </c>
      <c r="H29" s="4">
        <f>IFERROR(F29/E29,0)</f>
        <v/>
      </c>
      <c r="I29" s="4">
        <f>IFERROR(AVERAGEIFS(交易明細!$L$2:$L$509,交易明細!$B$2:$B$509,$A29,交易明細!$J$2:$J$509,"&lt;&gt;未平倉"),0)</f>
        <v/>
      </c>
      <c r="J29" s="4">
        <f>SUMIFS(交易明細!$L$2:$L$509,交易明細!$B$2:$B$509,$A29,交易明細!$J$2:$J$509,"&lt;&gt;未平倉")</f>
        <v/>
      </c>
      <c r="K29" s="5">
        <f>IFERROR(AVERAGEIFS(交易明細!$K$2:$K$509,交易明細!$B$2:$B$509,$A29,交易明細!$J$2:$J$509,"&lt;&gt;未平倉"),0)</f>
        <v/>
      </c>
      <c r="L29" s="2">
        <f>COUNTIFS(交易明細!$B$2:$B$509,$A29,交易明細!$J$2:$J$509,"未平倉")</f>
        <v/>
      </c>
    </row>
    <row r="30">
      <c r="A30" s="2" t="inlineStr">
        <is>
          <t>AERO_USDT_PERP</t>
        </is>
      </c>
      <c r="B30" s="2">
        <f>COUNTIFS(交易明細!$B$2:$B$509,$A30)</f>
        <v/>
      </c>
      <c r="C30" s="2">
        <f>COUNTIFS(交易明細!$B$2:$B$509,$A30,交易明細!$C$2:$C$509,"做多")</f>
        <v/>
      </c>
      <c r="D30" s="2">
        <f>COUNTIFS(交易明細!$B$2:$B$509,$A30,交易明細!$C$2:$C$509,"做空")</f>
        <v/>
      </c>
      <c r="E30" s="2">
        <f>F30+G30+COUNTIFS(交易明細!$B$2:$B$509,$A30,交易明細!$J$2:$J$509,"時間出場")</f>
        <v/>
      </c>
      <c r="F30" s="2">
        <f>COUNTIFS(交易明細!$B$2:$B$509,$A30,交易明細!$J$2:$J$509,"止盈")</f>
        <v/>
      </c>
      <c r="G30" s="2">
        <f>COUNTIFS(交易明細!$B$2:$B$509,$A30,交易明細!$J$2:$J$509,"止損")</f>
        <v/>
      </c>
      <c r="H30" s="4">
        <f>IFERROR(F30/E30,0)</f>
        <v/>
      </c>
      <c r="I30" s="4">
        <f>IFERROR(AVERAGEIFS(交易明細!$L$2:$L$509,交易明細!$B$2:$B$509,$A30,交易明細!$J$2:$J$509,"&lt;&gt;未平倉"),0)</f>
        <v/>
      </c>
      <c r="J30" s="4">
        <f>SUMIFS(交易明細!$L$2:$L$509,交易明細!$B$2:$B$509,$A30,交易明細!$J$2:$J$509,"&lt;&gt;未平倉")</f>
        <v/>
      </c>
      <c r="K30" s="5">
        <f>IFERROR(AVERAGEIFS(交易明細!$K$2:$K$509,交易明細!$B$2:$B$509,$A30,交易明細!$J$2:$J$509,"&lt;&gt;未平倉"),0)</f>
        <v/>
      </c>
      <c r="L30" s="2">
        <f>COUNTIFS(交易明細!$B$2:$B$509,$A30,交易明細!$J$2:$J$509,"未平倉")</f>
        <v/>
      </c>
    </row>
    <row r="31">
      <c r="A31" s="2" t="inlineStr">
        <is>
          <t>LAB_USDT_PERP</t>
        </is>
      </c>
      <c r="B31" s="2">
        <f>COUNTIFS(交易明細!$B$2:$B$509,$A31)</f>
        <v/>
      </c>
      <c r="C31" s="2">
        <f>COUNTIFS(交易明細!$B$2:$B$509,$A31,交易明細!$C$2:$C$509,"做多")</f>
        <v/>
      </c>
      <c r="D31" s="2">
        <f>COUNTIFS(交易明細!$B$2:$B$509,$A31,交易明細!$C$2:$C$509,"做空")</f>
        <v/>
      </c>
      <c r="E31" s="2">
        <f>F31+G31+COUNTIFS(交易明細!$B$2:$B$509,$A31,交易明細!$J$2:$J$509,"時間出場")</f>
        <v/>
      </c>
      <c r="F31" s="2">
        <f>COUNTIFS(交易明細!$B$2:$B$509,$A31,交易明細!$J$2:$J$509,"止盈")</f>
        <v/>
      </c>
      <c r="G31" s="2">
        <f>COUNTIFS(交易明細!$B$2:$B$509,$A31,交易明細!$J$2:$J$509,"止損")</f>
        <v/>
      </c>
      <c r="H31" s="4">
        <f>IFERROR(F31/E31,0)</f>
        <v/>
      </c>
      <c r="I31" s="4">
        <f>IFERROR(AVERAGEIFS(交易明細!$L$2:$L$509,交易明細!$B$2:$B$509,$A31,交易明細!$J$2:$J$509,"&lt;&gt;未平倉"),0)</f>
        <v/>
      </c>
      <c r="J31" s="4">
        <f>SUMIFS(交易明細!$L$2:$L$509,交易明細!$B$2:$B$509,$A31,交易明細!$J$2:$J$509,"&lt;&gt;未平倉")</f>
        <v/>
      </c>
      <c r="K31" s="5">
        <f>IFERROR(AVERAGEIFS(交易明細!$K$2:$K$509,交易明細!$B$2:$B$509,$A31,交易明細!$J$2:$J$509,"&lt;&gt;未平倉"),0)</f>
        <v/>
      </c>
      <c r="L31" s="2">
        <f>COUNTIFS(交易明細!$B$2:$B$509,$A31,交易明細!$J$2:$J$509,"未平倉")</f>
        <v/>
      </c>
    </row>
    <row r="32">
      <c r="A32" s="2" t="inlineStr">
        <is>
          <t>BTW_USDT_PERP</t>
        </is>
      </c>
      <c r="B32" s="2">
        <f>COUNTIFS(交易明細!$B$2:$B$509,$A32)</f>
        <v/>
      </c>
      <c r="C32" s="2">
        <f>COUNTIFS(交易明細!$B$2:$B$509,$A32,交易明細!$C$2:$C$509,"做多")</f>
        <v/>
      </c>
      <c r="D32" s="2">
        <f>COUNTIFS(交易明細!$B$2:$B$509,$A32,交易明細!$C$2:$C$509,"做空")</f>
        <v/>
      </c>
      <c r="E32" s="2">
        <f>F32+G32+COUNTIFS(交易明細!$B$2:$B$509,$A32,交易明細!$J$2:$J$509,"時間出場")</f>
        <v/>
      </c>
      <c r="F32" s="2">
        <f>COUNTIFS(交易明細!$B$2:$B$509,$A32,交易明細!$J$2:$J$509,"止盈")</f>
        <v/>
      </c>
      <c r="G32" s="2">
        <f>COUNTIFS(交易明細!$B$2:$B$509,$A32,交易明細!$J$2:$J$509,"止損")</f>
        <v/>
      </c>
      <c r="H32" s="4">
        <f>IFERROR(F32/E32,0)</f>
        <v/>
      </c>
      <c r="I32" s="4">
        <f>IFERROR(AVERAGEIFS(交易明細!$L$2:$L$509,交易明細!$B$2:$B$509,$A32,交易明細!$J$2:$J$509,"&lt;&gt;未平倉"),0)</f>
        <v/>
      </c>
      <c r="J32" s="4">
        <f>SUMIFS(交易明細!$L$2:$L$509,交易明細!$B$2:$B$509,$A32,交易明細!$J$2:$J$509,"&lt;&gt;未平倉")</f>
        <v/>
      </c>
      <c r="K32" s="5">
        <f>IFERROR(AVERAGEIFS(交易明細!$K$2:$K$509,交易明細!$B$2:$B$509,$A32,交易明細!$J$2:$J$509,"&lt;&gt;未平倉"),0)</f>
        <v/>
      </c>
      <c r="L32" s="2">
        <f>COUNTIFS(交易明細!$B$2:$B$509,$A32,交易明細!$J$2:$J$509,"未平倉")</f>
        <v/>
      </c>
    </row>
    <row r="33">
      <c r="A33" s="2" t="inlineStr">
        <is>
          <t>AIN_USDT_PERP</t>
        </is>
      </c>
      <c r="B33" s="2">
        <f>COUNTIFS(交易明細!$B$2:$B$509,$A33)</f>
        <v/>
      </c>
      <c r="C33" s="2">
        <f>COUNTIFS(交易明細!$B$2:$B$509,$A33,交易明細!$C$2:$C$509,"做多")</f>
        <v/>
      </c>
      <c r="D33" s="2">
        <f>COUNTIFS(交易明細!$B$2:$B$509,$A33,交易明細!$C$2:$C$509,"做空")</f>
        <v/>
      </c>
      <c r="E33" s="2">
        <f>F33+G33+COUNTIFS(交易明細!$B$2:$B$509,$A33,交易明細!$J$2:$J$509,"時間出場")</f>
        <v/>
      </c>
      <c r="F33" s="2">
        <f>COUNTIFS(交易明細!$B$2:$B$509,$A33,交易明細!$J$2:$J$509,"止盈")</f>
        <v/>
      </c>
      <c r="G33" s="2">
        <f>COUNTIFS(交易明細!$B$2:$B$509,$A33,交易明細!$J$2:$J$509,"止損")</f>
        <v/>
      </c>
      <c r="H33" s="4">
        <f>IFERROR(F33/E33,0)</f>
        <v/>
      </c>
      <c r="I33" s="4">
        <f>IFERROR(AVERAGEIFS(交易明細!$L$2:$L$509,交易明細!$B$2:$B$509,$A33,交易明細!$J$2:$J$509,"&lt;&gt;未平倉"),0)</f>
        <v/>
      </c>
      <c r="J33" s="4">
        <f>SUMIFS(交易明細!$L$2:$L$509,交易明細!$B$2:$B$509,$A33,交易明細!$J$2:$J$509,"&lt;&gt;未平倉")</f>
        <v/>
      </c>
      <c r="K33" s="5">
        <f>IFERROR(AVERAGEIFS(交易明細!$K$2:$K$509,交易明細!$B$2:$B$509,$A33,交易明細!$J$2:$J$509,"&lt;&gt;未平倉"),0)</f>
        <v/>
      </c>
      <c r="L33" s="2">
        <f>COUNTIFS(交易明細!$B$2:$B$509,$A33,交易明細!$J$2:$J$509,"未平倉")</f>
        <v/>
      </c>
    </row>
    <row r="34">
      <c r="A34" s="2" t="inlineStr">
        <is>
          <t>NIL_USDT_PERP</t>
        </is>
      </c>
      <c r="B34" s="2">
        <f>COUNTIFS(交易明細!$B$2:$B$509,$A34)</f>
        <v/>
      </c>
      <c r="C34" s="2">
        <f>COUNTIFS(交易明細!$B$2:$B$509,$A34,交易明細!$C$2:$C$509,"做多")</f>
        <v/>
      </c>
      <c r="D34" s="2">
        <f>COUNTIFS(交易明細!$B$2:$B$509,$A34,交易明細!$C$2:$C$509,"做空")</f>
        <v/>
      </c>
      <c r="E34" s="2">
        <f>F34+G34+COUNTIFS(交易明細!$B$2:$B$509,$A34,交易明細!$J$2:$J$509,"時間出場")</f>
        <v/>
      </c>
      <c r="F34" s="2">
        <f>COUNTIFS(交易明細!$B$2:$B$509,$A34,交易明細!$J$2:$J$509,"止盈")</f>
        <v/>
      </c>
      <c r="G34" s="2">
        <f>COUNTIFS(交易明細!$B$2:$B$509,$A34,交易明細!$J$2:$J$509,"止損")</f>
        <v/>
      </c>
      <c r="H34" s="4">
        <f>IFERROR(F34/E34,0)</f>
        <v/>
      </c>
      <c r="I34" s="4">
        <f>IFERROR(AVERAGEIFS(交易明細!$L$2:$L$509,交易明細!$B$2:$B$509,$A34,交易明細!$J$2:$J$509,"&lt;&gt;未平倉"),0)</f>
        <v/>
      </c>
      <c r="J34" s="4">
        <f>SUMIFS(交易明細!$L$2:$L$509,交易明細!$B$2:$B$509,$A34,交易明細!$J$2:$J$509,"&lt;&gt;未平倉")</f>
        <v/>
      </c>
      <c r="K34" s="5">
        <f>IFERROR(AVERAGEIFS(交易明細!$K$2:$K$509,交易明細!$B$2:$B$509,$A34,交易明細!$J$2:$J$509,"&lt;&gt;未平倉"),0)</f>
        <v/>
      </c>
      <c r="L34" s="2">
        <f>COUNTIFS(交易明細!$B$2:$B$509,$A34,交易明細!$J$2:$J$509,"未平倉")</f>
        <v/>
      </c>
    </row>
    <row r="35">
      <c r="A35" s="2" t="inlineStr">
        <is>
          <t>FET_USDT_PERP</t>
        </is>
      </c>
      <c r="B35" s="2">
        <f>COUNTIFS(交易明細!$B$2:$B$509,$A35)</f>
        <v/>
      </c>
      <c r="C35" s="2">
        <f>COUNTIFS(交易明細!$B$2:$B$509,$A35,交易明細!$C$2:$C$509,"做多")</f>
        <v/>
      </c>
      <c r="D35" s="2">
        <f>COUNTIFS(交易明細!$B$2:$B$509,$A35,交易明細!$C$2:$C$509,"做空")</f>
        <v/>
      </c>
      <c r="E35" s="2">
        <f>F35+G35+COUNTIFS(交易明細!$B$2:$B$509,$A35,交易明細!$J$2:$J$509,"時間出場")</f>
        <v/>
      </c>
      <c r="F35" s="2">
        <f>COUNTIFS(交易明細!$B$2:$B$509,$A35,交易明細!$J$2:$J$509,"止盈")</f>
        <v/>
      </c>
      <c r="G35" s="2">
        <f>COUNTIFS(交易明細!$B$2:$B$509,$A35,交易明細!$J$2:$J$509,"止損")</f>
        <v/>
      </c>
      <c r="H35" s="4">
        <f>IFERROR(F35/E35,0)</f>
        <v/>
      </c>
      <c r="I35" s="4">
        <f>IFERROR(AVERAGEIFS(交易明細!$L$2:$L$509,交易明細!$B$2:$B$509,$A35,交易明細!$J$2:$J$509,"&lt;&gt;未平倉"),0)</f>
        <v/>
      </c>
      <c r="J35" s="4">
        <f>SUMIFS(交易明細!$L$2:$L$509,交易明細!$B$2:$B$509,$A35,交易明細!$J$2:$J$509,"&lt;&gt;未平倉")</f>
        <v/>
      </c>
      <c r="K35" s="5">
        <f>IFERROR(AVERAGEIFS(交易明細!$K$2:$K$509,交易明細!$B$2:$B$509,$A35,交易明細!$J$2:$J$509,"&lt;&gt;未平倉"),0)</f>
        <v/>
      </c>
      <c r="L35" s="2">
        <f>COUNTIFS(交易明細!$B$2:$B$509,$A35,交易明細!$J$2:$J$509,"未平倉")</f>
        <v/>
      </c>
    </row>
    <row r="36">
      <c r="A36" s="2" t="inlineStr">
        <is>
          <t>XMR_USDT_PERP</t>
        </is>
      </c>
      <c r="B36" s="2">
        <f>COUNTIFS(交易明細!$B$2:$B$509,$A36)</f>
        <v/>
      </c>
      <c r="C36" s="2">
        <f>COUNTIFS(交易明細!$B$2:$B$509,$A36,交易明細!$C$2:$C$509,"做多")</f>
        <v/>
      </c>
      <c r="D36" s="2">
        <f>COUNTIFS(交易明細!$B$2:$B$509,$A36,交易明細!$C$2:$C$509,"做空")</f>
        <v/>
      </c>
      <c r="E36" s="2">
        <f>F36+G36+COUNTIFS(交易明細!$B$2:$B$509,$A36,交易明細!$J$2:$J$509,"時間出場")</f>
        <v/>
      </c>
      <c r="F36" s="2">
        <f>COUNTIFS(交易明細!$B$2:$B$509,$A36,交易明細!$J$2:$J$509,"止盈")</f>
        <v/>
      </c>
      <c r="G36" s="2">
        <f>COUNTIFS(交易明細!$B$2:$B$509,$A36,交易明細!$J$2:$J$509,"止損")</f>
        <v/>
      </c>
      <c r="H36" s="4">
        <f>IFERROR(F36/E36,0)</f>
        <v/>
      </c>
      <c r="I36" s="4">
        <f>IFERROR(AVERAGEIFS(交易明細!$L$2:$L$509,交易明細!$B$2:$B$509,$A36,交易明細!$J$2:$J$509,"&lt;&gt;未平倉"),0)</f>
        <v/>
      </c>
      <c r="J36" s="4">
        <f>SUMIFS(交易明細!$L$2:$L$509,交易明細!$B$2:$B$509,$A36,交易明細!$J$2:$J$509,"&lt;&gt;未平倉")</f>
        <v/>
      </c>
      <c r="K36" s="5">
        <f>IFERROR(AVERAGEIFS(交易明細!$K$2:$K$509,交易明細!$B$2:$B$509,$A36,交易明細!$J$2:$J$509,"&lt;&gt;未平倉"),0)</f>
        <v/>
      </c>
      <c r="L36" s="2">
        <f>COUNTIFS(交易明細!$B$2:$B$509,$A36,交易明細!$J$2:$J$509,"未平倉")</f>
        <v/>
      </c>
    </row>
    <row r="37">
      <c r="A37" s="2" t="inlineStr">
        <is>
          <t>BTR_USDT_PERP</t>
        </is>
      </c>
      <c r="B37" s="2">
        <f>COUNTIFS(交易明細!$B$2:$B$509,$A37)</f>
        <v/>
      </c>
      <c r="C37" s="2">
        <f>COUNTIFS(交易明細!$B$2:$B$509,$A37,交易明細!$C$2:$C$509,"做多")</f>
        <v/>
      </c>
      <c r="D37" s="2">
        <f>COUNTIFS(交易明細!$B$2:$B$509,$A37,交易明細!$C$2:$C$509,"做空")</f>
        <v/>
      </c>
      <c r="E37" s="2">
        <f>F37+G37+COUNTIFS(交易明細!$B$2:$B$509,$A37,交易明細!$J$2:$J$509,"時間出場")</f>
        <v/>
      </c>
      <c r="F37" s="2">
        <f>COUNTIFS(交易明細!$B$2:$B$509,$A37,交易明細!$J$2:$J$509,"止盈")</f>
        <v/>
      </c>
      <c r="G37" s="2">
        <f>COUNTIFS(交易明細!$B$2:$B$509,$A37,交易明細!$J$2:$J$509,"止損")</f>
        <v/>
      </c>
      <c r="H37" s="4">
        <f>IFERROR(F37/E37,0)</f>
        <v/>
      </c>
      <c r="I37" s="4">
        <f>IFERROR(AVERAGEIFS(交易明細!$L$2:$L$509,交易明細!$B$2:$B$509,$A37,交易明細!$J$2:$J$509,"&lt;&gt;未平倉"),0)</f>
        <v/>
      </c>
      <c r="J37" s="4">
        <f>SUMIFS(交易明細!$L$2:$L$509,交易明細!$B$2:$B$509,$A37,交易明細!$J$2:$J$509,"&lt;&gt;未平倉")</f>
        <v/>
      </c>
      <c r="K37" s="5">
        <f>IFERROR(AVERAGEIFS(交易明細!$K$2:$K$509,交易明細!$B$2:$B$509,$A37,交易明細!$J$2:$J$509,"&lt;&gt;未平倉"),0)</f>
        <v/>
      </c>
      <c r="L37" s="2">
        <f>COUNTIFS(交易明細!$B$2:$B$509,$A37,交易明細!$J$2:$J$509,"未平倉")</f>
        <v/>
      </c>
    </row>
    <row r="38">
      <c r="A38" s="2" t="inlineStr">
        <is>
          <t>TAO_USDT_PERP</t>
        </is>
      </c>
      <c r="B38" s="2">
        <f>COUNTIFS(交易明細!$B$2:$B$509,$A38)</f>
        <v/>
      </c>
      <c r="C38" s="2">
        <f>COUNTIFS(交易明細!$B$2:$B$509,$A38,交易明細!$C$2:$C$509,"做多")</f>
        <v/>
      </c>
      <c r="D38" s="2">
        <f>COUNTIFS(交易明細!$B$2:$B$509,$A38,交易明細!$C$2:$C$509,"做空")</f>
        <v/>
      </c>
      <c r="E38" s="2">
        <f>F38+G38+COUNTIFS(交易明細!$B$2:$B$509,$A38,交易明細!$J$2:$J$509,"時間出場")</f>
        <v/>
      </c>
      <c r="F38" s="2">
        <f>COUNTIFS(交易明細!$B$2:$B$509,$A38,交易明細!$J$2:$J$509,"止盈")</f>
        <v/>
      </c>
      <c r="G38" s="2">
        <f>COUNTIFS(交易明細!$B$2:$B$509,$A38,交易明細!$J$2:$J$509,"止損")</f>
        <v/>
      </c>
      <c r="H38" s="4">
        <f>IFERROR(F38/E38,0)</f>
        <v/>
      </c>
      <c r="I38" s="4">
        <f>IFERROR(AVERAGEIFS(交易明細!$L$2:$L$509,交易明細!$B$2:$B$509,$A38,交易明細!$J$2:$J$509,"&lt;&gt;未平倉"),0)</f>
        <v/>
      </c>
      <c r="J38" s="4">
        <f>SUMIFS(交易明細!$L$2:$L$509,交易明細!$B$2:$B$509,$A38,交易明細!$J$2:$J$509,"&lt;&gt;未平倉")</f>
        <v/>
      </c>
      <c r="K38" s="5">
        <f>IFERROR(AVERAGEIFS(交易明細!$K$2:$K$509,交易明細!$B$2:$B$509,$A38,交易明細!$J$2:$J$509,"&lt;&gt;未平倉"),0)</f>
        <v/>
      </c>
      <c r="L38" s="2">
        <f>COUNTIFS(交易明細!$B$2:$B$509,$A38,交易明細!$J$2:$J$509,"未平倉")</f>
        <v/>
      </c>
    </row>
    <row r="39">
      <c r="A39" s="2" t="inlineStr">
        <is>
          <t>ICP_USDT_PERP</t>
        </is>
      </c>
      <c r="B39" s="2">
        <f>COUNTIFS(交易明細!$B$2:$B$509,$A39)</f>
        <v/>
      </c>
      <c r="C39" s="2">
        <f>COUNTIFS(交易明細!$B$2:$B$509,$A39,交易明細!$C$2:$C$509,"做多")</f>
        <v/>
      </c>
      <c r="D39" s="2">
        <f>COUNTIFS(交易明細!$B$2:$B$509,$A39,交易明細!$C$2:$C$509,"做空")</f>
        <v/>
      </c>
      <c r="E39" s="2">
        <f>F39+G39+COUNTIFS(交易明細!$B$2:$B$509,$A39,交易明細!$J$2:$J$509,"時間出場")</f>
        <v/>
      </c>
      <c r="F39" s="2">
        <f>COUNTIFS(交易明細!$B$2:$B$509,$A39,交易明細!$J$2:$J$509,"止盈")</f>
        <v/>
      </c>
      <c r="G39" s="2">
        <f>COUNTIFS(交易明細!$B$2:$B$509,$A39,交易明細!$J$2:$J$509,"止損")</f>
        <v/>
      </c>
      <c r="H39" s="4">
        <f>IFERROR(F39/E39,0)</f>
        <v/>
      </c>
      <c r="I39" s="4">
        <f>IFERROR(AVERAGEIFS(交易明細!$L$2:$L$509,交易明細!$B$2:$B$509,$A39,交易明細!$J$2:$J$509,"&lt;&gt;未平倉"),0)</f>
        <v/>
      </c>
      <c r="J39" s="4">
        <f>SUMIFS(交易明細!$L$2:$L$509,交易明細!$B$2:$B$509,$A39,交易明細!$J$2:$J$509,"&lt;&gt;未平倉")</f>
        <v/>
      </c>
      <c r="K39" s="5">
        <f>IFERROR(AVERAGEIFS(交易明細!$K$2:$K$509,交易明細!$B$2:$B$509,$A39,交易明細!$J$2:$J$509,"&lt;&gt;未平倉"),0)</f>
        <v/>
      </c>
      <c r="L39" s="2">
        <f>COUNTIFS(交易明細!$B$2:$B$509,$A39,交易明細!$J$2:$J$509,"未平倉")</f>
        <v/>
      </c>
    </row>
    <row r="40">
      <c r="A40" s="2" t="inlineStr">
        <is>
          <t>MET_USDT_PERP</t>
        </is>
      </c>
      <c r="B40" s="2">
        <f>COUNTIFS(交易明細!$B$2:$B$509,$A40)</f>
        <v/>
      </c>
      <c r="C40" s="2">
        <f>COUNTIFS(交易明細!$B$2:$B$509,$A40,交易明細!$C$2:$C$509,"做多")</f>
        <v/>
      </c>
      <c r="D40" s="2">
        <f>COUNTIFS(交易明細!$B$2:$B$509,$A40,交易明細!$C$2:$C$509,"做空")</f>
        <v/>
      </c>
      <c r="E40" s="2">
        <f>F40+G40+COUNTIFS(交易明細!$B$2:$B$509,$A40,交易明細!$J$2:$J$509,"時間出場")</f>
        <v/>
      </c>
      <c r="F40" s="2">
        <f>COUNTIFS(交易明細!$B$2:$B$509,$A40,交易明細!$J$2:$J$509,"止盈")</f>
        <v/>
      </c>
      <c r="G40" s="2">
        <f>COUNTIFS(交易明細!$B$2:$B$509,$A40,交易明細!$J$2:$J$509,"止損")</f>
        <v/>
      </c>
      <c r="H40" s="4">
        <f>IFERROR(F40/E40,0)</f>
        <v/>
      </c>
      <c r="I40" s="4">
        <f>IFERROR(AVERAGEIFS(交易明細!$L$2:$L$509,交易明細!$B$2:$B$509,$A40,交易明細!$J$2:$J$509,"&lt;&gt;未平倉"),0)</f>
        <v/>
      </c>
      <c r="J40" s="4">
        <f>SUMIFS(交易明細!$L$2:$L$509,交易明細!$B$2:$B$509,$A40,交易明細!$J$2:$J$509,"&lt;&gt;未平倉")</f>
        <v/>
      </c>
      <c r="K40" s="5">
        <f>IFERROR(AVERAGEIFS(交易明細!$K$2:$K$509,交易明細!$B$2:$B$509,$A40,交易明細!$J$2:$J$509,"&lt;&gt;未平倉"),0)</f>
        <v/>
      </c>
      <c r="L40" s="2">
        <f>COUNTIFS(交易明細!$B$2:$B$509,$A40,交易明細!$J$2:$J$509,"未平倉")</f>
        <v/>
      </c>
    </row>
    <row r="41">
      <c r="A41" s="2" t="inlineStr">
        <is>
          <t>FIL_USDT_PERP</t>
        </is>
      </c>
      <c r="B41" s="2">
        <f>COUNTIFS(交易明細!$B$2:$B$509,$A41)</f>
        <v/>
      </c>
      <c r="C41" s="2">
        <f>COUNTIFS(交易明細!$B$2:$B$509,$A41,交易明細!$C$2:$C$509,"做多")</f>
        <v/>
      </c>
      <c r="D41" s="2">
        <f>COUNTIFS(交易明細!$B$2:$B$509,$A41,交易明細!$C$2:$C$509,"做空")</f>
        <v/>
      </c>
      <c r="E41" s="2">
        <f>F41+G41+COUNTIFS(交易明細!$B$2:$B$509,$A41,交易明細!$J$2:$J$509,"時間出場")</f>
        <v/>
      </c>
      <c r="F41" s="2">
        <f>COUNTIFS(交易明細!$B$2:$B$509,$A41,交易明細!$J$2:$J$509,"止盈")</f>
        <v/>
      </c>
      <c r="G41" s="2">
        <f>COUNTIFS(交易明細!$B$2:$B$509,$A41,交易明細!$J$2:$J$509,"止損")</f>
        <v/>
      </c>
      <c r="H41" s="4">
        <f>IFERROR(F41/E41,0)</f>
        <v/>
      </c>
      <c r="I41" s="4">
        <f>IFERROR(AVERAGEIFS(交易明細!$L$2:$L$509,交易明細!$B$2:$B$509,$A41,交易明細!$J$2:$J$509,"&lt;&gt;未平倉"),0)</f>
        <v/>
      </c>
      <c r="J41" s="4">
        <f>SUMIFS(交易明細!$L$2:$L$509,交易明細!$B$2:$B$509,$A41,交易明細!$J$2:$J$509,"&lt;&gt;未平倉")</f>
        <v/>
      </c>
      <c r="K41" s="5">
        <f>IFERROR(AVERAGEIFS(交易明細!$K$2:$K$509,交易明細!$B$2:$B$509,$A41,交易明細!$J$2:$J$509,"&lt;&gt;未平倉"),0)</f>
        <v/>
      </c>
      <c r="L41" s="2">
        <f>COUNTIFS(交易明細!$B$2:$B$509,$A41,交易明細!$J$2:$J$509,"未平倉")</f>
        <v/>
      </c>
    </row>
    <row r="42">
      <c r="A42" s="2" t="inlineStr">
        <is>
          <t>GENIUS_USDT_PERP</t>
        </is>
      </c>
      <c r="B42" s="2">
        <f>COUNTIFS(交易明細!$B$2:$B$509,$A42)</f>
        <v/>
      </c>
      <c r="C42" s="2">
        <f>COUNTIFS(交易明細!$B$2:$B$509,$A42,交易明細!$C$2:$C$509,"做多")</f>
        <v/>
      </c>
      <c r="D42" s="2">
        <f>COUNTIFS(交易明細!$B$2:$B$509,$A42,交易明細!$C$2:$C$509,"做空")</f>
        <v/>
      </c>
      <c r="E42" s="2">
        <f>F42+G42+COUNTIFS(交易明細!$B$2:$B$509,$A42,交易明細!$J$2:$J$509,"時間出場")</f>
        <v/>
      </c>
      <c r="F42" s="2">
        <f>COUNTIFS(交易明細!$B$2:$B$509,$A42,交易明細!$J$2:$J$509,"止盈")</f>
        <v/>
      </c>
      <c r="G42" s="2">
        <f>COUNTIFS(交易明細!$B$2:$B$509,$A42,交易明細!$J$2:$J$509,"止損")</f>
        <v/>
      </c>
      <c r="H42" s="4">
        <f>IFERROR(F42/E42,0)</f>
        <v/>
      </c>
      <c r="I42" s="4">
        <f>IFERROR(AVERAGEIFS(交易明細!$L$2:$L$509,交易明細!$B$2:$B$509,$A42,交易明細!$J$2:$J$509,"&lt;&gt;未平倉"),0)</f>
        <v/>
      </c>
      <c r="J42" s="4">
        <f>SUMIFS(交易明細!$L$2:$L$509,交易明細!$B$2:$B$509,$A42,交易明細!$J$2:$J$509,"&lt;&gt;未平倉")</f>
        <v/>
      </c>
      <c r="K42" s="5">
        <f>IFERROR(AVERAGEIFS(交易明細!$K$2:$K$509,交易明細!$B$2:$B$509,$A42,交易明細!$J$2:$J$509,"&lt;&gt;未平倉"),0)</f>
        <v/>
      </c>
      <c r="L42" s="2">
        <f>COUNTIFS(交易明細!$B$2:$B$509,$A42,交易明細!$J$2:$J$509,"未平倉")</f>
        <v/>
      </c>
    </row>
    <row r="43">
      <c r="A43" s="2" t="inlineStr">
        <is>
          <t>PEPE_USDT_PERP</t>
        </is>
      </c>
      <c r="B43" s="2">
        <f>COUNTIFS(交易明細!$B$2:$B$509,$A43)</f>
        <v/>
      </c>
      <c r="C43" s="2">
        <f>COUNTIFS(交易明細!$B$2:$B$509,$A43,交易明細!$C$2:$C$509,"做多")</f>
        <v/>
      </c>
      <c r="D43" s="2">
        <f>COUNTIFS(交易明細!$B$2:$B$509,$A43,交易明細!$C$2:$C$509,"做空")</f>
        <v/>
      </c>
      <c r="E43" s="2">
        <f>F43+G43+COUNTIFS(交易明細!$B$2:$B$509,$A43,交易明細!$J$2:$J$509,"時間出場")</f>
        <v/>
      </c>
      <c r="F43" s="2">
        <f>COUNTIFS(交易明細!$B$2:$B$509,$A43,交易明細!$J$2:$J$509,"止盈")</f>
        <v/>
      </c>
      <c r="G43" s="2">
        <f>COUNTIFS(交易明細!$B$2:$B$509,$A43,交易明細!$J$2:$J$509,"止損")</f>
        <v/>
      </c>
      <c r="H43" s="4">
        <f>IFERROR(F43/E43,0)</f>
        <v/>
      </c>
      <c r="I43" s="4">
        <f>IFERROR(AVERAGEIFS(交易明細!$L$2:$L$509,交易明細!$B$2:$B$509,$A43,交易明細!$J$2:$J$509,"&lt;&gt;未平倉"),0)</f>
        <v/>
      </c>
      <c r="J43" s="4">
        <f>SUMIFS(交易明細!$L$2:$L$509,交易明細!$B$2:$B$509,$A43,交易明細!$J$2:$J$509,"&lt;&gt;未平倉")</f>
        <v/>
      </c>
      <c r="K43" s="5">
        <f>IFERROR(AVERAGEIFS(交易明細!$K$2:$K$509,交易明細!$B$2:$B$509,$A43,交易明細!$J$2:$J$509,"&lt;&gt;未平倉"),0)</f>
        <v/>
      </c>
      <c r="L43" s="2">
        <f>COUNTIFS(交易明細!$B$2:$B$509,$A43,交易明細!$J$2:$J$509,"未平倉")</f>
        <v/>
      </c>
    </row>
    <row r="44">
      <c r="A44" s="2" t="inlineStr">
        <is>
          <t>SUI_USDT_PERP</t>
        </is>
      </c>
      <c r="B44" s="2">
        <f>COUNTIFS(交易明細!$B$2:$B$509,$A44)</f>
        <v/>
      </c>
      <c r="C44" s="2">
        <f>COUNTIFS(交易明細!$B$2:$B$509,$A44,交易明細!$C$2:$C$509,"做多")</f>
        <v/>
      </c>
      <c r="D44" s="2">
        <f>COUNTIFS(交易明細!$B$2:$B$509,$A44,交易明細!$C$2:$C$509,"做空")</f>
        <v/>
      </c>
      <c r="E44" s="2">
        <f>F44+G44+COUNTIFS(交易明細!$B$2:$B$509,$A44,交易明細!$J$2:$J$509,"時間出場")</f>
        <v/>
      </c>
      <c r="F44" s="2">
        <f>COUNTIFS(交易明細!$B$2:$B$509,$A44,交易明細!$J$2:$J$509,"止盈")</f>
        <v/>
      </c>
      <c r="G44" s="2">
        <f>COUNTIFS(交易明細!$B$2:$B$509,$A44,交易明細!$J$2:$J$509,"止損")</f>
        <v/>
      </c>
      <c r="H44" s="4">
        <f>IFERROR(F44/E44,0)</f>
        <v/>
      </c>
      <c r="I44" s="4">
        <f>IFERROR(AVERAGEIFS(交易明細!$L$2:$L$509,交易明細!$B$2:$B$509,$A44,交易明細!$J$2:$J$509,"&lt;&gt;未平倉"),0)</f>
        <v/>
      </c>
      <c r="J44" s="4">
        <f>SUMIFS(交易明細!$L$2:$L$509,交易明細!$B$2:$B$509,$A44,交易明細!$J$2:$J$509,"&lt;&gt;未平倉")</f>
        <v/>
      </c>
      <c r="K44" s="5">
        <f>IFERROR(AVERAGEIFS(交易明細!$K$2:$K$509,交易明細!$B$2:$B$509,$A44,交易明細!$J$2:$J$509,"&lt;&gt;未平倉"),0)</f>
        <v/>
      </c>
      <c r="L44" s="2">
        <f>COUNTIFS(交易明細!$B$2:$B$509,$A44,交易明細!$J$2:$J$509,"未平倉")</f>
        <v/>
      </c>
    </row>
    <row r="45">
      <c r="A45" s="2" t="inlineStr">
        <is>
          <t>AVAX_USDT_PERP</t>
        </is>
      </c>
      <c r="B45" s="2">
        <f>COUNTIFS(交易明細!$B$2:$B$509,$A45)</f>
        <v/>
      </c>
      <c r="C45" s="2">
        <f>COUNTIFS(交易明細!$B$2:$B$509,$A45,交易明細!$C$2:$C$509,"做多")</f>
        <v/>
      </c>
      <c r="D45" s="2">
        <f>COUNTIFS(交易明細!$B$2:$B$509,$A45,交易明細!$C$2:$C$509,"做空")</f>
        <v/>
      </c>
      <c r="E45" s="2">
        <f>F45+G45+COUNTIFS(交易明細!$B$2:$B$509,$A45,交易明細!$J$2:$J$509,"時間出場")</f>
        <v/>
      </c>
      <c r="F45" s="2">
        <f>COUNTIFS(交易明細!$B$2:$B$509,$A45,交易明細!$J$2:$J$509,"止盈")</f>
        <v/>
      </c>
      <c r="G45" s="2">
        <f>COUNTIFS(交易明細!$B$2:$B$509,$A45,交易明細!$J$2:$J$509,"止損")</f>
        <v/>
      </c>
      <c r="H45" s="4">
        <f>IFERROR(F45/E45,0)</f>
        <v/>
      </c>
      <c r="I45" s="4">
        <f>IFERROR(AVERAGEIFS(交易明細!$L$2:$L$509,交易明細!$B$2:$B$509,$A45,交易明細!$J$2:$J$509,"&lt;&gt;未平倉"),0)</f>
        <v/>
      </c>
      <c r="J45" s="4">
        <f>SUMIFS(交易明細!$L$2:$L$509,交易明細!$B$2:$B$509,$A45,交易明細!$J$2:$J$509,"&lt;&gt;未平倉")</f>
        <v/>
      </c>
      <c r="K45" s="5">
        <f>IFERROR(AVERAGEIFS(交易明細!$K$2:$K$509,交易明細!$B$2:$B$509,$A45,交易明細!$J$2:$J$509,"&lt;&gt;未平倉"),0)</f>
        <v/>
      </c>
      <c r="L45" s="2">
        <f>COUNTIFS(交易明細!$B$2:$B$509,$A45,交易明細!$J$2:$J$509,"未平倉")</f>
        <v/>
      </c>
    </row>
    <row r="46">
      <c r="A46" s="2" t="inlineStr">
        <is>
          <t>PHA_USDT_PERP</t>
        </is>
      </c>
      <c r="B46" s="2">
        <f>COUNTIFS(交易明細!$B$2:$B$509,$A46)</f>
        <v/>
      </c>
      <c r="C46" s="2">
        <f>COUNTIFS(交易明細!$B$2:$B$509,$A46,交易明細!$C$2:$C$509,"做多")</f>
        <v/>
      </c>
      <c r="D46" s="2">
        <f>COUNTIFS(交易明細!$B$2:$B$509,$A46,交易明細!$C$2:$C$509,"做空")</f>
        <v/>
      </c>
      <c r="E46" s="2">
        <f>F46+G46+COUNTIFS(交易明細!$B$2:$B$509,$A46,交易明細!$J$2:$J$509,"時間出場")</f>
        <v/>
      </c>
      <c r="F46" s="2">
        <f>COUNTIFS(交易明細!$B$2:$B$509,$A46,交易明細!$J$2:$J$509,"止盈")</f>
        <v/>
      </c>
      <c r="G46" s="2">
        <f>COUNTIFS(交易明細!$B$2:$B$509,$A46,交易明細!$J$2:$J$509,"止損")</f>
        <v/>
      </c>
      <c r="H46" s="4">
        <f>IFERROR(F46/E46,0)</f>
        <v/>
      </c>
      <c r="I46" s="4">
        <f>IFERROR(AVERAGEIFS(交易明細!$L$2:$L$509,交易明細!$B$2:$B$509,$A46,交易明細!$J$2:$J$509,"&lt;&gt;未平倉"),0)</f>
        <v/>
      </c>
      <c r="J46" s="4">
        <f>SUMIFS(交易明細!$L$2:$L$509,交易明細!$B$2:$B$509,$A46,交易明細!$J$2:$J$509,"&lt;&gt;未平倉")</f>
        <v/>
      </c>
      <c r="K46" s="5">
        <f>IFERROR(AVERAGEIFS(交易明細!$K$2:$K$509,交易明細!$B$2:$B$509,$A46,交易明細!$J$2:$J$509,"&lt;&gt;未平倉"),0)</f>
        <v/>
      </c>
      <c r="L46" s="2">
        <f>COUNTIFS(交易明細!$B$2:$B$509,$A46,交易明細!$J$2:$J$509,"未平倉")</f>
        <v/>
      </c>
    </row>
    <row r="47">
      <c r="A47" s="2" t="inlineStr">
        <is>
          <t>DOGE_USDT_PERP</t>
        </is>
      </c>
      <c r="B47" s="2">
        <f>COUNTIFS(交易明細!$B$2:$B$509,$A47)</f>
        <v/>
      </c>
      <c r="C47" s="2">
        <f>COUNTIFS(交易明細!$B$2:$B$509,$A47,交易明細!$C$2:$C$509,"做多")</f>
        <v/>
      </c>
      <c r="D47" s="2">
        <f>COUNTIFS(交易明細!$B$2:$B$509,$A47,交易明細!$C$2:$C$509,"做空")</f>
        <v/>
      </c>
      <c r="E47" s="2">
        <f>F47+G47+COUNTIFS(交易明細!$B$2:$B$509,$A47,交易明細!$J$2:$J$509,"時間出場")</f>
        <v/>
      </c>
      <c r="F47" s="2">
        <f>COUNTIFS(交易明細!$B$2:$B$509,$A47,交易明細!$J$2:$J$509,"止盈")</f>
        <v/>
      </c>
      <c r="G47" s="2">
        <f>COUNTIFS(交易明細!$B$2:$B$509,$A47,交易明細!$J$2:$J$509,"止損")</f>
        <v/>
      </c>
      <c r="H47" s="4">
        <f>IFERROR(F47/E47,0)</f>
        <v/>
      </c>
      <c r="I47" s="4">
        <f>IFERROR(AVERAGEIFS(交易明細!$L$2:$L$509,交易明細!$B$2:$B$509,$A47,交易明細!$J$2:$J$509,"&lt;&gt;未平倉"),0)</f>
        <v/>
      </c>
      <c r="J47" s="4">
        <f>SUMIFS(交易明細!$L$2:$L$509,交易明細!$B$2:$B$509,$A47,交易明細!$J$2:$J$509,"&lt;&gt;未平倉")</f>
        <v/>
      </c>
      <c r="K47" s="5">
        <f>IFERROR(AVERAGEIFS(交易明細!$K$2:$K$509,交易明細!$B$2:$B$509,$A47,交易明細!$J$2:$J$509,"&lt;&gt;未平倉"),0)</f>
        <v/>
      </c>
      <c r="L47" s="2">
        <f>COUNTIFS(交易明細!$B$2:$B$509,$A47,交易明細!$J$2:$J$509,"未平倉")</f>
        <v/>
      </c>
    </row>
    <row r="48">
      <c r="A48" s="2" t="inlineStr">
        <is>
          <t>SKYAI_USDT_PERP</t>
        </is>
      </c>
      <c r="B48" s="2">
        <f>COUNTIFS(交易明細!$B$2:$B$509,$A48)</f>
        <v/>
      </c>
      <c r="C48" s="2">
        <f>COUNTIFS(交易明細!$B$2:$B$509,$A48,交易明細!$C$2:$C$509,"做多")</f>
        <v/>
      </c>
      <c r="D48" s="2">
        <f>COUNTIFS(交易明細!$B$2:$B$509,$A48,交易明細!$C$2:$C$509,"做空")</f>
        <v/>
      </c>
      <c r="E48" s="2">
        <f>F48+G48+COUNTIFS(交易明細!$B$2:$B$509,$A48,交易明細!$J$2:$J$509,"時間出場")</f>
        <v/>
      </c>
      <c r="F48" s="2">
        <f>COUNTIFS(交易明細!$B$2:$B$509,$A48,交易明細!$J$2:$J$509,"止盈")</f>
        <v/>
      </c>
      <c r="G48" s="2">
        <f>COUNTIFS(交易明細!$B$2:$B$509,$A48,交易明細!$J$2:$J$509,"止損")</f>
        <v/>
      </c>
      <c r="H48" s="4">
        <f>IFERROR(F48/E48,0)</f>
        <v/>
      </c>
      <c r="I48" s="4">
        <f>IFERROR(AVERAGEIFS(交易明細!$L$2:$L$509,交易明細!$B$2:$B$509,$A48,交易明細!$J$2:$J$509,"&lt;&gt;未平倉"),0)</f>
        <v/>
      </c>
      <c r="J48" s="4">
        <f>SUMIFS(交易明細!$L$2:$L$509,交易明細!$B$2:$B$509,$A48,交易明細!$J$2:$J$509,"&lt;&gt;未平倉")</f>
        <v/>
      </c>
      <c r="K48" s="5">
        <f>IFERROR(AVERAGEIFS(交易明細!$K$2:$K$509,交易明細!$B$2:$B$509,$A48,交易明細!$J$2:$J$509,"&lt;&gt;未平倉"),0)</f>
        <v/>
      </c>
      <c r="L48" s="2">
        <f>COUNTIFS(交易明細!$B$2:$B$509,$A48,交易明細!$J$2:$J$509,"未平倉")</f>
        <v/>
      </c>
    </row>
    <row r="49">
      <c r="A49" s="2" t="inlineStr">
        <is>
          <t>ACE_USDT_PERP</t>
        </is>
      </c>
      <c r="B49" s="2">
        <f>COUNTIFS(交易明細!$B$2:$B$509,$A49)</f>
        <v/>
      </c>
      <c r="C49" s="2">
        <f>COUNTIFS(交易明細!$B$2:$B$509,$A49,交易明細!$C$2:$C$509,"做多")</f>
        <v/>
      </c>
      <c r="D49" s="2">
        <f>COUNTIFS(交易明細!$B$2:$B$509,$A49,交易明細!$C$2:$C$509,"做空")</f>
        <v/>
      </c>
      <c r="E49" s="2">
        <f>F49+G49+COUNTIFS(交易明細!$B$2:$B$509,$A49,交易明細!$J$2:$J$509,"時間出場")</f>
        <v/>
      </c>
      <c r="F49" s="2">
        <f>COUNTIFS(交易明細!$B$2:$B$509,$A49,交易明細!$J$2:$J$509,"止盈")</f>
        <v/>
      </c>
      <c r="G49" s="2">
        <f>COUNTIFS(交易明細!$B$2:$B$509,$A49,交易明細!$J$2:$J$509,"止損")</f>
        <v/>
      </c>
      <c r="H49" s="4">
        <f>IFERROR(F49/E49,0)</f>
        <v/>
      </c>
      <c r="I49" s="4">
        <f>IFERROR(AVERAGEIFS(交易明細!$L$2:$L$509,交易明細!$B$2:$B$509,$A49,交易明細!$J$2:$J$509,"&lt;&gt;未平倉"),0)</f>
        <v/>
      </c>
      <c r="J49" s="4">
        <f>SUMIFS(交易明細!$L$2:$L$509,交易明細!$B$2:$B$509,$A49,交易明細!$J$2:$J$509,"&lt;&gt;未平倉")</f>
        <v/>
      </c>
      <c r="K49" s="5">
        <f>IFERROR(AVERAGEIFS(交易明細!$K$2:$K$509,交易明細!$B$2:$B$509,$A49,交易明細!$J$2:$J$509,"&lt;&gt;未平倉"),0)</f>
        <v/>
      </c>
      <c r="L49" s="2">
        <f>COUNTIFS(交易明細!$B$2:$B$509,$A49,交易明細!$J$2:$J$509,"未平倉")</f>
        <v/>
      </c>
    </row>
    <row r="50">
      <c r="A50" s="2" t="inlineStr">
        <is>
          <t>EDGE_USDT_PERP</t>
        </is>
      </c>
      <c r="B50" s="2">
        <f>COUNTIFS(交易明細!$B$2:$B$509,$A50)</f>
        <v/>
      </c>
      <c r="C50" s="2">
        <f>COUNTIFS(交易明細!$B$2:$B$509,$A50,交易明細!$C$2:$C$509,"做多")</f>
        <v/>
      </c>
      <c r="D50" s="2">
        <f>COUNTIFS(交易明細!$B$2:$B$509,$A50,交易明細!$C$2:$C$509,"做空")</f>
        <v/>
      </c>
      <c r="E50" s="2">
        <f>F50+G50+COUNTIFS(交易明細!$B$2:$B$509,$A50,交易明細!$J$2:$J$509,"時間出場")</f>
        <v/>
      </c>
      <c r="F50" s="2">
        <f>COUNTIFS(交易明細!$B$2:$B$509,$A50,交易明細!$J$2:$J$509,"止盈")</f>
        <v/>
      </c>
      <c r="G50" s="2">
        <f>COUNTIFS(交易明細!$B$2:$B$509,$A50,交易明細!$J$2:$J$509,"止損")</f>
        <v/>
      </c>
      <c r="H50" s="4">
        <f>IFERROR(F50/E50,0)</f>
        <v/>
      </c>
      <c r="I50" s="4">
        <f>IFERROR(AVERAGEIFS(交易明細!$L$2:$L$509,交易明細!$B$2:$B$509,$A50,交易明細!$J$2:$J$509,"&lt;&gt;未平倉"),0)</f>
        <v/>
      </c>
      <c r="J50" s="4">
        <f>SUMIFS(交易明細!$L$2:$L$509,交易明細!$B$2:$B$509,$A50,交易明細!$J$2:$J$509,"&lt;&gt;未平倉")</f>
        <v/>
      </c>
      <c r="K50" s="5">
        <f>IFERROR(AVERAGEIFS(交易明細!$K$2:$K$509,交易明細!$B$2:$B$509,$A50,交易明細!$J$2:$J$509,"&lt;&gt;未平倉"),0)</f>
        <v/>
      </c>
      <c r="L50" s="2">
        <f>COUNTIFS(交易明細!$B$2:$B$509,$A50,交易明細!$J$2:$J$509,"未平倉")</f>
        <v/>
      </c>
    </row>
    <row r="51">
      <c r="A51" s="2" t="inlineStr">
        <is>
          <t>4_USDT_PERP</t>
        </is>
      </c>
      <c r="B51" s="2">
        <f>COUNTIFS(交易明細!$B$2:$B$509,$A51)</f>
        <v/>
      </c>
      <c r="C51" s="2">
        <f>COUNTIFS(交易明細!$B$2:$B$509,$A51,交易明細!$C$2:$C$509,"做多")</f>
        <v/>
      </c>
      <c r="D51" s="2">
        <f>COUNTIFS(交易明細!$B$2:$B$509,$A51,交易明細!$C$2:$C$509,"做空")</f>
        <v/>
      </c>
      <c r="E51" s="2">
        <f>F51+G51+COUNTIFS(交易明細!$B$2:$B$509,$A51,交易明細!$J$2:$J$509,"時間出場")</f>
        <v/>
      </c>
      <c r="F51" s="2">
        <f>COUNTIFS(交易明細!$B$2:$B$509,$A51,交易明細!$J$2:$J$509,"止盈")</f>
        <v/>
      </c>
      <c r="G51" s="2">
        <f>COUNTIFS(交易明細!$B$2:$B$509,$A51,交易明細!$J$2:$J$509,"止損")</f>
        <v/>
      </c>
      <c r="H51" s="4">
        <f>IFERROR(F51/E51,0)</f>
        <v/>
      </c>
      <c r="I51" s="4">
        <f>IFERROR(AVERAGEIFS(交易明細!$L$2:$L$509,交易明細!$B$2:$B$509,$A51,交易明細!$J$2:$J$509,"&lt;&gt;未平倉"),0)</f>
        <v/>
      </c>
      <c r="J51" s="4">
        <f>SUMIFS(交易明細!$L$2:$L$509,交易明細!$B$2:$B$509,$A51,交易明細!$J$2:$J$509,"&lt;&gt;未平倉")</f>
        <v/>
      </c>
      <c r="K51" s="5">
        <f>IFERROR(AVERAGEIFS(交易明細!$K$2:$K$509,交易明細!$B$2:$B$509,$A51,交易明細!$J$2:$J$509,"&lt;&gt;未平倉"),0)</f>
        <v/>
      </c>
      <c r="L51" s="2">
        <f>COUNTIFS(交易明細!$B$2:$B$509,$A51,交易明細!$J$2:$J$509,"未平倉")</f>
        <v/>
      </c>
    </row>
    <row r="52">
      <c r="A52" s="2" t="inlineStr">
        <is>
          <t>ZEN_USDT_PERP</t>
        </is>
      </c>
      <c r="B52" s="2">
        <f>COUNTIFS(交易明細!$B$2:$B$509,$A52)</f>
        <v/>
      </c>
      <c r="C52" s="2">
        <f>COUNTIFS(交易明細!$B$2:$B$509,$A52,交易明細!$C$2:$C$509,"做多")</f>
        <v/>
      </c>
      <c r="D52" s="2">
        <f>COUNTIFS(交易明細!$B$2:$B$509,$A52,交易明細!$C$2:$C$509,"做空")</f>
        <v/>
      </c>
      <c r="E52" s="2">
        <f>F52+G52+COUNTIFS(交易明細!$B$2:$B$509,$A52,交易明細!$J$2:$J$509,"時間出場")</f>
        <v/>
      </c>
      <c r="F52" s="2">
        <f>COUNTIFS(交易明細!$B$2:$B$509,$A52,交易明細!$J$2:$J$509,"止盈")</f>
        <v/>
      </c>
      <c r="G52" s="2">
        <f>COUNTIFS(交易明細!$B$2:$B$509,$A52,交易明細!$J$2:$J$509,"止損")</f>
        <v/>
      </c>
      <c r="H52" s="4">
        <f>IFERROR(F52/E52,0)</f>
        <v/>
      </c>
      <c r="I52" s="4">
        <f>IFERROR(AVERAGEIFS(交易明細!$L$2:$L$509,交易明細!$B$2:$B$509,$A52,交易明細!$J$2:$J$509,"&lt;&gt;未平倉"),0)</f>
        <v/>
      </c>
      <c r="J52" s="4">
        <f>SUMIFS(交易明細!$L$2:$L$509,交易明細!$B$2:$B$509,$A52,交易明細!$J$2:$J$509,"&lt;&gt;未平倉")</f>
        <v/>
      </c>
      <c r="K52" s="5">
        <f>IFERROR(AVERAGEIFS(交易明細!$K$2:$K$509,交易明細!$B$2:$B$509,$A52,交易明細!$J$2:$J$509,"&lt;&gt;未平倉"),0)</f>
        <v/>
      </c>
      <c r="L52" s="2">
        <f>COUNTIFS(交易明細!$B$2:$B$509,$A52,交易明細!$J$2:$J$509,"未平倉")</f>
        <v/>
      </c>
    </row>
    <row r="53">
      <c r="A53" s="2" t="inlineStr">
        <is>
          <t>DOT_USDT_PERP</t>
        </is>
      </c>
      <c r="B53" s="2">
        <f>COUNTIFS(交易明細!$B$2:$B$509,$A53)</f>
        <v/>
      </c>
      <c r="C53" s="2">
        <f>COUNTIFS(交易明細!$B$2:$B$509,$A53,交易明細!$C$2:$C$509,"做多")</f>
        <v/>
      </c>
      <c r="D53" s="2">
        <f>COUNTIFS(交易明細!$B$2:$B$509,$A53,交易明細!$C$2:$C$509,"做空")</f>
        <v/>
      </c>
      <c r="E53" s="2">
        <f>F53+G53+COUNTIFS(交易明細!$B$2:$B$509,$A53,交易明細!$J$2:$J$509,"時間出場")</f>
        <v/>
      </c>
      <c r="F53" s="2">
        <f>COUNTIFS(交易明細!$B$2:$B$509,$A53,交易明細!$J$2:$J$509,"止盈")</f>
        <v/>
      </c>
      <c r="G53" s="2">
        <f>COUNTIFS(交易明細!$B$2:$B$509,$A53,交易明細!$J$2:$J$509,"止損")</f>
        <v/>
      </c>
      <c r="H53" s="4">
        <f>IFERROR(F53/E53,0)</f>
        <v/>
      </c>
      <c r="I53" s="4">
        <f>IFERROR(AVERAGEIFS(交易明細!$L$2:$L$509,交易明細!$B$2:$B$509,$A53,交易明細!$J$2:$J$509,"&lt;&gt;未平倉"),0)</f>
        <v/>
      </c>
      <c r="J53" s="4">
        <f>SUMIFS(交易明細!$L$2:$L$509,交易明細!$B$2:$B$509,$A53,交易明細!$J$2:$J$509,"&lt;&gt;未平倉")</f>
        <v/>
      </c>
      <c r="K53" s="5">
        <f>IFERROR(AVERAGEIFS(交易明細!$K$2:$K$509,交易明細!$B$2:$B$509,$A53,交易明細!$J$2:$J$509,"&lt;&gt;未平倉"),0)</f>
        <v/>
      </c>
      <c r="L53" s="2">
        <f>COUNTIFS(交易明細!$B$2:$B$509,$A53,交易明細!$J$2:$J$509,"未平倉")</f>
        <v/>
      </c>
    </row>
    <row r="54">
      <c r="A54" s="2" t="inlineStr">
        <is>
          <t>RIVER_USDT_PERP</t>
        </is>
      </c>
      <c r="B54" s="2">
        <f>COUNTIFS(交易明細!$B$2:$B$509,$A54)</f>
        <v/>
      </c>
      <c r="C54" s="2">
        <f>COUNTIFS(交易明細!$B$2:$B$509,$A54,交易明細!$C$2:$C$509,"做多")</f>
        <v/>
      </c>
      <c r="D54" s="2">
        <f>COUNTIFS(交易明細!$B$2:$B$509,$A54,交易明細!$C$2:$C$509,"做空")</f>
        <v/>
      </c>
      <c r="E54" s="2">
        <f>F54+G54+COUNTIFS(交易明細!$B$2:$B$509,$A54,交易明細!$J$2:$J$509,"時間出場")</f>
        <v/>
      </c>
      <c r="F54" s="2">
        <f>COUNTIFS(交易明細!$B$2:$B$509,$A54,交易明細!$J$2:$J$509,"止盈")</f>
        <v/>
      </c>
      <c r="G54" s="2">
        <f>COUNTIFS(交易明細!$B$2:$B$509,$A54,交易明細!$J$2:$J$509,"止損")</f>
        <v/>
      </c>
      <c r="H54" s="4">
        <f>IFERROR(F54/E54,0)</f>
        <v/>
      </c>
      <c r="I54" s="4">
        <f>IFERROR(AVERAGEIFS(交易明細!$L$2:$L$509,交易明細!$B$2:$B$509,$A54,交易明細!$J$2:$J$509,"&lt;&gt;未平倉"),0)</f>
        <v/>
      </c>
      <c r="J54" s="4">
        <f>SUMIFS(交易明細!$L$2:$L$509,交易明細!$B$2:$B$509,$A54,交易明細!$J$2:$J$509,"&lt;&gt;未平倉")</f>
        <v/>
      </c>
      <c r="K54" s="5">
        <f>IFERROR(AVERAGEIFS(交易明細!$K$2:$K$509,交易明細!$B$2:$B$509,$A54,交易明細!$J$2:$J$509,"&lt;&gt;未平倉"),0)</f>
        <v/>
      </c>
      <c r="L54" s="2">
        <f>COUNTIFS(交易明細!$B$2:$B$509,$A54,交易明細!$J$2:$J$509,"未平倉")</f>
        <v/>
      </c>
    </row>
    <row r="55">
      <c r="A55" s="2" t="inlineStr">
        <is>
          <t>POWER_USDT_PERP</t>
        </is>
      </c>
      <c r="B55" s="2">
        <f>COUNTIFS(交易明細!$B$2:$B$509,$A55)</f>
        <v/>
      </c>
      <c r="C55" s="2">
        <f>COUNTIFS(交易明細!$B$2:$B$509,$A55,交易明細!$C$2:$C$509,"做多")</f>
        <v/>
      </c>
      <c r="D55" s="2">
        <f>COUNTIFS(交易明細!$B$2:$B$509,$A55,交易明細!$C$2:$C$509,"做空")</f>
        <v/>
      </c>
      <c r="E55" s="2">
        <f>F55+G55+COUNTIFS(交易明細!$B$2:$B$509,$A55,交易明細!$J$2:$J$509,"時間出場")</f>
        <v/>
      </c>
      <c r="F55" s="2">
        <f>COUNTIFS(交易明細!$B$2:$B$509,$A55,交易明細!$J$2:$J$509,"止盈")</f>
        <v/>
      </c>
      <c r="G55" s="2">
        <f>COUNTIFS(交易明細!$B$2:$B$509,$A55,交易明細!$J$2:$J$509,"止損")</f>
        <v/>
      </c>
      <c r="H55" s="4">
        <f>IFERROR(F55/E55,0)</f>
        <v/>
      </c>
      <c r="I55" s="4">
        <f>IFERROR(AVERAGEIFS(交易明細!$L$2:$L$509,交易明細!$B$2:$B$509,$A55,交易明細!$J$2:$J$509,"&lt;&gt;未平倉"),0)</f>
        <v/>
      </c>
      <c r="J55" s="4">
        <f>SUMIFS(交易明細!$L$2:$L$509,交易明細!$B$2:$B$509,$A55,交易明細!$J$2:$J$509,"&lt;&gt;未平倉")</f>
        <v/>
      </c>
      <c r="K55" s="5">
        <f>IFERROR(AVERAGEIFS(交易明細!$K$2:$K$509,交易明細!$B$2:$B$509,$A55,交易明細!$J$2:$J$509,"&lt;&gt;未平倉"),0)</f>
        <v/>
      </c>
      <c r="L55" s="2">
        <f>COUNTIFS(交易明細!$B$2:$B$509,$A55,交易明細!$J$2:$J$509,"未平倉")</f>
        <v/>
      </c>
    </row>
    <row r="56">
      <c r="A56" s="2" t="inlineStr">
        <is>
          <t>PIEVERSE_USDT_PERP</t>
        </is>
      </c>
      <c r="B56" s="2">
        <f>COUNTIFS(交易明細!$B$2:$B$509,$A56)</f>
        <v/>
      </c>
      <c r="C56" s="2">
        <f>COUNTIFS(交易明細!$B$2:$B$509,$A56,交易明細!$C$2:$C$509,"做多")</f>
        <v/>
      </c>
      <c r="D56" s="2">
        <f>COUNTIFS(交易明細!$B$2:$B$509,$A56,交易明細!$C$2:$C$509,"做空")</f>
        <v/>
      </c>
      <c r="E56" s="2">
        <f>F56+G56+COUNTIFS(交易明細!$B$2:$B$509,$A56,交易明細!$J$2:$J$509,"時間出場")</f>
        <v/>
      </c>
      <c r="F56" s="2">
        <f>COUNTIFS(交易明細!$B$2:$B$509,$A56,交易明細!$J$2:$J$509,"止盈")</f>
        <v/>
      </c>
      <c r="G56" s="2">
        <f>COUNTIFS(交易明細!$B$2:$B$509,$A56,交易明細!$J$2:$J$509,"止損")</f>
        <v/>
      </c>
      <c r="H56" s="4">
        <f>IFERROR(F56/E56,0)</f>
        <v/>
      </c>
      <c r="I56" s="4">
        <f>IFERROR(AVERAGEIFS(交易明細!$L$2:$L$509,交易明細!$B$2:$B$509,$A56,交易明細!$J$2:$J$509,"&lt;&gt;未平倉"),0)</f>
        <v/>
      </c>
      <c r="J56" s="4">
        <f>SUMIFS(交易明細!$L$2:$L$509,交易明細!$B$2:$B$509,$A56,交易明細!$J$2:$J$509,"&lt;&gt;未平倉")</f>
        <v/>
      </c>
      <c r="K56" s="5">
        <f>IFERROR(AVERAGEIFS(交易明細!$K$2:$K$509,交易明細!$B$2:$B$509,$A56,交易明細!$J$2:$J$509,"&lt;&gt;未平倉"),0)</f>
        <v/>
      </c>
      <c r="L56" s="2">
        <f>COUNTIFS(交易明細!$B$2:$B$509,$A56,交易明細!$J$2:$J$509,"未平倉")</f>
        <v/>
      </c>
    </row>
    <row r="57">
      <c r="A57" s="2" t="inlineStr">
        <is>
          <t>AR_USDT_PERP</t>
        </is>
      </c>
      <c r="B57" s="2">
        <f>COUNTIFS(交易明細!$B$2:$B$509,$A57)</f>
        <v/>
      </c>
      <c r="C57" s="2">
        <f>COUNTIFS(交易明細!$B$2:$B$509,$A57,交易明細!$C$2:$C$509,"做多")</f>
        <v/>
      </c>
      <c r="D57" s="2">
        <f>COUNTIFS(交易明細!$B$2:$B$509,$A57,交易明細!$C$2:$C$509,"做空")</f>
        <v/>
      </c>
      <c r="E57" s="2">
        <f>F57+G57+COUNTIFS(交易明細!$B$2:$B$509,$A57,交易明細!$J$2:$J$509,"時間出場")</f>
        <v/>
      </c>
      <c r="F57" s="2">
        <f>COUNTIFS(交易明細!$B$2:$B$509,$A57,交易明細!$J$2:$J$509,"止盈")</f>
        <v/>
      </c>
      <c r="G57" s="2">
        <f>COUNTIFS(交易明細!$B$2:$B$509,$A57,交易明細!$J$2:$J$509,"止損")</f>
        <v/>
      </c>
      <c r="H57" s="4">
        <f>IFERROR(F57/E57,0)</f>
        <v/>
      </c>
      <c r="I57" s="4">
        <f>IFERROR(AVERAGEIFS(交易明細!$L$2:$L$509,交易明細!$B$2:$B$509,$A57,交易明細!$J$2:$J$509,"&lt;&gt;未平倉"),0)</f>
        <v/>
      </c>
      <c r="J57" s="4">
        <f>SUMIFS(交易明細!$L$2:$L$509,交易明細!$B$2:$B$509,$A57,交易明細!$J$2:$J$509,"&lt;&gt;未平倉")</f>
        <v/>
      </c>
      <c r="K57" s="5">
        <f>IFERROR(AVERAGEIFS(交易明細!$K$2:$K$509,交易明細!$B$2:$B$509,$A57,交易明細!$J$2:$J$509,"&lt;&gt;未平倉"),0)</f>
        <v/>
      </c>
      <c r="L57" s="2">
        <f>COUNTIFS(交易明細!$B$2:$B$509,$A57,交易明細!$J$2:$J$509,"未平倉")</f>
        <v/>
      </c>
    </row>
    <row r="58">
      <c r="A58" s="2" t="inlineStr">
        <is>
          <t>ZETA_USDT_PERP</t>
        </is>
      </c>
      <c r="B58" s="2">
        <f>COUNTIFS(交易明細!$B$2:$B$509,$A58)</f>
        <v/>
      </c>
      <c r="C58" s="2">
        <f>COUNTIFS(交易明細!$B$2:$B$509,$A58,交易明細!$C$2:$C$509,"做多")</f>
        <v/>
      </c>
      <c r="D58" s="2">
        <f>COUNTIFS(交易明細!$B$2:$B$509,$A58,交易明細!$C$2:$C$509,"做空")</f>
        <v/>
      </c>
      <c r="E58" s="2">
        <f>F58+G58+COUNTIFS(交易明細!$B$2:$B$509,$A58,交易明細!$J$2:$J$509,"時間出場")</f>
        <v/>
      </c>
      <c r="F58" s="2">
        <f>COUNTIFS(交易明細!$B$2:$B$509,$A58,交易明細!$J$2:$J$509,"止盈")</f>
        <v/>
      </c>
      <c r="G58" s="2">
        <f>COUNTIFS(交易明細!$B$2:$B$509,$A58,交易明細!$J$2:$J$509,"止損")</f>
        <v/>
      </c>
      <c r="H58" s="4">
        <f>IFERROR(F58/E58,0)</f>
        <v/>
      </c>
      <c r="I58" s="4">
        <f>IFERROR(AVERAGEIFS(交易明細!$L$2:$L$509,交易明細!$B$2:$B$509,$A58,交易明細!$J$2:$J$509,"&lt;&gt;未平倉"),0)</f>
        <v/>
      </c>
      <c r="J58" s="4">
        <f>SUMIFS(交易明細!$L$2:$L$509,交易明細!$B$2:$B$509,$A58,交易明細!$J$2:$J$509,"&lt;&gt;未平倉")</f>
        <v/>
      </c>
      <c r="K58" s="5">
        <f>IFERROR(AVERAGEIFS(交易明細!$K$2:$K$509,交易明細!$B$2:$B$509,$A58,交易明細!$J$2:$J$509,"&lt;&gt;未平倉"),0)</f>
        <v/>
      </c>
      <c r="L58" s="2">
        <f>COUNTIFS(交易明細!$B$2:$B$509,$A58,交易明細!$J$2:$J$509,"未平倉")</f>
        <v/>
      </c>
    </row>
    <row r="59">
      <c r="A59" s="2" t="inlineStr">
        <is>
          <t>WIF_USDT_PERP</t>
        </is>
      </c>
      <c r="B59" s="2">
        <f>COUNTIFS(交易明細!$B$2:$B$509,$A59)</f>
        <v/>
      </c>
      <c r="C59" s="2">
        <f>COUNTIFS(交易明細!$B$2:$B$509,$A59,交易明細!$C$2:$C$509,"做多")</f>
        <v/>
      </c>
      <c r="D59" s="2">
        <f>COUNTIFS(交易明細!$B$2:$B$509,$A59,交易明細!$C$2:$C$509,"做空")</f>
        <v/>
      </c>
      <c r="E59" s="2">
        <f>F59+G59+COUNTIFS(交易明細!$B$2:$B$509,$A59,交易明細!$J$2:$J$509,"時間出場")</f>
        <v/>
      </c>
      <c r="F59" s="2">
        <f>COUNTIFS(交易明細!$B$2:$B$509,$A59,交易明細!$J$2:$J$509,"止盈")</f>
        <v/>
      </c>
      <c r="G59" s="2">
        <f>COUNTIFS(交易明細!$B$2:$B$509,$A59,交易明細!$J$2:$J$509,"止損")</f>
        <v/>
      </c>
      <c r="H59" s="4">
        <f>IFERROR(F59/E59,0)</f>
        <v/>
      </c>
      <c r="I59" s="4">
        <f>IFERROR(AVERAGEIFS(交易明細!$L$2:$L$509,交易明細!$B$2:$B$509,$A59,交易明細!$J$2:$J$509,"&lt;&gt;未平倉"),0)</f>
        <v/>
      </c>
      <c r="J59" s="4">
        <f>SUMIFS(交易明細!$L$2:$L$509,交易明細!$B$2:$B$509,$A59,交易明細!$J$2:$J$509,"&lt;&gt;未平倉")</f>
        <v/>
      </c>
      <c r="K59" s="5">
        <f>IFERROR(AVERAGEIFS(交易明細!$K$2:$K$509,交易明細!$B$2:$B$509,$A59,交易明細!$J$2:$J$509,"&lt;&gt;未平倉"),0)</f>
        <v/>
      </c>
      <c r="L59" s="2">
        <f>COUNTIFS(交易明細!$B$2:$B$509,$A59,交易明細!$J$2:$J$509,"未平倉")</f>
        <v/>
      </c>
    </row>
    <row r="60">
      <c r="A60" s="2" t="inlineStr">
        <is>
          <t>BCH_USDT_PERP</t>
        </is>
      </c>
      <c r="B60" s="2">
        <f>COUNTIFS(交易明細!$B$2:$B$509,$A60)</f>
        <v/>
      </c>
      <c r="C60" s="2">
        <f>COUNTIFS(交易明細!$B$2:$B$509,$A60,交易明細!$C$2:$C$509,"做多")</f>
        <v/>
      </c>
      <c r="D60" s="2">
        <f>COUNTIFS(交易明細!$B$2:$B$509,$A60,交易明細!$C$2:$C$509,"做空")</f>
        <v/>
      </c>
      <c r="E60" s="2">
        <f>F60+G60+COUNTIFS(交易明細!$B$2:$B$509,$A60,交易明細!$J$2:$J$509,"時間出場")</f>
        <v/>
      </c>
      <c r="F60" s="2">
        <f>COUNTIFS(交易明細!$B$2:$B$509,$A60,交易明細!$J$2:$J$509,"止盈")</f>
        <v/>
      </c>
      <c r="G60" s="2">
        <f>COUNTIFS(交易明細!$B$2:$B$509,$A60,交易明細!$J$2:$J$509,"止損")</f>
        <v/>
      </c>
      <c r="H60" s="4">
        <f>IFERROR(F60/E60,0)</f>
        <v/>
      </c>
      <c r="I60" s="4">
        <f>IFERROR(AVERAGEIFS(交易明細!$L$2:$L$509,交易明細!$B$2:$B$509,$A60,交易明細!$J$2:$J$509,"&lt;&gt;未平倉"),0)</f>
        <v/>
      </c>
      <c r="J60" s="4">
        <f>SUMIFS(交易明細!$L$2:$L$509,交易明細!$B$2:$B$509,$A60,交易明細!$J$2:$J$509,"&lt;&gt;未平倉")</f>
        <v/>
      </c>
      <c r="K60" s="5">
        <f>IFERROR(AVERAGEIFS(交易明細!$K$2:$K$509,交易明細!$B$2:$B$509,$A60,交易明細!$J$2:$J$509,"&lt;&gt;未平倉"),0)</f>
        <v/>
      </c>
      <c r="L60" s="2">
        <f>COUNTIFS(交易明細!$B$2:$B$509,$A60,交易明細!$J$2:$J$509,"未平倉")</f>
        <v/>
      </c>
    </row>
    <row r="61">
      <c r="A61" s="2" t="inlineStr">
        <is>
          <t>PYTH_USDT_PERP</t>
        </is>
      </c>
      <c r="B61" s="2">
        <f>COUNTIFS(交易明細!$B$2:$B$509,$A61)</f>
        <v/>
      </c>
      <c r="C61" s="2">
        <f>COUNTIFS(交易明細!$B$2:$B$509,$A61,交易明細!$C$2:$C$509,"做多")</f>
        <v/>
      </c>
      <c r="D61" s="2">
        <f>COUNTIFS(交易明細!$B$2:$B$509,$A61,交易明細!$C$2:$C$509,"做空")</f>
        <v/>
      </c>
      <c r="E61" s="2">
        <f>F61+G61+COUNTIFS(交易明細!$B$2:$B$509,$A61,交易明細!$J$2:$J$509,"時間出場")</f>
        <v/>
      </c>
      <c r="F61" s="2">
        <f>COUNTIFS(交易明細!$B$2:$B$509,$A61,交易明細!$J$2:$J$509,"止盈")</f>
        <v/>
      </c>
      <c r="G61" s="2">
        <f>COUNTIFS(交易明細!$B$2:$B$509,$A61,交易明細!$J$2:$J$509,"止損")</f>
        <v/>
      </c>
      <c r="H61" s="4">
        <f>IFERROR(F61/E61,0)</f>
        <v/>
      </c>
      <c r="I61" s="4">
        <f>IFERROR(AVERAGEIFS(交易明細!$L$2:$L$509,交易明細!$B$2:$B$509,$A61,交易明細!$J$2:$J$509,"&lt;&gt;未平倉"),0)</f>
        <v/>
      </c>
      <c r="J61" s="4">
        <f>SUMIFS(交易明細!$L$2:$L$509,交易明細!$B$2:$B$509,$A61,交易明細!$J$2:$J$509,"&lt;&gt;未平倉")</f>
        <v/>
      </c>
      <c r="K61" s="5">
        <f>IFERROR(AVERAGEIFS(交易明細!$K$2:$K$509,交易明細!$B$2:$B$509,$A61,交易明細!$J$2:$J$509,"&lt;&gt;未平倉"),0)</f>
        <v/>
      </c>
      <c r="L61" s="2">
        <f>COUNTIFS(交易明細!$B$2:$B$509,$A61,交易明細!$J$2:$J$509,"未平倉")</f>
        <v/>
      </c>
    </row>
    <row r="62">
      <c r="A62" s="2" t="inlineStr">
        <is>
          <t>ZRO_USDT_PERP</t>
        </is>
      </c>
      <c r="B62" s="2">
        <f>COUNTIFS(交易明細!$B$2:$B$509,$A62)</f>
        <v/>
      </c>
      <c r="C62" s="2">
        <f>COUNTIFS(交易明細!$B$2:$B$509,$A62,交易明細!$C$2:$C$509,"做多")</f>
        <v/>
      </c>
      <c r="D62" s="2">
        <f>COUNTIFS(交易明細!$B$2:$B$509,$A62,交易明細!$C$2:$C$509,"做空")</f>
        <v/>
      </c>
      <c r="E62" s="2">
        <f>F62+G62+COUNTIFS(交易明細!$B$2:$B$509,$A62,交易明細!$J$2:$J$509,"時間出場")</f>
        <v/>
      </c>
      <c r="F62" s="2">
        <f>COUNTIFS(交易明細!$B$2:$B$509,$A62,交易明細!$J$2:$J$509,"止盈")</f>
        <v/>
      </c>
      <c r="G62" s="2">
        <f>COUNTIFS(交易明細!$B$2:$B$509,$A62,交易明細!$J$2:$J$509,"止損")</f>
        <v/>
      </c>
      <c r="H62" s="4">
        <f>IFERROR(F62/E62,0)</f>
        <v/>
      </c>
      <c r="I62" s="4">
        <f>IFERROR(AVERAGEIFS(交易明細!$L$2:$L$509,交易明細!$B$2:$B$509,$A62,交易明細!$J$2:$J$509,"&lt;&gt;未平倉"),0)</f>
        <v/>
      </c>
      <c r="J62" s="4">
        <f>SUMIFS(交易明細!$L$2:$L$509,交易明細!$B$2:$B$509,$A62,交易明細!$J$2:$J$509,"&lt;&gt;未平倉")</f>
        <v/>
      </c>
      <c r="K62" s="5">
        <f>IFERROR(AVERAGEIFS(交易明細!$K$2:$K$509,交易明細!$B$2:$B$509,$A62,交易明細!$J$2:$J$509,"&lt;&gt;未平倉"),0)</f>
        <v/>
      </c>
      <c r="L62" s="2">
        <f>COUNTIFS(交易明細!$B$2:$B$509,$A62,交易明細!$J$2:$J$509,"未平倉")</f>
        <v/>
      </c>
    </row>
    <row r="63">
      <c r="A63" s="2" t="inlineStr">
        <is>
          <t>QNT_USDT_PERP</t>
        </is>
      </c>
      <c r="B63" s="2">
        <f>COUNTIFS(交易明細!$B$2:$B$509,$A63)</f>
        <v/>
      </c>
      <c r="C63" s="2">
        <f>COUNTIFS(交易明細!$B$2:$B$509,$A63,交易明細!$C$2:$C$509,"做多")</f>
        <v/>
      </c>
      <c r="D63" s="2">
        <f>COUNTIFS(交易明細!$B$2:$B$509,$A63,交易明細!$C$2:$C$509,"做空")</f>
        <v/>
      </c>
      <c r="E63" s="2">
        <f>F63+G63+COUNTIFS(交易明細!$B$2:$B$509,$A63,交易明細!$J$2:$J$509,"時間出場")</f>
        <v/>
      </c>
      <c r="F63" s="2">
        <f>COUNTIFS(交易明細!$B$2:$B$509,$A63,交易明細!$J$2:$J$509,"止盈")</f>
        <v/>
      </c>
      <c r="G63" s="2">
        <f>COUNTIFS(交易明細!$B$2:$B$509,$A63,交易明細!$J$2:$J$509,"止損")</f>
        <v/>
      </c>
      <c r="H63" s="4">
        <f>IFERROR(F63/E63,0)</f>
        <v/>
      </c>
      <c r="I63" s="4">
        <f>IFERROR(AVERAGEIFS(交易明細!$L$2:$L$509,交易明細!$B$2:$B$509,$A63,交易明細!$J$2:$J$509,"&lt;&gt;未平倉"),0)</f>
        <v/>
      </c>
      <c r="J63" s="4">
        <f>SUMIFS(交易明細!$L$2:$L$509,交易明細!$B$2:$B$509,$A63,交易明細!$J$2:$J$509,"&lt;&gt;未平倉")</f>
        <v/>
      </c>
      <c r="K63" s="5">
        <f>IFERROR(AVERAGEIFS(交易明細!$K$2:$K$509,交易明細!$B$2:$B$509,$A63,交易明細!$J$2:$J$509,"&lt;&gt;未平倉"),0)</f>
        <v/>
      </c>
      <c r="L63" s="2">
        <f>COUNTIFS(交易明細!$B$2:$B$509,$A63,交易明細!$J$2:$J$509,"未平倉")</f>
        <v/>
      </c>
    </row>
    <row r="64">
      <c r="A64" s="2" t="inlineStr">
        <is>
          <t>LYN_USDT_PERP</t>
        </is>
      </c>
      <c r="B64" s="2">
        <f>COUNTIFS(交易明細!$B$2:$B$509,$A64)</f>
        <v/>
      </c>
      <c r="C64" s="2">
        <f>COUNTIFS(交易明細!$B$2:$B$509,$A64,交易明細!$C$2:$C$509,"做多")</f>
        <v/>
      </c>
      <c r="D64" s="2">
        <f>COUNTIFS(交易明細!$B$2:$B$509,$A64,交易明細!$C$2:$C$509,"做空")</f>
        <v/>
      </c>
      <c r="E64" s="2">
        <f>F64+G64+COUNTIFS(交易明細!$B$2:$B$509,$A64,交易明細!$J$2:$J$509,"時間出場")</f>
        <v/>
      </c>
      <c r="F64" s="2">
        <f>COUNTIFS(交易明細!$B$2:$B$509,$A64,交易明細!$J$2:$J$509,"止盈")</f>
        <v/>
      </c>
      <c r="G64" s="2">
        <f>COUNTIFS(交易明細!$B$2:$B$509,$A64,交易明細!$J$2:$J$509,"止損")</f>
        <v/>
      </c>
      <c r="H64" s="4">
        <f>IFERROR(F64/E64,0)</f>
        <v/>
      </c>
      <c r="I64" s="4">
        <f>IFERROR(AVERAGEIFS(交易明細!$L$2:$L$509,交易明細!$B$2:$B$509,$A64,交易明細!$J$2:$J$509,"&lt;&gt;未平倉"),0)</f>
        <v/>
      </c>
      <c r="J64" s="4">
        <f>SUMIFS(交易明細!$L$2:$L$509,交易明細!$B$2:$B$509,$A64,交易明細!$J$2:$J$509,"&lt;&gt;未平倉")</f>
        <v/>
      </c>
      <c r="K64" s="5">
        <f>IFERROR(AVERAGEIFS(交易明細!$K$2:$K$509,交易明細!$B$2:$B$509,$A64,交易明細!$J$2:$J$509,"&lt;&gt;未平倉"),0)</f>
        <v/>
      </c>
      <c r="L64" s="2">
        <f>COUNTIFS(交易明細!$B$2:$B$509,$A64,交易明細!$J$2:$J$509,"未平倉")</f>
        <v/>
      </c>
    </row>
    <row r="65">
      <c r="A65" s="2" t="inlineStr">
        <is>
          <t>CRV_USDT_PERP</t>
        </is>
      </c>
      <c r="B65" s="2">
        <f>COUNTIFS(交易明細!$B$2:$B$509,$A65)</f>
        <v/>
      </c>
      <c r="C65" s="2">
        <f>COUNTIFS(交易明細!$B$2:$B$509,$A65,交易明細!$C$2:$C$509,"做多")</f>
        <v/>
      </c>
      <c r="D65" s="2">
        <f>COUNTIFS(交易明細!$B$2:$B$509,$A65,交易明細!$C$2:$C$509,"做空")</f>
        <v/>
      </c>
      <c r="E65" s="2">
        <f>F65+G65+COUNTIFS(交易明細!$B$2:$B$509,$A65,交易明細!$J$2:$J$509,"時間出場")</f>
        <v/>
      </c>
      <c r="F65" s="2">
        <f>COUNTIFS(交易明細!$B$2:$B$509,$A65,交易明細!$J$2:$J$509,"止盈")</f>
        <v/>
      </c>
      <c r="G65" s="2">
        <f>COUNTIFS(交易明細!$B$2:$B$509,$A65,交易明細!$J$2:$J$509,"止損")</f>
        <v/>
      </c>
      <c r="H65" s="4">
        <f>IFERROR(F65/E65,0)</f>
        <v/>
      </c>
      <c r="I65" s="4">
        <f>IFERROR(AVERAGEIFS(交易明細!$L$2:$L$509,交易明細!$B$2:$B$509,$A65,交易明細!$J$2:$J$509,"&lt;&gt;未平倉"),0)</f>
        <v/>
      </c>
      <c r="J65" s="4">
        <f>SUMIFS(交易明細!$L$2:$L$509,交易明細!$B$2:$B$509,$A65,交易明細!$J$2:$J$509,"&lt;&gt;未平倉")</f>
        <v/>
      </c>
      <c r="K65" s="5">
        <f>IFERROR(AVERAGEIFS(交易明細!$K$2:$K$509,交易明細!$B$2:$B$509,$A65,交易明細!$J$2:$J$509,"&lt;&gt;未平倉"),0)</f>
        <v/>
      </c>
      <c r="L65" s="2">
        <f>COUNTIFS(交易明細!$B$2:$B$509,$A65,交易明細!$J$2:$J$509,"未平倉")</f>
        <v/>
      </c>
    </row>
    <row r="66">
      <c r="A66" s="2" t="inlineStr">
        <is>
          <t>MAGMA_USDT_PERP</t>
        </is>
      </c>
      <c r="B66" s="2">
        <f>COUNTIFS(交易明細!$B$2:$B$509,$A66)</f>
        <v/>
      </c>
      <c r="C66" s="2">
        <f>COUNTIFS(交易明細!$B$2:$B$509,$A66,交易明細!$C$2:$C$509,"做多")</f>
        <v/>
      </c>
      <c r="D66" s="2">
        <f>COUNTIFS(交易明細!$B$2:$B$509,$A66,交易明細!$C$2:$C$509,"做空")</f>
        <v/>
      </c>
      <c r="E66" s="2">
        <f>F66+G66+COUNTIFS(交易明細!$B$2:$B$509,$A66,交易明細!$J$2:$J$509,"時間出場")</f>
        <v/>
      </c>
      <c r="F66" s="2">
        <f>COUNTIFS(交易明細!$B$2:$B$509,$A66,交易明細!$J$2:$J$509,"止盈")</f>
        <v/>
      </c>
      <c r="G66" s="2">
        <f>COUNTIFS(交易明細!$B$2:$B$509,$A66,交易明細!$J$2:$J$509,"止損")</f>
        <v/>
      </c>
      <c r="H66" s="4">
        <f>IFERROR(F66/E66,0)</f>
        <v/>
      </c>
      <c r="I66" s="4">
        <f>IFERROR(AVERAGEIFS(交易明細!$L$2:$L$509,交易明細!$B$2:$B$509,$A66,交易明細!$J$2:$J$509,"&lt;&gt;未平倉"),0)</f>
        <v/>
      </c>
      <c r="J66" s="4">
        <f>SUMIFS(交易明細!$L$2:$L$509,交易明細!$B$2:$B$509,$A66,交易明細!$J$2:$J$509,"&lt;&gt;未平倉")</f>
        <v/>
      </c>
      <c r="K66" s="5">
        <f>IFERROR(AVERAGEIFS(交易明細!$K$2:$K$509,交易明細!$B$2:$B$509,$A66,交易明細!$J$2:$J$509,"&lt;&gt;未平倉"),0)</f>
        <v/>
      </c>
      <c r="L66" s="2">
        <f>COUNTIFS(交易明細!$B$2:$B$509,$A66,交易明細!$J$2:$J$509,"未平倉")</f>
        <v/>
      </c>
    </row>
    <row r="67">
      <c r="A67" s="2" t="inlineStr">
        <is>
          <t>TRUMP_USDT_PERP</t>
        </is>
      </c>
      <c r="B67" s="2">
        <f>COUNTIFS(交易明細!$B$2:$B$509,$A67)</f>
        <v/>
      </c>
      <c r="C67" s="2">
        <f>COUNTIFS(交易明細!$B$2:$B$509,$A67,交易明細!$C$2:$C$509,"做多")</f>
        <v/>
      </c>
      <c r="D67" s="2">
        <f>COUNTIFS(交易明細!$B$2:$B$509,$A67,交易明細!$C$2:$C$509,"做空")</f>
        <v/>
      </c>
      <c r="E67" s="2">
        <f>F67+G67+COUNTIFS(交易明細!$B$2:$B$509,$A67,交易明細!$J$2:$J$509,"時間出場")</f>
        <v/>
      </c>
      <c r="F67" s="2">
        <f>COUNTIFS(交易明細!$B$2:$B$509,$A67,交易明細!$J$2:$J$509,"止盈")</f>
        <v/>
      </c>
      <c r="G67" s="2">
        <f>COUNTIFS(交易明細!$B$2:$B$509,$A67,交易明細!$J$2:$J$509,"止損")</f>
        <v/>
      </c>
      <c r="H67" s="4">
        <f>IFERROR(F67/E67,0)</f>
        <v/>
      </c>
      <c r="I67" s="4">
        <f>IFERROR(AVERAGEIFS(交易明細!$L$2:$L$509,交易明細!$B$2:$B$509,$A67,交易明細!$J$2:$J$509,"&lt;&gt;未平倉"),0)</f>
        <v/>
      </c>
      <c r="J67" s="4">
        <f>SUMIFS(交易明細!$L$2:$L$509,交易明細!$B$2:$B$509,$A67,交易明細!$J$2:$J$509,"&lt;&gt;未平倉")</f>
        <v/>
      </c>
      <c r="K67" s="5">
        <f>IFERROR(AVERAGEIFS(交易明細!$K$2:$K$509,交易明細!$B$2:$B$509,$A67,交易明細!$J$2:$J$509,"&lt;&gt;未平倉"),0)</f>
        <v/>
      </c>
      <c r="L67" s="2">
        <f>COUNTIFS(交易明細!$B$2:$B$509,$A67,交易明細!$J$2:$J$509,"未平倉")</f>
        <v/>
      </c>
    </row>
    <row r="68">
      <c r="A68" s="2" t="inlineStr">
        <is>
          <t>CHIP_USDT_PERP</t>
        </is>
      </c>
      <c r="B68" s="2">
        <f>COUNTIFS(交易明細!$B$2:$B$509,$A68)</f>
        <v/>
      </c>
      <c r="C68" s="2">
        <f>COUNTIFS(交易明細!$B$2:$B$509,$A68,交易明細!$C$2:$C$509,"做多")</f>
        <v/>
      </c>
      <c r="D68" s="2">
        <f>COUNTIFS(交易明細!$B$2:$B$509,$A68,交易明細!$C$2:$C$509,"做空")</f>
        <v/>
      </c>
      <c r="E68" s="2">
        <f>F68+G68+COUNTIFS(交易明細!$B$2:$B$509,$A68,交易明細!$J$2:$J$509,"時間出場")</f>
        <v/>
      </c>
      <c r="F68" s="2">
        <f>COUNTIFS(交易明細!$B$2:$B$509,$A68,交易明細!$J$2:$J$509,"止盈")</f>
        <v/>
      </c>
      <c r="G68" s="2">
        <f>COUNTIFS(交易明細!$B$2:$B$509,$A68,交易明細!$J$2:$J$509,"止損")</f>
        <v/>
      </c>
      <c r="H68" s="4">
        <f>IFERROR(F68/E68,0)</f>
        <v/>
      </c>
      <c r="I68" s="4">
        <f>IFERROR(AVERAGEIFS(交易明細!$L$2:$L$509,交易明細!$B$2:$B$509,$A68,交易明細!$J$2:$J$509,"&lt;&gt;未平倉"),0)</f>
        <v/>
      </c>
      <c r="J68" s="4">
        <f>SUMIFS(交易明細!$L$2:$L$509,交易明細!$B$2:$B$509,$A68,交易明細!$J$2:$J$509,"&lt;&gt;未平倉")</f>
        <v/>
      </c>
      <c r="K68" s="5">
        <f>IFERROR(AVERAGEIFS(交易明細!$K$2:$K$509,交易明細!$B$2:$B$509,$A68,交易明細!$J$2:$J$509,"&lt;&gt;未平倉"),0)</f>
        <v/>
      </c>
      <c r="L68" s="2">
        <f>COUNTIFS(交易明細!$B$2:$B$509,$A68,交易明細!$J$2:$J$509,"未平倉")</f>
        <v/>
      </c>
    </row>
    <row r="69">
      <c r="A69" s="2" t="inlineStr">
        <is>
          <t>FARTCOIN_USDT_PERP</t>
        </is>
      </c>
      <c r="B69" s="2">
        <f>COUNTIFS(交易明細!$B$2:$B$509,$A69)</f>
        <v/>
      </c>
      <c r="C69" s="2">
        <f>COUNTIFS(交易明細!$B$2:$B$509,$A69,交易明細!$C$2:$C$509,"做多")</f>
        <v/>
      </c>
      <c r="D69" s="2">
        <f>COUNTIFS(交易明細!$B$2:$B$509,$A69,交易明細!$C$2:$C$509,"做空")</f>
        <v/>
      </c>
      <c r="E69" s="2">
        <f>F69+G69+COUNTIFS(交易明細!$B$2:$B$509,$A69,交易明細!$J$2:$J$509,"時間出場")</f>
        <v/>
      </c>
      <c r="F69" s="2">
        <f>COUNTIFS(交易明細!$B$2:$B$509,$A69,交易明細!$J$2:$J$509,"止盈")</f>
        <v/>
      </c>
      <c r="G69" s="2">
        <f>COUNTIFS(交易明細!$B$2:$B$509,$A69,交易明細!$J$2:$J$509,"止損")</f>
        <v/>
      </c>
      <c r="H69" s="4">
        <f>IFERROR(F69/E69,0)</f>
        <v/>
      </c>
      <c r="I69" s="4">
        <f>IFERROR(AVERAGEIFS(交易明細!$L$2:$L$509,交易明細!$B$2:$B$509,$A69,交易明細!$J$2:$J$509,"&lt;&gt;未平倉"),0)</f>
        <v/>
      </c>
      <c r="J69" s="4">
        <f>SUMIFS(交易明細!$L$2:$L$509,交易明細!$B$2:$B$509,$A69,交易明細!$J$2:$J$509,"&lt;&gt;未平倉")</f>
        <v/>
      </c>
      <c r="K69" s="5">
        <f>IFERROR(AVERAGEIFS(交易明細!$K$2:$K$509,交易明細!$B$2:$B$509,$A69,交易明細!$J$2:$J$509,"&lt;&gt;未平倉"),0)</f>
        <v/>
      </c>
      <c r="L69" s="2">
        <f>COUNTIFS(交易明細!$B$2:$B$509,$A69,交易明細!$J$2:$J$509,"未平倉")</f>
        <v/>
      </c>
    </row>
    <row r="70">
      <c r="A70" s="2" t="inlineStr">
        <is>
          <t>TRIA_USDT_PERP</t>
        </is>
      </c>
      <c r="B70" s="2">
        <f>COUNTIFS(交易明細!$B$2:$B$509,$A70)</f>
        <v/>
      </c>
      <c r="C70" s="2">
        <f>COUNTIFS(交易明細!$B$2:$B$509,$A70,交易明細!$C$2:$C$509,"做多")</f>
        <v/>
      </c>
      <c r="D70" s="2">
        <f>COUNTIFS(交易明細!$B$2:$B$509,$A70,交易明細!$C$2:$C$509,"做空")</f>
        <v/>
      </c>
      <c r="E70" s="2">
        <f>F70+G70+COUNTIFS(交易明細!$B$2:$B$509,$A70,交易明細!$J$2:$J$509,"時間出場")</f>
        <v/>
      </c>
      <c r="F70" s="2">
        <f>COUNTIFS(交易明細!$B$2:$B$509,$A70,交易明細!$J$2:$J$509,"止盈")</f>
        <v/>
      </c>
      <c r="G70" s="2">
        <f>COUNTIFS(交易明細!$B$2:$B$509,$A70,交易明細!$J$2:$J$509,"止損")</f>
        <v/>
      </c>
      <c r="H70" s="4">
        <f>IFERROR(F70/E70,0)</f>
        <v/>
      </c>
      <c r="I70" s="4">
        <f>IFERROR(AVERAGEIFS(交易明細!$L$2:$L$509,交易明細!$B$2:$B$509,$A70,交易明細!$J$2:$J$509,"&lt;&gt;未平倉"),0)</f>
        <v/>
      </c>
      <c r="J70" s="4">
        <f>SUMIFS(交易明細!$L$2:$L$509,交易明細!$B$2:$B$509,$A70,交易明細!$J$2:$J$509,"&lt;&gt;未平倉")</f>
        <v/>
      </c>
      <c r="K70" s="5">
        <f>IFERROR(AVERAGEIFS(交易明細!$K$2:$K$509,交易明細!$B$2:$B$509,$A70,交易明細!$J$2:$J$509,"&lt;&gt;未平倉"),0)</f>
        <v/>
      </c>
      <c r="L70" s="2">
        <f>COUNTIFS(交易明細!$B$2:$B$509,$A70,交易明細!$J$2:$J$509,"未平倉")</f>
        <v/>
      </c>
    </row>
    <row r="71">
      <c r="A71" s="2" t="inlineStr">
        <is>
          <t>KAS_USDT_PERP</t>
        </is>
      </c>
      <c r="B71" s="2">
        <f>COUNTIFS(交易明細!$B$2:$B$509,$A71)</f>
        <v/>
      </c>
      <c r="C71" s="2">
        <f>COUNTIFS(交易明細!$B$2:$B$509,$A71,交易明細!$C$2:$C$509,"做多")</f>
        <v/>
      </c>
      <c r="D71" s="2">
        <f>COUNTIFS(交易明細!$B$2:$B$509,$A71,交易明細!$C$2:$C$509,"做空")</f>
        <v/>
      </c>
      <c r="E71" s="2">
        <f>F71+G71+COUNTIFS(交易明細!$B$2:$B$509,$A71,交易明細!$J$2:$J$509,"時間出場")</f>
        <v/>
      </c>
      <c r="F71" s="2">
        <f>COUNTIFS(交易明細!$B$2:$B$509,$A71,交易明細!$J$2:$J$509,"止盈")</f>
        <v/>
      </c>
      <c r="G71" s="2">
        <f>COUNTIFS(交易明細!$B$2:$B$509,$A71,交易明細!$J$2:$J$509,"止損")</f>
        <v/>
      </c>
      <c r="H71" s="4">
        <f>IFERROR(F71/E71,0)</f>
        <v/>
      </c>
      <c r="I71" s="4">
        <f>IFERROR(AVERAGEIFS(交易明細!$L$2:$L$509,交易明細!$B$2:$B$509,$A71,交易明細!$J$2:$J$509,"&lt;&gt;未平倉"),0)</f>
        <v/>
      </c>
      <c r="J71" s="4">
        <f>SUMIFS(交易明細!$L$2:$L$509,交易明細!$B$2:$B$509,$A71,交易明細!$J$2:$J$509,"&lt;&gt;未平倉")</f>
        <v/>
      </c>
      <c r="K71" s="5">
        <f>IFERROR(AVERAGEIFS(交易明細!$K$2:$K$509,交易明細!$B$2:$B$509,$A71,交易明細!$J$2:$J$509,"&lt;&gt;未平倉"),0)</f>
        <v/>
      </c>
      <c r="L71" s="2">
        <f>COUNTIFS(交易明細!$B$2:$B$509,$A71,交易明細!$J$2:$J$509,"未平倉")</f>
        <v/>
      </c>
    </row>
    <row r="72">
      <c r="A72" s="2" t="inlineStr">
        <is>
          <t>CASHCAT_USDT_PERP</t>
        </is>
      </c>
      <c r="B72" s="2">
        <f>COUNTIFS(交易明細!$B$2:$B$509,$A72)</f>
        <v/>
      </c>
      <c r="C72" s="2">
        <f>COUNTIFS(交易明細!$B$2:$B$509,$A72,交易明細!$C$2:$C$509,"做多")</f>
        <v/>
      </c>
      <c r="D72" s="2">
        <f>COUNTIFS(交易明細!$B$2:$B$509,$A72,交易明細!$C$2:$C$509,"做空")</f>
        <v/>
      </c>
      <c r="E72" s="2">
        <f>F72+G72+COUNTIFS(交易明細!$B$2:$B$509,$A72,交易明細!$J$2:$J$509,"時間出場")</f>
        <v/>
      </c>
      <c r="F72" s="2">
        <f>COUNTIFS(交易明細!$B$2:$B$509,$A72,交易明細!$J$2:$J$509,"止盈")</f>
        <v/>
      </c>
      <c r="G72" s="2">
        <f>COUNTIFS(交易明細!$B$2:$B$509,$A72,交易明細!$J$2:$J$509,"止損")</f>
        <v/>
      </c>
      <c r="H72" s="4">
        <f>IFERROR(F72/E72,0)</f>
        <v/>
      </c>
      <c r="I72" s="4">
        <f>IFERROR(AVERAGEIFS(交易明細!$L$2:$L$509,交易明細!$B$2:$B$509,$A72,交易明細!$J$2:$J$509,"&lt;&gt;未平倉"),0)</f>
        <v/>
      </c>
      <c r="J72" s="4">
        <f>SUMIFS(交易明細!$L$2:$L$509,交易明細!$B$2:$B$509,$A72,交易明細!$J$2:$J$509,"&lt;&gt;未平倉")</f>
        <v/>
      </c>
      <c r="K72" s="5">
        <f>IFERROR(AVERAGEIFS(交易明細!$K$2:$K$509,交易明細!$B$2:$B$509,$A72,交易明細!$J$2:$J$509,"&lt;&gt;未平倉"),0)</f>
        <v/>
      </c>
      <c r="L72" s="2">
        <f>COUNTIFS(交易明細!$B$2:$B$509,$A72,交易明細!$J$2:$J$509,"未平倉")</f>
        <v/>
      </c>
    </row>
    <row r="73">
      <c r="A73" s="2" t="inlineStr">
        <is>
          <t>FF_USDT_PERP</t>
        </is>
      </c>
      <c r="B73" s="2">
        <f>COUNTIFS(交易明細!$B$2:$B$509,$A73)</f>
        <v/>
      </c>
      <c r="C73" s="2">
        <f>COUNTIFS(交易明細!$B$2:$B$509,$A73,交易明細!$C$2:$C$509,"做多")</f>
        <v/>
      </c>
      <c r="D73" s="2">
        <f>COUNTIFS(交易明細!$B$2:$B$509,$A73,交易明細!$C$2:$C$509,"做空")</f>
        <v/>
      </c>
      <c r="E73" s="2">
        <f>F73+G73+COUNTIFS(交易明細!$B$2:$B$509,$A73,交易明細!$J$2:$J$509,"時間出場")</f>
        <v/>
      </c>
      <c r="F73" s="2">
        <f>COUNTIFS(交易明細!$B$2:$B$509,$A73,交易明細!$J$2:$J$509,"止盈")</f>
        <v/>
      </c>
      <c r="G73" s="2">
        <f>COUNTIFS(交易明細!$B$2:$B$509,$A73,交易明細!$J$2:$J$509,"止損")</f>
        <v/>
      </c>
      <c r="H73" s="4">
        <f>IFERROR(F73/E73,0)</f>
        <v/>
      </c>
      <c r="I73" s="4">
        <f>IFERROR(AVERAGEIFS(交易明細!$L$2:$L$509,交易明細!$B$2:$B$509,$A73,交易明細!$J$2:$J$509,"&lt;&gt;未平倉"),0)</f>
        <v/>
      </c>
      <c r="J73" s="4">
        <f>SUMIFS(交易明細!$L$2:$L$509,交易明細!$B$2:$B$509,$A73,交易明細!$J$2:$J$509,"&lt;&gt;未平倉")</f>
        <v/>
      </c>
      <c r="K73" s="5">
        <f>IFERROR(AVERAGEIFS(交易明細!$K$2:$K$509,交易明細!$B$2:$B$509,$A73,交易明細!$J$2:$J$509,"&lt;&gt;未平倉"),0)</f>
        <v/>
      </c>
      <c r="L73" s="2">
        <f>COUNTIFS(交易明細!$B$2:$B$509,$A73,交易明細!$J$2:$J$509,"未平倉")</f>
        <v/>
      </c>
    </row>
    <row r="74">
      <c r="A74" s="2" t="inlineStr">
        <is>
          <t>KAT_USDT_PERP</t>
        </is>
      </c>
      <c r="B74" s="2">
        <f>COUNTIFS(交易明細!$B$2:$B$509,$A74)</f>
        <v/>
      </c>
      <c r="C74" s="2">
        <f>COUNTIFS(交易明細!$B$2:$B$509,$A74,交易明細!$C$2:$C$509,"做多")</f>
        <v/>
      </c>
      <c r="D74" s="2">
        <f>COUNTIFS(交易明細!$B$2:$B$509,$A74,交易明細!$C$2:$C$509,"做空")</f>
        <v/>
      </c>
      <c r="E74" s="2">
        <f>F74+G74+COUNTIFS(交易明細!$B$2:$B$509,$A74,交易明細!$J$2:$J$509,"時間出場")</f>
        <v/>
      </c>
      <c r="F74" s="2">
        <f>COUNTIFS(交易明細!$B$2:$B$509,$A74,交易明細!$J$2:$J$509,"止盈")</f>
        <v/>
      </c>
      <c r="G74" s="2">
        <f>COUNTIFS(交易明細!$B$2:$B$509,$A74,交易明細!$J$2:$J$509,"止損")</f>
        <v/>
      </c>
      <c r="H74" s="4">
        <f>IFERROR(F74/E74,0)</f>
        <v/>
      </c>
      <c r="I74" s="4">
        <f>IFERROR(AVERAGEIFS(交易明細!$L$2:$L$509,交易明細!$B$2:$B$509,$A74,交易明細!$J$2:$J$509,"&lt;&gt;未平倉"),0)</f>
        <v/>
      </c>
      <c r="J74" s="4">
        <f>SUMIFS(交易明細!$L$2:$L$509,交易明細!$B$2:$B$509,$A74,交易明細!$J$2:$J$509,"&lt;&gt;未平倉")</f>
        <v/>
      </c>
      <c r="K74" s="5">
        <f>IFERROR(AVERAGEIFS(交易明細!$K$2:$K$509,交易明細!$B$2:$B$509,$A74,交易明細!$J$2:$J$509,"&lt;&gt;未平倉"),0)</f>
        <v/>
      </c>
      <c r="L74" s="2">
        <f>COUNTIFS(交易明細!$B$2:$B$509,$A74,交易明細!$J$2:$J$509,"未平倉")</f>
        <v/>
      </c>
    </row>
    <row r="75">
      <c r="A75" s="2" t="inlineStr">
        <is>
          <t>CAP_USDT_PERP</t>
        </is>
      </c>
      <c r="B75" s="2">
        <f>COUNTIFS(交易明細!$B$2:$B$509,$A75)</f>
        <v/>
      </c>
      <c r="C75" s="2">
        <f>COUNTIFS(交易明細!$B$2:$B$509,$A75,交易明細!$C$2:$C$509,"做多")</f>
        <v/>
      </c>
      <c r="D75" s="2">
        <f>COUNTIFS(交易明細!$B$2:$B$509,$A75,交易明細!$C$2:$C$509,"做空")</f>
        <v/>
      </c>
      <c r="E75" s="2">
        <f>F75+G75+COUNTIFS(交易明細!$B$2:$B$509,$A75,交易明細!$J$2:$J$509,"時間出場")</f>
        <v/>
      </c>
      <c r="F75" s="2">
        <f>COUNTIFS(交易明細!$B$2:$B$509,$A75,交易明細!$J$2:$J$509,"止盈")</f>
        <v/>
      </c>
      <c r="G75" s="2">
        <f>COUNTIFS(交易明細!$B$2:$B$509,$A75,交易明細!$J$2:$J$509,"止損")</f>
        <v/>
      </c>
      <c r="H75" s="4">
        <f>IFERROR(F75/E75,0)</f>
        <v/>
      </c>
      <c r="I75" s="4">
        <f>IFERROR(AVERAGEIFS(交易明細!$L$2:$L$509,交易明細!$B$2:$B$509,$A75,交易明細!$J$2:$J$509,"&lt;&gt;未平倉"),0)</f>
        <v/>
      </c>
      <c r="J75" s="4">
        <f>SUMIFS(交易明細!$L$2:$L$509,交易明細!$B$2:$B$509,$A75,交易明細!$J$2:$J$509,"&lt;&gt;未平倉")</f>
        <v/>
      </c>
      <c r="K75" s="5">
        <f>IFERROR(AVERAGEIFS(交易明細!$K$2:$K$509,交易明細!$B$2:$B$509,$A75,交易明細!$J$2:$J$509,"&lt;&gt;未平倉"),0)</f>
        <v/>
      </c>
      <c r="L75" s="2">
        <f>COUNTIFS(交易明細!$B$2:$B$509,$A75,交易明細!$J$2:$J$509,"未平倉")</f>
        <v/>
      </c>
    </row>
    <row r="76">
      <c r="A76" s="2" t="inlineStr">
        <is>
          <t>XRP_USDT_PERP</t>
        </is>
      </c>
      <c r="B76" s="2">
        <f>COUNTIFS(交易明細!$B$2:$B$509,$A76)</f>
        <v/>
      </c>
      <c r="C76" s="2">
        <f>COUNTIFS(交易明細!$B$2:$B$509,$A76,交易明細!$C$2:$C$509,"做多")</f>
        <v/>
      </c>
      <c r="D76" s="2">
        <f>COUNTIFS(交易明細!$B$2:$B$509,$A76,交易明細!$C$2:$C$509,"做空")</f>
        <v/>
      </c>
      <c r="E76" s="2">
        <f>F76+G76+COUNTIFS(交易明細!$B$2:$B$509,$A76,交易明細!$J$2:$J$509,"時間出場")</f>
        <v/>
      </c>
      <c r="F76" s="2">
        <f>COUNTIFS(交易明細!$B$2:$B$509,$A76,交易明細!$J$2:$J$509,"止盈")</f>
        <v/>
      </c>
      <c r="G76" s="2">
        <f>COUNTIFS(交易明細!$B$2:$B$509,$A76,交易明細!$J$2:$J$509,"止損")</f>
        <v/>
      </c>
      <c r="H76" s="4">
        <f>IFERROR(F76/E76,0)</f>
        <v/>
      </c>
      <c r="I76" s="4">
        <f>IFERROR(AVERAGEIFS(交易明細!$L$2:$L$509,交易明細!$B$2:$B$509,$A76,交易明細!$J$2:$J$509,"&lt;&gt;未平倉"),0)</f>
        <v/>
      </c>
      <c r="J76" s="4">
        <f>SUMIFS(交易明細!$L$2:$L$509,交易明細!$B$2:$B$509,$A76,交易明細!$J$2:$J$509,"&lt;&gt;未平倉")</f>
        <v/>
      </c>
      <c r="K76" s="5">
        <f>IFERROR(AVERAGEIFS(交易明細!$K$2:$K$509,交易明細!$B$2:$B$509,$A76,交易明細!$J$2:$J$509,"&lt;&gt;未平倉"),0)</f>
        <v/>
      </c>
      <c r="L76" s="2">
        <f>COUNTIFS(交易明細!$B$2:$B$509,$A76,交易明細!$J$2:$J$509,"未平倉")</f>
        <v/>
      </c>
    </row>
    <row r="77">
      <c r="A77" s="2" t="inlineStr">
        <is>
          <t>CROSS_USDT_PERP</t>
        </is>
      </c>
      <c r="B77" s="2">
        <f>COUNTIFS(交易明細!$B$2:$B$509,$A77)</f>
        <v/>
      </c>
      <c r="C77" s="2">
        <f>COUNTIFS(交易明細!$B$2:$B$509,$A77,交易明細!$C$2:$C$509,"做多")</f>
        <v/>
      </c>
      <c r="D77" s="2">
        <f>COUNTIFS(交易明細!$B$2:$B$509,$A77,交易明細!$C$2:$C$509,"做空")</f>
        <v/>
      </c>
      <c r="E77" s="2">
        <f>F77+G77+COUNTIFS(交易明細!$B$2:$B$509,$A77,交易明細!$J$2:$J$509,"時間出場")</f>
        <v/>
      </c>
      <c r="F77" s="2">
        <f>COUNTIFS(交易明細!$B$2:$B$509,$A77,交易明細!$J$2:$J$509,"止盈")</f>
        <v/>
      </c>
      <c r="G77" s="2">
        <f>COUNTIFS(交易明細!$B$2:$B$509,$A77,交易明細!$J$2:$J$509,"止損")</f>
        <v/>
      </c>
      <c r="H77" s="4">
        <f>IFERROR(F77/E77,0)</f>
        <v/>
      </c>
      <c r="I77" s="4">
        <f>IFERROR(AVERAGEIFS(交易明細!$L$2:$L$509,交易明細!$B$2:$B$509,$A77,交易明細!$J$2:$J$509,"&lt;&gt;未平倉"),0)</f>
        <v/>
      </c>
      <c r="J77" s="4">
        <f>SUMIFS(交易明細!$L$2:$L$509,交易明細!$B$2:$B$509,$A77,交易明細!$J$2:$J$509,"&lt;&gt;未平倉")</f>
        <v/>
      </c>
      <c r="K77" s="5">
        <f>IFERROR(AVERAGEIFS(交易明細!$K$2:$K$509,交易明細!$B$2:$B$509,$A77,交易明細!$J$2:$J$509,"&lt;&gt;未平倉"),0)</f>
        <v/>
      </c>
      <c r="L77" s="2">
        <f>COUNTIFS(交易明細!$B$2:$B$509,$A77,交易明細!$J$2:$J$509,"未平倉")</f>
        <v/>
      </c>
    </row>
    <row r="78">
      <c r="A78" s="2" t="inlineStr">
        <is>
          <t>MYX_USDT_PERP</t>
        </is>
      </c>
      <c r="B78" s="2">
        <f>COUNTIFS(交易明細!$B$2:$B$509,$A78)</f>
        <v/>
      </c>
      <c r="C78" s="2">
        <f>COUNTIFS(交易明細!$B$2:$B$509,$A78,交易明細!$C$2:$C$509,"做多")</f>
        <v/>
      </c>
      <c r="D78" s="2">
        <f>COUNTIFS(交易明細!$B$2:$B$509,$A78,交易明細!$C$2:$C$509,"做空")</f>
        <v/>
      </c>
      <c r="E78" s="2">
        <f>F78+G78+COUNTIFS(交易明細!$B$2:$B$509,$A78,交易明細!$J$2:$J$509,"時間出場")</f>
        <v/>
      </c>
      <c r="F78" s="2">
        <f>COUNTIFS(交易明細!$B$2:$B$509,$A78,交易明細!$J$2:$J$509,"止盈")</f>
        <v/>
      </c>
      <c r="G78" s="2">
        <f>COUNTIFS(交易明細!$B$2:$B$509,$A78,交易明細!$J$2:$J$509,"止損")</f>
        <v/>
      </c>
      <c r="H78" s="4">
        <f>IFERROR(F78/E78,0)</f>
        <v/>
      </c>
      <c r="I78" s="4">
        <f>IFERROR(AVERAGEIFS(交易明細!$L$2:$L$509,交易明細!$B$2:$B$509,$A78,交易明細!$J$2:$J$509,"&lt;&gt;未平倉"),0)</f>
        <v/>
      </c>
      <c r="J78" s="4">
        <f>SUMIFS(交易明細!$L$2:$L$509,交易明細!$B$2:$B$509,$A78,交易明細!$J$2:$J$509,"&lt;&gt;未平倉")</f>
        <v/>
      </c>
      <c r="K78" s="5">
        <f>IFERROR(AVERAGEIFS(交易明細!$K$2:$K$509,交易明細!$B$2:$B$509,$A78,交易明細!$J$2:$J$509,"&lt;&gt;未平倉"),0)</f>
        <v/>
      </c>
      <c r="L78" s="2">
        <f>COUNTIFS(交易明細!$B$2:$B$509,$A78,交易明細!$J$2:$J$509,"未平倉")</f>
        <v/>
      </c>
    </row>
    <row r="79">
      <c r="A79" s="2" t="inlineStr">
        <is>
          <t>BANK_USDT_PERP</t>
        </is>
      </c>
      <c r="B79" s="2">
        <f>COUNTIFS(交易明細!$B$2:$B$509,$A79)</f>
        <v/>
      </c>
      <c r="C79" s="2">
        <f>COUNTIFS(交易明細!$B$2:$B$509,$A79,交易明細!$C$2:$C$509,"做多")</f>
        <v/>
      </c>
      <c r="D79" s="2">
        <f>COUNTIFS(交易明細!$B$2:$B$509,$A79,交易明細!$C$2:$C$509,"做空")</f>
        <v/>
      </c>
      <c r="E79" s="2">
        <f>F79+G79+COUNTIFS(交易明細!$B$2:$B$509,$A79,交易明細!$J$2:$J$509,"時間出場")</f>
        <v/>
      </c>
      <c r="F79" s="2">
        <f>COUNTIFS(交易明細!$B$2:$B$509,$A79,交易明細!$J$2:$J$509,"止盈")</f>
        <v/>
      </c>
      <c r="G79" s="2">
        <f>COUNTIFS(交易明細!$B$2:$B$509,$A79,交易明細!$J$2:$J$509,"止損")</f>
        <v/>
      </c>
      <c r="H79" s="4">
        <f>IFERROR(F79/E79,0)</f>
        <v/>
      </c>
      <c r="I79" s="4">
        <f>IFERROR(AVERAGEIFS(交易明細!$L$2:$L$509,交易明細!$B$2:$B$509,$A79,交易明細!$J$2:$J$509,"&lt;&gt;未平倉"),0)</f>
        <v/>
      </c>
      <c r="J79" s="4">
        <f>SUMIFS(交易明細!$L$2:$L$509,交易明細!$B$2:$B$509,$A79,交易明細!$J$2:$J$509,"&lt;&gt;未平倉")</f>
        <v/>
      </c>
      <c r="K79" s="5">
        <f>IFERROR(AVERAGEIFS(交易明細!$K$2:$K$509,交易明細!$B$2:$B$509,$A79,交易明細!$J$2:$J$509,"&lt;&gt;未平倉"),0)</f>
        <v/>
      </c>
      <c r="L79" s="2">
        <f>COUNTIFS(交易明細!$B$2:$B$509,$A79,交易明細!$J$2:$J$509,"未平倉")</f>
        <v/>
      </c>
    </row>
    <row r="80">
      <c r="A80" s="2" t="inlineStr">
        <is>
          <t>ETHFI_USDT_PERP</t>
        </is>
      </c>
      <c r="B80" s="2">
        <f>COUNTIFS(交易明細!$B$2:$B$509,$A80)</f>
        <v/>
      </c>
      <c r="C80" s="2">
        <f>COUNTIFS(交易明細!$B$2:$B$509,$A80,交易明細!$C$2:$C$509,"做多")</f>
        <v/>
      </c>
      <c r="D80" s="2">
        <f>COUNTIFS(交易明細!$B$2:$B$509,$A80,交易明細!$C$2:$C$509,"做空")</f>
        <v/>
      </c>
      <c r="E80" s="2">
        <f>F80+G80+COUNTIFS(交易明細!$B$2:$B$509,$A80,交易明細!$J$2:$J$509,"時間出場")</f>
        <v/>
      </c>
      <c r="F80" s="2">
        <f>COUNTIFS(交易明細!$B$2:$B$509,$A80,交易明細!$J$2:$J$509,"止盈")</f>
        <v/>
      </c>
      <c r="G80" s="2">
        <f>COUNTIFS(交易明細!$B$2:$B$509,$A80,交易明細!$J$2:$J$509,"止損")</f>
        <v/>
      </c>
      <c r="H80" s="4">
        <f>IFERROR(F80/E80,0)</f>
        <v/>
      </c>
      <c r="I80" s="4">
        <f>IFERROR(AVERAGEIFS(交易明細!$L$2:$L$509,交易明細!$B$2:$B$509,$A80,交易明細!$J$2:$J$509,"&lt;&gt;未平倉"),0)</f>
        <v/>
      </c>
      <c r="J80" s="4">
        <f>SUMIFS(交易明細!$L$2:$L$509,交易明細!$B$2:$B$509,$A80,交易明細!$J$2:$J$509,"&lt;&gt;未平倉")</f>
        <v/>
      </c>
      <c r="K80" s="5">
        <f>IFERROR(AVERAGEIFS(交易明細!$K$2:$K$509,交易明細!$B$2:$B$509,$A80,交易明細!$J$2:$J$509,"&lt;&gt;未平倉"),0)</f>
        <v/>
      </c>
      <c r="L80" s="2">
        <f>COUNTIFS(交易明細!$B$2:$B$509,$A80,交易明細!$J$2:$J$509,"未平倉")</f>
        <v/>
      </c>
    </row>
    <row r="81">
      <c r="A81" s="2" t="inlineStr">
        <is>
          <t>HBAR_USDT_PERP</t>
        </is>
      </c>
      <c r="B81" s="2">
        <f>COUNTIFS(交易明細!$B$2:$B$509,$A81)</f>
        <v/>
      </c>
      <c r="C81" s="2">
        <f>COUNTIFS(交易明細!$B$2:$B$509,$A81,交易明細!$C$2:$C$509,"做多")</f>
        <v/>
      </c>
      <c r="D81" s="2">
        <f>COUNTIFS(交易明細!$B$2:$B$509,$A81,交易明細!$C$2:$C$509,"做空")</f>
        <v/>
      </c>
      <c r="E81" s="2">
        <f>F81+G81+COUNTIFS(交易明細!$B$2:$B$509,$A81,交易明細!$J$2:$J$509,"時間出場")</f>
        <v/>
      </c>
      <c r="F81" s="2">
        <f>COUNTIFS(交易明細!$B$2:$B$509,$A81,交易明細!$J$2:$J$509,"止盈")</f>
        <v/>
      </c>
      <c r="G81" s="2">
        <f>COUNTIFS(交易明細!$B$2:$B$509,$A81,交易明細!$J$2:$J$509,"止損")</f>
        <v/>
      </c>
      <c r="H81" s="4">
        <f>IFERROR(F81/E81,0)</f>
        <v/>
      </c>
      <c r="I81" s="4">
        <f>IFERROR(AVERAGEIFS(交易明細!$L$2:$L$509,交易明細!$B$2:$B$509,$A81,交易明細!$J$2:$J$509,"&lt;&gt;未平倉"),0)</f>
        <v/>
      </c>
      <c r="J81" s="4">
        <f>SUMIFS(交易明細!$L$2:$L$509,交易明細!$B$2:$B$509,$A81,交易明細!$J$2:$J$509,"&lt;&gt;未平倉")</f>
        <v/>
      </c>
      <c r="K81" s="5">
        <f>IFERROR(AVERAGEIFS(交易明細!$K$2:$K$509,交易明細!$B$2:$B$509,$A81,交易明細!$J$2:$J$509,"&lt;&gt;未平倉"),0)</f>
        <v/>
      </c>
      <c r="L81" s="2">
        <f>COUNTIFS(交易明細!$B$2:$B$509,$A81,交易明細!$J$2:$J$509,"未平倉")</f>
        <v/>
      </c>
    </row>
    <row r="82">
      <c r="A82" s="2" t="inlineStr">
        <is>
          <t>KITE_USDT_PERP</t>
        </is>
      </c>
      <c r="B82" s="2">
        <f>COUNTIFS(交易明細!$B$2:$B$509,$A82)</f>
        <v/>
      </c>
      <c r="C82" s="2">
        <f>COUNTIFS(交易明細!$B$2:$B$509,$A82,交易明細!$C$2:$C$509,"做多")</f>
        <v/>
      </c>
      <c r="D82" s="2">
        <f>COUNTIFS(交易明細!$B$2:$B$509,$A82,交易明細!$C$2:$C$509,"做空")</f>
        <v/>
      </c>
      <c r="E82" s="2">
        <f>F82+G82+COUNTIFS(交易明細!$B$2:$B$509,$A82,交易明細!$J$2:$J$509,"時間出場")</f>
        <v/>
      </c>
      <c r="F82" s="2">
        <f>COUNTIFS(交易明細!$B$2:$B$509,$A82,交易明細!$J$2:$J$509,"止盈")</f>
        <v/>
      </c>
      <c r="G82" s="2">
        <f>COUNTIFS(交易明細!$B$2:$B$509,$A82,交易明細!$J$2:$J$509,"止損")</f>
        <v/>
      </c>
      <c r="H82" s="4">
        <f>IFERROR(F82/E82,0)</f>
        <v/>
      </c>
      <c r="I82" s="4">
        <f>IFERROR(AVERAGEIFS(交易明細!$L$2:$L$509,交易明細!$B$2:$B$509,$A82,交易明細!$J$2:$J$509,"&lt;&gt;未平倉"),0)</f>
        <v/>
      </c>
      <c r="J82" s="4">
        <f>SUMIFS(交易明細!$L$2:$L$509,交易明細!$B$2:$B$509,$A82,交易明細!$J$2:$J$509,"&lt;&gt;未平倉")</f>
        <v/>
      </c>
      <c r="K82" s="5">
        <f>IFERROR(AVERAGEIFS(交易明細!$K$2:$K$509,交易明細!$B$2:$B$509,$A82,交易明細!$J$2:$J$509,"&lt;&gt;未平倉"),0)</f>
        <v/>
      </c>
      <c r="L82" s="2">
        <f>COUNTIFS(交易明細!$B$2:$B$509,$A82,交易明細!$J$2:$J$509,"未平倉")</f>
        <v/>
      </c>
    </row>
    <row r="83">
      <c r="A83" s="2" t="inlineStr">
        <is>
          <t>ADA_USDT_PERP</t>
        </is>
      </c>
      <c r="B83" s="2">
        <f>COUNTIFS(交易明細!$B$2:$B$509,$A83)</f>
        <v/>
      </c>
      <c r="C83" s="2">
        <f>COUNTIFS(交易明細!$B$2:$B$509,$A83,交易明細!$C$2:$C$509,"做多")</f>
        <v/>
      </c>
      <c r="D83" s="2">
        <f>COUNTIFS(交易明細!$B$2:$B$509,$A83,交易明細!$C$2:$C$509,"做空")</f>
        <v/>
      </c>
      <c r="E83" s="2">
        <f>F83+G83+COUNTIFS(交易明細!$B$2:$B$509,$A83,交易明細!$J$2:$J$509,"時間出場")</f>
        <v/>
      </c>
      <c r="F83" s="2">
        <f>COUNTIFS(交易明細!$B$2:$B$509,$A83,交易明細!$J$2:$J$509,"止盈")</f>
        <v/>
      </c>
      <c r="G83" s="2">
        <f>COUNTIFS(交易明細!$B$2:$B$509,$A83,交易明細!$J$2:$J$509,"止損")</f>
        <v/>
      </c>
      <c r="H83" s="4">
        <f>IFERROR(F83/E83,0)</f>
        <v/>
      </c>
      <c r="I83" s="4">
        <f>IFERROR(AVERAGEIFS(交易明細!$L$2:$L$509,交易明細!$B$2:$B$509,$A83,交易明細!$J$2:$J$509,"&lt;&gt;未平倉"),0)</f>
        <v/>
      </c>
      <c r="J83" s="4">
        <f>SUMIFS(交易明細!$L$2:$L$509,交易明細!$B$2:$B$509,$A83,交易明細!$J$2:$J$509,"&lt;&gt;未平倉")</f>
        <v/>
      </c>
      <c r="K83" s="5">
        <f>IFERROR(AVERAGEIFS(交易明細!$K$2:$K$509,交易明細!$B$2:$B$509,$A83,交易明細!$J$2:$J$509,"&lt;&gt;未平倉"),0)</f>
        <v/>
      </c>
      <c r="L83" s="2">
        <f>COUNTIFS(交易明細!$B$2:$B$509,$A83,交易明細!$J$2:$J$509,"未平倉")</f>
        <v/>
      </c>
    </row>
    <row r="84">
      <c r="A84" s="2" t="inlineStr">
        <is>
          <t>LTC_USDT_PERP</t>
        </is>
      </c>
      <c r="B84" s="2">
        <f>COUNTIFS(交易明細!$B$2:$B$509,$A84)</f>
        <v/>
      </c>
      <c r="C84" s="2">
        <f>COUNTIFS(交易明細!$B$2:$B$509,$A84,交易明細!$C$2:$C$509,"做多")</f>
        <v/>
      </c>
      <c r="D84" s="2">
        <f>COUNTIFS(交易明細!$B$2:$B$509,$A84,交易明細!$C$2:$C$509,"做空")</f>
        <v/>
      </c>
      <c r="E84" s="2">
        <f>F84+G84+COUNTIFS(交易明細!$B$2:$B$509,$A84,交易明細!$J$2:$J$509,"時間出場")</f>
        <v/>
      </c>
      <c r="F84" s="2">
        <f>COUNTIFS(交易明細!$B$2:$B$509,$A84,交易明細!$J$2:$J$509,"止盈")</f>
        <v/>
      </c>
      <c r="G84" s="2">
        <f>COUNTIFS(交易明細!$B$2:$B$509,$A84,交易明細!$J$2:$J$509,"止損")</f>
        <v/>
      </c>
      <c r="H84" s="4">
        <f>IFERROR(F84/E84,0)</f>
        <v/>
      </c>
      <c r="I84" s="4">
        <f>IFERROR(AVERAGEIFS(交易明細!$L$2:$L$509,交易明細!$B$2:$B$509,$A84,交易明細!$J$2:$J$509,"&lt;&gt;未平倉"),0)</f>
        <v/>
      </c>
      <c r="J84" s="4">
        <f>SUMIFS(交易明細!$L$2:$L$509,交易明細!$B$2:$B$509,$A84,交易明細!$J$2:$J$509,"&lt;&gt;未平倉")</f>
        <v/>
      </c>
      <c r="K84" s="5">
        <f>IFERROR(AVERAGEIFS(交易明細!$K$2:$K$509,交易明細!$B$2:$B$509,$A84,交易明細!$J$2:$J$509,"&lt;&gt;未平倉"),0)</f>
        <v/>
      </c>
      <c r="L84" s="2">
        <f>COUNTIFS(交易明細!$B$2:$B$509,$A84,交易明細!$J$2:$J$509,"未平倉")</f>
        <v/>
      </c>
    </row>
    <row r="85">
      <c r="A85" s="2" t="inlineStr">
        <is>
          <t>TIA_USDT_PERP</t>
        </is>
      </c>
      <c r="B85" s="2">
        <f>COUNTIFS(交易明細!$B$2:$B$509,$A85)</f>
        <v/>
      </c>
      <c r="C85" s="2">
        <f>COUNTIFS(交易明細!$B$2:$B$509,$A85,交易明細!$C$2:$C$509,"做多")</f>
        <v/>
      </c>
      <c r="D85" s="2">
        <f>COUNTIFS(交易明細!$B$2:$B$509,$A85,交易明細!$C$2:$C$509,"做空")</f>
        <v/>
      </c>
      <c r="E85" s="2">
        <f>F85+G85+COUNTIFS(交易明細!$B$2:$B$509,$A85,交易明細!$J$2:$J$509,"時間出場")</f>
        <v/>
      </c>
      <c r="F85" s="2">
        <f>COUNTIFS(交易明細!$B$2:$B$509,$A85,交易明細!$J$2:$J$509,"止盈")</f>
        <v/>
      </c>
      <c r="G85" s="2">
        <f>COUNTIFS(交易明細!$B$2:$B$509,$A85,交易明細!$J$2:$J$509,"止損")</f>
        <v/>
      </c>
      <c r="H85" s="4">
        <f>IFERROR(F85/E85,0)</f>
        <v/>
      </c>
      <c r="I85" s="4">
        <f>IFERROR(AVERAGEIFS(交易明細!$L$2:$L$509,交易明細!$B$2:$B$509,$A85,交易明細!$J$2:$J$509,"&lt;&gt;未平倉"),0)</f>
        <v/>
      </c>
      <c r="J85" s="4">
        <f>SUMIFS(交易明細!$L$2:$L$509,交易明細!$B$2:$B$509,$A85,交易明細!$J$2:$J$509,"&lt;&gt;未平倉")</f>
        <v/>
      </c>
      <c r="K85" s="5">
        <f>IFERROR(AVERAGEIFS(交易明細!$K$2:$K$509,交易明細!$B$2:$B$509,$A85,交易明細!$J$2:$J$509,"&lt;&gt;未平倉"),0)</f>
        <v/>
      </c>
      <c r="L85" s="2">
        <f>COUNTIFS(交易明細!$B$2:$B$509,$A85,交易明細!$J$2:$J$509,"未平倉")</f>
        <v/>
      </c>
    </row>
    <row r="86">
      <c r="A86" s="2" t="inlineStr">
        <is>
          <t>NOM_USDT_PERP</t>
        </is>
      </c>
      <c r="B86" s="2">
        <f>COUNTIFS(交易明細!$B$2:$B$509,$A86)</f>
        <v/>
      </c>
      <c r="C86" s="2">
        <f>COUNTIFS(交易明細!$B$2:$B$509,$A86,交易明細!$C$2:$C$509,"做多")</f>
        <v/>
      </c>
      <c r="D86" s="2">
        <f>COUNTIFS(交易明細!$B$2:$B$509,$A86,交易明細!$C$2:$C$509,"做空")</f>
        <v/>
      </c>
      <c r="E86" s="2">
        <f>F86+G86+COUNTIFS(交易明細!$B$2:$B$509,$A86,交易明細!$J$2:$J$509,"時間出場")</f>
        <v/>
      </c>
      <c r="F86" s="2">
        <f>COUNTIFS(交易明細!$B$2:$B$509,$A86,交易明細!$J$2:$J$509,"止盈")</f>
        <v/>
      </c>
      <c r="G86" s="2">
        <f>COUNTIFS(交易明細!$B$2:$B$509,$A86,交易明細!$J$2:$J$509,"止損")</f>
        <v/>
      </c>
      <c r="H86" s="4">
        <f>IFERROR(F86/E86,0)</f>
        <v/>
      </c>
      <c r="I86" s="4">
        <f>IFERROR(AVERAGEIFS(交易明細!$L$2:$L$509,交易明細!$B$2:$B$509,$A86,交易明細!$J$2:$J$509,"&lt;&gt;未平倉"),0)</f>
        <v/>
      </c>
      <c r="J86" s="4">
        <f>SUMIFS(交易明細!$L$2:$L$509,交易明細!$B$2:$B$509,$A86,交易明細!$J$2:$J$509,"&lt;&gt;未平倉")</f>
        <v/>
      </c>
      <c r="K86" s="5">
        <f>IFERROR(AVERAGEIFS(交易明細!$K$2:$K$509,交易明細!$B$2:$B$509,$A86,交易明細!$J$2:$J$509,"&lt;&gt;未平倉"),0)</f>
        <v/>
      </c>
      <c r="L86" s="2">
        <f>COUNTIFS(交易明細!$B$2:$B$509,$A86,交易明細!$J$2:$J$509,"未平倉")</f>
        <v/>
      </c>
    </row>
    <row r="87">
      <c r="A87" s="2" t="inlineStr">
        <is>
          <t>BROCCOLI_USDT_PERP</t>
        </is>
      </c>
      <c r="B87" s="2">
        <f>COUNTIFS(交易明細!$B$2:$B$509,$A87)</f>
        <v/>
      </c>
      <c r="C87" s="2">
        <f>COUNTIFS(交易明細!$B$2:$B$509,$A87,交易明細!$C$2:$C$509,"做多")</f>
        <v/>
      </c>
      <c r="D87" s="2">
        <f>COUNTIFS(交易明細!$B$2:$B$509,$A87,交易明細!$C$2:$C$509,"做空")</f>
        <v/>
      </c>
      <c r="E87" s="2">
        <f>F87+G87+COUNTIFS(交易明細!$B$2:$B$509,$A87,交易明細!$J$2:$J$509,"時間出場")</f>
        <v/>
      </c>
      <c r="F87" s="2">
        <f>COUNTIFS(交易明細!$B$2:$B$509,$A87,交易明細!$J$2:$J$509,"止盈")</f>
        <v/>
      </c>
      <c r="G87" s="2">
        <f>COUNTIFS(交易明細!$B$2:$B$509,$A87,交易明細!$J$2:$J$509,"止損")</f>
        <v/>
      </c>
      <c r="H87" s="4">
        <f>IFERROR(F87/E87,0)</f>
        <v/>
      </c>
      <c r="I87" s="4">
        <f>IFERROR(AVERAGEIFS(交易明細!$L$2:$L$509,交易明細!$B$2:$B$509,$A87,交易明細!$J$2:$J$509,"&lt;&gt;未平倉"),0)</f>
        <v/>
      </c>
      <c r="J87" s="4">
        <f>SUMIFS(交易明細!$L$2:$L$509,交易明細!$B$2:$B$509,$A87,交易明細!$J$2:$J$509,"&lt;&gt;未平倉")</f>
        <v/>
      </c>
      <c r="K87" s="5">
        <f>IFERROR(AVERAGEIFS(交易明細!$K$2:$K$509,交易明細!$B$2:$B$509,$A87,交易明細!$J$2:$J$509,"&lt;&gt;未平倉"),0)</f>
        <v/>
      </c>
      <c r="L87" s="2">
        <f>COUNTIFS(交易明細!$B$2:$B$509,$A87,交易明細!$J$2:$J$509,"未平倉")</f>
        <v/>
      </c>
    </row>
    <row r="88">
      <c r="A88" s="2" t="inlineStr">
        <is>
          <t>MUBARAK_USDT_PERP</t>
        </is>
      </c>
      <c r="B88" s="2">
        <f>COUNTIFS(交易明細!$B$2:$B$509,$A88)</f>
        <v/>
      </c>
      <c r="C88" s="2">
        <f>COUNTIFS(交易明細!$B$2:$B$509,$A88,交易明細!$C$2:$C$509,"做多")</f>
        <v/>
      </c>
      <c r="D88" s="2">
        <f>COUNTIFS(交易明細!$B$2:$B$509,$A88,交易明細!$C$2:$C$509,"做空")</f>
        <v/>
      </c>
      <c r="E88" s="2">
        <f>F88+G88+COUNTIFS(交易明細!$B$2:$B$509,$A88,交易明細!$J$2:$J$509,"時間出場")</f>
        <v/>
      </c>
      <c r="F88" s="2">
        <f>COUNTIFS(交易明細!$B$2:$B$509,$A88,交易明細!$J$2:$J$509,"止盈")</f>
        <v/>
      </c>
      <c r="G88" s="2">
        <f>COUNTIFS(交易明細!$B$2:$B$509,$A88,交易明細!$J$2:$J$509,"止損")</f>
        <v/>
      </c>
      <c r="H88" s="4">
        <f>IFERROR(F88/E88,0)</f>
        <v/>
      </c>
      <c r="I88" s="4">
        <f>IFERROR(AVERAGEIFS(交易明細!$L$2:$L$509,交易明細!$B$2:$B$509,$A88,交易明細!$J$2:$J$509,"&lt;&gt;未平倉"),0)</f>
        <v/>
      </c>
      <c r="J88" s="4">
        <f>SUMIFS(交易明細!$L$2:$L$509,交易明細!$B$2:$B$509,$A88,交易明細!$J$2:$J$509,"&lt;&gt;未平倉")</f>
        <v/>
      </c>
      <c r="K88" s="5">
        <f>IFERROR(AVERAGEIFS(交易明細!$K$2:$K$509,交易明細!$B$2:$B$509,$A88,交易明細!$J$2:$J$509,"&lt;&gt;未平倉"),0)</f>
        <v/>
      </c>
      <c r="L88" s="2">
        <f>COUNTIFS(交易明細!$B$2:$B$509,$A88,交易明細!$J$2:$J$509,"未平倉")</f>
        <v/>
      </c>
    </row>
    <row r="89">
      <c r="A89" s="2" t="inlineStr">
        <is>
          <t>SAGA_USDT_PERP</t>
        </is>
      </c>
      <c r="B89" s="2">
        <f>COUNTIFS(交易明細!$B$2:$B$509,$A89)</f>
        <v/>
      </c>
      <c r="C89" s="2">
        <f>COUNTIFS(交易明細!$B$2:$B$509,$A89,交易明細!$C$2:$C$509,"做多")</f>
        <v/>
      </c>
      <c r="D89" s="2">
        <f>COUNTIFS(交易明細!$B$2:$B$509,$A89,交易明細!$C$2:$C$509,"做空")</f>
        <v/>
      </c>
      <c r="E89" s="2">
        <f>F89+G89+COUNTIFS(交易明細!$B$2:$B$509,$A89,交易明細!$J$2:$J$509,"時間出場")</f>
        <v/>
      </c>
      <c r="F89" s="2">
        <f>COUNTIFS(交易明細!$B$2:$B$509,$A89,交易明細!$J$2:$J$509,"止盈")</f>
        <v/>
      </c>
      <c r="G89" s="2">
        <f>COUNTIFS(交易明細!$B$2:$B$509,$A89,交易明細!$J$2:$J$509,"止損")</f>
        <v/>
      </c>
      <c r="H89" s="4">
        <f>IFERROR(F89/E89,0)</f>
        <v/>
      </c>
      <c r="I89" s="4">
        <f>IFERROR(AVERAGEIFS(交易明細!$L$2:$L$509,交易明細!$B$2:$B$509,$A89,交易明細!$J$2:$J$509,"&lt;&gt;未平倉"),0)</f>
        <v/>
      </c>
      <c r="J89" s="4">
        <f>SUMIFS(交易明細!$L$2:$L$509,交易明細!$B$2:$B$509,$A89,交易明細!$J$2:$J$509,"&lt;&gt;未平倉")</f>
        <v/>
      </c>
      <c r="K89" s="5">
        <f>IFERROR(AVERAGEIFS(交易明細!$K$2:$K$509,交易明細!$B$2:$B$509,$A89,交易明細!$J$2:$J$509,"&lt;&gt;未平倉"),0)</f>
        <v/>
      </c>
      <c r="L89" s="2">
        <f>COUNTIFS(交易明細!$B$2:$B$509,$A89,交易明細!$J$2:$J$509,"未平倉")</f>
        <v/>
      </c>
    </row>
  </sheetData>
  <autoFilter ref="A1:L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8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3" t="inlineStr">
        <is>
          <t>交易對</t>
        </is>
      </c>
      <c r="B1" s="3" t="inlineStr">
        <is>
          <t>狀態</t>
        </is>
      </c>
      <c r="C1" s="3" t="inlineStr">
        <is>
          <t>原因/備註</t>
        </is>
      </c>
      <c r="D1" s="3" t="inlineStr">
        <is>
          <t>K棒數</t>
        </is>
      </c>
      <c r="E1" s="3" t="inlineStr">
        <is>
          <t>期間最低價</t>
        </is>
      </c>
      <c r="F1" s="3" t="inlineStr">
        <is>
          <t>期間最高價</t>
        </is>
      </c>
      <c r="G1" s="3" t="inlineStr">
        <is>
          <t>訊號數(多)</t>
        </is>
      </c>
      <c r="H1" s="3" t="inlineStr">
        <is>
          <t>訊號數(空)</t>
        </is>
      </c>
    </row>
    <row r="2">
      <c r="A2" s="2" t="inlineStr">
        <is>
          <t>0G_USDT_PERP</t>
        </is>
      </c>
      <c r="B2" s="2" t="inlineStr">
        <is>
          <t>已掃描</t>
        </is>
      </c>
      <c r="C2" s="2" t="inlineStr"/>
      <c r="D2" s="2" t="n"/>
      <c r="E2" s="20" t="n"/>
      <c r="F2" s="20" t="n"/>
      <c r="G2" s="2" t="n"/>
      <c r="H2" s="2" t="n"/>
    </row>
    <row r="3">
      <c r="A3" s="2" t="inlineStr">
        <is>
          <t>1INCH_USDT_PERP</t>
        </is>
      </c>
      <c r="B3" s="2" t="inlineStr">
        <is>
          <t>已掃描</t>
        </is>
      </c>
      <c r="C3" s="2" t="inlineStr"/>
      <c r="D3" s="2" t="n"/>
      <c r="E3" s="20" t="n"/>
      <c r="F3" s="20" t="n"/>
      <c r="G3" s="2" t="n"/>
      <c r="H3" s="2" t="n"/>
    </row>
    <row r="4">
      <c r="A4" s="2" t="inlineStr">
        <is>
          <t>2Z_USDT_PERP</t>
        </is>
      </c>
      <c r="B4" s="2" t="inlineStr">
        <is>
          <t>已掃描</t>
        </is>
      </c>
      <c r="C4" s="2" t="inlineStr"/>
      <c r="D4" s="2" t="n"/>
      <c r="E4" s="20" t="n"/>
      <c r="F4" s="20" t="n"/>
      <c r="G4" s="2" t="n"/>
      <c r="H4" s="2" t="n"/>
    </row>
    <row r="5">
      <c r="A5" s="2" t="inlineStr">
        <is>
          <t>4_USDT_PERP</t>
        </is>
      </c>
      <c r="B5" s="2" t="inlineStr">
        <is>
          <t>已掃描</t>
        </is>
      </c>
      <c r="C5" s="2" t="inlineStr"/>
      <c r="D5" s="2" t="n"/>
      <c r="E5" s="20" t="n"/>
      <c r="F5" s="20" t="n"/>
      <c r="G5" s="2" t="n"/>
      <c r="H5" s="2" t="n"/>
    </row>
    <row r="6">
      <c r="A6" s="2" t="inlineStr">
        <is>
          <t>AAVE_USDT_PERP</t>
        </is>
      </c>
      <c r="B6" s="2" t="inlineStr">
        <is>
          <t>已掃描</t>
        </is>
      </c>
      <c r="C6" s="2" t="inlineStr"/>
      <c r="D6" s="2" t="n"/>
      <c r="E6" s="20" t="n"/>
      <c r="F6" s="20" t="n"/>
      <c r="G6" s="2" t="n"/>
      <c r="H6" s="2" t="n"/>
    </row>
    <row r="7">
      <c r="A7" s="2" t="inlineStr">
        <is>
          <t>AAX_USDT_PERP</t>
        </is>
      </c>
      <c r="B7" s="2" t="inlineStr">
        <is>
          <t>已掃描</t>
        </is>
      </c>
      <c r="C7" s="2" t="inlineStr"/>
      <c r="D7" s="2" t="n"/>
      <c r="E7" s="20" t="n"/>
      <c r="F7" s="20" t="n"/>
      <c r="G7" s="2" t="n"/>
      <c r="H7" s="2" t="n"/>
    </row>
    <row r="8">
      <c r="A8" s="2" t="inlineStr">
        <is>
          <t>ACE_USDT_PERP</t>
        </is>
      </c>
      <c r="B8" s="2" t="inlineStr">
        <is>
          <t>已掃描</t>
        </is>
      </c>
      <c r="C8" s="2" t="inlineStr"/>
      <c r="D8" s="2" t="n"/>
      <c r="E8" s="20" t="n"/>
      <c r="F8" s="20" t="n"/>
      <c r="G8" s="2" t="n"/>
      <c r="H8" s="2" t="n"/>
    </row>
    <row r="9">
      <c r="A9" s="2" t="inlineStr">
        <is>
          <t>ACH_USDT_PERP</t>
        </is>
      </c>
      <c r="B9" s="2" t="inlineStr">
        <is>
          <t>已掃描</t>
        </is>
      </c>
      <c r="C9" s="2" t="inlineStr"/>
      <c r="D9" s="2" t="n"/>
      <c r="E9" s="20" t="n"/>
      <c r="F9" s="20" t="n"/>
      <c r="G9" s="2" t="n"/>
      <c r="H9" s="2" t="n"/>
    </row>
    <row r="10">
      <c r="A10" s="2" t="inlineStr">
        <is>
          <t>ACT_USDT_PERP</t>
        </is>
      </c>
      <c r="B10" s="2" t="inlineStr">
        <is>
          <t>已掃描</t>
        </is>
      </c>
      <c r="C10" s="2" t="inlineStr"/>
      <c r="D10" s="2" t="n"/>
      <c r="E10" s="20" t="n"/>
      <c r="F10" s="20" t="n"/>
      <c r="G10" s="2" t="n"/>
      <c r="H10" s="2" t="n"/>
    </row>
    <row r="11">
      <c r="A11" s="2" t="inlineStr">
        <is>
          <t>ADA_USDT_PERP</t>
        </is>
      </c>
      <c r="B11" s="2" t="inlineStr">
        <is>
          <t>已掃描</t>
        </is>
      </c>
      <c r="C11" s="2" t="inlineStr"/>
      <c r="D11" s="2" t="n"/>
      <c r="E11" s="20" t="n"/>
      <c r="F11" s="20" t="n"/>
      <c r="G11" s="2" t="n"/>
      <c r="H11" s="2" t="n"/>
    </row>
    <row r="12">
      <c r="A12" s="2" t="inlineStr">
        <is>
          <t>AERO_USDT_PERP</t>
        </is>
      </c>
      <c r="B12" s="2" t="inlineStr">
        <is>
          <t>已掃描</t>
        </is>
      </c>
      <c r="C12" s="2" t="inlineStr"/>
      <c r="D12" s="2" t="n"/>
      <c r="E12" s="20" t="n"/>
      <c r="F12" s="20" t="n"/>
      <c r="G12" s="2" t="n"/>
      <c r="H12" s="2" t="n"/>
    </row>
    <row r="13">
      <c r="A13" s="2" t="inlineStr">
        <is>
          <t>AEVO_USDT_PERP</t>
        </is>
      </c>
      <c r="B13" s="2" t="inlineStr">
        <is>
          <t>已掃描</t>
        </is>
      </c>
      <c r="C13" s="2" t="inlineStr"/>
      <c r="D13" s="2" t="n"/>
      <c r="E13" s="20" t="n"/>
      <c r="F13" s="20" t="n"/>
      <c r="G13" s="2" t="n"/>
      <c r="H13" s="2" t="n"/>
    </row>
    <row r="14">
      <c r="A14" s="2" t="inlineStr">
        <is>
          <t>AGLD_USDT_PERP</t>
        </is>
      </c>
      <c r="B14" s="2" t="inlineStr">
        <is>
          <t>已掃描</t>
        </is>
      </c>
      <c r="C14" s="2" t="inlineStr"/>
      <c r="D14" s="2" t="n"/>
      <c r="E14" s="20" t="n"/>
      <c r="F14" s="20" t="n"/>
      <c r="G14" s="2" t="n"/>
      <c r="H14" s="2" t="n"/>
    </row>
    <row r="15">
      <c r="A15" s="2" t="inlineStr">
        <is>
          <t>AGT_USDT_PERP</t>
        </is>
      </c>
      <c r="B15" s="2" t="inlineStr">
        <is>
          <t>已掃描</t>
        </is>
      </c>
      <c r="C15" s="2" t="inlineStr"/>
      <c r="D15" s="2" t="n"/>
      <c r="E15" s="20" t="n"/>
      <c r="F15" s="20" t="n"/>
      <c r="G15" s="2" t="n"/>
      <c r="H15" s="2" t="n"/>
    </row>
    <row r="16">
      <c r="A16" s="2" t="inlineStr">
        <is>
          <t>AIA_USDT_PERP</t>
        </is>
      </c>
      <c r="B16" s="2" t="inlineStr">
        <is>
          <t>已掃描</t>
        </is>
      </c>
      <c r="C16" s="2" t="inlineStr"/>
      <c r="D16" s="2" t="n"/>
      <c r="E16" s="20" t="n"/>
      <c r="F16" s="20" t="n"/>
      <c r="G16" s="2" t="n"/>
      <c r="H16" s="2" t="n"/>
    </row>
    <row r="17">
      <c r="A17" s="2" t="inlineStr">
        <is>
          <t>AIGENSYN_USDT_PERP</t>
        </is>
      </c>
      <c r="B17" s="2" t="inlineStr">
        <is>
          <t>已掃描</t>
        </is>
      </c>
      <c r="C17" s="2" t="inlineStr"/>
      <c r="D17" s="2" t="n"/>
      <c r="E17" s="20" t="n"/>
      <c r="F17" s="20" t="n"/>
      <c r="G17" s="2" t="n"/>
      <c r="H17" s="2" t="n"/>
    </row>
    <row r="18">
      <c r="A18" s="2" t="inlineStr">
        <is>
          <t>AIN_USDT_PERP</t>
        </is>
      </c>
      <c r="B18" s="2" t="inlineStr">
        <is>
          <t>已掃描</t>
        </is>
      </c>
      <c r="C18" s="2" t="inlineStr"/>
      <c r="D18" s="2" t="n"/>
      <c r="E18" s="20" t="n"/>
      <c r="F18" s="20" t="n"/>
      <c r="G18" s="2" t="n"/>
      <c r="H18" s="2" t="n"/>
    </row>
    <row r="19">
      <c r="A19" s="2" t="inlineStr">
        <is>
          <t>AIO_USDT_PERP</t>
        </is>
      </c>
      <c r="B19" s="2" t="inlineStr">
        <is>
          <t>已掃描</t>
        </is>
      </c>
      <c r="C19" s="2" t="inlineStr"/>
      <c r="D19" s="2" t="n"/>
      <c r="E19" s="20" t="n"/>
      <c r="F19" s="20" t="n"/>
      <c r="G19" s="2" t="n"/>
      <c r="H19" s="2" t="n"/>
    </row>
    <row r="20">
      <c r="A20" s="2" t="inlineStr">
        <is>
          <t>AIXBT_USDT_PERP</t>
        </is>
      </c>
      <c r="B20" s="2" t="inlineStr">
        <is>
          <t>已掃描</t>
        </is>
      </c>
      <c r="C20" s="2" t="inlineStr"/>
      <c r="D20" s="2" t="n"/>
      <c r="E20" s="20" t="n"/>
      <c r="F20" s="20" t="n"/>
      <c r="G20" s="2" t="n"/>
      <c r="H20" s="2" t="n"/>
    </row>
    <row r="21">
      <c r="A21" s="2" t="inlineStr">
        <is>
          <t>AKE_USDT_PERP</t>
        </is>
      </c>
      <c r="B21" s="2" t="inlineStr">
        <is>
          <t>已掃描</t>
        </is>
      </c>
      <c r="C21" s="2" t="inlineStr">
        <is>
          <t>持倉中</t>
        </is>
      </c>
      <c r="D21" s="2" t="n"/>
      <c r="E21" s="20" t="n"/>
      <c r="F21" s="20" t="n"/>
      <c r="G21" s="2" t="n"/>
      <c r="H21" s="2" t="n"/>
    </row>
    <row r="22">
      <c r="A22" s="2" t="inlineStr">
        <is>
          <t>AKT_USDT_PERP</t>
        </is>
      </c>
      <c r="B22" s="2" t="inlineStr">
        <is>
          <t>已掃描</t>
        </is>
      </c>
      <c r="C22" s="2" t="inlineStr"/>
      <c r="D22" s="2" t="n"/>
      <c r="E22" s="20" t="n"/>
      <c r="F22" s="20" t="n"/>
      <c r="G22" s="2" t="n"/>
      <c r="H22" s="2" t="n"/>
    </row>
    <row r="23">
      <c r="A23" s="2" t="inlineStr">
        <is>
          <t>ALCH_USDT_PERP</t>
        </is>
      </c>
      <c r="B23" s="2" t="inlineStr">
        <is>
          <t>已掃描</t>
        </is>
      </c>
      <c r="C23" s="2" t="inlineStr"/>
      <c r="D23" s="2" t="n"/>
      <c r="E23" s="20" t="n"/>
      <c r="F23" s="20" t="n"/>
      <c r="G23" s="2" t="n"/>
      <c r="H23" s="2" t="n"/>
    </row>
    <row r="24">
      <c r="A24" s="2" t="inlineStr">
        <is>
          <t>ALGO_USDT_PERP</t>
        </is>
      </c>
      <c r="B24" s="2" t="inlineStr">
        <is>
          <t>已掃描</t>
        </is>
      </c>
      <c r="C24" s="2" t="inlineStr"/>
      <c r="D24" s="2" t="n"/>
      <c r="E24" s="20" t="n"/>
      <c r="F24" s="20" t="n"/>
      <c r="G24" s="2" t="n"/>
      <c r="H24" s="2" t="n"/>
    </row>
    <row r="25">
      <c r="A25" s="2" t="inlineStr">
        <is>
          <t>ALLO_USDT_PERP</t>
        </is>
      </c>
      <c r="B25" s="2" t="inlineStr">
        <is>
          <t>已掃描</t>
        </is>
      </c>
      <c r="C25" s="2" t="inlineStr"/>
      <c r="D25" s="2" t="n"/>
      <c r="E25" s="20" t="n"/>
      <c r="F25" s="20" t="n"/>
      <c r="G25" s="2" t="n"/>
      <c r="H25" s="2" t="n"/>
    </row>
    <row r="26">
      <c r="A26" s="2" t="inlineStr">
        <is>
          <t>ALL_USDT_PERP</t>
        </is>
      </c>
      <c r="B26" s="2" t="inlineStr">
        <is>
          <t>已掃描</t>
        </is>
      </c>
      <c r="C26" s="2" t="inlineStr"/>
      <c r="D26" s="2" t="n"/>
      <c r="E26" s="20" t="n"/>
      <c r="F26" s="20" t="n"/>
      <c r="G26" s="2" t="n"/>
      <c r="H26" s="2" t="n"/>
    </row>
    <row r="27">
      <c r="A27" s="2" t="inlineStr">
        <is>
          <t>ALT_USDT_PERP</t>
        </is>
      </c>
      <c r="B27" s="2" t="inlineStr">
        <is>
          <t>已掃描</t>
        </is>
      </c>
      <c r="C27" s="2" t="inlineStr"/>
      <c r="D27" s="2" t="n"/>
      <c r="E27" s="20" t="n"/>
      <c r="F27" s="20" t="n"/>
      <c r="G27" s="2" t="n"/>
      <c r="H27" s="2" t="n"/>
    </row>
    <row r="28">
      <c r="A28" s="2" t="inlineStr">
        <is>
          <t>ANIME_USDT_PERP</t>
        </is>
      </c>
      <c r="B28" s="2" t="inlineStr">
        <is>
          <t>已掃描</t>
        </is>
      </c>
      <c r="C28" s="2" t="inlineStr"/>
      <c r="D28" s="2" t="n"/>
      <c r="E28" s="20" t="n"/>
      <c r="F28" s="20" t="n"/>
      <c r="G28" s="2" t="n"/>
      <c r="H28" s="2" t="n"/>
    </row>
    <row r="29">
      <c r="A29" s="2" t="inlineStr">
        <is>
          <t>ANTHROPIC_USDT_PERP</t>
        </is>
      </c>
      <c r="B29" s="2" t="inlineStr">
        <is>
          <t>已掃描</t>
        </is>
      </c>
      <c r="C29" s="2" t="inlineStr"/>
      <c r="D29" s="2" t="n"/>
      <c r="E29" s="20" t="n"/>
      <c r="F29" s="20" t="n"/>
      <c r="G29" s="2" t="n"/>
      <c r="H29" s="2" t="n"/>
    </row>
    <row r="30">
      <c r="A30" s="2" t="inlineStr">
        <is>
          <t>APE_USDT_PERP</t>
        </is>
      </c>
      <c r="B30" s="2" t="inlineStr">
        <is>
          <t>已掃描</t>
        </is>
      </c>
      <c r="C30" s="2" t="inlineStr"/>
      <c r="D30" s="2" t="n"/>
      <c r="E30" s="20" t="n"/>
      <c r="F30" s="20" t="n"/>
      <c r="G30" s="2" t="n"/>
      <c r="H30" s="2" t="n"/>
    </row>
    <row r="31">
      <c r="A31" s="2" t="inlineStr">
        <is>
          <t>API3_USDT_PERP</t>
        </is>
      </c>
      <c r="B31" s="2" t="inlineStr">
        <is>
          <t>已掃描</t>
        </is>
      </c>
      <c r="C31" s="2" t="inlineStr"/>
      <c r="D31" s="2" t="n"/>
      <c r="E31" s="20" t="n"/>
      <c r="F31" s="20" t="n"/>
      <c r="G31" s="2" t="n"/>
      <c r="H31" s="2" t="n"/>
    </row>
    <row r="32">
      <c r="A32" s="2" t="inlineStr">
        <is>
          <t>APR_USDT_PERP</t>
        </is>
      </c>
      <c r="B32" s="2" t="inlineStr">
        <is>
          <t>已掃描</t>
        </is>
      </c>
      <c r="C32" s="2" t="inlineStr"/>
      <c r="D32" s="2" t="n"/>
      <c r="E32" s="20" t="n"/>
      <c r="F32" s="20" t="n"/>
      <c r="G32" s="2" t="n"/>
      <c r="H32" s="2" t="n"/>
    </row>
    <row r="33">
      <c r="A33" s="2" t="inlineStr">
        <is>
          <t>APT_USDT_PERP</t>
        </is>
      </c>
      <c r="B33" s="2" t="inlineStr">
        <is>
          <t>已掃描</t>
        </is>
      </c>
      <c r="C33" s="2" t="inlineStr"/>
      <c r="D33" s="2" t="n"/>
      <c r="E33" s="20" t="n"/>
      <c r="F33" s="20" t="n"/>
      <c r="G33" s="2" t="n"/>
      <c r="H33" s="2" t="n"/>
    </row>
    <row r="34">
      <c r="A34" s="2" t="inlineStr">
        <is>
          <t>ARB_USDT_PERP</t>
        </is>
      </c>
      <c r="B34" s="2" t="inlineStr">
        <is>
          <t>已掃描</t>
        </is>
      </c>
      <c r="C34" s="2" t="inlineStr"/>
      <c r="D34" s="2" t="n"/>
      <c r="E34" s="20" t="n"/>
      <c r="F34" s="20" t="n"/>
      <c r="G34" s="2" t="n"/>
      <c r="H34" s="2" t="n"/>
    </row>
    <row r="35">
      <c r="A35" s="2" t="inlineStr">
        <is>
          <t>ARC_USDT_PERP</t>
        </is>
      </c>
      <c r="B35" s="2" t="inlineStr">
        <is>
          <t>已掃描</t>
        </is>
      </c>
      <c r="C35" s="2" t="inlineStr"/>
      <c r="D35" s="2" t="n"/>
      <c r="E35" s="20" t="n"/>
      <c r="F35" s="20" t="n"/>
      <c r="G35" s="2" t="n"/>
      <c r="H35" s="2" t="n"/>
    </row>
    <row r="36">
      <c r="A36" s="2" t="inlineStr">
        <is>
          <t>ARIA_USDT_PERP</t>
        </is>
      </c>
      <c r="B36" s="2" t="inlineStr">
        <is>
          <t>已掃描</t>
        </is>
      </c>
      <c r="C36" s="2" t="inlineStr"/>
      <c r="D36" s="2" t="n"/>
      <c r="E36" s="20" t="n"/>
      <c r="F36" s="20" t="n"/>
      <c r="G36" s="2" t="n"/>
      <c r="H36" s="2" t="n"/>
    </row>
    <row r="37">
      <c r="A37" s="2" t="inlineStr">
        <is>
          <t>ARKM_USDT_PERP</t>
        </is>
      </c>
      <c r="B37" s="2" t="inlineStr">
        <is>
          <t>已掃描</t>
        </is>
      </c>
      <c r="C37" s="2" t="inlineStr"/>
      <c r="D37" s="2" t="n"/>
      <c r="E37" s="20" t="n"/>
      <c r="F37" s="20" t="n"/>
      <c r="G37" s="2" t="n"/>
      <c r="H37" s="2" t="n"/>
    </row>
    <row r="38">
      <c r="A38" s="2" t="inlineStr">
        <is>
          <t>ARPA_USDT_PERP</t>
        </is>
      </c>
      <c r="B38" s="2" t="inlineStr">
        <is>
          <t>已掃描</t>
        </is>
      </c>
      <c r="C38" s="2" t="inlineStr"/>
      <c r="D38" s="2" t="n"/>
      <c r="E38" s="20" t="n"/>
      <c r="F38" s="20" t="n"/>
      <c r="G38" s="2" t="n"/>
      <c r="H38" s="2" t="n"/>
    </row>
    <row r="39">
      <c r="A39" s="2" t="inlineStr">
        <is>
          <t>ARX_USDT_PERP</t>
        </is>
      </c>
      <c r="B39" s="2" t="inlineStr">
        <is>
          <t>已掃描</t>
        </is>
      </c>
      <c r="C39" s="2" t="inlineStr"/>
      <c r="D39" s="2" t="n"/>
      <c r="E39" s="20" t="n"/>
      <c r="F39" s="20" t="n"/>
      <c r="G39" s="2" t="n"/>
      <c r="H39" s="2" t="n"/>
    </row>
    <row r="40">
      <c r="A40" s="2" t="inlineStr">
        <is>
          <t>AR_USDT_PERP</t>
        </is>
      </c>
      <c r="B40" s="2" t="inlineStr">
        <is>
          <t>已掃描</t>
        </is>
      </c>
      <c r="C40" s="2" t="inlineStr"/>
      <c r="D40" s="2" t="n"/>
      <c r="E40" s="20" t="n"/>
      <c r="F40" s="20" t="n"/>
      <c r="G40" s="2" t="n"/>
      <c r="H40" s="2" t="n"/>
    </row>
    <row r="41">
      <c r="A41" s="2" t="inlineStr">
        <is>
          <t>ASTER_USDT_PERP</t>
        </is>
      </c>
      <c r="B41" s="2" t="inlineStr">
        <is>
          <t>已掃描</t>
        </is>
      </c>
      <c r="C41" s="2" t="inlineStr"/>
      <c r="D41" s="2" t="n"/>
      <c r="E41" s="20" t="n"/>
      <c r="F41" s="20" t="n"/>
      <c r="G41" s="2" t="n"/>
      <c r="H41" s="2" t="n"/>
    </row>
    <row r="42">
      <c r="A42" s="2" t="inlineStr">
        <is>
          <t>ASTR_USDT_PERP</t>
        </is>
      </c>
      <c r="B42" s="2" t="inlineStr">
        <is>
          <t>已掃描</t>
        </is>
      </c>
      <c r="C42" s="2" t="inlineStr"/>
      <c r="D42" s="2" t="n"/>
      <c r="E42" s="20" t="n"/>
      <c r="F42" s="20" t="n"/>
      <c r="G42" s="2" t="n"/>
      <c r="H42" s="2" t="n"/>
    </row>
    <row r="43">
      <c r="A43" s="2" t="inlineStr">
        <is>
          <t>ATH_USDT_PERP</t>
        </is>
      </c>
      <c r="B43" s="2" t="inlineStr">
        <is>
          <t>已掃描</t>
        </is>
      </c>
      <c r="C43" s="2" t="inlineStr"/>
      <c r="D43" s="2" t="n"/>
      <c r="E43" s="20" t="n"/>
      <c r="F43" s="20" t="n"/>
      <c r="G43" s="2" t="n"/>
      <c r="H43" s="2" t="n"/>
    </row>
    <row r="44">
      <c r="A44" s="2" t="inlineStr">
        <is>
          <t>ATOM_USDT_PERP</t>
        </is>
      </c>
      <c r="B44" s="2" t="inlineStr">
        <is>
          <t>已掃描</t>
        </is>
      </c>
      <c r="C44" s="2" t="inlineStr"/>
      <c r="D44" s="2" t="n"/>
      <c r="E44" s="20" t="n"/>
      <c r="F44" s="20" t="n"/>
      <c r="G44" s="2" t="n"/>
      <c r="H44" s="2" t="n"/>
    </row>
    <row r="45">
      <c r="A45" s="2" t="inlineStr">
        <is>
          <t>AT_USDT_PERP</t>
        </is>
      </c>
      <c r="B45" s="2" t="inlineStr">
        <is>
          <t>已掃描</t>
        </is>
      </c>
      <c r="C45" s="2" t="inlineStr"/>
      <c r="D45" s="2" t="n"/>
      <c r="E45" s="20" t="n"/>
      <c r="F45" s="20" t="n"/>
      <c r="G45" s="2" t="n"/>
      <c r="H45" s="2" t="n"/>
    </row>
    <row r="46">
      <c r="A46" s="2" t="inlineStr">
        <is>
          <t>AUCTION_USDT_PERP</t>
        </is>
      </c>
      <c r="B46" s="2" t="inlineStr">
        <is>
          <t>已掃描</t>
        </is>
      </c>
      <c r="C46" s="2" t="inlineStr"/>
      <c r="D46" s="2" t="n"/>
      <c r="E46" s="20" t="n"/>
      <c r="F46" s="20" t="n"/>
      <c r="G46" s="2" t="n"/>
      <c r="H46" s="2" t="n"/>
    </row>
    <row r="47">
      <c r="A47" s="2" t="inlineStr">
        <is>
          <t>AVAX_USDT_PERP</t>
        </is>
      </c>
      <c r="B47" s="2" t="inlineStr">
        <is>
          <t>已掃描</t>
        </is>
      </c>
      <c r="C47" s="2" t="inlineStr"/>
      <c r="D47" s="2" t="n"/>
      <c r="E47" s="20" t="n"/>
      <c r="F47" s="20" t="n"/>
      <c r="G47" s="2" t="n"/>
      <c r="H47" s="2" t="n"/>
    </row>
    <row r="48">
      <c r="A48" s="2" t="inlineStr">
        <is>
          <t>AVNT_USDT_PERP</t>
        </is>
      </c>
      <c r="B48" s="2" t="inlineStr">
        <is>
          <t>已掃描</t>
        </is>
      </c>
      <c r="C48" s="2" t="inlineStr"/>
      <c r="D48" s="2" t="n"/>
      <c r="E48" s="20" t="n"/>
      <c r="F48" s="20" t="n"/>
      <c r="G48" s="2" t="n"/>
      <c r="H48" s="2" t="n"/>
    </row>
    <row r="49">
      <c r="A49" s="2" t="inlineStr">
        <is>
          <t>AWE_USDT_PERP</t>
        </is>
      </c>
      <c r="B49" s="2" t="inlineStr">
        <is>
          <t>已掃描</t>
        </is>
      </c>
      <c r="C49" s="2" t="inlineStr"/>
      <c r="D49" s="2" t="n"/>
      <c r="E49" s="20" t="n"/>
      <c r="F49" s="20" t="n"/>
      <c r="G49" s="2" t="n"/>
      <c r="H49" s="2" t="n"/>
    </row>
    <row r="50">
      <c r="A50" s="2" t="inlineStr">
        <is>
          <t>AXL_USDT_PERP</t>
        </is>
      </c>
      <c r="B50" s="2" t="inlineStr">
        <is>
          <t>已掃描</t>
        </is>
      </c>
      <c r="C50" s="2" t="inlineStr"/>
      <c r="D50" s="2" t="n"/>
      <c r="E50" s="20" t="n"/>
      <c r="F50" s="20" t="n"/>
      <c r="G50" s="2" t="n"/>
      <c r="H50" s="2" t="n"/>
    </row>
    <row r="51">
      <c r="A51" s="2" t="inlineStr">
        <is>
          <t>AXS_USDT_PERP</t>
        </is>
      </c>
      <c r="B51" s="2" t="inlineStr">
        <is>
          <t>已掃描</t>
        </is>
      </c>
      <c r="C51" s="2" t="inlineStr"/>
      <c r="D51" s="2" t="n"/>
      <c r="E51" s="20" t="n"/>
      <c r="F51" s="20" t="n"/>
      <c r="G51" s="2" t="n"/>
      <c r="H51" s="2" t="n"/>
    </row>
    <row r="52">
      <c r="A52" s="2" t="inlineStr">
        <is>
          <t>A_USDT_PERP</t>
        </is>
      </c>
      <c r="B52" s="2" t="inlineStr">
        <is>
          <t>已掃描</t>
        </is>
      </c>
      <c r="C52" s="2" t="inlineStr"/>
      <c r="D52" s="2" t="n"/>
      <c r="E52" s="20" t="n"/>
      <c r="F52" s="20" t="n"/>
      <c r="G52" s="2" t="n"/>
      <c r="H52" s="2" t="n"/>
    </row>
    <row r="53">
      <c r="A53" s="2" t="inlineStr">
        <is>
          <t>BABY_USDT_PERP</t>
        </is>
      </c>
      <c r="B53" s="2" t="inlineStr">
        <is>
          <t>已掃描</t>
        </is>
      </c>
      <c r="C53" s="2" t="inlineStr"/>
      <c r="D53" s="2" t="n"/>
      <c r="E53" s="20" t="n"/>
      <c r="F53" s="20" t="n"/>
      <c r="G53" s="2" t="n"/>
      <c r="H53" s="2" t="n"/>
    </row>
    <row r="54">
      <c r="A54" s="2" t="inlineStr">
        <is>
          <t>BANANAS31_USDT_PERP</t>
        </is>
      </c>
      <c r="B54" s="2" t="inlineStr">
        <is>
          <t>已掃描</t>
        </is>
      </c>
      <c r="C54" s="2" t="inlineStr"/>
      <c r="D54" s="2" t="n"/>
      <c r="E54" s="20" t="n"/>
      <c r="F54" s="20" t="n"/>
      <c r="G54" s="2" t="n"/>
      <c r="H54" s="2" t="n"/>
    </row>
    <row r="55">
      <c r="A55" s="2" t="inlineStr">
        <is>
          <t>BANANA_USDT_PERP</t>
        </is>
      </c>
      <c r="B55" s="2" t="inlineStr">
        <is>
          <t>已掃描</t>
        </is>
      </c>
      <c r="C55" s="2" t="inlineStr"/>
      <c r="D55" s="2" t="n"/>
      <c r="E55" s="20" t="n"/>
      <c r="F55" s="20" t="n"/>
      <c r="G55" s="2" t="n"/>
      <c r="H55" s="2" t="n"/>
    </row>
    <row r="56">
      <c r="A56" s="2" t="inlineStr">
        <is>
          <t>BAND_USDT_PERP</t>
        </is>
      </c>
      <c r="B56" s="2" t="inlineStr">
        <is>
          <t>已掃描</t>
        </is>
      </c>
      <c r="C56" s="2" t="inlineStr"/>
      <c r="D56" s="2" t="n"/>
      <c r="E56" s="20" t="n"/>
      <c r="F56" s="20" t="n"/>
      <c r="G56" s="2" t="n"/>
      <c r="H56" s="2" t="n"/>
    </row>
    <row r="57">
      <c r="A57" s="2" t="inlineStr">
        <is>
          <t>BANK_USDT_PERP</t>
        </is>
      </c>
      <c r="B57" s="2" t="inlineStr">
        <is>
          <t>已掃描</t>
        </is>
      </c>
      <c r="C57" s="2" t="inlineStr"/>
      <c r="D57" s="2" t="n"/>
      <c r="E57" s="20" t="n"/>
      <c r="F57" s="20" t="n"/>
      <c r="G57" s="2" t="n"/>
      <c r="H57" s="2" t="n"/>
    </row>
    <row r="58">
      <c r="A58" s="2" t="inlineStr">
        <is>
          <t>BAN_USDT_PERP</t>
        </is>
      </c>
      <c r="B58" s="2" t="inlineStr">
        <is>
          <t>已掃描</t>
        </is>
      </c>
      <c r="C58" s="2" t="inlineStr"/>
      <c r="D58" s="2" t="n"/>
      <c r="E58" s="20" t="n"/>
      <c r="F58" s="20" t="n"/>
      <c r="G58" s="2" t="n"/>
      <c r="H58" s="2" t="n"/>
    </row>
    <row r="59">
      <c r="A59" s="2" t="inlineStr">
        <is>
          <t>BARD_USDT_PERP</t>
        </is>
      </c>
      <c r="B59" s="2" t="inlineStr">
        <is>
          <t>已掃描</t>
        </is>
      </c>
      <c r="C59" s="2" t="inlineStr"/>
      <c r="D59" s="2" t="n"/>
      <c r="E59" s="20" t="n"/>
      <c r="F59" s="20" t="n"/>
      <c r="G59" s="2" t="n"/>
      <c r="H59" s="2" t="n"/>
    </row>
    <row r="60">
      <c r="A60" s="2" t="inlineStr">
        <is>
          <t>BASED_USDT_PERP</t>
        </is>
      </c>
      <c r="B60" s="2" t="inlineStr">
        <is>
          <t>已掃描</t>
        </is>
      </c>
      <c r="C60" s="2" t="inlineStr"/>
      <c r="D60" s="2" t="n"/>
      <c r="E60" s="20" t="n"/>
      <c r="F60" s="20" t="n"/>
      <c r="G60" s="2" t="n"/>
      <c r="H60" s="2" t="n"/>
    </row>
    <row r="61">
      <c r="A61" s="2" t="inlineStr">
        <is>
          <t>BAS_USDT_PERP</t>
        </is>
      </c>
      <c r="B61" s="2" t="inlineStr">
        <is>
          <t>已掃描</t>
        </is>
      </c>
      <c r="C61" s="2" t="inlineStr"/>
      <c r="D61" s="2" t="n"/>
      <c r="E61" s="20" t="n"/>
      <c r="F61" s="20" t="n"/>
      <c r="G61" s="2" t="n"/>
      <c r="H61" s="2" t="n"/>
    </row>
    <row r="62">
      <c r="A62" s="2" t="inlineStr">
        <is>
          <t>BAT_USDT_PERP</t>
        </is>
      </c>
      <c r="B62" s="2" t="inlineStr">
        <is>
          <t>已掃描</t>
        </is>
      </c>
      <c r="C62" s="2" t="inlineStr"/>
      <c r="D62" s="2" t="n"/>
      <c r="E62" s="20" t="n"/>
      <c r="F62" s="20" t="n"/>
      <c r="G62" s="2" t="n"/>
      <c r="H62" s="2" t="n"/>
    </row>
    <row r="63">
      <c r="A63" s="2" t="inlineStr">
        <is>
          <t>BB_USDT_PERP</t>
        </is>
      </c>
      <c r="B63" s="2" t="inlineStr">
        <is>
          <t>已掃描</t>
        </is>
      </c>
      <c r="C63" s="2" t="inlineStr"/>
      <c r="D63" s="2" t="n"/>
      <c r="E63" s="20" t="n"/>
      <c r="F63" s="20" t="n"/>
      <c r="G63" s="2" t="n"/>
      <c r="H63" s="2" t="n"/>
    </row>
    <row r="64">
      <c r="A64" s="2" t="inlineStr">
        <is>
          <t>BCH_USDT_PERP</t>
        </is>
      </c>
      <c r="B64" s="2" t="inlineStr">
        <is>
          <t>已掃描</t>
        </is>
      </c>
      <c r="C64" s="2" t="inlineStr"/>
      <c r="D64" s="2" t="n"/>
      <c r="E64" s="20" t="n"/>
      <c r="F64" s="20" t="n"/>
      <c r="G64" s="2" t="n"/>
      <c r="H64" s="2" t="n"/>
    </row>
    <row r="65">
      <c r="A65" s="2" t="inlineStr">
        <is>
          <t>BEAMX_USDT_PERP</t>
        </is>
      </c>
      <c r="B65" s="2" t="inlineStr">
        <is>
          <t>已掃描</t>
        </is>
      </c>
      <c r="C65" s="2" t="inlineStr"/>
      <c r="D65" s="2" t="n"/>
      <c r="E65" s="20" t="n"/>
      <c r="F65" s="20" t="n"/>
      <c r="G65" s="2" t="n"/>
      <c r="H65" s="2" t="n"/>
    </row>
    <row r="66">
      <c r="A66" s="2" t="inlineStr">
        <is>
          <t>BEAT_USDT_PERP</t>
        </is>
      </c>
      <c r="B66" s="2" t="inlineStr">
        <is>
          <t>已掃描</t>
        </is>
      </c>
      <c r="C66" s="2" t="inlineStr"/>
      <c r="D66" s="2" t="n"/>
      <c r="E66" s="20" t="n"/>
      <c r="F66" s="20" t="n"/>
      <c r="G66" s="2" t="n"/>
      <c r="H66" s="2" t="n"/>
    </row>
    <row r="67">
      <c r="A67" s="2" t="inlineStr">
        <is>
          <t>BEL_USDT_PERP</t>
        </is>
      </c>
      <c r="B67" s="2" t="inlineStr">
        <is>
          <t>已掃描</t>
        </is>
      </c>
      <c r="C67" s="2" t="inlineStr"/>
      <c r="D67" s="2" t="n"/>
      <c r="E67" s="20" t="n"/>
      <c r="F67" s="20" t="n"/>
      <c r="G67" s="2" t="n"/>
      <c r="H67" s="2" t="n"/>
    </row>
    <row r="68">
      <c r="A68" s="2" t="inlineStr">
        <is>
          <t>BERA_USDT_PERP</t>
        </is>
      </c>
      <c r="B68" s="2" t="inlineStr">
        <is>
          <t>已掃描</t>
        </is>
      </c>
      <c r="C68" s="2" t="inlineStr"/>
      <c r="D68" s="2" t="n"/>
      <c r="E68" s="20" t="n"/>
      <c r="F68" s="20" t="n"/>
      <c r="G68" s="2" t="n"/>
      <c r="H68" s="2" t="n"/>
    </row>
    <row r="69">
      <c r="A69" s="2" t="inlineStr">
        <is>
          <t>BEX_USDT_PERP</t>
        </is>
      </c>
      <c r="B69" s="2" t="inlineStr">
        <is>
          <t>已掃描</t>
        </is>
      </c>
      <c r="C69" s="2" t="inlineStr"/>
      <c r="D69" s="2" t="n"/>
      <c r="E69" s="20" t="n"/>
      <c r="F69" s="20" t="n"/>
      <c r="G69" s="2" t="n"/>
      <c r="H69" s="2" t="n"/>
    </row>
    <row r="70">
      <c r="A70" s="2" t="inlineStr">
        <is>
          <t>BICO_USDT_PERP</t>
        </is>
      </c>
      <c r="B70" s="2" t="inlineStr">
        <is>
          <t>已掃描</t>
        </is>
      </c>
      <c r="C70" s="2" t="inlineStr"/>
      <c r="D70" s="2" t="n"/>
      <c r="E70" s="20" t="n"/>
      <c r="F70" s="20" t="n"/>
      <c r="G70" s="2" t="n"/>
      <c r="H70" s="2" t="n"/>
    </row>
    <row r="71">
      <c r="A71" s="2" t="inlineStr">
        <is>
          <t>BILL_USDT_PERP</t>
        </is>
      </c>
      <c r="B71" s="2" t="inlineStr">
        <is>
          <t>已掃描</t>
        </is>
      </c>
      <c r="C71" s="2" t="inlineStr"/>
      <c r="D71" s="2" t="n"/>
      <c r="E71" s="20" t="n"/>
      <c r="F71" s="20" t="n"/>
      <c r="G71" s="2" t="n"/>
      <c r="H71" s="2" t="n"/>
    </row>
    <row r="72">
      <c r="A72" s="2" t="inlineStr">
        <is>
          <t>BIO_USDT_PERP</t>
        </is>
      </c>
      <c r="B72" s="2" t="inlineStr">
        <is>
          <t>已掃描</t>
        </is>
      </c>
      <c r="C72" s="2" t="inlineStr"/>
      <c r="D72" s="2" t="n"/>
      <c r="E72" s="20" t="n"/>
      <c r="F72" s="20" t="n"/>
      <c r="G72" s="2" t="n"/>
      <c r="H72" s="2" t="n"/>
    </row>
    <row r="73">
      <c r="A73" s="2" t="inlineStr">
        <is>
          <t>BIRB_USDT_PERP</t>
        </is>
      </c>
      <c r="B73" s="2" t="inlineStr">
        <is>
          <t>已掃描</t>
        </is>
      </c>
      <c r="C73" s="2" t="inlineStr"/>
      <c r="D73" s="2" t="n"/>
      <c r="E73" s="20" t="n"/>
      <c r="F73" s="20" t="n"/>
      <c r="G73" s="2" t="n"/>
      <c r="H73" s="2" t="n"/>
    </row>
    <row r="74">
      <c r="A74" s="2" t="inlineStr">
        <is>
          <t>BLEND_USDT_PERP</t>
        </is>
      </c>
      <c r="B74" s="2" t="inlineStr">
        <is>
          <t>已掃描</t>
        </is>
      </c>
      <c r="C74" s="2" t="inlineStr"/>
      <c r="D74" s="2" t="n"/>
      <c r="E74" s="20" t="n"/>
      <c r="F74" s="20" t="n"/>
      <c r="G74" s="2" t="n"/>
      <c r="H74" s="2" t="n"/>
    </row>
    <row r="75">
      <c r="A75" s="2" t="inlineStr">
        <is>
          <t>BLESS_USDT_PERP</t>
        </is>
      </c>
      <c r="B75" s="2" t="inlineStr">
        <is>
          <t>已掃描</t>
        </is>
      </c>
      <c r="C75" s="2" t="inlineStr"/>
      <c r="D75" s="2" t="n"/>
      <c r="E75" s="20" t="n"/>
      <c r="F75" s="20" t="n"/>
      <c r="G75" s="2" t="n"/>
      <c r="H75" s="2" t="n"/>
    </row>
    <row r="76">
      <c r="A76" s="2" t="inlineStr">
        <is>
          <t>BLUAI_USDT_PERP</t>
        </is>
      </c>
      <c r="B76" s="2" t="inlineStr">
        <is>
          <t>已掃描</t>
        </is>
      </c>
      <c r="C76" s="2" t="inlineStr"/>
      <c r="D76" s="2" t="n"/>
      <c r="E76" s="20" t="n"/>
      <c r="F76" s="20" t="n"/>
      <c r="G76" s="2" t="n"/>
      <c r="H76" s="2" t="n"/>
    </row>
    <row r="77">
      <c r="A77" s="2" t="inlineStr">
        <is>
          <t>BLUR_USDT_PERP</t>
        </is>
      </c>
      <c r="B77" s="2" t="inlineStr">
        <is>
          <t>已掃描</t>
        </is>
      </c>
      <c r="C77" s="2" t="inlineStr"/>
      <c r="D77" s="2" t="n"/>
      <c r="E77" s="20" t="n"/>
      <c r="F77" s="20" t="n"/>
      <c r="G77" s="2" t="n"/>
      <c r="H77" s="2" t="n"/>
    </row>
    <row r="78">
      <c r="A78" s="2" t="inlineStr">
        <is>
          <t>BNB_USDT_PERP</t>
        </is>
      </c>
      <c r="B78" s="2" t="inlineStr">
        <is>
          <t>已掃描</t>
        </is>
      </c>
      <c r="C78" s="2" t="inlineStr"/>
      <c r="D78" s="2" t="n"/>
      <c r="E78" s="20" t="n"/>
      <c r="F78" s="20" t="n"/>
      <c r="G78" s="2" t="n"/>
      <c r="H78" s="2" t="n"/>
    </row>
    <row r="79">
      <c r="A79" s="2" t="inlineStr">
        <is>
          <t>BOME_USDT_PERP</t>
        </is>
      </c>
      <c r="B79" s="2" t="inlineStr">
        <is>
          <t>已掃描</t>
        </is>
      </c>
      <c r="C79" s="2" t="inlineStr"/>
      <c r="D79" s="2" t="n"/>
      <c r="E79" s="20" t="n"/>
      <c r="F79" s="20" t="n"/>
      <c r="G79" s="2" t="n"/>
      <c r="H79" s="2" t="n"/>
    </row>
    <row r="80">
      <c r="A80" s="2" t="inlineStr">
        <is>
          <t>BONK_USDT_PERP</t>
        </is>
      </c>
      <c r="B80" s="2" t="inlineStr">
        <is>
          <t>已掃描</t>
        </is>
      </c>
      <c r="C80" s="2" t="inlineStr"/>
      <c r="D80" s="2" t="n"/>
      <c r="E80" s="20" t="n"/>
      <c r="F80" s="20" t="n"/>
      <c r="G80" s="2" t="n"/>
      <c r="H80" s="2" t="n"/>
    </row>
    <row r="81">
      <c r="A81" s="2" t="inlineStr">
        <is>
          <t>BRENTOIL_USDT_PERP</t>
        </is>
      </c>
      <c r="B81" s="2" t="inlineStr">
        <is>
          <t>已掃描</t>
        </is>
      </c>
      <c r="C81" s="2" t="inlineStr"/>
      <c r="D81" s="2" t="n"/>
      <c r="E81" s="20" t="n"/>
      <c r="F81" s="20" t="n"/>
      <c r="G81" s="2" t="n"/>
      <c r="H81" s="2" t="n"/>
    </row>
    <row r="82">
      <c r="A82" s="2" t="inlineStr">
        <is>
          <t>BRETT_USDT_PERP</t>
        </is>
      </c>
      <c r="B82" s="2" t="inlineStr">
        <is>
          <t>已掃描</t>
        </is>
      </c>
      <c r="C82" s="2" t="inlineStr"/>
      <c r="D82" s="2" t="n"/>
      <c r="E82" s="20" t="n"/>
      <c r="F82" s="20" t="n"/>
      <c r="G82" s="2" t="n"/>
      <c r="H82" s="2" t="n"/>
    </row>
    <row r="83">
      <c r="A83" s="2" t="inlineStr">
        <is>
          <t>BREV_USDT_PERP</t>
        </is>
      </c>
      <c r="B83" s="2" t="inlineStr">
        <is>
          <t>已掃描</t>
        </is>
      </c>
      <c r="C83" s="2" t="inlineStr"/>
      <c r="D83" s="2" t="n"/>
      <c r="E83" s="20" t="n"/>
      <c r="F83" s="20" t="n"/>
      <c r="G83" s="2" t="n"/>
      <c r="H83" s="2" t="n"/>
    </row>
    <row r="84">
      <c r="A84" s="2" t="inlineStr">
        <is>
          <t>BROCCOLI_USDT_PERP</t>
        </is>
      </c>
      <c r="B84" s="2" t="inlineStr">
        <is>
          <t>已掃描</t>
        </is>
      </c>
      <c r="C84" s="2" t="inlineStr"/>
      <c r="D84" s="2" t="n"/>
      <c r="E84" s="20" t="n"/>
      <c r="F84" s="20" t="n"/>
      <c r="G84" s="2" t="n"/>
      <c r="H84" s="2" t="n"/>
    </row>
    <row r="85">
      <c r="A85" s="2" t="inlineStr">
        <is>
          <t>BR_USDT_PERP</t>
        </is>
      </c>
      <c r="B85" s="2" t="inlineStr">
        <is>
          <t>已掃描</t>
        </is>
      </c>
      <c r="C85" s="2" t="inlineStr"/>
      <c r="D85" s="2" t="n"/>
      <c r="E85" s="20" t="n"/>
      <c r="F85" s="20" t="n"/>
      <c r="G85" s="2" t="n"/>
      <c r="H85" s="2" t="n"/>
    </row>
    <row r="86">
      <c r="A86" s="2" t="inlineStr">
        <is>
          <t>BSB_USDT_PERP</t>
        </is>
      </c>
      <c r="B86" s="2" t="inlineStr">
        <is>
          <t>已掃描</t>
        </is>
      </c>
      <c r="C86" s="2" t="inlineStr"/>
      <c r="D86" s="2" t="n"/>
      <c r="E86" s="20" t="n"/>
      <c r="F86" s="20" t="n"/>
      <c r="G86" s="2" t="n"/>
      <c r="H86" s="2" t="n"/>
    </row>
    <row r="87">
      <c r="A87" s="2" t="inlineStr">
        <is>
          <t>BSV_USDT_PERP</t>
        </is>
      </c>
      <c r="B87" s="2" t="inlineStr">
        <is>
          <t>已掃描</t>
        </is>
      </c>
      <c r="C87" s="2" t="inlineStr"/>
      <c r="D87" s="2" t="n"/>
      <c r="E87" s="20" t="n"/>
      <c r="F87" s="20" t="n"/>
      <c r="G87" s="2" t="n"/>
      <c r="H87" s="2" t="n"/>
    </row>
    <row r="88">
      <c r="A88" s="2" t="inlineStr">
        <is>
          <t>BTC_USDT_PERP</t>
        </is>
      </c>
      <c r="B88" s="2" t="inlineStr">
        <is>
          <t>已掃描</t>
        </is>
      </c>
      <c r="C88" s="2" t="inlineStr"/>
      <c r="D88" s="2" t="n"/>
      <c r="E88" s="20" t="n"/>
      <c r="F88" s="20" t="n"/>
      <c r="G88" s="2" t="n"/>
      <c r="H88" s="2" t="n"/>
    </row>
    <row r="89">
      <c r="A89" s="2" t="inlineStr">
        <is>
          <t>BTR_USDT_PERP</t>
        </is>
      </c>
      <c r="B89" s="2" t="inlineStr">
        <is>
          <t>已掃描</t>
        </is>
      </c>
      <c r="C89" s="2" t="inlineStr"/>
      <c r="D89" s="2" t="n"/>
      <c r="E89" s="20" t="n"/>
      <c r="F89" s="20" t="n"/>
      <c r="G89" s="2" t="n"/>
      <c r="H89" s="2" t="n"/>
    </row>
    <row r="90">
      <c r="A90" s="2" t="inlineStr">
        <is>
          <t>BTW_USDT_PERP</t>
        </is>
      </c>
      <c r="B90" s="2" t="inlineStr">
        <is>
          <t>已掃描</t>
        </is>
      </c>
      <c r="C90" s="2" t="inlineStr">
        <is>
          <t>持倉中</t>
        </is>
      </c>
      <c r="D90" s="2" t="n"/>
      <c r="E90" s="20" t="n"/>
      <c r="F90" s="20" t="n"/>
      <c r="G90" s="2" t="n"/>
      <c r="H90" s="2" t="n"/>
    </row>
    <row r="91">
      <c r="A91" s="2" t="inlineStr">
        <is>
          <t>BULLA_USDT_PERP</t>
        </is>
      </c>
      <c r="B91" s="2" t="inlineStr">
        <is>
          <t>已掃描</t>
        </is>
      </c>
      <c r="C91" s="2" t="inlineStr"/>
      <c r="D91" s="2" t="n"/>
      <c r="E91" s="20" t="n"/>
      <c r="F91" s="20" t="n"/>
      <c r="G91" s="2" t="n"/>
      <c r="H91" s="2" t="n"/>
    </row>
    <row r="92">
      <c r="A92" s="2" t="inlineStr">
        <is>
          <t>B_USDT_PERP</t>
        </is>
      </c>
      <c r="B92" s="2" t="inlineStr">
        <is>
          <t>已掃描</t>
        </is>
      </c>
      <c r="C92" s="2" t="inlineStr"/>
      <c r="D92" s="2" t="n"/>
      <c r="E92" s="20" t="n"/>
      <c r="F92" s="20" t="n"/>
      <c r="G92" s="2" t="n"/>
      <c r="H92" s="2" t="n"/>
    </row>
    <row r="93">
      <c r="A93" s="2" t="inlineStr">
        <is>
          <t>CAKE_USDT_PERP</t>
        </is>
      </c>
      <c r="B93" s="2" t="inlineStr">
        <is>
          <t>已掃描</t>
        </is>
      </c>
      <c r="C93" s="2" t="inlineStr"/>
      <c r="D93" s="2" t="n"/>
      <c r="E93" s="20" t="n"/>
      <c r="F93" s="20" t="n"/>
      <c r="G93" s="2" t="n"/>
      <c r="H93" s="2" t="n"/>
    </row>
    <row r="94">
      <c r="A94" s="2" t="inlineStr">
        <is>
          <t>CAP_USDT_PERP</t>
        </is>
      </c>
      <c r="B94" s="2" t="inlineStr">
        <is>
          <t>已掃描</t>
        </is>
      </c>
      <c r="C94" s="2" t="inlineStr"/>
      <c r="D94" s="2" t="n"/>
      <c r="E94" s="20" t="n"/>
      <c r="F94" s="20" t="n"/>
      <c r="G94" s="2" t="n"/>
      <c r="H94" s="2" t="n"/>
    </row>
    <row r="95">
      <c r="A95" s="2" t="inlineStr">
        <is>
          <t>CASHCAT_USDT_PERP</t>
        </is>
      </c>
      <c r="B95" s="2" t="inlineStr">
        <is>
          <t>已掃描</t>
        </is>
      </c>
      <c r="C95" s="2" t="inlineStr"/>
      <c r="D95" s="2" t="n"/>
      <c r="E95" s="20" t="n"/>
      <c r="F95" s="20" t="n"/>
      <c r="G95" s="2" t="n"/>
      <c r="H95" s="2" t="n"/>
    </row>
    <row r="96">
      <c r="A96" s="2" t="inlineStr">
        <is>
          <t>CATI_USDT_PERP</t>
        </is>
      </c>
      <c r="B96" s="2" t="inlineStr">
        <is>
          <t>已掃描</t>
        </is>
      </c>
      <c r="C96" s="2" t="inlineStr"/>
      <c r="D96" s="2" t="n"/>
      <c r="E96" s="20" t="n"/>
      <c r="F96" s="20" t="n"/>
      <c r="G96" s="2" t="n"/>
      <c r="H96" s="2" t="n"/>
    </row>
    <row r="97">
      <c r="A97" s="2" t="inlineStr">
        <is>
          <t>CBRS_USDT_PERP</t>
        </is>
      </c>
      <c r="B97" s="2" t="inlineStr">
        <is>
          <t>已掃描</t>
        </is>
      </c>
      <c r="C97" s="2" t="inlineStr"/>
      <c r="D97" s="2" t="n"/>
      <c r="E97" s="20" t="n"/>
      <c r="F97" s="20" t="n"/>
      <c r="G97" s="2" t="n"/>
      <c r="H97" s="2" t="n"/>
    </row>
    <row r="98">
      <c r="A98" s="2" t="inlineStr">
        <is>
          <t>CC_USDT_PERP</t>
        </is>
      </c>
      <c r="B98" s="2" t="inlineStr">
        <is>
          <t>已掃描</t>
        </is>
      </c>
      <c r="C98" s="2" t="inlineStr"/>
      <c r="D98" s="2" t="n"/>
      <c r="E98" s="20" t="n"/>
      <c r="F98" s="20" t="n"/>
      <c r="G98" s="2" t="n"/>
      <c r="H98" s="2" t="n"/>
    </row>
    <row r="99">
      <c r="A99" s="2" t="inlineStr">
        <is>
          <t>CETUS_USDT_PERP</t>
        </is>
      </c>
      <c r="B99" s="2" t="inlineStr">
        <is>
          <t>已掃描</t>
        </is>
      </c>
      <c r="C99" s="2" t="inlineStr"/>
      <c r="D99" s="2" t="n"/>
      <c r="E99" s="20" t="n"/>
      <c r="F99" s="20" t="n"/>
      <c r="G99" s="2" t="n"/>
      <c r="H99" s="2" t="n"/>
    </row>
    <row r="100">
      <c r="A100" s="2" t="inlineStr">
        <is>
          <t>CFG_USDT_PERP</t>
        </is>
      </c>
      <c r="B100" s="2" t="inlineStr">
        <is>
          <t>已掃描</t>
        </is>
      </c>
      <c r="C100" s="2" t="inlineStr"/>
      <c r="D100" s="2" t="n"/>
      <c r="E100" s="20" t="n"/>
      <c r="F100" s="20" t="n"/>
      <c r="G100" s="2" t="n"/>
      <c r="H100" s="2" t="n"/>
    </row>
    <row r="101">
      <c r="A101" s="2" t="inlineStr">
        <is>
          <t>CFX_USDT_PERP</t>
        </is>
      </c>
      <c r="B101" s="2" t="inlineStr">
        <is>
          <t>已掃描</t>
        </is>
      </c>
      <c r="C101" s="2" t="inlineStr"/>
      <c r="D101" s="2" t="n"/>
      <c r="E101" s="20" t="n"/>
      <c r="F101" s="20" t="n"/>
      <c r="G101" s="2" t="n"/>
      <c r="H101" s="2" t="n"/>
    </row>
    <row r="102">
      <c r="A102" s="2" t="inlineStr">
        <is>
          <t>CF_USDT_PERP</t>
        </is>
      </c>
      <c r="B102" s="2" t="inlineStr">
        <is>
          <t>已掃描</t>
        </is>
      </c>
      <c r="C102" s="2" t="inlineStr"/>
      <c r="D102" s="2" t="n"/>
      <c r="E102" s="20" t="n"/>
      <c r="F102" s="20" t="n"/>
      <c r="G102" s="2" t="n"/>
      <c r="H102" s="2" t="n"/>
    </row>
    <row r="103">
      <c r="A103" s="2" t="inlineStr">
        <is>
          <t>CHIP_USDT_PERP</t>
        </is>
      </c>
      <c r="B103" s="2" t="inlineStr">
        <is>
          <t>已掃描</t>
        </is>
      </c>
      <c r="C103" s="2" t="inlineStr"/>
      <c r="D103" s="2" t="n"/>
      <c r="E103" s="20" t="n"/>
      <c r="F103" s="20" t="n"/>
      <c r="G103" s="2" t="n"/>
      <c r="H103" s="2" t="n"/>
    </row>
    <row r="104">
      <c r="A104" s="2" t="inlineStr">
        <is>
          <t>CHZ_USDT_PERP</t>
        </is>
      </c>
      <c r="B104" s="2" t="inlineStr">
        <is>
          <t>已掃描</t>
        </is>
      </c>
      <c r="C104" s="2" t="inlineStr"/>
      <c r="D104" s="2" t="n"/>
      <c r="E104" s="20" t="n"/>
      <c r="F104" s="20" t="n"/>
      <c r="G104" s="2" t="n"/>
      <c r="H104" s="2" t="n"/>
    </row>
    <row r="105">
      <c r="A105" s="2" t="inlineStr">
        <is>
          <t>CKB_USDT_PERP</t>
        </is>
      </c>
      <c r="B105" s="2" t="inlineStr">
        <is>
          <t>已掃描</t>
        </is>
      </c>
      <c r="C105" s="2" t="inlineStr"/>
      <c r="D105" s="2" t="n"/>
      <c r="E105" s="20" t="n"/>
      <c r="F105" s="20" t="n"/>
      <c r="G105" s="2" t="n"/>
      <c r="H105" s="2" t="n"/>
    </row>
    <row r="106">
      <c r="A106" s="2" t="inlineStr">
        <is>
          <t>CLANKER_USDT_PERP</t>
        </is>
      </c>
      <c r="B106" s="2" t="inlineStr">
        <is>
          <t>已掃描</t>
        </is>
      </c>
      <c r="C106" s="2" t="inlineStr"/>
      <c r="D106" s="2" t="n"/>
      <c r="E106" s="20" t="n"/>
      <c r="F106" s="20" t="n"/>
      <c r="G106" s="2" t="n"/>
      <c r="H106" s="2" t="n"/>
    </row>
    <row r="107">
      <c r="A107" s="2" t="inlineStr">
        <is>
          <t>CLO_USDT_PERP</t>
        </is>
      </c>
      <c r="B107" s="2" t="inlineStr">
        <is>
          <t>已掃描</t>
        </is>
      </c>
      <c r="C107" s="2" t="inlineStr"/>
      <c r="D107" s="2" t="n"/>
      <c r="E107" s="20" t="n"/>
      <c r="F107" s="20" t="n"/>
      <c r="G107" s="2" t="n"/>
      <c r="H107" s="2" t="n"/>
    </row>
    <row r="108">
      <c r="A108" s="2" t="inlineStr">
        <is>
          <t>COAI_USDT_PERP</t>
        </is>
      </c>
      <c r="B108" s="2" t="inlineStr">
        <is>
          <t>已掃描</t>
        </is>
      </c>
      <c r="C108" s="2" t="inlineStr"/>
      <c r="D108" s="2" t="n"/>
      <c r="E108" s="20" t="n"/>
      <c r="F108" s="20" t="n"/>
      <c r="G108" s="2" t="n"/>
      <c r="H108" s="2" t="n"/>
    </row>
    <row r="109">
      <c r="A109" s="2" t="inlineStr">
        <is>
          <t>COLLECT_USDT_PERP</t>
        </is>
      </c>
      <c r="B109" s="2" t="inlineStr">
        <is>
          <t>已掃描</t>
        </is>
      </c>
      <c r="C109" s="2" t="inlineStr"/>
      <c r="D109" s="2" t="n"/>
      <c r="E109" s="20" t="n"/>
      <c r="F109" s="20" t="n"/>
      <c r="G109" s="2" t="n"/>
      <c r="H109" s="2" t="n"/>
    </row>
    <row r="110">
      <c r="A110" s="2" t="inlineStr">
        <is>
          <t>COMP_USDT_PERP</t>
        </is>
      </c>
      <c r="B110" s="2" t="inlineStr">
        <is>
          <t>已掃描</t>
        </is>
      </c>
      <c r="C110" s="2" t="inlineStr"/>
      <c r="D110" s="2" t="n"/>
      <c r="E110" s="20" t="n"/>
      <c r="F110" s="20" t="n"/>
      <c r="G110" s="2" t="n"/>
      <c r="H110" s="2" t="n"/>
    </row>
    <row r="111">
      <c r="A111" s="2" t="inlineStr">
        <is>
          <t>COOKIE_USDT_PERP</t>
        </is>
      </c>
      <c r="B111" s="2" t="inlineStr">
        <is>
          <t>已掃描</t>
        </is>
      </c>
      <c r="C111" s="2" t="inlineStr"/>
      <c r="D111" s="2" t="n"/>
      <c r="E111" s="20" t="n"/>
      <c r="F111" s="20" t="n"/>
      <c r="G111" s="2" t="n"/>
      <c r="H111" s="2" t="n"/>
    </row>
    <row r="112">
      <c r="A112" s="2" t="inlineStr">
        <is>
          <t>COTI_USDT_PERP</t>
        </is>
      </c>
      <c r="B112" s="2" t="inlineStr">
        <is>
          <t>已掃描</t>
        </is>
      </c>
      <c r="C112" s="2" t="inlineStr"/>
      <c r="D112" s="2" t="n"/>
      <c r="E112" s="20" t="n"/>
      <c r="F112" s="20" t="n"/>
      <c r="G112" s="2" t="n"/>
      <c r="H112" s="2" t="n"/>
    </row>
    <row r="113">
      <c r="A113" s="2" t="inlineStr">
        <is>
          <t>CROSS_USDT_PERP</t>
        </is>
      </c>
      <c r="B113" s="2" t="inlineStr">
        <is>
          <t>已掃描</t>
        </is>
      </c>
      <c r="C113" s="2" t="inlineStr"/>
      <c r="D113" s="2" t="n"/>
      <c r="E113" s="20" t="n"/>
      <c r="F113" s="20" t="n"/>
      <c r="G113" s="2" t="n"/>
      <c r="H113" s="2" t="n"/>
    </row>
    <row r="114">
      <c r="A114" s="2" t="inlineStr">
        <is>
          <t>CRO_USDT_PERP</t>
        </is>
      </c>
      <c r="B114" s="2" t="inlineStr">
        <is>
          <t>已掃描</t>
        </is>
      </c>
      <c r="C114" s="2" t="inlineStr"/>
      <c r="D114" s="2" t="n"/>
      <c r="E114" s="20" t="n"/>
      <c r="F114" s="20" t="n"/>
      <c r="G114" s="2" t="n"/>
      <c r="H114" s="2" t="n"/>
    </row>
    <row r="115">
      <c r="A115" s="2" t="inlineStr">
        <is>
          <t>CRV_USDT_PERP</t>
        </is>
      </c>
      <c r="B115" s="2" t="inlineStr">
        <is>
          <t>已掃描</t>
        </is>
      </c>
      <c r="C115" s="2" t="inlineStr"/>
      <c r="D115" s="2" t="n"/>
      <c r="E115" s="20" t="n"/>
      <c r="F115" s="20" t="n"/>
      <c r="G115" s="2" t="n"/>
      <c r="H115" s="2" t="n"/>
    </row>
    <row r="116">
      <c r="A116" s="2" t="inlineStr">
        <is>
          <t>CTR_USDT_PERP</t>
        </is>
      </c>
      <c r="B116" s="2" t="inlineStr">
        <is>
          <t>已掃描</t>
        </is>
      </c>
      <c r="C116" s="2" t="inlineStr"/>
      <c r="D116" s="2" t="n"/>
      <c r="E116" s="20" t="n"/>
      <c r="F116" s="20" t="n"/>
      <c r="G116" s="2" t="n"/>
      <c r="H116" s="2" t="n"/>
    </row>
    <row r="117">
      <c r="A117" s="2" t="inlineStr">
        <is>
          <t>CVX_USDT_PERP</t>
        </is>
      </c>
      <c r="B117" s="2" t="inlineStr">
        <is>
          <t>已掃描</t>
        </is>
      </c>
      <c r="C117" s="2" t="inlineStr"/>
      <c r="D117" s="2" t="n"/>
      <c r="E117" s="20" t="n"/>
      <c r="F117" s="20" t="n"/>
      <c r="G117" s="2" t="n"/>
      <c r="H117" s="2" t="n"/>
    </row>
    <row r="118">
      <c r="A118" s="2" t="inlineStr">
        <is>
          <t>CYS_USDT_PERP</t>
        </is>
      </c>
      <c r="B118" s="2" t="inlineStr">
        <is>
          <t>已掃描</t>
        </is>
      </c>
      <c r="C118" s="2" t="inlineStr"/>
      <c r="D118" s="2" t="n"/>
      <c r="E118" s="20" t="n"/>
      <c r="F118" s="20" t="n"/>
      <c r="G118" s="2" t="n"/>
      <c r="H118" s="2" t="n"/>
    </row>
    <row r="119">
      <c r="A119" s="2" t="inlineStr">
        <is>
          <t>DASH_USDT_PERP</t>
        </is>
      </c>
      <c r="B119" s="2" t="inlineStr">
        <is>
          <t>已掃描</t>
        </is>
      </c>
      <c r="C119" s="2" t="inlineStr"/>
      <c r="D119" s="2" t="n"/>
      <c r="E119" s="20" t="n"/>
      <c r="F119" s="20" t="n"/>
      <c r="G119" s="2" t="n"/>
      <c r="H119" s="2" t="n"/>
    </row>
    <row r="120">
      <c r="A120" s="2" t="inlineStr">
        <is>
          <t>DATA_USDT_PERP</t>
        </is>
      </c>
      <c r="B120" s="2" t="inlineStr">
        <is>
          <t>已掃描</t>
        </is>
      </c>
      <c r="C120" s="2" t="inlineStr"/>
      <c r="D120" s="2" t="n"/>
      <c r="E120" s="20" t="n"/>
      <c r="F120" s="20" t="n"/>
      <c r="G120" s="2" t="n"/>
      <c r="H120" s="2" t="n"/>
    </row>
    <row r="121">
      <c r="A121" s="2" t="inlineStr">
        <is>
          <t>DODO_USDT_PERP</t>
        </is>
      </c>
      <c r="B121" s="2" t="inlineStr">
        <is>
          <t>已掃描</t>
        </is>
      </c>
      <c r="C121" s="2" t="inlineStr"/>
      <c r="D121" s="2" t="n"/>
      <c r="E121" s="20" t="n"/>
      <c r="F121" s="20" t="n"/>
      <c r="G121" s="2" t="n"/>
      <c r="H121" s="2" t="n"/>
    </row>
    <row r="122">
      <c r="A122" s="2" t="inlineStr">
        <is>
          <t>DOGE_USDT_PERP</t>
        </is>
      </c>
      <c r="B122" s="2" t="inlineStr">
        <is>
          <t>已掃描</t>
        </is>
      </c>
      <c r="C122" s="2" t="inlineStr"/>
      <c r="D122" s="2" t="n"/>
      <c r="E122" s="20" t="n"/>
      <c r="F122" s="20" t="n"/>
      <c r="G122" s="2" t="n"/>
      <c r="H122" s="2" t="n"/>
    </row>
    <row r="123">
      <c r="A123" s="2" t="inlineStr">
        <is>
          <t>DOGS_USDT_PERP</t>
        </is>
      </c>
      <c r="B123" s="2" t="inlineStr">
        <is>
          <t>已掃描</t>
        </is>
      </c>
      <c r="C123" s="2" t="inlineStr"/>
      <c r="D123" s="2" t="n"/>
      <c r="E123" s="20" t="n"/>
      <c r="F123" s="20" t="n"/>
      <c r="G123" s="2" t="n"/>
      <c r="H123" s="2" t="n"/>
    </row>
    <row r="124">
      <c r="A124" s="2" t="inlineStr">
        <is>
          <t>DOLO_USDT_PERP</t>
        </is>
      </c>
      <c r="B124" s="2" t="inlineStr">
        <is>
          <t>已掃描</t>
        </is>
      </c>
      <c r="C124" s="2" t="inlineStr"/>
      <c r="D124" s="2" t="n"/>
      <c r="E124" s="20" t="n"/>
      <c r="F124" s="20" t="n"/>
      <c r="G124" s="2" t="n"/>
      <c r="H124" s="2" t="n"/>
    </row>
    <row r="125">
      <c r="A125" s="2" t="inlineStr">
        <is>
          <t>DOS_USDT_PERP</t>
        </is>
      </c>
      <c r="B125" s="2" t="inlineStr">
        <is>
          <t>已掃描</t>
        </is>
      </c>
      <c r="C125" s="2" t="inlineStr"/>
      <c r="D125" s="2" t="n"/>
      <c r="E125" s="20" t="n"/>
      <c r="F125" s="20" t="n"/>
      <c r="G125" s="2" t="n"/>
      <c r="H125" s="2" t="n"/>
    </row>
    <row r="126">
      <c r="A126" s="2" t="inlineStr">
        <is>
          <t>DOT_USDT_PERP</t>
        </is>
      </c>
      <c r="B126" s="2" t="inlineStr">
        <is>
          <t>已掃描</t>
        </is>
      </c>
      <c r="C126" s="2" t="inlineStr"/>
      <c r="D126" s="2" t="n"/>
      <c r="E126" s="20" t="n"/>
      <c r="F126" s="20" t="n"/>
      <c r="G126" s="2" t="n"/>
      <c r="H126" s="2" t="n"/>
    </row>
    <row r="127">
      <c r="A127" s="2" t="inlineStr">
        <is>
          <t>DRIFT_USDT_PERP</t>
        </is>
      </c>
      <c r="B127" s="2" t="inlineStr">
        <is>
          <t>已掃描</t>
        </is>
      </c>
      <c r="C127" s="2" t="inlineStr"/>
      <c r="D127" s="2" t="n"/>
      <c r="E127" s="20" t="n"/>
      <c r="F127" s="20" t="n"/>
      <c r="G127" s="2" t="n"/>
      <c r="H127" s="2" t="n"/>
    </row>
    <row r="128">
      <c r="A128" s="2" t="inlineStr">
        <is>
          <t>DUSK_USDT_PERP</t>
        </is>
      </c>
      <c r="B128" s="2" t="inlineStr">
        <is>
          <t>已掃描</t>
        </is>
      </c>
      <c r="C128" s="2" t="inlineStr"/>
      <c r="D128" s="2" t="n"/>
      <c r="E128" s="20" t="n"/>
      <c r="F128" s="20" t="n"/>
      <c r="G128" s="2" t="n"/>
      <c r="H128" s="2" t="n"/>
    </row>
    <row r="129">
      <c r="A129" s="2" t="inlineStr">
        <is>
          <t>DYM_USDT_PERP</t>
        </is>
      </c>
      <c r="B129" s="2" t="inlineStr">
        <is>
          <t>已掃描</t>
        </is>
      </c>
      <c r="C129" s="2" t="inlineStr"/>
      <c r="D129" s="2" t="n"/>
      <c r="E129" s="20" t="n"/>
      <c r="F129" s="20" t="n"/>
      <c r="G129" s="2" t="n"/>
      <c r="H129" s="2" t="n"/>
    </row>
    <row r="130">
      <c r="A130" s="2" t="inlineStr">
        <is>
          <t>EDEN_USDT_PERP</t>
        </is>
      </c>
      <c r="B130" s="2" t="inlineStr">
        <is>
          <t>已掃描</t>
        </is>
      </c>
      <c r="C130" s="2" t="inlineStr"/>
      <c r="D130" s="2" t="n"/>
      <c r="E130" s="20" t="n"/>
      <c r="F130" s="20" t="n"/>
      <c r="G130" s="2" t="n"/>
      <c r="H130" s="2" t="n"/>
    </row>
    <row r="131">
      <c r="A131" s="2" t="inlineStr">
        <is>
          <t>EDGE_USDT_PERP</t>
        </is>
      </c>
      <c r="B131" s="2" t="inlineStr">
        <is>
          <t>已掃描</t>
        </is>
      </c>
      <c r="C131" s="2" t="inlineStr"/>
      <c r="D131" s="2" t="n"/>
      <c r="E131" s="20" t="n"/>
      <c r="F131" s="20" t="n"/>
      <c r="G131" s="2" t="n"/>
      <c r="H131" s="2" t="n"/>
    </row>
    <row r="132">
      <c r="A132" s="2" t="inlineStr">
        <is>
          <t>EDU_USDT_PERP</t>
        </is>
      </c>
      <c r="B132" s="2" t="inlineStr">
        <is>
          <t>已掃描</t>
        </is>
      </c>
      <c r="C132" s="2" t="inlineStr"/>
      <c r="D132" s="2" t="n"/>
      <c r="E132" s="20" t="n"/>
      <c r="F132" s="20" t="n"/>
      <c r="G132" s="2" t="n"/>
      <c r="H132" s="2" t="n"/>
    </row>
    <row r="133">
      <c r="A133" s="2" t="inlineStr">
        <is>
          <t>EGLD_USDT_PERP</t>
        </is>
      </c>
      <c r="B133" s="2" t="inlineStr">
        <is>
          <t>已掃描</t>
        </is>
      </c>
      <c r="C133" s="2" t="inlineStr"/>
      <c r="D133" s="2" t="n"/>
      <c r="E133" s="20" t="n"/>
      <c r="F133" s="20" t="n"/>
      <c r="G133" s="2" t="n"/>
      <c r="H133" s="2" t="n"/>
    </row>
    <row r="134">
      <c r="A134" s="2" t="inlineStr">
        <is>
          <t>EIGEN_USDT_PERP</t>
        </is>
      </c>
      <c r="B134" s="2" t="inlineStr">
        <is>
          <t>已掃描</t>
        </is>
      </c>
      <c r="C134" s="2" t="inlineStr"/>
      <c r="D134" s="2" t="n"/>
      <c r="E134" s="20" t="n"/>
      <c r="F134" s="20" t="n"/>
      <c r="G134" s="2" t="n"/>
      <c r="H134" s="2" t="n"/>
    </row>
    <row r="135">
      <c r="A135" s="2" t="inlineStr">
        <is>
          <t>ELSA_USDT_PERP</t>
        </is>
      </c>
      <c r="B135" s="2" t="inlineStr">
        <is>
          <t>已掃描</t>
        </is>
      </c>
      <c r="C135" s="2" t="inlineStr"/>
      <c r="D135" s="2" t="n"/>
      <c r="E135" s="20" t="n"/>
      <c r="F135" s="20" t="n"/>
      <c r="G135" s="2" t="n"/>
      <c r="H135" s="2" t="n"/>
    </row>
    <row r="136">
      <c r="A136" s="2" t="inlineStr">
        <is>
          <t>ENA_USDT_PERP</t>
        </is>
      </c>
      <c r="B136" s="2" t="inlineStr">
        <is>
          <t>已掃描</t>
        </is>
      </c>
      <c r="C136" s="2" t="inlineStr"/>
      <c r="D136" s="2" t="n"/>
      <c r="E136" s="20" t="n"/>
      <c r="F136" s="20" t="n"/>
      <c r="G136" s="2" t="n"/>
      <c r="H136" s="2" t="n"/>
    </row>
    <row r="137">
      <c r="A137" s="2" t="inlineStr">
        <is>
          <t>ENJ_USDT_PERP</t>
        </is>
      </c>
      <c r="B137" s="2" t="inlineStr">
        <is>
          <t>已掃描</t>
        </is>
      </c>
      <c r="C137" s="2" t="inlineStr"/>
      <c r="D137" s="2" t="n"/>
      <c r="E137" s="20" t="n"/>
      <c r="F137" s="20" t="n"/>
      <c r="G137" s="2" t="n"/>
      <c r="H137" s="2" t="n"/>
    </row>
    <row r="138">
      <c r="A138" s="2" t="inlineStr">
        <is>
          <t>ENSO_USDT_PERP</t>
        </is>
      </c>
      <c r="B138" s="2" t="inlineStr">
        <is>
          <t>已掃描</t>
        </is>
      </c>
      <c r="C138" s="2" t="inlineStr"/>
      <c r="D138" s="2" t="n"/>
      <c r="E138" s="20" t="n"/>
      <c r="F138" s="20" t="n"/>
      <c r="G138" s="2" t="n"/>
      <c r="H138" s="2" t="n"/>
    </row>
    <row r="139">
      <c r="A139" s="2" t="inlineStr">
        <is>
          <t>ENS_USDT_PERP</t>
        </is>
      </c>
      <c r="B139" s="2" t="inlineStr">
        <is>
          <t>已掃描</t>
        </is>
      </c>
      <c r="C139" s="2" t="inlineStr"/>
      <c r="D139" s="2" t="n"/>
      <c r="E139" s="20" t="n"/>
      <c r="F139" s="20" t="n"/>
      <c r="G139" s="2" t="n"/>
      <c r="H139" s="2" t="n"/>
    </row>
    <row r="140">
      <c r="A140" s="2" t="inlineStr">
        <is>
          <t>ESP_USDT_PERP</t>
        </is>
      </c>
      <c r="B140" s="2" t="inlineStr">
        <is>
          <t>已掃描</t>
        </is>
      </c>
      <c r="C140" s="2" t="inlineStr"/>
      <c r="D140" s="2" t="n"/>
      <c r="E140" s="20" t="n"/>
      <c r="F140" s="20" t="n"/>
      <c r="G140" s="2" t="n"/>
      <c r="H140" s="2" t="n"/>
    </row>
    <row r="141">
      <c r="A141" s="2" t="inlineStr">
        <is>
          <t>ETC_USDT_PERP</t>
        </is>
      </c>
      <c r="B141" s="2" t="inlineStr">
        <is>
          <t>已掃描</t>
        </is>
      </c>
      <c r="C141" s="2" t="inlineStr"/>
      <c r="D141" s="2" t="n"/>
      <c r="E141" s="20" t="n"/>
      <c r="F141" s="20" t="n"/>
      <c r="G141" s="2" t="n"/>
      <c r="H141" s="2" t="n"/>
    </row>
    <row r="142">
      <c r="A142" s="2" t="inlineStr">
        <is>
          <t>ETHFI_USDT_PERP</t>
        </is>
      </c>
      <c r="B142" s="2" t="inlineStr">
        <is>
          <t>已掃描</t>
        </is>
      </c>
      <c r="C142" s="2" t="inlineStr"/>
      <c r="D142" s="2" t="n"/>
      <c r="E142" s="20" t="n"/>
      <c r="F142" s="20" t="n"/>
      <c r="G142" s="2" t="n"/>
      <c r="H142" s="2" t="n"/>
    </row>
    <row r="143">
      <c r="A143" s="2" t="inlineStr">
        <is>
          <t>ETH_USDT_PERP</t>
        </is>
      </c>
      <c r="B143" s="2" t="inlineStr">
        <is>
          <t>已掃描</t>
        </is>
      </c>
      <c r="C143" s="2" t="inlineStr"/>
      <c r="D143" s="2" t="n"/>
      <c r="E143" s="20" t="n"/>
      <c r="F143" s="20" t="n"/>
      <c r="G143" s="2" t="n"/>
      <c r="H143" s="2" t="n"/>
    </row>
    <row r="144">
      <c r="A144" s="2" t="inlineStr">
        <is>
          <t>EUL_USDT_PERP</t>
        </is>
      </c>
      <c r="B144" s="2" t="inlineStr">
        <is>
          <t>已掃描</t>
        </is>
      </c>
      <c r="C144" s="2" t="inlineStr"/>
      <c r="D144" s="2" t="n"/>
      <c r="E144" s="20" t="n"/>
      <c r="F144" s="20" t="n"/>
      <c r="G144" s="2" t="n"/>
      <c r="H144" s="2" t="n"/>
    </row>
    <row r="145">
      <c r="A145" s="2" t="inlineStr">
        <is>
          <t>EVAA_USDT_PERP</t>
        </is>
      </c>
      <c r="B145" s="2" t="inlineStr">
        <is>
          <t>已掃描</t>
        </is>
      </c>
      <c r="C145" s="2" t="inlineStr"/>
      <c r="D145" s="2" t="n"/>
      <c r="E145" s="20" t="n"/>
      <c r="F145" s="20" t="n"/>
      <c r="G145" s="2" t="n"/>
      <c r="H145" s="2" t="n"/>
    </row>
    <row r="146">
      <c r="A146" s="2" t="inlineStr">
        <is>
          <t>FARTCOIN_USDT_PERP</t>
        </is>
      </c>
      <c r="B146" s="2" t="inlineStr">
        <is>
          <t>已掃描</t>
        </is>
      </c>
      <c r="C146" s="2" t="inlineStr"/>
      <c r="D146" s="2" t="n"/>
      <c r="E146" s="20" t="n"/>
      <c r="F146" s="20" t="n"/>
      <c r="G146" s="2" t="n"/>
      <c r="H146" s="2" t="n"/>
    </row>
    <row r="147">
      <c r="A147" s="2" t="inlineStr">
        <is>
          <t>FET_USDT_PERP</t>
        </is>
      </c>
      <c r="B147" s="2" t="inlineStr">
        <is>
          <t>已掃描</t>
        </is>
      </c>
      <c r="C147" s="2" t="inlineStr"/>
      <c r="D147" s="2" t="n"/>
      <c r="E147" s="20" t="n"/>
      <c r="F147" s="20" t="n"/>
      <c r="G147" s="2" t="n"/>
      <c r="H147" s="2" t="n"/>
    </row>
    <row r="148">
      <c r="A148" s="2" t="inlineStr">
        <is>
          <t>FF_USDT_PERP</t>
        </is>
      </c>
      <c r="B148" s="2" t="inlineStr">
        <is>
          <t>已掃描</t>
        </is>
      </c>
      <c r="C148" s="2" t="inlineStr"/>
      <c r="D148" s="2" t="n"/>
      <c r="E148" s="20" t="n"/>
      <c r="F148" s="20" t="n"/>
      <c r="G148" s="2" t="n"/>
      <c r="H148" s="2" t="n"/>
    </row>
    <row r="149">
      <c r="A149" s="2" t="inlineStr">
        <is>
          <t>FHE_USDT_PERP</t>
        </is>
      </c>
      <c r="B149" s="2" t="inlineStr">
        <is>
          <t>已掃描</t>
        </is>
      </c>
      <c r="C149" s="2" t="inlineStr"/>
      <c r="D149" s="2" t="n"/>
      <c r="E149" s="20" t="n"/>
      <c r="F149" s="20" t="n"/>
      <c r="G149" s="2" t="n"/>
      <c r="H149" s="2" t="n"/>
    </row>
    <row r="150">
      <c r="A150" s="2" t="inlineStr">
        <is>
          <t>FIGHT_USDT_PERP</t>
        </is>
      </c>
      <c r="B150" s="2" t="inlineStr">
        <is>
          <t>已掃描</t>
        </is>
      </c>
      <c r="C150" s="2" t="inlineStr"/>
      <c r="D150" s="2" t="n"/>
      <c r="E150" s="20" t="n"/>
      <c r="F150" s="20" t="n"/>
      <c r="G150" s="2" t="n"/>
      <c r="H150" s="2" t="n"/>
    </row>
    <row r="151">
      <c r="A151" s="2" t="inlineStr">
        <is>
          <t>FIL_USDT_PERP</t>
        </is>
      </c>
      <c r="B151" s="2" t="inlineStr">
        <is>
          <t>已掃描</t>
        </is>
      </c>
      <c r="C151" s="2" t="inlineStr"/>
      <c r="D151" s="2" t="n"/>
      <c r="E151" s="20" t="n"/>
      <c r="F151" s="20" t="n"/>
      <c r="G151" s="2" t="n"/>
      <c r="H151" s="2" t="n"/>
    </row>
    <row r="152">
      <c r="A152" s="2" t="inlineStr">
        <is>
          <t>FLOKI_USDT_PERP</t>
        </is>
      </c>
      <c r="B152" s="2" t="inlineStr">
        <is>
          <t>已掃描</t>
        </is>
      </c>
      <c r="C152" s="2" t="inlineStr"/>
      <c r="D152" s="2" t="n"/>
      <c r="E152" s="20" t="n"/>
      <c r="F152" s="20" t="n"/>
      <c r="G152" s="2" t="n"/>
      <c r="H152" s="2" t="n"/>
    </row>
    <row r="153">
      <c r="A153" s="2" t="inlineStr">
        <is>
          <t>FLUID_USDT_PERP</t>
        </is>
      </c>
      <c r="B153" s="2" t="inlineStr">
        <is>
          <t>已掃描</t>
        </is>
      </c>
      <c r="C153" s="2" t="inlineStr"/>
      <c r="D153" s="2" t="n"/>
      <c r="E153" s="20" t="n"/>
      <c r="F153" s="20" t="n"/>
      <c r="G153" s="2" t="n"/>
      <c r="H153" s="2" t="n"/>
    </row>
    <row r="154">
      <c r="A154" s="2" t="inlineStr">
        <is>
          <t>FOGO_USDT_PERP</t>
        </is>
      </c>
      <c r="B154" s="2" t="inlineStr">
        <is>
          <t>已掃描</t>
        </is>
      </c>
      <c r="C154" s="2" t="inlineStr"/>
      <c r="D154" s="2" t="n"/>
      <c r="E154" s="20" t="n"/>
      <c r="F154" s="20" t="n"/>
      <c r="G154" s="2" t="n"/>
      <c r="H154" s="2" t="n"/>
    </row>
    <row r="155">
      <c r="A155" s="2" t="inlineStr">
        <is>
          <t>FOLKS_USDT_PERP</t>
        </is>
      </c>
      <c r="B155" s="2" t="inlineStr">
        <is>
          <t>已掃描</t>
        </is>
      </c>
      <c r="C155" s="2" t="inlineStr"/>
      <c r="D155" s="2" t="n"/>
      <c r="E155" s="20" t="n"/>
      <c r="F155" s="20" t="n"/>
      <c r="G155" s="2" t="n"/>
      <c r="H155" s="2" t="n"/>
    </row>
    <row r="156">
      <c r="A156" s="2" t="inlineStr">
        <is>
          <t>GALA_USDT_PERP</t>
        </is>
      </c>
      <c r="B156" s="2" t="inlineStr">
        <is>
          <t>已掃描</t>
        </is>
      </c>
      <c r="C156" s="2" t="inlineStr"/>
      <c r="D156" s="2" t="n"/>
      <c r="E156" s="20" t="n"/>
      <c r="F156" s="20" t="n"/>
      <c r="G156" s="2" t="n"/>
      <c r="H156" s="2" t="n"/>
    </row>
    <row r="157">
      <c r="A157" s="2" t="inlineStr">
        <is>
          <t>GAS_USDT_PERP</t>
        </is>
      </c>
      <c r="B157" s="2" t="inlineStr">
        <is>
          <t>已掃描</t>
        </is>
      </c>
      <c r="C157" s="2" t="inlineStr"/>
      <c r="D157" s="2" t="n"/>
      <c r="E157" s="20" t="n"/>
      <c r="F157" s="20" t="n"/>
      <c r="G157" s="2" t="n"/>
      <c r="H157" s="2" t="n"/>
    </row>
    <row r="158">
      <c r="A158" s="2" t="inlineStr">
        <is>
          <t>GENIUS_USDT_PERP</t>
        </is>
      </c>
      <c r="B158" s="2" t="inlineStr">
        <is>
          <t>已掃描</t>
        </is>
      </c>
      <c r="C158" s="2" t="inlineStr"/>
      <c r="D158" s="2" t="n"/>
      <c r="E158" s="20" t="n"/>
      <c r="F158" s="20" t="n"/>
      <c r="G158" s="2" t="n"/>
      <c r="H158" s="2" t="n"/>
    </row>
    <row r="159">
      <c r="A159" s="2" t="inlineStr">
        <is>
          <t>GIGGLE_USDT_PERP</t>
        </is>
      </c>
      <c r="B159" s="2" t="inlineStr">
        <is>
          <t>已掃描</t>
        </is>
      </c>
      <c r="C159" s="2" t="inlineStr"/>
      <c r="D159" s="2" t="n"/>
      <c r="E159" s="20" t="n"/>
      <c r="F159" s="20" t="n"/>
      <c r="G159" s="2" t="n"/>
      <c r="H159" s="2" t="n"/>
    </row>
    <row r="160">
      <c r="A160" s="2" t="inlineStr">
        <is>
          <t>GMT_USDT_PERP</t>
        </is>
      </c>
      <c r="B160" s="2" t="inlineStr">
        <is>
          <t>已掃描</t>
        </is>
      </c>
      <c r="C160" s="2" t="inlineStr"/>
      <c r="D160" s="2" t="n"/>
      <c r="E160" s="20" t="n"/>
      <c r="F160" s="20" t="n"/>
      <c r="G160" s="2" t="n"/>
      <c r="H160" s="2" t="n"/>
    </row>
    <row r="161">
      <c r="A161" s="2" t="inlineStr">
        <is>
          <t>GMX_USDT_PERP</t>
        </is>
      </c>
      <c r="B161" s="2" t="inlineStr">
        <is>
          <t>已掃描</t>
        </is>
      </c>
      <c r="C161" s="2" t="inlineStr"/>
      <c r="D161" s="2" t="n"/>
      <c r="E161" s="20" t="n"/>
      <c r="F161" s="20" t="n"/>
      <c r="G161" s="2" t="n"/>
      <c r="H161" s="2" t="n"/>
    </row>
    <row r="162">
      <c r="A162" s="2" t="inlineStr">
        <is>
          <t>GOAT_USDT_PERP</t>
        </is>
      </c>
      <c r="B162" s="2" t="inlineStr">
        <is>
          <t>已掃描</t>
        </is>
      </c>
      <c r="C162" s="2" t="inlineStr"/>
      <c r="D162" s="2" t="n"/>
      <c r="E162" s="20" t="n"/>
      <c r="F162" s="20" t="n"/>
      <c r="G162" s="2" t="n"/>
      <c r="H162" s="2" t="n"/>
    </row>
    <row r="163">
      <c r="A163" s="2" t="inlineStr">
        <is>
          <t>GPS_USDT_PERP</t>
        </is>
      </c>
      <c r="B163" s="2" t="inlineStr">
        <is>
          <t>已掃描</t>
        </is>
      </c>
      <c r="C163" s="2" t="inlineStr"/>
      <c r="D163" s="2" t="n"/>
      <c r="E163" s="20" t="n"/>
      <c r="F163" s="20" t="n"/>
      <c r="G163" s="2" t="n"/>
      <c r="H163" s="2" t="n"/>
    </row>
    <row r="164">
      <c r="A164" s="2" t="inlineStr">
        <is>
          <t>GRAM_USDT_PERP</t>
        </is>
      </c>
      <c r="B164" s="2" t="inlineStr">
        <is>
          <t>已掃描</t>
        </is>
      </c>
      <c r="C164" s="2" t="inlineStr"/>
      <c r="D164" s="2" t="n"/>
      <c r="E164" s="20" t="n"/>
      <c r="F164" s="20" t="n"/>
      <c r="G164" s="2" t="n"/>
      <c r="H164" s="2" t="n"/>
    </row>
    <row r="165">
      <c r="A165" s="2" t="inlineStr">
        <is>
          <t>GRASS_USDT_PERP</t>
        </is>
      </c>
      <c r="B165" s="2" t="inlineStr">
        <is>
          <t>已掃描</t>
        </is>
      </c>
      <c r="C165" s="2" t="inlineStr"/>
      <c r="D165" s="2" t="n"/>
      <c r="E165" s="20" t="n"/>
      <c r="F165" s="20" t="n"/>
      <c r="G165" s="2" t="n"/>
      <c r="H165" s="2" t="n"/>
    </row>
    <row r="166">
      <c r="A166" s="2" t="inlineStr">
        <is>
          <t>GRIFFAIN_USDT_PERP</t>
        </is>
      </c>
      <c r="B166" s="2" t="inlineStr">
        <is>
          <t>已掃描</t>
        </is>
      </c>
      <c r="C166" s="2" t="inlineStr"/>
      <c r="D166" s="2" t="n"/>
      <c r="E166" s="20" t="n"/>
      <c r="F166" s="20" t="n"/>
      <c r="G166" s="2" t="n"/>
      <c r="H166" s="2" t="n"/>
    </row>
    <row r="167">
      <c r="A167" s="2" t="inlineStr">
        <is>
          <t>GRT_USDT_PERP</t>
        </is>
      </c>
      <c r="B167" s="2" t="inlineStr">
        <is>
          <t>已掃描</t>
        </is>
      </c>
      <c r="C167" s="2" t="inlineStr"/>
      <c r="D167" s="2" t="n"/>
      <c r="E167" s="20" t="n"/>
      <c r="F167" s="20" t="n"/>
      <c r="G167" s="2" t="n"/>
      <c r="H167" s="2" t="n"/>
    </row>
    <row r="168">
      <c r="A168" s="2" t="inlineStr">
        <is>
          <t>GRVT_USDT_PERP</t>
        </is>
      </c>
      <c r="B168" s="2" t="inlineStr">
        <is>
          <t>已掃描</t>
        </is>
      </c>
      <c r="C168" s="2" t="inlineStr"/>
      <c r="D168" s="2" t="n"/>
      <c r="E168" s="20" t="n"/>
      <c r="F168" s="20" t="n"/>
      <c r="G168" s="2" t="n"/>
      <c r="H168" s="2" t="n"/>
    </row>
    <row r="169">
      <c r="A169" s="2" t="inlineStr">
        <is>
          <t>GUA_USDT_PERP</t>
        </is>
      </c>
      <c r="B169" s="2" t="inlineStr">
        <is>
          <t>已掃描</t>
        </is>
      </c>
      <c r="C169" s="2" t="inlineStr"/>
      <c r="D169" s="2" t="n"/>
      <c r="E169" s="20" t="n"/>
      <c r="F169" s="20" t="n"/>
      <c r="G169" s="2" t="n"/>
      <c r="H169" s="2" t="n"/>
    </row>
    <row r="170">
      <c r="A170" s="2" t="inlineStr">
        <is>
          <t>GUN_USDT_PERP</t>
        </is>
      </c>
      <c r="B170" s="2" t="inlineStr">
        <is>
          <t>已掃描</t>
        </is>
      </c>
      <c r="C170" s="2" t="inlineStr"/>
      <c r="D170" s="2" t="n"/>
      <c r="E170" s="20" t="n"/>
      <c r="F170" s="20" t="n"/>
      <c r="G170" s="2" t="n"/>
      <c r="H170" s="2" t="n"/>
    </row>
    <row r="171">
      <c r="A171" s="2" t="inlineStr">
        <is>
          <t>GWEI_USDT_PERP</t>
        </is>
      </c>
      <c r="B171" s="2" t="inlineStr">
        <is>
          <t>已掃描</t>
        </is>
      </c>
      <c r="C171" s="2" t="inlineStr"/>
      <c r="D171" s="2" t="n"/>
      <c r="E171" s="20" t="n"/>
      <c r="F171" s="20" t="n"/>
      <c r="G171" s="2" t="n"/>
      <c r="H171" s="2" t="n"/>
    </row>
    <row r="172">
      <c r="A172" s="2" t="inlineStr">
        <is>
          <t>HAEDAL_USDT_PERP</t>
        </is>
      </c>
      <c r="B172" s="2" t="inlineStr">
        <is>
          <t>已掃描</t>
        </is>
      </c>
      <c r="C172" s="2" t="inlineStr"/>
      <c r="D172" s="2" t="n"/>
      <c r="E172" s="20" t="n"/>
      <c r="F172" s="20" t="n"/>
      <c r="G172" s="2" t="n"/>
      <c r="H172" s="2" t="n"/>
    </row>
    <row r="173">
      <c r="A173" s="2" t="inlineStr">
        <is>
          <t>HANA_USDT_PERP</t>
        </is>
      </c>
      <c r="B173" s="2" t="inlineStr">
        <is>
          <t>已掃描</t>
        </is>
      </c>
      <c r="C173" s="2" t="inlineStr"/>
      <c r="D173" s="2" t="n"/>
      <c r="E173" s="20" t="n"/>
      <c r="F173" s="20" t="n"/>
      <c r="G173" s="2" t="n"/>
      <c r="H173" s="2" t="n"/>
    </row>
    <row r="174">
      <c r="A174" s="2" t="inlineStr">
        <is>
          <t>HBAR_USDT_PERP</t>
        </is>
      </c>
      <c r="B174" s="2" t="inlineStr">
        <is>
          <t>已掃描</t>
        </is>
      </c>
      <c r="C174" s="2" t="inlineStr"/>
      <c r="D174" s="2" t="n"/>
      <c r="E174" s="20" t="n"/>
      <c r="F174" s="20" t="n"/>
      <c r="G174" s="2" t="n"/>
      <c r="H174" s="2" t="n"/>
    </row>
    <row r="175">
      <c r="A175" s="2" t="inlineStr">
        <is>
          <t>HEMI_USDT_PERP</t>
        </is>
      </c>
      <c r="B175" s="2" t="inlineStr">
        <is>
          <t>已掃描</t>
        </is>
      </c>
      <c r="C175" s="2" t="inlineStr"/>
      <c r="D175" s="2" t="n"/>
      <c r="E175" s="20" t="n"/>
      <c r="F175" s="20" t="n"/>
      <c r="G175" s="2" t="n"/>
      <c r="H175" s="2" t="n"/>
    </row>
    <row r="176">
      <c r="A176" s="2" t="inlineStr">
        <is>
          <t>HMSTR_USDT_PERP</t>
        </is>
      </c>
      <c r="B176" s="2" t="inlineStr">
        <is>
          <t>已掃描</t>
        </is>
      </c>
      <c r="C176" s="2" t="inlineStr"/>
      <c r="D176" s="2" t="n"/>
      <c r="E176" s="20" t="n"/>
      <c r="F176" s="20" t="n"/>
      <c r="G176" s="2" t="n"/>
      <c r="H176" s="2" t="n"/>
    </row>
    <row r="177">
      <c r="A177" s="2" t="inlineStr">
        <is>
          <t>HOLO_USDT_PERP</t>
        </is>
      </c>
      <c r="B177" s="2" t="inlineStr">
        <is>
          <t>已掃描</t>
        </is>
      </c>
      <c r="C177" s="2" t="inlineStr"/>
      <c r="D177" s="2" t="n"/>
      <c r="E177" s="20" t="n"/>
      <c r="F177" s="20" t="n"/>
      <c r="G177" s="2" t="n"/>
      <c r="H177" s="2" t="n"/>
    </row>
    <row r="178">
      <c r="A178" s="2" t="inlineStr">
        <is>
          <t>HOME_USDT_PERP</t>
        </is>
      </c>
      <c r="B178" s="2" t="inlineStr">
        <is>
          <t>已掃描</t>
        </is>
      </c>
      <c r="C178" s="2" t="inlineStr"/>
      <c r="D178" s="2" t="n"/>
      <c r="E178" s="20" t="n"/>
      <c r="F178" s="20" t="n"/>
      <c r="G178" s="2" t="n"/>
      <c r="H178" s="2" t="n"/>
    </row>
    <row r="179">
      <c r="A179" s="2" t="inlineStr">
        <is>
          <t>HUMA_USDT_PERP</t>
        </is>
      </c>
      <c r="B179" s="2" t="inlineStr">
        <is>
          <t>已掃描</t>
        </is>
      </c>
      <c r="C179" s="2" t="inlineStr"/>
      <c r="D179" s="2" t="n"/>
      <c r="E179" s="20" t="n"/>
      <c r="F179" s="20" t="n"/>
      <c r="G179" s="2" t="n"/>
      <c r="H179" s="2" t="n"/>
    </row>
    <row r="180">
      <c r="A180" s="2" t="inlineStr">
        <is>
          <t>HYPE_USDT_PERP</t>
        </is>
      </c>
      <c r="B180" s="2" t="inlineStr">
        <is>
          <t>已掃描</t>
        </is>
      </c>
      <c r="C180" s="2" t="inlineStr"/>
      <c r="D180" s="2" t="n"/>
      <c r="E180" s="20" t="n"/>
      <c r="F180" s="20" t="n"/>
      <c r="G180" s="2" t="n"/>
      <c r="H180" s="2" t="n"/>
    </row>
    <row r="181">
      <c r="A181" s="2" t="inlineStr">
        <is>
          <t>HYUNDAI_USDT_PERP</t>
        </is>
      </c>
      <c r="B181" s="2" t="inlineStr">
        <is>
          <t>已掃描</t>
        </is>
      </c>
      <c r="C181" s="2" t="inlineStr"/>
      <c r="D181" s="2" t="n"/>
      <c r="E181" s="20" t="n"/>
      <c r="F181" s="20" t="n"/>
      <c r="G181" s="2" t="n"/>
      <c r="H181" s="2" t="n"/>
    </row>
    <row r="182">
      <c r="A182" s="2" t="inlineStr">
        <is>
          <t>H_USDT_PERP</t>
        </is>
      </c>
      <c r="B182" s="2" t="inlineStr">
        <is>
          <t>已掃描</t>
        </is>
      </c>
      <c r="C182" s="2" t="inlineStr"/>
      <c r="D182" s="2" t="n"/>
      <c r="E182" s="20" t="n"/>
      <c r="F182" s="20" t="n"/>
      <c r="G182" s="2" t="n"/>
      <c r="H182" s="2" t="n"/>
    </row>
    <row r="183">
      <c r="A183" s="2" t="inlineStr">
        <is>
          <t>ICNT_USDT_PERP</t>
        </is>
      </c>
      <c r="B183" s="2" t="inlineStr">
        <is>
          <t>已掃描</t>
        </is>
      </c>
      <c r="C183" s="2" t="inlineStr"/>
      <c r="D183" s="2" t="n"/>
      <c r="E183" s="20" t="n"/>
      <c r="F183" s="20" t="n"/>
      <c r="G183" s="2" t="n"/>
      <c r="H183" s="2" t="n"/>
    </row>
    <row r="184">
      <c r="A184" s="2" t="inlineStr">
        <is>
          <t>ICP_USDT_PERP</t>
        </is>
      </c>
      <c r="B184" s="2" t="inlineStr">
        <is>
          <t>已掃描</t>
        </is>
      </c>
      <c r="C184" s="2" t="inlineStr"/>
      <c r="D184" s="2" t="n"/>
      <c r="E184" s="20" t="n"/>
      <c r="F184" s="20" t="n"/>
      <c r="G184" s="2" t="n"/>
      <c r="H184" s="2" t="n"/>
    </row>
    <row r="185">
      <c r="A185" s="2" t="inlineStr">
        <is>
          <t>IDOL_USDT_PERP</t>
        </is>
      </c>
      <c r="B185" s="2" t="inlineStr">
        <is>
          <t>已掃描</t>
        </is>
      </c>
      <c r="C185" s="2" t="inlineStr"/>
      <c r="D185" s="2" t="n"/>
      <c r="E185" s="20" t="n"/>
      <c r="F185" s="20" t="n"/>
      <c r="G185" s="2" t="n"/>
      <c r="H185" s="2" t="n"/>
    </row>
    <row r="186">
      <c r="A186" s="2" t="inlineStr">
        <is>
          <t>IMX_USDT_PERP</t>
        </is>
      </c>
      <c r="B186" s="2" t="inlineStr">
        <is>
          <t>已掃描</t>
        </is>
      </c>
      <c r="C186" s="2" t="inlineStr"/>
      <c r="D186" s="2" t="n"/>
      <c r="E186" s="20" t="n"/>
      <c r="F186" s="20" t="n"/>
      <c r="G186" s="2" t="n"/>
      <c r="H186" s="2" t="n"/>
    </row>
    <row r="187">
      <c r="A187" s="2" t="inlineStr">
        <is>
          <t>INIT_USDT_PERP</t>
        </is>
      </c>
      <c r="B187" s="2" t="inlineStr">
        <is>
          <t>已掃描</t>
        </is>
      </c>
      <c r="C187" s="2" t="inlineStr"/>
      <c r="D187" s="2" t="n"/>
      <c r="E187" s="20" t="n"/>
      <c r="F187" s="20" t="n"/>
      <c r="G187" s="2" t="n"/>
      <c r="H187" s="2" t="n"/>
    </row>
    <row r="188">
      <c r="A188" s="2" t="inlineStr">
        <is>
          <t>INJ_USDT_PERP</t>
        </is>
      </c>
      <c r="B188" s="2" t="inlineStr">
        <is>
          <t>已掃描</t>
        </is>
      </c>
      <c r="C188" s="2" t="inlineStr"/>
      <c r="D188" s="2" t="n"/>
      <c r="E188" s="20" t="n"/>
      <c r="F188" s="20" t="n"/>
      <c r="G188" s="2" t="n"/>
      <c r="H188" s="2" t="n"/>
    </row>
    <row r="189">
      <c r="A189" s="2" t="inlineStr">
        <is>
          <t>INX_USDT_PERP</t>
        </is>
      </c>
      <c r="B189" s="2" t="inlineStr">
        <is>
          <t>已掃描</t>
        </is>
      </c>
      <c r="C189" s="2" t="inlineStr"/>
      <c r="D189" s="2" t="n"/>
      <c r="E189" s="20" t="n"/>
      <c r="F189" s="20" t="n"/>
      <c r="G189" s="2" t="n"/>
      <c r="H189" s="2" t="n"/>
    </row>
    <row r="190">
      <c r="A190" s="2" t="inlineStr">
        <is>
          <t>IN_USDT_PERP</t>
        </is>
      </c>
      <c r="B190" s="2" t="inlineStr">
        <is>
          <t>已掃描</t>
        </is>
      </c>
      <c r="C190" s="2" t="inlineStr"/>
      <c r="D190" s="2" t="n"/>
      <c r="E190" s="20" t="n"/>
      <c r="F190" s="20" t="n"/>
      <c r="G190" s="2" t="n"/>
      <c r="H190" s="2" t="n"/>
    </row>
    <row r="191">
      <c r="A191" s="2" t="inlineStr">
        <is>
          <t>IOST_USDT_PERP</t>
        </is>
      </c>
      <c r="B191" s="2" t="inlineStr">
        <is>
          <t>已掃描</t>
        </is>
      </c>
      <c r="C191" s="2" t="inlineStr"/>
      <c r="D191" s="2" t="n"/>
      <c r="E191" s="20" t="n"/>
      <c r="F191" s="20" t="n"/>
      <c r="G191" s="2" t="n"/>
      <c r="H191" s="2" t="n"/>
    </row>
    <row r="192">
      <c r="A192" s="2" t="inlineStr">
        <is>
          <t>IOTA_USDT_PERP</t>
        </is>
      </c>
      <c r="B192" s="2" t="inlineStr">
        <is>
          <t>已掃描</t>
        </is>
      </c>
      <c r="C192" s="2" t="inlineStr"/>
      <c r="D192" s="2" t="n"/>
      <c r="E192" s="20" t="n"/>
      <c r="F192" s="20" t="n"/>
      <c r="G192" s="2" t="n"/>
      <c r="H192" s="2" t="n"/>
    </row>
    <row r="193">
      <c r="A193" s="2" t="inlineStr">
        <is>
          <t>IO_USDT_PERP</t>
        </is>
      </c>
      <c r="B193" s="2" t="inlineStr">
        <is>
          <t>已掃描</t>
        </is>
      </c>
      <c r="C193" s="2" t="inlineStr"/>
      <c r="D193" s="2" t="n"/>
      <c r="E193" s="20" t="n"/>
      <c r="F193" s="20" t="n"/>
      <c r="G193" s="2" t="n"/>
      <c r="H193" s="2" t="n"/>
    </row>
    <row r="194">
      <c r="A194" s="2" t="inlineStr">
        <is>
          <t>IRYS_USDT_PERP</t>
        </is>
      </c>
      <c r="B194" s="2" t="inlineStr">
        <is>
          <t>已掃描</t>
        </is>
      </c>
      <c r="C194" s="2" t="inlineStr"/>
      <c r="D194" s="2" t="n"/>
      <c r="E194" s="20" t="n"/>
      <c r="F194" s="20" t="n"/>
      <c r="G194" s="2" t="n"/>
      <c r="H194" s="2" t="n"/>
    </row>
    <row r="195">
      <c r="A195" s="2" t="inlineStr">
        <is>
          <t>JASMY_USDT_PERP</t>
        </is>
      </c>
      <c r="B195" s="2" t="inlineStr">
        <is>
          <t>已掃描</t>
        </is>
      </c>
      <c r="C195" s="2" t="inlineStr"/>
      <c r="D195" s="2" t="n"/>
      <c r="E195" s="20" t="n"/>
      <c r="F195" s="20" t="n"/>
      <c r="G195" s="2" t="n"/>
      <c r="H195" s="2" t="n"/>
    </row>
    <row r="196">
      <c r="A196" s="2" t="inlineStr">
        <is>
          <t>JELLYJELLY_USDT_PERP</t>
        </is>
      </c>
      <c r="B196" s="2" t="inlineStr">
        <is>
          <t>已掃描</t>
        </is>
      </c>
      <c r="C196" s="2" t="inlineStr"/>
      <c r="D196" s="2" t="n"/>
      <c r="E196" s="20" t="n"/>
      <c r="F196" s="20" t="n"/>
      <c r="G196" s="2" t="n"/>
      <c r="H196" s="2" t="n"/>
    </row>
    <row r="197">
      <c r="A197" s="2" t="inlineStr">
        <is>
          <t>JTO_USDT_PERP</t>
        </is>
      </c>
      <c r="B197" s="2" t="inlineStr">
        <is>
          <t>已掃描</t>
        </is>
      </c>
      <c r="C197" s="2" t="inlineStr"/>
      <c r="D197" s="2" t="n"/>
      <c r="E197" s="20" t="n"/>
      <c r="F197" s="20" t="n"/>
      <c r="G197" s="2" t="n"/>
      <c r="H197" s="2" t="n"/>
    </row>
    <row r="198">
      <c r="A198" s="2" t="inlineStr">
        <is>
          <t>JUP_USDT_PERP</t>
        </is>
      </c>
      <c r="B198" s="2" t="inlineStr">
        <is>
          <t>已掃描</t>
        </is>
      </c>
      <c r="C198" s="2" t="inlineStr"/>
      <c r="D198" s="2" t="n"/>
      <c r="E198" s="20" t="n"/>
      <c r="F198" s="20" t="n"/>
      <c r="G198" s="2" t="n"/>
      <c r="H198" s="2" t="n"/>
    </row>
    <row r="199">
      <c r="A199" s="2" t="inlineStr">
        <is>
          <t>KAIA_USDT_PERP</t>
        </is>
      </c>
      <c r="B199" s="2" t="inlineStr">
        <is>
          <t>已掃描</t>
        </is>
      </c>
      <c r="C199" s="2" t="inlineStr"/>
      <c r="D199" s="2" t="n"/>
      <c r="E199" s="20" t="n"/>
      <c r="F199" s="20" t="n"/>
      <c r="G199" s="2" t="n"/>
      <c r="H199" s="2" t="n"/>
    </row>
    <row r="200">
      <c r="A200" s="2" t="inlineStr">
        <is>
          <t>KAITO_USDT_PERP</t>
        </is>
      </c>
      <c r="B200" s="2" t="inlineStr">
        <is>
          <t>已掃描</t>
        </is>
      </c>
      <c r="C200" s="2" t="inlineStr"/>
      <c r="D200" s="2" t="n"/>
      <c r="E200" s="20" t="n"/>
      <c r="F200" s="20" t="n"/>
      <c r="G200" s="2" t="n"/>
      <c r="H200" s="2" t="n"/>
    </row>
    <row r="201">
      <c r="A201" s="2" t="inlineStr">
        <is>
          <t>KAS_USDT_PERP</t>
        </is>
      </c>
      <c r="B201" s="2" t="inlineStr">
        <is>
          <t>已掃描</t>
        </is>
      </c>
      <c r="C201" s="2" t="inlineStr"/>
      <c r="D201" s="2" t="n"/>
      <c r="E201" s="20" t="n"/>
      <c r="F201" s="20" t="n"/>
      <c r="G201" s="2" t="n"/>
      <c r="H201" s="2" t="n"/>
    </row>
    <row r="202">
      <c r="A202" s="2" t="inlineStr">
        <is>
          <t>KAT_USDT_PERP</t>
        </is>
      </c>
      <c r="B202" s="2" t="inlineStr">
        <is>
          <t>已掃描</t>
        </is>
      </c>
      <c r="C202" s="2" t="inlineStr"/>
      <c r="D202" s="2" t="n"/>
      <c r="E202" s="20" t="n"/>
      <c r="F202" s="20" t="n"/>
      <c r="G202" s="2" t="n"/>
      <c r="H202" s="2" t="n"/>
    </row>
    <row r="203">
      <c r="A203" s="2" t="inlineStr">
        <is>
          <t>KAVA_USDT_PERP</t>
        </is>
      </c>
      <c r="B203" s="2" t="inlineStr">
        <is>
          <t>已掃描</t>
        </is>
      </c>
      <c r="C203" s="2" t="inlineStr"/>
      <c r="D203" s="2" t="n"/>
      <c r="E203" s="20" t="n"/>
      <c r="F203" s="20" t="n"/>
      <c r="G203" s="2" t="n"/>
      <c r="H203" s="2" t="n"/>
    </row>
    <row r="204">
      <c r="A204" s="2" t="inlineStr">
        <is>
          <t>KERNEL_USDT_PERP</t>
        </is>
      </c>
      <c r="B204" s="2" t="inlineStr">
        <is>
          <t>已掃描</t>
        </is>
      </c>
      <c r="C204" s="2" t="inlineStr"/>
      <c r="D204" s="2" t="n"/>
      <c r="E204" s="20" t="n"/>
      <c r="F204" s="20" t="n"/>
      <c r="G204" s="2" t="n"/>
      <c r="H204" s="2" t="n"/>
    </row>
    <row r="205">
      <c r="A205" s="2" t="inlineStr">
        <is>
          <t>KGEN_USDT_PERP</t>
        </is>
      </c>
      <c r="B205" s="2" t="inlineStr">
        <is>
          <t>已掃描</t>
        </is>
      </c>
      <c r="C205" s="2" t="inlineStr"/>
      <c r="D205" s="2" t="n"/>
      <c r="E205" s="20" t="n"/>
      <c r="F205" s="20" t="n"/>
      <c r="G205" s="2" t="n"/>
      <c r="H205" s="2" t="n"/>
    </row>
    <row r="206">
      <c r="A206" s="2" t="inlineStr">
        <is>
          <t>KIOXIA_USDT_PERP</t>
        </is>
      </c>
      <c r="B206" s="2" t="inlineStr">
        <is>
          <t>已掃描</t>
        </is>
      </c>
      <c r="C206" s="2" t="inlineStr"/>
      <c r="D206" s="2" t="n"/>
      <c r="E206" s="20" t="n"/>
      <c r="F206" s="20" t="n"/>
      <c r="G206" s="2" t="n"/>
      <c r="H206" s="2" t="n"/>
    </row>
    <row r="207">
      <c r="A207" s="2" t="inlineStr">
        <is>
          <t>KITE_USDT_PERP</t>
        </is>
      </c>
      <c r="B207" s="2" t="inlineStr">
        <is>
          <t>已掃描</t>
        </is>
      </c>
      <c r="C207" s="2" t="inlineStr"/>
      <c r="D207" s="2" t="n"/>
      <c r="E207" s="20" t="n"/>
      <c r="F207" s="20" t="n"/>
      <c r="G207" s="2" t="n"/>
      <c r="H207" s="2" t="n"/>
    </row>
    <row r="208">
      <c r="A208" s="2" t="inlineStr">
        <is>
          <t>KMNO_USDT_PERP</t>
        </is>
      </c>
      <c r="B208" s="2" t="inlineStr">
        <is>
          <t>已掃描</t>
        </is>
      </c>
      <c r="C208" s="2" t="inlineStr"/>
      <c r="D208" s="2" t="n"/>
      <c r="E208" s="20" t="n"/>
      <c r="F208" s="20" t="n"/>
      <c r="G208" s="2" t="n"/>
      <c r="H208" s="2" t="n"/>
    </row>
    <row r="209">
      <c r="A209" s="2" t="inlineStr">
        <is>
          <t>KNC_USDT_PERP</t>
        </is>
      </c>
      <c r="B209" s="2" t="inlineStr">
        <is>
          <t>已掃描</t>
        </is>
      </c>
      <c r="C209" s="2" t="inlineStr"/>
      <c r="D209" s="2" t="n"/>
      <c r="E209" s="20" t="n"/>
      <c r="F209" s="20" t="n"/>
      <c r="G209" s="2" t="n"/>
      <c r="H209" s="2" t="n"/>
    </row>
    <row r="210">
      <c r="A210" s="2" t="inlineStr">
        <is>
          <t>LAB_USDT_PERP</t>
        </is>
      </c>
      <c r="B210" s="2" t="inlineStr">
        <is>
          <t>已掃描</t>
        </is>
      </c>
      <c r="C210" s="2" t="inlineStr"/>
      <c r="D210" s="2" t="n"/>
      <c r="E210" s="20" t="n"/>
      <c r="F210" s="20" t="n"/>
      <c r="G210" s="2" t="n"/>
      <c r="H210" s="2" t="n"/>
    </row>
    <row r="211">
      <c r="A211" s="2" t="inlineStr">
        <is>
          <t>LAYER_USDT_PERP</t>
        </is>
      </c>
      <c r="B211" s="2" t="inlineStr">
        <is>
          <t>已掃描</t>
        </is>
      </c>
      <c r="C211" s="2" t="inlineStr"/>
      <c r="D211" s="2" t="n"/>
      <c r="E211" s="20" t="n"/>
      <c r="F211" s="20" t="n"/>
      <c r="G211" s="2" t="n"/>
      <c r="H211" s="2" t="n"/>
    </row>
    <row r="212">
      <c r="A212" s="2" t="inlineStr">
        <is>
          <t>LA_USDT_PERP</t>
        </is>
      </c>
      <c r="B212" s="2" t="inlineStr">
        <is>
          <t>已掃描</t>
        </is>
      </c>
      <c r="C212" s="2" t="inlineStr"/>
      <c r="D212" s="2" t="n"/>
      <c r="E212" s="20" t="n"/>
      <c r="F212" s="20" t="n"/>
      <c r="G212" s="2" t="n"/>
      <c r="H212" s="2" t="n"/>
    </row>
    <row r="213">
      <c r="A213" s="2" t="inlineStr">
        <is>
          <t>LDO_USDT_PERP</t>
        </is>
      </c>
      <c r="B213" s="2" t="inlineStr">
        <is>
          <t>已掃描</t>
        </is>
      </c>
      <c r="C213" s="2" t="inlineStr"/>
      <c r="D213" s="2" t="n"/>
      <c r="E213" s="20" t="n"/>
      <c r="F213" s="20" t="n"/>
      <c r="G213" s="2" t="n"/>
      <c r="H213" s="2" t="n"/>
    </row>
    <row r="214">
      <c r="A214" s="2" t="inlineStr">
        <is>
          <t>LIGHT_USDT_PERP</t>
        </is>
      </c>
      <c r="B214" s="2" t="inlineStr">
        <is>
          <t>已掃描</t>
        </is>
      </c>
      <c r="C214" s="2" t="inlineStr"/>
      <c r="D214" s="2" t="n"/>
      <c r="E214" s="20" t="n"/>
      <c r="F214" s="20" t="n"/>
      <c r="G214" s="2" t="n"/>
      <c r="H214" s="2" t="n"/>
    </row>
    <row r="215">
      <c r="A215" s="2" t="inlineStr">
        <is>
          <t>LINEA_USDT_PERP</t>
        </is>
      </c>
      <c r="B215" s="2" t="inlineStr">
        <is>
          <t>已掃描</t>
        </is>
      </c>
      <c r="C215" s="2" t="inlineStr"/>
      <c r="D215" s="2" t="n"/>
      <c r="E215" s="20" t="n"/>
      <c r="F215" s="20" t="n"/>
      <c r="G215" s="2" t="n"/>
      <c r="H215" s="2" t="n"/>
    </row>
    <row r="216">
      <c r="A216" s="2" t="inlineStr">
        <is>
          <t>LINK_USDT_PERP</t>
        </is>
      </c>
      <c r="B216" s="2" t="inlineStr">
        <is>
          <t>已掃描</t>
        </is>
      </c>
      <c r="C216" s="2" t="inlineStr"/>
      <c r="D216" s="2" t="n"/>
      <c r="E216" s="20" t="n"/>
      <c r="F216" s="20" t="n"/>
      <c r="G216" s="2" t="n"/>
      <c r="H216" s="2" t="n"/>
    </row>
    <row r="217">
      <c r="A217" s="2" t="inlineStr">
        <is>
          <t>LISTA_USDT_PERP</t>
        </is>
      </c>
      <c r="B217" s="2" t="inlineStr">
        <is>
          <t>已掃描</t>
        </is>
      </c>
      <c r="C217" s="2" t="inlineStr"/>
      <c r="D217" s="2" t="n"/>
      <c r="E217" s="20" t="n"/>
      <c r="F217" s="20" t="n"/>
      <c r="G217" s="2" t="n"/>
      <c r="H217" s="2" t="n"/>
    </row>
    <row r="218">
      <c r="A218" s="2" t="inlineStr">
        <is>
          <t>LIT_USDT_PERP</t>
        </is>
      </c>
      <c r="B218" s="2" t="inlineStr">
        <is>
          <t>已掃描</t>
        </is>
      </c>
      <c r="C218" s="2" t="inlineStr"/>
      <c r="D218" s="2" t="n"/>
      <c r="E218" s="20" t="n"/>
      <c r="F218" s="20" t="n"/>
      <c r="G218" s="2" t="n"/>
      <c r="H218" s="2" t="n"/>
    </row>
    <row r="219">
      <c r="A219" s="2" t="inlineStr">
        <is>
          <t>LPT_USDT_PERP</t>
        </is>
      </c>
      <c r="B219" s="2" t="inlineStr">
        <is>
          <t>已掃描</t>
        </is>
      </c>
      <c r="C219" s="2" t="inlineStr"/>
      <c r="D219" s="2" t="n"/>
      <c r="E219" s="20" t="n"/>
      <c r="F219" s="20" t="n"/>
      <c r="G219" s="2" t="n"/>
      <c r="H219" s="2" t="n"/>
    </row>
    <row r="220">
      <c r="A220" s="2" t="inlineStr">
        <is>
          <t>LRC_USDT_PERP</t>
        </is>
      </c>
      <c r="B220" s="2" t="inlineStr">
        <is>
          <t>已掃描</t>
        </is>
      </c>
      <c r="C220" s="2" t="inlineStr"/>
      <c r="D220" s="2" t="n"/>
      <c r="E220" s="20" t="n"/>
      <c r="F220" s="20" t="n"/>
      <c r="G220" s="2" t="n"/>
      <c r="H220" s="2" t="n"/>
    </row>
    <row r="221">
      <c r="A221" s="2" t="inlineStr">
        <is>
          <t>LSK_USDT_PERP</t>
        </is>
      </c>
      <c r="B221" s="2" t="inlineStr">
        <is>
          <t>已掃描</t>
        </is>
      </c>
      <c r="C221" s="2" t="inlineStr"/>
      <c r="D221" s="2" t="n"/>
      <c r="E221" s="20" t="n"/>
      <c r="F221" s="20" t="n"/>
      <c r="G221" s="2" t="n"/>
      <c r="H221" s="2" t="n"/>
    </row>
    <row r="222">
      <c r="A222" s="2" t="inlineStr">
        <is>
          <t>LTC_USDT_PERP</t>
        </is>
      </c>
      <c r="B222" s="2" t="inlineStr">
        <is>
          <t>已掃描</t>
        </is>
      </c>
      <c r="C222" s="2" t="inlineStr"/>
      <c r="D222" s="2" t="n"/>
      <c r="E222" s="20" t="n"/>
      <c r="F222" s="20" t="n"/>
      <c r="G222" s="2" t="n"/>
      <c r="H222" s="2" t="n"/>
    </row>
    <row r="223">
      <c r="A223" s="2" t="inlineStr">
        <is>
          <t>LUNA2_USDT_PERP</t>
        </is>
      </c>
      <c r="B223" s="2" t="inlineStr">
        <is>
          <t>已掃描</t>
        </is>
      </c>
      <c r="C223" s="2" t="inlineStr"/>
      <c r="D223" s="2" t="n"/>
      <c r="E223" s="20" t="n"/>
      <c r="F223" s="20" t="n"/>
      <c r="G223" s="2" t="n"/>
      <c r="H223" s="2" t="n"/>
    </row>
    <row r="224">
      <c r="A224" s="2" t="inlineStr">
        <is>
          <t>LUNC_USDT_PERP</t>
        </is>
      </c>
      <c r="B224" s="2" t="inlineStr">
        <is>
          <t>已掃描</t>
        </is>
      </c>
      <c r="C224" s="2" t="inlineStr"/>
      <c r="D224" s="2" t="n"/>
      <c r="E224" s="20" t="n"/>
      <c r="F224" s="20" t="n"/>
      <c r="G224" s="2" t="n"/>
      <c r="H224" s="2" t="n"/>
    </row>
    <row r="225">
      <c r="A225" s="2" t="inlineStr">
        <is>
          <t>LYN_USDT_PERP</t>
        </is>
      </c>
      <c r="B225" s="2" t="inlineStr">
        <is>
          <t>已掃描</t>
        </is>
      </c>
      <c r="C225" s="2" t="inlineStr"/>
      <c r="D225" s="2" t="n"/>
      <c r="E225" s="20" t="n"/>
      <c r="F225" s="20" t="n"/>
      <c r="G225" s="2" t="n"/>
      <c r="H225" s="2" t="n"/>
    </row>
    <row r="226">
      <c r="A226" s="2" t="inlineStr">
        <is>
          <t>MAGIC_USDT_PERP</t>
        </is>
      </c>
      <c r="B226" s="2" t="inlineStr">
        <is>
          <t>已掃描</t>
        </is>
      </c>
      <c r="C226" s="2" t="inlineStr"/>
      <c r="D226" s="2" t="n"/>
      <c r="E226" s="20" t="n"/>
      <c r="F226" s="20" t="n"/>
      <c r="G226" s="2" t="n"/>
      <c r="H226" s="2" t="n"/>
    </row>
    <row r="227">
      <c r="A227" s="2" t="inlineStr">
        <is>
          <t>MAGMA_USDT_PERP</t>
        </is>
      </c>
      <c r="B227" s="2" t="inlineStr">
        <is>
          <t>已掃描</t>
        </is>
      </c>
      <c r="C227" s="2" t="inlineStr"/>
      <c r="D227" s="2" t="n"/>
      <c r="E227" s="20" t="n"/>
      <c r="F227" s="20" t="n"/>
      <c r="G227" s="2" t="n"/>
      <c r="H227" s="2" t="n"/>
    </row>
    <row r="228">
      <c r="A228" s="2" t="inlineStr">
        <is>
          <t>MANA_USDT_PERP</t>
        </is>
      </c>
      <c r="B228" s="2" t="inlineStr">
        <is>
          <t>已掃描</t>
        </is>
      </c>
      <c r="C228" s="2" t="inlineStr"/>
      <c r="D228" s="2" t="n"/>
      <c r="E228" s="20" t="n"/>
      <c r="F228" s="20" t="n"/>
      <c r="G228" s="2" t="n"/>
      <c r="H228" s="2" t="n"/>
    </row>
    <row r="229">
      <c r="A229" s="2" t="inlineStr">
        <is>
          <t>MANTA_USDT_PERP</t>
        </is>
      </c>
      <c r="B229" s="2" t="inlineStr">
        <is>
          <t>已掃描</t>
        </is>
      </c>
      <c r="C229" s="2" t="inlineStr"/>
      <c r="D229" s="2" t="n"/>
      <c r="E229" s="20" t="n"/>
      <c r="F229" s="20" t="n"/>
      <c r="G229" s="2" t="n"/>
      <c r="H229" s="2" t="n"/>
    </row>
    <row r="230">
      <c r="A230" s="2" t="inlineStr">
        <is>
          <t>MANTRA_USDT_PERP</t>
        </is>
      </c>
      <c r="B230" s="2" t="inlineStr">
        <is>
          <t>已掃描</t>
        </is>
      </c>
      <c r="C230" s="2" t="inlineStr"/>
      <c r="D230" s="2" t="n"/>
      <c r="E230" s="20" t="n"/>
      <c r="F230" s="20" t="n"/>
      <c r="G230" s="2" t="n"/>
      <c r="H230" s="2" t="n"/>
    </row>
    <row r="231">
      <c r="A231" s="2" t="inlineStr">
        <is>
          <t>MARSCOIN_USDT_PERP</t>
        </is>
      </c>
      <c r="B231" s="2" t="inlineStr">
        <is>
          <t>已掃描</t>
        </is>
      </c>
      <c r="C231" s="2" t="inlineStr"/>
      <c r="D231" s="2" t="n"/>
      <c r="E231" s="20" t="n"/>
      <c r="F231" s="20" t="n"/>
      <c r="G231" s="2" t="n"/>
      <c r="H231" s="2" t="n"/>
    </row>
    <row r="232">
      <c r="A232" s="2" t="inlineStr">
        <is>
          <t>MASK_USDT_PERP</t>
        </is>
      </c>
      <c r="B232" s="2" t="inlineStr">
        <is>
          <t>已掃描</t>
        </is>
      </c>
      <c r="C232" s="2" t="inlineStr"/>
      <c r="D232" s="2" t="n"/>
      <c r="E232" s="20" t="n"/>
      <c r="F232" s="20" t="n"/>
      <c r="G232" s="2" t="n"/>
      <c r="H232" s="2" t="n"/>
    </row>
    <row r="233">
      <c r="A233" s="2" t="inlineStr">
        <is>
          <t>MAV_USDT_PERP</t>
        </is>
      </c>
      <c r="B233" s="2" t="inlineStr">
        <is>
          <t>已掃描</t>
        </is>
      </c>
      <c r="C233" s="2" t="inlineStr"/>
      <c r="D233" s="2" t="n"/>
      <c r="E233" s="20" t="n"/>
      <c r="F233" s="20" t="n"/>
      <c r="G233" s="2" t="n"/>
      <c r="H233" s="2" t="n"/>
    </row>
    <row r="234">
      <c r="A234" s="2" t="inlineStr">
        <is>
          <t>MEGA_USDT_PERP</t>
        </is>
      </c>
      <c r="B234" s="2" t="inlineStr">
        <is>
          <t>已掃描</t>
        </is>
      </c>
      <c r="C234" s="2" t="inlineStr"/>
      <c r="D234" s="2" t="n"/>
      <c r="E234" s="20" t="n"/>
      <c r="F234" s="20" t="n"/>
      <c r="G234" s="2" t="n"/>
      <c r="H234" s="2" t="n"/>
    </row>
    <row r="235">
      <c r="A235" s="2" t="inlineStr">
        <is>
          <t>MELANIA_USDT_PERP</t>
        </is>
      </c>
      <c r="B235" s="2" t="inlineStr">
        <is>
          <t>已掃描</t>
        </is>
      </c>
      <c r="C235" s="2" t="inlineStr"/>
      <c r="D235" s="2" t="n"/>
      <c r="E235" s="20" t="n"/>
      <c r="F235" s="20" t="n"/>
      <c r="G235" s="2" t="n"/>
      <c r="H235" s="2" t="n"/>
    </row>
    <row r="236">
      <c r="A236" s="2" t="inlineStr">
        <is>
          <t>MEME_USDT_PERP</t>
        </is>
      </c>
      <c r="B236" s="2" t="inlineStr">
        <is>
          <t>已掃描</t>
        </is>
      </c>
      <c r="C236" s="2" t="inlineStr"/>
      <c r="D236" s="2" t="n"/>
      <c r="E236" s="20" t="n"/>
      <c r="F236" s="20" t="n"/>
      <c r="G236" s="2" t="n"/>
      <c r="H236" s="2" t="n"/>
    </row>
    <row r="237">
      <c r="A237" s="2" t="inlineStr">
        <is>
          <t>MERL_USDT_PERP</t>
        </is>
      </c>
      <c r="B237" s="2" t="inlineStr">
        <is>
          <t>已掃描</t>
        </is>
      </c>
      <c r="C237" s="2" t="inlineStr"/>
      <c r="D237" s="2" t="n"/>
      <c r="E237" s="20" t="n"/>
      <c r="F237" s="20" t="n"/>
      <c r="G237" s="2" t="n"/>
      <c r="H237" s="2" t="n"/>
    </row>
    <row r="238">
      <c r="A238" s="2" t="inlineStr">
        <is>
          <t>METIS_USDT_PERP</t>
        </is>
      </c>
      <c r="B238" s="2" t="inlineStr">
        <is>
          <t>已掃描</t>
        </is>
      </c>
      <c r="C238" s="2" t="inlineStr"/>
      <c r="D238" s="2" t="n"/>
      <c r="E238" s="20" t="n"/>
      <c r="F238" s="20" t="n"/>
      <c r="G238" s="2" t="n"/>
      <c r="H238" s="2" t="n"/>
    </row>
    <row r="239">
      <c r="A239" s="2" t="inlineStr">
        <is>
          <t>MET_USDT_PERP</t>
        </is>
      </c>
      <c r="B239" s="2" t="inlineStr">
        <is>
          <t>已掃描</t>
        </is>
      </c>
      <c r="C239" s="2" t="inlineStr"/>
      <c r="D239" s="2" t="n"/>
      <c r="E239" s="20" t="n"/>
      <c r="F239" s="20" t="n"/>
      <c r="G239" s="2" t="n"/>
      <c r="H239" s="2" t="n"/>
    </row>
    <row r="240">
      <c r="A240" s="2" t="inlineStr">
        <is>
          <t>MEW_USDT_PERP</t>
        </is>
      </c>
      <c r="B240" s="2" t="inlineStr">
        <is>
          <t>已掃描</t>
        </is>
      </c>
      <c r="C240" s="2" t="inlineStr"/>
      <c r="D240" s="2" t="n"/>
      <c r="E240" s="20" t="n"/>
      <c r="F240" s="20" t="n"/>
      <c r="G240" s="2" t="n"/>
      <c r="H240" s="2" t="n"/>
    </row>
    <row r="241">
      <c r="A241" s="2" t="inlineStr">
        <is>
          <t>ME_USDT_PERP</t>
        </is>
      </c>
      <c r="B241" s="2" t="inlineStr">
        <is>
          <t>已掃描</t>
        </is>
      </c>
      <c r="C241" s="2" t="inlineStr"/>
      <c r="D241" s="2" t="n"/>
      <c r="E241" s="20" t="n"/>
      <c r="F241" s="20" t="n"/>
      <c r="G241" s="2" t="n"/>
      <c r="H241" s="2" t="n"/>
    </row>
    <row r="242">
      <c r="A242" s="2" t="inlineStr">
        <is>
          <t>MITO_USDT_PERP</t>
        </is>
      </c>
      <c r="B242" s="2" t="inlineStr">
        <is>
          <t>已掃描</t>
        </is>
      </c>
      <c r="C242" s="2" t="inlineStr"/>
      <c r="D242" s="2" t="n"/>
      <c r="E242" s="20" t="n"/>
      <c r="F242" s="20" t="n"/>
      <c r="G242" s="2" t="n"/>
      <c r="H242" s="2" t="n"/>
    </row>
    <row r="243">
      <c r="A243" s="2" t="inlineStr">
        <is>
          <t>MMT_USDT_PERP</t>
        </is>
      </c>
      <c r="B243" s="2" t="inlineStr">
        <is>
          <t>已掃描</t>
        </is>
      </c>
      <c r="C243" s="2" t="inlineStr"/>
      <c r="D243" s="2" t="n"/>
      <c r="E243" s="20" t="n"/>
      <c r="F243" s="20" t="n"/>
      <c r="G243" s="2" t="n"/>
      <c r="H243" s="2" t="n"/>
    </row>
    <row r="244">
      <c r="A244" s="2" t="inlineStr">
        <is>
          <t>MNT_USDT_PERP</t>
        </is>
      </c>
      <c r="B244" s="2" t="inlineStr">
        <is>
          <t>已掃描</t>
        </is>
      </c>
      <c r="C244" s="2" t="inlineStr"/>
      <c r="D244" s="2" t="n"/>
      <c r="E244" s="20" t="n"/>
      <c r="F244" s="20" t="n"/>
      <c r="G244" s="2" t="n"/>
      <c r="H244" s="2" t="n"/>
    </row>
    <row r="245">
      <c r="A245" s="2" t="inlineStr">
        <is>
          <t>MON_USDT_PERP</t>
        </is>
      </c>
      <c r="B245" s="2" t="inlineStr">
        <is>
          <t>已掃描</t>
        </is>
      </c>
      <c r="C245" s="2" t="inlineStr"/>
      <c r="D245" s="2" t="n"/>
      <c r="E245" s="20" t="n"/>
      <c r="F245" s="20" t="n"/>
      <c r="G245" s="2" t="n"/>
      <c r="H245" s="2" t="n"/>
    </row>
    <row r="246">
      <c r="A246" s="2" t="inlineStr">
        <is>
          <t>MOODENG_USDT_PERP</t>
        </is>
      </c>
      <c r="B246" s="2" t="inlineStr">
        <is>
          <t>已掃描</t>
        </is>
      </c>
      <c r="C246" s="2" t="inlineStr"/>
      <c r="D246" s="2" t="n"/>
      <c r="E246" s="20" t="n"/>
      <c r="F246" s="20" t="n"/>
      <c r="G246" s="2" t="n"/>
      <c r="H246" s="2" t="n"/>
    </row>
    <row r="247">
      <c r="A247" s="2" t="inlineStr">
        <is>
          <t>MOONSHOT_USDT_PERP</t>
        </is>
      </c>
      <c r="B247" s="2" t="inlineStr">
        <is>
          <t>已掃描</t>
        </is>
      </c>
      <c r="C247" s="2" t="inlineStr"/>
      <c r="D247" s="2" t="n"/>
      <c r="E247" s="20" t="n"/>
      <c r="F247" s="20" t="n"/>
      <c r="G247" s="2" t="n"/>
      <c r="H247" s="2" t="n"/>
    </row>
    <row r="248">
      <c r="A248" s="2" t="inlineStr">
        <is>
          <t>MOVE_USDT_PERP</t>
        </is>
      </c>
      <c r="B248" s="2" t="inlineStr">
        <is>
          <t>已掃描</t>
        </is>
      </c>
      <c r="C248" s="2" t="inlineStr"/>
      <c r="D248" s="2" t="n"/>
      <c r="E248" s="20" t="n"/>
      <c r="F248" s="20" t="n"/>
      <c r="G248" s="2" t="n"/>
      <c r="H248" s="2" t="n"/>
    </row>
    <row r="249">
      <c r="A249" s="2" t="inlineStr">
        <is>
          <t>MOVR_USDT_PERP</t>
        </is>
      </c>
      <c r="B249" s="2" t="inlineStr">
        <is>
          <t>已掃描</t>
        </is>
      </c>
      <c r="C249" s="2" t="inlineStr"/>
      <c r="D249" s="2" t="n"/>
      <c r="E249" s="20" t="n"/>
      <c r="F249" s="20" t="n"/>
      <c r="G249" s="2" t="n"/>
      <c r="H249" s="2" t="n"/>
    </row>
    <row r="250">
      <c r="A250" s="2" t="inlineStr">
        <is>
          <t>MPX_USDT_PERP</t>
        </is>
      </c>
      <c r="B250" s="2" t="inlineStr">
        <is>
          <t>已掃描</t>
        </is>
      </c>
      <c r="C250" s="2" t="inlineStr"/>
      <c r="D250" s="2" t="n"/>
      <c r="E250" s="20" t="n"/>
      <c r="F250" s="20" t="n"/>
      <c r="G250" s="2" t="n"/>
      <c r="H250" s="2" t="n"/>
    </row>
    <row r="251">
      <c r="A251" s="2" t="inlineStr">
        <is>
          <t>MUBARAK_USDT_PERP</t>
        </is>
      </c>
      <c r="B251" s="2" t="inlineStr">
        <is>
          <t>已掃描</t>
        </is>
      </c>
      <c r="C251" s="2" t="inlineStr"/>
      <c r="D251" s="2" t="n"/>
      <c r="E251" s="20" t="n"/>
      <c r="F251" s="20" t="n"/>
      <c r="G251" s="2" t="n"/>
      <c r="H251" s="2" t="n"/>
    </row>
    <row r="252">
      <c r="A252" s="2" t="inlineStr">
        <is>
          <t>MUX_USDT_PERP</t>
        </is>
      </c>
      <c r="B252" s="2" t="inlineStr">
        <is>
          <t>已掃描</t>
        </is>
      </c>
      <c r="C252" s="2" t="inlineStr"/>
      <c r="D252" s="2" t="n"/>
      <c r="E252" s="20" t="n"/>
      <c r="F252" s="20" t="n"/>
      <c r="G252" s="2" t="n"/>
      <c r="H252" s="2" t="n"/>
    </row>
    <row r="253">
      <c r="A253" s="2" t="inlineStr">
        <is>
          <t>MYX_USDT_PERP</t>
        </is>
      </c>
      <c r="B253" s="2" t="inlineStr">
        <is>
          <t>已掃描</t>
        </is>
      </c>
      <c r="C253" s="2" t="inlineStr"/>
      <c r="D253" s="2" t="n"/>
      <c r="E253" s="20" t="n"/>
      <c r="F253" s="20" t="n"/>
      <c r="G253" s="2" t="n"/>
      <c r="H253" s="2" t="n"/>
    </row>
    <row r="254">
      <c r="A254" s="2" t="inlineStr">
        <is>
          <t>NAORIS_USDT_PERP</t>
        </is>
      </c>
      <c r="B254" s="2" t="inlineStr">
        <is>
          <t>已掃描</t>
        </is>
      </c>
      <c r="C254" s="2" t="inlineStr"/>
      <c r="D254" s="2" t="n"/>
      <c r="E254" s="20" t="n"/>
      <c r="F254" s="20" t="n"/>
      <c r="G254" s="2" t="n"/>
      <c r="H254" s="2" t="n"/>
    </row>
    <row r="255">
      <c r="A255" s="2" t="inlineStr">
        <is>
          <t>NEAR_USDT_PERP</t>
        </is>
      </c>
      <c r="B255" s="2" t="inlineStr">
        <is>
          <t>已掃描</t>
        </is>
      </c>
      <c r="C255" s="2" t="inlineStr">
        <is>
          <t>持倉中</t>
        </is>
      </c>
      <c r="D255" s="2" t="n"/>
      <c r="E255" s="20" t="n"/>
      <c r="F255" s="20" t="n"/>
      <c r="G255" s="2" t="n"/>
      <c r="H255" s="2" t="n"/>
    </row>
    <row r="256">
      <c r="A256" s="2" t="inlineStr">
        <is>
          <t>NEIRO_USDT_PERP</t>
        </is>
      </c>
      <c r="B256" s="2" t="inlineStr">
        <is>
          <t>已掃描</t>
        </is>
      </c>
      <c r="C256" s="2" t="inlineStr"/>
      <c r="D256" s="2" t="n"/>
      <c r="E256" s="20" t="n"/>
      <c r="F256" s="20" t="n"/>
      <c r="G256" s="2" t="n"/>
      <c r="H256" s="2" t="n"/>
    </row>
    <row r="257">
      <c r="A257" s="2" t="inlineStr">
        <is>
          <t>NEO_USDT_PERP</t>
        </is>
      </c>
      <c r="B257" s="2" t="inlineStr">
        <is>
          <t>已掃描</t>
        </is>
      </c>
      <c r="C257" s="2" t="inlineStr"/>
      <c r="D257" s="2" t="n"/>
      <c r="E257" s="20" t="n"/>
      <c r="F257" s="20" t="n"/>
      <c r="G257" s="2" t="n"/>
      <c r="H257" s="2" t="n"/>
    </row>
    <row r="258">
      <c r="A258" s="2" t="inlineStr">
        <is>
          <t>NIGHT_USDT_PERP</t>
        </is>
      </c>
      <c r="B258" s="2" t="inlineStr">
        <is>
          <t>已掃描</t>
        </is>
      </c>
      <c r="C258" s="2" t="inlineStr"/>
      <c r="D258" s="2" t="n"/>
      <c r="E258" s="20" t="n"/>
      <c r="F258" s="20" t="n"/>
      <c r="G258" s="2" t="n"/>
      <c r="H258" s="2" t="n"/>
    </row>
    <row r="259">
      <c r="A259" s="2" t="inlineStr">
        <is>
          <t>NIL_USDT_PERP</t>
        </is>
      </c>
      <c r="B259" s="2" t="inlineStr">
        <is>
          <t>已掃描</t>
        </is>
      </c>
      <c r="C259" s="2" t="inlineStr"/>
      <c r="D259" s="2" t="n"/>
      <c r="E259" s="20" t="n"/>
      <c r="F259" s="20" t="n"/>
      <c r="G259" s="2" t="n"/>
      <c r="H259" s="2" t="n"/>
    </row>
    <row r="260">
      <c r="A260" s="2" t="inlineStr">
        <is>
          <t>NMR_USDT_PERP</t>
        </is>
      </c>
      <c r="B260" s="2" t="inlineStr">
        <is>
          <t>已掃描</t>
        </is>
      </c>
      <c r="C260" s="2" t="inlineStr"/>
      <c r="D260" s="2" t="n"/>
      <c r="E260" s="20" t="n"/>
      <c r="F260" s="20" t="n"/>
      <c r="G260" s="2" t="n"/>
      <c r="H260" s="2" t="n"/>
    </row>
    <row r="261">
      <c r="A261" s="2" t="inlineStr">
        <is>
          <t>NOM_USDT_PERP</t>
        </is>
      </c>
      <c r="B261" s="2" t="inlineStr">
        <is>
          <t>已掃描</t>
        </is>
      </c>
      <c r="C261" s="2" t="inlineStr"/>
      <c r="D261" s="2" t="n"/>
      <c r="E261" s="20" t="n"/>
      <c r="F261" s="20" t="n"/>
      <c r="G261" s="2" t="n"/>
      <c r="H261" s="2" t="n"/>
    </row>
    <row r="262">
      <c r="A262" s="2" t="inlineStr">
        <is>
          <t>NOT_USDT_PERP</t>
        </is>
      </c>
      <c r="B262" s="2" t="inlineStr">
        <is>
          <t>已掃描</t>
        </is>
      </c>
      <c r="C262" s="2" t="inlineStr"/>
      <c r="D262" s="2" t="n"/>
      <c r="E262" s="20" t="n"/>
      <c r="F262" s="20" t="n"/>
      <c r="G262" s="2" t="n"/>
      <c r="H262" s="2" t="n"/>
    </row>
    <row r="263">
      <c r="A263" s="2" t="inlineStr">
        <is>
          <t>NXPC_USDT_PERP</t>
        </is>
      </c>
      <c r="B263" s="2" t="inlineStr">
        <is>
          <t>已掃描</t>
        </is>
      </c>
      <c r="C263" s="2" t="inlineStr"/>
      <c r="D263" s="2" t="n"/>
      <c r="E263" s="20" t="n"/>
      <c r="F263" s="20" t="n"/>
      <c r="G263" s="2" t="n"/>
      <c r="H263" s="2" t="n"/>
    </row>
    <row r="264">
      <c r="A264" s="2" t="inlineStr">
        <is>
          <t>OFC_USDT_PERP</t>
        </is>
      </c>
      <c r="B264" s="2" t="inlineStr">
        <is>
          <t>已掃描</t>
        </is>
      </c>
      <c r="C264" s="2" t="inlineStr"/>
      <c r="D264" s="2" t="n"/>
      <c r="E264" s="20" t="n"/>
      <c r="F264" s="20" t="n"/>
      <c r="G264" s="2" t="n"/>
      <c r="H264" s="2" t="n"/>
    </row>
    <row r="265">
      <c r="A265" s="2" t="inlineStr">
        <is>
          <t>OGN_USDT_PERP</t>
        </is>
      </c>
      <c r="B265" s="2" t="inlineStr">
        <is>
          <t>已掃描</t>
        </is>
      </c>
      <c r="C265" s="2" t="inlineStr"/>
      <c r="D265" s="2" t="n"/>
      <c r="E265" s="20" t="n"/>
      <c r="F265" s="20" t="n"/>
      <c r="G265" s="2" t="n"/>
      <c r="H265" s="2" t="n"/>
    </row>
    <row r="266">
      <c r="A266" s="2" t="inlineStr">
        <is>
          <t>OG_USDT_PERP</t>
        </is>
      </c>
      <c r="B266" s="2" t="inlineStr">
        <is>
          <t>已掃描</t>
        </is>
      </c>
      <c r="C266" s="2" t="inlineStr"/>
      <c r="D266" s="2" t="n"/>
      <c r="E266" s="20" t="n"/>
      <c r="F266" s="20" t="n"/>
      <c r="G266" s="2" t="n"/>
      <c r="H266" s="2" t="n"/>
    </row>
    <row r="267">
      <c r="A267" s="2" t="inlineStr">
        <is>
          <t>OKB_USDT_PERP</t>
        </is>
      </c>
      <c r="B267" s="2" t="inlineStr">
        <is>
          <t>已掃描</t>
        </is>
      </c>
      <c r="C267" s="2" t="inlineStr"/>
      <c r="D267" s="2" t="n"/>
      <c r="E267" s="20" t="n"/>
      <c r="F267" s="20" t="n"/>
      <c r="G267" s="2" t="n"/>
      <c r="H267" s="2" t="n"/>
    </row>
    <row r="268">
      <c r="A268" s="2" t="inlineStr">
        <is>
          <t>ONDO_USDT_PERP</t>
        </is>
      </c>
      <c r="B268" s="2" t="inlineStr">
        <is>
          <t>已掃描</t>
        </is>
      </c>
      <c r="C268" s="2" t="inlineStr"/>
      <c r="D268" s="2" t="n"/>
      <c r="E268" s="20" t="n"/>
      <c r="F268" s="20" t="n"/>
      <c r="G268" s="2" t="n"/>
      <c r="H268" s="2" t="n"/>
    </row>
    <row r="269">
      <c r="A269" s="2" t="inlineStr">
        <is>
          <t>ONG_USDT_PERP</t>
        </is>
      </c>
      <c r="B269" s="2" t="inlineStr">
        <is>
          <t>已掃描</t>
        </is>
      </c>
      <c r="C269" s="2" t="inlineStr"/>
      <c r="D269" s="2" t="n"/>
      <c r="E269" s="20" t="n"/>
      <c r="F269" s="20" t="n"/>
      <c r="G269" s="2" t="n"/>
      <c r="H269" s="2" t="n"/>
    </row>
    <row r="270">
      <c r="A270" s="2" t="inlineStr">
        <is>
          <t>ONT_USDT_PERP</t>
        </is>
      </c>
      <c r="B270" s="2" t="inlineStr">
        <is>
          <t>已掃描</t>
        </is>
      </c>
      <c r="C270" s="2" t="inlineStr"/>
      <c r="D270" s="2" t="n"/>
      <c r="E270" s="20" t="n"/>
      <c r="F270" s="20" t="n"/>
      <c r="G270" s="2" t="n"/>
      <c r="H270" s="2" t="n"/>
    </row>
    <row r="271">
      <c r="A271" s="2" t="inlineStr">
        <is>
          <t>ONX_USDT_PERP</t>
        </is>
      </c>
      <c r="B271" s="2" t="inlineStr">
        <is>
          <t>已掃描</t>
        </is>
      </c>
      <c r="C271" s="2" t="inlineStr"/>
      <c r="D271" s="2" t="n"/>
      <c r="E271" s="20" t="n"/>
      <c r="F271" s="20" t="n"/>
      <c r="G271" s="2" t="n"/>
      <c r="H271" s="2" t="n"/>
    </row>
    <row r="272">
      <c r="A272" s="2" t="inlineStr">
        <is>
          <t>ON_USDT_PERP</t>
        </is>
      </c>
      <c r="B272" s="2" t="inlineStr">
        <is>
          <t>已掃描</t>
        </is>
      </c>
      <c r="C272" s="2" t="inlineStr"/>
      <c r="D272" s="2" t="n"/>
      <c r="E272" s="20" t="n"/>
      <c r="F272" s="20" t="n"/>
      <c r="G272" s="2" t="n"/>
      <c r="H272" s="2" t="n"/>
    </row>
    <row r="273">
      <c r="A273" s="2" t="inlineStr">
        <is>
          <t>OPENAI_USDT_PERP</t>
        </is>
      </c>
      <c r="B273" s="2" t="inlineStr">
        <is>
          <t>已掃描</t>
        </is>
      </c>
      <c r="C273" s="2" t="inlineStr"/>
      <c r="D273" s="2" t="n"/>
      <c r="E273" s="20" t="n"/>
      <c r="F273" s="20" t="n"/>
      <c r="G273" s="2" t="n"/>
      <c r="H273" s="2" t="n"/>
    </row>
    <row r="274">
      <c r="A274" s="2" t="inlineStr">
        <is>
          <t>OPEN_USDT_PERP</t>
        </is>
      </c>
      <c r="B274" s="2" t="inlineStr">
        <is>
          <t>已掃描</t>
        </is>
      </c>
      <c r="C274" s="2" t="inlineStr"/>
      <c r="D274" s="2" t="n"/>
      <c r="E274" s="20" t="n"/>
      <c r="F274" s="20" t="n"/>
      <c r="G274" s="2" t="n"/>
      <c r="H274" s="2" t="n"/>
    </row>
    <row r="275">
      <c r="A275" s="2" t="inlineStr">
        <is>
          <t>OPG_USDT_PERP</t>
        </is>
      </c>
      <c r="B275" s="2" t="inlineStr">
        <is>
          <t>已掃描</t>
        </is>
      </c>
      <c r="C275" s="2" t="inlineStr"/>
      <c r="D275" s="2" t="n"/>
      <c r="E275" s="20" t="n"/>
      <c r="F275" s="20" t="n"/>
      <c r="G275" s="2" t="n"/>
      <c r="H275" s="2" t="n"/>
    </row>
    <row r="276">
      <c r="A276" s="2" t="inlineStr">
        <is>
          <t>OPN_USDT_PERP</t>
        </is>
      </c>
      <c r="B276" s="2" t="inlineStr">
        <is>
          <t>已掃描</t>
        </is>
      </c>
      <c r="C276" s="2" t="inlineStr"/>
      <c r="D276" s="2" t="n"/>
      <c r="E276" s="20" t="n"/>
      <c r="F276" s="20" t="n"/>
      <c r="G276" s="2" t="n"/>
      <c r="H276" s="2" t="n"/>
    </row>
    <row r="277">
      <c r="A277" s="2" t="inlineStr">
        <is>
          <t>OP_USDT_PERP</t>
        </is>
      </c>
      <c r="B277" s="2" t="inlineStr">
        <is>
          <t>已掃描</t>
        </is>
      </c>
      <c r="C277" s="2" t="inlineStr"/>
      <c r="D277" s="2" t="n"/>
      <c r="E277" s="20" t="n"/>
      <c r="F277" s="20" t="n"/>
      <c r="G277" s="2" t="n"/>
      <c r="H277" s="2" t="n"/>
    </row>
    <row r="278">
      <c r="A278" s="2" t="inlineStr">
        <is>
          <t>ORCA_USDT_PERP</t>
        </is>
      </c>
      <c r="B278" s="2" t="inlineStr">
        <is>
          <t>已掃描</t>
        </is>
      </c>
      <c r="C278" s="2" t="inlineStr"/>
      <c r="D278" s="2" t="n"/>
      <c r="E278" s="20" t="n"/>
      <c r="F278" s="20" t="n"/>
      <c r="G278" s="2" t="n"/>
      <c r="H278" s="2" t="n"/>
    </row>
    <row r="279">
      <c r="A279" s="2" t="inlineStr">
        <is>
          <t>ORDER_USDT_PERP</t>
        </is>
      </c>
      <c r="B279" s="2" t="inlineStr">
        <is>
          <t>已掃描</t>
        </is>
      </c>
      <c r="C279" s="2" t="inlineStr"/>
      <c r="D279" s="2" t="n"/>
      <c r="E279" s="20" t="n"/>
      <c r="F279" s="20" t="n"/>
      <c r="G279" s="2" t="n"/>
      <c r="H279" s="2" t="n"/>
    </row>
    <row r="280">
      <c r="A280" s="2" t="inlineStr">
        <is>
          <t>ORDI_USDT_PERP</t>
        </is>
      </c>
      <c r="B280" s="2" t="inlineStr">
        <is>
          <t>已掃描</t>
        </is>
      </c>
      <c r="C280" s="2" t="inlineStr"/>
      <c r="D280" s="2" t="n"/>
      <c r="E280" s="20" t="n"/>
      <c r="F280" s="20" t="n"/>
      <c r="G280" s="2" t="n"/>
      <c r="H280" s="2" t="n"/>
    </row>
    <row r="281">
      <c r="A281" s="2" t="inlineStr">
        <is>
          <t>O_USDT_PERP</t>
        </is>
      </c>
      <c r="B281" s="2" t="inlineStr">
        <is>
          <t>已掃描</t>
        </is>
      </c>
      <c r="C281" s="2" t="inlineStr"/>
      <c r="D281" s="2" t="n"/>
      <c r="E281" s="20" t="n"/>
      <c r="F281" s="20" t="n"/>
      <c r="G281" s="2" t="n"/>
      <c r="H281" s="2" t="n"/>
    </row>
    <row r="282">
      <c r="A282" s="2" t="inlineStr">
        <is>
          <t>PARTI_USDT_PERP</t>
        </is>
      </c>
      <c r="B282" s="2" t="inlineStr">
        <is>
          <t>已掃描</t>
        </is>
      </c>
      <c r="C282" s="2" t="inlineStr"/>
      <c r="D282" s="2" t="n"/>
      <c r="E282" s="20" t="n"/>
      <c r="F282" s="20" t="n"/>
      <c r="G282" s="2" t="n"/>
      <c r="H282" s="2" t="n"/>
    </row>
    <row r="283">
      <c r="A283" s="2" t="inlineStr">
        <is>
          <t>PENDLE_USDT_PERP</t>
        </is>
      </c>
      <c r="B283" s="2" t="inlineStr">
        <is>
          <t>已掃描</t>
        </is>
      </c>
      <c r="C283" s="2" t="inlineStr"/>
      <c r="D283" s="2" t="n"/>
      <c r="E283" s="20" t="n"/>
      <c r="F283" s="20" t="n"/>
      <c r="G283" s="2" t="n"/>
      <c r="H283" s="2" t="n"/>
    </row>
    <row r="284">
      <c r="A284" s="2" t="inlineStr">
        <is>
          <t>PENGU_USDT_PERP</t>
        </is>
      </c>
      <c r="B284" s="2" t="inlineStr">
        <is>
          <t>已掃描</t>
        </is>
      </c>
      <c r="C284" s="2" t="inlineStr"/>
      <c r="D284" s="2" t="n"/>
      <c r="E284" s="20" t="n"/>
      <c r="F284" s="20" t="n"/>
      <c r="G284" s="2" t="n"/>
      <c r="H284" s="2" t="n"/>
    </row>
    <row r="285">
      <c r="A285" s="2" t="inlineStr">
        <is>
          <t>PEOPLE_USDT_PERP</t>
        </is>
      </c>
      <c r="B285" s="2" t="inlineStr">
        <is>
          <t>已掃描</t>
        </is>
      </c>
      <c r="C285" s="2" t="inlineStr"/>
      <c r="D285" s="2" t="n"/>
      <c r="E285" s="20" t="n"/>
      <c r="F285" s="20" t="n"/>
      <c r="G285" s="2" t="n"/>
      <c r="H285" s="2" t="n"/>
    </row>
    <row r="286">
      <c r="A286" s="2" t="inlineStr">
        <is>
          <t>PEPE_USDT_PERP</t>
        </is>
      </c>
      <c r="B286" s="2" t="inlineStr">
        <is>
          <t>已掃描</t>
        </is>
      </c>
      <c r="C286" s="2" t="inlineStr"/>
      <c r="D286" s="2" t="n"/>
      <c r="E286" s="20" t="n"/>
      <c r="F286" s="20" t="n"/>
      <c r="G286" s="2" t="n"/>
      <c r="H286" s="2" t="n"/>
    </row>
    <row r="287">
      <c r="A287" s="2" t="inlineStr">
        <is>
          <t>PHA_USDT_PERP</t>
        </is>
      </c>
      <c r="B287" s="2" t="inlineStr">
        <is>
          <t>已掃描</t>
        </is>
      </c>
      <c r="C287" s="2" t="inlineStr"/>
      <c r="D287" s="2" t="n"/>
      <c r="E287" s="20" t="n"/>
      <c r="F287" s="20" t="n"/>
      <c r="G287" s="2" t="n"/>
      <c r="H287" s="2" t="n"/>
    </row>
    <row r="288">
      <c r="A288" s="2" t="inlineStr">
        <is>
          <t>PIEVERSE_USDT_PERP</t>
        </is>
      </c>
      <c r="B288" s="2" t="inlineStr">
        <is>
          <t>已掃描</t>
        </is>
      </c>
      <c r="C288" s="2" t="inlineStr"/>
      <c r="D288" s="2" t="n"/>
      <c r="E288" s="20" t="n"/>
      <c r="F288" s="20" t="n"/>
      <c r="G288" s="2" t="n"/>
      <c r="H288" s="2" t="n"/>
    </row>
    <row r="289">
      <c r="A289" s="2" t="inlineStr">
        <is>
          <t>PIPPIN_USDT_PERP</t>
        </is>
      </c>
      <c r="B289" s="2" t="inlineStr">
        <is>
          <t>已掃描</t>
        </is>
      </c>
      <c r="C289" s="2" t="inlineStr"/>
      <c r="D289" s="2" t="n"/>
      <c r="E289" s="20" t="n"/>
      <c r="F289" s="20" t="n"/>
      <c r="G289" s="2" t="n"/>
      <c r="H289" s="2" t="n"/>
    </row>
    <row r="290">
      <c r="A290" s="2" t="inlineStr">
        <is>
          <t>PIXEL_USDT_PERP</t>
        </is>
      </c>
      <c r="B290" s="2" t="inlineStr">
        <is>
          <t>已掃描</t>
        </is>
      </c>
      <c r="C290" s="2" t="inlineStr"/>
      <c r="D290" s="2" t="n"/>
      <c r="E290" s="20" t="n"/>
      <c r="F290" s="20" t="n"/>
      <c r="G290" s="2" t="n"/>
      <c r="H290" s="2" t="n"/>
    </row>
    <row r="291">
      <c r="A291" s="2" t="inlineStr">
        <is>
          <t>PI_USDT_PERP</t>
        </is>
      </c>
      <c r="B291" s="2" t="inlineStr">
        <is>
          <t>已掃描</t>
        </is>
      </c>
      <c r="C291" s="2" t="inlineStr"/>
      <c r="D291" s="2" t="n"/>
      <c r="E291" s="20" t="n"/>
      <c r="F291" s="20" t="n"/>
      <c r="G291" s="2" t="n"/>
      <c r="H291" s="2" t="n"/>
    </row>
    <row r="292">
      <c r="A292" s="2" t="inlineStr">
        <is>
          <t>PLAY_USDT_PERP</t>
        </is>
      </c>
      <c r="B292" s="2" t="inlineStr">
        <is>
          <t>已掃描</t>
        </is>
      </c>
      <c r="C292" s="2" t="inlineStr"/>
      <c r="D292" s="2" t="n"/>
      <c r="E292" s="20" t="n"/>
      <c r="F292" s="20" t="n"/>
      <c r="G292" s="2" t="n"/>
      <c r="H292" s="2" t="n"/>
    </row>
    <row r="293">
      <c r="A293" s="2" t="inlineStr">
        <is>
          <t>PLUME_USDT_PERP</t>
        </is>
      </c>
      <c r="B293" s="2" t="inlineStr">
        <is>
          <t>已掃描</t>
        </is>
      </c>
      <c r="C293" s="2" t="inlineStr"/>
      <c r="D293" s="2" t="n"/>
      <c r="E293" s="20" t="n"/>
      <c r="F293" s="20" t="n"/>
      <c r="G293" s="2" t="n"/>
      <c r="H293" s="2" t="n"/>
    </row>
    <row r="294">
      <c r="A294" s="2" t="inlineStr">
        <is>
          <t>PNUT_USDT_PERP</t>
        </is>
      </c>
      <c r="B294" s="2" t="inlineStr">
        <is>
          <t>已掃描</t>
        </is>
      </c>
      <c r="C294" s="2" t="inlineStr"/>
      <c r="D294" s="2" t="n"/>
      <c r="E294" s="20" t="n"/>
      <c r="F294" s="20" t="n"/>
      <c r="G294" s="2" t="n"/>
      <c r="H294" s="2" t="n"/>
    </row>
    <row r="295">
      <c r="A295" s="2" t="inlineStr">
        <is>
          <t>POLYX_USDT_PERP</t>
        </is>
      </c>
      <c r="B295" s="2" t="inlineStr">
        <is>
          <t>已掃描</t>
        </is>
      </c>
      <c r="C295" s="2" t="inlineStr"/>
      <c r="D295" s="2" t="n"/>
      <c r="E295" s="20" t="n"/>
      <c r="F295" s="20" t="n"/>
      <c r="G295" s="2" t="n"/>
      <c r="H295" s="2" t="n"/>
    </row>
    <row r="296">
      <c r="A296" s="2" t="inlineStr">
        <is>
          <t>POL_USDT_PERP</t>
        </is>
      </c>
      <c r="B296" s="2" t="inlineStr">
        <is>
          <t>已掃描</t>
        </is>
      </c>
      <c r="C296" s="2" t="inlineStr"/>
      <c r="D296" s="2" t="n"/>
      <c r="E296" s="20" t="n"/>
      <c r="F296" s="20" t="n"/>
      <c r="G296" s="2" t="n"/>
      <c r="H296" s="2" t="n"/>
    </row>
    <row r="297">
      <c r="A297" s="2" t="inlineStr">
        <is>
          <t>PONS_USDT_PERP</t>
        </is>
      </c>
      <c r="B297" s="2" t="inlineStr">
        <is>
          <t>已掃描</t>
        </is>
      </c>
      <c r="C297" s="2" t="inlineStr"/>
      <c r="D297" s="2" t="n"/>
      <c r="E297" s="20" t="n"/>
      <c r="F297" s="20" t="n"/>
      <c r="G297" s="2" t="n"/>
      <c r="H297" s="2" t="n"/>
    </row>
    <row r="298">
      <c r="A298" s="2" t="inlineStr">
        <is>
          <t>POPCAT_USDT_PERP</t>
        </is>
      </c>
      <c r="B298" s="2" t="inlineStr">
        <is>
          <t>已掃描</t>
        </is>
      </c>
      <c r="C298" s="2" t="inlineStr"/>
      <c r="D298" s="2" t="n"/>
      <c r="E298" s="20" t="n"/>
      <c r="F298" s="20" t="n"/>
      <c r="G298" s="2" t="n"/>
      <c r="H298" s="2" t="n"/>
    </row>
    <row r="299">
      <c r="A299" s="2" t="inlineStr">
        <is>
          <t>PORTAL_USDT_PERP</t>
        </is>
      </c>
      <c r="B299" s="2" t="inlineStr">
        <is>
          <t>已掃描</t>
        </is>
      </c>
      <c r="C299" s="2" t="inlineStr"/>
      <c r="D299" s="2" t="n"/>
      <c r="E299" s="20" t="n"/>
      <c r="F299" s="20" t="n"/>
      <c r="G299" s="2" t="n"/>
      <c r="H299" s="2" t="n"/>
    </row>
    <row r="300">
      <c r="A300" s="2" t="inlineStr">
        <is>
          <t>POWER_USDT_PERP</t>
        </is>
      </c>
      <c r="B300" s="2" t="inlineStr">
        <is>
          <t>已掃描</t>
        </is>
      </c>
      <c r="C300" s="2" t="inlineStr"/>
      <c r="D300" s="2" t="n"/>
      <c r="E300" s="20" t="n"/>
      <c r="F300" s="20" t="n"/>
      <c r="G300" s="2" t="n"/>
      <c r="H300" s="2" t="n"/>
    </row>
    <row r="301">
      <c r="A301" s="2" t="inlineStr">
        <is>
          <t>POWR_USDT_PERP</t>
        </is>
      </c>
      <c r="B301" s="2" t="inlineStr">
        <is>
          <t>已掃描</t>
        </is>
      </c>
      <c r="C301" s="2" t="inlineStr"/>
      <c r="D301" s="2" t="n"/>
      <c r="E301" s="20" t="n"/>
      <c r="F301" s="20" t="n"/>
      <c r="G301" s="2" t="n"/>
      <c r="H301" s="2" t="n"/>
    </row>
    <row r="302">
      <c r="A302" s="2" t="inlineStr">
        <is>
          <t>PRL_USDT_PERP</t>
        </is>
      </c>
      <c r="B302" s="2" t="inlineStr">
        <is>
          <t>已掃描</t>
        </is>
      </c>
      <c r="C302" s="2" t="inlineStr"/>
      <c r="D302" s="2" t="n"/>
      <c r="E302" s="20" t="n"/>
      <c r="F302" s="20" t="n"/>
      <c r="G302" s="2" t="n"/>
      <c r="H302" s="2" t="n"/>
    </row>
    <row r="303">
      <c r="A303" s="2" t="inlineStr">
        <is>
          <t>PROMPT_USDT_PERP</t>
        </is>
      </c>
      <c r="B303" s="2" t="inlineStr">
        <is>
          <t>已掃描</t>
        </is>
      </c>
      <c r="C303" s="2" t="inlineStr"/>
      <c r="D303" s="2" t="n"/>
      <c r="E303" s="20" t="n"/>
      <c r="F303" s="20" t="n"/>
      <c r="G303" s="2" t="n"/>
      <c r="H303" s="2" t="n"/>
    </row>
    <row r="304">
      <c r="A304" s="2" t="inlineStr">
        <is>
          <t>PROS_USDT_PERP</t>
        </is>
      </c>
      <c r="B304" s="2" t="inlineStr">
        <is>
          <t>已掃描</t>
        </is>
      </c>
      <c r="C304" s="2" t="inlineStr"/>
      <c r="D304" s="2" t="n"/>
      <c r="E304" s="20" t="n"/>
      <c r="F304" s="20" t="n"/>
      <c r="G304" s="2" t="n"/>
      <c r="H304" s="2" t="n"/>
    </row>
    <row r="305">
      <c r="A305" s="2" t="inlineStr">
        <is>
          <t>PROVE_USDT_PERP</t>
        </is>
      </c>
      <c r="B305" s="2" t="inlineStr">
        <is>
          <t>已掃描</t>
        </is>
      </c>
      <c r="C305" s="2" t="inlineStr"/>
      <c r="D305" s="2" t="n"/>
      <c r="E305" s="20" t="n"/>
      <c r="F305" s="20" t="n"/>
      <c r="G305" s="2" t="n"/>
      <c r="H305" s="2" t="n"/>
    </row>
    <row r="306">
      <c r="A306" s="2" t="inlineStr">
        <is>
          <t>PTB_USDT_PERP</t>
        </is>
      </c>
      <c r="B306" s="2" t="inlineStr">
        <is>
          <t>已掃描</t>
        </is>
      </c>
      <c r="C306" s="2" t="inlineStr"/>
      <c r="D306" s="2" t="n"/>
      <c r="E306" s="20" t="n"/>
      <c r="F306" s="20" t="n"/>
      <c r="G306" s="2" t="n"/>
      <c r="H306" s="2" t="n"/>
    </row>
    <row r="307">
      <c r="A307" s="2" t="inlineStr">
        <is>
          <t>PUMP_USDT_PERP</t>
        </is>
      </c>
      <c r="B307" s="2" t="inlineStr">
        <is>
          <t>已掃描</t>
        </is>
      </c>
      <c r="C307" s="2" t="inlineStr"/>
      <c r="D307" s="2" t="n"/>
      <c r="E307" s="20" t="n"/>
      <c r="F307" s="20" t="n"/>
      <c r="G307" s="2" t="n"/>
      <c r="H307" s="2" t="n"/>
    </row>
    <row r="308">
      <c r="A308" s="2" t="inlineStr">
        <is>
          <t>PYTH_USDT_PERP</t>
        </is>
      </c>
      <c r="B308" s="2" t="inlineStr">
        <is>
          <t>已掃描</t>
        </is>
      </c>
      <c r="C308" s="2" t="inlineStr"/>
      <c r="D308" s="2" t="n"/>
      <c r="E308" s="20" t="n"/>
      <c r="F308" s="20" t="n"/>
      <c r="G308" s="2" t="n"/>
      <c r="H308" s="2" t="n"/>
    </row>
    <row r="309">
      <c r="A309" s="2" t="inlineStr">
        <is>
          <t>QNT_USDT_PERP</t>
        </is>
      </c>
      <c r="B309" s="2" t="inlineStr">
        <is>
          <t>已掃描</t>
        </is>
      </c>
      <c r="C309" s="2" t="inlineStr"/>
      <c r="D309" s="2" t="n"/>
      <c r="E309" s="20" t="n"/>
      <c r="F309" s="20" t="n"/>
      <c r="G309" s="2" t="n"/>
      <c r="H309" s="2" t="n"/>
    </row>
    <row r="310">
      <c r="A310" s="2" t="inlineStr">
        <is>
          <t>QTUM_USDT_PERP</t>
        </is>
      </c>
      <c r="B310" s="2" t="inlineStr">
        <is>
          <t>已掃描</t>
        </is>
      </c>
      <c r="C310" s="2" t="inlineStr"/>
      <c r="D310" s="2" t="n"/>
      <c r="E310" s="20" t="n"/>
      <c r="F310" s="20" t="n"/>
      <c r="G310" s="2" t="n"/>
      <c r="H310" s="2" t="n"/>
    </row>
    <row r="311">
      <c r="A311" s="2" t="inlineStr">
        <is>
          <t>Q_USDT_PERP</t>
        </is>
      </c>
      <c r="B311" s="2" t="inlineStr">
        <is>
          <t>已掃描</t>
        </is>
      </c>
      <c r="C311" s="2" t="inlineStr"/>
      <c r="D311" s="2" t="n"/>
      <c r="E311" s="20" t="n"/>
      <c r="F311" s="20" t="n"/>
      <c r="G311" s="2" t="n"/>
      <c r="H311" s="2" t="n"/>
    </row>
    <row r="312">
      <c r="A312" s="2" t="inlineStr">
        <is>
          <t>RARE_USDT_PERP</t>
        </is>
      </c>
      <c r="B312" s="2" t="inlineStr">
        <is>
          <t>已掃描</t>
        </is>
      </c>
      <c r="C312" s="2" t="inlineStr"/>
      <c r="D312" s="2" t="n"/>
      <c r="E312" s="20" t="n"/>
      <c r="F312" s="20" t="n"/>
      <c r="G312" s="2" t="n"/>
      <c r="H312" s="2" t="n"/>
    </row>
    <row r="313">
      <c r="A313" s="2" t="inlineStr">
        <is>
          <t>RATS_USDT_PERP</t>
        </is>
      </c>
      <c r="B313" s="2" t="inlineStr">
        <is>
          <t>已掃描</t>
        </is>
      </c>
      <c r="C313" s="2" t="inlineStr"/>
      <c r="D313" s="2" t="n"/>
      <c r="E313" s="20" t="n"/>
      <c r="F313" s="20" t="n"/>
      <c r="G313" s="2" t="n"/>
      <c r="H313" s="2" t="n"/>
    </row>
    <row r="314">
      <c r="A314" s="2" t="inlineStr">
        <is>
          <t>RAVE_USDT_PERP</t>
        </is>
      </c>
      <c r="B314" s="2" t="inlineStr">
        <is>
          <t>已掃描</t>
        </is>
      </c>
      <c r="C314" s="2" t="inlineStr"/>
      <c r="D314" s="2" t="n"/>
      <c r="E314" s="20" t="n"/>
      <c r="F314" s="20" t="n"/>
      <c r="G314" s="2" t="n"/>
      <c r="H314" s="2" t="n"/>
    </row>
    <row r="315">
      <c r="A315" s="2" t="inlineStr">
        <is>
          <t>RAY_USDT_PERP</t>
        </is>
      </c>
      <c r="B315" s="2" t="inlineStr">
        <is>
          <t>已掃描</t>
        </is>
      </c>
      <c r="C315" s="2" t="inlineStr"/>
      <c r="D315" s="2" t="n"/>
      <c r="E315" s="20" t="n"/>
      <c r="F315" s="20" t="n"/>
      <c r="G315" s="2" t="n"/>
      <c r="H315" s="2" t="n"/>
    </row>
    <row r="316">
      <c r="A316" s="2" t="inlineStr">
        <is>
          <t>RECALL_USDT_PERP</t>
        </is>
      </c>
      <c r="B316" s="2" t="inlineStr">
        <is>
          <t>已掃描</t>
        </is>
      </c>
      <c r="C316" s="2" t="inlineStr"/>
      <c r="D316" s="2" t="n"/>
      <c r="E316" s="20" t="n"/>
      <c r="F316" s="20" t="n"/>
      <c r="G316" s="2" t="n"/>
      <c r="H316" s="2" t="n"/>
    </row>
    <row r="317">
      <c r="A317" s="2" t="inlineStr">
        <is>
          <t>RENDER_USDT_PERP</t>
        </is>
      </c>
      <c r="B317" s="2" t="inlineStr">
        <is>
          <t>已掃描</t>
        </is>
      </c>
      <c r="C317" s="2" t="inlineStr"/>
      <c r="D317" s="2" t="n"/>
      <c r="E317" s="20" t="n"/>
      <c r="F317" s="20" t="n"/>
      <c r="G317" s="2" t="n"/>
      <c r="H317" s="2" t="n"/>
    </row>
    <row r="318">
      <c r="A318" s="2" t="inlineStr">
        <is>
          <t>RESOLV_USDT_PERP</t>
        </is>
      </c>
      <c r="B318" s="2" t="inlineStr">
        <is>
          <t>已掃描</t>
        </is>
      </c>
      <c r="C318" s="2" t="inlineStr"/>
      <c r="D318" s="2" t="n"/>
      <c r="E318" s="20" t="n"/>
      <c r="F318" s="20" t="n"/>
      <c r="G318" s="2" t="n"/>
      <c r="H318" s="2" t="n"/>
    </row>
    <row r="319">
      <c r="A319" s="2" t="inlineStr">
        <is>
          <t>REZ_USDT_PERP</t>
        </is>
      </c>
      <c r="B319" s="2" t="inlineStr">
        <is>
          <t>已掃描</t>
        </is>
      </c>
      <c r="C319" s="2" t="inlineStr"/>
      <c r="D319" s="2" t="n"/>
      <c r="E319" s="20" t="n"/>
      <c r="F319" s="20" t="n"/>
      <c r="G319" s="2" t="n"/>
      <c r="H319" s="2" t="n"/>
    </row>
    <row r="320">
      <c r="A320" s="2" t="inlineStr">
        <is>
          <t>RE_USDT_PERP</t>
        </is>
      </c>
      <c r="B320" s="2" t="inlineStr">
        <is>
          <t>已掃描</t>
        </is>
      </c>
      <c r="C320" s="2" t="inlineStr"/>
      <c r="D320" s="2" t="n"/>
      <c r="E320" s="20" t="n"/>
      <c r="F320" s="20" t="n"/>
      <c r="G320" s="2" t="n"/>
      <c r="H320" s="2" t="n"/>
    </row>
    <row r="321">
      <c r="A321" s="2" t="inlineStr">
        <is>
          <t>RIF_USDT_PERP</t>
        </is>
      </c>
      <c r="B321" s="2" t="inlineStr">
        <is>
          <t>已掃描</t>
        </is>
      </c>
      <c r="C321" s="2" t="inlineStr"/>
      <c r="D321" s="2" t="n"/>
      <c r="E321" s="20" t="n"/>
      <c r="F321" s="20" t="n"/>
      <c r="G321" s="2" t="n"/>
      <c r="H321" s="2" t="n"/>
    </row>
    <row r="322">
      <c r="A322" s="2" t="inlineStr">
        <is>
          <t>RIVER_USDT_PERP</t>
        </is>
      </c>
      <c r="B322" s="2" t="inlineStr">
        <is>
          <t>已掃描</t>
        </is>
      </c>
      <c r="C322" s="2" t="inlineStr"/>
      <c r="D322" s="2" t="n"/>
      <c r="E322" s="20" t="n"/>
      <c r="F322" s="20" t="n"/>
      <c r="G322" s="2" t="n"/>
      <c r="H322" s="2" t="n"/>
    </row>
    <row r="323">
      <c r="A323" s="2" t="inlineStr">
        <is>
          <t>ROBO_USDT_PERP</t>
        </is>
      </c>
      <c r="B323" s="2" t="inlineStr">
        <is>
          <t>已掃描</t>
        </is>
      </c>
      <c r="C323" s="2" t="inlineStr"/>
      <c r="D323" s="2" t="n"/>
      <c r="E323" s="20" t="n"/>
      <c r="F323" s="20" t="n"/>
      <c r="G323" s="2" t="n"/>
      <c r="H323" s="2" t="n"/>
    </row>
    <row r="324">
      <c r="A324" s="2" t="inlineStr">
        <is>
          <t>ROSE_USDT_PERP</t>
        </is>
      </c>
      <c r="B324" s="2" t="inlineStr">
        <is>
          <t>已掃描</t>
        </is>
      </c>
      <c r="C324" s="2" t="inlineStr"/>
      <c r="D324" s="2" t="n"/>
      <c r="E324" s="20" t="n"/>
      <c r="F324" s="20" t="n"/>
      <c r="G324" s="2" t="n"/>
      <c r="H324" s="2" t="n"/>
    </row>
    <row r="325">
      <c r="A325" s="2" t="inlineStr">
        <is>
          <t>RSR_USDT_PERP</t>
        </is>
      </c>
      <c r="B325" s="2" t="inlineStr">
        <is>
          <t>已掃描</t>
        </is>
      </c>
      <c r="C325" s="2" t="inlineStr"/>
      <c r="D325" s="2" t="n"/>
      <c r="E325" s="20" t="n"/>
      <c r="F325" s="20" t="n"/>
      <c r="G325" s="2" t="n"/>
      <c r="H325" s="2" t="n"/>
    </row>
    <row r="326">
      <c r="A326" s="2" t="inlineStr">
        <is>
          <t>RUNE_USDT_PERP</t>
        </is>
      </c>
      <c r="B326" s="2" t="inlineStr">
        <is>
          <t>已掃描</t>
        </is>
      </c>
      <c r="C326" s="2" t="inlineStr"/>
      <c r="D326" s="2" t="n"/>
      <c r="E326" s="20" t="n"/>
      <c r="F326" s="20" t="n"/>
      <c r="G326" s="2" t="n"/>
      <c r="H326" s="2" t="n"/>
    </row>
    <row r="327">
      <c r="A327" s="2" t="inlineStr">
        <is>
          <t>SAGA_USDT_PERP</t>
        </is>
      </c>
      <c r="B327" s="2" t="inlineStr">
        <is>
          <t>已掃描</t>
        </is>
      </c>
      <c r="C327" s="2" t="inlineStr"/>
      <c r="D327" s="2" t="n"/>
      <c r="E327" s="20" t="n"/>
      <c r="F327" s="20" t="n"/>
      <c r="G327" s="2" t="n"/>
      <c r="H327" s="2" t="n"/>
    </row>
    <row r="328">
      <c r="A328" s="2" t="inlineStr">
        <is>
          <t>SAHARA_USDT_PERP</t>
        </is>
      </c>
      <c r="B328" s="2" t="inlineStr">
        <is>
          <t>已掃描</t>
        </is>
      </c>
      <c r="C328" s="2" t="inlineStr"/>
      <c r="D328" s="2" t="n"/>
      <c r="E328" s="20" t="n"/>
      <c r="F328" s="20" t="n"/>
      <c r="G328" s="2" t="n"/>
      <c r="H328" s="2" t="n"/>
    </row>
    <row r="329">
      <c r="A329" s="2" t="inlineStr">
        <is>
          <t>SAND_USDT_PERP</t>
        </is>
      </c>
      <c r="B329" s="2" t="inlineStr">
        <is>
          <t>已掃描</t>
        </is>
      </c>
      <c r="C329" s="2" t="inlineStr"/>
      <c r="D329" s="2" t="n"/>
      <c r="E329" s="20" t="n"/>
      <c r="F329" s="20" t="n"/>
      <c r="G329" s="2" t="n"/>
      <c r="H329" s="2" t="n"/>
    </row>
    <row r="330">
      <c r="A330" s="2" t="inlineStr">
        <is>
          <t>SAPIEN_USDT_PERP</t>
        </is>
      </c>
      <c r="B330" s="2" t="inlineStr">
        <is>
          <t>已掃描</t>
        </is>
      </c>
      <c r="C330" s="2" t="inlineStr"/>
      <c r="D330" s="2" t="n"/>
      <c r="E330" s="20" t="n"/>
      <c r="F330" s="20" t="n"/>
      <c r="G330" s="2" t="n"/>
      <c r="H330" s="2" t="n"/>
    </row>
    <row r="331">
      <c r="A331" s="2" t="inlineStr">
        <is>
          <t>SEI_USDT_PERP</t>
        </is>
      </c>
      <c r="B331" s="2" t="inlineStr">
        <is>
          <t>已掃描</t>
        </is>
      </c>
      <c r="C331" s="2" t="inlineStr"/>
      <c r="D331" s="2" t="n"/>
      <c r="E331" s="20" t="n"/>
      <c r="F331" s="20" t="n"/>
      <c r="G331" s="2" t="n"/>
      <c r="H331" s="2" t="n"/>
    </row>
    <row r="332">
      <c r="A332" s="2" t="inlineStr">
        <is>
          <t>SENT_USDT_PERP</t>
        </is>
      </c>
      <c r="B332" s="2" t="inlineStr">
        <is>
          <t>已掃描</t>
        </is>
      </c>
      <c r="C332" s="2" t="inlineStr"/>
      <c r="D332" s="2" t="n"/>
      <c r="E332" s="20" t="n"/>
      <c r="F332" s="20" t="n"/>
      <c r="G332" s="2" t="n"/>
      <c r="H332" s="2" t="n"/>
    </row>
    <row r="333">
      <c r="A333" s="2" t="inlineStr">
        <is>
          <t>SFP_USDT_PERP</t>
        </is>
      </c>
      <c r="B333" s="2" t="inlineStr">
        <is>
          <t>已掃描</t>
        </is>
      </c>
      <c r="C333" s="2" t="inlineStr"/>
      <c r="D333" s="2" t="n"/>
      <c r="E333" s="20" t="n"/>
      <c r="F333" s="20" t="n"/>
      <c r="G333" s="2" t="n"/>
      <c r="H333" s="2" t="n"/>
    </row>
    <row r="334">
      <c r="A334" s="2" t="inlineStr">
        <is>
          <t>SHELL_USDT_PERP</t>
        </is>
      </c>
      <c r="B334" s="2" t="inlineStr">
        <is>
          <t>已掃描</t>
        </is>
      </c>
      <c r="C334" s="2" t="inlineStr"/>
      <c r="D334" s="2" t="n"/>
      <c r="E334" s="20" t="n"/>
      <c r="F334" s="20" t="n"/>
      <c r="G334" s="2" t="n"/>
      <c r="H334" s="2" t="n"/>
    </row>
    <row r="335">
      <c r="A335" s="2" t="inlineStr">
        <is>
          <t>SHIB_USDT_PERP</t>
        </is>
      </c>
      <c r="B335" s="2" t="inlineStr">
        <is>
          <t>已掃描</t>
        </is>
      </c>
      <c r="C335" s="2" t="inlineStr"/>
      <c r="D335" s="2" t="n"/>
      <c r="E335" s="20" t="n"/>
      <c r="F335" s="20" t="n"/>
      <c r="G335" s="2" t="n"/>
      <c r="H335" s="2" t="n"/>
    </row>
    <row r="336">
      <c r="A336" s="2" t="inlineStr">
        <is>
          <t>SIREN_USDT_PERP</t>
        </is>
      </c>
      <c r="B336" s="2" t="inlineStr">
        <is>
          <t>已掃描</t>
        </is>
      </c>
      <c r="C336" s="2" t="inlineStr"/>
      <c r="D336" s="2" t="n"/>
      <c r="E336" s="20" t="n"/>
      <c r="F336" s="20" t="n"/>
      <c r="G336" s="2" t="n"/>
      <c r="H336" s="2" t="n"/>
    </row>
    <row r="337">
      <c r="A337" s="2" t="inlineStr">
        <is>
          <t>SKL_USDT_PERP</t>
        </is>
      </c>
      <c r="B337" s="2" t="inlineStr">
        <is>
          <t>已掃描</t>
        </is>
      </c>
      <c r="C337" s="2" t="inlineStr"/>
      <c r="D337" s="2" t="n"/>
      <c r="E337" s="20" t="n"/>
      <c r="F337" s="20" t="n"/>
      <c r="G337" s="2" t="n"/>
      <c r="H337" s="2" t="n"/>
    </row>
    <row r="338">
      <c r="A338" s="2" t="inlineStr">
        <is>
          <t>SKR_USDT_PERP</t>
        </is>
      </c>
      <c r="B338" s="2" t="inlineStr">
        <is>
          <t>已掃描</t>
        </is>
      </c>
      <c r="C338" s="2" t="inlineStr"/>
      <c r="D338" s="2" t="n"/>
      <c r="E338" s="20" t="n"/>
      <c r="F338" s="20" t="n"/>
      <c r="G338" s="2" t="n"/>
      <c r="H338" s="2" t="n"/>
    </row>
    <row r="339">
      <c r="A339" s="2" t="inlineStr">
        <is>
          <t>SKYAI_USDT_PERP</t>
        </is>
      </c>
      <c r="B339" s="2" t="inlineStr">
        <is>
          <t>已掃描</t>
        </is>
      </c>
      <c r="C339" s="2" t="inlineStr"/>
      <c r="D339" s="2" t="n"/>
      <c r="E339" s="20" t="n"/>
      <c r="F339" s="20" t="n"/>
      <c r="G339" s="2" t="n"/>
      <c r="H339" s="2" t="n"/>
    </row>
    <row r="340">
      <c r="A340" s="2" t="inlineStr">
        <is>
          <t>SKY_USDT_PERP</t>
        </is>
      </c>
      <c r="B340" s="2" t="inlineStr">
        <is>
          <t>已掃描</t>
        </is>
      </c>
      <c r="C340" s="2" t="inlineStr"/>
      <c r="D340" s="2" t="n"/>
      <c r="E340" s="20" t="n"/>
      <c r="F340" s="20" t="n"/>
      <c r="G340" s="2" t="n"/>
      <c r="H340" s="2" t="n"/>
    </row>
    <row r="341">
      <c r="A341" s="2" t="inlineStr">
        <is>
          <t>SLP_USDT_PERP</t>
        </is>
      </c>
      <c r="B341" s="2" t="inlineStr">
        <is>
          <t>已掃描</t>
        </is>
      </c>
      <c r="C341" s="2" t="inlineStr"/>
      <c r="D341" s="2" t="n"/>
      <c r="E341" s="20" t="n"/>
      <c r="F341" s="20" t="n"/>
      <c r="G341" s="2" t="n"/>
      <c r="H341" s="2" t="n"/>
    </row>
    <row r="342">
      <c r="A342" s="2" t="inlineStr">
        <is>
          <t>SLX_USDT_PERP</t>
        </is>
      </c>
      <c r="B342" s="2" t="inlineStr">
        <is>
          <t>已掃描</t>
        </is>
      </c>
      <c r="C342" s="2" t="inlineStr"/>
      <c r="D342" s="2" t="n"/>
      <c r="E342" s="20" t="n"/>
      <c r="F342" s="20" t="n"/>
      <c r="G342" s="2" t="n"/>
      <c r="H342" s="2" t="n"/>
    </row>
    <row r="343">
      <c r="A343" s="2" t="inlineStr">
        <is>
          <t>SNX_USDT_PERP</t>
        </is>
      </c>
      <c r="B343" s="2" t="inlineStr">
        <is>
          <t>已掃描</t>
        </is>
      </c>
      <c r="C343" s="2" t="inlineStr"/>
      <c r="D343" s="2" t="n"/>
      <c r="E343" s="20" t="n"/>
      <c r="F343" s="20" t="n"/>
      <c r="G343" s="2" t="n"/>
      <c r="H343" s="2" t="n"/>
    </row>
    <row r="344">
      <c r="A344" s="2" t="inlineStr">
        <is>
          <t>SOLV_USDT_PERP</t>
        </is>
      </c>
      <c r="B344" s="2" t="inlineStr">
        <is>
          <t>已掃描</t>
        </is>
      </c>
      <c r="C344" s="2" t="inlineStr"/>
      <c r="D344" s="2" t="n"/>
      <c r="E344" s="20" t="n"/>
      <c r="F344" s="20" t="n"/>
      <c r="G344" s="2" t="n"/>
      <c r="H344" s="2" t="n"/>
    </row>
    <row r="345">
      <c r="A345" s="2" t="inlineStr">
        <is>
          <t>SOL_USDT_PERP</t>
        </is>
      </c>
      <c r="B345" s="2" t="inlineStr">
        <is>
          <t>已掃描</t>
        </is>
      </c>
      <c r="C345" s="2" t="inlineStr"/>
      <c r="D345" s="2" t="n"/>
      <c r="E345" s="20" t="n"/>
      <c r="F345" s="20" t="n"/>
      <c r="G345" s="2" t="n"/>
      <c r="H345" s="2" t="n"/>
    </row>
    <row r="346">
      <c r="A346" s="2" t="inlineStr">
        <is>
          <t>SOMI_USDT_PERP</t>
        </is>
      </c>
      <c r="B346" s="2" t="inlineStr">
        <is>
          <t>已掃描</t>
        </is>
      </c>
      <c r="C346" s="2" t="inlineStr"/>
      <c r="D346" s="2" t="n"/>
      <c r="E346" s="20" t="n"/>
      <c r="F346" s="20" t="n"/>
      <c r="G346" s="2" t="n"/>
      <c r="H346" s="2" t="n"/>
    </row>
    <row r="347">
      <c r="A347" s="2" t="inlineStr">
        <is>
          <t>SOON_USDT_PERP</t>
        </is>
      </c>
      <c r="B347" s="2" t="inlineStr">
        <is>
          <t>已掃描</t>
        </is>
      </c>
      <c r="C347" s="2" t="inlineStr"/>
      <c r="D347" s="2" t="n"/>
      <c r="E347" s="20" t="n"/>
      <c r="F347" s="20" t="n"/>
      <c r="G347" s="2" t="n"/>
      <c r="H347" s="2" t="n"/>
    </row>
    <row r="348">
      <c r="A348" s="2" t="inlineStr">
        <is>
          <t>SPACE_USDT_PERP</t>
        </is>
      </c>
      <c r="B348" s="2" t="inlineStr">
        <is>
          <t>已掃描</t>
        </is>
      </c>
      <c r="C348" s="2" t="inlineStr"/>
      <c r="D348" s="2" t="n"/>
      <c r="E348" s="20" t="n"/>
      <c r="F348" s="20" t="n"/>
      <c r="G348" s="2" t="n"/>
      <c r="H348" s="2" t="n"/>
    </row>
    <row r="349">
      <c r="A349" s="2" t="inlineStr">
        <is>
          <t>SPELL_USDT_PERP</t>
        </is>
      </c>
      <c r="B349" s="2" t="inlineStr">
        <is>
          <t>已掃描</t>
        </is>
      </c>
      <c r="C349" s="2" t="inlineStr"/>
      <c r="D349" s="2" t="n"/>
      <c r="E349" s="20" t="n"/>
      <c r="F349" s="20" t="n"/>
      <c r="G349" s="2" t="n"/>
      <c r="H349" s="2" t="n"/>
    </row>
    <row r="350">
      <c r="A350" s="2" t="inlineStr">
        <is>
          <t>SPK_USDT_PERP</t>
        </is>
      </c>
      <c r="B350" s="2" t="inlineStr">
        <is>
          <t>已掃描</t>
        </is>
      </c>
      <c r="C350" s="2" t="inlineStr"/>
      <c r="D350" s="2" t="n"/>
      <c r="E350" s="20" t="n"/>
      <c r="F350" s="20" t="n"/>
      <c r="G350" s="2" t="n"/>
      <c r="H350" s="2" t="n"/>
    </row>
    <row r="351">
      <c r="A351" s="2" t="inlineStr">
        <is>
          <t>SPORTFUN_USDT_PERP</t>
        </is>
      </c>
      <c r="B351" s="2" t="inlineStr">
        <is>
          <t>已掃描</t>
        </is>
      </c>
      <c r="C351" s="2" t="inlineStr"/>
      <c r="D351" s="2" t="n"/>
      <c r="E351" s="20" t="n"/>
      <c r="F351" s="20" t="n"/>
      <c r="G351" s="2" t="n"/>
      <c r="H351" s="2" t="n"/>
    </row>
    <row r="352">
      <c r="A352" s="2" t="inlineStr">
        <is>
          <t>SPX_USDT_PERP</t>
        </is>
      </c>
      <c r="B352" s="2" t="inlineStr">
        <is>
          <t>已掃描</t>
        </is>
      </c>
      <c r="C352" s="2" t="inlineStr"/>
      <c r="D352" s="2" t="n"/>
      <c r="E352" s="20" t="n"/>
      <c r="F352" s="20" t="n"/>
      <c r="G352" s="2" t="n"/>
      <c r="H352" s="2" t="n"/>
    </row>
    <row r="353">
      <c r="A353" s="2" t="inlineStr">
        <is>
          <t>SQD_USDT_PERP</t>
        </is>
      </c>
      <c r="B353" s="2" t="inlineStr">
        <is>
          <t>已掃描</t>
        </is>
      </c>
      <c r="C353" s="2" t="inlineStr"/>
      <c r="D353" s="2" t="n"/>
      <c r="E353" s="20" t="n"/>
      <c r="F353" s="20" t="n"/>
      <c r="G353" s="2" t="n"/>
      <c r="H353" s="2" t="n"/>
    </row>
    <row r="354">
      <c r="A354" s="2" t="inlineStr">
        <is>
          <t>SSV_USDT_PERP</t>
        </is>
      </c>
      <c r="B354" s="2" t="inlineStr">
        <is>
          <t>已掃描</t>
        </is>
      </c>
      <c r="C354" s="2" t="inlineStr"/>
      <c r="D354" s="2" t="n"/>
      <c r="E354" s="20" t="n"/>
      <c r="F354" s="20" t="n"/>
      <c r="G354" s="2" t="n"/>
      <c r="H354" s="2" t="n"/>
    </row>
    <row r="355">
      <c r="A355" s="2" t="inlineStr">
        <is>
          <t>STABLE_USDT_PERP</t>
        </is>
      </c>
      <c r="B355" s="2" t="inlineStr">
        <is>
          <t>已掃描</t>
        </is>
      </c>
      <c r="C355" s="2" t="inlineStr"/>
      <c r="D355" s="2" t="n"/>
      <c r="E355" s="20" t="n"/>
      <c r="F355" s="20" t="n"/>
      <c r="G355" s="2" t="n"/>
      <c r="H355" s="2" t="n"/>
    </row>
    <row r="356">
      <c r="A356" s="2" t="inlineStr">
        <is>
          <t>STAR_USDT_PERP</t>
        </is>
      </c>
      <c r="B356" s="2" t="inlineStr">
        <is>
          <t>已掃描</t>
        </is>
      </c>
      <c r="C356" s="2" t="inlineStr"/>
      <c r="D356" s="2" t="n"/>
      <c r="E356" s="20" t="n"/>
      <c r="F356" s="20" t="n"/>
      <c r="G356" s="2" t="n"/>
      <c r="H356" s="2" t="n"/>
    </row>
    <row r="357">
      <c r="A357" s="2" t="inlineStr">
        <is>
          <t>STBL_USDT_PERP</t>
        </is>
      </c>
      <c r="B357" s="2" t="inlineStr">
        <is>
          <t>已掃描</t>
        </is>
      </c>
      <c r="C357" s="2" t="inlineStr"/>
      <c r="D357" s="2" t="n"/>
      <c r="E357" s="20" t="n"/>
      <c r="F357" s="20" t="n"/>
      <c r="G357" s="2" t="n"/>
      <c r="H357" s="2" t="n"/>
    </row>
    <row r="358">
      <c r="A358" s="2" t="inlineStr">
        <is>
          <t>STG_USDT_PERP</t>
        </is>
      </c>
      <c r="B358" s="2" t="inlineStr">
        <is>
          <t>已掃描</t>
        </is>
      </c>
      <c r="C358" s="2" t="inlineStr"/>
      <c r="D358" s="2" t="n"/>
      <c r="E358" s="20" t="n"/>
      <c r="F358" s="20" t="n"/>
      <c r="G358" s="2" t="n"/>
      <c r="H358" s="2" t="n"/>
    </row>
    <row r="359">
      <c r="A359" s="2" t="inlineStr">
        <is>
          <t>STO_USDT_PERP</t>
        </is>
      </c>
      <c r="B359" s="2" t="inlineStr">
        <is>
          <t>已掃描</t>
        </is>
      </c>
      <c r="C359" s="2" t="inlineStr"/>
      <c r="D359" s="2" t="n"/>
      <c r="E359" s="20" t="n"/>
      <c r="F359" s="20" t="n"/>
      <c r="G359" s="2" t="n"/>
      <c r="H359" s="2" t="n"/>
    </row>
    <row r="360">
      <c r="A360" s="2" t="inlineStr">
        <is>
          <t>STRK_USDT_PERP</t>
        </is>
      </c>
      <c r="B360" s="2" t="inlineStr">
        <is>
          <t>已掃描</t>
        </is>
      </c>
      <c r="C360" s="2" t="inlineStr"/>
      <c r="D360" s="2" t="n"/>
      <c r="E360" s="20" t="n"/>
      <c r="F360" s="20" t="n"/>
      <c r="G360" s="2" t="n"/>
      <c r="H360" s="2" t="n"/>
    </row>
    <row r="361">
      <c r="A361" s="2" t="inlineStr">
        <is>
          <t>STX_USDT_PERP</t>
        </is>
      </c>
      <c r="B361" s="2" t="inlineStr">
        <is>
          <t>已掃描</t>
        </is>
      </c>
      <c r="C361" s="2" t="inlineStr"/>
      <c r="D361" s="2" t="n"/>
      <c r="E361" s="20" t="n"/>
      <c r="F361" s="20" t="n"/>
      <c r="G361" s="2" t="n"/>
      <c r="H361" s="2" t="n"/>
    </row>
    <row r="362">
      <c r="A362" s="2" t="inlineStr">
        <is>
          <t>SUI_USDT_PERP</t>
        </is>
      </c>
      <c r="B362" s="2" t="inlineStr">
        <is>
          <t>已掃描</t>
        </is>
      </c>
      <c r="C362" s="2" t="inlineStr"/>
      <c r="D362" s="2" t="n"/>
      <c r="E362" s="20" t="n"/>
      <c r="F362" s="20" t="n"/>
      <c r="G362" s="2" t="n"/>
      <c r="H362" s="2" t="n"/>
    </row>
    <row r="363">
      <c r="A363" s="2" t="inlineStr">
        <is>
          <t>SUN_USDT_PERP</t>
        </is>
      </c>
      <c r="B363" s="2" t="inlineStr">
        <is>
          <t>已掃描</t>
        </is>
      </c>
      <c r="C363" s="2" t="inlineStr"/>
      <c r="D363" s="2" t="n"/>
      <c r="E363" s="20" t="n"/>
      <c r="F363" s="20" t="n"/>
      <c r="G363" s="2" t="n"/>
      <c r="H363" s="2" t="n"/>
    </row>
    <row r="364">
      <c r="A364" s="2" t="inlineStr">
        <is>
          <t>SUPER_USDT_PERP</t>
        </is>
      </c>
      <c r="B364" s="2" t="inlineStr">
        <is>
          <t>已掃描</t>
        </is>
      </c>
      <c r="C364" s="2" t="inlineStr"/>
      <c r="D364" s="2" t="n"/>
      <c r="E364" s="20" t="n"/>
      <c r="F364" s="20" t="n"/>
      <c r="G364" s="2" t="n"/>
      <c r="H364" s="2" t="n"/>
    </row>
    <row r="365">
      <c r="A365" s="2" t="inlineStr">
        <is>
          <t>SUSHI_USDT_PERP</t>
        </is>
      </c>
      <c r="B365" s="2" t="inlineStr">
        <is>
          <t>已掃描</t>
        </is>
      </c>
      <c r="C365" s="2" t="inlineStr"/>
      <c r="D365" s="2" t="n"/>
      <c r="E365" s="20" t="n"/>
      <c r="F365" s="20" t="n"/>
      <c r="G365" s="2" t="n"/>
      <c r="H365" s="2" t="n"/>
    </row>
    <row r="366">
      <c r="A366" s="2" t="inlineStr">
        <is>
          <t>SXT_USDT_PERP</t>
        </is>
      </c>
      <c r="B366" s="2" t="inlineStr">
        <is>
          <t>已掃描</t>
        </is>
      </c>
      <c r="C366" s="2" t="inlineStr"/>
      <c r="D366" s="2" t="n"/>
      <c r="E366" s="20" t="n"/>
      <c r="F366" s="20" t="n"/>
      <c r="G366" s="2" t="n"/>
      <c r="H366" s="2" t="n"/>
    </row>
    <row r="367">
      <c r="A367" s="2" t="inlineStr">
        <is>
          <t>SYRUP_USDT_PERP</t>
        </is>
      </c>
      <c r="B367" s="2" t="inlineStr">
        <is>
          <t>已掃描</t>
        </is>
      </c>
      <c r="C367" s="2" t="inlineStr"/>
      <c r="D367" s="2" t="n"/>
      <c r="E367" s="20" t="n"/>
      <c r="F367" s="20" t="n"/>
      <c r="G367" s="2" t="n"/>
      <c r="H367" s="2" t="n"/>
    </row>
    <row r="368">
      <c r="A368" s="2" t="inlineStr">
        <is>
          <t>S_USDT_PERP</t>
        </is>
      </c>
      <c r="B368" s="2" t="inlineStr">
        <is>
          <t>已掃描</t>
        </is>
      </c>
      <c r="C368" s="2" t="inlineStr"/>
      <c r="D368" s="2" t="n"/>
      <c r="E368" s="20" t="n"/>
      <c r="F368" s="20" t="n"/>
      <c r="G368" s="2" t="n"/>
      <c r="H368" s="2" t="n"/>
    </row>
    <row r="369">
      <c r="A369" s="2" t="inlineStr">
        <is>
          <t>TAC_USDT_PERP</t>
        </is>
      </c>
      <c r="B369" s="2" t="inlineStr">
        <is>
          <t>已掃描</t>
        </is>
      </c>
      <c r="C369" s="2" t="inlineStr"/>
      <c r="D369" s="2" t="n"/>
      <c r="E369" s="20" t="n"/>
      <c r="F369" s="20" t="n"/>
      <c r="G369" s="2" t="n"/>
      <c r="H369" s="2" t="n"/>
    </row>
    <row r="370">
      <c r="A370" s="2" t="inlineStr">
        <is>
          <t>TAKE_USDT_PERP</t>
        </is>
      </c>
      <c r="B370" s="2" t="inlineStr">
        <is>
          <t>已掃描</t>
        </is>
      </c>
      <c r="C370" s="2" t="inlineStr"/>
      <c r="D370" s="2" t="n"/>
      <c r="E370" s="20" t="n"/>
      <c r="F370" s="20" t="n"/>
      <c r="G370" s="2" t="n"/>
      <c r="H370" s="2" t="n"/>
    </row>
    <row r="371">
      <c r="A371" s="2" t="inlineStr">
        <is>
          <t>TAO_USDT_PERP</t>
        </is>
      </c>
      <c r="B371" s="2" t="inlineStr">
        <is>
          <t>已掃描</t>
        </is>
      </c>
      <c r="C371" s="2" t="inlineStr"/>
      <c r="D371" s="2" t="n"/>
      <c r="E371" s="20" t="n"/>
      <c r="F371" s="20" t="n"/>
      <c r="G371" s="2" t="n"/>
      <c r="H371" s="2" t="n"/>
    </row>
    <row r="372">
      <c r="A372" s="2" t="inlineStr">
        <is>
          <t>TA_USDT_PERP</t>
        </is>
      </c>
      <c r="B372" s="2" t="inlineStr">
        <is>
          <t>已掃描</t>
        </is>
      </c>
      <c r="C372" s="2" t="inlineStr"/>
      <c r="D372" s="2" t="n"/>
      <c r="E372" s="20" t="n"/>
      <c r="F372" s="20" t="n"/>
      <c r="G372" s="2" t="n"/>
      <c r="H372" s="2" t="n"/>
    </row>
    <row r="373">
      <c r="A373" s="2" t="inlineStr">
        <is>
          <t>THETA_USDT_PERP</t>
        </is>
      </c>
      <c r="B373" s="2" t="inlineStr">
        <is>
          <t>已掃描</t>
        </is>
      </c>
      <c r="C373" s="2" t="inlineStr"/>
      <c r="D373" s="2" t="n"/>
      <c r="E373" s="20" t="n"/>
      <c r="F373" s="20" t="n"/>
      <c r="G373" s="2" t="n"/>
      <c r="H373" s="2" t="n"/>
    </row>
    <row r="374">
      <c r="A374" s="2" t="inlineStr">
        <is>
          <t>THE_USDT_PERP</t>
        </is>
      </c>
      <c r="B374" s="2" t="inlineStr">
        <is>
          <t>已掃描</t>
        </is>
      </c>
      <c r="C374" s="2" t="inlineStr"/>
      <c r="D374" s="2" t="n"/>
      <c r="E374" s="20" t="n"/>
      <c r="F374" s="20" t="n"/>
      <c r="G374" s="2" t="n"/>
      <c r="H374" s="2" t="n"/>
    </row>
    <row r="375">
      <c r="A375" s="2" t="inlineStr">
        <is>
          <t>TIA_USDT_PERP</t>
        </is>
      </c>
      <c r="B375" s="2" t="inlineStr">
        <is>
          <t>已掃描</t>
        </is>
      </c>
      <c r="C375" s="2" t="inlineStr"/>
      <c r="D375" s="2" t="n"/>
      <c r="E375" s="20" t="n"/>
      <c r="F375" s="20" t="n"/>
      <c r="G375" s="2" t="n"/>
      <c r="H375" s="2" t="n"/>
    </row>
    <row r="376">
      <c r="A376" s="2" t="inlineStr">
        <is>
          <t>TLM_USDT_PERP</t>
        </is>
      </c>
      <c r="B376" s="2" t="inlineStr">
        <is>
          <t>已掃描</t>
        </is>
      </c>
      <c r="C376" s="2" t="inlineStr"/>
      <c r="D376" s="2" t="n"/>
      <c r="E376" s="20" t="n"/>
      <c r="F376" s="20" t="n"/>
      <c r="G376" s="2" t="n"/>
      <c r="H376" s="2" t="n"/>
    </row>
    <row r="377">
      <c r="A377" s="2" t="inlineStr">
        <is>
          <t>TNSR_USDT_PERP</t>
        </is>
      </c>
      <c r="B377" s="2" t="inlineStr">
        <is>
          <t>已掃描</t>
        </is>
      </c>
      <c r="C377" s="2" t="inlineStr"/>
      <c r="D377" s="2" t="n"/>
      <c r="E377" s="20" t="n"/>
      <c r="F377" s="20" t="n"/>
      <c r="G377" s="2" t="n"/>
      <c r="H377" s="2" t="n"/>
    </row>
    <row r="378">
      <c r="A378" s="2" t="inlineStr">
        <is>
          <t>TOSHI_USDT_PERP</t>
        </is>
      </c>
      <c r="B378" s="2" t="inlineStr">
        <is>
          <t>已掃描</t>
        </is>
      </c>
      <c r="C378" s="2" t="inlineStr"/>
      <c r="D378" s="2" t="n"/>
      <c r="E378" s="20" t="n"/>
      <c r="F378" s="20" t="n"/>
      <c r="G378" s="2" t="n"/>
      <c r="H378" s="2" t="n"/>
    </row>
    <row r="379">
      <c r="A379" s="2" t="inlineStr">
        <is>
          <t>TOWNS_USDT_PERP</t>
        </is>
      </c>
      <c r="B379" s="2" t="inlineStr">
        <is>
          <t>已掃描</t>
        </is>
      </c>
      <c r="C379" s="2" t="inlineStr"/>
      <c r="D379" s="2" t="n"/>
      <c r="E379" s="20" t="n"/>
      <c r="F379" s="20" t="n"/>
      <c r="G379" s="2" t="n"/>
      <c r="H379" s="2" t="n"/>
    </row>
    <row r="380">
      <c r="A380" s="2" t="inlineStr">
        <is>
          <t>TRADOOR_USDT_PERP</t>
        </is>
      </c>
      <c r="B380" s="2" t="inlineStr">
        <is>
          <t>已掃描</t>
        </is>
      </c>
      <c r="C380" s="2" t="inlineStr"/>
      <c r="D380" s="2" t="n"/>
      <c r="E380" s="20" t="n"/>
      <c r="F380" s="20" t="n"/>
      <c r="G380" s="2" t="n"/>
      <c r="H380" s="2" t="n"/>
    </row>
    <row r="381">
      <c r="A381" s="2" t="inlineStr">
        <is>
          <t>TRB_USDT_PERP</t>
        </is>
      </c>
      <c r="B381" s="2" t="inlineStr">
        <is>
          <t>已掃描</t>
        </is>
      </c>
      <c r="C381" s="2" t="inlineStr"/>
      <c r="D381" s="2" t="n"/>
      <c r="E381" s="20" t="n"/>
      <c r="F381" s="20" t="n"/>
      <c r="G381" s="2" t="n"/>
      <c r="H381" s="2" t="n"/>
    </row>
    <row r="382">
      <c r="A382" s="2" t="inlineStr">
        <is>
          <t>TREE_USDT_PERP</t>
        </is>
      </c>
      <c r="B382" s="2" t="inlineStr">
        <is>
          <t>已掃描</t>
        </is>
      </c>
      <c r="C382" s="2" t="inlineStr"/>
      <c r="D382" s="2" t="n"/>
      <c r="E382" s="20" t="n"/>
      <c r="F382" s="20" t="n"/>
      <c r="G382" s="2" t="n"/>
      <c r="H382" s="2" t="n"/>
    </row>
    <row r="383">
      <c r="A383" s="2" t="inlineStr">
        <is>
          <t>TRIA_USDT_PERP</t>
        </is>
      </c>
      <c r="B383" s="2" t="inlineStr">
        <is>
          <t>已掃描</t>
        </is>
      </c>
      <c r="C383" s="2" t="inlineStr"/>
      <c r="D383" s="2" t="n"/>
      <c r="E383" s="20" t="n"/>
      <c r="F383" s="20" t="n"/>
      <c r="G383" s="2" t="n"/>
      <c r="H383" s="2" t="n"/>
    </row>
    <row r="384">
      <c r="A384" s="2" t="inlineStr">
        <is>
          <t>TRUMP_USDT_PERP</t>
        </is>
      </c>
      <c r="B384" s="2" t="inlineStr">
        <is>
          <t>已掃描</t>
        </is>
      </c>
      <c r="C384" s="2" t="inlineStr"/>
      <c r="D384" s="2" t="n"/>
      <c r="E384" s="20" t="n"/>
      <c r="F384" s="20" t="n"/>
      <c r="G384" s="2" t="n"/>
      <c r="H384" s="2" t="n"/>
    </row>
    <row r="385">
      <c r="A385" s="2" t="inlineStr">
        <is>
          <t>TRUST_USDT_PERP</t>
        </is>
      </c>
      <c r="B385" s="2" t="inlineStr">
        <is>
          <t>已掃描</t>
        </is>
      </c>
      <c r="C385" s="2" t="inlineStr"/>
      <c r="D385" s="2" t="n"/>
      <c r="E385" s="20" t="n"/>
      <c r="F385" s="20" t="n"/>
      <c r="G385" s="2" t="n"/>
      <c r="H385" s="2" t="n"/>
    </row>
    <row r="386">
      <c r="A386" s="2" t="inlineStr">
        <is>
          <t>TRUTH_USDT_PERP</t>
        </is>
      </c>
      <c r="B386" s="2" t="inlineStr">
        <is>
          <t>已掃描</t>
        </is>
      </c>
      <c r="C386" s="2" t="inlineStr"/>
      <c r="D386" s="2" t="n"/>
      <c r="E386" s="20" t="n"/>
      <c r="F386" s="20" t="n"/>
      <c r="G386" s="2" t="n"/>
      <c r="H386" s="2" t="n"/>
    </row>
    <row r="387">
      <c r="A387" s="2" t="inlineStr">
        <is>
          <t>TRX_USDT_PERP</t>
        </is>
      </c>
      <c r="B387" s="2" t="inlineStr">
        <is>
          <t>已掃描</t>
        </is>
      </c>
      <c r="C387" s="2" t="inlineStr"/>
      <c r="D387" s="2" t="n"/>
      <c r="E387" s="20" t="n"/>
      <c r="F387" s="20" t="n"/>
      <c r="G387" s="2" t="n"/>
      <c r="H387" s="2" t="n"/>
    </row>
    <row r="388">
      <c r="A388" s="2" t="inlineStr">
        <is>
          <t>TST_USDT_PERP</t>
        </is>
      </c>
      <c r="B388" s="2" t="inlineStr">
        <is>
          <t>已掃描</t>
        </is>
      </c>
      <c r="C388" s="2" t="inlineStr"/>
      <c r="D388" s="2" t="n"/>
      <c r="E388" s="20" t="n"/>
      <c r="F388" s="20" t="n"/>
      <c r="G388" s="2" t="n"/>
      <c r="H388" s="2" t="n"/>
    </row>
    <row r="389">
      <c r="A389" s="2" t="inlineStr">
        <is>
          <t>TURBO_USDT_PERP</t>
        </is>
      </c>
      <c r="B389" s="2" t="inlineStr">
        <is>
          <t>已掃描</t>
        </is>
      </c>
      <c r="C389" s="2" t="inlineStr"/>
      <c r="D389" s="2" t="n"/>
      <c r="E389" s="20" t="n"/>
      <c r="F389" s="20" t="n"/>
      <c r="G389" s="2" t="n"/>
      <c r="H389" s="2" t="n"/>
    </row>
    <row r="390">
      <c r="A390" s="2" t="inlineStr">
        <is>
          <t>TURTLE_USDT_PERP</t>
        </is>
      </c>
      <c r="B390" s="2" t="inlineStr">
        <is>
          <t>已掃描</t>
        </is>
      </c>
      <c r="C390" s="2" t="inlineStr"/>
      <c r="D390" s="2" t="n"/>
      <c r="E390" s="20" t="n"/>
      <c r="F390" s="20" t="n"/>
      <c r="G390" s="2" t="n"/>
      <c r="H390" s="2" t="n"/>
    </row>
    <row r="391">
      <c r="A391" s="2" t="inlineStr">
        <is>
          <t>TUT_USDT_PERP</t>
        </is>
      </c>
      <c r="B391" s="2" t="inlineStr">
        <is>
          <t>已掃描</t>
        </is>
      </c>
      <c r="C391" s="2" t="inlineStr"/>
      <c r="D391" s="2" t="n"/>
      <c r="E391" s="20" t="n"/>
      <c r="F391" s="20" t="n"/>
      <c r="G391" s="2" t="n"/>
      <c r="H391" s="2" t="n"/>
    </row>
    <row r="392">
      <c r="A392" s="2" t="inlineStr">
        <is>
          <t>TWT_USDT_PERP</t>
        </is>
      </c>
      <c r="B392" s="2" t="inlineStr">
        <is>
          <t>已掃描</t>
        </is>
      </c>
      <c r="C392" s="2" t="inlineStr"/>
      <c r="D392" s="2" t="n"/>
      <c r="E392" s="20" t="n"/>
      <c r="F392" s="20" t="n"/>
      <c r="G392" s="2" t="n"/>
      <c r="H392" s="2" t="n"/>
    </row>
    <row r="393">
      <c r="A393" s="2" t="inlineStr">
        <is>
          <t>UAI_USDT_PERP</t>
        </is>
      </c>
      <c r="B393" s="2" t="inlineStr">
        <is>
          <t>已掃描</t>
        </is>
      </c>
      <c r="C393" s="2" t="inlineStr"/>
      <c r="D393" s="2" t="n"/>
      <c r="E393" s="20" t="n"/>
      <c r="F393" s="20" t="n"/>
      <c r="G393" s="2" t="n"/>
      <c r="H393" s="2" t="n"/>
    </row>
    <row r="394">
      <c r="A394" s="2" t="inlineStr">
        <is>
          <t>UB_USDT_PERP</t>
        </is>
      </c>
      <c r="B394" s="2" t="inlineStr">
        <is>
          <t>已掃描</t>
        </is>
      </c>
      <c r="C394" s="2" t="inlineStr"/>
      <c r="D394" s="2" t="n"/>
      <c r="E394" s="20" t="n"/>
      <c r="F394" s="20" t="n"/>
      <c r="G394" s="2" t="n"/>
      <c r="H394" s="2" t="n"/>
    </row>
    <row r="395">
      <c r="A395" s="2" t="inlineStr">
        <is>
          <t>UNI_USDT_PERP</t>
        </is>
      </c>
      <c r="B395" s="2" t="inlineStr">
        <is>
          <t>已掃描</t>
        </is>
      </c>
      <c r="C395" s="2" t="inlineStr"/>
      <c r="D395" s="2" t="n"/>
      <c r="E395" s="20" t="n"/>
      <c r="F395" s="20" t="n"/>
      <c r="G395" s="2" t="n"/>
      <c r="H395" s="2" t="n"/>
    </row>
    <row r="396">
      <c r="A396" s="2" t="inlineStr">
        <is>
          <t>UP_USDT_PERP</t>
        </is>
      </c>
      <c r="B396" s="2" t="inlineStr">
        <is>
          <t>已掃描</t>
        </is>
      </c>
      <c r="C396" s="2" t="inlineStr"/>
      <c r="D396" s="2" t="n"/>
      <c r="E396" s="20" t="n"/>
      <c r="F396" s="20" t="n"/>
      <c r="G396" s="2" t="n"/>
      <c r="H396" s="2" t="n"/>
    </row>
    <row r="397">
      <c r="A397" s="2" t="inlineStr">
        <is>
          <t>USELESS_USDT_PERP</t>
        </is>
      </c>
      <c r="B397" s="2" t="inlineStr">
        <is>
          <t>已掃描</t>
        </is>
      </c>
      <c r="C397" s="2" t="inlineStr">
        <is>
          <t>持倉中</t>
        </is>
      </c>
      <c r="D397" s="2" t="n"/>
      <c r="E397" s="20" t="n"/>
      <c r="F397" s="20" t="n"/>
      <c r="G397" s="2" t="n"/>
      <c r="H397" s="2" t="n"/>
    </row>
    <row r="398">
      <c r="A398" s="2" t="inlineStr">
        <is>
          <t>USTC_USDT_PERP</t>
        </is>
      </c>
      <c r="B398" s="2" t="inlineStr">
        <is>
          <t>已掃描</t>
        </is>
      </c>
      <c r="C398" s="2" t="inlineStr"/>
      <c r="D398" s="2" t="n"/>
      <c r="E398" s="20" t="n"/>
      <c r="F398" s="20" t="n"/>
      <c r="G398" s="2" t="n"/>
      <c r="H398" s="2" t="n"/>
    </row>
    <row r="399">
      <c r="A399" s="2" t="inlineStr">
        <is>
          <t>USUAL_USDT_PERP</t>
        </is>
      </c>
      <c r="B399" s="2" t="inlineStr">
        <is>
          <t>已掃描</t>
        </is>
      </c>
      <c r="C399" s="2" t="inlineStr"/>
      <c r="D399" s="2" t="n"/>
      <c r="E399" s="20" t="n"/>
      <c r="F399" s="20" t="n"/>
      <c r="G399" s="2" t="n"/>
      <c r="H399" s="2" t="n"/>
    </row>
    <row r="400">
      <c r="A400" s="2" t="inlineStr">
        <is>
          <t>US_USDT_PERP</t>
        </is>
      </c>
      <c r="B400" s="2" t="inlineStr">
        <is>
          <t>已掃描</t>
        </is>
      </c>
      <c r="C400" s="2" t="inlineStr"/>
      <c r="D400" s="2" t="n"/>
      <c r="E400" s="20" t="n"/>
      <c r="F400" s="20" t="n"/>
      <c r="G400" s="2" t="n"/>
      <c r="H400" s="2" t="n"/>
    </row>
    <row r="401">
      <c r="A401" s="2" t="inlineStr">
        <is>
          <t>VELODROME_USDT_PERP</t>
        </is>
      </c>
      <c r="B401" s="2" t="inlineStr">
        <is>
          <t>已掃描</t>
        </is>
      </c>
      <c r="C401" s="2" t="inlineStr"/>
      <c r="D401" s="2" t="n"/>
      <c r="E401" s="20" t="n"/>
      <c r="F401" s="20" t="n"/>
      <c r="G401" s="2" t="n"/>
      <c r="H401" s="2" t="n"/>
    </row>
    <row r="402">
      <c r="A402" s="2" t="inlineStr">
        <is>
          <t>VET_USDT_PERP</t>
        </is>
      </c>
      <c r="B402" s="2" t="inlineStr">
        <is>
          <t>已掃描</t>
        </is>
      </c>
      <c r="C402" s="2" t="inlineStr"/>
      <c r="D402" s="2" t="n"/>
      <c r="E402" s="20" t="n"/>
      <c r="F402" s="20" t="n"/>
      <c r="G402" s="2" t="n"/>
      <c r="H402" s="2" t="n"/>
    </row>
    <row r="403">
      <c r="A403" s="2" t="inlineStr">
        <is>
          <t>VIRTUAL_USDT_PERP</t>
        </is>
      </c>
      <c r="B403" s="2" t="inlineStr">
        <is>
          <t>已掃描</t>
        </is>
      </c>
      <c r="C403" s="2" t="inlineStr"/>
      <c r="D403" s="2" t="n"/>
      <c r="E403" s="20" t="n"/>
      <c r="F403" s="20" t="n"/>
      <c r="G403" s="2" t="n"/>
      <c r="H403" s="2" t="n"/>
    </row>
    <row r="404">
      <c r="A404" s="2" t="inlineStr">
        <is>
          <t>VVV_USDT_PERP</t>
        </is>
      </c>
      <c r="B404" s="2" t="inlineStr">
        <is>
          <t>已掃描</t>
        </is>
      </c>
      <c r="C404" s="2" t="inlineStr"/>
      <c r="D404" s="2" t="n"/>
      <c r="E404" s="20" t="n"/>
      <c r="F404" s="20" t="n"/>
      <c r="G404" s="2" t="n"/>
      <c r="H404" s="2" t="n"/>
    </row>
    <row r="405">
      <c r="A405" s="2" t="inlineStr">
        <is>
          <t>WAL_USDT_PERP</t>
        </is>
      </c>
      <c r="B405" s="2" t="inlineStr">
        <is>
          <t>已掃描</t>
        </is>
      </c>
      <c r="C405" s="2" t="inlineStr"/>
      <c r="D405" s="2" t="n"/>
      <c r="E405" s="20" t="n"/>
      <c r="F405" s="20" t="n"/>
      <c r="G405" s="2" t="n"/>
      <c r="H405" s="2" t="n"/>
    </row>
    <row r="406">
      <c r="A406" s="2" t="inlineStr">
        <is>
          <t>WCT_USDT_PERP</t>
        </is>
      </c>
      <c r="B406" s="2" t="inlineStr">
        <is>
          <t>已掃描</t>
        </is>
      </c>
      <c r="C406" s="2" t="inlineStr"/>
      <c r="D406" s="2" t="n"/>
      <c r="E406" s="20" t="n"/>
      <c r="F406" s="20" t="n"/>
      <c r="G406" s="2" t="n"/>
      <c r="H406" s="2" t="n"/>
    </row>
    <row r="407">
      <c r="A407" s="2" t="inlineStr">
        <is>
          <t>WIF_USDT_PERP</t>
        </is>
      </c>
      <c r="B407" s="2" t="inlineStr">
        <is>
          <t>已掃描</t>
        </is>
      </c>
      <c r="C407" s="2" t="inlineStr"/>
      <c r="D407" s="2" t="n"/>
      <c r="E407" s="20" t="n"/>
      <c r="F407" s="20" t="n"/>
      <c r="G407" s="2" t="n"/>
      <c r="H407" s="2" t="n"/>
    </row>
    <row r="408">
      <c r="A408" s="2" t="inlineStr">
        <is>
          <t>WLD_USDT_PERP</t>
        </is>
      </c>
      <c r="B408" s="2" t="inlineStr">
        <is>
          <t>已掃描</t>
        </is>
      </c>
      <c r="C408" s="2" t="inlineStr"/>
      <c r="D408" s="2" t="n"/>
      <c r="E408" s="20" t="n"/>
      <c r="F408" s="20" t="n"/>
      <c r="G408" s="2" t="n"/>
      <c r="H408" s="2" t="n"/>
    </row>
    <row r="409">
      <c r="A409" s="2" t="inlineStr">
        <is>
          <t>WLFI_USDT_PERP</t>
        </is>
      </c>
      <c r="B409" s="2" t="inlineStr">
        <is>
          <t>已掃描</t>
        </is>
      </c>
      <c r="C409" s="2" t="inlineStr"/>
      <c r="D409" s="2" t="n"/>
      <c r="E409" s="20" t="n"/>
      <c r="F409" s="20" t="n"/>
      <c r="G409" s="2" t="n"/>
      <c r="H409" s="2" t="n"/>
    </row>
    <row r="410">
      <c r="A410" s="2" t="inlineStr">
        <is>
          <t>WTI_USDT_PERP</t>
        </is>
      </c>
      <c r="B410" s="2" t="inlineStr">
        <is>
          <t>已掃描</t>
        </is>
      </c>
      <c r="C410" s="2" t="inlineStr"/>
      <c r="D410" s="2" t="n"/>
      <c r="E410" s="20" t="n"/>
      <c r="F410" s="20" t="n"/>
      <c r="G410" s="2" t="n"/>
      <c r="H410" s="2" t="n"/>
    </row>
    <row r="411">
      <c r="A411" s="2" t="inlineStr">
        <is>
          <t>W_USDT_PERP</t>
        </is>
      </c>
      <c r="B411" s="2" t="inlineStr">
        <is>
          <t>已掃描</t>
        </is>
      </c>
      <c r="C411" s="2" t="inlineStr"/>
      <c r="D411" s="2" t="n"/>
      <c r="E411" s="20" t="n"/>
      <c r="F411" s="20" t="n"/>
      <c r="G411" s="2" t="n"/>
      <c r="H411" s="2" t="n"/>
    </row>
    <row r="412">
      <c r="A412" s="2" t="inlineStr">
        <is>
          <t>XAI_USDT_PERP</t>
        </is>
      </c>
      <c r="B412" s="2" t="inlineStr">
        <is>
          <t>已掃描</t>
        </is>
      </c>
      <c r="C412" s="2" t="inlineStr"/>
      <c r="D412" s="2" t="n"/>
      <c r="E412" s="20" t="n"/>
      <c r="F412" s="20" t="n"/>
      <c r="G412" s="2" t="n"/>
      <c r="H412" s="2" t="n"/>
    </row>
    <row r="413">
      <c r="A413" s="2" t="inlineStr">
        <is>
          <t>XAN_USDT_PERP</t>
        </is>
      </c>
      <c r="B413" s="2" t="inlineStr">
        <is>
          <t>已掃描</t>
        </is>
      </c>
      <c r="C413" s="2" t="inlineStr"/>
      <c r="D413" s="2" t="n"/>
      <c r="E413" s="20" t="n"/>
      <c r="F413" s="20" t="n"/>
      <c r="G413" s="2" t="n"/>
      <c r="H413" s="2" t="n"/>
    </row>
    <row r="414">
      <c r="A414" s="2" t="inlineStr">
        <is>
          <t>XEC_USDT_PERP</t>
        </is>
      </c>
      <c r="B414" s="2" t="inlineStr">
        <is>
          <t>已掃描</t>
        </is>
      </c>
      <c r="C414" s="2" t="inlineStr"/>
      <c r="D414" s="2" t="n"/>
      <c r="E414" s="20" t="n"/>
      <c r="F414" s="20" t="n"/>
      <c r="G414" s="2" t="n"/>
      <c r="H414" s="2" t="n"/>
    </row>
    <row r="415">
      <c r="A415" s="2" t="inlineStr">
        <is>
          <t>XLM_USDT_PERP</t>
        </is>
      </c>
      <c r="B415" s="2" t="inlineStr">
        <is>
          <t>已掃描</t>
        </is>
      </c>
      <c r="C415" s="2" t="inlineStr"/>
      <c r="D415" s="2" t="n"/>
      <c r="E415" s="20" t="n"/>
      <c r="F415" s="20" t="n"/>
      <c r="G415" s="2" t="n"/>
      <c r="H415" s="2" t="n"/>
    </row>
    <row r="416">
      <c r="A416" s="2" t="inlineStr">
        <is>
          <t>XMR_USDT_PERP</t>
        </is>
      </c>
      <c r="B416" s="2" t="inlineStr">
        <is>
          <t>已掃描</t>
        </is>
      </c>
      <c r="C416" s="2" t="inlineStr"/>
      <c r="D416" s="2" t="n"/>
      <c r="E416" s="20" t="n"/>
      <c r="F416" s="20" t="n"/>
      <c r="G416" s="2" t="n"/>
      <c r="H416" s="2" t="n"/>
    </row>
    <row r="417">
      <c r="A417" s="2" t="inlineStr">
        <is>
          <t>XNY_USDT_PERP</t>
        </is>
      </c>
      <c r="B417" s="2" t="inlineStr">
        <is>
          <t>已掃描</t>
        </is>
      </c>
      <c r="C417" s="2" t="inlineStr"/>
      <c r="D417" s="2" t="n"/>
      <c r="E417" s="20" t="n"/>
      <c r="F417" s="20" t="n"/>
      <c r="G417" s="2" t="n"/>
      <c r="H417" s="2" t="n"/>
    </row>
    <row r="418">
      <c r="A418" s="2" t="inlineStr">
        <is>
          <t>XPIN_USDT_PERP</t>
        </is>
      </c>
      <c r="B418" s="2" t="inlineStr">
        <is>
          <t>已掃描</t>
        </is>
      </c>
      <c r="C418" s="2" t="inlineStr"/>
      <c r="D418" s="2" t="n"/>
      <c r="E418" s="20" t="n"/>
      <c r="F418" s="20" t="n"/>
      <c r="G418" s="2" t="n"/>
      <c r="H418" s="2" t="n"/>
    </row>
    <row r="419">
      <c r="A419" s="2" t="inlineStr">
        <is>
          <t>XPL_USDT_PERP</t>
        </is>
      </c>
      <c r="B419" s="2" t="inlineStr">
        <is>
          <t>已掃描</t>
        </is>
      </c>
      <c r="C419" s="2" t="inlineStr"/>
      <c r="D419" s="2" t="n"/>
      <c r="E419" s="20" t="n"/>
      <c r="F419" s="20" t="n"/>
      <c r="G419" s="2" t="n"/>
      <c r="H419" s="2" t="n"/>
    </row>
    <row r="420">
      <c r="A420" s="2" t="inlineStr">
        <is>
          <t>XRP_USDT_PERP</t>
        </is>
      </c>
      <c r="B420" s="2" t="inlineStr">
        <is>
          <t>已掃描</t>
        </is>
      </c>
      <c r="C420" s="2" t="inlineStr"/>
      <c r="D420" s="2" t="n"/>
      <c r="E420" s="20" t="n"/>
      <c r="F420" s="20" t="n"/>
      <c r="G420" s="2" t="n"/>
      <c r="H420" s="2" t="n"/>
    </row>
    <row r="421">
      <c r="A421" s="2" t="inlineStr">
        <is>
          <t>XTZ_USDT_PERP</t>
        </is>
      </c>
      <c r="B421" s="2" t="inlineStr">
        <is>
          <t>已掃描</t>
        </is>
      </c>
      <c r="C421" s="2" t="inlineStr"/>
      <c r="D421" s="2" t="n"/>
      <c r="E421" s="20" t="n"/>
      <c r="F421" s="20" t="n"/>
      <c r="G421" s="2" t="n"/>
      <c r="H421" s="2" t="n"/>
    </row>
    <row r="422">
      <c r="A422" s="2" t="inlineStr">
        <is>
          <t>XVG_USDT_PERP</t>
        </is>
      </c>
      <c r="B422" s="2" t="inlineStr">
        <is>
          <t>已掃描</t>
        </is>
      </c>
      <c r="C422" s="2" t="inlineStr"/>
      <c r="D422" s="2" t="n"/>
      <c r="E422" s="20" t="n"/>
      <c r="F422" s="20" t="n"/>
      <c r="G422" s="2" t="n"/>
      <c r="H422" s="2" t="n"/>
    </row>
    <row r="423">
      <c r="A423" s="2" t="inlineStr">
        <is>
          <t>XYZX_USDT_PERP</t>
        </is>
      </c>
      <c r="B423" s="2" t="inlineStr">
        <is>
          <t>已掃描</t>
        </is>
      </c>
      <c r="C423" s="2" t="inlineStr"/>
      <c r="D423" s="2" t="n"/>
      <c r="E423" s="20" t="n"/>
      <c r="F423" s="20" t="n"/>
      <c r="G423" s="2" t="n"/>
      <c r="H423" s="2" t="n"/>
    </row>
    <row r="424">
      <c r="A424" s="2" t="inlineStr">
        <is>
          <t>YB_USDT_PERP</t>
        </is>
      </c>
      <c r="B424" s="2" t="inlineStr">
        <is>
          <t>已掃描</t>
        </is>
      </c>
      <c r="C424" s="2" t="inlineStr"/>
      <c r="D424" s="2" t="n"/>
      <c r="E424" s="20" t="n"/>
      <c r="F424" s="20" t="n"/>
      <c r="G424" s="2" t="n"/>
      <c r="H424" s="2" t="n"/>
    </row>
    <row r="425">
      <c r="A425" s="2" t="inlineStr">
        <is>
          <t>YFI_USDT_PERP</t>
        </is>
      </c>
      <c r="B425" s="2" t="inlineStr">
        <is>
          <t>已掃描</t>
        </is>
      </c>
      <c r="C425" s="2" t="inlineStr"/>
      <c r="D425" s="2" t="n"/>
      <c r="E425" s="20" t="n"/>
      <c r="F425" s="20" t="n"/>
      <c r="G425" s="2" t="n"/>
      <c r="H425" s="2" t="n"/>
    </row>
    <row r="426">
      <c r="A426" s="2" t="inlineStr">
        <is>
          <t>YGG_USDT_PERP</t>
        </is>
      </c>
      <c r="B426" s="2" t="inlineStr">
        <is>
          <t>已掃描</t>
        </is>
      </c>
      <c r="C426" s="2" t="inlineStr"/>
      <c r="D426" s="2" t="n"/>
      <c r="E426" s="20" t="n"/>
      <c r="F426" s="20" t="n"/>
      <c r="G426" s="2" t="n"/>
      <c r="H426" s="2" t="n"/>
    </row>
    <row r="427">
      <c r="A427" s="2" t="inlineStr">
        <is>
          <t>ZAMA_USDT_PERP</t>
        </is>
      </c>
      <c r="B427" s="2" t="inlineStr">
        <is>
          <t>已掃描</t>
        </is>
      </c>
      <c r="C427" s="2" t="inlineStr"/>
      <c r="D427" s="2" t="n"/>
      <c r="E427" s="20" t="n"/>
      <c r="F427" s="20" t="n"/>
      <c r="G427" s="2" t="n"/>
      <c r="H427" s="2" t="n"/>
    </row>
    <row r="428">
      <c r="A428" s="2" t="inlineStr">
        <is>
          <t>ZBT_USDT_PERP</t>
        </is>
      </c>
      <c r="B428" s="2" t="inlineStr">
        <is>
          <t>已掃描</t>
        </is>
      </c>
      <c r="C428" s="2" t="inlineStr"/>
      <c r="D428" s="2" t="n"/>
      <c r="E428" s="20" t="n"/>
      <c r="F428" s="20" t="n"/>
      <c r="G428" s="2" t="n"/>
      <c r="H428" s="2" t="n"/>
    </row>
    <row r="429">
      <c r="A429" s="2" t="inlineStr">
        <is>
          <t>ZEC_USDT_PERP</t>
        </is>
      </c>
      <c r="B429" s="2" t="inlineStr">
        <is>
          <t>已掃描</t>
        </is>
      </c>
      <c r="C429" s="2" t="inlineStr"/>
      <c r="D429" s="2" t="n"/>
      <c r="E429" s="20" t="n"/>
      <c r="F429" s="20" t="n"/>
      <c r="G429" s="2" t="n"/>
      <c r="H429" s="2" t="n"/>
    </row>
    <row r="430">
      <c r="A430" s="2" t="inlineStr">
        <is>
          <t>ZEN_USDT_PERP</t>
        </is>
      </c>
      <c r="B430" s="2" t="inlineStr">
        <is>
          <t>已掃描</t>
        </is>
      </c>
      <c r="C430" s="2" t="inlineStr"/>
      <c r="D430" s="2" t="n"/>
      <c r="E430" s="20" t="n"/>
      <c r="F430" s="20" t="n"/>
      <c r="G430" s="2" t="n"/>
      <c r="H430" s="2" t="n"/>
    </row>
    <row r="431">
      <c r="A431" s="2" t="inlineStr">
        <is>
          <t>ZEREBRO_USDT_PERP</t>
        </is>
      </c>
      <c r="B431" s="2" t="inlineStr">
        <is>
          <t>已掃描</t>
        </is>
      </c>
      <c r="C431" s="2" t="inlineStr"/>
      <c r="D431" s="2" t="n"/>
      <c r="E431" s="20" t="n"/>
      <c r="F431" s="20" t="n"/>
      <c r="G431" s="2" t="n"/>
      <c r="H431" s="2" t="n"/>
    </row>
    <row r="432">
      <c r="A432" s="2" t="inlineStr">
        <is>
          <t>ZEST_USDT_PERP</t>
        </is>
      </c>
      <c r="B432" s="2" t="inlineStr">
        <is>
          <t>已掃描</t>
        </is>
      </c>
      <c r="C432" s="2" t="inlineStr"/>
      <c r="D432" s="2" t="n"/>
      <c r="E432" s="20" t="n"/>
      <c r="F432" s="20" t="n"/>
      <c r="G432" s="2" t="n"/>
      <c r="H432" s="2" t="n"/>
    </row>
    <row r="433">
      <c r="A433" s="2" t="inlineStr">
        <is>
          <t>ZETA_USDT_PERP</t>
        </is>
      </c>
      <c r="B433" s="2" t="inlineStr">
        <is>
          <t>已掃描</t>
        </is>
      </c>
      <c r="C433" s="2" t="inlineStr"/>
      <c r="D433" s="2" t="n"/>
      <c r="E433" s="20" t="n"/>
      <c r="F433" s="20" t="n"/>
      <c r="G433" s="2" t="n"/>
      <c r="H433" s="2" t="n"/>
    </row>
    <row r="434">
      <c r="A434" s="2" t="inlineStr">
        <is>
          <t>ZIL_USDT_PERP</t>
        </is>
      </c>
      <c r="B434" s="2" t="inlineStr">
        <is>
          <t>已掃描</t>
        </is>
      </c>
      <c r="C434" s="2" t="inlineStr"/>
      <c r="D434" s="2" t="n"/>
      <c r="E434" s="20" t="n"/>
      <c r="F434" s="20" t="n"/>
      <c r="G434" s="2" t="n"/>
      <c r="H434" s="2" t="n"/>
    </row>
    <row r="435">
      <c r="A435" s="2" t="inlineStr">
        <is>
          <t>ZKC_USDT_PERP</t>
        </is>
      </c>
      <c r="B435" s="2" t="inlineStr">
        <is>
          <t>已掃描</t>
        </is>
      </c>
      <c r="C435" s="2" t="inlineStr"/>
      <c r="D435" s="2" t="n"/>
      <c r="E435" s="20" t="n"/>
      <c r="F435" s="20" t="n"/>
      <c r="G435" s="2" t="n"/>
      <c r="H435" s="2" t="n"/>
    </row>
    <row r="436">
      <c r="A436" s="2" t="inlineStr">
        <is>
          <t>ZKP_USDT_PERP</t>
        </is>
      </c>
      <c r="B436" s="2" t="inlineStr">
        <is>
          <t>已掃描</t>
        </is>
      </c>
      <c r="C436" s="2" t="inlineStr"/>
      <c r="D436" s="2" t="n"/>
      <c r="E436" s="20" t="n"/>
      <c r="F436" s="20" t="n"/>
      <c r="G436" s="2" t="n"/>
      <c r="H436" s="2" t="n"/>
    </row>
    <row r="437">
      <c r="A437" s="2" t="inlineStr">
        <is>
          <t>ZKSYNC_USDT_PERP</t>
        </is>
      </c>
      <c r="B437" s="2" t="inlineStr">
        <is>
          <t>已掃描</t>
        </is>
      </c>
      <c r="C437" s="2" t="inlineStr"/>
      <c r="D437" s="2" t="n"/>
      <c r="E437" s="20" t="n"/>
      <c r="F437" s="20" t="n"/>
      <c r="G437" s="2" t="n"/>
      <c r="H437" s="2" t="n"/>
    </row>
    <row r="438">
      <c r="A438" s="2" t="inlineStr">
        <is>
          <t>ZORA_USDT_PERP</t>
        </is>
      </c>
      <c r="B438" s="2" t="inlineStr">
        <is>
          <t>已掃描</t>
        </is>
      </c>
      <c r="C438" s="2" t="inlineStr"/>
      <c r="D438" s="2" t="n"/>
      <c r="E438" s="20" t="n"/>
      <c r="F438" s="20" t="n"/>
      <c r="G438" s="2" t="n"/>
      <c r="H438" s="2" t="n"/>
    </row>
    <row r="439">
      <c r="A439" s="2" t="inlineStr">
        <is>
          <t>ZRO_USDT_PERP</t>
        </is>
      </c>
      <c r="B439" s="2" t="inlineStr">
        <is>
          <t>已掃描</t>
        </is>
      </c>
      <c r="C439" s="2" t="inlineStr"/>
      <c r="D439" s="2" t="n"/>
      <c r="E439" s="20" t="n"/>
      <c r="F439" s="20" t="n"/>
      <c r="G439" s="2" t="n"/>
      <c r="H439" s="2" t="n"/>
    </row>
    <row r="440">
      <c r="A440" s="2" t="inlineStr">
        <is>
          <t>ZRX_USDT_PERP</t>
        </is>
      </c>
      <c r="B440" s="2" t="inlineStr">
        <is>
          <t>已掃描</t>
        </is>
      </c>
      <c r="C440" s="2" t="inlineStr"/>
      <c r="D440" s="2" t="n"/>
      <c r="E440" s="20" t="n"/>
      <c r="F440" s="20" t="n"/>
      <c r="G440" s="2" t="n"/>
      <c r="H440" s="2" t="n"/>
    </row>
    <row r="441">
      <c r="A441" s="2" t="inlineStr">
        <is>
          <t>哈基米_USDT_PERP</t>
        </is>
      </c>
      <c r="B441" s="2" t="inlineStr">
        <is>
          <t>已掃描</t>
        </is>
      </c>
      <c r="C441" s="2" t="inlineStr"/>
      <c r="D441" s="2" t="n"/>
      <c r="E441" s="20" t="n"/>
      <c r="F441" s="20" t="n"/>
      <c r="G441" s="2" t="n"/>
      <c r="H441" s="2" t="n"/>
    </row>
    <row r="442">
      <c r="A442" s="2" t="inlineStr">
        <is>
          <t>币安人生_USDT_PERP</t>
        </is>
      </c>
      <c r="B442" s="2" t="inlineStr">
        <is>
          <t>已掃描</t>
        </is>
      </c>
      <c r="C442" s="2" t="inlineStr"/>
      <c r="D442" s="2" t="n"/>
      <c r="E442" s="20" t="n"/>
      <c r="F442" s="20" t="n"/>
      <c r="G442" s="2" t="n"/>
      <c r="H442" s="2" t="n"/>
    </row>
    <row r="443">
      <c r="A443" s="2" t="inlineStr">
        <is>
          <t>我踏马来了_USDT_PERP</t>
        </is>
      </c>
      <c r="B443" s="2" t="inlineStr">
        <is>
          <t>已掃描</t>
        </is>
      </c>
      <c r="C443" s="2" t="inlineStr"/>
      <c r="D443" s="2" t="n"/>
      <c r="E443" s="20" t="n"/>
      <c r="F443" s="20" t="n"/>
      <c r="G443" s="2" t="n"/>
      <c r="H443" s="2" t="n"/>
    </row>
    <row r="444">
      <c r="A444" s="2" t="inlineStr">
        <is>
          <t>牛来_USDT_PERP</t>
        </is>
      </c>
      <c r="B444" s="2" t="inlineStr">
        <is>
          <t>已掃描</t>
        </is>
      </c>
      <c r="C444" s="2" t="inlineStr"/>
      <c r="D444" s="2" t="n"/>
      <c r="E444" s="20" t="n"/>
      <c r="F444" s="20" t="n"/>
      <c r="G444" s="2" t="n"/>
      <c r="H444" s="2" t="n"/>
    </row>
  </sheetData>
  <autoFilter ref="A1:H4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2026-09-26T22:59:37Z</dcterms:created>
  <dcterms:modified xsi:type="dcterms:W3CDTF">2026-09-26T22:59:38Z</dcterms:modified>
</cp:coreProperties>
</file>